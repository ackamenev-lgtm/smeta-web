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Администратор\Desktop\Сметы\"/>
    </mc:Choice>
  </mc:AlternateContent>
  <bookViews>
    <workbookView xWindow="0" yWindow="0" windowWidth="21570" windowHeight="10215"/>
  </bookViews>
  <sheets>
    <sheet name="Как пользоваться" sheetId="1" r:id="rId1"/>
    <sheet name="Расценки" sheetId="2" r:id="rId2"/>
    <sheet name="Почасовка — ставки и план" sheetId="3" r:id="rId3"/>
    <sheet name="Для HR" sheetId="4" r:id="rId4"/>
    <sheet name="Параметры" sheetId="5" r:id="rId5"/>
  </sheets>
  <definedNames>
    <definedName name="_FilterDatabase" localSheetId="1" hidden="1">Расценки!$A$4:$R$2419</definedName>
  </definedNames>
  <calcPr calcId="162913"/>
</workbook>
</file>

<file path=xl/calcChain.xml><?xml version="1.0" encoding="utf-8"?>
<calcChain xmlns="http://schemas.openxmlformats.org/spreadsheetml/2006/main">
  <c r="I24" i="4" l="1"/>
  <c r="K24" i="4" s="1"/>
  <c r="H24" i="4"/>
  <c r="J24" i="4" s="1"/>
  <c r="E24" i="4"/>
  <c r="G24" i="4" s="1"/>
  <c r="D24" i="4"/>
  <c r="F24" i="4" s="1"/>
  <c r="B24" i="4"/>
  <c r="K23" i="4"/>
  <c r="I23" i="4"/>
  <c r="H23" i="4"/>
  <c r="J23" i="4" s="1"/>
  <c r="E23" i="4"/>
  <c r="G23" i="4" s="1"/>
  <c r="D23" i="4"/>
  <c r="F23" i="4" s="1"/>
  <c r="B23" i="4"/>
  <c r="I22" i="4"/>
  <c r="K22" i="4" s="1"/>
  <c r="H22" i="4"/>
  <c r="J22" i="4" s="1"/>
  <c r="G22" i="4"/>
  <c r="F22" i="4"/>
  <c r="E22" i="4"/>
  <c r="D22" i="4"/>
  <c r="B22" i="4"/>
  <c r="I21" i="4"/>
  <c r="K21" i="4" s="1"/>
  <c r="H21" i="4"/>
  <c r="J21" i="4" s="1"/>
  <c r="E21" i="4"/>
  <c r="G21" i="4" s="1"/>
  <c r="D21" i="4"/>
  <c r="F21" i="4" s="1"/>
  <c r="B21" i="4"/>
  <c r="I20" i="4"/>
  <c r="K20" i="4" s="1"/>
  <c r="H20" i="4"/>
  <c r="J20" i="4" s="1"/>
  <c r="E20" i="4"/>
  <c r="G20" i="4" s="1"/>
  <c r="D20" i="4"/>
  <c r="F20" i="4" s="1"/>
  <c r="B20" i="4"/>
  <c r="K19" i="4"/>
  <c r="J19" i="4"/>
  <c r="I19" i="4"/>
  <c r="H19" i="4"/>
  <c r="E19" i="4"/>
  <c r="G19" i="4" s="1"/>
  <c r="D19" i="4"/>
  <c r="F19" i="4" s="1"/>
  <c r="B19" i="4"/>
  <c r="K18" i="4"/>
  <c r="I18" i="4"/>
  <c r="H18" i="4"/>
  <c r="J18" i="4" s="1"/>
  <c r="F18" i="4"/>
  <c r="E18" i="4"/>
  <c r="G18" i="4" s="1"/>
  <c r="D18" i="4"/>
  <c r="B18" i="4"/>
  <c r="I17" i="4"/>
  <c r="K17" i="4" s="1"/>
  <c r="H17" i="4"/>
  <c r="J17" i="4" s="1"/>
  <c r="E17" i="4"/>
  <c r="G17" i="4" s="1"/>
  <c r="D17" i="4"/>
  <c r="F17" i="4" s="1"/>
  <c r="B17" i="4"/>
  <c r="I16" i="4"/>
  <c r="K16" i="4" s="1"/>
  <c r="H16" i="4"/>
  <c r="J16" i="4" s="1"/>
  <c r="E16" i="4"/>
  <c r="G16" i="4" s="1"/>
  <c r="D16" i="4"/>
  <c r="F16" i="4" s="1"/>
  <c r="B16" i="4"/>
  <c r="I15" i="4"/>
  <c r="K15" i="4" s="1"/>
  <c r="H15" i="4"/>
  <c r="J15" i="4" s="1"/>
  <c r="E15" i="4"/>
  <c r="G15" i="4" s="1"/>
  <c r="D15" i="4"/>
  <c r="F15" i="4" s="1"/>
  <c r="B15" i="4"/>
  <c r="K14" i="4"/>
  <c r="I14" i="4"/>
  <c r="H14" i="4"/>
  <c r="J14" i="4" s="1"/>
  <c r="G14" i="4"/>
  <c r="E14" i="4"/>
  <c r="D14" i="4"/>
  <c r="F14" i="4" s="1"/>
  <c r="B14" i="4"/>
  <c r="I13" i="4"/>
  <c r="K13" i="4" s="1"/>
  <c r="H13" i="4"/>
  <c r="J13" i="4" s="1"/>
  <c r="E13" i="4"/>
  <c r="G13" i="4" s="1"/>
  <c r="D13" i="4"/>
  <c r="F13" i="4" s="1"/>
  <c r="B13" i="4"/>
  <c r="I12" i="4"/>
  <c r="K12" i="4" s="1"/>
  <c r="H12" i="4"/>
  <c r="J12" i="4" s="1"/>
  <c r="E12" i="4"/>
  <c r="G12" i="4" s="1"/>
  <c r="D12" i="4"/>
  <c r="F12" i="4" s="1"/>
  <c r="B12" i="4"/>
  <c r="J11" i="4"/>
  <c r="I11" i="4"/>
  <c r="K11" i="4" s="1"/>
  <c r="H11" i="4"/>
  <c r="E11" i="4"/>
  <c r="G11" i="4" s="1"/>
  <c r="D11" i="4"/>
  <c r="F11" i="4" s="1"/>
  <c r="B11" i="4"/>
  <c r="I10" i="4"/>
  <c r="K10" i="4" s="1"/>
  <c r="H10" i="4"/>
  <c r="J10" i="4" s="1"/>
  <c r="E10" i="4"/>
  <c r="G10" i="4" s="1"/>
  <c r="D10" i="4"/>
  <c r="F10" i="4" s="1"/>
  <c r="B10" i="4"/>
  <c r="I9" i="4"/>
  <c r="K9" i="4" s="1"/>
  <c r="H9" i="4"/>
  <c r="J9" i="4" s="1"/>
  <c r="E9" i="4"/>
  <c r="G9" i="4" s="1"/>
  <c r="D9" i="4"/>
  <c r="F9" i="4" s="1"/>
  <c r="B9" i="4"/>
  <c r="I8" i="4"/>
  <c r="K8" i="4" s="1"/>
  <c r="H8" i="4"/>
  <c r="J8" i="4" s="1"/>
  <c r="E8" i="4"/>
  <c r="G8" i="4" s="1"/>
  <c r="D8" i="4"/>
  <c r="F8" i="4" s="1"/>
  <c r="B8" i="4"/>
  <c r="I7" i="4"/>
  <c r="K7" i="4" s="1"/>
  <c r="H7" i="4"/>
  <c r="J7" i="4" s="1"/>
  <c r="F7" i="4"/>
  <c r="E7" i="4"/>
  <c r="G7" i="4" s="1"/>
  <c r="D7" i="4"/>
  <c r="B7" i="4"/>
  <c r="I6" i="4"/>
  <c r="K6" i="4" s="1"/>
  <c r="H6" i="4"/>
  <c r="J6" i="4" s="1"/>
  <c r="G6" i="4"/>
  <c r="E6" i="4"/>
  <c r="D6" i="4"/>
  <c r="F6" i="4" s="1"/>
  <c r="B6" i="4"/>
  <c r="I5" i="4"/>
  <c r="K5" i="4" s="1"/>
  <c r="H5" i="4"/>
  <c r="J5" i="4" s="1"/>
  <c r="E5" i="4"/>
  <c r="G5" i="4" s="1"/>
  <c r="D5" i="4"/>
  <c r="F5" i="4" s="1"/>
  <c r="B5" i="4"/>
  <c r="N24" i="3"/>
  <c r="M24" i="3"/>
  <c r="L24" i="3"/>
  <c r="G24" i="3"/>
  <c r="I24" i="3" s="1"/>
  <c r="F24" i="3"/>
  <c r="H24" i="3" s="1"/>
  <c r="N23" i="3"/>
  <c r="M23" i="3"/>
  <c r="L23" i="3"/>
  <c r="G23" i="3"/>
  <c r="I23" i="3" s="1"/>
  <c r="F23" i="3"/>
  <c r="H23" i="3" s="1"/>
  <c r="N22" i="3"/>
  <c r="M22" i="3"/>
  <c r="L22" i="3"/>
  <c r="H22" i="3"/>
  <c r="G22" i="3"/>
  <c r="I22" i="3" s="1"/>
  <c r="F22" i="3"/>
  <c r="N21" i="3"/>
  <c r="M21" i="3"/>
  <c r="L21" i="3"/>
  <c r="G21" i="3"/>
  <c r="I21" i="3" s="1"/>
  <c r="F21" i="3"/>
  <c r="H21" i="3" s="1"/>
  <c r="N20" i="3"/>
  <c r="M20" i="3"/>
  <c r="L20" i="3"/>
  <c r="G20" i="3"/>
  <c r="I20" i="3" s="1"/>
  <c r="F20" i="3"/>
  <c r="H20" i="3" s="1"/>
  <c r="N19" i="3"/>
  <c r="M19" i="3"/>
  <c r="L19" i="3"/>
  <c r="G19" i="3"/>
  <c r="I19" i="3" s="1"/>
  <c r="F19" i="3"/>
  <c r="H19" i="3" s="1"/>
  <c r="N18" i="3"/>
  <c r="M18" i="3"/>
  <c r="L18" i="3"/>
  <c r="G18" i="3"/>
  <c r="I18" i="3" s="1"/>
  <c r="F18" i="3"/>
  <c r="H18" i="3" s="1"/>
  <c r="N17" i="3"/>
  <c r="M17" i="3"/>
  <c r="L17" i="3"/>
  <c r="I17" i="3"/>
  <c r="G17" i="3"/>
  <c r="F17" i="3"/>
  <c r="H17" i="3" s="1"/>
  <c r="N16" i="3"/>
  <c r="M16" i="3"/>
  <c r="L16" i="3"/>
  <c r="G16" i="3"/>
  <c r="I16" i="3" s="1"/>
  <c r="F16" i="3"/>
  <c r="H16" i="3" s="1"/>
  <c r="N15" i="3"/>
  <c r="M15" i="3"/>
  <c r="L15" i="3"/>
  <c r="I15" i="3"/>
  <c r="H15" i="3"/>
  <c r="G15" i="3"/>
  <c r="F15" i="3"/>
  <c r="N14" i="3"/>
  <c r="M14" i="3"/>
  <c r="L14" i="3"/>
  <c r="I14" i="3"/>
  <c r="G14" i="3"/>
  <c r="F14" i="3"/>
  <c r="H14" i="3" s="1"/>
  <c r="N13" i="3"/>
  <c r="M13" i="3"/>
  <c r="L13" i="3"/>
  <c r="G13" i="3"/>
  <c r="I13" i="3" s="1"/>
  <c r="F13" i="3"/>
  <c r="H13" i="3" s="1"/>
  <c r="N12" i="3"/>
  <c r="M12" i="3"/>
  <c r="L12" i="3"/>
  <c r="G12" i="3"/>
  <c r="I12" i="3" s="1"/>
  <c r="F12" i="3"/>
  <c r="H12" i="3" s="1"/>
  <c r="N11" i="3"/>
  <c r="M11" i="3"/>
  <c r="L11" i="3"/>
  <c r="G11" i="3"/>
  <c r="I11" i="3" s="1"/>
  <c r="F11" i="3"/>
  <c r="H11" i="3" s="1"/>
  <c r="N10" i="3"/>
  <c r="M10" i="3"/>
  <c r="L10" i="3"/>
  <c r="H10" i="3"/>
  <c r="G10" i="3"/>
  <c r="I10" i="3" s="1"/>
  <c r="F10" i="3"/>
  <c r="N9" i="3"/>
  <c r="M9" i="3"/>
  <c r="L9" i="3"/>
  <c r="H9" i="3"/>
  <c r="G9" i="3"/>
  <c r="I9" i="3" s="1"/>
  <c r="F9" i="3"/>
  <c r="N8" i="3"/>
  <c r="M8" i="3"/>
  <c r="L8" i="3"/>
  <c r="I8" i="3"/>
  <c r="G8" i="3"/>
  <c r="F8" i="3"/>
  <c r="H8" i="3" s="1"/>
  <c r="N7" i="3"/>
  <c r="M7" i="3"/>
  <c r="L7" i="3"/>
  <c r="I7" i="3"/>
  <c r="G7" i="3"/>
  <c r="F7" i="3"/>
  <c r="H7" i="3" s="1"/>
  <c r="N6" i="3"/>
  <c r="M6" i="3"/>
  <c r="L6" i="3"/>
  <c r="I6" i="3"/>
  <c r="G6" i="3"/>
  <c r="F6" i="3"/>
  <c r="H6" i="3" s="1"/>
  <c r="N5" i="3"/>
  <c r="M5" i="3"/>
  <c r="L5" i="3"/>
  <c r="G5" i="3"/>
  <c r="I5" i="3" s="1"/>
  <c r="F5" i="3"/>
  <c r="H5" i="3" s="1"/>
  <c r="Q2419" i="2"/>
  <c r="R2419" i="2" s="1"/>
  <c r="P2419" i="2"/>
  <c r="O2419" i="2"/>
  <c r="N2419" i="2"/>
  <c r="M2419" i="2"/>
  <c r="K2419" i="2"/>
  <c r="I2419" i="2"/>
  <c r="E2419" i="2"/>
  <c r="P2418" i="2"/>
  <c r="O2418" i="2"/>
  <c r="Q2418" i="2" s="1"/>
  <c r="R2418" i="2" s="1"/>
  <c r="N2418" i="2"/>
  <c r="M2418" i="2"/>
  <c r="K2418" i="2"/>
  <c r="I2418" i="2"/>
  <c r="E2418" i="2"/>
  <c r="P2417" i="2"/>
  <c r="O2417" i="2"/>
  <c r="Q2417" i="2" s="1"/>
  <c r="R2417" i="2" s="1"/>
  <c r="N2417" i="2"/>
  <c r="M2417" i="2"/>
  <c r="K2417" i="2"/>
  <c r="I2417" i="2"/>
  <c r="E2417" i="2"/>
  <c r="P2416" i="2"/>
  <c r="O2416" i="2"/>
  <c r="Q2416" i="2" s="1"/>
  <c r="R2416" i="2" s="1"/>
  <c r="N2416" i="2"/>
  <c r="M2416" i="2"/>
  <c r="K2416" i="2"/>
  <c r="I2416" i="2"/>
  <c r="E2416" i="2"/>
  <c r="P2415" i="2"/>
  <c r="O2415" i="2"/>
  <c r="Q2415" i="2" s="1"/>
  <c r="R2415" i="2" s="1"/>
  <c r="N2415" i="2"/>
  <c r="M2415" i="2"/>
  <c r="K2415" i="2"/>
  <c r="I2415" i="2"/>
  <c r="E2415" i="2"/>
  <c r="P2414" i="2"/>
  <c r="O2414" i="2"/>
  <c r="Q2414" i="2" s="1"/>
  <c r="R2414" i="2" s="1"/>
  <c r="N2414" i="2"/>
  <c r="M2414" i="2"/>
  <c r="K2414" i="2"/>
  <c r="I2414" i="2"/>
  <c r="E2414" i="2"/>
  <c r="P2413" i="2"/>
  <c r="O2413" i="2"/>
  <c r="Q2413" i="2" s="1"/>
  <c r="R2413" i="2" s="1"/>
  <c r="N2413" i="2"/>
  <c r="M2413" i="2"/>
  <c r="K2413" i="2"/>
  <c r="I2413" i="2"/>
  <c r="E2413" i="2"/>
  <c r="P2412" i="2"/>
  <c r="O2412" i="2"/>
  <c r="Q2412" i="2" s="1"/>
  <c r="R2412" i="2" s="1"/>
  <c r="N2412" i="2"/>
  <c r="M2412" i="2"/>
  <c r="K2412" i="2"/>
  <c r="I2412" i="2"/>
  <c r="E2412" i="2"/>
  <c r="Q2411" i="2"/>
  <c r="R2411" i="2" s="1"/>
  <c r="P2411" i="2"/>
  <c r="O2411" i="2"/>
  <c r="N2411" i="2"/>
  <c r="M2411" i="2"/>
  <c r="K2411" i="2"/>
  <c r="I2411" i="2"/>
  <c r="E2411" i="2"/>
  <c r="P2410" i="2"/>
  <c r="O2410" i="2"/>
  <c r="Q2410" i="2" s="1"/>
  <c r="R2410" i="2" s="1"/>
  <c r="N2410" i="2"/>
  <c r="M2410" i="2"/>
  <c r="K2410" i="2"/>
  <c r="I2410" i="2"/>
  <c r="E2410" i="2"/>
  <c r="P2409" i="2"/>
  <c r="O2409" i="2"/>
  <c r="Q2409" i="2" s="1"/>
  <c r="R2409" i="2" s="1"/>
  <c r="N2409" i="2"/>
  <c r="M2409" i="2"/>
  <c r="K2409" i="2"/>
  <c r="I2409" i="2"/>
  <c r="E2409" i="2"/>
  <c r="P2408" i="2"/>
  <c r="O2408" i="2"/>
  <c r="Q2408" i="2" s="1"/>
  <c r="R2408" i="2" s="1"/>
  <c r="N2408" i="2"/>
  <c r="M2408" i="2"/>
  <c r="K2408" i="2"/>
  <c r="I2408" i="2"/>
  <c r="E2408" i="2"/>
  <c r="P2407" i="2"/>
  <c r="O2407" i="2"/>
  <c r="Q2407" i="2" s="1"/>
  <c r="R2407" i="2" s="1"/>
  <c r="N2407" i="2"/>
  <c r="M2407" i="2"/>
  <c r="K2407" i="2"/>
  <c r="I2407" i="2"/>
  <c r="E2407" i="2"/>
  <c r="P2406" i="2"/>
  <c r="O2406" i="2"/>
  <c r="Q2406" i="2" s="1"/>
  <c r="R2406" i="2" s="1"/>
  <c r="N2406" i="2"/>
  <c r="M2406" i="2"/>
  <c r="K2406" i="2"/>
  <c r="I2406" i="2"/>
  <c r="E2406" i="2"/>
  <c r="P2405" i="2"/>
  <c r="O2405" i="2"/>
  <c r="Q2405" i="2" s="1"/>
  <c r="R2405" i="2" s="1"/>
  <c r="N2405" i="2"/>
  <c r="M2405" i="2"/>
  <c r="K2405" i="2"/>
  <c r="I2405" i="2"/>
  <c r="E2405" i="2"/>
  <c r="P2404" i="2"/>
  <c r="O2404" i="2"/>
  <c r="Q2404" i="2" s="1"/>
  <c r="R2404" i="2" s="1"/>
  <c r="N2404" i="2"/>
  <c r="M2404" i="2"/>
  <c r="K2404" i="2"/>
  <c r="I2404" i="2"/>
  <c r="E2404" i="2"/>
  <c r="Q2403" i="2"/>
  <c r="R2403" i="2" s="1"/>
  <c r="P2403" i="2"/>
  <c r="O2403" i="2"/>
  <c r="N2403" i="2"/>
  <c r="M2403" i="2"/>
  <c r="K2403" i="2"/>
  <c r="I2403" i="2"/>
  <c r="E2403" i="2"/>
  <c r="P2402" i="2"/>
  <c r="O2402" i="2"/>
  <c r="Q2402" i="2" s="1"/>
  <c r="R2402" i="2" s="1"/>
  <c r="N2402" i="2"/>
  <c r="M2402" i="2"/>
  <c r="K2402" i="2"/>
  <c r="I2402" i="2"/>
  <c r="E2402" i="2"/>
  <c r="P2401" i="2"/>
  <c r="O2401" i="2"/>
  <c r="Q2401" i="2" s="1"/>
  <c r="R2401" i="2" s="1"/>
  <c r="N2401" i="2"/>
  <c r="M2401" i="2"/>
  <c r="K2401" i="2"/>
  <c r="I2401" i="2"/>
  <c r="E2401" i="2"/>
  <c r="P2400" i="2"/>
  <c r="O2400" i="2"/>
  <c r="Q2400" i="2" s="1"/>
  <c r="R2400" i="2" s="1"/>
  <c r="N2400" i="2"/>
  <c r="M2400" i="2"/>
  <c r="K2400" i="2"/>
  <c r="I2400" i="2"/>
  <c r="E2400" i="2"/>
  <c r="P2399" i="2"/>
  <c r="O2399" i="2"/>
  <c r="Q2399" i="2" s="1"/>
  <c r="R2399" i="2" s="1"/>
  <c r="N2399" i="2"/>
  <c r="M2399" i="2"/>
  <c r="K2399" i="2"/>
  <c r="I2399" i="2"/>
  <c r="E2399" i="2"/>
  <c r="Q2398" i="2"/>
  <c r="R2398" i="2" s="1"/>
  <c r="P2398" i="2"/>
  <c r="O2398" i="2"/>
  <c r="N2398" i="2"/>
  <c r="M2398" i="2"/>
  <c r="K2398" i="2"/>
  <c r="I2398" i="2"/>
  <c r="E2398" i="2"/>
  <c r="P2397" i="2"/>
  <c r="O2397" i="2"/>
  <c r="Q2397" i="2" s="1"/>
  <c r="R2397" i="2" s="1"/>
  <c r="N2397" i="2"/>
  <c r="M2397" i="2"/>
  <c r="K2397" i="2"/>
  <c r="I2397" i="2"/>
  <c r="E2397" i="2"/>
  <c r="P2396" i="2"/>
  <c r="O2396" i="2"/>
  <c r="Q2396" i="2" s="1"/>
  <c r="R2396" i="2" s="1"/>
  <c r="N2396" i="2"/>
  <c r="M2396" i="2"/>
  <c r="K2396" i="2"/>
  <c r="I2396" i="2"/>
  <c r="E2396" i="2"/>
  <c r="P2395" i="2"/>
  <c r="O2395" i="2"/>
  <c r="Q2395" i="2" s="1"/>
  <c r="R2395" i="2" s="1"/>
  <c r="N2395" i="2"/>
  <c r="M2395" i="2"/>
  <c r="K2395" i="2"/>
  <c r="I2395" i="2"/>
  <c r="E2395" i="2"/>
  <c r="P2394" i="2"/>
  <c r="O2394" i="2"/>
  <c r="Q2394" i="2" s="1"/>
  <c r="R2394" i="2" s="1"/>
  <c r="N2394" i="2"/>
  <c r="M2394" i="2"/>
  <c r="K2394" i="2"/>
  <c r="I2394" i="2"/>
  <c r="E2394" i="2"/>
  <c r="P2393" i="2"/>
  <c r="O2393" i="2"/>
  <c r="Q2393" i="2" s="1"/>
  <c r="R2393" i="2" s="1"/>
  <c r="N2393" i="2"/>
  <c r="M2393" i="2"/>
  <c r="K2393" i="2"/>
  <c r="I2393" i="2"/>
  <c r="E2393" i="2"/>
  <c r="P2392" i="2"/>
  <c r="O2392" i="2"/>
  <c r="Q2392" i="2" s="1"/>
  <c r="R2392" i="2" s="1"/>
  <c r="N2392" i="2"/>
  <c r="M2392" i="2"/>
  <c r="K2392" i="2"/>
  <c r="I2392" i="2"/>
  <c r="E2392" i="2"/>
  <c r="P2391" i="2"/>
  <c r="O2391" i="2"/>
  <c r="Q2391" i="2" s="1"/>
  <c r="R2391" i="2" s="1"/>
  <c r="N2391" i="2"/>
  <c r="M2391" i="2"/>
  <c r="K2391" i="2"/>
  <c r="I2391" i="2"/>
  <c r="E2391" i="2"/>
  <c r="P2390" i="2"/>
  <c r="O2390" i="2"/>
  <c r="Q2390" i="2" s="1"/>
  <c r="R2390" i="2" s="1"/>
  <c r="N2390" i="2"/>
  <c r="M2390" i="2"/>
  <c r="K2390" i="2"/>
  <c r="I2390" i="2"/>
  <c r="E2390" i="2"/>
  <c r="P2389" i="2"/>
  <c r="O2389" i="2"/>
  <c r="Q2389" i="2" s="1"/>
  <c r="R2389" i="2" s="1"/>
  <c r="N2389" i="2"/>
  <c r="M2389" i="2"/>
  <c r="K2389" i="2"/>
  <c r="I2389" i="2"/>
  <c r="E2389" i="2"/>
  <c r="P2388" i="2"/>
  <c r="O2388" i="2"/>
  <c r="Q2388" i="2" s="1"/>
  <c r="R2388" i="2" s="1"/>
  <c r="N2388" i="2"/>
  <c r="M2388" i="2"/>
  <c r="K2388" i="2"/>
  <c r="I2388" i="2"/>
  <c r="E2388" i="2"/>
  <c r="P2387" i="2"/>
  <c r="O2387" i="2"/>
  <c r="Q2387" i="2" s="1"/>
  <c r="R2387" i="2" s="1"/>
  <c r="N2387" i="2"/>
  <c r="M2387" i="2"/>
  <c r="K2387" i="2"/>
  <c r="I2387" i="2"/>
  <c r="E2387" i="2"/>
  <c r="Q2386" i="2"/>
  <c r="R2386" i="2" s="1"/>
  <c r="P2386" i="2"/>
  <c r="O2386" i="2"/>
  <c r="N2386" i="2"/>
  <c r="M2386" i="2"/>
  <c r="K2386" i="2"/>
  <c r="I2386" i="2"/>
  <c r="E2386" i="2"/>
  <c r="P2385" i="2"/>
  <c r="O2385" i="2"/>
  <c r="Q2385" i="2" s="1"/>
  <c r="R2385" i="2" s="1"/>
  <c r="N2385" i="2"/>
  <c r="M2385" i="2"/>
  <c r="K2385" i="2"/>
  <c r="I2385" i="2"/>
  <c r="E2385" i="2"/>
  <c r="P2384" i="2"/>
  <c r="O2384" i="2"/>
  <c r="Q2384" i="2" s="1"/>
  <c r="R2384" i="2" s="1"/>
  <c r="N2384" i="2"/>
  <c r="M2384" i="2"/>
  <c r="K2384" i="2"/>
  <c r="I2384" i="2"/>
  <c r="E2384" i="2"/>
  <c r="P2383" i="2"/>
  <c r="O2383" i="2"/>
  <c r="Q2383" i="2" s="1"/>
  <c r="R2383" i="2" s="1"/>
  <c r="N2383" i="2"/>
  <c r="M2383" i="2"/>
  <c r="K2383" i="2"/>
  <c r="I2383" i="2"/>
  <c r="E2383" i="2"/>
  <c r="Q2382" i="2"/>
  <c r="R2382" i="2" s="1"/>
  <c r="P2382" i="2"/>
  <c r="O2382" i="2"/>
  <c r="N2382" i="2"/>
  <c r="M2382" i="2"/>
  <c r="K2382" i="2"/>
  <c r="I2382" i="2"/>
  <c r="E2382" i="2"/>
  <c r="P2381" i="2"/>
  <c r="O2381" i="2"/>
  <c r="Q2381" i="2" s="1"/>
  <c r="R2381" i="2" s="1"/>
  <c r="N2381" i="2"/>
  <c r="M2381" i="2"/>
  <c r="K2381" i="2"/>
  <c r="I2381" i="2"/>
  <c r="E2381" i="2"/>
  <c r="P2380" i="2"/>
  <c r="O2380" i="2"/>
  <c r="Q2380" i="2" s="1"/>
  <c r="R2380" i="2" s="1"/>
  <c r="N2380" i="2"/>
  <c r="M2380" i="2"/>
  <c r="K2380" i="2"/>
  <c r="I2380" i="2"/>
  <c r="E2380" i="2"/>
  <c r="P2379" i="2"/>
  <c r="O2379" i="2"/>
  <c r="Q2379" i="2" s="1"/>
  <c r="R2379" i="2" s="1"/>
  <c r="N2379" i="2"/>
  <c r="M2379" i="2"/>
  <c r="K2379" i="2"/>
  <c r="I2379" i="2"/>
  <c r="E2379" i="2"/>
  <c r="P2378" i="2"/>
  <c r="O2378" i="2"/>
  <c r="Q2378" i="2" s="1"/>
  <c r="R2378" i="2" s="1"/>
  <c r="N2378" i="2"/>
  <c r="M2378" i="2"/>
  <c r="K2378" i="2"/>
  <c r="I2378" i="2"/>
  <c r="E2378" i="2"/>
  <c r="P2377" i="2"/>
  <c r="O2377" i="2"/>
  <c r="Q2377" i="2" s="1"/>
  <c r="R2377" i="2" s="1"/>
  <c r="N2377" i="2"/>
  <c r="M2377" i="2"/>
  <c r="K2377" i="2"/>
  <c r="I2377" i="2"/>
  <c r="E2377" i="2"/>
  <c r="P2376" i="2"/>
  <c r="O2376" i="2"/>
  <c r="Q2376" i="2" s="1"/>
  <c r="R2376" i="2" s="1"/>
  <c r="N2376" i="2"/>
  <c r="M2376" i="2"/>
  <c r="K2376" i="2"/>
  <c r="I2376" i="2"/>
  <c r="E2376" i="2"/>
  <c r="P2375" i="2"/>
  <c r="O2375" i="2"/>
  <c r="Q2375" i="2" s="1"/>
  <c r="R2375" i="2" s="1"/>
  <c r="N2375" i="2"/>
  <c r="M2375" i="2"/>
  <c r="K2375" i="2"/>
  <c r="I2375" i="2"/>
  <c r="E2375" i="2"/>
  <c r="Q2374" i="2"/>
  <c r="R2374" i="2" s="1"/>
  <c r="P2374" i="2"/>
  <c r="O2374" i="2"/>
  <c r="N2374" i="2"/>
  <c r="M2374" i="2"/>
  <c r="K2374" i="2"/>
  <c r="I2374" i="2"/>
  <c r="E2374" i="2"/>
  <c r="P2373" i="2"/>
  <c r="O2373" i="2"/>
  <c r="Q2373" i="2" s="1"/>
  <c r="R2373" i="2" s="1"/>
  <c r="N2373" i="2"/>
  <c r="M2373" i="2"/>
  <c r="K2373" i="2"/>
  <c r="I2373" i="2"/>
  <c r="E2373" i="2"/>
  <c r="P2372" i="2"/>
  <c r="O2372" i="2"/>
  <c r="Q2372" i="2" s="1"/>
  <c r="R2372" i="2" s="1"/>
  <c r="N2372" i="2"/>
  <c r="M2372" i="2"/>
  <c r="K2372" i="2"/>
  <c r="I2372" i="2"/>
  <c r="E2372" i="2"/>
  <c r="P2371" i="2"/>
  <c r="O2371" i="2"/>
  <c r="Q2371" i="2" s="1"/>
  <c r="R2371" i="2" s="1"/>
  <c r="N2371" i="2"/>
  <c r="M2371" i="2"/>
  <c r="K2371" i="2"/>
  <c r="I2371" i="2"/>
  <c r="E2371" i="2"/>
  <c r="Q2370" i="2"/>
  <c r="R2370" i="2" s="1"/>
  <c r="P2370" i="2"/>
  <c r="O2370" i="2"/>
  <c r="N2370" i="2"/>
  <c r="M2370" i="2"/>
  <c r="K2370" i="2"/>
  <c r="I2370" i="2"/>
  <c r="E2370" i="2"/>
  <c r="P2369" i="2"/>
  <c r="O2369" i="2"/>
  <c r="Q2369" i="2" s="1"/>
  <c r="R2369" i="2" s="1"/>
  <c r="N2369" i="2"/>
  <c r="M2369" i="2"/>
  <c r="K2369" i="2"/>
  <c r="I2369" i="2"/>
  <c r="E2369" i="2"/>
  <c r="P2368" i="2"/>
  <c r="O2368" i="2"/>
  <c r="Q2368" i="2" s="1"/>
  <c r="R2368" i="2" s="1"/>
  <c r="N2368" i="2"/>
  <c r="M2368" i="2"/>
  <c r="K2368" i="2"/>
  <c r="I2368" i="2"/>
  <c r="E2368" i="2"/>
  <c r="P2367" i="2"/>
  <c r="O2367" i="2"/>
  <c r="Q2367" i="2" s="1"/>
  <c r="R2367" i="2" s="1"/>
  <c r="N2367" i="2"/>
  <c r="M2367" i="2"/>
  <c r="K2367" i="2"/>
  <c r="I2367" i="2"/>
  <c r="E2367" i="2"/>
  <c r="P2366" i="2"/>
  <c r="O2366" i="2"/>
  <c r="Q2366" i="2" s="1"/>
  <c r="R2366" i="2" s="1"/>
  <c r="N2366" i="2"/>
  <c r="M2366" i="2"/>
  <c r="K2366" i="2"/>
  <c r="I2366" i="2"/>
  <c r="E2366" i="2"/>
  <c r="P2365" i="2"/>
  <c r="O2365" i="2"/>
  <c r="Q2365" i="2" s="1"/>
  <c r="R2365" i="2" s="1"/>
  <c r="N2365" i="2"/>
  <c r="M2365" i="2"/>
  <c r="K2365" i="2"/>
  <c r="I2365" i="2"/>
  <c r="E2365" i="2"/>
  <c r="P2364" i="2"/>
  <c r="O2364" i="2"/>
  <c r="Q2364" i="2" s="1"/>
  <c r="R2364" i="2" s="1"/>
  <c r="N2364" i="2"/>
  <c r="M2364" i="2"/>
  <c r="K2364" i="2"/>
  <c r="I2364" i="2"/>
  <c r="E2364" i="2"/>
  <c r="P2363" i="2"/>
  <c r="O2363" i="2"/>
  <c r="Q2363" i="2" s="1"/>
  <c r="R2363" i="2" s="1"/>
  <c r="N2363" i="2"/>
  <c r="M2363" i="2"/>
  <c r="K2363" i="2"/>
  <c r="I2363" i="2"/>
  <c r="E2363" i="2"/>
  <c r="Q2362" i="2"/>
  <c r="R2362" i="2" s="1"/>
  <c r="P2362" i="2"/>
  <c r="O2362" i="2"/>
  <c r="N2362" i="2"/>
  <c r="M2362" i="2"/>
  <c r="K2362" i="2"/>
  <c r="I2362" i="2"/>
  <c r="E2362" i="2"/>
  <c r="P2361" i="2"/>
  <c r="O2361" i="2"/>
  <c r="Q2361" i="2" s="1"/>
  <c r="R2361" i="2" s="1"/>
  <c r="N2361" i="2"/>
  <c r="M2361" i="2"/>
  <c r="K2361" i="2"/>
  <c r="I2361" i="2"/>
  <c r="E2361" i="2"/>
  <c r="P2359" i="2"/>
  <c r="O2359" i="2"/>
  <c r="Q2359" i="2" s="1"/>
  <c r="R2359" i="2" s="1"/>
  <c r="N2359" i="2"/>
  <c r="M2359" i="2"/>
  <c r="K2359" i="2"/>
  <c r="I2359" i="2"/>
  <c r="E2359" i="2"/>
  <c r="P2358" i="2"/>
  <c r="O2358" i="2"/>
  <c r="Q2358" i="2" s="1"/>
  <c r="R2358" i="2" s="1"/>
  <c r="N2358" i="2"/>
  <c r="M2358" i="2"/>
  <c r="K2358" i="2"/>
  <c r="I2358" i="2"/>
  <c r="E2358" i="2"/>
  <c r="P2357" i="2"/>
  <c r="O2357" i="2"/>
  <c r="Q2357" i="2" s="1"/>
  <c r="R2357" i="2" s="1"/>
  <c r="N2357" i="2"/>
  <c r="M2357" i="2"/>
  <c r="K2357" i="2"/>
  <c r="I2357" i="2"/>
  <c r="E2357" i="2"/>
  <c r="P2356" i="2"/>
  <c r="O2356" i="2"/>
  <c r="Q2356" i="2" s="1"/>
  <c r="R2356" i="2" s="1"/>
  <c r="N2356" i="2"/>
  <c r="M2356" i="2"/>
  <c r="K2356" i="2"/>
  <c r="I2356" i="2"/>
  <c r="E2356" i="2"/>
  <c r="P2355" i="2"/>
  <c r="O2355" i="2"/>
  <c r="Q2355" i="2" s="1"/>
  <c r="R2355" i="2" s="1"/>
  <c r="N2355" i="2"/>
  <c r="M2355" i="2"/>
  <c r="K2355" i="2"/>
  <c r="I2355" i="2"/>
  <c r="E2355" i="2"/>
  <c r="P2354" i="2"/>
  <c r="O2354" i="2"/>
  <c r="Q2354" i="2" s="1"/>
  <c r="R2354" i="2" s="1"/>
  <c r="N2354" i="2"/>
  <c r="M2354" i="2"/>
  <c r="K2354" i="2"/>
  <c r="I2354" i="2"/>
  <c r="E2354" i="2"/>
  <c r="P2353" i="2"/>
  <c r="O2353" i="2"/>
  <c r="Q2353" i="2" s="1"/>
  <c r="R2353" i="2" s="1"/>
  <c r="N2353" i="2"/>
  <c r="M2353" i="2"/>
  <c r="K2353" i="2"/>
  <c r="I2353" i="2"/>
  <c r="E2353" i="2"/>
  <c r="P2352" i="2"/>
  <c r="O2352" i="2"/>
  <c r="Q2352" i="2" s="1"/>
  <c r="R2352" i="2" s="1"/>
  <c r="N2352" i="2"/>
  <c r="M2352" i="2"/>
  <c r="K2352" i="2"/>
  <c r="I2352" i="2"/>
  <c r="E2352" i="2"/>
  <c r="P2351" i="2"/>
  <c r="O2351" i="2"/>
  <c r="Q2351" i="2" s="1"/>
  <c r="R2351" i="2" s="1"/>
  <c r="N2351" i="2"/>
  <c r="M2351" i="2"/>
  <c r="K2351" i="2"/>
  <c r="I2351" i="2"/>
  <c r="E2351" i="2"/>
  <c r="P2350" i="2"/>
  <c r="O2350" i="2"/>
  <c r="Q2350" i="2" s="1"/>
  <c r="R2350" i="2" s="1"/>
  <c r="N2350" i="2"/>
  <c r="M2350" i="2"/>
  <c r="K2350" i="2"/>
  <c r="I2350" i="2"/>
  <c r="E2350" i="2"/>
  <c r="Q2349" i="2"/>
  <c r="R2349" i="2" s="1"/>
  <c r="P2349" i="2"/>
  <c r="O2349" i="2"/>
  <c r="N2349" i="2"/>
  <c r="M2349" i="2"/>
  <c r="K2349" i="2"/>
  <c r="I2349" i="2"/>
  <c r="E2349" i="2"/>
  <c r="P2348" i="2"/>
  <c r="O2348" i="2"/>
  <c r="Q2348" i="2" s="1"/>
  <c r="R2348" i="2" s="1"/>
  <c r="N2348" i="2"/>
  <c r="M2348" i="2"/>
  <c r="K2348" i="2"/>
  <c r="I2348" i="2"/>
  <c r="E2348" i="2"/>
  <c r="P2347" i="2"/>
  <c r="O2347" i="2"/>
  <c r="Q2347" i="2" s="1"/>
  <c r="R2347" i="2" s="1"/>
  <c r="N2347" i="2"/>
  <c r="M2347" i="2"/>
  <c r="K2347" i="2"/>
  <c r="I2347" i="2"/>
  <c r="E2347" i="2"/>
  <c r="P2346" i="2"/>
  <c r="O2346" i="2"/>
  <c r="Q2346" i="2" s="1"/>
  <c r="R2346" i="2" s="1"/>
  <c r="N2346" i="2"/>
  <c r="M2346" i="2"/>
  <c r="K2346" i="2"/>
  <c r="I2346" i="2"/>
  <c r="E2346" i="2"/>
  <c r="P2345" i="2"/>
  <c r="O2345" i="2"/>
  <c r="Q2345" i="2" s="1"/>
  <c r="R2345" i="2" s="1"/>
  <c r="N2345" i="2"/>
  <c r="M2345" i="2"/>
  <c r="K2345" i="2"/>
  <c r="I2345" i="2"/>
  <c r="E2345" i="2"/>
  <c r="P2344" i="2"/>
  <c r="O2344" i="2"/>
  <c r="Q2344" i="2" s="1"/>
  <c r="R2344" i="2" s="1"/>
  <c r="N2344" i="2"/>
  <c r="M2344" i="2"/>
  <c r="K2344" i="2"/>
  <c r="I2344" i="2"/>
  <c r="E2344" i="2"/>
  <c r="P2343" i="2"/>
  <c r="O2343" i="2"/>
  <c r="Q2343" i="2" s="1"/>
  <c r="R2343" i="2" s="1"/>
  <c r="N2343" i="2"/>
  <c r="M2343" i="2"/>
  <c r="K2343" i="2"/>
  <c r="I2343" i="2"/>
  <c r="E2343" i="2"/>
  <c r="P2342" i="2"/>
  <c r="O2342" i="2"/>
  <c r="Q2342" i="2" s="1"/>
  <c r="R2342" i="2" s="1"/>
  <c r="N2342" i="2"/>
  <c r="M2342" i="2"/>
  <c r="K2342" i="2"/>
  <c r="I2342" i="2"/>
  <c r="E2342" i="2"/>
  <c r="P2341" i="2"/>
  <c r="O2341" i="2"/>
  <c r="Q2341" i="2" s="1"/>
  <c r="R2341" i="2" s="1"/>
  <c r="N2341" i="2"/>
  <c r="M2341" i="2"/>
  <c r="K2341" i="2"/>
  <c r="I2341" i="2"/>
  <c r="E2341" i="2"/>
  <c r="P2340" i="2"/>
  <c r="O2340" i="2"/>
  <c r="Q2340" i="2" s="1"/>
  <c r="R2340" i="2" s="1"/>
  <c r="N2340" i="2"/>
  <c r="M2340" i="2"/>
  <c r="K2340" i="2"/>
  <c r="I2340" i="2"/>
  <c r="E2340" i="2"/>
  <c r="P2339" i="2"/>
  <c r="O2339" i="2"/>
  <c r="Q2339" i="2" s="1"/>
  <c r="R2339" i="2" s="1"/>
  <c r="N2339" i="2"/>
  <c r="M2339" i="2"/>
  <c r="K2339" i="2"/>
  <c r="I2339" i="2"/>
  <c r="E2339" i="2"/>
  <c r="P2337" i="2"/>
  <c r="O2337" i="2"/>
  <c r="Q2337" i="2" s="1"/>
  <c r="R2337" i="2" s="1"/>
  <c r="N2337" i="2"/>
  <c r="M2337" i="2"/>
  <c r="K2337" i="2"/>
  <c r="I2337" i="2"/>
  <c r="E2337" i="2"/>
  <c r="Q2336" i="2"/>
  <c r="R2336" i="2" s="1"/>
  <c r="P2336" i="2"/>
  <c r="O2336" i="2"/>
  <c r="N2336" i="2"/>
  <c r="M2336" i="2"/>
  <c r="K2336" i="2"/>
  <c r="I2336" i="2"/>
  <c r="E2336" i="2"/>
  <c r="P2335" i="2"/>
  <c r="O2335" i="2"/>
  <c r="Q2335" i="2" s="1"/>
  <c r="R2335" i="2" s="1"/>
  <c r="N2335" i="2"/>
  <c r="M2335" i="2"/>
  <c r="K2335" i="2"/>
  <c r="I2335" i="2"/>
  <c r="E2335" i="2"/>
  <c r="P2334" i="2"/>
  <c r="O2334" i="2"/>
  <c r="Q2334" i="2" s="1"/>
  <c r="R2334" i="2" s="1"/>
  <c r="N2334" i="2"/>
  <c r="M2334" i="2"/>
  <c r="K2334" i="2"/>
  <c r="I2334" i="2"/>
  <c r="E2334" i="2"/>
  <c r="P2333" i="2"/>
  <c r="O2333" i="2"/>
  <c r="Q2333" i="2" s="1"/>
  <c r="R2333" i="2" s="1"/>
  <c r="N2333" i="2"/>
  <c r="M2333" i="2"/>
  <c r="K2333" i="2"/>
  <c r="I2333" i="2"/>
  <c r="E2333" i="2"/>
  <c r="Q2332" i="2"/>
  <c r="R2332" i="2" s="1"/>
  <c r="P2332" i="2"/>
  <c r="O2332" i="2"/>
  <c r="N2332" i="2"/>
  <c r="M2332" i="2"/>
  <c r="K2332" i="2"/>
  <c r="I2332" i="2"/>
  <c r="E2332" i="2"/>
  <c r="P2331" i="2"/>
  <c r="O2331" i="2"/>
  <c r="Q2331" i="2" s="1"/>
  <c r="R2331" i="2" s="1"/>
  <c r="N2331" i="2"/>
  <c r="M2331" i="2"/>
  <c r="K2331" i="2"/>
  <c r="I2331" i="2"/>
  <c r="E2331" i="2"/>
  <c r="P2330" i="2"/>
  <c r="O2330" i="2"/>
  <c r="Q2330" i="2" s="1"/>
  <c r="R2330" i="2" s="1"/>
  <c r="N2330" i="2"/>
  <c r="M2330" i="2"/>
  <c r="K2330" i="2"/>
  <c r="I2330" i="2"/>
  <c r="E2330" i="2"/>
  <c r="P2329" i="2"/>
  <c r="O2329" i="2"/>
  <c r="Q2329" i="2" s="1"/>
  <c r="R2329" i="2" s="1"/>
  <c r="N2329" i="2"/>
  <c r="M2329" i="2"/>
  <c r="K2329" i="2"/>
  <c r="I2329" i="2"/>
  <c r="E2329" i="2"/>
  <c r="P2328" i="2"/>
  <c r="O2328" i="2"/>
  <c r="Q2328" i="2" s="1"/>
  <c r="R2328" i="2" s="1"/>
  <c r="N2328" i="2"/>
  <c r="M2328" i="2"/>
  <c r="K2328" i="2"/>
  <c r="I2328" i="2"/>
  <c r="E2328" i="2"/>
  <c r="P2327" i="2"/>
  <c r="O2327" i="2"/>
  <c r="Q2327" i="2" s="1"/>
  <c r="R2327" i="2" s="1"/>
  <c r="N2327" i="2"/>
  <c r="M2327" i="2"/>
  <c r="K2327" i="2"/>
  <c r="I2327" i="2"/>
  <c r="E2327" i="2"/>
  <c r="P2326" i="2"/>
  <c r="O2326" i="2"/>
  <c r="Q2326" i="2" s="1"/>
  <c r="R2326" i="2" s="1"/>
  <c r="N2326" i="2"/>
  <c r="M2326" i="2"/>
  <c r="K2326" i="2"/>
  <c r="I2326" i="2"/>
  <c r="E2326" i="2"/>
  <c r="P2325" i="2"/>
  <c r="O2325" i="2"/>
  <c r="Q2325" i="2" s="1"/>
  <c r="R2325" i="2" s="1"/>
  <c r="N2325" i="2"/>
  <c r="M2325" i="2"/>
  <c r="K2325" i="2"/>
  <c r="I2325" i="2"/>
  <c r="E2325" i="2"/>
  <c r="Q2324" i="2"/>
  <c r="R2324" i="2" s="1"/>
  <c r="P2324" i="2"/>
  <c r="O2324" i="2"/>
  <c r="N2324" i="2"/>
  <c r="M2324" i="2"/>
  <c r="K2324" i="2"/>
  <c r="I2324" i="2"/>
  <c r="E2324" i="2"/>
  <c r="P2323" i="2"/>
  <c r="O2323" i="2"/>
  <c r="Q2323" i="2" s="1"/>
  <c r="R2323" i="2" s="1"/>
  <c r="N2323" i="2"/>
  <c r="M2323" i="2"/>
  <c r="K2323" i="2"/>
  <c r="I2323" i="2"/>
  <c r="E2323" i="2"/>
  <c r="P2322" i="2"/>
  <c r="O2322" i="2"/>
  <c r="Q2322" i="2" s="1"/>
  <c r="R2322" i="2" s="1"/>
  <c r="N2322" i="2"/>
  <c r="M2322" i="2"/>
  <c r="K2322" i="2"/>
  <c r="I2322" i="2"/>
  <c r="E2322" i="2"/>
  <c r="P2321" i="2"/>
  <c r="O2321" i="2"/>
  <c r="Q2321" i="2" s="1"/>
  <c r="R2321" i="2" s="1"/>
  <c r="N2321" i="2"/>
  <c r="M2321" i="2"/>
  <c r="K2321" i="2"/>
  <c r="I2321" i="2"/>
  <c r="E2321" i="2"/>
  <c r="Q2320" i="2"/>
  <c r="R2320" i="2" s="1"/>
  <c r="P2320" i="2"/>
  <c r="O2320" i="2"/>
  <c r="N2320" i="2"/>
  <c r="M2320" i="2"/>
  <c r="K2320" i="2"/>
  <c r="I2320" i="2"/>
  <c r="E2320" i="2"/>
  <c r="P2319" i="2"/>
  <c r="O2319" i="2"/>
  <c r="Q2319" i="2" s="1"/>
  <c r="R2319" i="2" s="1"/>
  <c r="N2319" i="2"/>
  <c r="M2319" i="2"/>
  <c r="K2319" i="2"/>
  <c r="I2319" i="2"/>
  <c r="E2319" i="2"/>
  <c r="P2318" i="2"/>
  <c r="O2318" i="2"/>
  <c r="Q2318" i="2" s="1"/>
  <c r="R2318" i="2" s="1"/>
  <c r="N2318" i="2"/>
  <c r="M2318" i="2"/>
  <c r="K2318" i="2"/>
  <c r="I2318" i="2"/>
  <c r="E2318" i="2"/>
  <c r="P2317" i="2"/>
  <c r="O2317" i="2"/>
  <c r="Q2317" i="2" s="1"/>
  <c r="R2317" i="2" s="1"/>
  <c r="N2317" i="2"/>
  <c r="M2317" i="2"/>
  <c r="K2317" i="2"/>
  <c r="I2317" i="2"/>
  <c r="E2317" i="2"/>
  <c r="P2316" i="2"/>
  <c r="O2316" i="2"/>
  <c r="Q2316" i="2" s="1"/>
  <c r="R2316" i="2" s="1"/>
  <c r="N2316" i="2"/>
  <c r="M2316" i="2"/>
  <c r="K2316" i="2"/>
  <c r="I2316" i="2"/>
  <c r="E2316" i="2"/>
  <c r="P2315" i="2"/>
  <c r="O2315" i="2"/>
  <c r="Q2315" i="2" s="1"/>
  <c r="R2315" i="2" s="1"/>
  <c r="N2315" i="2"/>
  <c r="M2315" i="2"/>
  <c r="K2315" i="2"/>
  <c r="I2315" i="2"/>
  <c r="E2315" i="2"/>
  <c r="P2314" i="2"/>
  <c r="O2314" i="2"/>
  <c r="Q2314" i="2" s="1"/>
  <c r="R2314" i="2" s="1"/>
  <c r="N2314" i="2"/>
  <c r="M2314" i="2"/>
  <c r="K2314" i="2"/>
  <c r="I2314" i="2"/>
  <c r="E2314" i="2"/>
  <c r="P2313" i="2"/>
  <c r="O2313" i="2"/>
  <c r="Q2313" i="2" s="1"/>
  <c r="R2313" i="2" s="1"/>
  <c r="N2313" i="2"/>
  <c r="M2313" i="2"/>
  <c r="K2313" i="2"/>
  <c r="I2313" i="2"/>
  <c r="E2313" i="2"/>
  <c r="Q2312" i="2"/>
  <c r="R2312" i="2" s="1"/>
  <c r="P2312" i="2"/>
  <c r="O2312" i="2"/>
  <c r="N2312" i="2"/>
  <c r="M2312" i="2"/>
  <c r="K2312" i="2"/>
  <c r="I2312" i="2"/>
  <c r="E2312" i="2"/>
  <c r="P2311" i="2"/>
  <c r="O2311" i="2"/>
  <c r="Q2311" i="2" s="1"/>
  <c r="R2311" i="2" s="1"/>
  <c r="N2311" i="2"/>
  <c r="M2311" i="2"/>
  <c r="K2311" i="2"/>
  <c r="I2311" i="2"/>
  <c r="E2311" i="2"/>
  <c r="P2310" i="2"/>
  <c r="O2310" i="2"/>
  <c r="Q2310" i="2" s="1"/>
  <c r="R2310" i="2" s="1"/>
  <c r="N2310" i="2"/>
  <c r="M2310" i="2"/>
  <c r="K2310" i="2"/>
  <c r="I2310" i="2"/>
  <c r="E2310" i="2"/>
  <c r="P2309" i="2"/>
  <c r="O2309" i="2"/>
  <c r="Q2309" i="2" s="1"/>
  <c r="R2309" i="2" s="1"/>
  <c r="N2309" i="2"/>
  <c r="M2309" i="2"/>
  <c r="K2309" i="2"/>
  <c r="I2309" i="2"/>
  <c r="E2309" i="2"/>
  <c r="P2308" i="2"/>
  <c r="O2308" i="2"/>
  <c r="Q2308" i="2" s="1"/>
  <c r="R2308" i="2" s="1"/>
  <c r="N2308" i="2"/>
  <c r="M2308" i="2"/>
  <c r="K2308" i="2"/>
  <c r="I2308" i="2"/>
  <c r="E2308" i="2"/>
  <c r="P2307" i="2"/>
  <c r="O2307" i="2"/>
  <c r="Q2307" i="2" s="1"/>
  <c r="R2307" i="2" s="1"/>
  <c r="N2307" i="2"/>
  <c r="M2307" i="2"/>
  <c r="K2307" i="2"/>
  <c r="I2307" i="2"/>
  <c r="E2307" i="2"/>
  <c r="P2306" i="2"/>
  <c r="O2306" i="2"/>
  <c r="Q2306" i="2" s="1"/>
  <c r="R2306" i="2" s="1"/>
  <c r="N2306" i="2"/>
  <c r="M2306" i="2"/>
  <c r="K2306" i="2"/>
  <c r="I2306" i="2"/>
  <c r="E2306" i="2"/>
  <c r="P2305" i="2"/>
  <c r="O2305" i="2"/>
  <c r="Q2305" i="2" s="1"/>
  <c r="R2305" i="2" s="1"/>
  <c r="N2305" i="2"/>
  <c r="M2305" i="2"/>
  <c r="K2305" i="2"/>
  <c r="I2305" i="2"/>
  <c r="E2305" i="2"/>
  <c r="P2304" i="2"/>
  <c r="O2304" i="2"/>
  <c r="Q2304" i="2" s="1"/>
  <c r="R2304" i="2" s="1"/>
  <c r="N2304" i="2"/>
  <c r="M2304" i="2"/>
  <c r="K2304" i="2"/>
  <c r="I2304" i="2"/>
  <c r="E2304" i="2"/>
  <c r="P2303" i="2"/>
  <c r="O2303" i="2"/>
  <c r="Q2303" i="2" s="1"/>
  <c r="R2303" i="2" s="1"/>
  <c r="N2303" i="2"/>
  <c r="M2303" i="2"/>
  <c r="K2303" i="2"/>
  <c r="I2303" i="2"/>
  <c r="E2303" i="2"/>
  <c r="P2302" i="2"/>
  <c r="O2302" i="2"/>
  <c r="Q2302" i="2" s="1"/>
  <c r="R2302" i="2" s="1"/>
  <c r="N2302" i="2"/>
  <c r="M2302" i="2"/>
  <c r="K2302" i="2"/>
  <c r="I2302" i="2"/>
  <c r="E2302" i="2"/>
  <c r="P2301" i="2"/>
  <c r="O2301" i="2"/>
  <c r="Q2301" i="2" s="1"/>
  <c r="R2301" i="2" s="1"/>
  <c r="N2301" i="2"/>
  <c r="M2301" i="2"/>
  <c r="K2301" i="2"/>
  <c r="I2301" i="2"/>
  <c r="E2301" i="2"/>
  <c r="Q2300" i="2"/>
  <c r="R2300" i="2" s="1"/>
  <c r="P2300" i="2"/>
  <c r="O2300" i="2"/>
  <c r="N2300" i="2"/>
  <c r="M2300" i="2"/>
  <c r="K2300" i="2"/>
  <c r="I2300" i="2"/>
  <c r="E2300" i="2"/>
  <c r="P2299" i="2"/>
  <c r="O2299" i="2"/>
  <c r="Q2299" i="2" s="1"/>
  <c r="R2299" i="2" s="1"/>
  <c r="N2299" i="2"/>
  <c r="M2299" i="2"/>
  <c r="K2299" i="2"/>
  <c r="I2299" i="2"/>
  <c r="E2299" i="2"/>
  <c r="P2298" i="2"/>
  <c r="O2298" i="2"/>
  <c r="Q2298" i="2" s="1"/>
  <c r="R2298" i="2" s="1"/>
  <c r="N2298" i="2"/>
  <c r="M2298" i="2"/>
  <c r="K2298" i="2"/>
  <c r="I2298" i="2"/>
  <c r="E2298" i="2"/>
  <c r="P2297" i="2"/>
  <c r="O2297" i="2"/>
  <c r="Q2297" i="2" s="1"/>
  <c r="R2297" i="2" s="1"/>
  <c r="N2297" i="2"/>
  <c r="M2297" i="2"/>
  <c r="K2297" i="2"/>
  <c r="I2297" i="2"/>
  <c r="E2297" i="2"/>
  <c r="P2296" i="2"/>
  <c r="O2296" i="2"/>
  <c r="Q2296" i="2" s="1"/>
  <c r="R2296" i="2" s="1"/>
  <c r="N2296" i="2"/>
  <c r="M2296" i="2"/>
  <c r="K2296" i="2"/>
  <c r="I2296" i="2"/>
  <c r="E2296" i="2"/>
  <c r="P2295" i="2"/>
  <c r="O2295" i="2"/>
  <c r="Q2295" i="2" s="1"/>
  <c r="R2295" i="2" s="1"/>
  <c r="N2295" i="2"/>
  <c r="M2295" i="2"/>
  <c r="K2295" i="2"/>
  <c r="I2295" i="2"/>
  <c r="E2295" i="2"/>
  <c r="P2294" i="2"/>
  <c r="O2294" i="2"/>
  <c r="Q2294" i="2" s="1"/>
  <c r="R2294" i="2" s="1"/>
  <c r="N2294" i="2"/>
  <c r="M2294" i="2"/>
  <c r="K2294" i="2"/>
  <c r="I2294" i="2"/>
  <c r="E2294" i="2"/>
  <c r="P2293" i="2"/>
  <c r="O2293" i="2"/>
  <c r="Q2293" i="2" s="1"/>
  <c r="R2293" i="2" s="1"/>
  <c r="N2293" i="2"/>
  <c r="M2293" i="2"/>
  <c r="K2293" i="2"/>
  <c r="I2293" i="2"/>
  <c r="E2293" i="2"/>
  <c r="P2292" i="2"/>
  <c r="O2292" i="2"/>
  <c r="Q2292" i="2" s="1"/>
  <c r="R2292" i="2" s="1"/>
  <c r="N2292" i="2"/>
  <c r="M2292" i="2"/>
  <c r="K2292" i="2"/>
  <c r="I2292" i="2"/>
  <c r="E2292" i="2"/>
  <c r="P2291" i="2"/>
  <c r="O2291" i="2"/>
  <c r="Q2291" i="2" s="1"/>
  <c r="R2291" i="2" s="1"/>
  <c r="N2291" i="2"/>
  <c r="M2291" i="2"/>
  <c r="K2291" i="2"/>
  <c r="I2291" i="2"/>
  <c r="E2291" i="2"/>
  <c r="P2290" i="2"/>
  <c r="O2290" i="2"/>
  <c r="Q2290" i="2" s="1"/>
  <c r="R2290" i="2" s="1"/>
  <c r="N2290" i="2"/>
  <c r="M2290" i="2"/>
  <c r="K2290" i="2"/>
  <c r="I2290" i="2"/>
  <c r="E2290" i="2"/>
  <c r="P2289" i="2"/>
  <c r="O2289" i="2"/>
  <c r="Q2289" i="2" s="1"/>
  <c r="R2289" i="2" s="1"/>
  <c r="N2289" i="2"/>
  <c r="M2289" i="2"/>
  <c r="K2289" i="2"/>
  <c r="I2289" i="2"/>
  <c r="E2289" i="2"/>
  <c r="Q2288" i="2"/>
  <c r="R2288" i="2" s="1"/>
  <c r="P2288" i="2"/>
  <c r="O2288" i="2"/>
  <c r="N2288" i="2"/>
  <c r="M2288" i="2"/>
  <c r="K2288" i="2"/>
  <c r="I2288" i="2"/>
  <c r="E2288" i="2"/>
  <c r="P2287" i="2"/>
  <c r="O2287" i="2"/>
  <c r="Q2287" i="2" s="1"/>
  <c r="R2287" i="2" s="1"/>
  <c r="N2287" i="2"/>
  <c r="M2287" i="2"/>
  <c r="K2287" i="2"/>
  <c r="I2287" i="2"/>
  <c r="E2287" i="2"/>
  <c r="P2286" i="2"/>
  <c r="O2286" i="2"/>
  <c r="Q2286" i="2" s="1"/>
  <c r="R2286" i="2" s="1"/>
  <c r="N2286" i="2"/>
  <c r="M2286" i="2"/>
  <c r="K2286" i="2"/>
  <c r="I2286" i="2"/>
  <c r="E2286" i="2"/>
  <c r="P2285" i="2"/>
  <c r="O2285" i="2"/>
  <c r="Q2285" i="2" s="1"/>
  <c r="R2285" i="2" s="1"/>
  <c r="N2285" i="2"/>
  <c r="M2285" i="2"/>
  <c r="K2285" i="2"/>
  <c r="I2285" i="2"/>
  <c r="E2285" i="2"/>
  <c r="Q2284" i="2"/>
  <c r="R2284" i="2" s="1"/>
  <c r="P2284" i="2"/>
  <c r="O2284" i="2"/>
  <c r="N2284" i="2"/>
  <c r="M2284" i="2"/>
  <c r="K2284" i="2"/>
  <c r="I2284" i="2"/>
  <c r="E2284" i="2"/>
  <c r="P2283" i="2"/>
  <c r="O2283" i="2"/>
  <c r="Q2283" i="2" s="1"/>
  <c r="R2283" i="2" s="1"/>
  <c r="N2283" i="2"/>
  <c r="M2283" i="2"/>
  <c r="K2283" i="2"/>
  <c r="I2283" i="2"/>
  <c r="E2283" i="2"/>
  <c r="P2282" i="2"/>
  <c r="O2282" i="2"/>
  <c r="Q2282" i="2" s="1"/>
  <c r="R2282" i="2" s="1"/>
  <c r="N2282" i="2"/>
  <c r="M2282" i="2"/>
  <c r="K2282" i="2"/>
  <c r="I2282" i="2"/>
  <c r="E2282" i="2"/>
  <c r="P2281" i="2"/>
  <c r="O2281" i="2"/>
  <c r="Q2281" i="2" s="1"/>
  <c r="R2281" i="2" s="1"/>
  <c r="N2281" i="2"/>
  <c r="M2281" i="2"/>
  <c r="K2281" i="2"/>
  <c r="I2281" i="2"/>
  <c r="E2281" i="2"/>
  <c r="P2280" i="2"/>
  <c r="O2280" i="2"/>
  <c r="Q2280" i="2" s="1"/>
  <c r="R2280" i="2" s="1"/>
  <c r="N2280" i="2"/>
  <c r="M2280" i="2"/>
  <c r="K2280" i="2"/>
  <c r="I2280" i="2"/>
  <c r="E2280" i="2"/>
  <c r="P2279" i="2"/>
  <c r="O2279" i="2"/>
  <c r="Q2279" i="2" s="1"/>
  <c r="R2279" i="2" s="1"/>
  <c r="N2279" i="2"/>
  <c r="M2279" i="2"/>
  <c r="K2279" i="2"/>
  <c r="I2279" i="2"/>
  <c r="E2279" i="2"/>
  <c r="P2278" i="2"/>
  <c r="O2278" i="2"/>
  <c r="Q2278" i="2" s="1"/>
  <c r="R2278" i="2" s="1"/>
  <c r="N2278" i="2"/>
  <c r="M2278" i="2"/>
  <c r="K2278" i="2"/>
  <c r="I2278" i="2"/>
  <c r="E2278" i="2"/>
  <c r="P2277" i="2"/>
  <c r="O2277" i="2"/>
  <c r="Q2277" i="2" s="1"/>
  <c r="R2277" i="2" s="1"/>
  <c r="N2277" i="2"/>
  <c r="M2277" i="2"/>
  <c r="K2277" i="2"/>
  <c r="I2277" i="2"/>
  <c r="E2277" i="2"/>
  <c r="Q2276" i="2"/>
  <c r="R2276" i="2" s="1"/>
  <c r="P2276" i="2"/>
  <c r="O2276" i="2"/>
  <c r="N2276" i="2"/>
  <c r="M2276" i="2"/>
  <c r="K2276" i="2"/>
  <c r="I2276" i="2"/>
  <c r="E2276" i="2"/>
  <c r="P2275" i="2"/>
  <c r="O2275" i="2"/>
  <c r="Q2275" i="2" s="1"/>
  <c r="R2275" i="2" s="1"/>
  <c r="N2275" i="2"/>
  <c r="M2275" i="2"/>
  <c r="K2275" i="2"/>
  <c r="I2275" i="2"/>
  <c r="E2275" i="2"/>
  <c r="P2274" i="2"/>
  <c r="O2274" i="2"/>
  <c r="Q2274" i="2" s="1"/>
  <c r="R2274" i="2" s="1"/>
  <c r="N2274" i="2"/>
  <c r="M2274" i="2"/>
  <c r="K2274" i="2"/>
  <c r="I2274" i="2"/>
  <c r="E2274" i="2"/>
  <c r="P2273" i="2"/>
  <c r="O2273" i="2"/>
  <c r="Q2273" i="2" s="1"/>
  <c r="R2273" i="2" s="1"/>
  <c r="N2273" i="2"/>
  <c r="M2273" i="2"/>
  <c r="K2273" i="2"/>
  <c r="I2273" i="2"/>
  <c r="E2273" i="2"/>
  <c r="Q2272" i="2"/>
  <c r="R2272" i="2" s="1"/>
  <c r="P2272" i="2"/>
  <c r="O2272" i="2"/>
  <c r="N2272" i="2"/>
  <c r="M2272" i="2"/>
  <c r="K2272" i="2"/>
  <c r="I2272" i="2"/>
  <c r="E2272" i="2"/>
  <c r="P2271" i="2"/>
  <c r="O2271" i="2"/>
  <c r="Q2271" i="2" s="1"/>
  <c r="R2271" i="2" s="1"/>
  <c r="N2271" i="2"/>
  <c r="M2271" i="2"/>
  <c r="K2271" i="2"/>
  <c r="I2271" i="2"/>
  <c r="E2271" i="2"/>
  <c r="P2270" i="2"/>
  <c r="O2270" i="2"/>
  <c r="Q2270" i="2" s="1"/>
  <c r="R2270" i="2" s="1"/>
  <c r="N2270" i="2"/>
  <c r="M2270" i="2"/>
  <c r="K2270" i="2"/>
  <c r="I2270" i="2"/>
  <c r="E2270" i="2"/>
  <c r="P2269" i="2"/>
  <c r="O2269" i="2"/>
  <c r="Q2269" i="2" s="1"/>
  <c r="R2269" i="2" s="1"/>
  <c r="N2269" i="2"/>
  <c r="M2269" i="2"/>
  <c r="K2269" i="2"/>
  <c r="I2269" i="2"/>
  <c r="E2269" i="2"/>
  <c r="P2268" i="2"/>
  <c r="O2268" i="2"/>
  <c r="Q2268" i="2" s="1"/>
  <c r="R2268" i="2" s="1"/>
  <c r="N2268" i="2"/>
  <c r="M2268" i="2"/>
  <c r="K2268" i="2"/>
  <c r="I2268" i="2"/>
  <c r="E2268" i="2"/>
  <c r="P2267" i="2"/>
  <c r="O2267" i="2"/>
  <c r="Q2267" i="2" s="1"/>
  <c r="R2267" i="2" s="1"/>
  <c r="N2267" i="2"/>
  <c r="M2267" i="2"/>
  <c r="K2267" i="2"/>
  <c r="I2267" i="2"/>
  <c r="E2267" i="2"/>
  <c r="P2266" i="2"/>
  <c r="O2266" i="2"/>
  <c r="Q2266" i="2" s="1"/>
  <c r="R2266" i="2" s="1"/>
  <c r="N2266" i="2"/>
  <c r="M2266" i="2"/>
  <c r="K2266" i="2"/>
  <c r="I2266" i="2"/>
  <c r="E2266" i="2"/>
  <c r="P2265" i="2"/>
  <c r="O2265" i="2"/>
  <c r="Q2265" i="2" s="1"/>
  <c r="R2265" i="2" s="1"/>
  <c r="N2265" i="2"/>
  <c r="M2265" i="2"/>
  <c r="K2265" i="2"/>
  <c r="I2265" i="2"/>
  <c r="E2265" i="2"/>
  <c r="P2264" i="2"/>
  <c r="O2264" i="2"/>
  <c r="Q2264" i="2" s="1"/>
  <c r="R2264" i="2" s="1"/>
  <c r="N2264" i="2"/>
  <c r="M2264" i="2"/>
  <c r="K2264" i="2"/>
  <c r="I2264" i="2"/>
  <c r="E2264" i="2"/>
  <c r="R2263" i="2"/>
  <c r="P2263" i="2"/>
  <c r="O2263" i="2"/>
  <c r="Q2263" i="2" s="1"/>
  <c r="N2263" i="2"/>
  <c r="M2263" i="2"/>
  <c r="K2263" i="2"/>
  <c r="I2263" i="2"/>
  <c r="E2263" i="2"/>
  <c r="P2262" i="2"/>
  <c r="O2262" i="2"/>
  <c r="Q2262" i="2" s="1"/>
  <c r="R2262" i="2" s="1"/>
  <c r="N2262" i="2"/>
  <c r="M2262" i="2"/>
  <c r="K2262" i="2"/>
  <c r="I2262" i="2"/>
  <c r="E2262" i="2"/>
  <c r="P2261" i="2"/>
  <c r="O2261" i="2"/>
  <c r="Q2261" i="2" s="1"/>
  <c r="R2261" i="2" s="1"/>
  <c r="N2261" i="2"/>
  <c r="M2261" i="2"/>
  <c r="K2261" i="2"/>
  <c r="I2261" i="2"/>
  <c r="E2261" i="2"/>
  <c r="P2260" i="2"/>
  <c r="O2260" i="2"/>
  <c r="Q2260" i="2" s="1"/>
  <c r="R2260" i="2" s="1"/>
  <c r="N2260" i="2"/>
  <c r="M2260" i="2"/>
  <c r="K2260" i="2"/>
  <c r="I2260" i="2"/>
  <c r="E2260" i="2"/>
  <c r="R2259" i="2"/>
  <c r="P2259" i="2"/>
  <c r="O2259" i="2"/>
  <c r="Q2259" i="2" s="1"/>
  <c r="N2259" i="2"/>
  <c r="M2259" i="2"/>
  <c r="K2259" i="2"/>
  <c r="I2259" i="2"/>
  <c r="E2259" i="2"/>
  <c r="R2258" i="2"/>
  <c r="P2258" i="2"/>
  <c r="O2258" i="2"/>
  <c r="Q2258" i="2" s="1"/>
  <c r="N2258" i="2"/>
  <c r="M2258" i="2"/>
  <c r="K2258" i="2"/>
  <c r="I2258" i="2"/>
  <c r="E2258" i="2"/>
  <c r="P2257" i="2"/>
  <c r="O2257" i="2"/>
  <c r="Q2257" i="2" s="1"/>
  <c r="R2257" i="2" s="1"/>
  <c r="N2257" i="2"/>
  <c r="M2257" i="2"/>
  <c r="K2257" i="2"/>
  <c r="I2257" i="2"/>
  <c r="E2257" i="2"/>
  <c r="Q2256" i="2"/>
  <c r="R2256" i="2" s="1"/>
  <c r="P2256" i="2"/>
  <c r="O2256" i="2"/>
  <c r="N2256" i="2"/>
  <c r="M2256" i="2"/>
  <c r="K2256" i="2"/>
  <c r="I2256" i="2"/>
  <c r="E2256" i="2"/>
  <c r="P2255" i="2"/>
  <c r="O2255" i="2"/>
  <c r="Q2255" i="2" s="1"/>
  <c r="R2255" i="2" s="1"/>
  <c r="N2255" i="2"/>
  <c r="M2255" i="2"/>
  <c r="K2255" i="2"/>
  <c r="I2255" i="2"/>
  <c r="E2255" i="2"/>
  <c r="P2254" i="2"/>
  <c r="O2254" i="2"/>
  <c r="Q2254" i="2" s="1"/>
  <c r="R2254" i="2" s="1"/>
  <c r="N2254" i="2"/>
  <c r="M2254" i="2"/>
  <c r="K2254" i="2"/>
  <c r="I2254" i="2"/>
  <c r="E2254" i="2"/>
  <c r="P2253" i="2"/>
  <c r="O2253" i="2"/>
  <c r="Q2253" i="2" s="1"/>
  <c r="R2253" i="2" s="1"/>
  <c r="N2253" i="2"/>
  <c r="M2253" i="2"/>
  <c r="K2253" i="2"/>
  <c r="I2253" i="2"/>
  <c r="E2253" i="2"/>
  <c r="P2251" i="2"/>
  <c r="O2251" i="2"/>
  <c r="Q2251" i="2" s="1"/>
  <c r="R2251" i="2" s="1"/>
  <c r="N2251" i="2"/>
  <c r="M2251" i="2"/>
  <c r="K2251" i="2"/>
  <c r="I2251" i="2"/>
  <c r="E2251" i="2"/>
  <c r="P2250" i="2"/>
  <c r="O2250" i="2"/>
  <c r="Q2250" i="2" s="1"/>
  <c r="R2250" i="2" s="1"/>
  <c r="N2250" i="2"/>
  <c r="M2250" i="2"/>
  <c r="K2250" i="2"/>
  <c r="I2250" i="2"/>
  <c r="E2250" i="2"/>
  <c r="P2249" i="2"/>
  <c r="O2249" i="2"/>
  <c r="Q2249" i="2" s="1"/>
  <c r="R2249" i="2" s="1"/>
  <c r="N2249" i="2"/>
  <c r="M2249" i="2"/>
  <c r="K2249" i="2"/>
  <c r="I2249" i="2"/>
  <c r="E2249" i="2"/>
  <c r="P2248" i="2"/>
  <c r="O2248" i="2"/>
  <c r="Q2248" i="2" s="1"/>
  <c r="R2248" i="2" s="1"/>
  <c r="N2248" i="2"/>
  <c r="M2248" i="2"/>
  <c r="K2248" i="2"/>
  <c r="I2248" i="2"/>
  <c r="E2248" i="2"/>
  <c r="Q2247" i="2"/>
  <c r="R2247" i="2" s="1"/>
  <c r="P2247" i="2"/>
  <c r="O2247" i="2"/>
  <c r="N2247" i="2"/>
  <c r="M2247" i="2"/>
  <c r="K2247" i="2"/>
  <c r="I2247" i="2"/>
  <c r="E2247" i="2"/>
  <c r="P2246" i="2"/>
  <c r="O2246" i="2"/>
  <c r="Q2246" i="2" s="1"/>
  <c r="R2246" i="2" s="1"/>
  <c r="N2246" i="2"/>
  <c r="M2246" i="2"/>
  <c r="K2246" i="2"/>
  <c r="I2246" i="2"/>
  <c r="E2246" i="2"/>
  <c r="R2245" i="2"/>
  <c r="P2245" i="2"/>
  <c r="O2245" i="2"/>
  <c r="Q2245" i="2" s="1"/>
  <c r="N2245" i="2"/>
  <c r="M2245" i="2"/>
  <c r="K2245" i="2"/>
  <c r="I2245" i="2"/>
  <c r="E2245" i="2"/>
  <c r="P2244" i="2"/>
  <c r="O2244" i="2"/>
  <c r="Q2244" i="2" s="1"/>
  <c r="R2244" i="2" s="1"/>
  <c r="N2244" i="2"/>
  <c r="M2244" i="2"/>
  <c r="K2244" i="2"/>
  <c r="I2244" i="2"/>
  <c r="E2244" i="2"/>
  <c r="Q2243" i="2"/>
  <c r="R2243" i="2" s="1"/>
  <c r="P2243" i="2"/>
  <c r="O2243" i="2"/>
  <c r="N2243" i="2"/>
  <c r="M2243" i="2"/>
  <c r="K2243" i="2"/>
  <c r="I2243" i="2"/>
  <c r="E2243" i="2"/>
  <c r="P2242" i="2"/>
  <c r="O2242" i="2"/>
  <c r="Q2242" i="2" s="1"/>
  <c r="R2242" i="2" s="1"/>
  <c r="N2242" i="2"/>
  <c r="M2242" i="2"/>
  <c r="K2242" i="2"/>
  <c r="I2242" i="2"/>
  <c r="E2242" i="2"/>
  <c r="R2241" i="2"/>
  <c r="P2241" i="2"/>
  <c r="O2241" i="2"/>
  <c r="Q2241" i="2" s="1"/>
  <c r="N2241" i="2"/>
  <c r="M2241" i="2"/>
  <c r="K2241" i="2"/>
  <c r="I2241" i="2"/>
  <c r="E2241" i="2"/>
  <c r="P2240" i="2"/>
  <c r="O2240" i="2"/>
  <c r="Q2240" i="2" s="1"/>
  <c r="R2240" i="2" s="1"/>
  <c r="N2240" i="2"/>
  <c r="M2240" i="2"/>
  <c r="K2240" i="2"/>
  <c r="I2240" i="2"/>
  <c r="E2240" i="2"/>
  <c r="Q2239" i="2"/>
  <c r="R2239" i="2" s="1"/>
  <c r="P2239" i="2"/>
  <c r="O2239" i="2"/>
  <c r="N2239" i="2"/>
  <c r="M2239" i="2"/>
  <c r="K2239" i="2"/>
  <c r="I2239" i="2"/>
  <c r="E2239" i="2"/>
  <c r="P2238" i="2"/>
  <c r="O2238" i="2"/>
  <c r="Q2238" i="2" s="1"/>
  <c r="R2238" i="2" s="1"/>
  <c r="N2238" i="2"/>
  <c r="M2238" i="2"/>
  <c r="K2238" i="2"/>
  <c r="I2238" i="2"/>
  <c r="E2238" i="2"/>
  <c r="P2237" i="2"/>
  <c r="O2237" i="2"/>
  <c r="Q2237" i="2" s="1"/>
  <c r="R2237" i="2" s="1"/>
  <c r="N2237" i="2"/>
  <c r="M2237" i="2"/>
  <c r="K2237" i="2"/>
  <c r="I2237" i="2"/>
  <c r="E2237" i="2"/>
  <c r="P2236" i="2"/>
  <c r="O2236" i="2"/>
  <c r="Q2236" i="2" s="1"/>
  <c r="R2236" i="2" s="1"/>
  <c r="N2236" i="2"/>
  <c r="M2236" i="2"/>
  <c r="K2236" i="2"/>
  <c r="I2236" i="2"/>
  <c r="E2236" i="2"/>
  <c r="P2235" i="2"/>
  <c r="O2235" i="2"/>
  <c r="Q2235" i="2" s="1"/>
  <c r="R2235" i="2" s="1"/>
  <c r="N2235" i="2"/>
  <c r="M2235" i="2"/>
  <c r="K2235" i="2"/>
  <c r="I2235" i="2"/>
  <c r="E2235" i="2"/>
  <c r="P2234" i="2"/>
  <c r="O2234" i="2"/>
  <c r="Q2234" i="2" s="1"/>
  <c r="R2234" i="2" s="1"/>
  <c r="N2234" i="2"/>
  <c r="M2234" i="2"/>
  <c r="K2234" i="2"/>
  <c r="I2234" i="2"/>
  <c r="E2234" i="2"/>
  <c r="R2233" i="2"/>
  <c r="P2233" i="2"/>
  <c r="O2233" i="2"/>
  <c r="Q2233" i="2" s="1"/>
  <c r="N2233" i="2"/>
  <c r="M2233" i="2"/>
  <c r="K2233" i="2"/>
  <c r="I2233" i="2"/>
  <c r="E2233" i="2"/>
  <c r="P2232" i="2"/>
  <c r="O2232" i="2"/>
  <c r="Q2232" i="2" s="1"/>
  <c r="R2232" i="2" s="1"/>
  <c r="N2232" i="2"/>
  <c r="M2232" i="2"/>
  <c r="K2232" i="2"/>
  <c r="I2232" i="2"/>
  <c r="E2232" i="2"/>
  <c r="Q2231" i="2"/>
  <c r="R2231" i="2" s="1"/>
  <c r="P2231" i="2"/>
  <c r="O2231" i="2"/>
  <c r="N2231" i="2"/>
  <c r="M2231" i="2"/>
  <c r="K2231" i="2"/>
  <c r="I2231" i="2"/>
  <c r="E2231" i="2"/>
  <c r="P2230" i="2"/>
  <c r="O2230" i="2"/>
  <c r="Q2230" i="2" s="1"/>
  <c r="R2230" i="2" s="1"/>
  <c r="N2230" i="2"/>
  <c r="M2230" i="2"/>
  <c r="K2230" i="2"/>
  <c r="I2230" i="2"/>
  <c r="E2230" i="2"/>
  <c r="R2229" i="2"/>
  <c r="P2229" i="2"/>
  <c r="O2229" i="2"/>
  <c r="Q2229" i="2" s="1"/>
  <c r="N2229" i="2"/>
  <c r="M2229" i="2"/>
  <c r="K2229" i="2"/>
  <c r="I2229" i="2"/>
  <c r="E2229" i="2"/>
  <c r="P2228" i="2"/>
  <c r="O2228" i="2"/>
  <c r="Q2228" i="2" s="1"/>
  <c r="R2228" i="2" s="1"/>
  <c r="N2228" i="2"/>
  <c r="M2228" i="2"/>
  <c r="K2228" i="2"/>
  <c r="I2228" i="2"/>
  <c r="E2228" i="2"/>
  <c r="Q2227" i="2"/>
  <c r="R2227" i="2" s="1"/>
  <c r="P2227" i="2"/>
  <c r="O2227" i="2"/>
  <c r="N2227" i="2"/>
  <c r="M2227" i="2"/>
  <c r="K2227" i="2"/>
  <c r="I2227" i="2"/>
  <c r="E2227" i="2"/>
  <c r="P2226" i="2"/>
  <c r="O2226" i="2"/>
  <c r="Q2226" i="2" s="1"/>
  <c r="R2226" i="2" s="1"/>
  <c r="N2226" i="2"/>
  <c r="M2226" i="2"/>
  <c r="K2226" i="2"/>
  <c r="I2226" i="2"/>
  <c r="E2226" i="2"/>
  <c r="P2225" i="2"/>
  <c r="O2225" i="2"/>
  <c r="Q2225" i="2" s="1"/>
  <c r="R2225" i="2" s="1"/>
  <c r="N2225" i="2"/>
  <c r="M2225" i="2"/>
  <c r="K2225" i="2"/>
  <c r="I2225" i="2"/>
  <c r="E2225" i="2"/>
  <c r="P2224" i="2"/>
  <c r="O2224" i="2"/>
  <c r="Q2224" i="2" s="1"/>
  <c r="R2224" i="2" s="1"/>
  <c r="N2224" i="2"/>
  <c r="M2224" i="2"/>
  <c r="K2224" i="2"/>
  <c r="I2224" i="2"/>
  <c r="E2224" i="2"/>
  <c r="Q2223" i="2"/>
  <c r="R2223" i="2" s="1"/>
  <c r="P2223" i="2"/>
  <c r="O2223" i="2"/>
  <c r="N2223" i="2"/>
  <c r="M2223" i="2"/>
  <c r="K2223" i="2"/>
  <c r="I2223" i="2"/>
  <c r="E2223" i="2"/>
  <c r="R2222" i="2"/>
  <c r="P2222" i="2"/>
  <c r="O2222" i="2"/>
  <c r="Q2222" i="2" s="1"/>
  <c r="N2222" i="2"/>
  <c r="M2222" i="2"/>
  <c r="K2222" i="2"/>
  <c r="I2222" i="2"/>
  <c r="E2222" i="2"/>
  <c r="P2221" i="2"/>
  <c r="O2221" i="2"/>
  <c r="Q2221" i="2" s="1"/>
  <c r="R2221" i="2" s="1"/>
  <c r="N2221" i="2"/>
  <c r="M2221" i="2"/>
  <c r="K2221" i="2"/>
  <c r="I2221" i="2"/>
  <c r="E2221" i="2"/>
  <c r="P2220" i="2"/>
  <c r="O2220" i="2"/>
  <c r="Q2220" i="2" s="1"/>
  <c r="R2220" i="2" s="1"/>
  <c r="N2220" i="2"/>
  <c r="M2220" i="2"/>
  <c r="K2220" i="2"/>
  <c r="I2220" i="2"/>
  <c r="E2220" i="2"/>
  <c r="Q2219" i="2"/>
  <c r="R2219" i="2" s="1"/>
  <c r="P2219" i="2"/>
  <c r="O2219" i="2"/>
  <c r="N2219" i="2"/>
  <c r="M2219" i="2"/>
  <c r="K2219" i="2"/>
  <c r="I2219" i="2"/>
  <c r="E2219" i="2"/>
  <c r="P2218" i="2"/>
  <c r="O2218" i="2"/>
  <c r="Q2218" i="2" s="1"/>
  <c r="R2218" i="2" s="1"/>
  <c r="N2218" i="2"/>
  <c r="M2218" i="2"/>
  <c r="K2218" i="2"/>
  <c r="I2218" i="2"/>
  <c r="E2218" i="2"/>
  <c r="R2217" i="2"/>
  <c r="P2217" i="2"/>
  <c r="O2217" i="2"/>
  <c r="Q2217" i="2" s="1"/>
  <c r="N2217" i="2"/>
  <c r="M2217" i="2"/>
  <c r="K2217" i="2"/>
  <c r="I2217" i="2"/>
  <c r="E2217" i="2"/>
  <c r="P2216" i="2"/>
  <c r="O2216" i="2"/>
  <c r="Q2216" i="2" s="1"/>
  <c r="R2216" i="2" s="1"/>
  <c r="N2216" i="2"/>
  <c r="M2216" i="2"/>
  <c r="K2216" i="2"/>
  <c r="I2216" i="2"/>
  <c r="E2216" i="2"/>
  <c r="P2215" i="2"/>
  <c r="O2215" i="2"/>
  <c r="Q2215" i="2" s="1"/>
  <c r="R2215" i="2" s="1"/>
  <c r="N2215" i="2"/>
  <c r="M2215" i="2"/>
  <c r="K2215" i="2"/>
  <c r="I2215" i="2"/>
  <c r="E2215" i="2"/>
  <c r="R2214" i="2"/>
  <c r="P2214" i="2"/>
  <c r="O2214" i="2"/>
  <c r="Q2214" i="2" s="1"/>
  <c r="N2214" i="2"/>
  <c r="M2214" i="2"/>
  <c r="K2214" i="2"/>
  <c r="I2214" i="2"/>
  <c r="E2214" i="2"/>
  <c r="P2213" i="2"/>
  <c r="O2213" i="2"/>
  <c r="Q2213" i="2" s="1"/>
  <c r="R2213" i="2" s="1"/>
  <c r="N2213" i="2"/>
  <c r="M2213" i="2"/>
  <c r="K2213" i="2"/>
  <c r="I2213" i="2"/>
  <c r="E2213" i="2"/>
  <c r="P2212" i="2"/>
  <c r="O2212" i="2"/>
  <c r="Q2212" i="2" s="1"/>
  <c r="R2212" i="2" s="1"/>
  <c r="N2212" i="2"/>
  <c r="M2212" i="2"/>
  <c r="K2212" i="2"/>
  <c r="I2212" i="2"/>
  <c r="E2212" i="2"/>
  <c r="Q2211" i="2"/>
  <c r="R2211" i="2" s="1"/>
  <c r="P2211" i="2"/>
  <c r="O2211" i="2"/>
  <c r="N2211" i="2"/>
  <c r="M2211" i="2"/>
  <c r="K2211" i="2"/>
  <c r="I2211" i="2"/>
  <c r="E2211" i="2"/>
  <c r="P2210" i="2"/>
  <c r="O2210" i="2"/>
  <c r="Q2210" i="2" s="1"/>
  <c r="R2210" i="2" s="1"/>
  <c r="N2210" i="2"/>
  <c r="M2210" i="2"/>
  <c r="K2210" i="2"/>
  <c r="I2210" i="2"/>
  <c r="E2210" i="2"/>
  <c r="P2209" i="2"/>
  <c r="O2209" i="2"/>
  <c r="Q2209" i="2" s="1"/>
  <c r="R2209" i="2" s="1"/>
  <c r="N2209" i="2"/>
  <c r="M2209" i="2"/>
  <c r="K2209" i="2"/>
  <c r="I2209" i="2"/>
  <c r="E2209" i="2"/>
  <c r="P2208" i="2"/>
  <c r="O2208" i="2"/>
  <c r="Q2208" i="2" s="1"/>
  <c r="R2208" i="2" s="1"/>
  <c r="N2208" i="2"/>
  <c r="M2208" i="2"/>
  <c r="K2208" i="2"/>
  <c r="I2208" i="2"/>
  <c r="E2208" i="2"/>
  <c r="P2207" i="2"/>
  <c r="O2207" i="2"/>
  <c r="Q2207" i="2" s="1"/>
  <c r="R2207" i="2" s="1"/>
  <c r="N2207" i="2"/>
  <c r="M2207" i="2"/>
  <c r="K2207" i="2"/>
  <c r="I2207" i="2"/>
  <c r="E2207" i="2"/>
  <c r="P2206" i="2"/>
  <c r="O2206" i="2"/>
  <c r="Q2206" i="2" s="1"/>
  <c r="R2206" i="2" s="1"/>
  <c r="N2206" i="2"/>
  <c r="M2206" i="2"/>
  <c r="K2206" i="2"/>
  <c r="I2206" i="2"/>
  <c r="E2206" i="2"/>
  <c r="P2205" i="2"/>
  <c r="O2205" i="2"/>
  <c r="Q2205" i="2" s="1"/>
  <c r="R2205" i="2" s="1"/>
  <c r="N2205" i="2"/>
  <c r="M2205" i="2"/>
  <c r="K2205" i="2"/>
  <c r="I2205" i="2"/>
  <c r="E2205" i="2"/>
  <c r="P2204" i="2"/>
  <c r="O2204" i="2"/>
  <c r="Q2204" i="2" s="1"/>
  <c r="R2204" i="2" s="1"/>
  <c r="N2204" i="2"/>
  <c r="M2204" i="2"/>
  <c r="K2204" i="2"/>
  <c r="I2204" i="2"/>
  <c r="E2204" i="2"/>
  <c r="Q2203" i="2"/>
  <c r="R2203" i="2" s="1"/>
  <c r="P2203" i="2"/>
  <c r="O2203" i="2"/>
  <c r="N2203" i="2"/>
  <c r="M2203" i="2"/>
  <c r="K2203" i="2"/>
  <c r="I2203" i="2"/>
  <c r="E2203" i="2"/>
  <c r="P2202" i="2"/>
  <c r="O2202" i="2"/>
  <c r="Q2202" i="2" s="1"/>
  <c r="R2202" i="2" s="1"/>
  <c r="N2202" i="2"/>
  <c r="M2202" i="2"/>
  <c r="K2202" i="2"/>
  <c r="I2202" i="2"/>
  <c r="E2202" i="2"/>
  <c r="P2201" i="2"/>
  <c r="O2201" i="2"/>
  <c r="Q2201" i="2" s="1"/>
  <c r="R2201" i="2" s="1"/>
  <c r="N2201" i="2"/>
  <c r="M2201" i="2"/>
  <c r="K2201" i="2"/>
  <c r="I2201" i="2"/>
  <c r="E2201" i="2"/>
  <c r="P2200" i="2"/>
  <c r="O2200" i="2"/>
  <c r="Q2200" i="2" s="1"/>
  <c r="R2200" i="2" s="1"/>
  <c r="N2200" i="2"/>
  <c r="M2200" i="2"/>
  <c r="K2200" i="2"/>
  <c r="I2200" i="2"/>
  <c r="E2200" i="2"/>
  <c r="P2199" i="2"/>
  <c r="O2199" i="2"/>
  <c r="Q2199" i="2" s="1"/>
  <c r="R2199" i="2" s="1"/>
  <c r="N2199" i="2"/>
  <c r="M2199" i="2"/>
  <c r="K2199" i="2"/>
  <c r="I2199" i="2"/>
  <c r="E2199" i="2"/>
  <c r="P2198" i="2"/>
  <c r="O2198" i="2"/>
  <c r="Q2198" i="2" s="1"/>
  <c r="R2198" i="2" s="1"/>
  <c r="N2198" i="2"/>
  <c r="M2198" i="2"/>
  <c r="K2198" i="2"/>
  <c r="I2198" i="2"/>
  <c r="E2198" i="2"/>
  <c r="Q2197" i="2"/>
  <c r="R2197" i="2" s="1"/>
  <c r="P2197" i="2"/>
  <c r="O2197" i="2"/>
  <c r="N2197" i="2"/>
  <c r="M2197" i="2"/>
  <c r="K2197" i="2"/>
  <c r="I2197" i="2"/>
  <c r="E2197" i="2"/>
  <c r="P2196" i="2"/>
  <c r="O2196" i="2"/>
  <c r="Q2196" i="2" s="1"/>
  <c r="R2196" i="2" s="1"/>
  <c r="N2196" i="2"/>
  <c r="M2196" i="2"/>
  <c r="K2196" i="2"/>
  <c r="I2196" i="2"/>
  <c r="E2196" i="2"/>
  <c r="P2195" i="2"/>
  <c r="O2195" i="2"/>
  <c r="Q2195" i="2" s="1"/>
  <c r="R2195" i="2" s="1"/>
  <c r="N2195" i="2"/>
  <c r="M2195" i="2"/>
  <c r="K2195" i="2"/>
  <c r="I2195" i="2"/>
  <c r="E2195" i="2"/>
  <c r="P2194" i="2"/>
  <c r="O2194" i="2"/>
  <c r="Q2194" i="2" s="1"/>
  <c r="R2194" i="2" s="1"/>
  <c r="N2194" i="2"/>
  <c r="M2194" i="2"/>
  <c r="K2194" i="2"/>
  <c r="I2194" i="2"/>
  <c r="E2194" i="2"/>
  <c r="P2193" i="2"/>
  <c r="O2193" i="2"/>
  <c r="Q2193" i="2" s="1"/>
  <c r="R2193" i="2" s="1"/>
  <c r="N2193" i="2"/>
  <c r="M2193" i="2"/>
  <c r="K2193" i="2"/>
  <c r="I2193" i="2"/>
  <c r="E2193" i="2"/>
  <c r="Q2192" i="2"/>
  <c r="R2192" i="2" s="1"/>
  <c r="P2192" i="2"/>
  <c r="O2192" i="2"/>
  <c r="N2192" i="2"/>
  <c r="M2192" i="2"/>
  <c r="K2192" i="2"/>
  <c r="I2192" i="2"/>
  <c r="E2192" i="2"/>
  <c r="Q2191" i="2"/>
  <c r="R2191" i="2" s="1"/>
  <c r="P2191" i="2"/>
  <c r="O2191" i="2"/>
  <c r="N2191" i="2"/>
  <c r="M2191" i="2"/>
  <c r="K2191" i="2"/>
  <c r="I2191" i="2"/>
  <c r="E2191" i="2"/>
  <c r="P2190" i="2"/>
  <c r="O2190" i="2"/>
  <c r="Q2190" i="2" s="1"/>
  <c r="R2190" i="2" s="1"/>
  <c r="N2190" i="2"/>
  <c r="M2190" i="2"/>
  <c r="K2190" i="2"/>
  <c r="I2190" i="2"/>
  <c r="E2190" i="2"/>
  <c r="P2189" i="2"/>
  <c r="O2189" i="2"/>
  <c r="Q2189" i="2" s="1"/>
  <c r="R2189" i="2" s="1"/>
  <c r="N2189" i="2"/>
  <c r="M2189" i="2"/>
  <c r="K2189" i="2"/>
  <c r="I2189" i="2"/>
  <c r="E2189" i="2"/>
  <c r="Q2188" i="2"/>
  <c r="R2188" i="2" s="1"/>
  <c r="P2188" i="2"/>
  <c r="O2188" i="2"/>
  <c r="N2188" i="2"/>
  <c r="M2188" i="2"/>
  <c r="K2188" i="2"/>
  <c r="I2188" i="2"/>
  <c r="E2188" i="2"/>
  <c r="P2187" i="2"/>
  <c r="O2187" i="2"/>
  <c r="Q2187" i="2" s="1"/>
  <c r="R2187" i="2" s="1"/>
  <c r="N2187" i="2"/>
  <c r="M2187" i="2"/>
  <c r="K2187" i="2"/>
  <c r="I2187" i="2"/>
  <c r="E2187" i="2"/>
  <c r="P2186" i="2"/>
  <c r="O2186" i="2"/>
  <c r="Q2186" i="2" s="1"/>
  <c r="R2186" i="2" s="1"/>
  <c r="N2186" i="2"/>
  <c r="M2186" i="2"/>
  <c r="K2186" i="2"/>
  <c r="I2186" i="2"/>
  <c r="E2186" i="2"/>
  <c r="P2185" i="2"/>
  <c r="O2185" i="2"/>
  <c r="Q2185" i="2" s="1"/>
  <c r="R2185" i="2" s="1"/>
  <c r="N2185" i="2"/>
  <c r="M2185" i="2"/>
  <c r="K2185" i="2"/>
  <c r="I2185" i="2"/>
  <c r="E2185" i="2"/>
  <c r="P2184" i="2"/>
  <c r="O2184" i="2"/>
  <c r="Q2184" i="2" s="1"/>
  <c r="R2184" i="2" s="1"/>
  <c r="N2184" i="2"/>
  <c r="M2184" i="2"/>
  <c r="K2184" i="2"/>
  <c r="I2184" i="2"/>
  <c r="E2184" i="2"/>
  <c r="P2183" i="2"/>
  <c r="O2183" i="2"/>
  <c r="Q2183" i="2" s="1"/>
  <c r="R2183" i="2" s="1"/>
  <c r="N2183" i="2"/>
  <c r="M2183" i="2"/>
  <c r="K2183" i="2"/>
  <c r="I2183" i="2"/>
  <c r="E2183" i="2"/>
  <c r="P2182" i="2"/>
  <c r="O2182" i="2"/>
  <c r="Q2182" i="2" s="1"/>
  <c r="R2182" i="2" s="1"/>
  <c r="N2182" i="2"/>
  <c r="M2182" i="2"/>
  <c r="K2182" i="2"/>
  <c r="I2182" i="2"/>
  <c r="E2182" i="2"/>
  <c r="P2181" i="2"/>
  <c r="O2181" i="2"/>
  <c r="Q2181" i="2" s="1"/>
  <c r="R2181" i="2" s="1"/>
  <c r="N2181" i="2"/>
  <c r="M2181" i="2"/>
  <c r="K2181" i="2"/>
  <c r="I2181" i="2"/>
  <c r="E2181" i="2"/>
  <c r="P2180" i="2"/>
  <c r="O2180" i="2"/>
  <c r="Q2180" i="2" s="1"/>
  <c r="R2180" i="2" s="1"/>
  <c r="N2180" i="2"/>
  <c r="M2180" i="2"/>
  <c r="K2180" i="2"/>
  <c r="I2180" i="2"/>
  <c r="E2180" i="2"/>
  <c r="Q2179" i="2"/>
  <c r="R2179" i="2" s="1"/>
  <c r="P2179" i="2"/>
  <c r="O2179" i="2"/>
  <c r="N2179" i="2"/>
  <c r="M2179" i="2"/>
  <c r="K2179" i="2"/>
  <c r="I2179" i="2"/>
  <c r="E2179" i="2"/>
  <c r="R2178" i="2"/>
  <c r="P2178" i="2"/>
  <c r="O2178" i="2"/>
  <c r="Q2178" i="2" s="1"/>
  <c r="N2178" i="2"/>
  <c r="M2178" i="2"/>
  <c r="K2178" i="2"/>
  <c r="I2178" i="2"/>
  <c r="E2178" i="2"/>
  <c r="P2177" i="2"/>
  <c r="O2177" i="2"/>
  <c r="Q2177" i="2" s="1"/>
  <c r="R2177" i="2" s="1"/>
  <c r="N2177" i="2"/>
  <c r="M2177" i="2"/>
  <c r="K2177" i="2"/>
  <c r="I2177" i="2"/>
  <c r="E2177" i="2"/>
  <c r="Q2176" i="2"/>
  <c r="R2176" i="2" s="1"/>
  <c r="P2176" i="2"/>
  <c r="O2176" i="2"/>
  <c r="N2176" i="2"/>
  <c r="M2176" i="2"/>
  <c r="K2176" i="2"/>
  <c r="I2176" i="2"/>
  <c r="E2176" i="2"/>
  <c r="Q2175" i="2"/>
  <c r="R2175" i="2" s="1"/>
  <c r="P2175" i="2"/>
  <c r="O2175" i="2"/>
  <c r="N2175" i="2"/>
  <c r="M2175" i="2"/>
  <c r="K2175" i="2"/>
  <c r="I2175" i="2"/>
  <c r="E2175" i="2"/>
  <c r="P2174" i="2"/>
  <c r="O2174" i="2"/>
  <c r="Q2174" i="2" s="1"/>
  <c r="R2174" i="2" s="1"/>
  <c r="N2174" i="2"/>
  <c r="M2174" i="2"/>
  <c r="K2174" i="2"/>
  <c r="I2174" i="2"/>
  <c r="E2174" i="2"/>
  <c r="P2173" i="2"/>
  <c r="O2173" i="2"/>
  <c r="Q2173" i="2" s="1"/>
  <c r="R2173" i="2" s="1"/>
  <c r="N2173" i="2"/>
  <c r="M2173" i="2"/>
  <c r="K2173" i="2"/>
  <c r="I2173" i="2"/>
  <c r="E2173" i="2"/>
  <c r="P2172" i="2"/>
  <c r="O2172" i="2"/>
  <c r="Q2172" i="2" s="1"/>
  <c r="R2172" i="2" s="1"/>
  <c r="N2172" i="2"/>
  <c r="M2172" i="2"/>
  <c r="K2172" i="2"/>
  <c r="I2172" i="2"/>
  <c r="E2172" i="2"/>
  <c r="P2171" i="2"/>
  <c r="O2171" i="2"/>
  <c r="Q2171" i="2" s="1"/>
  <c r="R2171" i="2" s="1"/>
  <c r="N2171" i="2"/>
  <c r="M2171" i="2"/>
  <c r="K2171" i="2"/>
  <c r="I2171" i="2"/>
  <c r="E2171" i="2"/>
  <c r="R2170" i="2"/>
  <c r="P2170" i="2"/>
  <c r="O2170" i="2"/>
  <c r="Q2170" i="2" s="1"/>
  <c r="N2170" i="2"/>
  <c r="M2170" i="2"/>
  <c r="K2170" i="2"/>
  <c r="I2170" i="2"/>
  <c r="E2170" i="2"/>
  <c r="R2169" i="2"/>
  <c r="Q2169" i="2"/>
  <c r="P2169" i="2"/>
  <c r="O2169" i="2"/>
  <c r="N2169" i="2"/>
  <c r="M2169" i="2"/>
  <c r="K2169" i="2"/>
  <c r="I2169" i="2"/>
  <c r="E2169" i="2"/>
  <c r="P2168" i="2"/>
  <c r="O2168" i="2"/>
  <c r="Q2168" i="2" s="1"/>
  <c r="R2168" i="2" s="1"/>
  <c r="N2168" i="2"/>
  <c r="M2168" i="2"/>
  <c r="K2168" i="2"/>
  <c r="I2168" i="2"/>
  <c r="E2168" i="2"/>
  <c r="Q2167" i="2"/>
  <c r="R2167" i="2" s="1"/>
  <c r="P2167" i="2"/>
  <c r="O2167" i="2"/>
  <c r="N2167" i="2"/>
  <c r="M2167" i="2"/>
  <c r="K2167" i="2"/>
  <c r="I2167" i="2"/>
  <c r="E2167" i="2"/>
  <c r="R2166" i="2"/>
  <c r="P2166" i="2"/>
  <c r="O2166" i="2"/>
  <c r="Q2166" i="2" s="1"/>
  <c r="N2166" i="2"/>
  <c r="M2166" i="2"/>
  <c r="K2166" i="2"/>
  <c r="I2166" i="2"/>
  <c r="E2166" i="2"/>
  <c r="P2165" i="2"/>
  <c r="O2165" i="2"/>
  <c r="Q2165" i="2" s="1"/>
  <c r="R2165" i="2" s="1"/>
  <c r="N2165" i="2"/>
  <c r="M2165" i="2"/>
  <c r="K2165" i="2"/>
  <c r="I2165" i="2"/>
  <c r="E2165" i="2"/>
  <c r="Q2164" i="2"/>
  <c r="R2164" i="2" s="1"/>
  <c r="P2164" i="2"/>
  <c r="O2164" i="2"/>
  <c r="N2164" i="2"/>
  <c r="M2164" i="2"/>
  <c r="K2164" i="2"/>
  <c r="I2164" i="2"/>
  <c r="E2164" i="2"/>
  <c r="Q2163" i="2"/>
  <c r="R2163" i="2" s="1"/>
  <c r="P2163" i="2"/>
  <c r="O2163" i="2"/>
  <c r="N2163" i="2"/>
  <c r="M2163" i="2"/>
  <c r="K2163" i="2"/>
  <c r="I2163" i="2"/>
  <c r="E2163" i="2"/>
  <c r="P2162" i="2"/>
  <c r="O2162" i="2"/>
  <c r="Q2162" i="2" s="1"/>
  <c r="R2162" i="2" s="1"/>
  <c r="N2162" i="2"/>
  <c r="M2162" i="2"/>
  <c r="K2162" i="2"/>
  <c r="I2162" i="2"/>
  <c r="E2162" i="2"/>
  <c r="P2161" i="2"/>
  <c r="O2161" i="2"/>
  <c r="Q2161" i="2" s="1"/>
  <c r="R2161" i="2" s="1"/>
  <c r="N2161" i="2"/>
  <c r="M2161" i="2"/>
  <c r="K2161" i="2"/>
  <c r="I2161" i="2"/>
  <c r="E2161" i="2"/>
  <c r="P2160" i="2"/>
  <c r="O2160" i="2"/>
  <c r="Q2160" i="2" s="1"/>
  <c r="R2160" i="2" s="1"/>
  <c r="N2160" i="2"/>
  <c r="M2160" i="2"/>
  <c r="K2160" i="2"/>
  <c r="I2160" i="2"/>
  <c r="E2160" i="2"/>
  <c r="P2159" i="2"/>
  <c r="O2159" i="2"/>
  <c r="Q2159" i="2" s="1"/>
  <c r="R2159" i="2" s="1"/>
  <c r="N2159" i="2"/>
  <c r="M2159" i="2"/>
  <c r="K2159" i="2"/>
  <c r="I2159" i="2"/>
  <c r="E2159" i="2"/>
  <c r="R2158" i="2"/>
  <c r="P2158" i="2"/>
  <c r="O2158" i="2"/>
  <c r="Q2158" i="2" s="1"/>
  <c r="N2158" i="2"/>
  <c r="M2158" i="2"/>
  <c r="K2158" i="2"/>
  <c r="I2158" i="2"/>
  <c r="E2158" i="2"/>
  <c r="P2157" i="2"/>
  <c r="O2157" i="2"/>
  <c r="Q2157" i="2" s="1"/>
  <c r="R2157" i="2" s="1"/>
  <c r="N2157" i="2"/>
  <c r="M2157" i="2"/>
  <c r="K2157" i="2"/>
  <c r="I2157" i="2"/>
  <c r="E2157" i="2"/>
  <c r="Q2156" i="2"/>
  <c r="R2156" i="2" s="1"/>
  <c r="P2156" i="2"/>
  <c r="O2156" i="2"/>
  <c r="N2156" i="2"/>
  <c r="M2156" i="2"/>
  <c r="K2156" i="2"/>
  <c r="I2156" i="2"/>
  <c r="E2156" i="2"/>
  <c r="Q2155" i="2"/>
  <c r="R2155" i="2" s="1"/>
  <c r="P2155" i="2"/>
  <c r="O2155" i="2"/>
  <c r="N2155" i="2"/>
  <c r="M2155" i="2"/>
  <c r="K2155" i="2"/>
  <c r="I2155" i="2"/>
  <c r="E2155" i="2"/>
  <c r="P2154" i="2"/>
  <c r="O2154" i="2"/>
  <c r="Q2154" i="2" s="1"/>
  <c r="R2154" i="2" s="1"/>
  <c r="N2154" i="2"/>
  <c r="M2154" i="2"/>
  <c r="K2154" i="2"/>
  <c r="I2154" i="2"/>
  <c r="E2154" i="2"/>
  <c r="Q2153" i="2"/>
  <c r="R2153" i="2" s="1"/>
  <c r="P2153" i="2"/>
  <c r="O2153" i="2"/>
  <c r="N2153" i="2"/>
  <c r="M2153" i="2"/>
  <c r="K2153" i="2"/>
  <c r="I2153" i="2"/>
  <c r="E2153" i="2"/>
  <c r="Q2152" i="2"/>
  <c r="R2152" i="2" s="1"/>
  <c r="P2152" i="2"/>
  <c r="O2152" i="2"/>
  <c r="N2152" i="2"/>
  <c r="M2152" i="2"/>
  <c r="K2152" i="2"/>
  <c r="I2152" i="2"/>
  <c r="E2152" i="2"/>
  <c r="P2151" i="2"/>
  <c r="O2151" i="2"/>
  <c r="Q2151" i="2" s="1"/>
  <c r="R2151" i="2" s="1"/>
  <c r="N2151" i="2"/>
  <c r="M2151" i="2"/>
  <c r="K2151" i="2"/>
  <c r="I2151" i="2"/>
  <c r="E2151" i="2"/>
  <c r="P2150" i="2"/>
  <c r="O2150" i="2"/>
  <c r="Q2150" i="2" s="1"/>
  <c r="R2150" i="2" s="1"/>
  <c r="N2150" i="2"/>
  <c r="M2150" i="2"/>
  <c r="K2150" i="2"/>
  <c r="I2150" i="2"/>
  <c r="E2150" i="2"/>
  <c r="P2149" i="2"/>
  <c r="O2149" i="2"/>
  <c r="Q2149" i="2" s="1"/>
  <c r="R2149" i="2" s="1"/>
  <c r="N2149" i="2"/>
  <c r="M2149" i="2"/>
  <c r="K2149" i="2"/>
  <c r="I2149" i="2"/>
  <c r="E2149" i="2"/>
  <c r="P2148" i="2"/>
  <c r="O2148" i="2"/>
  <c r="Q2148" i="2" s="1"/>
  <c r="R2148" i="2" s="1"/>
  <c r="N2148" i="2"/>
  <c r="M2148" i="2"/>
  <c r="K2148" i="2"/>
  <c r="I2148" i="2"/>
  <c r="E2148" i="2"/>
  <c r="P2147" i="2"/>
  <c r="O2147" i="2"/>
  <c r="Q2147" i="2" s="1"/>
  <c r="R2147" i="2" s="1"/>
  <c r="N2147" i="2"/>
  <c r="M2147" i="2"/>
  <c r="K2147" i="2"/>
  <c r="I2147" i="2"/>
  <c r="E2147" i="2"/>
  <c r="P2146" i="2"/>
  <c r="O2146" i="2"/>
  <c r="Q2146" i="2" s="1"/>
  <c r="R2146" i="2" s="1"/>
  <c r="N2146" i="2"/>
  <c r="M2146" i="2"/>
  <c r="K2146" i="2"/>
  <c r="I2146" i="2"/>
  <c r="E2146" i="2"/>
  <c r="Q2145" i="2"/>
  <c r="R2145" i="2" s="1"/>
  <c r="P2145" i="2"/>
  <c r="O2145" i="2"/>
  <c r="N2145" i="2"/>
  <c r="M2145" i="2"/>
  <c r="K2145" i="2"/>
  <c r="I2145" i="2"/>
  <c r="E2145" i="2"/>
  <c r="Q2144" i="2"/>
  <c r="R2144" i="2" s="1"/>
  <c r="P2144" i="2"/>
  <c r="O2144" i="2"/>
  <c r="N2144" i="2"/>
  <c r="M2144" i="2"/>
  <c r="K2144" i="2"/>
  <c r="I2144" i="2"/>
  <c r="E2144" i="2"/>
  <c r="P2143" i="2"/>
  <c r="O2143" i="2"/>
  <c r="Q2143" i="2" s="1"/>
  <c r="R2143" i="2" s="1"/>
  <c r="N2143" i="2"/>
  <c r="M2143" i="2"/>
  <c r="K2143" i="2"/>
  <c r="I2143" i="2"/>
  <c r="E2143" i="2"/>
  <c r="P2142" i="2"/>
  <c r="O2142" i="2"/>
  <c r="Q2142" i="2" s="1"/>
  <c r="R2142" i="2" s="1"/>
  <c r="N2142" i="2"/>
  <c r="M2142" i="2"/>
  <c r="K2142" i="2"/>
  <c r="I2142" i="2"/>
  <c r="E2142" i="2"/>
  <c r="Q2141" i="2"/>
  <c r="R2141" i="2" s="1"/>
  <c r="P2141" i="2"/>
  <c r="O2141" i="2"/>
  <c r="N2141" i="2"/>
  <c r="M2141" i="2"/>
  <c r="K2141" i="2"/>
  <c r="I2141" i="2"/>
  <c r="E2141" i="2"/>
  <c r="P2140" i="2"/>
  <c r="O2140" i="2"/>
  <c r="Q2140" i="2" s="1"/>
  <c r="R2140" i="2" s="1"/>
  <c r="N2140" i="2"/>
  <c r="M2140" i="2"/>
  <c r="K2140" i="2"/>
  <c r="I2140" i="2"/>
  <c r="E2140" i="2"/>
  <c r="P2139" i="2"/>
  <c r="O2139" i="2"/>
  <c r="Q2139" i="2" s="1"/>
  <c r="R2139" i="2" s="1"/>
  <c r="N2139" i="2"/>
  <c r="M2139" i="2"/>
  <c r="K2139" i="2"/>
  <c r="I2139" i="2"/>
  <c r="E2139" i="2"/>
  <c r="P2138" i="2"/>
  <c r="O2138" i="2"/>
  <c r="Q2138" i="2" s="1"/>
  <c r="R2138" i="2" s="1"/>
  <c r="N2138" i="2"/>
  <c r="M2138" i="2"/>
  <c r="K2138" i="2"/>
  <c r="I2138" i="2"/>
  <c r="E2138" i="2"/>
  <c r="P2136" i="2"/>
  <c r="O2136" i="2"/>
  <c r="Q2136" i="2" s="1"/>
  <c r="R2136" i="2" s="1"/>
  <c r="N2136" i="2"/>
  <c r="M2136" i="2"/>
  <c r="K2136" i="2"/>
  <c r="I2136" i="2"/>
  <c r="E2136" i="2"/>
  <c r="P2135" i="2"/>
  <c r="O2135" i="2"/>
  <c r="Q2135" i="2" s="1"/>
  <c r="R2135" i="2" s="1"/>
  <c r="N2135" i="2"/>
  <c r="M2135" i="2"/>
  <c r="K2135" i="2"/>
  <c r="I2135" i="2"/>
  <c r="E2135" i="2"/>
  <c r="P2134" i="2"/>
  <c r="O2134" i="2"/>
  <c r="Q2134" i="2" s="1"/>
  <c r="R2134" i="2" s="1"/>
  <c r="N2134" i="2"/>
  <c r="M2134" i="2"/>
  <c r="K2134" i="2"/>
  <c r="I2134" i="2"/>
  <c r="E2134" i="2"/>
  <c r="P2133" i="2"/>
  <c r="O2133" i="2"/>
  <c r="Q2133" i="2" s="1"/>
  <c r="R2133" i="2" s="1"/>
  <c r="N2133" i="2"/>
  <c r="M2133" i="2"/>
  <c r="K2133" i="2"/>
  <c r="I2133" i="2"/>
  <c r="E2133" i="2"/>
  <c r="Q2132" i="2"/>
  <c r="R2132" i="2" s="1"/>
  <c r="P2132" i="2"/>
  <c r="O2132" i="2"/>
  <c r="N2132" i="2"/>
  <c r="M2132" i="2"/>
  <c r="K2132" i="2"/>
  <c r="I2132" i="2"/>
  <c r="E2132" i="2"/>
  <c r="Q2131" i="2"/>
  <c r="R2131" i="2" s="1"/>
  <c r="P2131" i="2"/>
  <c r="O2131" i="2"/>
  <c r="N2131" i="2"/>
  <c r="M2131" i="2"/>
  <c r="K2131" i="2"/>
  <c r="I2131" i="2"/>
  <c r="E2131" i="2"/>
  <c r="P2130" i="2"/>
  <c r="O2130" i="2"/>
  <c r="Q2130" i="2" s="1"/>
  <c r="R2130" i="2" s="1"/>
  <c r="N2130" i="2"/>
  <c r="M2130" i="2"/>
  <c r="K2130" i="2"/>
  <c r="I2130" i="2"/>
  <c r="E2130" i="2"/>
  <c r="P2129" i="2"/>
  <c r="O2129" i="2"/>
  <c r="Q2129" i="2" s="1"/>
  <c r="R2129" i="2" s="1"/>
  <c r="N2129" i="2"/>
  <c r="M2129" i="2"/>
  <c r="K2129" i="2"/>
  <c r="I2129" i="2"/>
  <c r="E2129" i="2"/>
  <c r="Q2128" i="2"/>
  <c r="R2128" i="2" s="1"/>
  <c r="P2128" i="2"/>
  <c r="O2128" i="2"/>
  <c r="N2128" i="2"/>
  <c r="M2128" i="2"/>
  <c r="K2128" i="2"/>
  <c r="I2128" i="2"/>
  <c r="E2128" i="2"/>
  <c r="P2127" i="2"/>
  <c r="O2127" i="2"/>
  <c r="Q2127" i="2" s="1"/>
  <c r="R2127" i="2" s="1"/>
  <c r="N2127" i="2"/>
  <c r="M2127" i="2"/>
  <c r="K2127" i="2"/>
  <c r="I2127" i="2"/>
  <c r="E2127" i="2"/>
  <c r="P2126" i="2"/>
  <c r="O2126" i="2"/>
  <c r="Q2126" i="2" s="1"/>
  <c r="R2126" i="2" s="1"/>
  <c r="N2126" i="2"/>
  <c r="M2126" i="2"/>
  <c r="K2126" i="2"/>
  <c r="I2126" i="2"/>
  <c r="E2126" i="2"/>
  <c r="P2125" i="2"/>
  <c r="O2125" i="2"/>
  <c r="Q2125" i="2" s="1"/>
  <c r="R2125" i="2" s="1"/>
  <c r="N2125" i="2"/>
  <c r="M2125" i="2"/>
  <c r="K2125" i="2"/>
  <c r="I2125" i="2"/>
  <c r="E2125" i="2"/>
  <c r="P2124" i="2"/>
  <c r="O2124" i="2"/>
  <c r="Q2124" i="2" s="1"/>
  <c r="R2124" i="2" s="1"/>
  <c r="N2124" i="2"/>
  <c r="M2124" i="2"/>
  <c r="K2124" i="2"/>
  <c r="I2124" i="2"/>
  <c r="E2124" i="2"/>
  <c r="P2123" i="2"/>
  <c r="O2123" i="2"/>
  <c r="Q2123" i="2" s="1"/>
  <c r="R2123" i="2" s="1"/>
  <c r="N2123" i="2"/>
  <c r="M2123" i="2"/>
  <c r="K2123" i="2"/>
  <c r="I2123" i="2"/>
  <c r="E2123" i="2"/>
  <c r="P2122" i="2"/>
  <c r="O2122" i="2"/>
  <c r="Q2122" i="2" s="1"/>
  <c r="R2122" i="2" s="1"/>
  <c r="N2122" i="2"/>
  <c r="M2122" i="2"/>
  <c r="K2122" i="2"/>
  <c r="I2122" i="2"/>
  <c r="E2122" i="2"/>
  <c r="P2121" i="2"/>
  <c r="O2121" i="2"/>
  <c r="Q2121" i="2" s="1"/>
  <c r="R2121" i="2" s="1"/>
  <c r="N2121" i="2"/>
  <c r="M2121" i="2"/>
  <c r="K2121" i="2"/>
  <c r="I2121" i="2"/>
  <c r="E2121" i="2"/>
  <c r="P2120" i="2"/>
  <c r="O2120" i="2"/>
  <c r="Q2120" i="2" s="1"/>
  <c r="R2120" i="2" s="1"/>
  <c r="N2120" i="2"/>
  <c r="M2120" i="2"/>
  <c r="K2120" i="2"/>
  <c r="I2120" i="2"/>
  <c r="E2120" i="2"/>
  <c r="Q2119" i="2"/>
  <c r="R2119" i="2" s="1"/>
  <c r="P2119" i="2"/>
  <c r="O2119" i="2"/>
  <c r="N2119" i="2"/>
  <c r="M2119" i="2"/>
  <c r="K2119" i="2"/>
  <c r="I2119" i="2"/>
  <c r="E2119" i="2"/>
  <c r="Q2118" i="2"/>
  <c r="R2118" i="2" s="1"/>
  <c r="P2118" i="2"/>
  <c r="O2118" i="2"/>
  <c r="N2118" i="2"/>
  <c r="M2118" i="2"/>
  <c r="K2118" i="2"/>
  <c r="I2118" i="2"/>
  <c r="E2118" i="2"/>
  <c r="P2117" i="2"/>
  <c r="O2117" i="2"/>
  <c r="Q2117" i="2" s="1"/>
  <c r="R2117" i="2" s="1"/>
  <c r="N2117" i="2"/>
  <c r="M2117" i="2"/>
  <c r="K2117" i="2"/>
  <c r="I2117" i="2"/>
  <c r="E2117" i="2"/>
  <c r="Q2116" i="2"/>
  <c r="R2116" i="2" s="1"/>
  <c r="P2116" i="2"/>
  <c r="O2116" i="2"/>
  <c r="N2116" i="2"/>
  <c r="M2116" i="2"/>
  <c r="K2116" i="2"/>
  <c r="I2116" i="2"/>
  <c r="E2116" i="2"/>
  <c r="Q2115" i="2"/>
  <c r="R2115" i="2" s="1"/>
  <c r="P2115" i="2"/>
  <c r="O2115" i="2"/>
  <c r="N2115" i="2"/>
  <c r="M2115" i="2"/>
  <c r="K2115" i="2"/>
  <c r="I2115" i="2"/>
  <c r="E2115" i="2"/>
  <c r="P2114" i="2"/>
  <c r="O2114" i="2"/>
  <c r="Q2114" i="2" s="1"/>
  <c r="R2114" i="2" s="1"/>
  <c r="N2114" i="2"/>
  <c r="M2114" i="2"/>
  <c r="K2114" i="2"/>
  <c r="I2114" i="2"/>
  <c r="E2114" i="2"/>
  <c r="P2113" i="2"/>
  <c r="O2113" i="2"/>
  <c r="Q2113" i="2" s="1"/>
  <c r="R2113" i="2" s="1"/>
  <c r="N2113" i="2"/>
  <c r="M2113" i="2"/>
  <c r="K2113" i="2"/>
  <c r="I2113" i="2"/>
  <c r="E2113" i="2"/>
  <c r="P2112" i="2"/>
  <c r="O2112" i="2"/>
  <c r="Q2112" i="2" s="1"/>
  <c r="R2112" i="2" s="1"/>
  <c r="N2112" i="2"/>
  <c r="M2112" i="2"/>
  <c r="K2112" i="2"/>
  <c r="I2112" i="2"/>
  <c r="E2112" i="2"/>
  <c r="P2110" i="2"/>
  <c r="O2110" i="2"/>
  <c r="Q2110" i="2" s="1"/>
  <c r="R2110" i="2" s="1"/>
  <c r="N2110" i="2"/>
  <c r="M2110" i="2"/>
  <c r="K2110" i="2"/>
  <c r="I2110" i="2"/>
  <c r="E2110" i="2"/>
  <c r="P2109" i="2"/>
  <c r="O2109" i="2"/>
  <c r="Q2109" i="2" s="1"/>
  <c r="R2109" i="2" s="1"/>
  <c r="N2109" i="2"/>
  <c r="M2109" i="2"/>
  <c r="K2109" i="2"/>
  <c r="I2109" i="2"/>
  <c r="E2109" i="2"/>
  <c r="P2108" i="2"/>
  <c r="O2108" i="2"/>
  <c r="Q2108" i="2" s="1"/>
  <c r="R2108" i="2" s="1"/>
  <c r="N2108" i="2"/>
  <c r="M2108" i="2"/>
  <c r="K2108" i="2"/>
  <c r="I2108" i="2"/>
  <c r="E2108" i="2"/>
  <c r="P2107" i="2"/>
  <c r="O2107" i="2"/>
  <c r="Q2107" i="2" s="1"/>
  <c r="R2107" i="2" s="1"/>
  <c r="N2107" i="2"/>
  <c r="M2107" i="2"/>
  <c r="K2107" i="2"/>
  <c r="I2107" i="2"/>
  <c r="E2107" i="2"/>
  <c r="P2106" i="2"/>
  <c r="O2106" i="2"/>
  <c r="Q2106" i="2" s="1"/>
  <c r="R2106" i="2" s="1"/>
  <c r="N2106" i="2"/>
  <c r="M2106" i="2"/>
  <c r="K2106" i="2"/>
  <c r="I2106" i="2"/>
  <c r="E2106" i="2"/>
  <c r="P2105" i="2"/>
  <c r="O2105" i="2"/>
  <c r="Q2105" i="2" s="1"/>
  <c r="R2105" i="2" s="1"/>
  <c r="N2105" i="2"/>
  <c r="M2105" i="2"/>
  <c r="K2105" i="2"/>
  <c r="I2105" i="2"/>
  <c r="E2105" i="2"/>
  <c r="P2104" i="2"/>
  <c r="O2104" i="2"/>
  <c r="Q2104" i="2" s="1"/>
  <c r="R2104" i="2" s="1"/>
  <c r="N2104" i="2"/>
  <c r="M2104" i="2"/>
  <c r="K2104" i="2"/>
  <c r="I2104" i="2"/>
  <c r="E2104" i="2"/>
  <c r="P2103" i="2"/>
  <c r="O2103" i="2"/>
  <c r="Q2103" i="2" s="1"/>
  <c r="R2103" i="2" s="1"/>
  <c r="N2103" i="2"/>
  <c r="M2103" i="2"/>
  <c r="K2103" i="2"/>
  <c r="I2103" i="2"/>
  <c r="E2103" i="2"/>
  <c r="P2102" i="2"/>
  <c r="O2102" i="2"/>
  <c r="Q2102" i="2" s="1"/>
  <c r="R2102" i="2" s="1"/>
  <c r="N2102" i="2"/>
  <c r="M2102" i="2"/>
  <c r="K2102" i="2"/>
  <c r="I2102" i="2"/>
  <c r="E2102" i="2"/>
  <c r="P2101" i="2"/>
  <c r="O2101" i="2"/>
  <c r="Q2101" i="2" s="1"/>
  <c r="R2101" i="2" s="1"/>
  <c r="N2101" i="2"/>
  <c r="M2101" i="2"/>
  <c r="K2101" i="2"/>
  <c r="I2101" i="2"/>
  <c r="E2101" i="2"/>
  <c r="P2100" i="2"/>
  <c r="O2100" i="2"/>
  <c r="Q2100" i="2" s="1"/>
  <c r="R2100" i="2" s="1"/>
  <c r="N2100" i="2"/>
  <c r="M2100" i="2"/>
  <c r="K2100" i="2"/>
  <c r="I2100" i="2"/>
  <c r="E2100" i="2"/>
  <c r="P2099" i="2"/>
  <c r="O2099" i="2"/>
  <c r="Q2099" i="2" s="1"/>
  <c r="R2099" i="2" s="1"/>
  <c r="N2099" i="2"/>
  <c r="M2099" i="2"/>
  <c r="K2099" i="2"/>
  <c r="I2099" i="2"/>
  <c r="E2099" i="2"/>
  <c r="P2098" i="2"/>
  <c r="O2098" i="2"/>
  <c r="Q2098" i="2" s="1"/>
  <c r="R2098" i="2" s="1"/>
  <c r="N2098" i="2"/>
  <c r="M2098" i="2"/>
  <c r="K2098" i="2"/>
  <c r="I2098" i="2"/>
  <c r="E2098" i="2"/>
  <c r="P2097" i="2"/>
  <c r="O2097" i="2"/>
  <c r="Q2097" i="2" s="1"/>
  <c r="R2097" i="2" s="1"/>
  <c r="N2097" i="2"/>
  <c r="M2097" i="2"/>
  <c r="K2097" i="2"/>
  <c r="I2097" i="2"/>
  <c r="E2097" i="2"/>
  <c r="P2096" i="2"/>
  <c r="O2096" i="2"/>
  <c r="Q2096" i="2" s="1"/>
  <c r="R2096" i="2" s="1"/>
  <c r="N2096" i="2"/>
  <c r="M2096" i="2"/>
  <c r="K2096" i="2"/>
  <c r="I2096" i="2"/>
  <c r="E2096" i="2"/>
  <c r="P2095" i="2"/>
  <c r="O2095" i="2"/>
  <c r="Q2095" i="2" s="1"/>
  <c r="R2095" i="2" s="1"/>
  <c r="N2095" i="2"/>
  <c r="M2095" i="2"/>
  <c r="K2095" i="2"/>
  <c r="I2095" i="2"/>
  <c r="E2095" i="2"/>
  <c r="P2094" i="2"/>
  <c r="O2094" i="2"/>
  <c r="Q2094" i="2" s="1"/>
  <c r="R2094" i="2" s="1"/>
  <c r="N2094" i="2"/>
  <c r="M2094" i="2"/>
  <c r="K2094" i="2"/>
  <c r="I2094" i="2"/>
  <c r="E2094" i="2"/>
  <c r="P2093" i="2"/>
  <c r="O2093" i="2"/>
  <c r="Q2093" i="2" s="1"/>
  <c r="R2093" i="2" s="1"/>
  <c r="N2093" i="2"/>
  <c r="M2093" i="2"/>
  <c r="K2093" i="2"/>
  <c r="I2093" i="2"/>
  <c r="E2093" i="2"/>
  <c r="P2092" i="2"/>
  <c r="O2092" i="2"/>
  <c r="Q2092" i="2" s="1"/>
  <c r="R2092" i="2" s="1"/>
  <c r="N2092" i="2"/>
  <c r="M2092" i="2"/>
  <c r="K2092" i="2"/>
  <c r="I2092" i="2"/>
  <c r="E2092" i="2"/>
  <c r="P2091" i="2"/>
  <c r="O2091" i="2"/>
  <c r="Q2091" i="2" s="1"/>
  <c r="R2091" i="2" s="1"/>
  <c r="N2091" i="2"/>
  <c r="M2091" i="2"/>
  <c r="K2091" i="2"/>
  <c r="I2091" i="2"/>
  <c r="E2091" i="2"/>
  <c r="P2090" i="2"/>
  <c r="O2090" i="2"/>
  <c r="Q2090" i="2" s="1"/>
  <c r="R2090" i="2" s="1"/>
  <c r="N2090" i="2"/>
  <c r="M2090" i="2"/>
  <c r="K2090" i="2"/>
  <c r="I2090" i="2"/>
  <c r="E2090" i="2"/>
  <c r="P2089" i="2"/>
  <c r="O2089" i="2"/>
  <c r="Q2089" i="2" s="1"/>
  <c r="R2089" i="2" s="1"/>
  <c r="N2089" i="2"/>
  <c r="M2089" i="2"/>
  <c r="K2089" i="2"/>
  <c r="I2089" i="2"/>
  <c r="E2089" i="2"/>
  <c r="P2088" i="2"/>
  <c r="O2088" i="2"/>
  <c r="Q2088" i="2" s="1"/>
  <c r="R2088" i="2" s="1"/>
  <c r="N2088" i="2"/>
  <c r="M2088" i="2"/>
  <c r="K2088" i="2"/>
  <c r="I2088" i="2"/>
  <c r="E2088" i="2"/>
  <c r="P2087" i="2"/>
  <c r="O2087" i="2"/>
  <c r="Q2087" i="2" s="1"/>
  <c r="R2087" i="2" s="1"/>
  <c r="N2087" i="2"/>
  <c r="M2087" i="2"/>
  <c r="K2087" i="2"/>
  <c r="I2087" i="2"/>
  <c r="E2087" i="2"/>
  <c r="P2085" i="2"/>
  <c r="O2085" i="2"/>
  <c r="Q2085" i="2" s="1"/>
  <c r="R2085" i="2" s="1"/>
  <c r="N2085" i="2"/>
  <c r="M2085" i="2"/>
  <c r="K2085" i="2"/>
  <c r="I2085" i="2"/>
  <c r="E2085" i="2"/>
  <c r="P2084" i="2"/>
  <c r="O2084" i="2"/>
  <c r="Q2084" i="2" s="1"/>
  <c r="R2084" i="2" s="1"/>
  <c r="N2084" i="2"/>
  <c r="M2084" i="2"/>
  <c r="K2084" i="2"/>
  <c r="I2084" i="2"/>
  <c r="E2084" i="2"/>
  <c r="P2083" i="2"/>
  <c r="O2083" i="2"/>
  <c r="Q2083" i="2" s="1"/>
  <c r="R2083" i="2" s="1"/>
  <c r="N2083" i="2"/>
  <c r="M2083" i="2"/>
  <c r="K2083" i="2"/>
  <c r="I2083" i="2"/>
  <c r="E2083" i="2"/>
  <c r="P2082" i="2"/>
  <c r="O2082" i="2"/>
  <c r="Q2082" i="2" s="1"/>
  <c r="R2082" i="2" s="1"/>
  <c r="N2082" i="2"/>
  <c r="M2082" i="2"/>
  <c r="K2082" i="2"/>
  <c r="I2082" i="2"/>
  <c r="E2082" i="2"/>
  <c r="P2081" i="2"/>
  <c r="O2081" i="2"/>
  <c r="Q2081" i="2" s="1"/>
  <c r="R2081" i="2" s="1"/>
  <c r="N2081" i="2"/>
  <c r="M2081" i="2"/>
  <c r="K2081" i="2"/>
  <c r="I2081" i="2"/>
  <c r="E2081" i="2"/>
  <c r="P2080" i="2"/>
  <c r="O2080" i="2"/>
  <c r="Q2080" i="2" s="1"/>
  <c r="R2080" i="2" s="1"/>
  <c r="N2080" i="2"/>
  <c r="M2080" i="2"/>
  <c r="K2080" i="2"/>
  <c r="I2080" i="2"/>
  <c r="E2080" i="2"/>
  <c r="P2079" i="2"/>
  <c r="O2079" i="2"/>
  <c r="Q2079" i="2" s="1"/>
  <c r="R2079" i="2" s="1"/>
  <c r="N2079" i="2"/>
  <c r="M2079" i="2"/>
  <c r="K2079" i="2"/>
  <c r="I2079" i="2"/>
  <c r="E2079" i="2"/>
  <c r="P2078" i="2"/>
  <c r="O2078" i="2"/>
  <c r="Q2078" i="2" s="1"/>
  <c r="R2078" i="2" s="1"/>
  <c r="N2078" i="2"/>
  <c r="M2078" i="2"/>
  <c r="K2078" i="2"/>
  <c r="I2078" i="2"/>
  <c r="E2078" i="2"/>
  <c r="P2077" i="2"/>
  <c r="O2077" i="2"/>
  <c r="Q2077" i="2" s="1"/>
  <c r="R2077" i="2" s="1"/>
  <c r="N2077" i="2"/>
  <c r="M2077" i="2"/>
  <c r="K2077" i="2"/>
  <c r="I2077" i="2"/>
  <c r="E2077" i="2"/>
  <c r="P2076" i="2"/>
  <c r="O2076" i="2"/>
  <c r="Q2076" i="2" s="1"/>
  <c r="R2076" i="2" s="1"/>
  <c r="N2076" i="2"/>
  <c r="M2076" i="2"/>
  <c r="K2076" i="2"/>
  <c r="I2076" i="2"/>
  <c r="E2076" i="2"/>
  <c r="P2075" i="2"/>
  <c r="O2075" i="2"/>
  <c r="Q2075" i="2" s="1"/>
  <c r="R2075" i="2" s="1"/>
  <c r="N2075" i="2"/>
  <c r="M2075" i="2"/>
  <c r="K2075" i="2"/>
  <c r="I2075" i="2"/>
  <c r="E2075" i="2"/>
  <c r="P2074" i="2"/>
  <c r="O2074" i="2"/>
  <c r="Q2074" i="2" s="1"/>
  <c r="R2074" i="2" s="1"/>
  <c r="N2074" i="2"/>
  <c r="M2074" i="2"/>
  <c r="K2074" i="2"/>
  <c r="I2074" i="2"/>
  <c r="E2074" i="2"/>
  <c r="P2073" i="2"/>
  <c r="O2073" i="2"/>
  <c r="Q2073" i="2" s="1"/>
  <c r="R2073" i="2" s="1"/>
  <c r="N2073" i="2"/>
  <c r="M2073" i="2"/>
  <c r="K2073" i="2"/>
  <c r="I2073" i="2"/>
  <c r="E2073" i="2"/>
  <c r="P2072" i="2"/>
  <c r="O2072" i="2"/>
  <c r="Q2072" i="2" s="1"/>
  <c r="R2072" i="2" s="1"/>
  <c r="N2072" i="2"/>
  <c r="M2072" i="2"/>
  <c r="K2072" i="2"/>
  <c r="I2072" i="2"/>
  <c r="E2072" i="2"/>
  <c r="P2071" i="2"/>
  <c r="O2071" i="2"/>
  <c r="Q2071" i="2" s="1"/>
  <c r="R2071" i="2" s="1"/>
  <c r="N2071" i="2"/>
  <c r="M2071" i="2"/>
  <c r="K2071" i="2"/>
  <c r="I2071" i="2"/>
  <c r="E2071" i="2"/>
  <c r="P2070" i="2"/>
  <c r="O2070" i="2"/>
  <c r="Q2070" i="2" s="1"/>
  <c r="R2070" i="2" s="1"/>
  <c r="N2070" i="2"/>
  <c r="M2070" i="2"/>
  <c r="K2070" i="2"/>
  <c r="I2070" i="2"/>
  <c r="E2070" i="2"/>
  <c r="P2069" i="2"/>
  <c r="O2069" i="2"/>
  <c r="Q2069" i="2" s="1"/>
  <c r="R2069" i="2" s="1"/>
  <c r="N2069" i="2"/>
  <c r="M2069" i="2"/>
  <c r="K2069" i="2"/>
  <c r="I2069" i="2"/>
  <c r="E2069" i="2"/>
  <c r="P2068" i="2"/>
  <c r="O2068" i="2"/>
  <c r="Q2068" i="2" s="1"/>
  <c r="R2068" i="2" s="1"/>
  <c r="N2068" i="2"/>
  <c r="M2068" i="2"/>
  <c r="K2068" i="2"/>
  <c r="I2068" i="2"/>
  <c r="E2068" i="2"/>
  <c r="P2067" i="2"/>
  <c r="O2067" i="2"/>
  <c r="Q2067" i="2" s="1"/>
  <c r="R2067" i="2" s="1"/>
  <c r="N2067" i="2"/>
  <c r="M2067" i="2"/>
  <c r="K2067" i="2"/>
  <c r="I2067" i="2"/>
  <c r="E2067" i="2"/>
  <c r="P2066" i="2"/>
  <c r="O2066" i="2"/>
  <c r="Q2066" i="2" s="1"/>
  <c r="R2066" i="2" s="1"/>
  <c r="N2066" i="2"/>
  <c r="M2066" i="2"/>
  <c r="K2066" i="2"/>
  <c r="I2066" i="2"/>
  <c r="E2066" i="2"/>
  <c r="P2065" i="2"/>
  <c r="O2065" i="2"/>
  <c r="Q2065" i="2" s="1"/>
  <c r="R2065" i="2" s="1"/>
  <c r="N2065" i="2"/>
  <c r="M2065" i="2"/>
  <c r="K2065" i="2"/>
  <c r="I2065" i="2"/>
  <c r="E2065" i="2"/>
  <c r="P2064" i="2"/>
  <c r="O2064" i="2"/>
  <c r="Q2064" i="2" s="1"/>
  <c r="R2064" i="2" s="1"/>
  <c r="N2064" i="2"/>
  <c r="M2064" i="2"/>
  <c r="K2064" i="2"/>
  <c r="I2064" i="2"/>
  <c r="E2064" i="2"/>
  <c r="P2063" i="2"/>
  <c r="O2063" i="2"/>
  <c r="Q2063" i="2" s="1"/>
  <c r="R2063" i="2" s="1"/>
  <c r="N2063" i="2"/>
  <c r="M2063" i="2"/>
  <c r="K2063" i="2"/>
  <c r="I2063" i="2"/>
  <c r="E2063" i="2"/>
  <c r="P2062" i="2"/>
  <c r="O2062" i="2"/>
  <c r="Q2062" i="2" s="1"/>
  <c r="R2062" i="2" s="1"/>
  <c r="N2062" i="2"/>
  <c r="M2062" i="2"/>
  <c r="K2062" i="2"/>
  <c r="I2062" i="2"/>
  <c r="E2062" i="2"/>
  <c r="P2061" i="2"/>
  <c r="O2061" i="2"/>
  <c r="Q2061" i="2" s="1"/>
  <c r="R2061" i="2" s="1"/>
  <c r="N2061" i="2"/>
  <c r="M2061" i="2"/>
  <c r="K2061" i="2"/>
  <c r="I2061" i="2"/>
  <c r="E2061" i="2"/>
  <c r="P2060" i="2"/>
  <c r="O2060" i="2"/>
  <c r="Q2060" i="2" s="1"/>
  <c r="R2060" i="2" s="1"/>
  <c r="N2060" i="2"/>
  <c r="M2060" i="2"/>
  <c r="K2060" i="2"/>
  <c r="I2060" i="2"/>
  <c r="E2060" i="2"/>
  <c r="P2059" i="2"/>
  <c r="O2059" i="2"/>
  <c r="Q2059" i="2" s="1"/>
  <c r="R2059" i="2" s="1"/>
  <c r="N2059" i="2"/>
  <c r="M2059" i="2"/>
  <c r="K2059" i="2"/>
  <c r="I2059" i="2"/>
  <c r="E2059" i="2"/>
  <c r="P2058" i="2"/>
  <c r="O2058" i="2"/>
  <c r="Q2058" i="2" s="1"/>
  <c r="R2058" i="2" s="1"/>
  <c r="N2058" i="2"/>
  <c r="M2058" i="2"/>
  <c r="K2058" i="2"/>
  <c r="I2058" i="2"/>
  <c r="E2058" i="2"/>
  <c r="P2057" i="2"/>
  <c r="O2057" i="2"/>
  <c r="Q2057" i="2" s="1"/>
  <c r="R2057" i="2" s="1"/>
  <c r="N2057" i="2"/>
  <c r="M2057" i="2"/>
  <c r="K2057" i="2"/>
  <c r="I2057" i="2"/>
  <c r="E2057" i="2"/>
  <c r="P2056" i="2"/>
  <c r="O2056" i="2"/>
  <c r="Q2056" i="2" s="1"/>
  <c r="R2056" i="2" s="1"/>
  <c r="N2056" i="2"/>
  <c r="M2056" i="2"/>
  <c r="K2056" i="2"/>
  <c r="I2056" i="2"/>
  <c r="E2056" i="2"/>
  <c r="P2055" i="2"/>
  <c r="O2055" i="2"/>
  <c r="Q2055" i="2" s="1"/>
  <c r="R2055" i="2" s="1"/>
  <c r="N2055" i="2"/>
  <c r="M2055" i="2"/>
  <c r="K2055" i="2"/>
  <c r="I2055" i="2"/>
  <c r="E2055" i="2"/>
  <c r="P2054" i="2"/>
  <c r="O2054" i="2"/>
  <c r="Q2054" i="2" s="1"/>
  <c r="R2054" i="2" s="1"/>
  <c r="N2054" i="2"/>
  <c r="M2054" i="2"/>
  <c r="K2054" i="2"/>
  <c r="I2054" i="2"/>
  <c r="E2054" i="2"/>
  <c r="P2053" i="2"/>
  <c r="O2053" i="2"/>
  <c r="Q2053" i="2" s="1"/>
  <c r="R2053" i="2" s="1"/>
  <c r="N2053" i="2"/>
  <c r="M2053" i="2"/>
  <c r="K2053" i="2"/>
  <c r="I2053" i="2"/>
  <c r="E2053" i="2"/>
  <c r="P2052" i="2"/>
  <c r="O2052" i="2"/>
  <c r="Q2052" i="2" s="1"/>
  <c r="R2052" i="2" s="1"/>
  <c r="N2052" i="2"/>
  <c r="M2052" i="2"/>
  <c r="K2052" i="2"/>
  <c r="I2052" i="2"/>
  <c r="E2052" i="2"/>
  <c r="P2051" i="2"/>
  <c r="O2051" i="2"/>
  <c r="Q2051" i="2" s="1"/>
  <c r="R2051" i="2" s="1"/>
  <c r="N2051" i="2"/>
  <c r="M2051" i="2"/>
  <c r="K2051" i="2"/>
  <c r="I2051" i="2"/>
  <c r="E2051" i="2"/>
  <c r="P2050" i="2"/>
  <c r="O2050" i="2"/>
  <c r="Q2050" i="2" s="1"/>
  <c r="R2050" i="2" s="1"/>
  <c r="N2050" i="2"/>
  <c r="M2050" i="2"/>
  <c r="K2050" i="2"/>
  <c r="I2050" i="2"/>
  <c r="E2050" i="2"/>
  <c r="P2049" i="2"/>
  <c r="O2049" i="2"/>
  <c r="Q2049" i="2" s="1"/>
  <c r="R2049" i="2" s="1"/>
  <c r="N2049" i="2"/>
  <c r="M2049" i="2"/>
  <c r="K2049" i="2"/>
  <c r="I2049" i="2"/>
  <c r="E2049" i="2"/>
  <c r="P2048" i="2"/>
  <c r="O2048" i="2"/>
  <c r="Q2048" i="2" s="1"/>
  <c r="R2048" i="2" s="1"/>
  <c r="N2048" i="2"/>
  <c r="M2048" i="2"/>
  <c r="K2048" i="2"/>
  <c r="I2048" i="2"/>
  <c r="E2048" i="2"/>
  <c r="P2047" i="2"/>
  <c r="O2047" i="2"/>
  <c r="Q2047" i="2" s="1"/>
  <c r="R2047" i="2" s="1"/>
  <c r="N2047" i="2"/>
  <c r="M2047" i="2"/>
  <c r="K2047" i="2"/>
  <c r="I2047" i="2"/>
  <c r="E2047" i="2"/>
  <c r="P2046" i="2"/>
  <c r="O2046" i="2"/>
  <c r="Q2046" i="2" s="1"/>
  <c r="R2046" i="2" s="1"/>
  <c r="N2046" i="2"/>
  <c r="M2046" i="2"/>
  <c r="K2046" i="2"/>
  <c r="I2046" i="2"/>
  <c r="E2046" i="2"/>
  <c r="P2045" i="2"/>
  <c r="O2045" i="2"/>
  <c r="Q2045" i="2" s="1"/>
  <c r="R2045" i="2" s="1"/>
  <c r="N2045" i="2"/>
  <c r="M2045" i="2"/>
  <c r="K2045" i="2"/>
  <c r="I2045" i="2"/>
  <c r="E2045" i="2"/>
  <c r="P2044" i="2"/>
  <c r="O2044" i="2"/>
  <c r="Q2044" i="2" s="1"/>
  <c r="R2044" i="2" s="1"/>
  <c r="N2044" i="2"/>
  <c r="M2044" i="2"/>
  <c r="K2044" i="2"/>
  <c r="I2044" i="2"/>
  <c r="E2044" i="2"/>
  <c r="P2043" i="2"/>
  <c r="O2043" i="2"/>
  <c r="Q2043" i="2" s="1"/>
  <c r="R2043" i="2" s="1"/>
  <c r="N2043" i="2"/>
  <c r="M2043" i="2"/>
  <c r="K2043" i="2"/>
  <c r="I2043" i="2"/>
  <c r="E2043" i="2"/>
  <c r="P2042" i="2"/>
  <c r="O2042" i="2"/>
  <c r="Q2042" i="2" s="1"/>
  <c r="R2042" i="2" s="1"/>
  <c r="N2042" i="2"/>
  <c r="M2042" i="2"/>
  <c r="K2042" i="2"/>
  <c r="I2042" i="2"/>
  <c r="E2042" i="2"/>
  <c r="P2041" i="2"/>
  <c r="O2041" i="2"/>
  <c r="Q2041" i="2" s="1"/>
  <c r="R2041" i="2" s="1"/>
  <c r="N2041" i="2"/>
  <c r="M2041" i="2"/>
  <c r="K2041" i="2"/>
  <c r="I2041" i="2"/>
  <c r="E2041" i="2"/>
  <c r="P2040" i="2"/>
  <c r="O2040" i="2"/>
  <c r="Q2040" i="2" s="1"/>
  <c r="R2040" i="2" s="1"/>
  <c r="N2040" i="2"/>
  <c r="M2040" i="2"/>
  <c r="K2040" i="2"/>
  <c r="I2040" i="2"/>
  <c r="E2040" i="2"/>
  <c r="P2039" i="2"/>
  <c r="O2039" i="2"/>
  <c r="Q2039" i="2" s="1"/>
  <c r="R2039" i="2" s="1"/>
  <c r="N2039" i="2"/>
  <c r="M2039" i="2"/>
  <c r="K2039" i="2"/>
  <c r="I2039" i="2"/>
  <c r="E2039" i="2"/>
  <c r="P2038" i="2"/>
  <c r="O2038" i="2"/>
  <c r="Q2038" i="2" s="1"/>
  <c r="R2038" i="2" s="1"/>
  <c r="N2038" i="2"/>
  <c r="M2038" i="2"/>
  <c r="K2038" i="2"/>
  <c r="I2038" i="2"/>
  <c r="E2038" i="2"/>
  <c r="R2037" i="2"/>
  <c r="P2037" i="2"/>
  <c r="O2037" i="2"/>
  <c r="Q2037" i="2" s="1"/>
  <c r="N2037" i="2"/>
  <c r="M2037" i="2"/>
  <c r="K2037" i="2"/>
  <c r="I2037" i="2"/>
  <c r="E2037" i="2"/>
  <c r="P2036" i="2"/>
  <c r="O2036" i="2"/>
  <c r="Q2036" i="2" s="1"/>
  <c r="R2036" i="2" s="1"/>
  <c r="N2036" i="2"/>
  <c r="M2036" i="2"/>
  <c r="K2036" i="2"/>
  <c r="I2036" i="2"/>
  <c r="E2036" i="2"/>
  <c r="P2035" i="2"/>
  <c r="O2035" i="2"/>
  <c r="Q2035" i="2" s="1"/>
  <c r="R2035" i="2" s="1"/>
  <c r="N2035" i="2"/>
  <c r="M2035" i="2"/>
  <c r="K2035" i="2"/>
  <c r="I2035" i="2"/>
  <c r="E2035" i="2"/>
  <c r="P2034" i="2"/>
  <c r="O2034" i="2"/>
  <c r="Q2034" i="2" s="1"/>
  <c r="R2034" i="2" s="1"/>
  <c r="N2034" i="2"/>
  <c r="M2034" i="2"/>
  <c r="K2034" i="2"/>
  <c r="I2034" i="2"/>
  <c r="E2034" i="2"/>
  <c r="P2033" i="2"/>
  <c r="O2033" i="2"/>
  <c r="Q2033" i="2" s="1"/>
  <c r="R2033" i="2" s="1"/>
  <c r="N2033" i="2"/>
  <c r="M2033" i="2"/>
  <c r="K2033" i="2"/>
  <c r="I2033" i="2"/>
  <c r="E2033" i="2"/>
  <c r="P2032" i="2"/>
  <c r="O2032" i="2"/>
  <c r="Q2032" i="2" s="1"/>
  <c r="R2032" i="2" s="1"/>
  <c r="N2032" i="2"/>
  <c r="M2032" i="2"/>
  <c r="K2032" i="2"/>
  <c r="I2032" i="2"/>
  <c r="E2032" i="2"/>
  <c r="P2031" i="2"/>
  <c r="O2031" i="2"/>
  <c r="Q2031" i="2" s="1"/>
  <c r="R2031" i="2" s="1"/>
  <c r="N2031" i="2"/>
  <c r="M2031" i="2"/>
  <c r="K2031" i="2"/>
  <c r="I2031" i="2"/>
  <c r="E2031" i="2"/>
  <c r="P2030" i="2"/>
  <c r="O2030" i="2"/>
  <c r="Q2030" i="2" s="1"/>
  <c r="R2030" i="2" s="1"/>
  <c r="N2030" i="2"/>
  <c r="M2030" i="2"/>
  <c r="K2030" i="2"/>
  <c r="I2030" i="2"/>
  <c r="E2030" i="2"/>
  <c r="P2029" i="2"/>
  <c r="O2029" i="2"/>
  <c r="Q2029" i="2" s="1"/>
  <c r="R2029" i="2" s="1"/>
  <c r="N2029" i="2"/>
  <c r="M2029" i="2"/>
  <c r="K2029" i="2"/>
  <c r="I2029" i="2"/>
  <c r="E2029" i="2"/>
  <c r="P2028" i="2"/>
  <c r="O2028" i="2"/>
  <c r="Q2028" i="2" s="1"/>
  <c r="R2028" i="2" s="1"/>
  <c r="N2028" i="2"/>
  <c r="M2028" i="2"/>
  <c r="K2028" i="2"/>
  <c r="I2028" i="2"/>
  <c r="E2028" i="2"/>
  <c r="P2027" i="2"/>
  <c r="O2027" i="2"/>
  <c r="Q2027" i="2" s="1"/>
  <c r="R2027" i="2" s="1"/>
  <c r="N2027" i="2"/>
  <c r="M2027" i="2"/>
  <c r="K2027" i="2"/>
  <c r="I2027" i="2"/>
  <c r="E2027" i="2"/>
  <c r="P2026" i="2"/>
  <c r="O2026" i="2"/>
  <c r="Q2026" i="2" s="1"/>
  <c r="R2026" i="2" s="1"/>
  <c r="N2026" i="2"/>
  <c r="M2026" i="2"/>
  <c r="K2026" i="2"/>
  <c r="I2026" i="2"/>
  <c r="E2026" i="2"/>
  <c r="P2025" i="2"/>
  <c r="O2025" i="2"/>
  <c r="Q2025" i="2" s="1"/>
  <c r="R2025" i="2" s="1"/>
  <c r="N2025" i="2"/>
  <c r="M2025" i="2"/>
  <c r="K2025" i="2"/>
  <c r="I2025" i="2"/>
  <c r="E2025" i="2"/>
  <c r="P2024" i="2"/>
  <c r="O2024" i="2"/>
  <c r="Q2024" i="2" s="1"/>
  <c r="R2024" i="2" s="1"/>
  <c r="N2024" i="2"/>
  <c r="M2024" i="2"/>
  <c r="K2024" i="2"/>
  <c r="I2024" i="2"/>
  <c r="E2024" i="2"/>
  <c r="P2023" i="2"/>
  <c r="O2023" i="2"/>
  <c r="Q2023" i="2" s="1"/>
  <c r="R2023" i="2" s="1"/>
  <c r="N2023" i="2"/>
  <c r="M2023" i="2"/>
  <c r="K2023" i="2"/>
  <c r="I2023" i="2"/>
  <c r="E2023" i="2"/>
  <c r="P2022" i="2"/>
  <c r="O2022" i="2"/>
  <c r="Q2022" i="2" s="1"/>
  <c r="R2022" i="2" s="1"/>
  <c r="N2022" i="2"/>
  <c r="M2022" i="2"/>
  <c r="K2022" i="2"/>
  <c r="I2022" i="2"/>
  <c r="E2022" i="2"/>
  <c r="R2021" i="2"/>
  <c r="P2021" i="2"/>
  <c r="O2021" i="2"/>
  <c r="Q2021" i="2" s="1"/>
  <c r="N2021" i="2"/>
  <c r="M2021" i="2"/>
  <c r="K2021" i="2"/>
  <c r="I2021" i="2"/>
  <c r="E2021" i="2"/>
  <c r="P2020" i="2"/>
  <c r="O2020" i="2"/>
  <c r="Q2020" i="2" s="1"/>
  <c r="R2020" i="2" s="1"/>
  <c r="N2020" i="2"/>
  <c r="M2020" i="2"/>
  <c r="K2020" i="2"/>
  <c r="I2020" i="2"/>
  <c r="E2020" i="2"/>
  <c r="P2019" i="2"/>
  <c r="O2019" i="2"/>
  <c r="Q2019" i="2" s="1"/>
  <c r="R2019" i="2" s="1"/>
  <c r="N2019" i="2"/>
  <c r="M2019" i="2"/>
  <c r="K2019" i="2"/>
  <c r="I2019" i="2"/>
  <c r="E2019" i="2"/>
  <c r="P2018" i="2"/>
  <c r="O2018" i="2"/>
  <c r="Q2018" i="2" s="1"/>
  <c r="R2018" i="2" s="1"/>
  <c r="N2018" i="2"/>
  <c r="M2018" i="2"/>
  <c r="K2018" i="2"/>
  <c r="I2018" i="2"/>
  <c r="E2018" i="2"/>
  <c r="P2017" i="2"/>
  <c r="O2017" i="2"/>
  <c r="Q2017" i="2" s="1"/>
  <c r="R2017" i="2" s="1"/>
  <c r="N2017" i="2"/>
  <c r="M2017" i="2"/>
  <c r="K2017" i="2"/>
  <c r="I2017" i="2"/>
  <c r="E2017" i="2"/>
  <c r="P2016" i="2"/>
  <c r="O2016" i="2"/>
  <c r="Q2016" i="2" s="1"/>
  <c r="R2016" i="2" s="1"/>
  <c r="N2016" i="2"/>
  <c r="M2016" i="2"/>
  <c r="K2016" i="2"/>
  <c r="I2016" i="2"/>
  <c r="E2016" i="2"/>
  <c r="P2015" i="2"/>
  <c r="O2015" i="2"/>
  <c r="Q2015" i="2" s="1"/>
  <c r="R2015" i="2" s="1"/>
  <c r="N2015" i="2"/>
  <c r="M2015" i="2"/>
  <c r="K2015" i="2"/>
  <c r="I2015" i="2"/>
  <c r="E2015" i="2"/>
  <c r="P2014" i="2"/>
  <c r="O2014" i="2"/>
  <c r="Q2014" i="2" s="1"/>
  <c r="R2014" i="2" s="1"/>
  <c r="N2014" i="2"/>
  <c r="M2014" i="2"/>
  <c r="K2014" i="2"/>
  <c r="I2014" i="2"/>
  <c r="E2014" i="2"/>
  <c r="P2013" i="2"/>
  <c r="O2013" i="2"/>
  <c r="Q2013" i="2" s="1"/>
  <c r="R2013" i="2" s="1"/>
  <c r="N2013" i="2"/>
  <c r="M2013" i="2"/>
  <c r="K2013" i="2"/>
  <c r="I2013" i="2"/>
  <c r="E2013" i="2"/>
  <c r="P2012" i="2"/>
  <c r="O2012" i="2"/>
  <c r="Q2012" i="2" s="1"/>
  <c r="R2012" i="2" s="1"/>
  <c r="N2012" i="2"/>
  <c r="M2012" i="2"/>
  <c r="K2012" i="2"/>
  <c r="I2012" i="2"/>
  <c r="E2012" i="2"/>
  <c r="P2011" i="2"/>
  <c r="O2011" i="2"/>
  <c r="Q2011" i="2" s="1"/>
  <c r="R2011" i="2" s="1"/>
  <c r="N2011" i="2"/>
  <c r="M2011" i="2"/>
  <c r="K2011" i="2"/>
  <c r="I2011" i="2"/>
  <c r="E2011" i="2"/>
  <c r="P2010" i="2"/>
  <c r="O2010" i="2"/>
  <c r="Q2010" i="2" s="1"/>
  <c r="R2010" i="2" s="1"/>
  <c r="N2010" i="2"/>
  <c r="M2010" i="2"/>
  <c r="K2010" i="2"/>
  <c r="I2010" i="2"/>
  <c r="E2010" i="2"/>
  <c r="P2009" i="2"/>
  <c r="O2009" i="2"/>
  <c r="Q2009" i="2" s="1"/>
  <c r="R2009" i="2" s="1"/>
  <c r="N2009" i="2"/>
  <c r="M2009" i="2"/>
  <c r="K2009" i="2"/>
  <c r="I2009" i="2"/>
  <c r="E2009" i="2"/>
  <c r="P2008" i="2"/>
  <c r="O2008" i="2"/>
  <c r="Q2008" i="2" s="1"/>
  <c r="R2008" i="2" s="1"/>
  <c r="N2008" i="2"/>
  <c r="M2008" i="2"/>
  <c r="K2008" i="2"/>
  <c r="I2008" i="2"/>
  <c r="E2008" i="2"/>
  <c r="P2007" i="2"/>
  <c r="O2007" i="2"/>
  <c r="Q2007" i="2" s="1"/>
  <c r="R2007" i="2" s="1"/>
  <c r="N2007" i="2"/>
  <c r="M2007" i="2"/>
  <c r="K2007" i="2"/>
  <c r="I2007" i="2"/>
  <c r="E2007" i="2"/>
  <c r="P2006" i="2"/>
  <c r="O2006" i="2"/>
  <c r="Q2006" i="2" s="1"/>
  <c r="R2006" i="2" s="1"/>
  <c r="N2006" i="2"/>
  <c r="M2006" i="2"/>
  <c r="K2006" i="2"/>
  <c r="I2006" i="2"/>
  <c r="E2006" i="2"/>
  <c r="P2005" i="2"/>
  <c r="O2005" i="2"/>
  <c r="Q2005" i="2" s="1"/>
  <c r="R2005" i="2" s="1"/>
  <c r="N2005" i="2"/>
  <c r="M2005" i="2"/>
  <c r="K2005" i="2"/>
  <c r="I2005" i="2"/>
  <c r="E2005" i="2"/>
  <c r="P2004" i="2"/>
  <c r="O2004" i="2"/>
  <c r="Q2004" i="2" s="1"/>
  <c r="R2004" i="2" s="1"/>
  <c r="N2004" i="2"/>
  <c r="M2004" i="2"/>
  <c r="K2004" i="2"/>
  <c r="I2004" i="2"/>
  <c r="E2004" i="2"/>
  <c r="P2003" i="2"/>
  <c r="O2003" i="2"/>
  <c r="Q2003" i="2" s="1"/>
  <c r="R2003" i="2" s="1"/>
  <c r="N2003" i="2"/>
  <c r="M2003" i="2"/>
  <c r="K2003" i="2"/>
  <c r="I2003" i="2"/>
  <c r="E2003" i="2"/>
  <c r="P2002" i="2"/>
  <c r="O2002" i="2"/>
  <c r="Q2002" i="2" s="1"/>
  <c r="R2002" i="2" s="1"/>
  <c r="N2002" i="2"/>
  <c r="M2002" i="2"/>
  <c r="K2002" i="2"/>
  <c r="I2002" i="2"/>
  <c r="E2002" i="2"/>
  <c r="P2001" i="2"/>
  <c r="O2001" i="2"/>
  <c r="Q2001" i="2" s="1"/>
  <c r="R2001" i="2" s="1"/>
  <c r="N2001" i="2"/>
  <c r="M2001" i="2"/>
  <c r="K2001" i="2"/>
  <c r="I2001" i="2"/>
  <c r="E2001" i="2"/>
  <c r="P2000" i="2"/>
  <c r="O2000" i="2"/>
  <c r="Q2000" i="2" s="1"/>
  <c r="R2000" i="2" s="1"/>
  <c r="N2000" i="2"/>
  <c r="M2000" i="2"/>
  <c r="K2000" i="2"/>
  <c r="I2000" i="2"/>
  <c r="E2000" i="2"/>
  <c r="P1999" i="2"/>
  <c r="O1999" i="2"/>
  <c r="Q1999" i="2" s="1"/>
  <c r="R1999" i="2" s="1"/>
  <c r="N1999" i="2"/>
  <c r="M1999" i="2"/>
  <c r="K1999" i="2"/>
  <c r="I1999" i="2"/>
  <c r="E1999" i="2"/>
  <c r="R1998" i="2"/>
  <c r="P1998" i="2"/>
  <c r="O1998" i="2"/>
  <c r="Q1998" i="2" s="1"/>
  <c r="N1998" i="2"/>
  <c r="M1998" i="2"/>
  <c r="K1998" i="2"/>
  <c r="I1998" i="2"/>
  <c r="E1998" i="2"/>
  <c r="P1997" i="2"/>
  <c r="O1997" i="2"/>
  <c r="Q1997" i="2" s="1"/>
  <c r="R1997" i="2" s="1"/>
  <c r="N1997" i="2"/>
  <c r="M1997" i="2"/>
  <c r="K1997" i="2"/>
  <c r="I1997" i="2"/>
  <c r="E1997" i="2"/>
  <c r="P1996" i="2"/>
  <c r="O1996" i="2"/>
  <c r="Q1996" i="2" s="1"/>
  <c r="R1996" i="2" s="1"/>
  <c r="N1996" i="2"/>
  <c r="M1996" i="2"/>
  <c r="K1996" i="2"/>
  <c r="I1996" i="2"/>
  <c r="E1996" i="2"/>
  <c r="P1995" i="2"/>
  <c r="O1995" i="2"/>
  <c r="Q1995" i="2" s="1"/>
  <c r="R1995" i="2" s="1"/>
  <c r="N1995" i="2"/>
  <c r="M1995" i="2"/>
  <c r="K1995" i="2"/>
  <c r="I1995" i="2"/>
  <c r="E1995" i="2"/>
  <c r="P1994" i="2"/>
  <c r="O1994" i="2"/>
  <c r="Q1994" i="2" s="1"/>
  <c r="R1994" i="2" s="1"/>
  <c r="N1994" i="2"/>
  <c r="M1994" i="2"/>
  <c r="K1994" i="2"/>
  <c r="I1994" i="2"/>
  <c r="E1994" i="2"/>
  <c r="P1993" i="2"/>
  <c r="O1993" i="2"/>
  <c r="Q1993" i="2" s="1"/>
  <c r="R1993" i="2" s="1"/>
  <c r="N1993" i="2"/>
  <c r="M1993" i="2"/>
  <c r="K1993" i="2"/>
  <c r="I1993" i="2"/>
  <c r="E1993" i="2"/>
  <c r="P1992" i="2"/>
  <c r="O1992" i="2"/>
  <c r="Q1992" i="2" s="1"/>
  <c r="R1992" i="2" s="1"/>
  <c r="N1992" i="2"/>
  <c r="M1992" i="2"/>
  <c r="K1992" i="2"/>
  <c r="I1992" i="2"/>
  <c r="E1992" i="2"/>
  <c r="P1991" i="2"/>
  <c r="O1991" i="2"/>
  <c r="Q1991" i="2" s="1"/>
  <c r="R1991" i="2" s="1"/>
  <c r="N1991" i="2"/>
  <c r="M1991" i="2"/>
  <c r="K1991" i="2"/>
  <c r="I1991" i="2"/>
  <c r="E1991" i="2"/>
  <c r="P1990" i="2"/>
  <c r="O1990" i="2"/>
  <c r="Q1990" i="2" s="1"/>
  <c r="R1990" i="2" s="1"/>
  <c r="N1990" i="2"/>
  <c r="M1990" i="2"/>
  <c r="K1990" i="2"/>
  <c r="I1990" i="2"/>
  <c r="E1990" i="2"/>
  <c r="R1989" i="2"/>
  <c r="P1989" i="2"/>
  <c r="O1989" i="2"/>
  <c r="Q1989" i="2" s="1"/>
  <c r="N1989" i="2"/>
  <c r="M1989" i="2"/>
  <c r="K1989" i="2"/>
  <c r="I1989" i="2"/>
  <c r="E1989" i="2"/>
  <c r="P1988" i="2"/>
  <c r="O1988" i="2"/>
  <c r="Q1988" i="2" s="1"/>
  <c r="R1988" i="2" s="1"/>
  <c r="N1988" i="2"/>
  <c r="M1988" i="2"/>
  <c r="K1988" i="2"/>
  <c r="I1988" i="2"/>
  <c r="E1988" i="2"/>
  <c r="P1987" i="2"/>
  <c r="O1987" i="2"/>
  <c r="Q1987" i="2" s="1"/>
  <c r="R1987" i="2" s="1"/>
  <c r="N1987" i="2"/>
  <c r="M1987" i="2"/>
  <c r="K1987" i="2"/>
  <c r="I1987" i="2"/>
  <c r="E1987" i="2"/>
  <c r="P1986" i="2"/>
  <c r="O1986" i="2"/>
  <c r="Q1986" i="2" s="1"/>
  <c r="R1986" i="2" s="1"/>
  <c r="N1986" i="2"/>
  <c r="M1986" i="2"/>
  <c r="K1986" i="2"/>
  <c r="I1986" i="2"/>
  <c r="E1986" i="2"/>
  <c r="P1985" i="2"/>
  <c r="O1985" i="2"/>
  <c r="Q1985" i="2" s="1"/>
  <c r="R1985" i="2" s="1"/>
  <c r="N1985" i="2"/>
  <c r="M1985" i="2"/>
  <c r="K1985" i="2"/>
  <c r="I1985" i="2"/>
  <c r="E1985" i="2"/>
  <c r="P1984" i="2"/>
  <c r="O1984" i="2"/>
  <c r="Q1984" i="2" s="1"/>
  <c r="R1984" i="2" s="1"/>
  <c r="N1984" i="2"/>
  <c r="M1984" i="2"/>
  <c r="K1984" i="2"/>
  <c r="I1984" i="2"/>
  <c r="E1984" i="2"/>
  <c r="P1983" i="2"/>
  <c r="O1983" i="2"/>
  <c r="Q1983" i="2" s="1"/>
  <c r="R1983" i="2" s="1"/>
  <c r="N1983" i="2"/>
  <c r="M1983" i="2"/>
  <c r="K1983" i="2"/>
  <c r="I1983" i="2"/>
  <c r="E1983" i="2"/>
  <c r="P1982" i="2"/>
  <c r="O1982" i="2"/>
  <c r="Q1982" i="2" s="1"/>
  <c r="R1982" i="2" s="1"/>
  <c r="N1982" i="2"/>
  <c r="M1982" i="2"/>
  <c r="K1982" i="2"/>
  <c r="I1982" i="2"/>
  <c r="E1982" i="2"/>
  <c r="P1981" i="2"/>
  <c r="O1981" i="2"/>
  <c r="Q1981" i="2" s="1"/>
  <c r="R1981" i="2" s="1"/>
  <c r="N1981" i="2"/>
  <c r="M1981" i="2"/>
  <c r="K1981" i="2"/>
  <c r="I1981" i="2"/>
  <c r="E1981" i="2"/>
  <c r="P1980" i="2"/>
  <c r="O1980" i="2"/>
  <c r="Q1980" i="2" s="1"/>
  <c r="R1980" i="2" s="1"/>
  <c r="N1980" i="2"/>
  <c r="M1980" i="2"/>
  <c r="K1980" i="2"/>
  <c r="I1980" i="2"/>
  <c r="E1980" i="2"/>
  <c r="P1979" i="2"/>
  <c r="O1979" i="2"/>
  <c r="Q1979" i="2" s="1"/>
  <c r="R1979" i="2" s="1"/>
  <c r="N1979" i="2"/>
  <c r="M1979" i="2"/>
  <c r="K1979" i="2"/>
  <c r="I1979" i="2"/>
  <c r="E1979" i="2"/>
  <c r="P1978" i="2"/>
  <c r="O1978" i="2"/>
  <c r="Q1978" i="2" s="1"/>
  <c r="R1978" i="2" s="1"/>
  <c r="N1978" i="2"/>
  <c r="M1978" i="2"/>
  <c r="K1978" i="2"/>
  <c r="I1978" i="2"/>
  <c r="E1978" i="2"/>
  <c r="P1977" i="2"/>
  <c r="O1977" i="2"/>
  <c r="Q1977" i="2" s="1"/>
  <c r="R1977" i="2" s="1"/>
  <c r="N1977" i="2"/>
  <c r="M1977" i="2"/>
  <c r="K1977" i="2"/>
  <c r="I1977" i="2"/>
  <c r="E1977" i="2"/>
  <c r="P1976" i="2"/>
  <c r="O1976" i="2"/>
  <c r="Q1976" i="2" s="1"/>
  <c r="R1976" i="2" s="1"/>
  <c r="N1976" i="2"/>
  <c r="M1976" i="2"/>
  <c r="K1976" i="2"/>
  <c r="I1976" i="2"/>
  <c r="E1976" i="2"/>
  <c r="P1975" i="2"/>
  <c r="O1975" i="2"/>
  <c r="Q1975" i="2" s="1"/>
  <c r="R1975" i="2" s="1"/>
  <c r="N1975" i="2"/>
  <c r="M1975" i="2"/>
  <c r="K1975" i="2"/>
  <c r="I1975" i="2"/>
  <c r="E1975" i="2"/>
  <c r="R1974" i="2"/>
  <c r="P1974" i="2"/>
  <c r="O1974" i="2"/>
  <c r="Q1974" i="2" s="1"/>
  <c r="N1974" i="2"/>
  <c r="M1974" i="2"/>
  <c r="K1974" i="2"/>
  <c r="I1974" i="2"/>
  <c r="E1974" i="2"/>
  <c r="R1973" i="2"/>
  <c r="P1973" i="2"/>
  <c r="O1973" i="2"/>
  <c r="Q1973" i="2" s="1"/>
  <c r="N1973" i="2"/>
  <c r="M1973" i="2"/>
  <c r="K1973" i="2"/>
  <c r="I1973" i="2"/>
  <c r="E1973" i="2"/>
  <c r="P1972" i="2"/>
  <c r="O1972" i="2"/>
  <c r="Q1972" i="2" s="1"/>
  <c r="R1972" i="2" s="1"/>
  <c r="N1972" i="2"/>
  <c r="M1972" i="2"/>
  <c r="K1972" i="2"/>
  <c r="I1972" i="2"/>
  <c r="E1972" i="2"/>
  <c r="P1971" i="2"/>
  <c r="O1971" i="2"/>
  <c r="Q1971" i="2" s="1"/>
  <c r="R1971" i="2" s="1"/>
  <c r="N1971" i="2"/>
  <c r="M1971" i="2"/>
  <c r="K1971" i="2"/>
  <c r="I1971" i="2"/>
  <c r="E1971" i="2"/>
  <c r="P1969" i="2"/>
  <c r="O1969" i="2"/>
  <c r="Q1969" i="2" s="1"/>
  <c r="R1969" i="2" s="1"/>
  <c r="N1969" i="2"/>
  <c r="M1969" i="2"/>
  <c r="K1969" i="2"/>
  <c r="I1969" i="2"/>
  <c r="E1969" i="2"/>
  <c r="P1968" i="2"/>
  <c r="O1968" i="2"/>
  <c r="Q1968" i="2" s="1"/>
  <c r="R1968" i="2" s="1"/>
  <c r="N1968" i="2"/>
  <c r="M1968" i="2"/>
  <c r="K1968" i="2"/>
  <c r="I1968" i="2"/>
  <c r="E1968" i="2"/>
  <c r="P1967" i="2"/>
  <c r="O1967" i="2"/>
  <c r="Q1967" i="2" s="1"/>
  <c r="R1967" i="2" s="1"/>
  <c r="N1967" i="2"/>
  <c r="M1967" i="2"/>
  <c r="K1967" i="2"/>
  <c r="I1967" i="2"/>
  <c r="E1967" i="2"/>
  <c r="P1966" i="2"/>
  <c r="O1966" i="2"/>
  <c r="Q1966" i="2" s="1"/>
  <c r="R1966" i="2" s="1"/>
  <c r="N1966" i="2"/>
  <c r="M1966" i="2"/>
  <c r="K1966" i="2"/>
  <c r="I1966" i="2"/>
  <c r="E1966" i="2"/>
  <c r="P1965" i="2"/>
  <c r="O1965" i="2"/>
  <c r="Q1965" i="2" s="1"/>
  <c r="R1965" i="2" s="1"/>
  <c r="N1965" i="2"/>
  <c r="M1965" i="2"/>
  <c r="K1965" i="2"/>
  <c r="I1965" i="2"/>
  <c r="E1965" i="2"/>
  <c r="R1964" i="2"/>
  <c r="P1964" i="2"/>
  <c r="O1964" i="2"/>
  <c r="Q1964" i="2" s="1"/>
  <c r="N1964" i="2"/>
  <c r="M1964" i="2"/>
  <c r="K1964" i="2"/>
  <c r="I1964" i="2"/>
  <c r="E1964" i="2"/>
  <c r="P1963" i="2"/>
  <c r="O1963" i="2"/>
  <c r="Q1963" i="2" s="1"/>
  <c r="R1963" i="2" s="1"/>
  <c r="N1963" i="2"/>
  <c r="M1963" i="2"/>
  <c r="K1963" i="2"/>
  <c r="I1963" i="2"/>
  <c r="E1963" i="2"/>
  <c r="P1962" i="2"/>
  <c r="O1962" i="2"/>
  <c r="Q1962" i="2" s="1"/>
  <c r="R1962" i="2" s="1"/>
  <c r="N1962" i="2"/>
  <c r="M1962" i="2"/>
  <c r="K1962" i="2"/>
  <c r="I1962" i="2"/>
  <c r="E1962" i="2"/>
  <c r="P1961" i="2"/>
  <c r="O1961" i="2"/>
  <c r="Q1961" i="2" s="1"/>
  <c r="R1961" i="2" s="1"/>
  <c r="N1961" i="2"/>
  <c r="M1961" i="2"/>
  <c r="K1961" i="2"/>
  <c r="I1961" i="2"/>
  <c r="E1961" i="2"/>
  <c r="P1960" i="2"/>
  <c r="O1960" i="2"/>
  <c r="Q1960" i="2" s="1"/>
  <c r="R1960" i="2" s="1"/>
  <c r="N1960" i="2"/>
  <c r="M1960" i="2"/>
  <c r="K1960" i="2"/>
  <c r="I1960" i="2"/>
  <c r="E1960" i="2"/>
  <c r="P1959" i="2"/>
  <c r="O1959" i="2"/>
  <c r="Q1959" i="2" s="1"/>
  <c r="R1959" i="2" s="1"/>
  <c r="N1959" i="2"/>
  <c r="M1959" i="2"/>
  <c r="K1959" i="2"/>
  <c r="I1959" i="2"/>
  <c r="E1959" i="2"/>
  <c r="P1958" i="2"/>
  <c r="O1958" i="2"/>
  <c r="Q1958" i="2" s="1"/>
  <c r="R1958" i="2" s="1"/>
  <c r="N1958" i="2"/>
  <c r="M1958" i="2"/>
  <c r="K1958" i="2"/>
  <c r="I1958" i="2"/>
  <c r="E1958" i="2"/>
  <c r="R1956" i="2"/>
  <c r="P1956" i="2"/>
  <c r="O1956" i="2"/>
  <c r="Q1956" i="2" s="1"/>
  <c r="N1956" i="2"/>
  <c r="M1956" i="2"/>
  <c r="K1956" i="2"/>
  <c r="I1956" i="2"/>
  <c r="E1956" i="2"/>
  <c r="P1955" i="2"/>
  <c r="O1955" i="2"/>
  <c r="Q1955" i="2" s="1"/>
  <c r="R1955" i="2" s="1"/>
  <c r="N1955" i="2"/>
  <c r="M1955" i="2"/>
  <c r="K1955" i="2"/>
  <c r="I1955" i="2"/>
  <c r="E1955" i="2"/>
  <c r="P1954" i="2"/>
  <c r="O1954" i="2"/>
  <c r="Q1954" i="2" s="1"/>
  <c r="R1954" i="2" s="1"/>
  <c r="N1954" i="2"/>
  <c r="M1954" i="2"/>
  <c r="K1954" i="2"/>
  <c r="I1954" i="2"/>
  <c r="E1954" i="2"/>
  <c r="P1953" i="2"/>
  <c r="O1953" i="2"/>
  <c r="Q1953" i="2" s="1"/>
  <c r="R1953" i="2" s="1"/>
  <c r="N1953" i="2"/>
  <c r="M1953" i="2"/>
  <c r="K1953" i="2"/>
  <c r="I1953" i="2"/>
  <c r="E1953" i="2"/>
  <c r="P1952" i="2"/>
  <c r="O1952" i="2"/>
  <c r="Q1952" i="2" s="1"/>
  <c r="R1952" i="2" s="1"/>
  <c r="N1952" i="2"/>
  <c r="M1952" i="2"/>
  <c r="K1952" i="2"/>
  <c r="I1952" i="2"/>
  <c r="E1952" i="2"/>
  <c r="P1951" i="2"/>
  <c r="O1951" i="2"/>
  <c r="Q1951" i="2" s="1"/>
  <c r="R1951" i="2" s="1"/>
  <c r="N1951" i="2"/>
  <c r="M1951" i="2"/>
  <c r="K1951" i="2"/>
  <c r="I1951" i="2"/>
  <c r="E1951" i="2"/>
  <c r="P1950" i="2"/>
  <c r="O1950" i="2"/>
  <c r="Q1950" i="2" s="1"/>
  <c r="R1950" i="2" s="1"/>
  <c r="N1950" i="2"/>
  <c r="M1950" i="2"/>
  <c r="K1950" i="2"/>
  <c r="I1950" i="2"/>
  <c r="E1950" i="2"/>
  <c r="P1949" i="2"/>
  <c r="O1949" i="2"/>
  <c r="Q1949" i="2" s="1"/>
  <c r="R1949" i="2" s="1"/>
  <c r="N1949" i="2"/>
  <c r="M1949" i="2"/>
  <c r="K1949" i="2"/>
  <c r="I1949" i="2"/>
  <c r="E1949" i="2"/>
  <c r="R1948" i="2"/>
  <c r="P1948" i="2"/>
  <c r="O1948" i="2"/>
  <c r="Q1948" i="2" s="1"/>
  <c r="N1948" i="2"/>
  <c r="M1948" i="2"/>
  <c r="K1948" i="2"/>
  <c r="I1948" i="2"/>
  <c r="E1948" i="2"/>
  <c r="P1947" i="2"/>
  <c r="O1947" i="2"/>
  <c r="Q1947" i="2" s="1"/>
  <c r="R1947" i="2" s="1"/>
  <c r="N1947" i="2"/>
  <c r="M1947" i="2"/>
  <c r="K1947" i="2"/>
  <c r="I1947" i="2"/>
  <c r="E1947" i="2"/>
  <c r="P1946" i="2"/>
  <c r="O1946" i="2"/>
  <c r="Q1946" i="2" s="1"/>
  <c r="R1946" i="2" s="1"/>
  <c r="N1946" i="2"/>
  <c r="M1946" i="2"/>
  <c r="K1946" i="2"/>
  <c r="I1946" i="2"/>
  <c r="E1946" i="2"/>
  <c r="R1945" i="2"/>
  <c r="P1945" i="2"/>
  <c r="O1945" i="2"/>
  <c r="Q1945" i="2" s="1"/>
  <c r="N1945" i="2"/>
  <c r="M1945" i="2"/>
  <c r="K1945" i="2"/>
  <c r="I1945" i="2"/>
  <c r="E1945" i="2"/>
  <c r="P1944" i="2"/>
  <c r="O1944" i="2"/>
  <c r="Q1944" i="2" s="1"/>
  <c r="R1944" i="2" s="1"/>
  <c r="N1944" i="2"/>
  <c r="M1944" i="2"/>
  <c r="K1944" i="2"/>
  <c r="I1944" i="2"/>
  <c r="E1944" i="2"/>
  <c r="P1943" i="2"/>
  <c r="O1943" i="2"/>
  <c r="Q1943" i="2" s="1"/>
  <c r="R1943" i="2" s="1"/>
  <c r="N1943" i="2"/>
  <c r="M1943" i="2"/>
  <c r="K1943" i="2"/>
  <c r="I1943" i="2"/>
  <c r="E1943" i="2"/>
  <c r="R1942" i="2"/>
  <c r="P1942" i="2"/>
  <c r="O1942" i="2"/>
  <c r="Q1942" i="2" s="1"/>
  <c r="N1942" i="2"/>
  <c r="M1942" i="2"/>
  <c r="K1942" i="2"/>
  <c r="I1942" i="2"/>
  <c r="E1942" i="2"/>
  <c r="P1941" i="2"/>
  <c r="O1941" i="2"/>
  <c r="Q1941" i="2" s="1"/>
  <c r="R1941" i="2" s="1"/>
  <c r="N1941" i="2"/>
  <c r="M1941" i="2"/>
  <c r="K1941" i="2"/>
  <c r="I1941" i="2"/>
  <c r="E1941" i="2"/>
  <c r="P1940" i="2"/>
  <c r="O1940" i="2"/>
  <c r="Q1940" i="2" s="1"/>
  <c r="R1940" i="2" s="1"/>
  <c r="N1940" i="2"/>
  <c r="M1940" i="2"/>
  <c r="K1940" i="2"/>
  <c r="I1940" i="2"/>
  <c r="E1940" i="2"/>
  <c r="R1939" i="2"/>
  <c r="P1939" i="2"/>
  <c r="O1939" i="2"/>
  <c r="Q1939" i="2" s="1"/>
  <c r="N1939" i="2"/>
  <c r="M1939" i="2"/>
  <c r="K1939" i="2"/>
  <c r="I1939" i="2"/>
  <c r="E1939" i="2"/>
  <c r="P1938" i="2"/>
  <c r="O1938" i="2"/>
  <c r="Q1938" i="2" s="1"/>
  <c r="R1938" i="2" s="1"/>
  <c r="N1938" i="2"/>
  <c r="M1938" i="2"/>
  <c r="K1938" i="2"/>
  <c r="I1938" i="2"/>
  <c r="E1938" i="2"/>
  <c r="P1937" i="2"/>
  <c r="O1937" i="2"/>
  <c r="Q1937" i="2" s="1"/>
  <c r="R1937" i="2" s="1"/>
  <c r="N1937" i="2"/>
  <c r="M1937" i="2"/>
  <c r="K1937" i="2"/>
  <c r="I1937" i="2"/>
  <c r="E1937" i="2"/>
  <c r="R1936" i="2"/>
  <c r="P1936" i="2"/>
  <c r="O1936" i="2"/>
  <c r="Q1936" i="2" s="1"/>
  <c r="N1936" i="2"/>
  <c r="M1936" i="2"/>
  <c r="K1936" i="2"/>
  <c r="I1936" i="2"/>
  <c r="E1936" i="2"/>
  <c r="P1935" i="2"/>
  <c r="O1935" i="2"/>
  <c r="Q1935" i="2" s="1"/>
  <c r="R1935" i="2" s="1"/>
  <c r="N1935" i="2"/>
  <c r="M1935" i="2"/>
  <c r="K1935" i="2"/>
  <c r="I1935" i="2"/>
  <c r="E1935" i="2"/>
  <c r="P1934" i="2"/>
  <c r="O1934" i="2"/>
  <c r="Q1934" i="2" s="1"/>
  <c r="R1934" i="2" s="1"/>
  <c r="N1934" i="2"/>
  <c r="M1934" i="2"/>
  <c r="K1934" i="2"/>
  <c r="I1934" i="2"/>
  <c r="E1934" i="2"/>
  <c r="R1933" i="2"/>
  <c r="P1933" i="2"/>
  <c r="O1933" i="2"/>
  <c r="Q1933" i="2" s="1"/>
  <c r="N1933" i="2"/>
  <c r="M1933" i="2"/>
  <c r="K1933" i="2"/>
  <c r="I1933" i="2"/>
  <c r="E1933" i="2"/>
  <c r="P1932" i="2"/>
  <c r="O1932" i="2"/>
  <c r="Q1932" i="2" s="1"/>
  <c r="R1932" i="2" s="1"/>
  <c r="N1932" i="2"/>
  <c r="M1932" i="2"/>
  <c r="K1932" i="2"/>
  <c r="I1932" i="2"/>
  <c r="E1932" i="2"/>
  <c r="P1931" i="2"/>
  <c r="O1931" i="2"/>
  <c r="Q1931" i="2" s="1"/>
  <c r="R1931" i="2" s="1"/>
  <c r="N1931" i="2"/>
  <c r="M1931" i="2"/>
  <c r="K1931" i="2"/>
  <c r="I1931" i="2"/>
  <c r="E1931" i="2"/>
  <c r="R1930" i="2"/>
  <c r="P1930" i="2"/>
  <c r="O1930" i="2"/>
  <c r="Q1930" i="2" s="1"/>
  <c r="N1930" i="2"/>
  <c r="M1930" i="2"/>
  <c r="K1930" i="2"/>
  <c r="I1930" i="2"/>
  <c r="E1930" i="2"/>
  <c r="P1929" i="2"/>
  <c r="O1929" i="2"/>
  <c r="Q1929" i="2" s="1"/>
  <c r="R1929" i="2" s="1"/>
  <c r="N1929" i="2"/>
  <c r="M1929" i="2"/>
  <c r="K1929" i="2"/>
  <c r="I1929" i="2"/>
  <c r="E1929" i="2"/>
  <c r="P1928" i="2"/>
  <c r="O1928" i="2"/>
  <c r="Q1928" i="2" s="1"/>
  <c r="R1928" i="2" s="1"/>
  <c r="N1928" i="2"/>
  <c r="M1928" i="2"/>
  <c r="K1928" i="2"/>
  <c r="I1928" i="2"/>
  <c r="E1928" i="2"/>
  <c r="R1927" i="2"/>
  <c r="P1927" i="2"/>
  <c r="O1927" i="2"/>
  <c r="Q1927" i="2" s="1"/>
  <c r="N1927" i="2"/>
  <c r="M1927" i="2"/>
  <c r="K1927" i="2"/>
  <c r="I1927" i="2"/>
  <c r="E1927" i="2"/>
  <c r="P1926" i="2"/>
  <c r="O1926" i="2"/>
  <c r="Q1926" i="2" s="1"/>
  <c r="R1926" i="2" s="1"/>
  <c r="N1926" i="2"/>
  <c r="M1926" i="2"/>
  <c r="K1926" i="2"/>
  <c r="I1926" i="2"/>
  <c r="E1926" i="2"/>
  <c r="P1925" i="2"/>
  <c r="O1925" i="2"/>
  <c r="Q1925" i="2" s="1"/>
  <c r="R1925" i="2" s="1"/>
  <c r="N1925" i="2"/>
  <c r="M1925" i="2"/>
  <c r="K1925" i="2"/>
  <c r="I1925" i="2"/>
  <c r="E1925" i="2"/>
  <c r="R1924" i="2"/>
  <c r="P1924" i="2"/>
  <c r="O1924" i="2"/>
  <c r="Q1924" i="2" s="1"/>
  <c r="N1924" i="2"/>
  <c r="M1924" i="2"/>
  <c r="K1924" i="2"/>
  <c r="I1924" i="2"/>
  <c r="E1924" i="2"/>
  <c r="P1923" i="2"/>
  <c r="O1923" i="2"/>
  <c r="Q1923" i="2" s="1"/>
  <c r="R1923" i="2" s="1"/>
  <c r="N1923" i="2"/>
  <c r="M1923" i="2"/>
  <c r="K1923" i="2"/>
  <c r="I1923" i="2"/>
  <c r="E1923" i="2"/>
  <c r="P1922" i="2"/>
  <c r="O1922" i="2"/>
  <c r="Q1922" i="2" s="1"/>
  <c r="R1922" i="2" s="1"/>
  <c r="N1922" i="2"/>
  <c r="M1922" i="2"/>
  <c r="K1922" i="2"/>
  <c r="I1922" i="2"/>
  <c r="E1922" i="2"/>
  <c r="R1921" i="2"/>
  <c r="P1921" i="2"/>
  <c r="O1921" i="2"/>
  <c r="Q1921" i="2" s="1"/>
  <c r="N1921" i="2"/>
  <c r="M1921" i="2"/>
  <c r="K1921" i="2"/>
  <c r="I1921" i="2"/>
  <c r="E1921" i="2"/>
  <c r="P1920" i="2"/>
  <c r="O1920" i="2"/>
  <c r="Q1920" i="2" s="1"/>
  <c r="R1920" i="2" s="1"/>
  <c r="N1920" i="2"/>
  <c r="M1920" i="2"/>
  <c r="K1920" i="2"/>
  <c r="I1920" i="2"/>
  <c r="E1920" i="2"/>
  <c r="P1919" i="2"/>
  <c r="O1919" i="2"/>
  <c r="Q1919" i="2" s="1"/>
  <c r="R1919" i="2" s="1"/>
  <c r="N1919" i="2"/>
  <c r="M1919" i="2"/>
  <c r="K1919" i="2"/>
  <c r="I1919" i="2"/>
  <c r="E1919" i="2"/>
  <c r="R1917" i="2"/>
  <c r="P1917" i="2"/>
  <c r="O1917" i="2"/>
  <c r="Q1917" i="2" s="1"/>
  <c r="N1917" i="2"/>
  <c r="M1917" i="2"/>
  <c r="K1917" i="2"/>
  <c r="I1917" i="2"/>
  <c r="E1917" i="2"/>
  <c r="P1916" i="2"/>
  <c r="O1916" i="2"/>
  <c r="Q1916" i="2" s="1"/>
  <c r="R1916" i="2" s="1"/>
  <c r="N1916" i="2"/>
  <c r="M1916" i="2"/>
  <c r="K1916" i="2"/>
  <c r="I1916" i="2"/>
  <c r="E1916" i="2"/>
  <c r="P1915" i="2"/>
  <c r="O1915" i="2"/>
  <c r="Q1915" i="2" s="1"/>
  <c r="R1915" i="2" s="1"/>
  <c r="N1915" i="2"/>
  <c r="M1915" i="2"/>
  <c r="K1915" i="2"/>
  <c r="I1915" i="2"/>
  <c r="E1915" i="2"/>
  <c r="R1914" i="2"/>
  <c r="P1914" i="2"/>
  <c r="O1914" i="2"/>
  <c r="Q1914" i="2" s="1"/>
  <c r="N1914" i="2"/>
  <c r="M1914" i="2"/>
  <c r="K1914" i="2"/>
  <c r="I1914" i="2"/>
  <c r="E1914" i="2"/>
  <c r="P1913" i="2"/>
  <c r="O1913" i="2"/>
  <c r="Q1913" i="2" s="1"/>
  <c r="R1913" i="2" s="1"/>
  <c r="N1913" i="2"/>
  <c r="M1913" i="2"/>
  <c r="K1913" i="2"/>
  <c r="I1913" i="2"/>
  <c r="E1913" i="2"/>
  <c r="P1912" i="2"/>
  <c r="O1912" i="2"/>
  <c r="Q1912" i="2" s="1"/>
  <c r="R1912" i="2" s="1"/>
  <c r="N1912" i="2"/>
  <c r="M1912" i="2"/>
  <c r="K1912" i="2"/>
  <c r="I1912" i="2"/>
  <c r="E1912" i="2"/>
  <c r="R1911" i="2"/>
  <c r="P1911" i="2"/>
  <c r="O1911" i="2"/>
  <c r="Q1911" i="2" s="1"/>
  <c r="N1911" i="2"/>
  <c r="M1911" i="2"/>
  <c r="K1911" i="2"/>
  <c r="I1911" i="2"/>
  <c r="E1911" i="2"/>
  <c r="P1910" i="2"/>
  <c r="O1910" i="2"/>
  <c r="Q1910" i="2" s="1"/>
  <c r="R1910" i="2" s="1"/>
  <c r="N1910" i="2"/>
  <c r="M1910" i="2"/>
  <c r="K1910" i="2"/>
  <c r="I1910" i="2"/>
  <c r="E1910" i="2"/>
  <c r="P1909" i="2"/>
  <c r="O1909" i="2"/>
  <c r="Q1909" i="2" s="1"/>
  <c r="R1909" i="2" s="1"/>
  <c r="N1909" i="2"/>
  <c r="M1909" i="2"/>
  <c r="K1909" i="2"/>
  <c r="I1909" i="2"/>
  <c r="E1909" i="2"/>
  <c r="R1908" i="2"/>
  <c r="P1908" i="2"/>
  <c r="O1908" i="2"/>
  <c r="Q1908" i="2" s="1"/>
  <c r="N1908" i="2"/>
  <c r="M1908" i="2"/>
  <c r="K1908" i="2"/>
  <c r="I1908" i="2"/>
  <c r="E1908" i="2"/>
  <c r="P1907" i="2"/>
  <c r="O1907" i="2"/>
  <c r="Q1907" i="2" s="1"/>
  <c r="R1907" i="2" s="1"/>
  <c r="N1907" i="2"/>
  <c r="M1907" i="2"/>
  <c r="K1907" i="2"/>
  <c r="I1907" i="2"/>
  <c r="E1907" i="2"/>
  <c r="P1906" i="2"/>
  <c r="O1906" i="2"/>
  <c r="Q1906" i="2" s="1"/>
  <c r="R1906" i="2" s="1"/>
  <c r="N1906" i="2"/>
  <c r="M1906" i="2"/>
  <c r="K1906" i="2"/>
  <c r="I1906" i="2"/>
  <c r="E1906" i="2"/>
  <c r="R1905" i="2"/>
  <c r="P1905" i="2"/>
  <c r="O1905" i="2"/>
  <c r="Q1905" i="2" s="1"/>
  <c r="N1905" i="2"/>
  <c r="M1905" i="2"/>
  <c r="K1905" i="2"/>
  <c r="I1905" i="2"/>
  <c r="E1905" i="2"/>
  <c r="P1904" i="2"/>
  <c r="O1904" i="2"/>
  <c r="Q1904" i="2" s="1"/>
  <c r="R1904" i="2" s="1"/>
  <c r="N1904" i="2"/>
  <c r="M1904" i="2"/>
  <c r="K1904" i="2"/>
  <c r="I1904" i="2"/>
  <c r="E1904" i="2"/>
  <c r="P1903" i="2"/>
  <c r="O1903" i="2"/>
  <c r="Q1903" i="2" s="1"/>
  <c r="R1903" i="2" s="1"/>
  <c r="N1903" i="2"/>
  <c r="M1903" i="2"/>
  <c r="K1903" i="2"/>
  <c r="I1903" i="2"/>
  <c r="E1903" i="2"/>
  <c r="R1902" i="2"/>
  <c r="P1902" i="2"/>
  <c r="O1902" i="2"/>
  <c r="Q1902" i="2" s="1"/>
  <c r="N1902" i="2"/>
  <c r="M1902" i="2"/>
  <c r="K1902" i="2"/>
  <c r="I1902" i="2"/>
  <c r="E1902" i="2"/>
  <c r="P1901" i="2"/>
  <c r="O1901" i="2"/>
  <c r="Q1901" i="2" s="1"/>
  <c r="R1901" i="2" s="1"/>
  <c r="N1901" i="2"/>
  <c r="M1901" i="2"/>
  <c r="K1901" i="2"/>
  <c r="I1901" i="2"/>
  <c r="E1901" i="2"/>
  <c r="P1900" i="2"/>
  <c r="O1900" i="2"/>
  <c r="Q1900" i="2" s="1"/>
  <c r="R1900" i="2" s="1"/>
  <c r="N1900" i="2"/>
  <c r="M1900" i="2"/>
  <c r="K1900" i="2"/>
  <c r="I1900" i="2"/>
  <c r="E1900" i="2"/>
  <c r="R1899" i="2"/>
  <c r="P1899" i="2"/>
  <c r="O1899" i="2"/>
  <c r="Q1899" i="2" s="1"/>
  <c r="N1899" i="2"/>
  <c r="M1899" i="2"/>
  <c r="K1899" i="2"/>
  <c r="I1899" i="2"/>
  <c r="E1899" i="2"/>
  <c r="P1898" i="2"/>
  <c r="O1898" i="2"/>
  <c r="Q1898" i="2" s="1"/>
  <c r="R1898" i="2" s="1"/>
  <c r="N1898" i="2"/>
  <c r="M1898" i="2"/>
  <c r="K1898" i="2"/>
  <c r="I1898" i="2"/>
  <c r="E1898" i="2"/>
  <c r="P1897" i="2"/>
  <c r="O1897" i="2"/>
  <c r="Q1897" i="2" s="1"/>
  <c r="R1897" i="2" s="1"/>
  <c r="N1897" i="2"/>
  <c r="M1897" i="2"/>
  <c r="K1897" i="2"/>
  <c r="I1897" i="2"/>
  <c r="E1897" i="2"/>
  <c r="R1896" i="2"/>
  <c r="P1896" i="2"/>
  <c r="O1896" i="2"/>
  <c r="Q1896" i="2" s="1"/>
  <c r="N1896" i="2"/>
  <c r="M1896" i="2"/>
  <c r="K1896" i="2"/>
  <c r="I1896" i="2"/>
  <c r="E1896" i="2"/>
  <c r="P1895" i="2"/>
  <c r="O1895" i="2"/>
  <c r="Q1895" i="2" s="1"/>
  <c r="R1895" i="2" s="1"/>
  <c r="N1895" i="2"/>
  <c r="M1895" i="2"/>
  <c r="K1895" i="2"/>
  <c r="I1895" i="2"/>
  <c r="E1895" i="2"/>
  <c r="P1894" i="2"/>
  <c r="O1894" i="2"/>
  <c r="Q1894" i="2" s="1"/>
  <c r="R1894" i="2" s="1"/>
  <c r="N1894" i="2"/>
  <c r="M1894" i="2"/>
  <c r="K1894" i="2"/>
  <c r="I1894" i="2"/>
  <c r="E1894" i="2"/>
  <c r="R1893" i="2"/>
  <c r="P1893" i="2"/>
  <c r="O1893" i="2"/>
  <c r="Q1893" i="2" s="1"/>
  <c r="N1893" i="2"/>
  <c r="M1893" i="2"/>
  <c r="K1893" i="2"/>
  <c r="I1893" i="2"/>
  <c r="E1893" i="2"/>
  <c r="P1892" i="2"/>
  <c r="O1892" i="2"/>
  <c r="Q1892" i="2" s="1"/>
  <c r="R1892" i="2" s="1"/>
  <c r="N1892" i="2"/>
  <c r="M1892" i="2"/>
  <c r="K1892" i="2"/>
  <c r="I1892" i="2"/>
  <c r="E1892" i="2"/>
  <c r="P1891" i="2"/>
  <c r="O1891" i="2"/>
  <c r="Q1891" i="2" s="1"/>
  <c r="R1891" i="2" s="1"/>
  <c r="N1891" i="2"/>
  <c r="M1891" i="2"/>
  <c r="K1891" i="2"/>
  <c r="I1891" i="2"/>
  <c r="E1891" i="2"/>
  <c r="R1890" i="2"/>
  <c r="P1890" i="2"/>
  <c r="O1890" i="2"/>
  <c r="Q1890" i="2" s="1"/>
  <c r="N1890" i="2"/>
  <c r="M1890" i="2"/>
  <c r="K1890" i="2"/>
  <c r="I1890" i="2"/>
  <c r="E1890" i="2"/>
  <c r="P1889" i="2"/>
  <c r="O1889" i="2"/>
  <c r="Q1889" i="2" s="1"/>
  <c r="R1889" i="2" s="1"/>
  <c r="N1889" i="2"/>
  <c r="M1889" i="2"/>
  <c r="K1889" i="2"/>
  <c r="I1889" i="2"/>
  <c r="E1889" i="2"/>
  <c r="P1888" i="2"/>
  <c r="O1888" i="2"/>
  <c r="Q1888" i="2" s="1"/>
  <c r="R1888" i="2" s="1"/>
  <c r="N1888" i="2"/>
  <c r="M1888" i="2"/>
  <c r="K1888" i="2"/>
  <c r="I1888" i="2"/>
  <c r="E1888" i="2"/>
  <c r="R1887" i="2"/>
  <c r="P1887" i="2"/>
  <c r="O1887" i="2"/>
  <c r="Q1887" i="2" s="1"/>
  <c r="N1887" i="2"/>
  <c r="M1887" i="2"/>
  <c r="K1887" i="2"/>
  <c r="I1887" i="2"/>
  <c r="E1887" i="2"/>
  <c r="P1886" i="2"/>
  <c r="O1886" i="2"/>
  <c r="Q1886" i="2" s="1"/>
  <c r="R1886" i="2" s="1"/>
  <c r="N1886" i="2"/>
  <c r="M1886" i="2"/>
  <c r="K1886" i="2"/>
  <c r="I1886" i="2"/>
  <c r="E1886" i="2"/>
  <c r="P1885" i="2"/>
  <c r="O1885" i="2"/>
  <c r="Q1885" i="2" s="1"/>
  <c r="R1885" i="2" s="1"/>
  <c r="N1885" i="2"/>
  <c r="M1885" i="2"/>
  <c r="K1885" i="2"/>
  <c r="I1885" i="2"/>
  <c r="E1885" i="2"/>
  <c r="R1883" i="2"/>
  <c r="P1883" i="2"/>
  <c r="O1883" i="2"/>
  <c r="Q1883" i="2" s="1"/>
  <c r="N1883" i="2"/>
  <c r="M1883" i="2"/>
  <c r="K1883" i="2"/>
  <c r="I1883" i="2"/>
  <c r="E1883" i="2"/>
  <c r="P1882" i="2"/>
  <c r="O1882" i="2"/>
  <c r="Q1882" i="2" s="1"/>
  <c r="R1882" i="2" s="1"/>
  <c r="N1882" i="2"/>
  <c r="M1882" i="2"/>
  <c r="K1882" i="2"/>
  <c r="I1882" i="2"/>
  <c r="E1882" i="2"/>
  <c r="P1881" i="2"/>
  <c r="O1881" i="2"/>
  <c r="Q1881" i="2" s="1"/>
  <c r="R1881" i="2" s="1"/>
  <c r="N1881" i="2"/>
  <c r="M1881" i="2"/>
  <c r="K1881" i="2"/>
  <c r="I1881" i="2"/>
  <c r="E1881" i="2"/>
  <c r="R1880" i="2"/>
  <c r="P1880" i="2"/>
  <c r="O1880" i="2"/>
  <c r="Q1880" i="2" s="1"/>
  <c r="N1880" i="2"/>
  <c r="M1880" i="2"/>
  <c r="K1880" i="2"/>
  <c r="I1880" i="2"/>
  <c r="E1880" i="2"/>
  <c r="P1879" i="2"/>
  <c r="O1879" i="2"/>
  <c r="Q1879" i="2" s="1"/>
  <c r="R1879" i="2" s="1"/>
  <c r="N1879" i="2"/>
  <c r="M1879" i="2"/>
  <c r="K1879" i="2"/>
  <c r="I1879" i="2"/>
  <c r="E1879" i="2"/>
  <c r="P1878" i="2"/>
  <c r="O1878" i="2"/>
  <c r="Q1878" i="2" s="1"/>
  <c r="R1878" i="2" s="1"/>
  <c r="N1878" i="2"/>
  <c r="M1878" i="2"/>
  <c r="K1878" i="2"/>
  <c r="I1878" i="2"/>
  <c r="E1878" i="2"/>
  <c r="R1877" i="2"/>
  <c r="P1877" i="2"/>
  <c r="O1877" i="2"/>
  <c r="Q1877" i="2" s="1"/>
  <c r="N1877" i="2"/>
  <c r="M1877" i="2"/>
  <c r="K1877" i="2"/>
  <c r="I1877" i="2"/>
  <c r="E1877" i="2"/>
  <c r="P1876" i="2"/>
  <c r="O1876" i="2"/>
  <c r="Q1876" i="2" s="1"/>
  <c r="R1876" i="2" s="1"/>
  <c r="N1876" i="2"/>
  <c r="M1876" i="2"/>
  <c r="K1876" i="2"/>
  <c r="I1876" i="2"/>
  <c r="E1876" i="2"/>
  <c r="P1875" i="2"/>
  <c r="O1875" i="2"/>
  <c r="Q1875" i="2" s="1"/>
  <c r="R1875" i="2" s="1"/>
  <c r="N1875" i="2"/>
  <c r="M1875" i="2"/>
  <c r="K1875" i="2"/>
  <c r="I1875" i="2"/>
  <c r="E1875" i="2"/>
  <c r="P1874" i="2"/>
  <c r="O1874" i="2"/>
  <c r="Q1874" i="2" s="1"/>
  <c r="R1874" i="2" s="1"/>
  <c r="N1874" i="2"/>
  <c r="M1874" i="2"/>
  <c r="K1874" i="2"/>
  <c r="I1874" i="2"/>
  <c r="E1874" i="2"/>
  <c r="P1873" i="2"/>
  <c r="O1873" i="2"/>
  <c r="Q1873" i="2" s="1"/>
  <c r="R1873" i="2" s="1"/>
  <c r="N1873" i="2"/>
  <c r="M1873" i="2"/>
  <c r="K1873" i="2"/>
  <c r="I1873" i="2"/>
  <c r="E1873" i="2"/>
  <c r="R1872" i="2"/>
  <c r="P1872" i="2"/>
  <c r="O1872" i="2"/>
  <c r="Q1872" i="2" s="1"/>
  <c r="N1872" i="2"/>
  <c r="M1872" i="2"/>
  <c r="K1872" i="2"/>
  <c r="I1872" i="2"/>
  <c r="E1872" i="2"/>
  <c r="P1871" i="2"/>
  <c r="O1871" i="2"/>
  <c r="Q1871" i="2" s="1"/>
  <c r="R1871" i="2" s="1"/>
  <c r="N1871" i="2"/>
  <c r="M1871" i="2"/>
  <c r="K1871" i="2"/>
  <c r="I1871" i="2"/>
  <c r="E1871" i="2"/>
  <c r="R1870" i="2"/>
  <c r="P1870" i="2"/>
  <c r="O1870" i="2"/>
  <c r="Q1870" i="2" s="1"/>
  <c r="N1870" i="2"/>
  <c r="M1870" i="2"/>
  <c r="K1870" i="2"/>
  <c r="I1870" i="2"/>
  <c r="E1870" i="2"/>
  <c r="R1869" i="2"/>
  <c r="P1869" i="2"/>
  <c r="O1869" i="2"/>
  <c r="Q1869" i="2" s="1"/>
  <c r="N1869" i="2"/>
  <c r="M1869" i="2"/>
  <c r="K1869" i="2"/>
  <c r="I1869" i="2"/>
  <c r="E1869" i="2"/>
  <c r="P1868" i="2"/>
  <c r="O1868" i="2"/>
  <c r="Q1868" i="2" s="1"/>
  <c r="R1868" i="2" s="1"/>
  <c r="N1868" i="2"/>
  <c r="M1868" i="2"/>
  <c r="K1868" i="2"/>
  <c r="I1868" i="2"/>
  <c r="E1868" i="2"/>
  <c r="R1867" i="2"/>
  <c r="P1867" i="2"/>
  <c r="O1867" i="2"/>
  <c r="Q1867" i="2" s="1"/>
  <c r="N1867" i="2"/>
  <c r="M1867" i="2"/>
  <c r="K1867" i="2"/>
  <c r="I1867" i="2"/>
  <c r="E1867" i="2"/>
  <c r="P1866" i="2"/>
  <c r="O1866" i="2"/>
  <c r="Q1866" i="2" s="1"/>
  <c r="R1866" i="2" s="1"/>
  <c r="N1866" i="2"/>
  <c r="M1866" i="2"/>
  <c r="K1866" i="2"/>
  <c r="I1866" i="2"/>
  <c r="E1866" i="2"/>
  <c r="P1865" i="2"/>
  <c r="O1865" i="2"/>
  <c r="Q1865" i="2" s="1"/>
  <c r="R1865" i="2" s="1"/>
  <c r="N1865" i="2"/>
  <c r="M1865" i="2"/>
  <c r="K1865" i="2"/>
  <c r="I1865" i="2"/>
  <c r="E1865" i="2"/>
  <c r="P1864" i="2"/>
  <c r="O1864" i="2"/>
  <c r="Q1864" i="2" s="1"/>
  <c r="R1864" i="2" s="1"/>
  <c r="N1864" i="2"/>
  <c r="M1864" i="2"/>
  <c r="K1864" i="2"/>
  <c r="I1864" i="2"/>
  <c r="E1864" i="2"/>
  <c r="R1863" i="2"/>
  <c r="P1863" i="2"/>
  <c r="O1863" i="2"/>
  <c r="Q1863" i="2" s="1"/>
  <c r="N1863" i="2"/>
  <c r="M1863" i="2"/>
  <c r="K1863" i="2"/>
  <c r="I1863" i="2"/>
  <c r="E1863" i="2"/>
  <c r="P1862" i="2"/>
  <c r="O1862" i="2"/>
  <c r="Q1862" i="2" s="1"/>
  <c r="R1862" i="2" s="1"/>
  <c r="N1862" i="2"/>
  <c r="M1862" i="2"/>
  <c r="K1862" i="2"/>
  <c r="I1862" i="2"/>
  <c r="E1862" i="2"/>
  <c r="R1861" i="2"/>
  <c r="P1861" i="2"/>
  <c r="O1861" i="2"/>
  <c r="Q1861" i="2" s="1"/>
  <c r="N1861" i="2"/>
  <c r="M1861" i="2"/>
  <c r="K1861" i="2"/>
  <c r="I1861" i="2"/>
  <c r="E1861" i="2"/>
  <c r="R1860" i="2"/>
  <c r="P1860" i="2"/>
  <c r="O1860" i="2"/>
  <c r="Q1860" i="2" s="1"/>
  <c r="N1860" i="2"/>
  <c r="M1860" i="2"/>
  <c r="K1860" i="2"/>
  <c r="I1860" i="2"/>
  <c r="E1860" i="2"/>
  <c r="P1859" i="2"/>
  <c r="O1859" i="2"/>
  <c r="Q1859" i="2" s="1"/>
  <c r="R1859" i="2" s="1"/>
  <c r="N1859" i="2"/>
  <c r="M1859" i="2"/>
  <c r="K1859" i="2"/>
  <c r="I1859" i="2"/>
  <c r="E1859" i="2"/>
  <c r="R1858" i="2"/>
  <c r="P1858" i="2"/>
  <c r="O1858" i="2"/>
  <c r="Q1858" i="2" s="1"/>
  <c r="N1858" i="2"/>
  <c r="M1858" i="2"/>
  <c r="K1858" i="2"/>
  <c r="I1858" i="2"/>
  <c r="E1858" i="2"/>
  <c r="P1857" i="2"/>
  <c r="O1857" i="2"/>
  <c r="Q1857" i="2" s="1"/>
  <c r="R1857" i="2" s="1"/>
  <c r="N1857" i="2"/>
  <c r="M1857" i="2"/>
  <c r="K1857" i="2"/>
  <c r="I1857" i="2"/>
  <c r="E1857" i="2"/>
  <c r="P1856" i="2"/>
  <c r="O1856" i="2"/>
  <c r="Q1856" i="2" s="1"/>
  <c r="R1856" i="2" s="1"/>
  <c r="N1856" i="2"/>
  <c r="M1856" i="2"/>
  <c r="K1856" i="2"/>
  <c r="I1856" i="2"/>
  <c r="E1856" i="2"/>
  <c r="P1855" i="2"/>
  <c r="O1855" i="2"/>
  <c r="Q1855" i="2" s="1"/>
  <c r="R1855" i="2" s="1"/>
  <c r="N1855" i="2"/>
  <c r="M1855" i="2"/>
  <c r="K1855" i="2"/>
  <c r="I1855" i="2"/>
  <c r="E1855" i="2"/>
  <c r="R1854" i="2"/>
  <c r="P1854" i="2"/>
  <c r="O1854" i="2"/>
  <c r="Q1854" i="2" s="1"/>
  <c r="N1854" i="2"/>
  <c r="M1854" i="2"/>
  <c r="K1854" i="2"/>
  <c r="I1854" i="2"/>
  <c r="E1854" i="2"/>
  <c r="P1853" i="2"/>
  <c r="O1853" i="2"/>
  <c r="Q1853" i="2" s="1"/>
  <c r="R1853" i="2" s="1"/>
  <c r="N1853" i="2"/>
  <c r="M1853" i="2"/>
  <c r="K1853" i="2"/>
  <c r="I1853" i="2"/>
  <c r="E1853" i="2"/>
  <c r="R1852" i="2"/>
  <c r="P1852" i="2"/>
  <c r="O1852" i="2"/>
  <c r="Q1852" i="2" s="1"/>
  <c r="N1852" i="2"/>
  <c r="M1852" i="2"/>
  <c r="K1852" i="2"/>
  <c r="I1852" i="2"/>
  <c r="E1852" i="2"/>
  <c r="P1851" i="2"/>
  <c r="O1851" i="2"/>
  <c r="Q1851" i="2" s="1"/>
  <c r="R1851" i="2" s="1"/>
  <c r="N1851" i="2"/>
  <c r="M1851" i="2"/>
  <c r="K1851" i="2"/>
  <c r="I1851" i="2"/>
  <c r="E1851" i="2"/>
  <c r="P1850" i="2"/>
  <c r="O1850" i="2"/>
  <c r="Q1850" i="2" s="1"/>
  <c r="R1850" i="2" s="1"/>
  <c r="N1850" i="2"/>
  <c r="M1850" i="2"/>
  <c r="K1850" i="2"/>
  <c r="I1850" i="2"/>
  <c r="E1850" i="2"/>
  <c r="R1849" i="2"/>
  <c r="P1849" i="2"/>
  <c r="O1849" i="2"/>
  <c r="Q1849" i="2" s="1"/>
  <c r="N1849" i="2"/>
  <c r="M1849" i="2"/>
  <c r="K1849" i="2"/>
  <c r="I1849" i="2"/>
  <c r="E1849" i="2"/>
  <c r="P1848" i="2"/>
  <c r="O1848" i="2"/>
  <c r="Q1848" i="2" s="1"/>
  <c r="R1848" i="2" s="1"/>
  <c r="N1848" i="2"/>
  <c r="M1848" i="2"/>
  <c r="K1848" i="2"/>
  <c r="I1848" i="2"/>
  <c r="E1848" i="2"/>
  <c r="P1847" i="2"/>
  <c r="O1847" i="2"/>
  <c r="Q1847" i="2" s="1"/>
  <c r="R1847" i="2" s="1"/>
  <c r="N1847" i="2"/>
  <c r="M1847" i="2"/>
  <c r="K1847" i="2"/>
  <c r="I1847" i="2"/>
  <c r="E1847" i="2"/>
  <c r="P1846" i="2"/>
  <c r="O1846" i="2"/>
  <c r="Q1846" i="2" s="1"/>
  <c r="R1846" i="2" s="1"/>
  <c r="N1846" i="2"/>
  <c r="M1846" i="2"/>
  <c r="K1846" i="2"/>
  <c r="I1846" i="2"/>
  <c r="E1846" i="2"/>
  <c r="R1845" i="2"/>
  <c r="P1845" i="2"/>
  <c r="O1845" i="2"/>
  <c r="Q1845" i="2" s="1"/>
  <c r="N1845" i="2"/>
  <c r="M1845" i="2"/>
  <c r="K1845" i="2"/>
  <c r="I1845" i="2"/>
  <c r="E1845" i="2"/>
  <c r="P1844" i="2"/>
  <c r="O1844" i="2"/>
  <c r="Q1844" i="2" s="1"/>
  <c r="R1844" i="2" s="1"/>
  <c r="N1844" i="2"/>
  <c r="M1844" i="2"/>
  <c r="K1844" i="2"/>
  <c r="I1844" i="2"/>
  <c r="E1844" i="2"/>
  <c r="R1843" i="2"/>
  <c r="P1843" i="2"/>
  <c r="O1843" i="2"/>
  <c r="Q1843" i="2" s="1"/>
  <c r="N1843" i="2"/>
  <c r="M1843" i="2"/>
  <c r="K1843" i="2"/>
  <c r="I1843" i="2"/>
  <c r="E1843" i="2"/>
  <c r="R1842" i="2"/>
  <c r="P1842" i="2"/>
  <c r="O1842" i="2"/>
  <c r="Q1842" i="2" s="1"/>
  <c r="N1842" i="2"/>
  <c r="M1842" i="2"/>
  <c r="K1842" i="2"/>
  <c r="I1842" i="2"/>
  <c r="E1842" i="2"/>
  <c r="P1841" i="2"/>
  <c r="O1841" i="2"/>
  <c r="Q1841" i="2" s="1"/>
  <c r="R1841" i="2" s="1"/>
  <c r="N1841" i="2"/>
  <c r="M1841" i="2"/>
  <c r="K1841" i="2"/>
  <c r="I1841" i="2"/>
  <c r="E1841" i="2"/>
  <c r="P1840" i="2"/>
  <c r="O1840" i="2"/>
  <c r="Q1840" i="2" s="1"/>
  <c r="R1840" i="2" s="1"/>
  <c r="N1840" i="2"/>
  <c r="M1840" i="2"/>
  <c r="K1840" i="2"/>
  <c r="I1840" i="2"/>
  <c r="E1840" i="2"/>
  <c r="P1839" i="2"/>
  <c r="O1839" i="2"/>
  <c r="Q1839" i="2" s="1"/>
  <c r="R1839" i="2" s="1"/>
  <c r="N1839" i="2"/>
  <c r="M1839" i="2"/>
  <c r="K1839" i="2"/>
  <c r="I1839" i="2"/>
  <c r="E1839" i="2"/>
  <c r="Q1838" i="2"/>
  <c r="R1838" i="2" s="1"/>
  <c r="P1838" i="2"/>
  <c r="O1838" i="2"/>
  <c r="N1838" i="2"/>
  <c r="M1838" i="2"/>
  <c r="K1838" i="2"/>
  <c r="I1838" i="2"/>
  <c r="E1838" i="2"/>
  <c r="P1837" i="2"/>
  <c r="O1837" i="2"/>
  <c r="Q1837" i="2" s="1"/>
  <c r="R1837" i="2" s="1"/>
  <c r="N1837" i="2"/>
  <c r="M1837" i="2"/>
  <c r="K1837" i="2"/>
  <c r="I1837" i="2"/>
  <c r="E1837" i="2"/>
  <c r="P1836" i="2"/>
  <c r="O1836" i="2"/>
  <c r="Q1836" i="2" s="1"/>
  <c r="R1836" i="2" s="1"/>
  <c r="N1836" i="2"/>
  <c r="M1836" i="2"/>
  <c r="K1836" i="2"/>
  <c r="I1836" i="2"/>
  <c r="E1836" i="2"/>
  <c r="P1835" i="2"/>
  <c r="O1835" i="2"/>
  <c r="Q1835" i="2" s="1"/>
  <c r="R1835" i="2" s="1"/>
  <c r="N1835" i="2"/>
  <c r="M1835" i="2"/>
  <c r="K1835" i="2"/>
  <c r="I1835" i="2"/>
  <c r="E1835" i="2"/>
  <c r="Q1834" i="2"/>
  <c r="R1834" i="2" s="1"/>
  <c r="P1834" i="2"/>
  <c r="O1834" i="2"/>
  <c r="N1834" i="2"/>
  <c r="M1834" i="2"/>
  <c r="K1834" i="2"/>
  <c r="I1834" i="2"/>
  <c r="E1834" i="2"/>
  <c r="Q1833" i="2"/>
  <c r="R1833" i="2" s="1"/>
  <c r="P1833" i="2"/>
  <c r="O1833" i="2"/>
  <c r="N1833" i="2"/>
  <c r="M1833" i="2"/>
  <c r="K1833" i="2"/>
  <c r="I1833" i="2"/>
  <c r="E1833" i="2"/>
  <c r="R1832" i="2"/>
  <c r="Q1832" i="2"/>
  <c r="P1832" i="2"/>
  <c r="O1832" i="2"/>
  <c r="N1832" i="2"/>
  <c r="M1832" i="2"/>
  <c r="K1832" i="2"/>
  <c r="I1832" i="2"/>
  <c r="E1832" i="2"/>
  <c r="P1831" i="2"/>
  <c r="O1831" i="2"/>
  <c r="Q1831" i="2" s="1"/>
  <c r="R1831" i="2" s="1"/>
  <c r="N1831" i="2"/>
  <c r="M1831" i="2"/>
  <c r="K1831" i="2"/>
  <c r="I1831" i="2"/>
  <c r="E1831" i="2"/>
  <c r="P1830" i="2"/>
  <c r="O1830" i="2"/>
  <c r="Q1830" i="2" s="1"/>
  <c r="R1830" i="2" s="1"/>
  <c r="N1830" i="2"/>
  <c r="M1830" i="2"/>
  <c r="K1830" i="2"/>
  <c r="I1830" i="2"/>
  <c r="E1830" i="2"/>
  <c r="Q1829" i="2"/>
  <c r="R1829" i="2" s="1"/>
  <c r="P1829" i="2"/>
  <c r="O1829" i="2"/>
  <c r="N1829" i="2"/>
  <c r="M1829" i="2"/>
  <c r="K1829" i="2"/>
  <c r="I1829" i="2"/>
  <c r="E1829" i="2"/>
  <c r="Q1828" i="2"/>
  <c r="R1828" i="2" s="1"/>
  <c r="P1828" i="2"/>
  <c r="O1828" i="2"/>
  <c r="N1828" i="2"/>
  <c r="M1828" i="2"/>
  <c r="K1828" i="2"/>
  <c r="I1828" i="2"/>
  <c r="E1828" i="2"/>
  <c r="P1827" i="2"/>
  <c r="O1827" i="2"/>
  <c r="Q1827" i="2" s="1"/>
  <c r="R1827" i="2" s="1"/>
  <c r="N1827" i="2"/>
  <c r="M1827" i="2"/>
  <c r="K1827" i="2"/>
  <c r="I1827" i="2"/>
  <c r="E1827" i="2"/>
  <c r="P1826" i="2"/>
  <c r="O1826" i="2"/>
  <c r="Q1826" i="2" s="1"/>
  <c r="R1826" i="2" s="1"/>
  <c r="N1826" i="2"/>
  <c r="M1826" i="2"/>
  <c r="K1826" i="2"/>
  <c r="I1826" i="2"/>
  <c r="E1826" i="2"/>
  <c r="P1825" i="2"/>
  <c r="O1825" i="2"/>
  <c r="Q1825" i="2" s="1"/>
  <c r="R1825" i="2" s="1"/>
  <c r="N1825" i="2"/>
  <c r="M1825" i="2"/>
  <c r="K1825" i="2"/>
  <c r="I1825" i="2"/>
  <c r="E1825" i="2"/>
  <c r="R1824" i="2"/>
  <c r="P1824" i="2"/>
  <c r="O1824" i="2"/>
  <c r="Q1824" i="2" s="1"/>
  <c r="N1824" i="2"/>
  <c r="M1824" i="2"/>
  <c r="K1824" i="2"/>
  <c r="I1824" i="2"/>
  <c r="E1824" i="2"/>
  <c r="P1823" i="2"/>
  <c r="O1823" i="2"/>
  <c r="Q1823" i="2" s="1"/>
  <c r="R1823" i="2" s="1"/>
  <c r="N1823" i="2"/>
  <c r="M1823" i="2"/>
  <c r="K1823" i="2"/>
  <c r="I1823" i="2"/>
  <c r="E1823" i="2"/>
  <c r="P1822" i="2"/>
  <c r="O1822" i="2"/>
  <c r="Q1822" i="2" s="1"/>
  <c r="R1822" i="2" s="1"/>
  <c r="N1822" i="2"/>
  <c r="M1822" i="2"/>
  <c r="K1822" i="2"/>
  <c r="I1822" i="2"/>
  <c r="E1822" i="2"/>
  <c r="Q1821" i="2"/>
  <c r="R1821" i="2" s="1"/>
  <c r="P1821" i="2"/>
  <c r="O1821" i="2"/>
  <c r="N1821" i="2"/>
  <c r="M1821" i="2"/>
  <c r="K1821" i="2"/>
  <c r="I1821" i="2"/>
  <c r="E1821" i="2"/>
  <c r="P1820" i="2"/>
  <c r="O1820" i="2"/>
  <c r="Q1820" i="2" s="1"/>
  <c r="R1820" i="2" s="1"/>
  <c r="N1820" i="2"/>
  <c r="M1820" i="2"/>
  <c r="K1820" i="2"/>
  <c r="I1820" i="2"/>
  <c r="E1820" i="2"/>
  <c r="P1819" i="2"/>
  <c r="O1819" i="2"/>
  <c r="Q1819" i="2" s="1"/>
  <c r="R1819" i="2" s="1"/>
  <c r="N1819" i="2"/>
  <c r="M1819" i="2"/>
  <c r="K1819" i="2"/>
  <c r="I1819" i="2"/>
  <c r="E1819" i="2"/>
  <c r="P1818" i="2"/>
  <c r="O1818" i="2"/>
  <c r="Q1818" i="2" s="1"/>
  <c r="R1818" i="2" s="1"/>
  <c r="N1818" i="2"/>
  <c r="M1818" i="2"/>
  <c r="K1818" i="2"/>
  <c r="I1818" i="2"/>
  <c r="E1818" i="2"/>
  <c r="Q1817" i="2"/>
  <c r="R1817" i="2" s="1"/>
  <c r="P1817" i="2"/>
  <c r="O1817" i="2"/>
  <c r="N1817" i="2"/>
  <c r="M1817" i="2"/>
  <c r="K1817" i="2"/>
  <c r="I1817" i="2"/>
  <c r="E1817" i="2"/>
  <c r="Q1816" i="2"/>
  <c r="R1816" i="2" s="1"/>
  <c r="P1816" i="2"/>
  <c r="O1816" i="2"/>
  <c r="N1816" i="2"/>
  <c r="M1816" i="2"/>
  <c r="K1816" i="2"/>
  <c r="I1816" i="2"/>
  <c r="E1816" i="2"/>
  <c r="P1815" i="2"/>
  <c r="O1815" i="2"/>
  <c r="Q1815" i="2" s="1"/>
  <c r="R1815" i="2" s="1"/>
  <c r="N1815" i="2"/>
  <c r="M1815" i="2"/>
  <c r="K1815" i="2"/>
  <c r="I1815" i="2"/>
  <c r="E1815" i="2"/>
  <c r="P1814" i="2"/>
  <c r="O1814" i="2"/>
  <c r="Q1814" i="2" s="1"/>
  <c r="R1814" i="2" s="1"/>
  <c r="N1814" i="2"/>
  <c r="M1814" i="2"/>
  <c r="K1814" i="2"/>
  <c r="I1814" i="2"/>
  <c r="E1814" i="2"/>
  <c r="P1813" i="2"/>
  <c r="O1813" i="2"/>
  <c r="Q1813" i="2" s="1"/>
  <c r="R1813" i="2" s="1"/>
  <c r="N1813" i="2"/>
  <c r="M1813" i="2"/>
  <c r="K1813" i="2"/>
  <c r="I1813" i="2"/>
  <c r="E1813" i="2"/>
  <c r="P1812" i="2"/>
  <c r="O1812" i="2"/>
  <c r="Q1812" i="2" s="1"/>
  <c r="R1812" i="2" s="1"/>
  <c r="N1812" i="2"/>
  <c r="M1812" i="2"/>
  <c r="K1812" i="2"/>
  <c r="I1812" i="2"/>
  <c r="E1812" i="2"/>
  <c r="P1811" i="2"/>
  <c r="O1811" i="2"/>
  <c r="Q1811" i="2" s="1"/>
  <c r="R1811" i="2" s="1"/>
  <c r="N1811" i="2"/>
  <c r="M1811" i="2"/>
  <c r="K1811" i="2"/>
  <c r="I1811" i="2"/>
  <c r="E1811" i="2"/>
  <c r="P1810" i="2"/>
  <c r="O1810" i="2"/>
  <c r="Q1810" i="2" s="1"/>
  <c r="R1810" i="2" s="1"/>
  <c r="N1810" i="2"/>
  <c r="M1810" i="2"/>
  <c r="K1810" i="2"/>
  <c r="I1810" i="2"/>
  <c r="E1810" i="2"/>
  <c r="P1809" i="2"/>
  <c r="O1809" i="2"/>
  <c r="Q1809" i="2" s="1"/>
  <c r="R1809" i="2" s="1"/>
  <c r="N1809" i="2"/>
  <c r="M1809" i="2"/>
  <c r="K1809" i="2"/>
  <c r="I1809" i="2"/>
  <c r="E1809" i="2"/>
  <c r="Q1807" i="2"/>
  <c r="R1807" i="2" s="1"/>
  <c r="P1807" i="2"/>
  <c r="O1807" i="2"/>
  <c r="N1807" i="2"/>
  <c r="M1807" i="2"/>
  <c r="K1807" i="2"/>
  <c r="I1807" i="2"/>
  <c r="E1807" i="2"/>
  <c r="P1806" i="2"/>
  <c r="O1806" i="2"/>
  <c r="Q1806" i="2" s="1"/>
  <c r="R1806" i="2" s="1"/>
  <c r="N1806" i="2"/>
  <c r="M1806" i="2"/>
  <c r="K1806" i="2"/>
  <c r="I1806" i="2"/>
  <c r="E1806" i="2"/>
  <c r="P1805" i="2"/>
  <c r="O1805" i="2"/>
  <c r="Q1805" i="2" s="1"/>
  <c r="R1805" i="2" s="1"/>
  <c r="N1805" i="2"/>
  <c r="M1805" i="2"/>
  <c r="K1805" i="2"/>
  <c r="I1805" i="2"/>
  <c r="E1805" i="2"/>
  <c r="Q1804" i="2"/>
  <c r="R1804" i="2" s="1"/>
  <c r="P1804" i="2"/>
  <c r="O1804" i="2"/>
  <c r="N1804" i="2"/>
  <c r="M1804" i="2"/>
  <c r="K1804" i="2"/>
  <c r="I1804" i="2"/>
  <c r="E1804" i="2"/>
  <c r="Q1803" i="2"/>
  <c r="R1803" i="2" s="1"/>
  <c r="P1803" i="2"/>
  <c r="O1803" i="2"/>
  <c r="N1803" i="2"/>
  <c r="M1803" i="2"/>
  <c r="K1803" i="2"/>
  <c r="I1803" i="2"/>
  <c r="E1803" i="2"/>
  <c r="P1802" i="2"/>
  <c r="O1802" i="2"/>
  <c r="Q1802" i="2" s="1"/>
  <c r="R1802" i="2" s="1"/>
  <c r="N1802" i="2"/>
  <c r="M1802" i="2"/>
  <c r="K1802" i="2"/>
  <c r="I1802" i="2"/>
  <c r="E1802" i="2"/>
  <c r="P1801" i="2"/>
  <c r="O1801" i="2"/>
  <c r="Q1801" i="2" s="1"/>
  <c r="R1801" i="2" s="1"/>
  <c r="N1801" i="2"/>
  <c r="M1801" i="2"/>
  <c r="K1801" i="2"/>
  <c r="I1801" i="2"/>
  <c r="E1801" i="2"/>
  <c r="P1800" i="2"/>
  <c r="O1800" i="2"/>
  <c r="Q1800" i="2" s="1"/>
  <c r="R1800" i="2" s="1"/>
  <c r="N1800" i="2"/>
  <c r="M1800" i="2"/>
  <c r="K1800" i="2"/>
  <c r="I1800" i="2"/>
  <c r="E1800" i="2"/>
  <c r="P1799" i="2"/>
  <c r="O1799" i="2"/>
  <c r="Q1799" i="2" s="1"/>
  <c r="R1799" i="2" s="1"/>
  <c r="N1799" i="2"/>
  <c r="M1799" i="2"/>
  <c r="K1799" i="2"/>
  <c r="I1799" i="2"/>
  <c r="E1799" i="2"/>
  <c r="P1798" i="2"/>
  <c r="O1798" i="2"/>
  <c r="Q1798" i="2" s="1"/>
  <c r="R1798" i="2" s="1"/>
  <c r="N1798" i="2"/>
  <c r="M1798" i="2"/>
  <c r="K1798" i="2"/>
  <c r="I1798" i="2"/>
  <c r="E1798" i="2"/>
  <c r="P1797" i="2"/>
  <c r="O1797" i="2"/>
  <c r="Q1797" i="2" s="1"/>
  <c r="R1797" i="2" s="1"/>
  <c r="N1797" i="2"/>
  <c r="M1797" i="2"/>
  <c r="K1797" i="2"/>
  <c r="I1797" i="2"/>
  <c r="E1797" i="2"/>
  <c r="Q1796" i="2"/>
  <c r="R1796" i="2" s="1"/>
  <c r="P1796" i="2"/>
  <c r="O1796" i="2"/>
  <c r="N1796" i="2"/>
  <c r="M1796" i="2"/>
  <c r="K1796" i="2"/>
  <c r="I1796" i="2"/>
  <c r="E1796" i="2"/>
  <c r="Q1795" i="2"/>
  <c r="R1795" i="2" s="1"/>
  <c r="P1795" i="2"/>
  <c r="O1795" i="2"/>
  <c r="N1795" i="2"/>
  <c r="M1795" i="2"/>
  <c r="K1795" i="2"/>
  <c r="I1795" i="2"/>
  <c r="E1795" i="2"/>
  <c r="P1793" i="2"/>
  <c r="O1793" i="2"/>
  <c r="Q1793" i="2" s="1"/>
  <c r="R1793" i="2" s="1"/>
  <c r="N1793" i="2"/>
  <c r="M1793" i="2"/>
  <c r="K1793" i="2"/>
  <c r="I1793" i="2"/>
  <c r="E1793" i="2"/>
  <c r="P1792" i="2"/>
  <c r="O1792" i="2"/>
  <c r="Q1792" i="2" s="1"/>
  <c r="R1792" i="2" s="1"/>
  <c r="N1792" i="2"/>
  <c r="M1792" i="2"/>
  <c r="K1792" i="2"/>
  <c r="I1792" i="2"/>
  <c r="E1792" i="2"/>
  <c r="Q1791" i="2"/>
  <c r="R1791" i="2" s="1"/>
  <c r="P1791" i="2"/>
  <c r="O1791" i="2"/>
  <c r="N1791" i="2"/>
  <c r="M1791" i="2"/>
  <c r="K1791" i="2"/>
  <c r="I1791" i="2"/>
  <c r="E1791" i="2"/>
  <c r="Q1790" i="2"/>
  <c r="R1790" i="2" s="1"/>
  <c r="P1790" i="2"/>
  <c r="O1790" i="2"/>
  <c r="N1790" i="2"/>
  <c r="M1790" i="2"/>
  <c r="K1790" i="2"/>
  <c r="I1790" i="2"/>
  <c r="E1790" i="2"/>
  <c r="P1789" i="2"/>
  <c r="O1789" i="2"/>
  <c r="Q1789" i="2" s="1"/>
  <c r="R1789" i="2" s="1"/>
  <c r="N1789" i="2"/>
  <c r="M1789" i="2"/>
  <c r="K1789" i="2"/>
  <c r="I1789" i="2"/>
  <c r="E1789" i="2"/>
  <c r="P1788" i="2"/>
  <c r="O1788" i="2"/>
  <c r="Q1788" i="2" s="1"/>
  <c r="R1788" i="2" s="1"/>
  <c r="N1788" i="2"/>
  <c r="M1788" i="2"/>
  <c r="K1788" i="2"/>
  <c r="I1788" i="2"/>
  <c r="E1788" i="2"/>
  <c r="P1787" i="2"/>
  <c r="O1787" i="2"/>
  <c r="Q1787" i="2" s="1"/>
  <c r="R1787" i="2" s="1"/>
  <c r="N1787" i="2"/>
  <c r="M1787" i="2"/>
  <c r="K1787" i="2"/>
  <c r="I1787" i="2"/>
  <c r="E1787" i="2"/>
  <c r="P1786" i="2"/>
  <c r="O1786" i="2"/>
  <c r="Q1786" i="2" s="1"/>
  <c r="R1786" i="2" s="1"/>
  <c r="N1786" i="2"/>
  <c r="M1786" i="2"/>
  <c r="K1786" i="2"/>
  <c r="I1786" i="2"/>
  <c r="E1786" i="2"/>
  <c r="P1785" i="2"/>
  <c r="O1785" i="2"/>
  <c r="Q1785" i="2" s="1"/>
  <c r="R1785" i="2" s="1"/>
  <c r="N1785" i="2"/>
  <c r="M1785" i="2"/>
  <c r="K1785" i="2"/>
  <c r="I1785" i="2"/>
  <c r="E1785" i="2"/>
  <c r="P1784" i="2"/>
  <c r="O1784" i="2"/>
  <c r="Q1784" i="2" s="1"/>
  <c r="R1784" i="2" s="1"/>
  <c r="N1784" i="2"/>
  <c r="M1784" i="2"/>
  <c r="K1784" i="2"/>
  <c r="I1784" i="2"/>
  <c r="E1784" i="2"/>
  <c r="Q1783" i="2"/>
  <c r="R1783" i="2" s="1"/>
  <c r="P1783" i="2"/>
  <c r="O1783" i="2"/>
  <c r="N1783" i="2"/>
  <c r="M1783" i="2"/>
  <c r="K1783" i="2"/>
  <c r="I1783" i="2"/>
  <c r="E1783" i="2"/>
  <c r="R1782" i="2"/>
  <c r="Q1782" i="2"/>
  <c r="P1782" i="2"/>
  <c r="O1782" i="2"/>
  <c r="N1782" i="2"/>
  <c r="M1782" i="2"/>
  <c r="K1782" i="2"/>
  <c r="I1782" i="2"/>
  <c r="E1782" i="2"/>
  <c r="P1781" i="2"/>
  <c r="O1781" i="2"/>
  <c r="Q1781" i="2" s="1"/>
  <c r="R1781" i="2" s="1"/>
  <c r="N1781" i="2"/>
  <c r="M1781" i="2"/>
  <c r="K1781" i="2"/>
  <c r="I1781" i="2"/>
  <c r="E1781" i="2"/>
  <c r="P1780" i="2"/>
  <c r="O1780" i="2"/>
  <c r="Q1780" i="2" s="1"/>
  <c r="R1780" i="2" s="1"/>
  <c r="N1780" i="2"/>
  <c r="M1780" i="2"/>
  <c r="K1780" i="2"/>
  <c r="I1780" i="2"/>
  <c r="E1780" i="2"/>
  <c r="Q1779" i="2"/>
  <c r="R1779" i="2" s="1"/>
  <c r="P1779" i="2"/>
  <c r="O1779" i="2"/>
  <c r="N1779" i="2"/>
  <c r="M1779" i="2"/>
  <c r="K1779" i="2"/>
  <c r="I1779" i="2"/>
  <c r="E1779" i="2"/>
  <c r="Q1778" i="2"/>
  <c r="R1778" i="2" s="1"/>
  <c r="P1778" i="2"/>
  <c r="O1778" i="2"/>
  <c r="N1778" i="2"/>
  <c r="M1778" i="2"/>
  <c r="K1778" i="2"/>
  <c r="I1778" i="2"/>
  <c r="E1778" i="2"/>
  <c r="P1777" i="2"/>
  <c r="O1777" i="2"/>
  <c r="Q1777" i="2" s="1"/>
  <c r="R1777" i="2" s="1"/>
  <c r="N1777" i="2"/>
  <c r="M1777" i="2"/>
  <c r="K1777" i="2"/>
  <c r="I1777" i="2"/>
  <c r="E1777" i="2"/>
  <c r="P1775" i="2"/>
  <c r="O1775" i="2"/>
  <c r="Q1775" i="2" s="1"/>
  <c r="R1775" i="2" s="1"/>
  <c r="N1775" i="2"/>
  <c r="M1775" i="2"/>
  <c r="K1775" i="2"/>
  <c r="I1775" i="2"/>
  <c r="E1775" i="2"/>
  <c r="R1774" i="2"/>
  <c r="Q1774" i="2"/>
  <c r="P1774" i="2"/>
  <c r="O1774" i="2"/>
  <c r="N1774" i="2"/>
  <c r="M1774" i="2"/>
  <c r="K1774" i="2"/>
  <c r="I1774" i="2"/>
  <c r="E1774" i="2"/>
  <c r="R1773" i="2"/>
  <c r="Q1773" i="2"/>
  <c r="P1773" i="2"/>
  <c r="O1773" i="2"/>
  <c r="N1773" i="2"/>
  <c r="M1773" i="2"/>
  <c r="K1773" i="2"/>
  <c r="I1773" i="2"/>
  <c r="E1773" i="2"/>
  <c r="R1772" i="2"/>
  <c r="P1772" i="2"/>
  <c r="O1772" i="2"/>
  <c r="Q1772" i="2" s="1"/>
  <c r="N1772" i="2"/>
  <c r="M1772" i="2"/>
  <c r="K1772" i="2"/>
  <c r="I1772" i="2"/>
  <c r="E1772" i="2"/>
  <c r="P1771" i="2"/>
  <c r="O1771" i="2"/>
  <c r="Q1771" i="2" s="1"/>
  <c r="R1771" i="2" s="1"/>
  <c r="N1771" i="2"/>
  <c r="M1771" i="2"/>
  <c r="K1771" i="2"/>
  <c r="I1771" i="2"/>
  <c r="E1771" i="2"/>
  <c r="P1770" i="2"/>
  <c r="O1770" i="2"/>
  <c r="Q1770" i="2" s="1"/>
  <c r="R1770" i="2" s="1"/>
  <c r="N1770" i="2"/>
  <c r="M1770" i="2"/>
  <c r="K1770" i="2"/>
  <c r="I1770" i="2"/>
  <c r="E1770" i="2"/>
  <c r="P1769" i="2"/>
  <c r="O1769" i="2"/>
  <c r="Q1769" i="2" s="1"/>
  <c r="R1769" i="2" s="1"/>
  <c r="N1769" i="2"/>
  <c r="M1769" i="2"/>
  <c r="K1769" i="2"/>
  <c r="I1769" i="2"/>
  <c r="E1769" i="2"/>
  <c r="P1768" i="2"/>
  <c r="O1768" i="2"/>
  <c r="Q1768" i="2" s="1"/>
  <c r="R1768" i="2" s="1"/>
  <c r="N1768" i="2"/>
  <c r="M1768" i="2"/>
  <c r="K1768" i="2"/>
  <c r="I1768" i="2"/>
  <c r="E1768" i="2"/>
  <c r="P1767" i="2"/>
  <c r="O1767" i="2"/>
  <c r="Q1767" i="2" s="1"/>
  <c r="R1767" i="2" s="1"/>
  <c r="N1767" i="2"/>
  <c r="M1767" i="2"/>
  <c r="K1767" i="2"/>
  <c r="I1767" i="2"/>
  <c r="E1767" i="2"/>
  <c r="P1766" i="2"/>
  <c r="O1766" i="2"/>
  <c r="Q1766" i="2" s="1"/>
  <c r="R1766" i="2" s="1"/>
  <c r="N1766" i="2"/>
  <c r="M1766" i="2"/>
  <c r="K1766" i="2"/>
  <c r="I1766" i="2"/>
  <c r="E1766" i="2"/>
  <c r="P1765" i="2"/>
  <c r="O1765" i="2"/>
  <c r="Q1765" i="2" s="1"/>
  <c r="R1765" i="2" s="1"/>
  <c r="N1765" i="2"/>
  <c r="M1765" i="2"/>
  <c r="K1765" i="2"/>
  <c r="I1765" i="2"/>
  <c r="E1765" i="2"/>
  <c r="P1764" i="2"/>
  <c r="O1764" i="2"/>
  <c r="Q1764" i="2" s="1"/>
  <c r="R1764" i="2" s="1"/>
  <c r="N1764" i="2"/>
  <c r="M1764" i="2"/>
  <c r="K1764" i="2"/>
  <c r="I1764" i="2"/>
  <c r="E1764" i="2"/>
  <c r="P1763" i="2"/>
  <c r="O1763" i="2"/>
  <c r="Q1763" i="2" s="1"/>
  <c r="R1763" i="2" s="1"/>
  <c r="N1763" i="2"/>
  <c r="M1763" i="2"/>
  <c r="K1763" i="2"/>
  <c r="I1763" i="2"/>
  <c r="E1763" i="2"/>
  <c r="Q1762" i="2"/>
  <c r="R1762" i="2" s="1"/>
  <c r="P1762" i="2"/>
  <c r="O1762" i="2"/>
  <c r="N1762" i="2"/>
  <c r="M1762" i="2"/>
  <c r="K1762" i="2"/>
  <c r="I1762" i="2"/>
  <c r="E1762" i="2"/>
  <c r="R1761" i="2"/>
  <c r="Q1761" i="2"/>
  <c r="P1761" i="2"/>
  <c r="O1761" i="2"/>
  <c r="N1761" i="2"/>
  <c r="M1761" i="2"/>
  <c r="K1761" i="2"/>
  <c r="I1761" i="2"/>
  <c r="E1761" i="2"/>
  <c r="P1760" i="2"/>
  <c r="O1760" i="2"/>
  <c r="Q1760" i="2" s="1"/>
  <c r="R1760" i="2" s="1"/>
  <c r="N1760" i="2"/>
  <c r="M1760" i="2"/>
  <c r="K1760" i="2"/>
  <c r="I1760" i="2"/>
  <c r="E1760" i="2"/>
  <c r="P1759" i="2"/>
  <c r="O1759" i="2"/>
  <c r="Q1759" i="2" s="1"/>
  <c r="R1759" i="2" s="1"/>
  <c r="N1759" i="2"/>
  <c r="M1759" i="2"/>
  <c r="K1759" i="2"/>
  <c r="I1759" i="2"/>
  <c r="E1759" i="2"/>
  <c r="P1758" i="2"/>
  <c r="O1758" i="2"/>
  <c r="Q1758" i="2" s="1"/>
  <c r="R1758" i="2" s="1"/>
  <c r="N1758" i="2"/>
  <c r="M1758" i="2"/>
  <c r="K1758" i="2"/>
  <c r="I1758" i="2"/>
  <c r="E1758" i="2"/>
  <c r="P1757" i="2"/>
  <c r="O1757" i="2"/>
  <c r="Q1757" i="2" s="1"/>
  <c r="R1757" i="2" s="1"/>
  <c r="N1757" i="2"/>
  <c r="M1757" i="2"/>
  <c r="K1757" i="2"/>
  <c r="I1757" i="2"/>
  <c r="E1757" i="2"/>
  <c r="P1756" i="2"/>
  <c r="O1756" i="2"/>
  <c r="Q1756" i="2" s="1"/>
  <c r="R1756" i="2" s="1"/>
  <c r="N1756" i="2"/>
  <c r="M1756" i="2"/>
  <c r="K1756" i="2"/>
  <c r="I1756" i="2"/>
  <c r="E1756" i="2"/>
  <c r="P1755" i="2"/>
  <c r="O1755" i="2"/>
  <c r="Q1755" i="2" s="1"/>
  <c r="R1755" i="2" s="1"/>
  <c r="N1755" i="2"/>
  <c r="M1755" i="2"/>
  <c r="K1755" i="2"/>
  <c r="I1755" i="2"/>
  <c r="E1755" i="2"/>
  <c r="P1754" i="2"/>
  <c r="O1754" i="2"/>
  <c r="Q1754" i="2" s="1"/>
  <c r="R1754" i="2" s="1"/>
  <c r="N1754" i="2"/>
  <c r="M1754" i="2"/>
  <c r="K1754" i="2"/>
  <c r="I1754" i="2"/>
  <c r="E1754" i="2"/>
  <c r="Q1753" i="2"/>
  <c r="R1753" i="2" s="1"/>
  <c r="P1753" i="2"/>
  <c r="O1753" i="2"/>
  <c r="N1753" i="2"/>
  <c r="M1753" i="2"/>
  <c r="K1753" i="2"/>
  <c r="I1753" i="2"/>
  <c r="E1753" i="2"/>
  <c r="P1752" i="2"/>
  <c r="O1752" i="2"/>
  <c r="Q1752" i="2" s="1"/>
  <c r="R1752" i="2" s="1"/>
  <c r="N1752" i="2"/>
  <c r="M1752" i="2"/>
  <c r="K1752" i="2"/>
  <c r="I1752" i="2"/>
  <c r="E1752" i="2"/>
  <c r="P1751" i="2"/>
  <c r="O1751" i="2"/>
  <c r="Q1751" i="2" s="1"/>
  <c r="R1751" i="2" s="1"/>
  <c r="N1751" i="2"/>
  <c r="M1751" i="2"/>
  <c r="K1751" i="2"/>
  <c r="I1751" i="2"/>
  <c r="E1751" i="2"/>
  <c r="Q1750" i="2"/>
  <c r="R1750" i="2" s="1"/>
  <c r="P1750" i="2"/>
  <c r="O1750" i="2"/>
  <c r="N1750" i="2"/>
  <c r="M1750" i="2"/>
  <c r="K1750" i="2"/>
  <c r="I1750" i="2"/>
  <c r="E1750" i="2"/>
  <c r="Q1749" i="2"/>
  <c r="R1749" i="2" s="1"/>
  <c r="P1749" i="2"/>
  <c r="O1749" i="2"/>
  <c r="N1749" i="2"/>
  <c r="M1749" i="2"/>
  <c r="K1749" i="2"/>
  <c r="I1749" i="2"/>
  <c r="E1749" i="2"/>
  <c r="P1748" i="2"/>
  <c r="O1748" i="2"/>
  <c r="Q1748" i="2" s="1"/>
  <c r="R1748" i="2" s="1"/>
  <c r="N1748" i="2"/>
  <c r="M1748" i="2"/>
  <c r="K1748" i="2"/>
  <c r="I1748" i="2"/>
  <c r="E1748" i="2"/>
  <c r="P1747" i="2"/>
  <c r="O1747" i="2"/>
  <c r="Q1747" i="2" s="1"/>
  <c r="R1747" i="2" s="1"/>
  <c r="N1747" i="2"/>
  <c r="M1747" i="2"/>
  <c r="K1747" i="2"/>
  <c r="I1747" i="2"/>
  <c r="E1747" i="2"/>
  <c r="P1746" i="2"/>
  <c r="O1746" i="2"/>
  <c r="Q1746" i="2" s="1"/>
  <c r="R1746" i="2" s="1"/>
  <c r="N1746" i="2"/>
  <c r="M1746" i="2"/>
  <c r="K1746" i="2"/>
  <c r="I1746" i="2"/>
  <c r="E1746" i="2"/>
  <c r="P1745" i="2"/>
  <c r="O1745" i="2"/>
  <c r="Q1745" i="2" s="1"/>
  <c r="R1745" i="2" s="1"/>
  <c r="N1745" i="2"/>
  <c r="M1745" i="2"/>
  <c r="K1745" i="2"/>
  <c r="I1745" i="2"/>
  <c r="E1745" i="2"/>
  <c r="P1744" i="2"/>
  <c r="O1744" i="2"/>
  <c r="Q1744" i="2" s="1"/>
  <c r="R1744" i="2" s="1"/>
  <c r="N1744" i="2"/>
  <c r="M1744" i="2"/>
  <c r="K1744" i="2"/>
  <c r="I1744" i="2"/>
  <c r="E1744" i="2"/>
  <c r="P1743" i="2"/>
  <c r="O1743" i="2"/>
  <c r="Q1743" i="2" s="1"/>
  <c r="R1743" i="2" s="1"/>
  <c r="N1743" i="2"/>
  <c r="M1743" i="2"/>
  <c r="K1743" i="2"/>
  <c r="I1743" i="2"/>
  <c r="E1743" i="2"/>
  <c r="Q1742" i="2"/>
  <c r="R1742" i="2" s="1"/>
  <c r="P1742" i="2"/>
  <c r="O1742" i="2"/>
  <c r="N1742" i="2"/>
  <c r="M1742" i="2"/>
  <c r="K1742" i="2"/>
  <c r="I1742" i="2"/>
  <c r="E1742" i="2"/>
  <c r="R1741" i="2"/>
  <c r="Q1741" i="2"/>
  <c r="P1741" i="2"/>
  <c r="O1741" i="2"/>
  <c r="N1741" i="2"/>
  <c r="M1741" i="2"/>
  <c r="K1741" i="2"/>
  <c r="I1741" i="2"/>
  <c r="E1741" i="2"/>
  <c r="P1740" i="2"/>
  <c r="O1740" i="2"/>
  <c r="Q1740" i="2" s="1"/>
  <c r="R1740" i="2" s="1"/>
  <c r="N1740" i="2"/>
  <c r="M1740" i="2"/>
  <c r="K1740" i="2"/>
  <c r="I1740" i="2"/>
  <c r="E1740" i="2"/>
  <c r="P1739" i="2"/>
  <c r="O1739" i="2"/>
  <c r="Q1739" i="2" s="1"/>
  <c r="R1739" i="2" s="1"/>
  <c r="N1739" i="2"/>
  <c r="M1739" i="2"/>
  <c r="K1739" i="2"/>
  <c r="I1739" i="2"/>
  <c r="E1739" i="2"/>
  <c r="Q1738" i="2"/>
  <c r="R1738" i="2" s="1"/>
  <c r="P1738" i="2"/>
  <c r="O1738" i="2"/>
  <c r="N1738" i="2"/>
  <c r="M1738" i="2"/>
  <c r="K1738" i="2"/>
  <c r="I1738" i="2"/>
  <c r="E1738" i="2"/>
  <c r="Q1737" i="2"/>
  <c r="R1737" i="2" s="1"/>
  <c r="P1737" i="2"/>
  <c r="O1737" i="2"/>
  <c r="N1737" i="2"/>
  <c r="M1737" i="2"/>
  <c r="K1737" i="2"/>
  <c r="I1737" i="2"/>
  <c r="E1737" i="2"/>
  <c r="P1736" i="2"/>
  <c r="O1736" i="2"/>
  <c r="Q1736" i="2" s="1"/>
  <c r="R1736" i="2" s="1"/>
  <c r="N1736" i="2"/>
  <c r="M1736" i="2"/>
  <c r="K1736" i="2"/>
  <c r="I1736" i="2"/>
  <c r="E1736" i="2"/>
  <c r="P1735" i="2"/>
  <c r="O1735" i="2"/>
  <c r="Q1735" i="2" s="1"/>
  <c r="R1735" i="2" s="1"/>
  <c r="N1735" i="2"/>
  <c r="M1735" i="2"/>
  <c r="K1735" i="2"/>
  <c r="I1735" i="2"/>
  <c r="E1735" i="2"/>
  <c r="P1734" i="2"/>
  <c r="O1734" i="2"/>
  <c r="Q1734" i="2" s="1"/>
  <c r="R1734" i="2" s="1"/>
  <c r="N1734" i="2"/>
  <c r="M1734" i="2"/>
  <c r="K1734" i="2"/>
  <c r="I1734" i="2"/>
  <c r="E1734" i="2"/>
  <c r="P1733" i="2"/>
  <c r="O1733" i="2"/>
  <c r="Q1733" i="2" s="1"/>
  <c r="R1733" i="2" s="1"/>
  <c r="N1733" i="2"/>
  <c r="M1733" i="2"/>
  <c r="K1733" i="2"/>
  <c r="I1733" i="2"/>
  <c r="E1733" i="2"/>
  <c r="P1732" i="2"/>
  <c r="O1732" i="2"/>
  <c r="Q1732" i="2" s="1"/>
  <c r="R1732" i="2" s="1"/>
  <c r="N1732" i="2"/>
  <c r="M1732" i="2"/>
  <c r="K1732" i="2"/>
  <c r="I1732" i="2"/>
  <c r="E1732" i="2"/>
  <c r="P1731" i="2"/>
  <c r="O1731" i="2"/>
  <c r="Q1731" i="2" s="1"/>
  <c r="R1731" i="2" s="1"/>
  <c r="N1731" i="2"/>
  <c r="M1731" i="2"/>
  <c r="K1731" i="2"/>
  <c r="I1731" i="2"/>
  <c r="E1731" i="2"/>
  <c r="Q1730" i="2"/>
  <c r="R1730" i="2" s="1"/>
  <c r="P1730" i="2"/>
  <c r="O1730" i="2"/>
  <c r="N1730" i="2"/>
  <c r="M1730" i="2"/>
  <c r="K1730" i="2"/>
  <c r="I1730" i="2"/>
  <c r="E1730" i="2"/>
  <c r="P1729" i="2"/>
  <c r="O1729" i="2"/>
  <c r="Q1729" i="2" s="1"/>
  <c r="R1729" i="2" s="1"/>
  <c r="N1729" i="2"/>
  <c r="M1729" i="2"/>
  <c r="K1729" i="2"/>
  <c r="I1729" i="2"/>
  <c r="E1729" i="2"/>
  <c r="P1728" i="2"/>
  <c r="O1728" i="2"/>
  <c r="Q1728" i="2" s="1"/>
  <c r="R1728" i="2" s="1"/>
  <c r="N1728" i="2"/>
  <c r="M1728" i="2"/>
  <c r="K1728" i="2"/>
  <c r="I1728" i="2"/>
  <c r="E1728" i="2"/>
  <c r="P1727" i="2"/>
  <c r="O1727" i="2"/>
  <c r="Q1727" i="2" s="1"/>
  <c r="R1727" i="2" s="1"/>
  <c r="N1727" i="2"/>
  <c r="M1727" i="2"/>
  <c r="K1727" i="2"/>
  <c r="I1727" i="2"/>
  <c r="E1727" i="2"/>
  <c r="R1726" i="2"/>
  <c r="P1726" i="2"/>
  <c r="O1726" i="2"/>
  <c r="Q1726" i="2" s="1"/>
  <c r="N1726" i="2"/>
  <c r="M1726" i="2"/>
  <c r="K1726" i="2"/>
  <c r="I1726" i="2"/>
  <c r="E1726" i="2"/>
  <c r="P1725" i="2"/>
  <c r="O1725" i="2"/>
  <c r="Q1725" i="2" s="1"/>
  <c r="R1725" i="2" s="1"/>
  <c r="N1725" i="2"/>
  <c r="M1725" i="2"/>
  <c r="K1725" i="2"/>
  <c r="I1725" i="2"/>
  <c r="E1725" i="2"/>
  <c r="P1724" i="2"/>
  <c r="O1724" i="2"/>
  <c r="Q1724" i="2" s="1"/>
  <c r="R1724" i="2" s="1"/>
  <c r="N1724" i="2"/>
  <c r="M1724" i="2"/>
  <c r="K1724" i="2"/>
  <c r="I1724" i="2"/>
  <c r="E1724" i="2"/>
  <c r="P1723" i="2"/>
  <c r="O1723" i="2"/>
  <c r="Q1723" i="2" s="1"/>
  <c r="R1723" i="2" s="1"/>
  <c r="N1723" i="2"/>
  <c r="M1723" i="2"/>
  <c r="K1723" i="2"/>
  <c r="I1723" i="2"/>
  <c r="E1723" i="2"/>
  <c r="Q1722" i="2"/>
  <c r="R1722" i="2" s="1"/>
  <c r="P1722" i="2"/>
  <c r="O1722" i="2"/>
  <c r="N1722" i="2"/>
  <c r="M1722" i="2"/>
  <c r="K1722" i="2"/>
  <c r="I1722" i="2"/>
  <c r="E1722" i="2"/>
  <c r="R1721" i="2"/>
  <c r="Q1721" i="2"/>
  <c r="P1721" i="2"/>
  <c r="O1721" i="2"/>
  <c r="N1721" i="2"/>
  <c r="M1721" i="2"/>
  <c r="K1721" i="2"/>
  <c r="I1721" i="2"/>
  <c r="E1721" i="2"/>
  <c r="P1720" i="2"/>
  <c r="O1720" i="2"/>
  <c r="Q1720" i="2" s="1"/>
  <c r="R1720" i="2" s="1"/>
  <c r="N1720" i="2"/>
  <c r="M1720" i="2"/>
  <c r="K1720" i="2"/>
  <c r="I1720" i="2"/>
  <c r="E1720" i="2"/>
  <c r="P1719" i="2"/>
  <c r="O1719" i="2"/>
  <c r="Q1719" i="2" s="1"/>
  <c r="R1719" i="2" s="1"/>
  <c r="N1719" i="2"/>
  <c r="M1719" i="2"/>
  <c r="K1719" i="2"/>
  <c r="I1719" i="2"/>
  <c r="E1719" i="2"/>
  <c r="Q1718" i="2"/>
  <c r="R1718" i="2" s="1"/>
  <c r="P1718" i="2"/>
  <c r="O1718" i="2"/>
  <c r="N1718" i="2"/>
  <c r="M1718" i="2"/>
  <c r="K1718" i="2"/>
  <c r="I1718" i="2"/>
  <c r="E1718" i="2"/>
  <c r="Q1717" i="2"/>
  <c r="R1717" i="2" s="1"/>
  <c r="P1717" i="2"/>
  <c r="O1717" i="2"/>
  <c r="N1717" i="2"/>
  <c r="M1717" i="2"/>
  <c r="K1717" i="2"/>
  <c r="I1717" i="2"/>
  <c r="E1717" i="2"/>
  <c r="P1716" i="2"/>
  <c r="O1716" i="2"/>
  <c r="Q1716" i="2" s="1"/>
  <c r="R1716" i="2" s="1"/>
  <c r="N1716" i="2"/>
  <c r="M1716" i="2"/>
  <c r="K1716" i="2"/>
  <c r="I1716" i="2"/>
  <c r="E1716" i="2"/>
  <c r="P1715" i="2"/>
  <c r="O1715" i="2"/>
  <c r="Q1715" i="2" s="1"/>
  <c r="R1715" i="2" s="1"/>
  <c r="N1715" i="2"/>
  <c r="M1715" i="2"/>
  <c r="K1715" i="2"/>
  <c r="I1715" i="2"/>
  <c r="E1715" i="2"/>
  <c r="R1714" i="2"/>
  <c r="P1714" i="2"/>
  <c r="O1714" i="2"/>
  <c r="Q1714" i="2" s="1"/>
  <c r="N1714" i="2"/>
  <c r="M1714" i="2"/>
  <c r="K1714" i="2"/>
  <c r="I1714" i="2"/>
  <c r="E1714" i="2"/>
  <c r="Q1713" i="2"/>
  <c r="R1713" i="2" s="1"/>
  <c r="P1713" i="2"/>
  <c r="O1713" i="2"/>
  <c r="N1713" i="2"/>
  <c r="M1713" i="2"/>
  <c r="K1713" i="2"/>
  <c r="I1713" i="2"/>
  <c r="E1713" i="2"/>
  <c r="P1712" i="2"/>
  <c r="O1712" i="2"/>
  <c r="Q1712" i="2" s="1"/>
  <c r="R1712" i="2" s="1"/>
  <c r="N1712" i="2"/>
  <c r="M1712" i="2"/>
  <c r="K1712" i="2"/>
  <c r="I1712" i="2"/>
  <c r="E1712" i="2"/>
  <c r="P1711" i="2"/>
  <c r="O1711" i="2"/>
  <c r="Q1711" i="2" s="1"/>
  <c r="R1711" i="2" s="1"/>
  <c r="N1711" i="2"/>
  <c r="M1711" i="2"/>
  <c r="K1711" i="2"/>
  <c r="I1711" i="2"/>
  <c r="E1711" i="2"/>
  <c r="Q1710" i="2"/>
  <c r="R1710" i="2" s="1"/>
  <c r="P1710" i="2"/>
  <c r="O1710" i="2"/>
  <c r="N1710" i="2"/>
  <c r="M1710" i="2"/>
  <c r="K1710" i="2"/>
  <c r="I1710" i="2"/>
  <c r="E1710" i="2"/>
  <c r="Q1709" i="2"/>
  <c r="R1709" i="2" s="1"/>
  <c r="P1709" i="2"/>
  <c r="O1709" i="2"/>
  <c r="N1709" i="2"/>
  <c r="M1709" i="2"/>
  <c r="K1709" i="2"/>
  <c r="I1709" i="2"/>
  <c r="E1709" i="2"/>
  <c r="P1708" i="2"/>
  <c r="O1708" i="2"/>
  <c r="Q1708" i="2" s="1"/>
  <c r="R1708" i="2" s="1"/>
  <c r="N1708" i="2"/>
  <c r="M1708" i="2"/>
  <c r="K1708" i="2"/>
  <c r="I1708" i="2"/>
  <c r="E1708" i="2"/>
  <c r="P1707" i="2"/>
  <c r="O1707" i="2"/>
  <c r="Q1707" i="2" s="1"/>
  <c r="R1707" i="2" s="1"/>
  <c r="N1707" i="2"/>
  <c r="M1707" i="2"/>
  <c r="K1707" i="2"/>
  <c r="I1707" i="2"/>
  <c r="E1707" i="2"/>
  <c r="P1706" i="2"/>
  <c r="O1706" i="2"/>
  <c r="Q1706" i="2" s="1"/>
  <c r="R1706" i="2" s="1"/>
  <c r="N1706" i="2"/>
  <c r="M1706" i="2"/>
  <c r="K1706" i="2"/>
  <c r="I1706" i="2"/>
  <c r="E1706" i="2"/>
  <c r="P1705" i="2"/>
  <c r="O1705" i="2"/>
  <c r="Q1705" i="2" s="1"/>
  <c r="R1705" i="2" s="1"/>
  <c r="N1705" i="2"/>
  <c r="M1705" i="2"/>
  <c r="K1705" i="2"/>
  <c r="I1705" i="2"/>
  <c r="E1705" i="2"/>
  <c r="P1704" i="2"/>
  <c r="O1704" i="2"/>
  <c r="Q1704" i="2" s="1"/>
  <c r="R1704" i="2" s="1"/>
  <c r="N1704" i="2"/>
  <c r="M1704" i="2"/>
  <c r="K1704" i="2"/>
  <c r="I1704" i="2"/>
  <c r="E1704" i="2"/>
  <c r="P1703" i="2"/>
  <c r="O1703" i="2"/>
  <c r="Q1703" i="2" s="1"/>
  <c r="R1703" i="2" s="1"/>
  <c r="N1703" i="2"/>
  <c r="M1703" i="2"/>
  <c r="K1703" i="2"/>
  <c r="I1703" i="2"/>
  <c r="E1703" i="2"/>
  <c r="Q1702" i="2"/>
  <c r="R1702" i="2" s="1"/>
  <c r="P1702" i="2"/>
  <c r="O1702" i="2"/>
  <c r="N1702" i="2"/>
  <c r="M1702" i="2"/>
  <c r="K1702" i="2"/>
  <c r="I1702" i="2"/>
  <c r="E1702" i="2"/>
  <c r="R1701" i="2"/>
  <c r="Q1701" i="2"/>
  <c r="P1701" i="2"/>
  <c r="O1701" i="2"/>
  <c r="N1701" i="2"/>
  <c r="M1701" i="2"/>
  <c r="K1701" i="2"/>
  <c r="I1701" i="2"/>
  <c r="E1701" i="2"/>
  <c r="P1700" i="2"/>
  <c r="O1700" i="2"/>
  <c r="Q1700" i="2" s="1"/>
  <c r="R1700" i="2" s="1"/>
  <c r="N1700" i="2"/>
  <c r="M1700" i="2"/>
  <c r="K1700" i="2"/>
  <c r="I1700" i="2"/>
  <c r="E1700" i="2"/>
  <c r="P1699" i="2"/>
  <c r="O1699" i="2"/>
  <c r="Q1699" i="2" s="1"/>
  <c r="R1699" i="2" s="1"/>
  <c r="N1699" i="2"/>
  <c r="M1699" i="2"/>
  <c r="K1699" i="2"/>
  <c r="I1699" i="2"/>
  <c r="E1699" i="2"/>
  <c r="Q1698" i="2"/>
  <c r="R1698" i="2" s="1"/>
  <c r="P1698" i="2"/>
  <c r="O1698" i="2"/>
  <c r="N1698" i="2"/>
  <c r="M1698" i="2"/>
  <c r="K1698" i="2"/>
  <c r="I1698" i="2"/>
  <c r="E1698" i="2"/>
  <c r="Q1697" i="2"/>
  <c r="R1697" i="2" s="1"/>
  <c r="P1697" i="2"/>
  <c r="O1697" i="2"/>
  <c r="N1697" i="2"/>
  <c r="M1697" i="2"/>
  <c r="K1697" i="2"/>
  <c r="I1697" i="2"/>
  <c r="E1697" i="2"/>
  <c r="P1696" i="2"/>
  <c r="O1696" i="2"/>
  <c r="Q1696" i="2" s="1"/>
  <c r="R1696" i="2" s="1"/>
  <c r="N1696" i="2"/>
  <c r="M1696" i="2"/>
  <c r="K1696" i="2"/>
  <c r="I1696" i="2"/>
  <c r="E1696" i="2"/>
  <c r="P1695" i="2"/>
  <c r="O1695" i="2"/>
  <c r="Q1695" i="2" s="1"/>
  <c r="R1695" i="2" s="1"/>
  <c r="N1695" i="2"/>
  <c r="M1695" i="2"/>
  <c r="K1695" i="2"/>
  <c r="I1695" i="2"/>
  <c r="E1695" i="2"/>
  <c r="P1694" i="2"/>
  <c r="O1694" i="2"/>
  <c r="Q1694" i="2" s="1"/>
  <c r="R1694" i="2" s="1"/>
  <c r="N1694" i="2"/>
  <c r="M1694" i="2"/>
  <c r="K1694" i="2"/>
  <c r="I1694" i="2"/>
  <c r="E1694" i="2"/>
  <c r="P1693" i="2"/>
  <c r="O1693" i="2"/>
  <c r="Q1693" i="2" s="1"/>
  <c r="R1693" i="2" s="1"/>
  <c r="N1693" i="2"/>
  <c r="M1693" i="2"/>
  <c r="K1693" i="2"/>
  <c r="I1693" i="2"/>
  <c r="E1693" i="2"/>
  <c r="P1692" i="2"/>
  <c r="O1692" i="2"/>
  <c r="Q1692" i="2" s="1"/>
  <c r="R1692" i="2" s="1"/>
  <c r="N1692" i="2"/>
  <c r="M1692" i="2"/>
  <c r="K1692" i="2"/>
  <c r="I1692" i="2"/>
  <c r="E1692" i="2"/>
  <c r="P1691" i="2"/>
  <c r="O1691" i="2"/>
  <c r="Q1691" i="2" s="1"/>
  <c r="R1691" i="2" s="1"/>
  <c r="N1691" i="2"/>
  <c r="M1691" i="2"/>
  <c r="K1691" i="2"/>
  <c r="I1691" i="2"/>
  <c r="E1691" i="2"/>
  <c r="Q1690" i="2"/>
  <c r="R1690" i="2" s="1"/>
  <c r="P1690" i="2"/>
  <c r="O1690" i="2"/>
  <c r="N1690" i="2"/>
  <c r="M1690" i="2"/>
  <c r="K1690" i="2"/>
  <c r="I1690" i="2"/>
  <c r="E1690" i="2"/>
  <c r="P1689" i="2"/>
  <c r="O1689" i="2"/>
  <c r="Q1689" i="2" s="1"/>
  <c r="R1689" i="2" s="1"/>
  <c r="N1689" i="2"/>
  <c r="M1689" i="2"/>
  <c r="K1689" i="2"/>
  <c r="I1689" i="2"/>
  <c r="E1689" i="2"/>
  <c r="P1688" i="2"/>
  <c r="O1688" i="2"/>
  <c r="Q1688" i="2" s="1"/>
  <c r="R1688" i="2" s="1"/>
  <c r="N1688" i="2"/>
  <c r="M1688" i="2"/>
  <c r="K1688" i="2"/>
  <c r="I1688" i="2"/>
  <c r="E1688" i="2"/>
  <c r="P1687" i="2"/>
  <c r="O1687" i="2"/>
  <c r="Q1687" i="2" s="1"/>
  <c r="R1687" i="2" s="1"/>
  <c r="N1687" i="2"/>
  <c r="M1687" i="2"/>
  <c r="K1687" i="2"/>
  <c r="I1687" i="2"/>
  <c r="E1687" i="2"/>
  <c r="Q1686" i="2"/>
  <c r="R1686" i="2" s="1"/>
  <c r="P1686" i="2"/>
  <c r="O1686" i="2"/>
  <c r="N1686" i="2"/>
  <c r="M1686" i="2"/>
  <c r="K1686" i="2"/>
  <c r="I1686" i="2"/>
  <c r="E1686" i="2"/>
  <c r="Q1685" i="2"/>
  <c r="R1685" i="2" s="1"/>
  <c r="P1685" i="2"/>
  <c r="O1685" i="2"/>
  <c r="N1685" i="2"/>
  <c r="M1685" i="2"/>
  <c r="K1685" i="2"/>
  <c r="I1685" i="2"/>
  <c r="E1685" i="2"/>
  <c r="P1684" i="2"/>
  <c r="O1684" i="2"/>
  <c r="Q1684" i="2" s="1"/>
  <c r="R1684" i="2" s="1"/>
  <c r="N1684" i="2"/>
  <c r="M1684" i="2"/>
  <c r="K1684" i="2"/>
  <c r="I1684" i="2"/>
  <c r="E1684" i="2"/>
  <c r="P1683" i="2"/>
  <c r="O1683" i="2"/>
  <c r="Q1683" i="2" s="1"/>
  <c r="R1683" i="2" s="1"/>
  <c r="N1683" i="2"/>
  <c r="M1683" i="2"/>
  <c r="K1683" i="2"/>
  <c r="I1683" i="2"/>
  <c r="E1683" i="2"/>
  <c r="P1682" i="2"/>
  <c r="O1682" i="2"/>
  <c r="Q1682" i="2" s="1"/>
  <c r="R1682" i="2" s="1"/>
  <c r="N1682" i="2"/>
  <c r="M1682" i="2"/>
  <c r="K1682" i="2"/>
  <c r="I1682" i="2"/>
  <c r="E1682" i="2"/>
  <c r="P1681" i="2"/>
  <c r="O1681" i="2"/>
  <c r="Q1681" i="2" s="1"/>
  <c r="R1681" i="2" s="1"/>
  <c r="N1681" i="2"/>
  <c r="M1681" i="2"/>
  <c r="K1681" i="2"/>
  <c r="I1681" i="2"/>
  <c r="E1681" i="2"/>
  <c r="P1680" i="2"/>
  <c r="O1680" i="2"/>
  <c r="Q1680" i="2" s="1"/>
  <c r="R1680" i="2" s="1"/>
  <c r="N1680" i="2"/>
  <c r="M1680" i="2"/>
  <c r="K1680" i="2"/>
  <c r="I1680" i="2"/>
  <c r="E1680" i="2"/>
  <c r="P1679" i="2"/>
  <c r="O1679" i="2"/>
  <c r="Q1679" i="2" s="1"/>
  <c r="R1679" i="2" s="1"/>
  <c r="N1679" i="2"/>
  <c r="M1679" i="2"/>
  <c r="K1679" i="2"/>
  <c r="I1679" i="2"/>
  <c r="E1679" i="2"/>
  <c r="P1678" i="2"/>
  <c r="O1678" i="2"/>
  <c r="Q1678" i="2" s="1"/>
  <c r="R1678" i="2" s="1"/>
  <c r="N1678" i="2"/>
  <c r="M1678" i="2"/>
  <c r="K1678" i="2"/>
  <c r="I1678" i="2"/>
  <c r="E1678" i="2"/>
  <c r="Q1677" i="2"/>
  <c r="R1677" i="2" s="1"/>
  <c r="P1677" i="2"/>
  <c r="O1677" i="2"/>
  <c r="N1677" i="2"/>
  <c r="M1677" i="2"/>
  <c r="K1677" i="2"/>
  <c r="I1677" i="2"/>
  <c r="E1677" i="2"/>
  <c r="P1676" i="2"/>
  <c r="O1676" i="2"/>
  <c r="Q1676" i="2" s="1"/>
  <c r="R1676" i="2" s="1"/>
  <c r="N1676" i="2"/>
  <c r="M1676" i="2"/>
  <c r="K1676" i="2"/>
  <c r="I1676" i="2"/>
  <c r="E1676" i="2"/>
  <c r="P1675" i="2"/>
  <c r="O1675" i="2"/>
  <c r="Q1675" i="2" s="1"/>
  <c r="R1675" i="2" s="1"/>
  <c r="N1675" i="2"/>
  <c r="M1675" i="2"/>
  <c r="K1675" i="2"/>
  <c r="I1675" i="2"/>
  <c r="E1675" i="2"/>
  <c r="Q1674" i="2"/>
  <c r="R1674" i="2" s="1"/>
  <c r="P1674" i="2"/>
  <c r="O1674" i="2"/>
  <c r="N1674" i="2"/>
  <c r="M1674" i="2"/>
  <c r="K1674" i="2"/>
  <c r="I1674" i="2"/>
  <c r="E1674" i="2"/>
  <c r="Q1673" i="2"/>
  <c r="R1673" i="2" s="1"/>
  <c r="P1673" i="2"/>
  <c r="O1673" i="2"/>
  <c r="N1673" i="2"/>
  <c r="M1673" i="2"/>
  <c r="K1673" i="2"/>
  <c r="I1673" i="2"/>
  <c r="E1673" i="2"/>
  <c r="P1672" i="2"/>
  <c r="O1672" i="2"/>
  <c r="Q1672" i="2" s="1"/>
  <c r="R1672" i="2" s="1"/>
  <c r="N1672" i="2"/>
  <c r="M1672" i="2"/>
  <c r="K1672" i="2"/>
  <c r="I1672" i="2"/>
  <c r="E1672" i="2"/>
  <c r="P1671" i="2"/>
  <c r="O1671" i="2"/>
  <c r="Q1671" i="2" s="1"/>
  <c r="R1671" i="2" s="1"/>
  <c r="N1671" i="2"/>
  <c r="M1671" i="2"/>
  <c r="K1671" i="2"/>
  <c r="I1671" i="2"/>
  <c r="E1671" i="2"/>
  <c r="P1670" i="2"/>
  <c r="O1670" i="2"/>
  <c r="Q1670" i="2" s="1"/>
  <c r="R1670" i="2" s="1"/>
  <c r="N1670" i="2"/>
  <c r="M1670" i="2"/>
  <c r="K1670" i="2"/>
  <c r="I1670" i="2"/>
  <c r="E1670" i="2"/>
  <c r="P1668" i="2"/>
  <c r="O1668" i="2"/>
  <c r="Q1668" i="2" s="1"/>
  <c r="R1668" i="2" s="1"/>
  <c r="N1668" i="2"/>
  <c r="M1668" i="2"/>
  <c r="K1668" i="2"/>
  <c r="I1668" i="2"/>
  <c r="E1668" i="2"/>
  <c r="P1667" i="2"/>
  <c r="O1667" i="2"/>
  <c r="Q1667" i="2" s="1"/>
  <c r="R1667" i="2" s="1"/>
  <c r="N1667" i="2"/>
  <c r="M1667" i="2"/>
  <c r="K1667" i="2"/>
  <c r="I1667" i="2"/>
  <c r="E1667" i="2"/>
  <c r="P1666" i="2"/>
  <c r="O1666" i="2"/>
  <c r="Q1666" i="2" s="1"/>
  <c r="R1666" i="2" s="1"/>
  <c r="N1666" i="2"/>
  <c r="M1666" i="2"/>
  <c r="K1666" i="2"/>
  <c r="I1666" i="2"/>
  <c r="E1666" i="2"/>
  <c r="Q1665" i="2"/>
  <c r="R1665" i="2" s="1"/>
  <c r="P1665" i="2"/>
  <c r="O1665" i="2"/>
  <c r="N1665" i="2"/>
  <c r="M1665" i="2"/>
  <c r="K1665" i="2"/>
  <c r="I1665" i="2"/>
  <c r="E1665" i="2"/>
  <c r="Q1664" i="2"/>
  <c r="R1664" i="2" s="1"/>
  <c r="P1664" i="2"/>
  <c r="O1664" i="2"/>
  <c r="N1664" i="2"/>
  <c r="M1664" i="2"/>
  <c r="K1664" i="2"/>
  <c r="I1664" i="2"/>
  <c r="E1664" i="2"/>
  <c r="P1663" i="2"/>
  <c r="O1663" i="2"/>
  <c r="Q1663" i="2" s="1"/>
  <c r="R1663" i="2" s="1"/>
  <c r="N1663" i="2"/>
  <c r="M1663" i="2"/>
  <c r="K1663" i="2"/>
  <c r="I1663" i="2"/>
  <c r="E1663" i="2"/>
  <c r="P1662" i="2"/>
  <c r="O1662" i="2"/>
  <c r="Q1662" i="2" s="1"/>
  <c r="R1662" i="2" s="1"/>
  <c r="N1662" i="2"/>
  <c r="M1662" i="2"/>
  <c r="K1662" i="2"/>
  <c r="I1662" i="2"/>
  <c r="E1662" i="2"/>
  <c r="Q1661" i="2"/>
  <c r="R1661" i="2" s="1"/>
  <c r="P1661" i="2"/>
  <c r="O1661" i="2"/>
  <c r="N1661" i="2"/>
  <c r="M1661" i="2"/>
  <c r="K1661" i="2"/>
  <c r="I1661" i="2"/>
  <c r="E1661" i="2"/>
  <c r="Q1660" i="2"/>
  <c r="R1660" i="2" s="1"/>
  <c r="P1660" i="2"/>
  <c r="O1660" i="2"/>
  <c r="N1660" i="2"/>
  <c r="M1660" i="2"/>
  <c r="K1660" i="2"/>
  <c r="I1660" i="2"/>
  <c r="E1660" i="2"/>
  <c r="P1659" i="2"/>
  <c r="O1659" i="2"/>
  <c r="Q1659" i="2" s="1"/>
  <c r="R1659" i="2" s="1"/>
  <c r="N1659" i="2"/>
  <c r="M1659" i="2"/>
  <c r="K1659" i="2"/>
  <c r="I1659" i="2"/>
  <c r="E1659" i="2"/>
  <c r="P1658" i="2"/>
  <c r="O1658" i="2"/>
  <c r="Q1658" i="2" s="1"/>
  <c r="R1658" i="2" s="1"/>
  <c r="N1658" i="2"/>
  <c r="M1658" i="2"/>
  <c r="K1658" i="2"/>
  <c r="I1658" i="2"/>
  <c r="E1658" i="2"/>
  <c r="P1657" i="2"/>
  <c r="O1657" i="2"/>
  <c r="Q1657" i="2" s="1"/>
  <c r="R1657" i="2" s="1"/>
  <c r="N1657" i="2"/>
  <c r="M1657" i="2"/>
  <c r="K1657" i="2"/>
  <c r="I1657" i="2"/>
  <c r="E1657" i="2"/>
  <c r="R1656" i="2"/>
  <c r="P1656" i="2"/>
  <c r="O1656" i="2"/>
  <c r="Q1656" i="2" s="1"/>
  <c r="N1656" i="2"/>
  <c r="M1656" i="2"/>
  <c r="K1656" i="2"/>
  <c r="I1656" i="2"/>
  <c r="E1656" i="2"/>
  <c r="P1655" i="2"/>
  <c r="O1655" i="2"/>
  <c r="Q1655" i="2" s="1"/>
  <c r="R1655" i="2" s="1"/>
  <c r="N1655" i="2"/>
  <c r="M1655" i="2"/>
  <c r="K1655" i="2"/>
  <c r="I1655" i="2"/>
  <c r="E1655" i="2"/>
  <c r="P1654" i="2"/>
  <c r="O1654" i="2"/>
  <c r="Q1654" i="2" s="1"/>
  <c r="R1654" i="2" s="1"/>
  <c r="N1654" i="2"/>
  <c r="M1654" i="2"/>
  <c r="K1654" i="2"/>
  <c r="I1654" i="2"/>
  <c r="E1654" i="2"/>
  <c r="Q1653" i="2"/>
  <c r="R1653" i="2" s="1"/>
  <c r="P1653" i="2"/>
  <c r="O1653" i="2"/>
  <c r="N1653" i="2"/>
  <c r="M1653" i="2"/>
  <c r="K1653" i="2"/>
  <c r="I1653" i="2"/>
  <c r="E1653" i="2"/>
  <c r="R1652" i="2"/>
  <c r="Q1652" i="2"/>
  <c r="P1652" i="2"/>
  <c r="O1652" i="2"/>
  <c r="N1652" i="2"/>
  <c r="M1652" i="2"/>
  <c r="K1652" i="2"/>
  <c r="I1652" i="2"/>
  <c r="E1652" i="2"/>
  <c r="P1651" i="2"/>
  <c r="O1651" i="2"/>
  <c r="Q1651" i="2" s="1"/>
  <c r="R1651" i="2" s="1"/>
  <c r="N1651" i="2"/>
  <c r="M1651" i="2"/>
  <c r="K1651" i="2"/>
  <c r="I1651" i="2"/>
  <c r="E1651" i="2"/>
  <c r="P1650" i="2"/>
  <c r="O1650" i="2"/>
  <c r="Q1650" i="2" s="1"/>
  <c r="R1650" i="2" s="1"/>
  <c r="N1650" i="2"/>
  <c r="M1650" i="2"/>
  <c r="K1650" i="2"/>
  <c r="I1650" i="2"/>
  <c r="E1650" i="2"/>
  <c r="Q1649" i="2"/>
  <c r="R1649" i="2" s="1"/>
  <c r="P1649" i="2"/>
  <c r="O1649" i="2"/>
  <c r="N1649" i="2"/>
  <c r="M1649" i="2"/>
  <c r="K1649" i="2"/>
  <c r="I1649" i="2"/>
  <c r="E1649" i="2"/>
  <c r="Q1648" i="2"/>
  <c r="R1648" i="2" s="1"/>
  <c r="P1648" i="2"/>
  <c r="O1648" i="2"/>
  <c r="N1648" i="2"/>
  <c r="M1648" i="2"/>
  <c r="K1648" i="2"/>
  <c r="I1648" i="2"/>
  <c r="E1648" i="2"/>
  <c r="P1647" i="2"/>
  <c r="O1647" i="2"/>
  <c r="Q1647" i="2" s="1"/>
  <c r="R1647" i="2" s="1"/>
  <c r="N1647" i="2"/>
  <c r="M1647" i="2"/>
  <c r="K1647" i="2"/>
  <c r="I1647" i="2"/>
  <c r="E1647" i="2"/>
  <c r="P1646" i="2"/>
  <c r="O1646" i="2"/>
  <c r="Q1646" i="2" s="1"/>
  <c r="R1646" i="2" s="1"/>
  <c r="N1646" i="2"/>
  <c r="M1646" i="2"/>
  <c r="K1646" i="2"/>
  <c r="I1646" i="2"/>
  <c r="E1646" i="2"/>
  <c r="P1645" i="2"/>
  <c r="O1645" i="2"/>
  <c r="Q1645" i="2" s="1"/>
  <c r="R1645" i="2" s="1"/>
  <c r="N1645" i="2"/>
  <c r="M1645" i="2"/>
  <c r="K1645" i="2"/>
  <c r="I1645" i="2"/>
  <c r="E1645" i="2"/>
  <c r="P1644" i="2"/>
  <c r="O1644" i="2"/>
  <c r="Q1644" i="2" s="1"/>
  <c r="R1644" i="2" s="1"/>
  <c r="N1644" i="2"/>
  <c r="M1644" i="2"/>
  <c r="K1644" i="2"/>
  <c r="I1644" i="2"/>
  <c r="E1644" i="2"/>
  <c r="P1642" i="2"/>
  <c r="O1642" i="2"/>
  <c r="Q1642" i="2" s="1"/>
  <c r="R1642" i="2" s="1"/>
  <c r="N1642" i="2"/>
  <c r="M1642" i="2"/>
  <c r="K1642" i="2"/>
  <c r="I1642" i="2"/>
  <c r="E1642" i="2"/>
  <c r="P1641" i="2"/>
  <c r="O1641" i="2"/>
  <c r="Q1641" i="2" s="1"/>
  <c r="R1641" i="2" s="1"/>
  <c r="N1641" i="2"/>
  <c r="M1641" i="2"/>
  <c r="K1641" i="2"/>
  <c r="I1641" i="2"/>
  <c r="E1641" i="2"/>
  <c r="Q1640" i="2"/>
  <c r="R1640" i="2" s="1"/>
  <c r="P1640" i="2"/>
  <c r="O1640" i="2"/>
  <c r="N1640" i="2"/>
  <c r="M1640" i="2"/>
  <c r="K1640" i="2"/>
  <c r="I1640" i="2"/>
  <c r="E1640" i="2"/>
  <c r="P1639" i="2"/>
  <c r="O1639" i="2"/>
  <c r="Q1639" i="2" s="1"/>
  <c r="R1639" i="2" s="1"/>
  <c r="N1639" i="2"/>
  <c r="M1639" i="2"/>
  <c r="K1639" i="2"/>
  <c r="I1639" i="2"/>
  <c r="E1639" i="2"/>
  <c r="P1638" i="2"/>
  <c r="O1638" i="2"/>
  <c r="Q1638" i="2" s="1"/>
  <c r="R1638" i="2" s="1"/>
  <c r="N1638" i="2"/>
  <c r="M1638" i="2"/>
  <c r="K1638" i="2"/>
  <c r="I1638" i="2"/>
  <c r="E1638" i="2"/>
  <c r="P1637" i="2"/>
  <c r="O1637" i="2"/>
  <c r="Q1637" i="2" s="1"/>
  <c r="R1637" i="2" s="1"/>
  <c r="N1637" i="2"/>
  <c r="M1637" i="2"/>
  <c r="K1637" i="2"/>
  <c r="I1637" i="2"/>
  <c r="E1637" i="2"/>
  <c r="Q1636" i="2"/>
  <c r="R1636" i="2" s="1"/>
  <c r="P1636" i="2"/>
  <c r="O1636" i="2"/>
  <c r="N1636" i="2"/>
  <c r="M1636" i="2"/>
  <c r="K1636" i="2"/>
  <c r="I1636" i="2"/>
  <c r="E1636" i="2"/>
  <c r="Q1635" i="2"/>
  <c r="R1635" i="2" s="1"/>
  <c r="P1635" i="2"/>
  <c r="O1635" i="2"/>
  <c r="N1635" i="2"/>
  <c r="M1635" i="2"/>
  <c r="K1635" i="2"/>
  <c r="I1635" i="2"/>
  <c r="E1635" i="2"/>
  <c r="P1634" i="2"/>
  <c r="O1634" i="2"/>
  <c r="Q1634" i="2" s="1"/>
  <c r="R1634" i="2" s="1"/>
  <c r="N1634" i="2"/>
  <c r="M1634" i="2"/>
  <c r="K1634" i="2"/>
  <c r="I1634" i="2"/>
  <c r="E1634" i="2"/>
  <c r="P1633" i="2"/>
  <c r="O1633" i="2"/>
  <c r="Q1633" i="2" s="1"/>
  <c r="R1633" i="2" s="1"/>
  <c r="N1633" i="2"/>
  <c r="M1633" i="2"/>
  <c r="K1633" i="2"/>
  <c r="I1633" i="2"/>
  <c r="E1633" i="2"/>
  <c r="P1632" i="2"/>
  <c r="O1632" i="2"/>
  <c r="Q1632" i="2" s="1"/>
  <c r="R1632" i="2" s="1"/>
  <c r="N1632" i="2"/>
  <c r="M1632" i="2"/>
  <c r="K1632" i="2"/>
  <c r="I1632" i="2"/>
  <c r="E1632" i="2"/>
  <c r="P1631" i="2"/>
  <c r="O1631" i="2"/>
  <c r="Q1631" i="2" s="1"/>
  <c r="R1631" i="2" s="1"/>
  <c r="N1631" i="2"/>
  <c r="M1631" i="2"/>
  <c r="K1631" i="2"/>
  <c r="I1631" i="2"/>
  <c r="E1631" i="2"/>
  <c r="P1630" i="2"/>
  <c r="O1630" i="2"/>
  <c r="Q1630" i="2" s="1"/>
  <c r="R1630" i="2" s="1"/>
  <c r="N1630" i="2"/>
  <c r="M1630" i="2"/>
  <c r="K1630" i="2"/>
  <c r="I1630" i="2"/>
  <c r="E1630" i="2"/>
  <c r="P1629" i="2"/>
  <c r="O1629" i="2"/>
  <c r="Q1629" i="2" s="1"/>
  <c r="R1629" i="2" s="1"/>
  <c r="N1629" i="2"/>
  <c r="M1629" i="2"/>
  <c r="K1629" i="2"/>
  <c r="I1629" i="2"/>
  <c r="E1629" i="2"/>
  <c r="P1628" i="2"/>
  <c r="O1628" i="2"/>
  <c r="Q1628" i="2" s="1"/>
  <c r="R1628" i="2" s="1"/>
  <c r="N1628" i="2"/>
  <c r="M1628" i="2"/>
  <c r="K1628" i="2"/>
  <c r="I1628" i="2"/>
  <c r="E1628" i="2"/>
  <c r="P1627" i="2"/>
  <c r="O1627" i="2"/>
  <c r="Q1627" i="2" s="1"/>
  <c r="R1627" i="2" s="1"/>
  <c r="N1627" i="2"/>
  <c r="M1627" i="2"/>
  <c r="K1627" i="2"/>
  <c r="I1627" i="2"/>
  <c r="E1627" i="2"/>
  <c r="P1626" i="2"/>
  <c r="O1626" i="2"/>
  <c r="Q1626" i="2" s="1"/>
  <c r="R1626" i="2" s="1"/>
  <c r="N1626" i="2"/>
  <c r="M1626" i="2"/>
  <c r="K1626" i="2"/>
  <c r="I1626" i="2"/>
  <c r="E1626" i="2"/>
  <c r="P1625" i="2"/>
  <c r="O1625" i="2"/>
  <c r="Q1625" i="2" s="1"/>
  <c r="R1625" i="2" s="1"/>
  <c r="N1625" i="2"/>
  <c r="M1625" i="2"/>
  <c r="K1625" i="2"/>
  <c r="I1625" i="2"/>
  <c r="E1625" i="2"/>
  <c r="Q1624" i="2"/>
  <c r="R1624" i="2" s="1"/>
  <c r="P1624" i="2"/>
  <c r="O1624" i="2"/>
  <c r="N1624" i="2"/>
  <c r="M1624" i="2"/>
  <c r="K1624" i="2"/>
  <c r="I1624" i="2"/>
  <c r="E1624" i="2"/>
  <c r="R1623" i="2"/>
  <c r="Q1623" i="2"/>
  <c r="P1623" i="2"/>
  <c r="O1623" i="2"/>
  <c r="N1623" i="2"/>
  <c r="M1623" i="2"/>
  <c r="K1623" i="2"/>
  <c r="I1623" i="2"/>
  <c r="E1623" i="2"/>
  <c r="P1622" i="2"/>
  <c r="O1622" i="2"/>
  <c r="Q1622" i="2" s="1"/>
  <c r="R1622" i="2" s="1"/>
  <c r="N1622" i="2"/>
  <c r="M1622" i="2"/>
  <c r="K1622" i="2"/>
  <c r="I1622" i="2"/>
  <c r="E1622" i="2"/>
  <c r="P1621" i="2"/>
  <c r="O1621" i="2"/>
  <c r="Q1621" i="2" s="1"/>
  <c r="R1621" i="2" s="1"/>
  <c r="N1621" i="2"/>
  <c r="M1621" i="2"/>
  <c r="K1621" i="2"/>
  <c r="I1621" i="2"/>
  <c r="E1621" i="2"/>
  <c r="Q1620" i="2"/>
  <c r="R1620" i="2" s="1"/>
  <c r="P1620" i="2"/>
  <c r="O1620" i="2"/>
  <c r="N1620" i="2"/>
  <c r="M1620" i="2"/>
  <c r="K1620" i="2"/>
  <c r="I1620" i="2"/>
  <c r="E1620" i="2"/>
  <c r="Q1619" i="2"/>
  <c r="R1619" i="2" s="1"/>
  <c r="P1619" i="2"/>
  <c r="O1619" i="2"/>
  <c r="N1619" i="2"/>
  <c r="M1619" i="2"/>
  <c r="K1619" i="2"/>
  <c r="I1619" i="2"/>
  <c r="E1619" i="2"/>
  <c r="P1618" i="2"/>
  <c r="O1618" i="2"/>
  <c r="Q1618" i="2" s="1"/>
  <c r="R1618" i="2" s="1"/>
  <c r="N1618" i="2"/>
  <c r="M1618" i="2"/>
  <c r="K1618" i="2"/>
  <c r="I1618" i="2"/>
  <c r="E1618" i="2"/>
  <c r="P1617" i="2"/>
  <c r="O1617" i="2"/>
  <c r="Q1617" i="2" s="1"/>
  <c r="R1617" i="2" s="1"/>
  <c r="N1617" i="2"/>
  <c r="M1617" i="2"/>
  <c r="K1617" i="2"/>
  <c r="I1617" i="2"/>
  <c r="E1617" i="2"/>
  <c r="P1616" i="2"/>
  <c r="O1616" i="2"/>
  <c r="Q1616" i="2" s="1"/>
  <c r="R1616" i="2" s="1"/>
  <c r="N1616" i="2"/>
  <c r="M1616" i="2"/>
  <c r="K1616" i="2"/>
  <c r="I1616" i="2"/>
  <c r="E1616" i="2"/>
  <c r="P1615" i="2"/>
  <c r="O1615" i="2"/>
  <c r="Q1615" i="2" s="1"/>
  <c r="R1615" i="2" s="1"/>
  <c r="N1615" i="2"/>
  <c r="M1615" i="2"/>
  <c r="K1615" i="2"/>
  <c r="I1615" i="2"/>
  <c r="E1615" i="2"/>
  <c r="P1614" i="2"/>
  <c r="O1614" i="2"/>
  <c r="Q1614" i="2" s="1"/>
  <c r="R1614" i="2" s="1"/>
  <c r="N1614" i="2"/>
  <c r="M1614" i="2"/>
  <c r="K1614" i="2"/>
  <c r="I1614" i="2"/>
  <c r="E1614" i="2"/>
  <c r="P1612" i="2"/>
  <c r="O1612" i="2"/>
  <c r="Q1612" i="2" s="1"/>
  <c r="R1612" i="2" s="1"/>
  <c r="N1612" i="2"/>
  <c r="M1612" i="2"/>
  <c r="K1612" i="2"/>
  <c r="I1612" i="2"/>
  <c r="E1612" i="2"/>
  <c r="Q1611" i="2"/>
  <c r="R1611" i="2" s="1"/>
  <c r="P1611" i="2"/>
  <c r="O1611" i="2"/>
  <c r="N1611" i="2"/>
  <c r="M1611" i="2"/>
  <c r="K1611" i="2"/>
  <c r="I1611" i="2"/>
  <c r="E1611" i="2"/>
  <c r="P1610" i="2"/>
  <c r="O1610" i="2"/>
  <c r="Q1610" i="2" s="1"/>
  <c r="R1610" i="2" s="1"/>
  <c r="N1610" i="2"/>
  <c r="M1610" i="2"/>
  <c r="K1610" i="2"/>
  <c r="I1610" i="2"/>
  <c r="E1610" i="2"/>
  <c r="P1609" i="2"/>
  <c r="O1609" i="2"/>
  <c r="Q1609" i="2" s="1"/>
  <c r="R1609" i="2" s="1"/>
  <c r="N1609" i="2"/>
  <c r="M1609" i="2"/>
  <c r="K1609" i="2"/>
  <c r="I1609" i="2"/>
  <c r="E1609" i="2"/>
  <c r="P1608" i="2"/>
  <c r="O1608" i="2"/>
  <c r="Q1608" i="2" s="1"/>
  <c r="R1608" i="2" s="1"/>
  <c r="N1608" i="2"/>
  <c r="M1608" i="2"/>
  <c r="K1608" i="2"/>
  <c r="I1608" i="2"/>
  <c r="E1608" i="2"/>
  <c r="Q1607" i="2"/>
  <c r="R1607" i="2" s="1"/>
  <c r="P1607" i="2"/>
  <c r="O1607" i="2"/>
  <c r="N1607" i="2"/>
  <c r="M1607" i="2"/>
  <c r="K1607" i="2"/>
  <c r="I1607" i="2"/>
  <c r="E1607" i="2"/>
  <c r="R1606" i="2"/>
  <c r="Q1606" i="2"/>
  <c r="P1606" i="2"/>
  <c r="O1606" i="2"/>
  <c r="N1606" i="2"/>
  <c r="M1606" i="2"/>
  <c r="K1606" i="2"/>
  <c r="I1606" i="2"/>
  <c r="E1606" i="2"/>
  <c r="P1605" i="2"/>
  <c r="O1605" i="2"/>
  <c r="Q1605" i="2" s="1"/>
  <c r="R1605" i="2" s="1"/>
  <c r="N1605" i="2"/>
  <c r="M1605" i="2"/>
  <c r="K1605" i="2"/>
  <c r="I1605" i="2"/>
  <c r="E1605" i="2"/>
  <c r="P1604" i="2"/>
  <c r="O1604" i="2"/>
  <c r="Q1604" i="2" s="1"/>
  <c r="R1604" i="2" s="1"/>
  <c r="N1604" i="2"/>
  <c r="M1604" i="2"/>
  <c r="K1604" i="2"/>
  <c r="I1604" i="2"/>
  <c r="E1604" i="2"/>
  <c r="Q1603" i="2"/>
  <c r="R1603" i="2" s="1"/>
  <c r="P1603" i="2"/>
  <c r="O1603" i="2"/>
  <c r="N1603" i="2"/>
  <c r="M1603" i="2"/>
  <c r="K1603" i="2"/>
  <c r="I1603" i="2"/>
  <c r="E1603" i="2"/>
  <c r="P1602" i="2"/>
  <c r="O1602" i="2"/>
  <c r="Q1602" i="2" s="1"/>
  <c r="R1602" i="2" s="1"/>
  <c r="N1602" i="2"/>
  <c r="M1602" i="2"/>
  <c r="K1602" i="2"/>
  <c r="I1602" i="2"/>
  <c r="E1602" i="2"/>
  <c r="P1601" i="2"/>
  <c r="O1601" i="2"/>
  <c r="Q1601" i="2" s="1"/>
  <c r="R1601" i="2" s="1"/>
  <c r="N1601" i="2"/>
  <c r="M1601" i="2"/>
  <c r="K1601" i="2"/>
  <c r="I1601" i="2"/>
  <c r="E1601" i="2"/>
  <c r="P1600" i="2"/>
  <c r="O1600" i="2"/>
  <c r="Q1600" i="2" s="1"/>
  <c r="R1600" i="2" s="1"/>
  <c r="N1600" i="2"/>
  <c r="M1600" i="2"/>
  <c r="K1600" i="2"/>
  <c r="I1600" i="2"/>
  <c r="E1600" i="2"/>
  <c r="Q1599" i="2"/>
  <c r="R1599" i="2" s="1"/>
  <c r="P1599" i="2"/>
  <c r="O1599" i="2"/>
  <c r="N1599" i="2"/>
  <c r="M1599" i="2"/>
  <c r="K1599" i="2"/>
  <c r="I1599" i="2"/>
  <c r="E1599" i="2"/>
  <c r="Q1598" i="2"/>
  <c r="R1598" i="2" s="1"/>
  <c r="P1598" i="2"/>
  <c r="O1598" i="2"/>
  <c r="N1598" i="2"/>
  <c r="M1598" i="2"/>
  <c r="K1598" i="2"/>
  <c r="I1598" i="2"/>
  <c r="E1598" i="2"/>
  <c r="P1597" i="2"/>
  <c r="O1597" i="2"/>
  <c r="Q1597" i="2" s="1"/>
  <c r="R1597" i="2" s="1"/>
  <c r="N1597" i="2"/>
  <c r="M1597" i="2"/>
  <c r="K1597" i="2"/>
  <c r="I1597" i="2"/>
  <c r="E1597" i="2"/>
  <c r="P1596" i="2"/>
  <c r="O1596" i="2"/>
  <c r="Q1596" i="2" s="1"/>
  <c r="R1596" i="2" s="1"/>
  <c r="N1596" i="2"/>
  <c r="M1596" i="2"/>
  <c r="K1596" i="2"/>
  <c r="I1596" i="2"/>
  <c r="E1596" i="2"/>
  <c r="Q1595" i="2"/>
  <c r="R1595" i="2" s="1"/>
  <c r="P1595" i="2"/>
  <c r="O1595" i="2"/>
  <c r="N1595" i="2"/>
  <c r="M1595" i="2"/>
  <c r="K1595" i="2"/>
  <c r="I1595" i="2"/>
  <c r="E1595" i="2"/>
  <c r="P1594" i="2"/>
  <c r="O1594" i="2"/>
  <c r="Q1594" i="2" s="1"/>
  <c r="R1594" i="2" s="1"/>
  <c r="N1594" i="2"/>
  <c r="M1594" i="2"/>
  <c r="K1594" i="2"/>
  <c r="I1594" i="2"/>
  <c r="E1594" i="2"/>
  <c r="P1593" i="2"/>
  <c r="O1593" i="2"/>
  <c r="Q1593" i="2" s="1"/>
  <c r="R1593" i="2" s="1"/>
  <c r="N1593" i="2"/>
  <c r="M1593" i="2"/>
  <c r="K1593" i="2"/>
  <c r="I1593" i="2"/>
  <c r="E1593" i="2"/>
  <c r="P1592" i="2"/>
  <c r="O1592" i="2"/>
  <c r="Q1592" i="2" s="1"/>
  <c r="R1592" i="2" s="1"/>
  <c r="N1592" i="2"/>
  <c r="M1592" i="2"/>
  <c r="K1592" i="2"/>
  <c r="I1592" i="2"/>
  <c r="E1592" i="2"/>
  <c r="P1591" i="2"/>
  <c r="O1591" i="2"/>
  <c r="Q1591" i="2" s="1"/>
  <c r="R1591" i="2" s="1"/>
  <c r="N1591" i="2"/>
  <c r="M1591" i="2"/>
  <c r="K1591" i="2"/>
  <c r="I1591" i="2"/>
  <c r="E1591" i="2"/>
  <c r="P1590" i="2"/>
  <c r="O1590" i="2"/>
  <c r="Q1590" i="2" s="1"/>
  <c r="R1590" i="2" s="1"/>
  <c r="N1590" i="2"/>
  <c r="M1590" i="2"/>
  <c r="K1590" i="2"/>
  <c r="I1590" i="2"/>
  <c r="E1590" i="2"/>
  <c r="R1589" i="2"/>
  <c r="P1589" i="2"/>
  <c r="O1589" i="2"/>
  <c r="Q1589" i="2" s="1"/>
  <c r="N1589" i="2"/>
  <c r="M1589" i="2"/>
  <c r="K1589" i="2"/>
  <c r="I1589" i="2"/>
  <c r="E1589" i="2"/>
  <c r="R1588" i="2"/>
  <c r="P1588" i="2"/>
  <c r="O1588" i="2"/>
  <c r="Q1588" i="2" s="1"/>
  <c r="N1588" i="2"/>
  <c r="M1588" i="2"/>
  <c r="K1588" i="2"/>
  <c r="I1588" i="2"/>
  <c r="E1588" i="2"/>
  <c r="P1587" i="2"/>
  <c r="O1587" i="2"/>
  <c r="Q1587" i="2" s="1"/>
  <c r="R1587" i="2" s="1"/>
  <c r="N1587" i="2"/>
  <c r="M1587" i="2"/>
  <c r="K1587" i="2"/>
  <c r="I1587" i="2"/>
  <c r="E1587" i="2"/>
  <c r="R1586" i="2"/>
  <c r="P1586" i="2"/>
  <c r="O1586" i="2"/>
  <c r="Q1586" i="2" s="1"/>
  <c r="N1586" i="2"/>
  <c r="M1586" i="2"/>
  <c r="K1586" i="2"/>
  <c r="I1586" i="2"/>
  <c r="E1586" i="2"/>
  <c r="R1585" i="2"/>
  <c r="P1585" i="2"/>
  <c r="O1585" i="2"/>
  <c r="Q1585" i="2" s="1"/>
  <c r="N1585" i="2"/>
  <c r="M1585" i="2"/>
  <c r="K1585" i="2"/>
  <c r="I1585" i="2"/>
  <c r="E1585" i="2"/>
  <c r="R1584" i="2"/>
  <c r="P1584" i="2"/>
  <c r="O1584" i="2"/>
  <c r="Q1584" i="2" s="1"/>
  <c r="N1584" i="2"/>
  <c r="M1584" i="2"/>
  <c r="K1584" i="2"/>
  <c r="I1584" i="2"/>
  <c r="E1584" i="2"/>
  <c r="P1583" i="2"/>
  <c r="O1583" i="2"/>
  <c r="Q1583" i="2" s="1"/>
  <c r="R1583" i="2" s="1"/>
  <c r="N1583" i="2"/>
  <c r="M1583" i="2"/>
  <c r="K1583" i="2"/>
  <c r="I1583" i="2"/>
  <c r="E1583" i="2"/>
  <c r="P1582" i="2"/>
  <c r="O1582" i="2"/>
  <c r="Q1582" i="2" s="1"/>
  <c r="R1582" i="2" s="1"/>
  <c r="N1582" i="2"/>
  <c r="M1582" i="2"/>
  <c r="K1582" i="2"/>
  <c r="I1582" i="2"/>
  <c r="E1582" i="2"/>
  <c r="P1581" i="2"/>
  <c r="O1581" i="2"/>
  <c r="Q1581" i="2" s="1"/>
  <c r="R1581" i="2" s="1"/>
  <c r="N1581" i="2"/>
  <c r="M1581" i="2"/>
  <c r="K1581" i="2"/>
  <c r="I1581" i="2"/>
  <c r="E1581" i="2"/>
  <c r="P1580" i="2"/>
  <c r="O1580" i="2"/>
  <c r="Q1580" i="2" s="1"/>
  <c r="R1580" i="2" s="1"/>
  <c r="N1580" i="2"/>
  <c r="M1580" i="2"/>
  <c r="K1580" i="2"/>
  <c r="I1580" i="2"/>
  <c r="E1580" i="2"/>
  <c r="P1579" i="2"/>
  <c r="O1579" i="2"/>
  <c r="Q1579" i="2" s="1"/>
  <c r="R1579" i="2" s="1"/>
  <c r="N1579" i="2"/>
  <c r="M1579" i="2"/>
  <c r="K1579" i="2"/>
  <c r="I1579" i="2"/>
  <c r="E1579" i="2"/>
  <c r="Q1578" i="2"/>
  <c r="R1578" i="2" s="1"/>
  <c r="P1578" i="2"/>
  <c r="O1578" i="2"/>
  <c r="N1578" i="2"/>
  <c r="M1578" i="2"/>
  <c r="K1578" i="2"/>
  <c r="I1578" i="2"/>
  <c r="E1578" i="2"/>
  <c r="P1577" i="2"/>
  <c r="O1577" i="2"/>
  <c r="Q1577" i="2" s="1"/>
  <c r="R1577" i="2" s="1"/>
  <c r="N1577" i="2"/>
  <c r="M1577" i="2"/>
  <c r="K1577" i="2"/>
  <c r="I1577" i="2"/>
  <c r="E1577" i="2"/>
  <c r="P1576" i="2"/>
  <c r="O1576" i="2"/>
  <c r="Q1576" i="2" s="1"/>
  <c r="R1576" i="2" s="1"/>
  <c r="N1576" i="2"/>
  <c r="M1576" i="2"/>
  <c r="K1576" i="2"/>
  <c r="I1576" i="2"/>
  <c r="E1576" i="2"/>
  <c r="P1575" i="2"/>
  <c r="O1575" i="2"/>
  <c r="Q1575" i="2" s="1"/>
  <c r="R1575" i="2" s="1"/>
  <c r="N1575" i="2"/>
  <c r="M1575" i="2"/>
  <c r="K1575" i="2"/>
  <c r="I1575" i="2"/>
  <c r="E1575" i="2"/>
  <c r="Q1574" i="2"/>
  <c r="R1574" i="2" s="1"/>
  <c r="P1574" i="2"/>
  <c r="O1574" i="2"/>
  <c r="N1574" i="2"/>
  <c r="M1574" i="2"/>
  <c r="K1574" i="2"/>
  <c r="I1574" i="2"/>
  <c r="E1574" i="2"/>
  <c r="P1573" i="2"/>
  <c r="O1573" i="2"/>
  <c r="Q1573" i="2" s="1"/>
  <c r="R1573" i="2" s="1"/>
  <c r="N1573" i="2"/>
  <c r="M1573" i="2"/>
  <c r="K1573" i="2"/>
  <c r="I1573" i="2"/>
  <c r="E1573" i="2"/>
  <c r="P1572" i="2"/>
  <c r="O1572" i="2"/>
  <c r="Q1572" i="2" s="1"/>
  <c r="R1572" i="2" s="1"/>
  <c r="N1572" i="2"/>
  <c r="M1572" i="2"/>
  <c r="K1572" i="2"/>
  <c r="I1572" i="2"/>
  <c r="E1572" i="2"/>
  <c r="P1571" i="2"/>
  <c r="O1571" i="2"/>
  <c r="Q1571" i="2" s="1"/>
  <c r="R1571" i="2" s="1"/>
  <c r="N1571" i="2"/>
  <c r="M1571" i="2"/>
  <c r="K1571" i="2"/>
  <c r="I1571" i="2"/>
  <c r="E1571" i="2"/>
  <c r="P1570" i="2"/>
  <c r="O1570" i="2"/>
  <c r="Q1570" i="2" s="1"/>
  <c r="R1570" i="2" s="1"/>
  <c r="N1570" i="2"/>
  <c r="M1570" i="2"/>
  <c r="K1570" i="2"/>
  <c r="I1570" i="2"/>
  <c r="E1570" i="2"/>
  <c r="R1569" i="2"/>
  <c r="P1569" i="2"/>
  <c r="O1569" i="2"/>
  <c r="Q1569" i="2" s="1"/>
  <c r="N1569" i="2"/>
  <c r="M1569" i="2"/>
  <c r="K1569" i="2"/>
  <c r="I1569" i="2"/>
  <c r="E1569" i="2"/>
  <c r="R1567" i="2"/>
  <c r="P1567" i="2"/>
  <c r="O1567" i="2"/>
  <c r="Q1567" i="2" s="1"/>
  <c r="N1567" i="2"/>
  <c r="M1567" i="2"/>
  <c r="K1567" i="2"/>
  <c r="I1567" i="2"/>
  <c r="E1567" i="2"/>
  <c r="P1566" i="2"/>
  <c r="O1566" i="2"/>
  <c r="Q1566" i="2" s="1"/>
  <c r="R1566" i="2" s="1"/>
  <c r="N1566" i="2"/>
  <c r="M1566" i="2"/>
  <c r="K1566" i="2"/>
  <c r="I1566" i="2"/>
  <c r="E1566" i="2"/>
  <c r="P1565" i="2"/>
  <c r="O1565" i="2"/>
  <c r="Q1565" i="2" s="1"/>
  <c r="R1565" i="2" s="1"/>
  <c r="N1565" i="2"/>
  <c r="M1565" i="2"/>
  <c r="K1565" i="2"/>
  <c r="I1565" i="2"/>
  <c r="E1565" i="2"/>
  <c r="P1564" i="2"/>
  <c r="O1564" i="2"/>
  <c r="Q1564" i="2" s="1"/>
  <c r="R1564" i="2" s="1"/>
  <c r="N1564" i="2"/>
  <c r="M1564" i="2"/>
  <c r="K1564" i="2"/>
  <c r="I1564" i="2"/>
  <c r="E1564" i="2"/>
  <c r="P1563" i="2"/>
  <c r="O1563" i="2"/>
  <c r="Q1563" i="2" s="1"/>
  <c r="R1563" i="2" s="1"/>
  <c r="N1563" i="2"/>
  <c r="M1563" i="2"/>
  <c r="K1563" i="2"/>
  <c r="I1563" i="2"/>
  <c r="E1563" i="2"/>
  <c r="P1562" i="2"/>
  <c r="O1562" i="2"/>
  <c r="Q1562" i="2" s="1"/>
  <c r="R1562" i="2" s="1"/>
  <c r="N1562" i="2"/>
  <c r="M1562" i="2"/>
  <c r="K1562" i="2"/>
  <c r="I1562" i="2"/>
  <c r="E1562" i="2"/>
  <c r="Q1561" i="2"/>
  <c r="R1561" i="2" s="1"/>
  <c r="P1561" i="2"/>
  <c r="O1561" i="2"/>
  <c r="N1561" i="2"/>
  <c r="M1561" i="2"/>
  <c r="K1561" i="2"/>
  <c r="I1561" i="2"/>
  <c r="E1561" i="2"/>
  <c r="P1560" i="2"/>
  <c r="O1560" i="2"/>
  <c r="Q1560" i="2" s="1"/>
  <c r="R1560" i="2" s="1"/>
  <c r="N1560" i="2"/>
  <c r="M1560" i="2"/>
  <c r="K1560" i="2"/>
  <c r="I1560" i="2"/>
  <c r="E1560" i="2"/>
  <c r="P1559" i="2"/>
  <c r="O1559" i="2"/>
  <c r="Q1559" i="2" s="1"/>
  <c r="R1559" i="2" s="1"/>
  <c r="N1559" i="2"/>
  <c r="M1559" i="2"/>
  <c r="K1559" i="2"/>
  <c r="I1559" i="2"/>
  <c r="E1559" i="2"/>
  <c r="P1558" i="2"/>
  <c r="O1558" i="2"/>
  <c r="Q1558" i="2" s="1"/>
  <c r="R1558" i="2" s="1"/>
  <c r="N1558" i="2"/>
  <c r="M1558" i="2"/>
  <c r="K1558" i="2"/>
  <c r="I1558" i="2"/>
  <c r="E1558" i="2"/>
  <c r="P1557" i="2"/>
  <c r="O1557" i="2"/>
  <c r="Q1557" i="2" s="1"/>
  <c r="R1557" i="2" s="1"/>
  <c r="N1557" i="2"/>
  <c r="M1557" i="2"/>
  <c r="K1557" i="2"/>
  <c r="I1557" i="2"/>
  <c r="E1557" i="2"/>
  <c r="P1556" i="2"/>
  <c r="O1556" i="2"/>
  <c r="Q1556" i="2" s="1"/>
  <c r="R1556" i="2" s="1"/>
  <c r="N1556" i="2"/>
  <c r="M1556" i="2"/>
  <c r="K1556" i="2"/>
  <c r="I1556" i="2"/>
  <c r="E1556" i="2"/>
  <c r="P1555" i="2"/>
  <c r="O1555" i="2"/>
  <c r="Q1555" i="2" s="1"/>
  <c r="R1555" i="2" s="1"/>
  <c r="N1555" i="2"/>
  <c r="M1555" i="2"/>
  <c r="K1555" i="2"/>
  <c r="I1555" i="2"/>
  <c r="E1555" i="2"/>
  <c r="P1554" i="2"/>
  <c r="O1554" i="2"/>
  <c r="Q1554" i="2" s="1"/>
  <c r="R1554" i="2" s="1"/>
  <c r="N1554" i="2"/>
  <c r="M1554" i="2"/>
  <c r="K1554" i="2"/>
  <c r="I1554" i="2"/>
  <c r="E1554" i="2"/>
  <c r="P1553" i="2"/>
  <c r="O1553" i="2"/>
  <c r="Q1553" i="2" s="1"/>
  <c r="R1553" i="2" s="1"/>
  <c r="N1553" i="2"/>
  <c r="M1553" i="2"/>
  <c r="K1553" i="2"/>
  <c r="I1553" i="2"/>
  <c r="E1553" i="2"/>
  <c r="P1552" i="2"/>
  <c r="O1552" i="2"/>
  <c r="Q1552" i="2" s="1"/>
  <c r="R1552" i="2" s="1"/>
  <c r="N1552" i="2"/>
  <c r="M1552" i="2"/>
  <c r="K1552" i="2"/>
  <c r="I1552" i="2"/>
  <c r="E1552" i="2"/>
  <c r="P1551" i="2"/>
  <c r="O1551" i="2"/>
  <c r="Q1551" i="2" s="1"/>
  <c r="R1551" i="2" s="1"/>
  <c r="N1551" i="2"/>
  <c r="M1551" i="2"/>
  <c r="K1551" i="2"/>
  <c r="I1551" i="2"/>
  <c r="E1551" i="2"/>
  <c r="Q1550" i="2"/>
  <c r="R1550" i="2" s="1"/>
  <c r="P1550" i="2"/>
  <c r="O1550" i="2"/>
  <c r="N1550" i="2"/>
  <c r="M1550" i="2"/>
  <c r="K1550" i="2"/>
  <c r="I1550" i="2"/>
  <c r="E1550" i="2"/>
  <c r="Q1549" i="2"/>
  <c r="R1549" i="2" s="1"/>
  <c r="P1549" i="2"/>
  <c r="O1549" i="2"/>
  <c r="N1549" i="2"/>
  <c r="M1549" i="2"/>
  <c r="K1549" i="2"/>
  <c r="I1549" i="2"/>
  <c r="E1549" i="2"/>
  <c r="R1548" i="2"/>
  <c r="P1548" i="2"/>
  <c r="O1548" i="2"/>
  <c r="Q1548" i="2" s="1"/>
  <c r="N1548" i="2"/>
  <c r="M1548" i="2"/>
  <c r="K1548" i="2"/>
  <c r="I1548" i="2"/>
  <c r="E1548" i="2"/>
  <c r="P1547" i="2"/>
  <c r="O1547" i="2"/>
  <c r="Q1547" i="2" s="1"/>
  <c r="R1547" i="2" s="1"/>
  <c r="N1547" i="2"/>
  <c r="M1547" i="2"/>
  <c r="K1547" i="2"/>
  <c r="I1547" i="2"/>
  <c r="E1547" i="2"/>
  <c r="P1546" i="2"/>
  <c r="O1546" i="2"/>
  <c r="Q1546" i="2" s="1"/>
  <c r="R1546" i="2" s="1"/>
  <c r="N1546" i="2"/>
  <c r="M1546" i="2"/>
  <c r="K1546" i="2"/>
  <c r="I1546" i="2"/>
  <c r="E1546" i="2"/>
  <c r="P1545" i="2"/>
  <c r="O1545" i="2"/>
  <c r="Q1545" i="2" s="1"/>
  <c r="R1545" i="2" s="1"/>
  <c r="N1545" i="2"/>
  <c r="M1545" i="2"/>
  <c r="K1545" i="2"/>
  <c r="I1545" i="2"/>
  <c r="E1545" i="2"/>
  <c r="P1544" i="2"/>
  <c r="O1544" i="2"/>
  <c r="Q1544" i="2" s="1"/>
  <c r="R1544" i="2" s="1"/>
  <c r="N1544" i="2"/>
  <c r="M1544" i="2"/>
  <c r="K1544" i="2"/>
  <c r="I1544" i="2"/>
  <c r="E1544" i="2"/>
  <c r="P1543" i="2"/>
  <c r="O1543" i="2"/>
  <c r="Q1543" i="2" s="1"/>
  <c r="R1543" i="2" s="1"/>
  <c r="N1543" i="2"/>
  <c r="M1543" i="2"/>
  <c r="K1543" i="2"/>
  <c r="I1543" i="2"/>
  <c r="E1543" i="2"/>
  <c r="P1542" i="2"/>
  <c r="O1542" i="2"/>
  <c r="Q1542" i="2" s="1"/>
  <c r="R1542" i="2" s="1"/>
  <c r="N1542" i="2"/>
  <c r="M1542" i="2"/>
  <c r="K1542" i="2"/>
  <c r="I1542" i="2"/>
  <c r="E1542" i="2"/>
  <c r="P1541" i="2"/>
  <c r="O1541" i="2"/>
  <c r="Q1541" i="2" s="1"/>
  <c r="R1541" i="2" s="1"/>
  <c r="N1541" i="2"/>
  <c r="M1541" i="2"/>
  <c r="K1541" i="2"/>
  <c r="I1541" i="2"/>
  <c r="E1541" i="2"/>
  <c r="P1540" i="2"/>
  <c r="O1540" i="2"/>
  <c r="Q1540" i="2" s="1"/>
  <c r="R1540" i="2" s="1"/>
  <c r="N1540" i="2"/>
  <c r="M1540" i="2"/>
  <c r="K1540" i="2"/>
  <c r="I1540" i="2"/>
  <c r="E1540" i="2"/>
  <c r="Q1539" i="2"/>
  <c r="R1539" i="2" s="1"/>
  <c r="P1539" i="2"/>
  <c r="O1539" i="2"/>
  <c r="N1539" i="2"/>
  <c r="M1539" i="2"/>
  <c r="K1539" i="2"/>
  <c r="I1539" i="2"/>
  <c r="E1539" i="2"/>
  <c r="Q1538" i="2"/>
  <c r="R1538" i="2" s="1"/>
  <c r="P1538" i="2"/>
  <c r="O1538" i="2"/>
  <c r="N1538" i="2"/>
  <c r="M1538" i="2"/>
  <c r="K1538" i="2"/>
  <c r="I1538" i="2"/>
  <c r="E1538" i="2"/>
  <c r="P1537" i="2"/>
  <c r="O1537" i="2"/>
  <c r="Q1537" i="2" s="1"/>
  <c r="R1537" i="2" s="1"/>
  <c r="N1537" i="2"/>
  <c r="M1537" i="2"/>
  <c r="K1537" i="2"/>
  <c r="I1537" i="2"/>
  <c r="E1537" i="2"/>
  <c r="R1536" i="2"/>
  <c r="P1536" i="2"/>
  <c r="O1536" i="2"/>
  <c r="Q1536" i="2" s="1"/>
  <c r="N1536" i="2"/>
  <c r="M1536" i="2"/>
  <c r="K1536" i="2"/>
  <c r="I1536" i="2"/>
  <c r="E1536" i="2"/>
  <c r="P1535" i="2"/>
  <c r="O1535" i="2"/>
  <c r="Q1535" i="2" s="1"/>
  <c r="R1535" i="2" s="1"/>
  <c r="N1535" i="2"/>
  <c r="M1535" i="2"/>
  <c r="K1535" i="2"/>
  <c r="I1535" i="2"/>
  <c r="E1535" i="2"/>
  <c r="Q1534" i="2"/>
  <c r="R1534" i="2" s="1"/>
  <c r="P1534" i="2"/>
  <c r="O1534" i="2"/>
  <c r="N1534" i="2"/>
  <c r="M1534" i="2"/>
  <c r="K1534" i="2"/>
  <c r="I1534" i="2"/>
  <c r="E1534" i="2"/>
  <c r="Q1533" i="2"/>
  <c r="R1533" i="2" s="1"/>
  <c r="P1533" i="2"/>
  <c r="O1533" i="2"/>
  <c r="N1533" i="2"/>
  <c r="M1533" i="2"/>
  <c r="K1533" i="2"/>
  <c r="I1533" i="2"/>
  <c r="E1533" i="2"/>
  <c r="P1531" i="2"/>
  <c r="O1531" i="2"/>
  <c r="Q1531" i="2" s="1"/>
  <c r="R1531" i="2" s="1"/>
  <c r="N1531" i="2"/>
  <c r="M1531" i="2"/>
  <c r="K1531" i="2"/>
  <c r="I1531" i="2"/>
  <c r="E1531" i="2"/>
  <c r="P1530" i="2"/>
  <c r="O1530" i="2"/>
  <c r="Q1530" i="2" s="1"/>
  <c r="R1530" i="2" s="1"/>
  <c r="N1530" i="2"/>
  <c r="M1530" i="2"/>
  <c r="K1530" i="2"/>
  <c r="I1530" i="2"/>
  <c r="E1530" i="2"/>
  <c r="P1529" i="2"/>
  <c r="O1529" i="2"/>
  <c r="Q1529" i="2" s="1"/>
  <c r="R1529" i="2" s="1"/>
  <c r="N1529" i="2"/>
  <c r="M1529" i="2"/>
  <c r="K1529" i="2"/>
  <c r="I1529" i="2"/>
  <c r="E1529" i="2"/>
  <c r="P1528" i="2"/>
  <c r="O1528" i="2"/>
  <c r="Q1528" i="2" s="1"/>
  <c r="R1528" i="2" s="1"/>
  <c r="N1528" i="2"/>
  <c r="M1528" i="2"/>
  <c r="K1528" i="2"/>
  <c r="I1528" i="2"/>
  <c r="E1528" i="2"/>
  <c r="R1527" i="2"/>
  <c r="P1527" i="2"/>
  <c r="O1527" i="2"/>
  <c r="Q1527" i="2" s="1"/>
  <c r="N1527" i="2"/>
  <c r="M1527" i="2"/>
  <c r="K1527" i="2"/>
  <c r="I1527" i="2"/>
  <c r="E1527" i="2"/>
  <c r="Q1526" i="2"/>
  <c r="R1526" i="2" s="1"/>
  <c r="P1526" i="2"/>
  <c r="O1526" i="2"/>
  <c r="N1526" i="2"/>
  <c r="M1526" i="2"/>
  <c r="K1526" i="2"/>
  <c r="I1526" i="2"/>
  <c r="E1526" i="2"/>
  <c r="P1525" i="2"/>
  <c r="O1525" i="2"/>
  <c r="Q1525" i="2" s="1"/>
  <c r="R1525" i="2" s="1"/>
  <c r="N1525" i="2"/>
  <c r="M1525" i="2"/>
  <c r="K1525" i="2"/>
  <c r="I1525" i="2"/>
  <c r="E1525" i="2"/>
  <c r="P1524" i="2"/>
  <c r="O1524" i="2"/>
  <c r="Q1524" i="2" s="1"/>
  <c r="R1524" i="2" s="1"/>
  <c r="N1524" i="2"/>
  <c r="M1524" i="2"/>
  <c r="K1524" i="2"/>
  <c r="I1524" i="2"/>
  <c r="E1524" i="2"/>
  <c r="P1523" i="2"/>
  <c r="O1523" i="2"/>
  <c r="Q1523" i="2" s="1"/>
  <c r="R1523" i="2" s="1"/>
  <c r="N1523" i="2"/>
  <c r="M1523" i="2"/>
  <c r="K1523" i="2"/>
  <c r="I1523" i="2"/>
  <c r="E1523" i="2"/>
  <c r="Q1522" i="2"/>
  <c r="R1522" i="2" s="1"/>
  <c r="P1522" i="2"/>
  <c r="O1522" i="2"/>
  <c r="N1522" i="2"/>
  <c r="M1522" i="2"/>
  <c r="K1522" i="2"/>
  <c r="I1522" i="2"/>
  <c r="E1522" i="2"/>
  <c r="P1521" i="2"/>
  <c r="O1521" i="2"/>
  <c r="Q1521" i="2" s="1"/>
  <c r="R1521" i="2" s="1"/>
  <c r="N1521" i="2"/>
  <c r="M1521" i="2"/>
  <c r="K1521" i="2"/>
  <c r="I1521" i="2"/>
  <c r="E1521" i="2"/>
  <c r="P1520" i="2"/>
  <c r="O1520" i="2"/>
  <c r="Q1520" i="2" s="1"/>
  <c r="R1520" i="2" s="1"/>
  <c r="N1520" i="2"/>
  <c r="M1520" i="2"/>
  <c r="K1520" i="2"/>
  <c r="I1520" i="2"/>
  <c r="E1520" i="2"/>
  <c r="P1519" i="2"/>
  <c r="O1519" i="2"/>
  <c r="Q1519" i="2" s="1"/>
  <c r="R1519" i="2" s="1"/>
  <c r="N1519" i="2"/>
  <c r="M1519" i="2"/>
  <c r="K1519" i="2"/>
  <c r="I1519" i="2"/>
  <c r="E1519" i="2"/>
  <c r="P1518" i="2"/>
  <c r="O1518" i="2"/>
  <c r="Q1518" i="2" s="1"/>
  <c r="R1518" i="2" s="1"/>
  <c r="N1518" i="2"/>
  <c r="M1518" i="2"/>
  <c r="K1518" i="2"/>
  <c r="I1518" i="2"/>
  <c r="E1518" i="2"/>
  <c r="P1517" i="2"/>
  <c r="O1517" i="2"/>
  <c r="Q1517" i="2" s="1"/>
  <c r="R1517" i="2" s="1"/>
  <c r="N1517" i="2"/>
  <c r="M1517" i="2"/>
  <c r="K1517" i="2"/>
  <c r="I1517" i="2"/>
  <c r="E1517" i="2"/>
  <c r="R1516" i="2"/>
  <c r="P1516" i="2"/>
  <c r="O1516" i="2"/>
  <c r="Q1516" i="2" s="1"/>
  <c r="N1516" i="2"/>
  <c r="M1516" i="2"/>
  <c r="K1516" i="2"/>
  <c r="I1516" i="2"/>
  <c r="E1516" i="2"/>
  <c r="P1515" i="2"/>
  <c r="O1515" i="2"/>
  <c r="Q1515" i="2" s="1"/>
  <c r="R1515" i="2" s="1"/>
  <c r="N1515" i="2"/>
  <c r="M1515" i="2"/>
  <c r="K1515" i="2"/>
  <c r="I1515" i="2"/>
  <c r="E1515" i="2"/>
  <c r="Q1514" i="2"/>
  <c r="R1514" i="2" s="1"/>
  <c r="P1514" i="2"/>
  <c r="O1514" i="2"/>
  <c r="N1514" i="2"/>
  <c r="M1514" i="2"/>
  <c r="K1514" i="2"/>
  <c r="I1514" i="2"/>
  <c r="E1514" i="2"/>
  <c r="Q1513" i="2"/>
  <c r="R1513" i="2" s="1"/>
  <c r="P1513" i="2"/>
  <c r="O1513" i="2"/>
  <c r="N1513" i="2"/>
  <c r="M1513" i="2"/>
  <c r="K1513" i="2"/>
  <c r="I1513" i="2"/>
  <c r="E1513" i="2"/>
  <c r="P1512" i="2"/>
  <c r="O1512" i="2"/>
  <c r="Q1512" i="2" s="1"/>
  <c r="R1512" i="2" s="1"/>
  <c r="N1512" i="2"/>
  <c r="M1512" i="2"/>
  <c r="K1512" i="2"/>
  <c r="I1512" i="2"/>
  <c r="E1512" i="2"/>
  <c r="P1511" i="2"/>
  <c r="O1511" i="2"/>
  <c r="Q1511" i="2" s="1"/>
  <c r="R1511" i="2" s="1"/>
  <c r="N1511" i="2"/>
  <c r="M1511" i="2"/>
  <c r="K1511" i="2"/>
  <c r="I1511" i="2"/>
  <c r="E1511" i="2"/>
  <c r="Q1510" i="2"/>
  <c r="R1510" i="2" s="1"/>
  <c r="P1510" i="2"/>
  <c r="O1510" i="2"/>
  <c r="N1510" i="2"/>
  <c r="M1510" i="2"/>
  <c r="K1510" i="2"/>
  <c r="I1510" i="2"/>
  <c r="E1510" i="2"/>
  <c r="Q1509" i="2"/>
  <c r="R1509" i="2" s="1"/>
  <c r="P1509" i="2"/>
  <c r="O1509" i="2"/>
  <c r="N1509" i="2"/>
  <c r="M1509" i="2"/>
  <c r="K1509" i="2"/>
  <c r="I1509" i="2"/>
  <c r="E1509" i="2"/>
  <c r="P1508" i="2"/>
  <c r="O1508" i="2"/>
  <c r="Q1508" i="2" s="1"/>
  <c r="R1508" i="2" s="1"/>
  <c r="N1508" i="2"/>
  <c r="M1508" i="2"/>
  <c r="K1508" i="2"/>
  <c r="I1508" i="2"/>
  <c r="E1508" i="2"/>
  <c r="P1507" i="2"/>
  <c r="O1507" i="2"/>
  <c r="Q1507" i="2" s="1"/>
  <c r="R1507" i="2" s="1"/>
  <c r="N1507" i="2"/>
  <c r="M1507" i="2"/>
  <c r="K1507" i="2"/>
  <c r="I1507" i="2"/>
  <c r="E1507" i="2"/>
  <c r="R1506" i="2"/>
  <c r="P1506" i="2"/>
  <c r="O1506" i="2"/>
  <c r="Q1506" i="2" s="1"/>
  <c r="N1506" i="2"/>
  <c r="M1506" i="2"/>
  <c r="K1506" i="2"/>
  <c r="I1506" i="2"/>
  <c r="E1506" i="2"/>
  <c r="R1505" i="2"/>
  <c r="P1505" i="2"/>
  <c r="O1505" i="2"/>
  <c r="Q1505" i="2" s="1"/>
  <c r="N1505" i="2"/>
  <c r="M1505" i="2"/>
  <c r="K1505" i="2"/>
  <c r="I1505" i="2"/>
  <c r="E1505" i="2"/>
  <c r="R1504" i="2"/>
  <c r="P1504" i="2"/>
  <c r="O1504" i="2"/>
  <c r="Q1504" i="2" s="1"/>
  <c r="N1504" i="2"/>
  <c r="M1504" i="2"/>
  <c r="K1504" i="2"/>
  <c r="I1504" i="2"/>
  <c r="E1504" i="2"/>
  <c r="P1502" i="2"/>
  <c r="O1502" i="2"/>
  <c r="Q1502" i="2" s="1"/>
  <c r="R1502" i="2" s="1"/>
  <c r="N1502" i="2"/>
  <c r="M1502" i="2"/>
  <c r="K1502" i="2"/>
  <c r="I1502" i="2"/>
  <c r="E1502" i="2"/>
  <c r="Q1501" i="2"/>
  <c r="R1501" i="2" s="1"/>
  <c r="P1501" i="2"/>
  <c r="O1501" i="2"/>
  <c r="N1501" i="2"/>
  <c r="M1501" i="2"/>
  <c r="K1501" i="2"/>
  <c r="I1501" i="2"/>
  <c r="E1501" i="2"/>
  <c r="P1500" i="2"/>
  <c r="O1500" i="2"/>
  <c r="Q1500" i="2" s="1"/>
  <c r="R1500" i="2" s="1"/>
  <c r="N1500" i="2"/>
  <c r="M1500" i="2"/>
  <c r="K1500" i="2"/>
  <c r="I1500" i="2"/>
  <c r="E1500" i="2"/>
  <c r="P1499" i="2"/>
  <c r="O1499" i="2"/>
  <c r="Q1499" i="2" s="1"/>
  <c r="R1499" i="2" s="1"/>
  <c r="N1499" i="2"/>
  <c r="M1499" i="2"/>
  <c r="K1499" i="2"/>
  <c r="I1499" i="2"/>
  <c r="E1499" i="2"/>
  <c r="P1498" i="2"/>
  <c r="O1498" i="2"/>
  <c r="Q1498" i="2" s="1"/>
  <c r="R1498" i="2" s="1"/>
  <c r="N1498" i="2"/>
  <c r="M1498" i="2"/>
  <c r="K1498" i="2"/>
  <c r="I1498" i="2"/>
  <c r="E1498" i="2"/>
  <c r="Q1497" i="2"/>
  <c r="R1497" i="2" s="1"/>
  <c r="P1497" i="2"/>
  <c r="O1497" i="2"/>
  <c r="N1497" i="2"/>
  <c r="M1497" i="2"/>
  <c r="K1497" i="2"/>
  <c r="I1497" i="2"/>
  <c r="E1497" i="2"/>
  <c r="Q1496" i="2"/>
  <c r="R1496" i="2" s="1"/>
  <c r="P1496" i="2"/>
  <c r="O1496" i="2"/>
  <c r="N1496" i="2"/>
  <c r="M1496" i="2"/>
  <c r="K1496" i="2"/>
  <c r="I1496" i="2"/>
  <c r="E1496" i="2"/>
  <c r="P1495" i="2"/>
  <c r="O1495" i="2"/>
  <c r="Q1495" i="2" s="1"/>
  <c r="R1495" i="2" s="1"/>
  <c r="N1495" i="2"/>
  <c r="M1495" i="2"/>
  <c r="K1495" i="2"/>
  <c r="I1495" i="2"/>
  <c r="E1495" i="2"/>
  <c r="P1494" i="2"/>
  <c r="O1494" i="2"/>
  <c r="Q1494" i="2" s="1"/>
  <c r="R1494" i="2" s="1"/>
  <c r="N1494" i="2"/>
  <c r="M1494" i="2"/>
  <c r="K1494" i="2"/>
  <c r="I1494" i="2"/>
  <c r="E1494" i="2"/>
  <c r="Q1493" i="2"/>
  <c r="R1493" i="2" s="1"/>
  <c r="P1493" i="2"/>
  <c r="O1493" i="2"/>
  <c r="N1493" i="2"/>
  <c r="M1493" i="2"/>
  <c r="K1493" i="2"/>
  <c r="I1493" i="2"/>
  <c r="E1493" i="2"/>
  <c r="P1492" i="2"/>
  <c r="O1492" i="2"/>
  <c r="Q1492" i="2" s="1"/>
  <c r="R1492" i="2" s="1"/>
  <c r="N1492" i="2"/>
  <c r="M1492" i="2"/>
  <c r="K1492" i="2"/>
  <c r="I1492" i="2"/>
  <c r="E1492" i="2"/>
  <c r="P1491" i="2"/>
  <c r="O1491" i="2"/>
  <c r="Q1491" i="2" s="1"/>
  <c r="R1491" i="2" s="1"/>
  <c r="N1491" i="2"/>
  <c r="M1491" i="2"/>
  <c r="K1491" i="2"/>
  <c r="I1491" i="2"/>
  <c r="E1491" i="2"/>
  <c r="P1490" i="2"/>
  <c r="O1490" i="2"/>
  <c r="Q1490" i="2" s="1"/>
  <c r="R1490" i="2" s="1"/>
  <c r="N1490" i="2"/>
  <c r="M1490" i="2"/>
  <c r="K1490" i="2"/>
  <c r="I1490" i="2"/>
  <c r="E1490" i="2"/>
  <c r="Q1488" i="2"/>
  <c r="R1488" i="2" s="1"/>
  <c r="P1488" i="2"/>
  <c r="O1488" i="2"/>
  <c r="N1488" i="2"/>
  <c r="M1488" i="2"/>
  <c r="K1488" i="2"/>
  <c r="I1488" i="2"/>
  <c r="E1488" i="2"/>
  <c r="Q1487" i="2"/>
  <c r="R1487" i="2" s="1"/>
  <c r="P1487" i="2"/>
  <c r="O1487" i="2"/>
  <c r="N1487" i="2"/>
  <c r="M1487" i="2"/>
  <c r="K1487" i="2"/>
  <c r="I1487" i="2"/>
  <c r="E1487" i="2"/>
  <c r="P1486" i="2"/>
  <c r="O1486" i="2"/>
  <c r="Q1486" i="2" s="1"/>
  <c r="R1486" i="2" s="1"/>
  <c r="N1486" i="2"/>
  <c r="M1486" i="2"/>
  <c r="K1486" i="2"/>
  <c r="I1486" i="2"/>
  <c r="E1486" i="2"/>
  <c r="P1485" i="2"/>
  <c r="O1485" i="2"/>
  <c r="Q1485" i="2" s="1"/>
  <c r="R1485" i="2" s="1"/>
  <c r="N1485" i="2"/>
  <c r="M1485" i="2"/>
  <c r="K1485" i="2"/>
  <c r="I1485" i="2"/>
  <c r="E1485" i="2"/>
  <c r="P1484" i="2"/>
  <c r="O1484" i="2"/>
  <c r="Q1484" i="2" s="1"/>
  <c r="R1484" i="2" s="1"/>
  <c r="N1484" i="2"/>
  <c r="M1484" i="2"/>
  <c r="K1484" i="2"/>
  <c r="I1484" i="2"/>
  <c r="E1484" i="2"/>
  <c r="Q1483" i="2"/>
  <c r="R1483" i="2" s="1"/>
  <c r="P1483" i="2"/>
  <c r="O1483" i="2"/>
  <c r="N1483" i="2"/>
  <c r="M1483" i="2"/>
  <c r="K1483" i="2"/>
  <c r="I1483" i="2"/>
  <c r="E1483" i="2"/>
  <c r="R1482" i="2"/>
  <c r="P1482" i="2"/>
  <c r="O1482" i="2"/>
  <c r="Q1482" i="2" s="1"/>
  <c r="N1482" i="2"/>
  <c r="M1482" i="2"/>
  <c r="K1482" i="2"/>
  <c r="I1482" i="2"/>
  <c r="E1482" i="2"/>
  <c r="P1481" i="2"/>
  <c r="O1481" i="2"/>
  <c r="Q1481" i="2" s="1"/>
  <c r="R1481" i="2" s="1"/>
  <c r="N1481" i="2"/>
  <c r="M1481" i="2"/>
  <c r="K1481" i="2"/>
  <c r="I1481" i="2"/>
  <c r="E1481" i="2"/>
  <c r="P1480" i="2"/>
  <c r="O1480" i="2"/>
  <c r="Q1480" i="2" s="1"/>
  <c r="R1480" i="2" s="1"/>
  <c r="N1480" i="2"/>
  <c r="M1480" i="2"/>
  <c r="K1480" i="2"/>
  <c r="I1480" i="2"/>
  <c r="E1480" i="2"/>
  <c r="P1479" i="2"/>
  <c r="O1479" i="2"/>
  <c r="Q1479" i="2" s="1"/>
  <c r="R1479" i="2" s="1"/>
  <c r="N1479" i="2"/>
  <c r="M1479" i="2"/>
  <c r="K1479" i="2"/>
  <c r="I1479" i="2"/>
  <c r="E1479" i="2"/>
  <c r="P1478" i="2"/>
  <c r="O1478" i="2"/>
  <c r="Q1478" i="2" s="1"/>
  <c r="R1478" i="2" s="1"/>
  <c r="N1478" i="2"/>
  <c r="M1478" i="2"/>
  <c r="K1478" i="2"/>
  <c r="I1478" i="2"/>
  <c r="E1478" i="2"/>
  <c r="P1477" i="2"/>
  <c r="O1477" i="2"/>
  <c r="Q1477" i="2" s="1"/>
  <c r="R1477" i="2" s="1"/>
  <c r="N1477" i="2"/>
  <c r="M1477" i="2"/>
  <c r="K1477" i="2"/>
  <c r="I1477" i="2"/>
  <c r="E1477" i="2"/>
  <c r="Q1476" i="2"/>
  <c r="R1476" i="2" s="1"/>
  <c r="P1476" i="2"/>
  <c r="O1476" i="2"/>
  <c r="N1476" i="2"/>
  <c r="M1476" i="2"/>
  <c r="K1476" i="2"/>
  <c r="I1476" i="2"/>
  <c r="E1476" i="2"/>
  <c r="P1475" i="2"/>
  <c r="O1475" i="2"/>
  <c r="Q1475" i="2" s="1"/>
  <c r="R1475" i="2" s="1"/>
  <c r="N1475" i="2"/>
  <c r="M1475" i="2"/>
  <c r="K1475" i="2"/>
  <c r="I1475" i="2"/>
  <c r="E1475" i="2"/>
  <c r="P1474" i="2"/>
  <c r="O1474" i="2"/>
  <c r="Q1474" i="2" s="1"/>
  <c r="R1474" i="2" s="1"/>
  <c r="N1474" i="2"/>
  <c r="M1474" i="2"/>
  <c r="K1474" i="2"/>
  <c r="I1474" i="2"/>
  <c r="E1474" i="2"/>
  <c r="P1473" i="2"/>
  <c r="O1473" i="2"/>
  <c r="Q1473" i="2" s="1"/>
  <c r="R1473" i="2" s="1"/>
  <c r="N1473" i="2"/>
  <c r="M1473" i="2"/>
  <c r="K1473" i="2"/>
  <c r="I1473" i="2"/>
  <c r="E1473" i="2"/>
  <c r="P1472" i="2"/>
  <c r="O1472" i="2"/>
  <c r="Q1472" i="2" s="1"/>
  <c r="R1472" i="2" s="1"/>
  <c r="N1472" i="2"/>
  <c r="M1472" i="2"/>
  <c r="K1472" i="2"/>
  <c r="I1472" i="2"/>
  <c r="E1472" i="2"/>
  <c r="P1471" i="2"/>
  <c r="O1471" i="2"/>
  <c r="Q1471" i="2" s="1"/>
  <c r="R1471" i="2" s="1"/>
  <c r="N1471" i="2"/>
  <c r="M1471" i="2"/>
  <c r="K1471" i="2"/>
  <c r="I1471" i="2"/>
  <c r="E1471" i="2"/>
  <c r="P1470" i="2"/>
  <c r="O1470" i="2"/>
  <c r="Q1470" i="2" s="1"/>
  <c r="R1470" i="2" s="1"/>
  <c r="N1470" i="2"/>
  <c r="M1470" i="2"/>
  <c r="K1470" i="2"/>
  <c r="I1470" i="2"/>
  <c r="E1470" i="2"/>
  <c r="P1469" i="2"/>
  <c r="O1469" i="2"/>
  <c r="Q1469" i="2" s="1"/>
  <c r="R1469" i="2" s="1"/>
  <c r="N1469" i="2"/>
  <c r="M1469" i="2"/>
  <c r="K1469" i="2"/>
  <c r="I1469" i="2"/>
  <c r="E1469" i="2"/>
  <c r="Q1468" i="2"/>
  <c r="R1468" i="2" s="1"/>
  <c r="P1468" i="2"/>
  <c r="O1468" i="2"/>
  <c r="N1468" i="2"/>
  <c r="M1468" i="2"/>
  <c r="K1468" i="2"/>
  <c r="I1468" i="2"/>
  <c r="E1468" i="2"/>
  <c r="P1467" i="2"/>
  <c r="O1467" i="2"/>
  <c r="Q1467" i="2" s="1"/>
  <c r="R1467" i="2" s="1"/>
  <c r="N1467" i="2"/>
  <c r="M1467" i="2"/>
  <c r="K1467" i="2"/>
  <c r="I1467" i="2"/>
  <c r="E1467" i="2"/>
  <c r="P1466" i="2"/>
  <c r="O1466" i="2"/>
  <c r="Q1466" i="2" s="1"/>
  <c r="R1466" i="2" s="1"/>
  <c r="N1466" i="2"/>
  <c r="M1466" i="2"/>
  <c r="K1466" i="2"/>
  <c r="I1466" i="2"/>
  <c r="E1466" i="2"/>
  <c r="P1465" i="2"/>
  <c r="O1465" i="2"/>
  <c r="Q1465" i="2" s="1"/>
  <c r="R1465" i="2" s="1"/>
  <c r="N1465" i="2"/>
  <c r="M1465" i="2"/>
  <c r="K1465" i="2"/>
  <c r="I1465" i="2"/>
  <c r="E1465" i="2"/>
  <c r="P1464" i="2"/>
  <c r="O1464" i="2"/>
  <c r="Q1464" i="2" s="1"/>
  <c r="R1464" i="2" s="1"/>
  <c r="N1464" i="2"/>
  <c r="M1464" i="2"/>
  <c r="K1464" i="2"/>
  <c r="I1464" i="2"/>
  <c r="E1464" i="2"/>
  <c r="P1463" i="2"/>
  <c r="O1463" i="2"/>
  <c r="Q1463" i="2" s="1"/>
  <c r="R1463" i="2" s="1"/>
  <c r="N1463" i="2"/>
  <c r="M1463" i="2"/>
  <c r="K1463" i="2"/>
  <c r="I1463" i="2"/>
  <c r="E1463" i="2"/>
  <c r="R1462" i="2"/>
  <c r="P1462" i="2"/>
  <c r="O1462" i="2"/>
  <c r="Q1462" i="2" s="1"/>
  <c r="N1462" i="2"/>
  <c r="M1462" i="2"/>
  <c r="K1462" i="2"/>
  <c r="I1462" i="2"/>
  <c r="E1462" i="2"/>
  <c r="P1461" i="2"/>
  <c r="O1461" i="2"/>
  <c r="Q1461" i="2" s="1"/>
  <c r="R1461" i="2" s="1"/>
  <c r="N1461" i="2"/>
  <c r="M1461" i="2"/>
  <c r="K1461" i="2"/>
  <c r="I1461" i="2"/>
  <c r="E1461" i="2"/>
  <c r="Q1460" i="2"/>
  <c r="R1460" i="2" s="1"/>
  <c r="P1460" i="2"/>
  <c r="O1460" i="2"/>
  <c r="N1460" i="2"/>
  <c r="M1460" i="2"/>
  <c r="K1460" i="2"/>
  <c r="I1460" i="2"/>
  <c r="E1460" i="2"/>
  <c r="Q1459" i="2"/>
  <c r="R1459" i="2" s="1"/>
  <c r="P1459" i="2"/>
  <c r="O1459" i="2"/>
  <c r="N1459" i="2"/>
  <c r="M1459" i="2"/>
  <c r="K1459" i="2"/>
  <c r="I1459" i="2"/>
  <c r="E1459" i="2"/>
  <c r="P1457" i="2"/>
  <c r="O1457" i="2"/>
  <c r="Q1457" i="2" s="1"/>
  <c r="R1457" i="2" s="1"/>
  <c r="N1457" i="2"/>
  <c r="M1457" i="2"/>
  <c r="K1457" i="2"/>
  <c r="I1457" i="2"/>
  <c r="E1457" i="2"/>
  <c r="P1456" i="2"/>
  <c r="O1456" i="2"/>
  <c r="Q1456" i="2" s="1"/>
  <c r="R1456" i="2" s="1"/>
  <c r="N1456" i="2"/>
  <c r="M1456" i="2"/>
  <c r="K1456" i="2"/>
  <c r="I1456" i="2"/>
  <c r="E1456" i="2"/>
  <c r="Q1455" i="2"/>
  <c r="R1455" i="2" s="1"/>
  <c r="P1455" i="2"/>
  <c r="O1455" i="2"/>
  <c r="N1455" i="2"/>
  <c r="M1455" i="2"/>
  <c r="K1455" i="2"/>
  <c r="I1455" i="2"/>
  <c r="E1455" i="2"/>
  <c r="Q1454" i="2"/>
  <c r="R1454" i="2" s="1"/>
  <c r="P1454" i="2"/>
  <c r="O1454" i="2"/>
  <c r="N1454" i="2"/>
  <c r="M1454" i="2"/>
  <c r="K1454" i="2"/>
  <c r="I1454" i="2"/>
  <c r="E1454" i="2"/>
  <c r="P1453" i="2"/>
  <c r="O1453" i="2"/>
  <c r="Q1453" i="2" s="1"/>
  <c r="R1453" i="2" s="1"/>
  <c r="N1453" i="2"/>
  <c r="M1453" i="2"/>
  <c r="K1453" i="2"/>
  <c r="I1453" i="2"/>
  <c r="E1453" i="2"/>
  <c r="P1452" i="2"/>
  <c r="O1452" i="2"/>
  <c r="Q1452" i="2" s="1"/>
  <c r="R1452" i="2" s="1"/>
  <c r="N1452" i="2"/>
  <c r="M1452" i="2"/>
  <c r="K1452" i="2"/>
  <c r="I1452" i="2"/>
  <c r="E1452" i="2"/>
  <c r="P1451" i="2"/>
  <c r="O1451" i="2"/>
  <c r="Q1451" i="2" s="1"/>
  <c r="R1451" i="2" s="1"/>
  <c r="N1451" i="2"/>
  <c r="M1451" i="2"/>
  <c r="K1451" i="2"/>
  <c r="I1451" i="2"/>
  <c r="E1451" i="2"/>
  <c r="Q1450" i="2"/>
  <c r="R1450" i="2" s="1"/>
  <c r="P1450" i="2"/>
  <c r="O1450" i="2"/>
  <c r="N1450" i="2"/>
  <c r="M1450" i="2"/>
  <c r="K1450" i="2"/>
  <c r="I1450" i="2"/>
  <c r="E1450" i="2"/>
  <c r="P1449" i="2"/>
  <c r="O1449" i="2"/>
  <c r="Q1449" i="2" s="1"/>
  <c r="R1449" i="2" s="1"/>
  <c r="N1449" i="2"/>
  <c r="M1449" i="2"/>
  <c r="K1449" i="2"/>
  <c r="I1449" i="2"/>
  <c r="E1449" i="2"/>
  <c r="P1448" i="2"/>
  <c r="O1448" i="2"/>
  <c r="Q1448" i="2" s="1"/>
  <c r="R1448" i="2" s="1"/>
  <c r="N1448" i="2"/>
  <c r="M1448" i="2"/>
  <c r="K1448" i="2"/>
  <c r="I1448" i="2"/>
  <c r="E1448" i="2"/>
  <c r="P1447" i="2"/>
  <c r="O1447" i="2"/>
  <c r="Q1447" i="2" s="1"/>
  <c r="R1447" i="2" s="1"/>
  <c r="N1447" i="2"/>
  <c r="M1447" i="2"/>
  <c r="K1447" i="2"/>
  <c r="I1447" i="2"/>
  <c r="E1447" i="2"/>
  <c r="Q1446" i="2"/>
  <c r="R1446" i="2" s="1"/>
  <c r="P1446" i="2"/>
  <c r="O1446" i="2"/>
  <c r="N1446" i="2"/>
  <c r="M1446" i="2"/>
  <c r="K1446" i="2"/>
  <c r="I1446" i="2"/>
  <c r="E1446" i="2"/>
  <c r="P1445" i="2"/>
  <c r="O1445" i="2"/>
  <c r="Q1445" i="2" s="1"/>
  <c r="R1445" i="2" s="1"/>
  <c r="N1445" i="2"/>
  <c r="M1445" i="2"/>
  <c r="K1445" i="2"/>
  <c r="I1445" i="2"/>
  <c r="E1445" i="2"/>
  <c r="P1444" i="2"/>
  <c r="O1444" i="2"/>
  <c r="Q1444" i="2" s="1"/>
  <c r="R1444" i="2" s="1"/>
  <c r="N1444" i="2"/>
  <c r="M1444" i="2"/>
  <c r="K1444" i="2"/>
  <c r="I1444" i="2"/>
  <c r="E1444" i="2"/>
  <c r="P1443" i="2"/>
  <c r="O1443" i="2"/>
  <c r="Q1443" i="2" s="1"/>
  <c r="R1443" i="2" s="1"/>
  <c r="N1443" i="2"/>
  <c r="M1443" i="2"/>
  <c r="K1443" i="2"/>
  <c r="I1443" i="2"/>
  <c r="E1443" i="2"/>
  <c r="Q1442" i="2"/>
  <c r="R1442" i="2" s="1"/>
  <c r="P1442" i="2"/>
  <c r="O1442" i="2"/>
  <c r="N1442" i="2"/>
  <c r="M1442" i="2"/>
  <c r="K1442" i="2"/>
  <c r="I1442" i="2"/>
  <c r="E1442" i="2"/>
  <c r="P1441" i="2"/>
  <c r="O1441" i="2"/>
  <c r="Q1441" i="2" s="1"/>
  <c r="R1441" i="2" s="1"/>
  <c r="N1441" i="2"/>
  <c r="M1441" i="2"/>
  <c r="K1441" i="2"/>
  <c r="I1441" i="2"/>
  <c r="E1441" i="2"/>
  <c r="P1440" i="2"/>
  <c r="O1440" i="2"/>
  <c r="Q1440" i="2" s="1"/>
  <c r="R1440" i="2" s="1"/>
  <c r="N1440" i="2"/>
  <c r="M1440" i="2"/>
  <c r="K1440" i="2"/>
  <c r="I1440" i="2"/>
  <c r="E1440" i="2"/>
  <c r="P1439" i="2"/>
  <c r="O1439" i="2"/>
  <c r="Q1439" i="2" s="1"/>
  <c r="R1439" i="2" s="1"/>
  <c r="N1439" i="2"/>
  <c r="M1439" i="2"/>
  <c r="K1439" i="2"/>
  <c r="I1439" i="2"/>
  <c r="E1439" i="2"/>
  <c r="Q1438" i="2"/>
  <c r="R1438" i="2" s="1"/>
  <c r="P1438" i="2"/>
  <c r="O1438" i="2"/>
  <c r="N1438" i="2"/>
  <c r="M1438" i="2"/>
  <c r="K1438" i="2"/>
  <c r="I1438" i="2"/>
  <c r="E1438" i="2"/>
  <c r="R1437" i="2"/>
  <c r="P1437" i="2"/>
  <c r="O1437" i="2"/>
  <c r="Q1437" i="2" s="1"/>
  <c r="N1437" i="2"/>
  <c r="M1437" i="2"/>
  <c r="K1437" i="2"/>
  <c r="I1437" i="2"/>
  <c r="E1437" i="2"/>
  <c r="P1436" i="2"/>
  <c r="O1436" i="2"/>
  <c r="Q1436" i="2" s="1"/>
  <c r="R1436" i="2" s="1"/>
  <c r="N1436" i="2"/>
  <c r="M1436" i="2"/>
  <c r="K1436" i="2"/>
  <c r="I1436" i="2"/>
  <c r="E1436" i="2"/>
  <c r="Q1435" i="2"/>
  <c r="R1435" i="2" s="1"/>
  <c r="P1435" i="2"/>
  <c r="O1435" i="2"/>
  <c r="N1435" i="2"/>
  <c r="M1435" i="2"/>
  <c r="K1435" i="2"/>
  <c r="I1435" i="2"/>
  <c r="E1435" i="2"/>
  <c r="P1434" i="2"/>
  <c r="O1434" i="2"/>
  <c r="Q1434" i="2" s="1"/>
  <c r="R1434" i="2" s="1"/>
  <c r="N1434" i="2"/>
  <c r="M1434" i="2"/>
  <c r="K1434" i="2"/>
  <c r="I1434" i="2"/>
  <c r="E1434" i="2"/>
  <c r="R1433" i="2"/>
  <c r="P1433" i="2"/>
  <c r="O1433" i="2"/>
  <c r="Q1433" i="2" s="1"/>
  <c r="N1433" i="2"/>
  <c r="M1433" i="2"/>
  <c r="K1433" i="2"/>
  <c r="I1433" i="2"/>
  <c r="E1433" i="2"/>
  <c r="P1432" i="2"/>
  <c r="O1432" i="2"/>
  <c r="Q1432" i="2" s="1"/>
  <c r="R1432" i="2" s="1"/>
  <c r="N1432" i="2"/>
  <c r="M1432" i="2"/>
  <c r="K1432" i="2"/>
  <c r="I1432" i="2"/>
  <c r="E1432" i="2"/>
  <c r="Q1431" i="2"/>
  <c r="R1431" i="2" s="1"/>
  <c r="P1431" i="2"/>
  <c r="O1431" i="2"/>
  <c r="N1431" i="2"/>
  <c r="M1431" i="2"/>
  <c r="K1431" i="2"/>
  <c r="I1431" i="2"/>
  <c r="E1431" i="2"/>
  <c r="P1430" i="2"/>
  <c r="O1430" i="2"/>
  <c r="Q1430" i="2" s="1"/>
  <c r="R1430" i="2" s="1"/>
  <c r="N1430" i="2"/>
  <c r="M1430" i="2"/>
  <c r="K1430" i="2"/>
  <c r="I1430" i="2"/>
  <c r="E1430" i="2"/>
  <c r="P1429" i="2"/>
  <c r="O1429" i="2"/>
  <c r="Q1429" i="2" s="1"/>
  <c r="R1429" i="2" s="1"/>
  <c r="N1429" i="2"/>
  <c r="M1429" i="2"/>
  <c r="K1429" i="2"/>
  <c r="I1429" i="2"/>
  <c r="E1429" i="2"/>
  <c r="P1428" i="2"/>
  <c r="O1428" i="2"/>
  <c r="Q1428" i="2" s="1"/>
  <c r="R1428" i="2" s="1"/>
  <c r="N1428" i="2"/>
  <c r="M1428" i="2"/>
  <c r="K1428" i="2"/>
  <c r="I1428" i="2"/>
  <c r="E1428" i="2"/>
  <c r="Q1427" i="2"/>
  <c r="R1427" i="2" s="1"/>
  <c r="P1427" i="2"/>
  <c r="O1427" i="2"/>
  <c r="N1427" i="2"/>
  <c r="M1427" i="2"/>
  <c r="K1427" i="2"/>
  <c r="I1427" i="2"/>
  <c r="E1427" i="2"/>
  <c r="Q1426" i="2"/>
  <c r="R1426" i="2" s="1"/>
  <c r="P1426" i="2"/>
  <c r="O1426" i="2"/>
  <c r="N1426" i="2"/>
  <c r="M1426" i="2"/>
  <c r="K1426" i="2"/>
  <c r="I1426" i="2"/>
  <c r="E1426" i="2"/>
  <c r="P1425" i="2"/>
  <c r="O1425" i="2"/>
  <c r="Q1425" i="2" s="1"/>
  <c r="R1425" i="2" s="1"/>
  <c r="N1425" i="2"/>
  <c r="M1425" i="2"/>
  <c r="K1425" i="2"/>
  <c r="I1425" i="2"/>
  <c r="E1425" i="2"/>
  <c r="P1424" i="2"/>
  <c r="O1424" i="2"/>
  <c r="Q1424" i="2" s="1"/>
  <c r="R1424" i="2" s="1"/>
  <c r="N1424" i="2"/>
  <c r="M1424" i="2"/>
  <c r="K1424" i="2"/>
  <c r="I1424" i="2"/>
  <c r="E1424" i="2"/>
  <c r="Q1423" i="2"/>
  <c r="R1423" i="2" s="1"/>
  <c r="P1423" i="2"/>
  <c r="O1423" i="2"/>
  <c r="N1423" i="2"/>
  <c r="M1423" i="2"/>
  <c r="K1423" i="2"/>
  <c r="I1423" i="2"/>
  <c r="E1423" i="2"/>
  <c r="P1422" i="2"/>
  <c r="O1422" i="2"/>
  <c r="Q1422" i="2" s="1"/>
  <c r="R1422" i="2" s="1"/>
  <c r="N1422" i="2"/>
  <c r="M1422" i="2"/>
  <c r="K1422" i="2"/>
  <c r="I1422" i="2"/>
  <c r="E1422" i="2"/>
  <c r="P1421" i="2"/>
  <c r="O1421" i="2"/>
  <c r="Q1421" i="2" s="1"/>
  <c r="R1421" i="2" s="1"/>
  <c r="N1421" i="2"/>
  <c r="M1421" i="2"/>
  <c r="K1421" i="2"/>
  <c r="I1421" i="2"/>
  <c r="E1421" i="2"/>
  <c r="P1420" i="2"/>
  <c r="O1420" i="2"/>
  <c r="Q1420" i="2" s="1"/>
  <c r="R1420" i="2" s="1"/>
  <c r="N1420" i="2"/>
  <c r="M1420" i="2"/>
  <c r="K1420" i="2"/>
  <c r="I1420" i="2"/>
  <c r="E1420" i="2"/>
  <c r="Q1419" i="2"/>
  <c r="R1419" i="2" s="1"/>
  <c r="P1419" i="2"/>
  <c r="O1419" i="2"/>
  <c r="N1419" i="2"/>
  <c r="M1419" i="2"/>
  <c r="K1419" i="2"/>
  <c r="I1419" i="2"/>
  <c r="E1419" i="2"/>
  <c r="Q1418" i="2"/>
  <c r="R1418" i="2" s="1"/>
  <c r="P1418" i="2"/>
  <c r="O1418" i="2"/>
  <c r="N1418" i="2"/>
  <c r="M1418" i="2"/>
  <c r="K1418" i="2"/>
  <c r="I1418" i="2"/>
  <c r="E1418" i="2"/>
  <c r="P1417" i="2"/>
  <c r="O1417" i="2"/>
  <c r="Q1417" i="2" s="1"/>
  <c r="R1417" i="2" s="1"/>
  <c r="N1417" i="2"/>
  <c r="M1417" i="2"/>
  <c r="K1417" i="2"/>
  <c r="I1417" i="2"/>
  <c r="E1417" i="2"/>
  <c r="P1416" i="2"/>
  <c r="O1416" i="2"/>
  <c r="Q1416" i="2" s="1"/>
  <c r="R1416" i="2" s="1"/>
  <c r="N1416" i="2"/>
  <c r="M1416" i="2"/>
  <c r="K1416" i="2"/>
  <c r="I1416" i="2"/>
  <c r="E1416" i="2"/>
  <c r="Q1415" i="2"/>
  <c r="R1415" i="2" s="1"/>
  <c r="P1415" i="2"/>
  <c r="O1415" i="2"/>
  <c r="N1415" i="2"/>
  <c r="M1415" i="2"/>
  <c r="K1415" i="2"/>
  <c r="I1415" i="2"/>
  <c r="E1415" i="2"/>
  <c r="P1414" i="2"/>
  <c r="O1414" i="2"/>
  <c r="Q1414" i="2" s="1"/>
  <c r="R1414" i="2" s="1"/>
  <c r="N1414" i="2"/>
  <c r="M1414" i="2"/>
  <c r="K1414" i="2"/>
  <c r="I1414" i="2"/>
  <c r="E1414" i="2"/>
  <c r="P1413" i="2"/>
  <c r="O1413" i="2"/>
  <c r="Q1413" i="2" s="1"/>
  <c r="R1413" i="2" s="1"/>
  <c r="N1413" i="2"/>
  <c r="M1413" i="2"/>
  <c r="K1413" i="2"/>
  <c r="I1413" i="2"/>
  <c r="E1413" i="2"/>
  <c r="P1412" i="2"/>
  <c r="O1412" i="2"/>
  <c r="Q1412" i="2" s="1"/>
  <c r="R1412" i="2" s="1"/>
  <c r="N1412" i="2"/>
  <c r="M1412" i="2"/>
  <c r="K1412" i="2"/>
  <c r="I1412" i="2"/>
  <c r="E1412" i="2"/>
  <c r="P1411" i="2"/>
  <c r="O1411" i="2"/>
  <c r="Q1411" i="2" s="1"/>
  <c r="R1411" i="2" s="1"/>
  <c r="N1411" i="2"/>
  <c r="M1411" i="2"/>
  <c r="K1411" i="2"/>
  <c r="I1411" i="2"/>
  <c r="E1411" i="2"/>
  <c r="Q1410" i="2"/>
  <c r="R1410" i="2" s="1"/>
  <c r="P1410" i="2"/>
  <c r="O1410" i="2"/>
  <c r="N1410" i="2"/>
  <c r="M1410" i="2"/>
  <c r="K1410" i="2"/>
  <c r="I1410" i="2"/>
  <c r="E1410" i="2"/>
  <c r="P1409" i="2"/>
  <c r="O1409" i="2"/>
  <c r="Q1409" i="2" s="1"/>
  <c r="R1409" i="2" s="1"/>
  <c r="N1409" i="2"/>
  <c r="M1409" i="2"/>
  <c r="K1409" i="2"/>
  <c r="I1409" i="2"/>
  <c r="E1409" i="2"/>
  <c r="P1407" i="2"/>
  <c r="O1407" i="2"/>
  <c r="Q1407" i="2" s="1"/>
  <c r="R1407" i="2" s="1"/>
  <c r="N1407" i="2"/>
  <c r="M1407" i="2"/>
  <c r="K1407" i="2"/>
  <c r="I1407" i="2"/>
  <c r="E1407" i="2"/>
  <c r="P1406" i="2"/>
  <c r="O1406" i="2"/>
  <c r="Q1406" i="2" s="1"/>
  <c r="R1406" i="2" s="1"/>
  <c r="N1406" i="2"/>
  <c r="M1406" i="2"/>
  <c r="K1406" i="2"/>
  <c r="I1406" i="2"/>
  <c r="E1406" i="2"/>
  <c r="Q1405" i="2"/>
  <c r="R1405" i="2" s="1"/>
  <c r="P1405" i="2"/>
  <c r="O1405" i="2"/>
  <c r="N1405" i="2"/>
  <c r="M1405" i="2"/>
  <c r="K1405" i="2"/>
  <c r="I1405" i="2"/>
  <c r="E1405" i="2"/>
  <c r="R1404" i="2"/>
  <c r="P1404" i="2"/>
  <c r="O1404" i="2"/>
  <c r="Q1404" i="2" s="1"/>
  <c r="N1404" i="2"/>
  <c r="M1404" i="2"/>
  <c r="K1404" i="2"/>
  <c r="I1404" i="2"/>
  <c r="E1404" i="2"/>
  <c r="P1403" i="2"/>
  <c r="O1403" i="2"/>
  <c r="Q1403" i="2" s="1"/>
  <c r="R1403" i="2" s="1"/>
  <c r="N1403" i="2"/>
  <c r="M1403" i="2"/>
  <c r="K1403" i="2"/>
  <c r="I1403" i="2"/>
  <c r="E1403" i="2"/>
  <c r="P1402" i="2"/>
  <c r="O1402" i="2"/>
  <c r="Q1402" i="2" s="1"/>
  <c r="R1402" i="2" s="1"/>
  <c r="N1402" i="2"/>
  <c r="M1402" i="2"/>
  <c r="K1402" i="2"/>
  <c r="I1402" i="2"/>
  <c r="E1402" i="2"/>
  <c r="P1401" i="2"/>
  <c r="O1401" i="2"/>
  <c r="Q1401" i="2" s="1"/>
  <c r="R1401" i="2" s="1"/>
  <c r="N1401" i="2"/>
  <c r="M1401" i="2"/>
  <c r="K1401" i="2"/>
  <c r="I1401" i="2"/>
  <c r="E1401" i="2"/>
  <c r="P1400" i="2"/>
  <c r="O1400" i="2"/>
  <c r="Q1400" i="2" s="1"/>
  <c r="R1400" i="2" s="1"/>
  <c r="N1400" i="2"/>
  <c r="M1400" i="2"/>
  <c r="K1400" i="2"/>
  <c r="I1400" i="2"/>
  <c r="E1400" i="2"/>
  <c r="P1399" i="2"/>
  <c r="O1399" i="2"/>
  <c r="Q1399" i="2" s="1"/>
  <c r="R1399" i="2" s="1"/>
  <c r="N1399" i="2"/>
  <c r="M1399" i="2"/>
  <c r="K1399" i="2"/>
  <c r="I1399" i="2"/>
  <c r="E1399" i="2"/>
  <c r="Q1398" i="2"/>
  <c r="R1398" i="2" s="1"/>
  <c r="P1398" i="2"/>
  <c r="O1398" i="2"/>
  <c r="N1398" i="2"/>
  <c r="M1398" i="2"/>
  <c r="K1398" i="2"/>
  <c r="I1398" i="2"/>
  <c r="E1398" i="2"/>
  <c r="P1397" i="2"/>
  <c r="O1397" i="2"/>
  <c r="Q1397" i="2" s="1"/>
  <c r="R1397" i="2" s="1"/>
  <c r="N1397" i="2"/>
  <c r="M1397" i="2"/>
  <c r="K1397" i="2"/>
  <c r="I1397" i="2"/>
  <c r="E1397" i="2"/>
  <c r="P1396" i="2"/>
  <c r="O1396" i="2"/>
  <c r="Q1396" i="2" s="1"/>
  <c r="R1396" i="2" s="1"/>
  <c r="N1396" i="2"/>
  <c r="M1396" i="2"/>
  <c r="K1396" i="2"/>
  <c r="I1396" i="2"/>
  <c r="E1396" i="2"/>
  <c r="P1395" i="2"/>
  <c r="O1395" i="2"/>
  <c r="Q1395" i="2" s="1"/>
  <c r="R1395" i="2" s="1"/>
  <c r="N1395" i="2"/>
  <c r="M1395" i="2"/>
  <c r="K1395" i="2"/>
  <c r="I1395" i="2"/>
  <c r="E1395" i="2"/>
  <c r="P1394" i="2"/>
  <c r="O1394" i="2"/>
  <c r="Q1394" i="2" s="1"/>
  <c r="R1394" i="2" s="1"/>
  <c r="N1394" i="2"/>
  <c r="M1394" i="2"/>
  <c r="K1394" i="2"/>
  <c r="I1394" i="2"/>
  <c r="E1394" i="2"/>
  <c r="P1393" i="2"/>
  <c r="O1393" i="2"/>
  <c r="Q1393" i="2" s="1"/>
  <c r="R1393" i="2" s="1"/>
  <c r="N1393" i="2"/>
  <c r="M1393" i="2"/>
  <c r="K1393" i="2"/>
  <c r="I1393" i="2"/>
  <c r="E1393" i="2"/>
  <c r="P1392" i="2"/>
  <c r="O1392" i="2"/>
  <c r="Q1392" i="2" s="1"/>
  <c r="R1392" i="2" s="1"/>
  <c r="N1392" i="2"/>
  <c r="M1392" i="2"/>
  <c r="K1392" i="2"/>
  <c r="I1392" i="2"/>
  <c r="E1392" i="2"/>
  <c r="P1391" i="2"/>
  <c r="O1391" i="2"/>
  <c r="Q1391" i="2" s="1"/>
  <c r="R1391" i="2" s="1"/>
  <c r="N1391" i="2"/>
  <c r="M1391" i="2"/>
  <c r="K1391" i="2"/>
  <c r="I1391" i="2"/>
  <c r="E1391" i="2"/>
  <c r="Q1390" i="2"/>
  <c r="R1390" i="2" s="1"/>
  <c r="P1390" i="2"/>
  <c r="O1390" i="2"/>
  <c r="N1390" i="2"/>
  <c r="M1390" i="2"/>
  <c r="K1390" i="2"/>
  <c r="I1390" i="2"/>
  <c r="E1390" i="2"/>
  <c r="P1389" i="2"/>
  <c r="O1389" i="2"/>
  <c r="Q1389" i="2" s="1"/>
  <c r="R1389" i="2" s="1"/>
  <c r="N1389" i="2"/>
  <c r="M1389" i="2"/>
  <c r="K1389" i="2"/>
  <c r="I1389" i="2"/>
  <c r="E1389" i="2"/>
  <c r="R1388" i="2"/>
  <c r="P1388" i="2"/>
  <c r="O1388" i="2"/>
  <c r="Q1388" i="2" s="1"/>
  <c r="N1388" i="2"/>
  <c r="M1388" i="2"/>
  <c r="K1388" i="2"/>
  <c r="I1388" i="2"/>
  <c r="E1388" i="2"/>
  <c r="P1387" i="2"/>
  <c r="O1387" i="2"/>
  <c r="Q1387" i="2" s="1"/>
  <c r="R1387" i="2" s="1"/>
  <c r="N1387" i="2"/>
  <c r="M1387" i="2"/>
  <c r="K1387" i="2"/>
  <c r="I1387" i="2"/>
  <c r="E1387" i="2"/>
  <c r="Q1386" i="2"/>
  <c r="R1386" i="2" s="1"/>
  <c r="P1386" i="2"/>
  <c r="O1386" i="2"/>
  <c r="N1386" i="2"/>
  <c r="M1386" i="2"/>
  <c r="K1386" i="2"/>
  <c r="I1386" i="2"/>
  <c r="E1386" i="2"/>
  <c r="Q1385" i="2"/>
  <c r="R1385" i="2" s="1"/>
  <c r="P1385" i="2"/>
  <c r="O1385" i="2"/>
  <c r="N1385" i="2"/>
  <c r="M1385" i="2"/>
  <c r="K1385" i="2"/>
  <c r="I1385" i="2"/>
  <c r="E1385" i="2"/>
  <c r="P1384" i="2"/>
  <c r="O1384" i="2"/>
  <c r="Q1384" i="2" s="1"/>
  <c r="R1384" i="2" s="1"/>
  <c r="N1384" i="2"/>
  <c r="M1384" i="2"/>
  <c r="K1384" i="2"/>
  <c r="I1384" i="2"/>
  <c r="E1384" i="2"/>
  <c r="P1383" i="2"/>
  <c r="O1383" i="2"/>
  <c r="Q1383" i="2" s="1"/>
  <c r="R1383" i="2" s="1"/>
  <c r="N1383" i="2"/>
  <c r="M1383" i="2"/>
  <c r="K1383" i="2"/>
  <c r="I1383" i="2"/>
  <c r="E1383" i="2"/>
  <c r="P1382" i="2"/>
  <c r="O1382" i="2"/>
  <c r="Q1382" i="2" s="1"/>
  <c r="R1382" i="2" s="1"/>
  <c r="N1382" i="2"/>
  <c r="M1382" i="2"/>
  <c r="K1382" i="2"/>
  <c r="I1382" i="2"/>
  <c r="E1382" i="2"/>
  <c r="Q1381" i="2"/>
  <c r="R1381" i="2" s="1"/>
  <c r="P1381" i="2"/>
  <c r="O1381" i="2"/>
  <c r="N1381" i="2"/>
  <c r="M1381" i="2"/>
  <c r="K1381" i="2"/>
  <c r="I1381" i="2"/>
  <c r="E1381" i="2"/>
  <c r="P1380" i="2"/>
  <c r="O1380" i="2"/>
  <c r="Q1380" i="2" s="1"/>
  <c r="R1380" i="2" s="1"/>
  <c r="N1380" i="2"/>
  <c r="M1380" i="2"/>
  <c r="K1380" i="2"/>
  <c r="I1380" i="2"/>
  <c r="E1380" i="2"/>
  <c r="P1379" i="2"/>
  <c r="O1379" i="2"/>
  <c r="Q1379" i="2" s="1"/>
  <c r="R1379" i="2" s="1"/>
  <c r="N1379" i="2"/>
  <c r="M1379" i="2"/>
  <c r="K1379" i="2"/>
  <c r="I1379" i="2"/>
  <c r="E1379" i="2"/>
  <c r="Q1378" i="2"/>
  <c r="R1378" i="2" s="1"/>
  <c r="P1378" i="2"/>
  <c r="O1378" i="2"/>
  <c r="N1378" i="2"/>
  <c r="M1378" i="2"/>
  <c r="K1378" i="2"/>
  <c r="I1378" i="2"/>
  <c r="E1378" i="2"/>
  <c r="Q1377" i="2"/>
  <c r="R1377" i="2" s="1"/>
  <c r="P1377" i="2"/>
  <c r="O1377" i="2"/>
  <c r="N1377" i="2"/>
  <c r="M1377" i="2"/>
  <c r="K1377" i="2"/>
  <c r="I1377" i="2"/>
  <c r="E1377" i="2"/>
  <c r="R1376" i="2"/>
  <c r="P1376" i="2"/>
  <c r="O1376" i="2"/>
  <c r="Q1376" i="2" s="1"/>
  <c r="N1376" i="2"/>
  <c r="M1376" i="2"/>
  <c r="K1376" i="2"/>
  <c r="I1376" i="2"/>
  <c r="E1376" i="2"/>
  <c r="P1375" i="2"/>
  <c r="O1375" i="2"/>
  <c r="Q1375" i="2" s="1"/>
  <c r="R1375" i="2" s="1"/>
  <c r="N1375" i="2"/>
  <c r="M1375" i="2"/>
  <c r="K1375" i="2"/>
  <c r="I1375" i="2"/>
  <c r="E1375" i="2"/>
  <c r="Q1374" i="2"/>
  <c r="R1374" i="2" s="1"/>
  <c r="P1374" i="2"/>
  <c r="O1374" i="2"/>
  <c r="N1374" i="2"/>
  <c r="M1374" i="2"/>
  <c r="K1374" i="2"/>
  <c r="I1374" i="2"/>
  <c r="E1374" i="2"/>
  <c r="P1373" i="2"/>
  <c r="O1373" i="2"/>
  <c r="Q1373" i="2" s="1"/>
  <c r="R1373" i="2" s="1"/>
  <c r="N1373" i="2"/>
  <c r="M1373" i="2"/>
  <c r="K1373" i="2"/>
  <c r="I1373" i="2"/>
  <c r="E1373" i="2"/>
  <c r="P1372" i="2"/>
  <c r="O1372" i="2"/>
  <c r="Q1372" i="2" s="1"/>
  <c r="R1372" i="2" s="1"/>
  <c r="N1372" i="2"/>
  <c r="M1372" i="2"/>
  <c r="K1372" i="2"/>
  <c r="I1372" i="2"/>
  <c r="E1372" i="2"/>
  <c r="P1371" i="2"/>
  <c r="O1371" i="2"/>
  <c r="Q1371" i="2" s="1"/>
  <c r="R1371" i="2" s="1"/>
  <c r="N1371" i="2"/>
  <c r="M1371" i="2"/>
  <c r="K1371" i="2"/>
  <c r="I1371" i="2"/>
  <c r="E1371" i="2"/>
  <c r="Q1370" i="2"/>
  <c r="R1370" i="2" s="1"/>
  <c r="P1370" i="2"/>
  <c r="O1370" i="2"/>
  <c r="N1370" i="2"/>
  <c r="M1370" i="2"/>
  <c r="K1370" i="2"/>
  <c r="I1370" i="2"/>
  <c r="E1370" i="2"/>
  <c r="P1369" i="2"/>
  <c r="O1369" i="2"/>
  <c r="Q1369" i="2" s="1"/>
  <c r="R1369" i="2" s="1"/>
  <c r="N1369" i="2"/>
  <c r="M1369" i="2"/>
  <c r="K1369" i="2"/>
  <c r="I1369" i="2"/>
  <c r="E1369" i="2"/>
  <c r="P1368" i="2"/>
  <c r="O1368" i="2"/>
  <c r="Q1368" i="2" s="1"/>
  <c r="R1368" i="2" s="1"/>
  <c r="N1368" i="2"/>
  <c r="M1368" i="2"/>
  <c r="K1368" i="2"/>
  <c r="I1368" i="2"/>
  <c r="E1368" i="2"/>
  <c r="P1367" i="2"/>
  <c r="O1367" i="2"/>
  <c r="Q1367" i="2" s="1"/>
  <c r="R1367" i="2" s="1"/>
  <c r="N1367" i="2"/>
  <c r="M1367" i="2"/>
  <c r="K1367" i="2"/>
  <c r="I1367" i="2"/>
  <c r="E1367" i="2"/>
  <c r="Q1366" i="2"/>
  <c r="R1366" i="2" s="1"/>
  <c r="P1366" i="2"/>
  <c r="O1366" i="2"/>
  <c r="N1366" i="2"/>
  <c r="M1366" i="2"/>
  <c r="K1366" i="2"/>
  <c r="I1366" i="2"/>
  <c r="E1366" i="2"/>
  <c r="P1365" i="2"/>
  <c r="O1365" i="2"/>
  <c r="Q1365" i="2" s="1"/>
  <c r="R1365" i="2" s="1"/>
  <c r="N1365" i="2"/>
  <c r="M1365" i="2"/>
  <c r="K1365" i="2"/>
  <c r="I1365" i="2"/>
  <c r="E1365" i="2"/>
  <c r="P1364" i="2"/>
  <c r="O1364" i="2"/>
  <c r="Q1364" i="2" s="1"/>
  <c r="R1364" i="2" s="1"/>
  <c r="N1364" i="2"/>
  <c r="M1364" i="2"/>
  <c r="K1364" i="2"/>
  <c r="I1364" i="2"/>
  <c r="E1364" i="2"/>
  <c r="P1363" i="2"/>
  <c r="O1363" i="2"/>
  <c r="Q1363" i="2" s="1"/>
  <c r="R1363" i="2" s="1"/>
  <c r="N1363" i="2"/>
  <c r="M1363" i="2"/>
  <c r="K1363" i="2"/>
  <c r="I1363" i="2"/>
  <c r="E1363" i="2"/>
  <c r="Q1362" i="2"/>
  <c r="R1362" i="2" s="1"/>
  <c r="P1362" i="2"/>
  <c r="O1362" i="2"/>
  <c r="N1362" i="2"/>
  <c r="M1362" i="2"/>
  <c r="K1362" i="2"/>
  <c r="I1362" i="2"/>
  <c r="E1362" i="2"/>
  <c r="P1361" i="2"/>
  <c r="O1361" i="2"/>
  <c r="Q1361" i="2" s="1"/>
  <c r="R1361" i="2" s="1"/>
  <c r="N1361" i="2"/>
  <c r="M1361" i="2"/>
  <c r="K1361" i="2"/>
  <c r="I1361" i="2"/>
  <c r="E1361" i="2"/>
  <c r="P1360" i="2"/>
  <c r="O1360" i="2"/>
  <c r="Q1360" i="2" s="1"/>
  <c r="R1360" i="2" s="1"/>
  <c r="N1360" i="2"/>
  <c r="M1360" i="2"/>
  <c r="K1360" i="2"/>
  <c r="I1360" i="2"/>
  <c r="E1360" i="2"/>
  <c r="P1358" i="2"/>
  <c r="O1358" i="2"/>
  <c r="Q1358" i="2" s="1"/>
  <c r="R1358" i="2" s="1"/>
  <c r="N1358" i="2"/>
  <c r="M1358" i="2"/>
  <c r="K1358" i="2"/>
  <c r="I1358" i="2"/>
  <c r="E1358" i="2"/>
  <c r="P1357" i="2"/>
  <c r="O1357" i="2"/>
  <c r="Q1357" i="2" s="1"/>
  <c r="R1357" i="2" s="1"/>
  <c r="N1357" i="2"/>
  <c r="M1357" i="2"/>
  <c r="K1357" i="2"/>
  <c r="I1357" i="2"/>
  <c r="E1357" i="2"/>
  <c r="Q1356" i="2"/>
  <c r="R1356" i="2" s="1"/>
  <c r="P1356" i="2"/>
  <c r="O1356" i="2"/>
  <c r="N1356" i="2"/>
  <c r="M1356" i="2"/>
  <c r="K1356" i="2"/>
  <c r="I1356" i="2"/>
  <c r="E1356" i="2"/>
  <c r="R1355" i="2"/>
  <c r="P1355" i="2"/>
  <c r="O1355" i="2"/>
  <c r="Q1355" i="2" s="1"/>
  <c r="N1355" i="2"/>
  <c r="M1355" i="2"/>
  <c r="K1355" i="2"/>
  <c r="I1355" i="2"/>
  <c r="E1355" i="2"/>
  <c r="P1354" i="2"/>
  <c r="O1354" i="2"/>
  <c r="Q1354" i="2" s="1"/>
  <c r="R1354" i="2" s="1"/>
  <c r="N1354" i="2"/>
  <c r="M1354" i="2"/>
  <c r="K1354" i="2"/>
  <c r="I1354" i="2"/>
  <c r="E1354" i="2"/>
  <c r="Q1353" i="2"/>
  <c r="R1353" i="2" s="1"/>
  <c r="P1353" i="2"/>
  <c r="O1353" i="2"/>
  <c r="N1353" i="2"/>
  <c r="M1353" i="2"/>
  <c r="K1353" i="2"/>
  <c r="I1353" i="2"/>
  <c r="E1353" i="2"/>
  <c r="P1352" i="2"/>
  <c r="O1352" i="2"/>
  <c r="Q1352" i="2" s="1"/>
  <c r="R1352" i="2" s="1"/>
  <c r="N1352" i="2"/>
  <c r="M1352" i="2"/>
  <c r="K1352" i="2"/>
  <c r="I1352" i="2"/>
  <c r="E1352" i="2"/>
  <c r="P1351" i="2"/>
  <c r="O1351" i="2"/>
  <c r="Q1351" i="2" s="1"/>
  <c r="R1351" i="2" s="1"/>
  <c r="N1351" i="2"/>
  <c r="M1351" i="2"/>
  <c r="K1351" i="2"/>
  <c r="I1351" i="2"/>
  <c r="E1351" i="2"/>
  <c r="P1350" i="2"/>
  <c r="O1350" i="2"/>
  <c r="Q1350" i="2" s="1"/>
  <c r="R1350" i="2" s="1"/>
  <c r="N1350" i="2"/>
  <c r="M1350" i="2"/>
  <c r="K1350" i="2"/>
  <c r="I1350" i="2"/>
  <c r="E1350" i="2"/>
  <c r="P1349" i="2"/>
  <c r="O1349" i="2"/>
  <c r="Q1349" i="2" s="1"/>
  <c r="R1349" i="2" s="1"/>
  <c r="N1349" i="2"/>
  <c r="M1349" i="2"/>
  <c r="K1349" i="2"/>
  <c r="I1349" i="2"/>
  <c r="E1349" i="2"/>
  <c r="P1348" i="2"/>
  <c r="O1348" i="2"/>
  <c r="Q1348" i="2" s="1"/>
  <c r="R1348" i="2" s="1"/>
  <c r="N1348" i="2"/>
  <c r="M1348" i="2"/>
  <c r="K1348" i="2"/>
  <c r="I1348" i="2"/>
  <c r="E1348" i="2"/>
  <c r="P1347" i="2"/>
  <c r="O1347" i="2"/>
  <c r="Q1347" i="2" s="1"/>
  <c r="R1347" i="2" s="1"/>
  <c r="N1347" i="2"/>
  <c r="M1347" i="2"/>
  <c r="K1347" i="2"/>
  <c r="I1347" i="2"/>
  <c r="E1347" i="2"/>
  <c r="P1346" i="2"/>
  <c r="O1346" i="2"/>
  <c r="Q1346" i="2" s="1"/>
  <c r="R1346" i="2" s="1"/>
  <c r="N1346" i="2"/>
  <c r="M1346" i="2"/>
  <c r="K1346" i="2"/>
  <c r="I1346" i="2"/>
  <c r="E1346" i="2"/>
  <c r="Q1345" i="2"/>
  <c r="R1345" i="2" s="1"/>
  <c r="P1345" i="2"/>
  <c r="O1345" i="2"/>
  <c r="N1345" i="2"/>
  <c r="M1345" i="2"/>
  <c r="K1345" i="2"/>
  <c r="I1345" i="2"/>
  <c r="E1345" i="2"/>
  <c r="P1344" i="2"/>
  <c r="O1344" i="2"/>
  <c r="Q1344" i="2" s="1"/>
  <c r="R1344" i="2" s="1"/>
  <c r="N1344" i="2"/>
  <c r="M1344" i="2"/>
  <c r="K1344" i="2"/>
  <c r="I1344" i="2"/>
  <c r="E1344" i="2"/>
  <c r="P1343" i="2"/>
  <c r="O1343" i="2"/>
  <c r="Q1343" i="2" s="1"/>
  <c r="R1343" i="2" s="1"/>
  <c r="N1343" i="2"/>
  <c r="M1343" i="2"/>
  <c r="K1343" i="2"/>
  <c r="I1343" i="2"/>
  <c r="E1343" i="2"/>
  <c r="P1342" i="2"/>
  <c r="O1342" i="2"/>
  <c r="Q1342" i="2" s="1"/>
  <c r="R1342" i="2" s="1"/>
  <c r="N1342" i="2"/>
  <c r="M1342" i="2"/>
  <c r="K1342" i="2"/>
  <c r="I1342" i="2"/>
  <c r="E1342" i="2"/>
  <c r="P1341" i="2"/>
  <c r="O1341" i="2"/>
  <c r="Q1341" i="2" s="1"/>
  <c r="R1341" i="2" s="1"/>
  <c r="N1341" i="2"/>
  <c r="M1341" i="2"/>
  <c r="K1341" i="2"/>
  <c r="I1341" i="2"/>
  <c r="E1341" i="2"/>
  <c r="P1340" i="2"/>
  <c r="O1340" i="2"/>
  <c r="Q1340" i="2" s="1"/>
  <c r="R1340" i="2" s="1"/>
  <c r="N1340" i="2"/>
  <c r="M1340" i="2"/>
  <c r="K1340" i="2"/>
  <c r="I1340" i="2"/>
  <c r="E1340" i="2"/>
  <c r="P1339" i="2"/>
  <c r="O1339" i="2"/>
  <c r="Q1339" i="2" s="1"/>
  <c r="R1339" i="2" s="1"/>
  <c r="N1339" i="2"/>
  <c r="M1339" i="2"/>
  <c r="K1339" i="2"/>
  <c r="I1339" i="2"/>
  <c r="E1339" i="2"/>
  <c r="P1338" i="2"/>
  <c r="O1338" i="2"/>
  <c r="Q1338" i="2" s="1"/>
  <c r="R1338" i="2" s="1"/>
  <c r="N1338" i="2"/>
  <c r="M1338" i="2"/>
  <c r="K1338" i="2"/>
  <c r="I1338" i="2"/>
  <c r="E1338" i="2"/>
  <c r="Q1337" i="2"/>
  <c r="R1337" i="2" s="1"/>
  <c r="P1337" i="2"/>
  <c r="O1337" i="2"/>
  <c r="N1337" i="2"/>
  <c r="M1337" i="2"/>
  <c r="K1337" i="2"/>
  <c r="I1337" i="2"/>
  <c r="E1337" i="2"/>
  <c r="Q1336" i="2"/>
  <c r="R1336" i="2" s="1"/>
  <c r="P1336" i="2"/>
  <c r="O1336" i="2"/>
  <c r="N1336" i="2"/>
  <c r="M1336" i="2"/>
  <c r="K1336" i="2"/>
  <c r="I1336" i="2"/>
  <c r="E1336" i="2"/>
  <c r="P1335" i="2"/>
  <c r="O1335" i="2"/>
  <c r="Q1335" i="2" s="1"/>
  <c r="R1335" i="2" s="1"/>
  <c r="N1335" i="2"/>
  <c r="M1335" i="2"/>
  <c r="K1335" i="2"/>
  <c r="I1335" i="2"/>
  <c r="E1335" i="2"/>
  <c r="P1334" i="2"/>
  <c r="O1334" i="2"/>
  <c r="Q1334" i="2" s="1"/>
  <c r="R1334" i="2" s="1"/>
  <c r="N1334" i="2"/>
  <c r="M1334" i="2"/>
  <c r="K1334" i="2"/>
  <c r="I1334" i="2"/>
  <c r="E1334" i="2"/>
  <c r="P1333" i="2"/>
  <c r="O1333" i="2"/>
  <c r="Q1333" i="2" s="1"/>
  <c r="R1333" i="2" s="1"/>
  <c r="N1333" i="2"/>
  <c r="M1333" i="2"/>
  <c r="K1333" i="2"/>
  <c r="I1333" i="2"/>
  <c r="E1333" i="2"/>
  <c r="Q1332" i="2"/>
  <c r="R1332" i="2" s="1"/>
  <c r="P1332" i="2"/>
  <c r="O1332" i="2"/>
  <c r="N1332" i="2"/>
  <c r="M1332" i="2"/>
  <c r="K1332" i="2"/>
  <c r="I1332" i="2"/>
  <c r="E1332" i="2"/>
  <c r="P1331" i="2"/>
  <c r="O1331" i="2"/>
  <c r="Q1331" i="2" s="1"/>
  <c r="R1331" i="2" s="1"/>
  <c r="N1331" i="2"/>
  <c r="M1331" i="2"/>
  <c r="K1331" i="2"/>
  <c r="I1331" i="2"/>
  <c r="E1331" i="2"/>
  <c r="P1330" i="2"/>
  <c r="O1330" i="2"/>
  <c r="Q1330" i="2" s="1"/>
  <c r="R1330" i="2" s="1"/>
  <c r="N1330" i="2"/>
  <c r="M1330" i="2"/>
  <c r="K1330" i="2"/>
  <c r="I1330" i="2"/>
  <c r="E1330" i="2"/>
  <c r="P1329" i="2"/>
  <c r="O1329" i="2"/>
  <c r="Q1329" i="2" s="1"/>
  <c r="R1329" i="2" s="1"/>
  <c r="N1329" i="2"/>
  <c r="M1329" i="2"/>
  <c r="K1329" i="2"/>
  <c r="I1329" i="2"/>
  <c r="E1329" i="2"/>
  <c r="P1328" i="2"/>
  <c r="O1328" i="2"/>
  <c r="Q1328" i="2" s="1"/>
  <c r="R1328" i="2" s="1"/>
  <c r="N1328" i="2"/>
  <c r="M1328" i="2"/>
  <c r="K1328" i="2"/>
  <c r="I1328" i="2"/>
  <c r="E1328" i="2"/>
  <c r="P1327" i="2"/>
  <c r="O1327" i="2"/>
  <c r="Q1327" i="2" s="1"/>
  <c r="R1327" i="2" s="1"/>
  <c r="N1327" i="2"/>
  <c r="M1327" i="2"/>
  <c r="K1327" i="2"/>
  <c r="I1327" i="2"/>
  <c r="E1327" i="2"/>
  <c r="P1326" i="2"/>
  <c r="O1326" i="2"/>
  <c r="Q1326" i="2" s="1"/>
  <c r="R1326" i="2" s="1"/>
  <c r="N1326" i="2"/>
  <c r="M1326" i="2"/>
  <c r="K1326" i="2"/>
  <c r="I1326" i="2"/>
  <c r="E1326" i="2"/>
  <c r="Q1325" i="2"/>
  <c r="R1325" i="2" s="1"/>
  <c r="P1325" i="2"/>
  <c r="O1325" i="2"/>
  <c r="N1325" i="2"/>
  <c r="M1325" i="2"/>
  <c r="K1325" i="2"/>
  <c r="I1325" i="2"/>
  <c r="E1325" i="2"/>
  <c r="P1324" i="2"/>
  <c r="O1324" i="2"/>
  <c r="Q1324" i="2" s="1"/>
  <c r="R1324" i="2" s="1"/>
  <c r="N1324" i="2"/>
  <c r="M1324" i="2"/>
  <c r="K1324" i="2"/>
  <c r="I1324" i="2"/>
  <c r="E1324" i="2"/>
  <c r="P1322" i="2"/>
  <c r="O1322" i="2"/>
  <c r="Q1322" i="2" s="1"/>
  <c r="R1322" i="2" s="1"/>
  <c r="N1322" i="2"/>
  <c r="M1322" i="2"/>
  <c r="K1322" i="2"/>
  <c r="I1322" i="2"/>
  <c r="E1322" i="2"/>
  <c r="P1321" i="2"/>
  <c r="O1321" i="2"/>
  <c r="Q1321" i="2" s="1"/>
  <c r="R1321" i="2" s="1"/>
  <c r="N1321" i="2"/>
  <c r="M1321" i="2"/>
  <c r="K1321" i="2"/>
  <c r="I1321" i="2"/>
  <c r="E1321" i="2"/>
  <c r="Q1320" i="2"/>
  <c r="R1320" i="2" s="1"/>
  <c r="P1320" i="2"/>
  <c r="O1320" i="2"/>
  <c r="N1320" i="2"/>
  <c r="M1320" i="2"/>
  <c r="K1320" i="2"/>
  <c r="I1320" i="2"/>
  <c r="E1320" i="2"/>
  <c r="P1319" i="2"/>
  <c r="O1319" i="2"/>
  <c r="Q1319" i="2" s="1"/>
  <c r="R1319" i="2" s="1"/>
  <c r="N1319" i="2"/>
  <c r="M1319" i="2"/>
  <c r="K1319" i="2"/>
  <c r="I1319" i="2"/>
  <c r="E1319" i="2"/>
  <c r="P1318" i="2"/>
  <c r="O1318" i="2"/>
  <c r="Q1318" i="2" s="1"/>
  <c r="R1318" i="2" s="1"/>
  <c r="N1318" i="2"/>
  <c r="M1318" i="2"/>
  <c r="K1318" i="2"/>
  <c r="I1318" i="2"/>
  <c r="E1318" i="2"/>
  <c r="P1317" i="2"/>
  <c r="O1317" i="2"/>
  <c r="Q1317" i="2" s="1"/>
  <c r="R1317" i="2" s="1"/>
  <c r="N1317" i="2"/>
  <c r="M1317" i="2"/>
  <c r="K1317" i="2"/>
  <c r="I1317" i="2"/>
  <c r="E1317" i="2"/>
  <c r="Q1316" i="2"/>
  <c r="R1316" i="2" s="1"/>
  <c r="P1316" i="2"/>
  <c r="O1316" i="2"/>
  <c r="N1316" i="2"/>
  <c r="M1316" i="2"/>
  <c r="K1316" i="2"/>
  <c r="I1316" i="2"/>
  <c r="E1316" i="2"/>
  <c r="P1315" i="2"/>
  <c r="O1315" i="2"/>
  <c r="Q1315" i="2" s="1"/>
  <c r="R1315" i="2" s="1"/>
  <c r="N1315" i="2"/>
  <c r="M1315" i="2"/>
  <c r="K1315" i="2"/>
  <c r="I1315" i="2"/>
  <c r="E1315" i="2"/>
  <c r="P1314" i="2"/>
  <c r="O1314" i="2"/>
  <c r="Q1314" i="2" s="1"/>
  <c r="R1314" i="2" s="1"/>
  <c r="N1314" i="2"/>
  <c r="M1314" i="2"/>
  <c r="K1314" i="2"/>
  <c r="I1314" i="2"/>
  <c r="E1314" i="2"/>
  <c r="P1313" i="2"/>
  <c r="O1313" i="2"/>
  <c r="Q1313" i="2" s="1"/>
  <c r="R1313" i="2" s="1"/>
  <c r="N1313" i="2"/>
  <c r="M1313" i="2"/>
  <c r="K1313" i="2"/>
  <c r="I1313" i="2"/>
  <c r="E1313" i="2"/>
  <c r="P1312" i="2"/>
  <c r="O1312" i="2"/>
  <c r="Q1312" i="2" s="1"/>
  <c r="R1312" i="2" s="1"/>
  <c r="N1312" i="2"/>
  <c r="M1312" i="2"/>
  <c r="K1312" i="2"/>
  <c r="I1312" i="2"/>
  <c r="E1312" i="2"/>
  <c r="Q1311" i="2"/>
  <c r="R1311" i="2" s="1"/>
  <c r="P1311" i="2"/>
  <c r="O1311" i="2"/>
  <c r="N1311" i="2"/>
  <c r="M1311" i="2"/>
  <c r="K1311" i="2"/>
  <c r="I1311" i="2"/>
  <c r="E1311" i="2"/>
  <c r="P1310" i="2"/>
  <c r="O1310" i="2"/>
  <c r="Q1310" i="2" s="1"/>
  <c r="R1310" i="2" s="1"/>
  <c r="N1310" i="2"/>
  <c r="M1310" i="2"/>
  <c r="K1310" i="2"/>
  <c r="I1310" i="2"/>
  <c r="E1310" i="2"/>
  <c r="P1309" i="2"/>
  <c r="O1309" i="2"/>
  <c r="Q1309" i="2" s="1"/>
  <c r="R1309" i="2" s="1"/>
  <c r="N1309" i="2"/>
  <c r="M1309" i="2"/>
  <c r="K1309" i="2"/>
  <c r="I1309" i="2"/>
  <c r="E1309" i="2"/>
  <c r="P1308" i="2"/>
  <c r="O1308" i="2"/>
  <c r="Q1308" i="2" s="1"/>
  <c r="R1308" i="2" s="1"/>
  <c r="N1308" i="2"/>
  <c r="M1308" i="2"/>
  <c r="K1308" i="2"/>
  <c r="I1308" i="2"/>
  <c r="E1308" i="2"/>
  <c r="P1307" i="2"/>
  <c r="O1307" i="2"/>
  <c r="Q1307" i="2" s="1"/>
  <c r="R1307" i="2" s="1"/>
  <c r="N1307" i="2"/>
  <c r="M1307" i="2"/>
  <c r="K1307" i="2"/>
  <c r="I1307" i="2"/>
  <c r="E1307" i="2"/>
  <c r="R1306" i="2"/>
  <c r="P1306" i="2"/>
  <c r="O1306" i="2"/>
  <c r="Q1306" i="2" s="1"/>
  <c r="N1306" i="2"/>
  <c r="M1306" i="2"/>
  <c r="K1306" i="2"/>
  <c r="I1306" i="2"/>
  <c r="E1306" i="2"/>
  <c r="P1305" i="2"/>
  <c r="O1305" i="2"/>
  <c r="Q1305" i="2" s="1"/>
  <c r="R1305" i="2" s="1"/>
  <c r="N1305" i="2"/>
  <c r="M1305" i="2"/>
  <c r="K1305" i="2"/>
  <c r="I1305" i="2"/>
  <c r="E1305" i="2"/>
  <c r="Q1304" i="2"/>
  <c r="R1304" i="2" s="1"/>
  <c r="P1304" i="2"/>
  <c r="O1304" i="2"/>
  <c r="N1304" i="2"/>
  <c r="M1304" i="2"/>
  <c r="K1304" i="2"/>
  <c r="I1304" i="2"/>
  <c r="E1304" i="2"/>
  <c r="P1303" i="2"/>
  <c r="O1303" i="2"/>
  <c r="Q1303" i="2" s="1"/>
  <c r="R1303" i="2" s="1"/>
  <c r="N1303" i="2"/>
  <c r="M1303" i="2"/>
  <c r="K1303" i="2"/>
  <c r="I1303" i="2"/>
  <c r="E1303" i="2"/>
  <c r="P1302" i="2"/>
  <c r="O1302" i="2"/>
  <c r="Q1302" i="2" s="1"/>
  <c r="R1302" i="2" s="1"/>
  <c r="N1302" i="2"/>
  <c r="M1302" i="2"/>
  <c r="K1302" i="2"/>
  <c r="I1302" i="2"/>
  <c r="E1302" i="2"/>
  <c r="P1301" i="2"/>
  <c r="O1301" i="2"/>
  <c r="Q1301" i="2" s="1"/>
  <c r="R1301" i="2" s="1"/>
  <c r="N1301" i="2"/>
  <c r="M1301" i="2"/>
  <c r="K1301" i="2"/>
  <c r="I1301" i="2"/>
  <c r="E1301" i="2"/>
  <c r="Q1300" i="2"/>
  <c r="R1300" i="2" s="1"/>
  <c r="P1300" i="2"/>
  <c r="O1300" i="2"/>
  <c r="N1300" i="2"/>
  <c r="M1300" i="2"/>
  <c r="K1300" i="2"/>
  <c r="I1300" i="2"/>
  <c r="E1300" i="2"/>
  <c r="P1299" i="2"/>
  <c r="O1299" i="2"/>
  <c r="Q1299" i="2" s="1"/>
  <c r="R1299" i="2" s="1"/>
  <c r="N1299" i="2"/>
  <c r="M1299" i="2"/>
  <c r="K1299" i="2"/>
  <c r="I1299" i="2"/>
  <c r="E1299" i="2"/>
  <c r="P1298" i="2"/>
  <c r="O1298" i="2"/>
  <c r="Q1298" i="2" s="1"/>
  <c r="R1298" i="2" s="1"/>
  <c r="N1298" i="2"/>
  <c r="M1298" i="2"/>
  <c r="K1298" i="2"/>
  <c r="I1298" i="2"/>
  <c r="E1298" i="2"/>
  <c r="P1297" i="2"/>
  <c r="O1297" i="2"/>
  <c r="Q1297" i="2" s="1"/>
  <c r="R1297" i="2" s="1"/>
  <c r="N1297" i="2"/>
  <c r="M1297" i="2"/>
  <c r="K1297" i="2"/>
  <c r="I1297" i="2"/>
  <c r="E1297" i="2"/>
  <c r="P1296" i="2"/>
  <c r="O1296" i="2"/>
  <c r="Q1296" i="2" s="1"/>
  <c r="R1296" i="2" s="1"/>
  <c r="N1296" i="2"/>
  <c r="M1296" i="2"/>
  <c r="K1296" i="2"/>
  <c r="I1296" i="2"/>
  <c r="E1296" i="2"/>
  <c r="P1295" i="2"/>
  <c r="O1295" i="2"/>
  <c r="Q1295" i="2" s="1"/>
  <c r="R1295" i="2" s="1"/>
  <c r="N1295" i="2"/>
  <c r="M1295" i="2"/>
  <c r="K1295" i="2"/>
  <c r="I1295" i="2"/>
  <c r="E1295" i="2"/>
  <c r="P1294" i="2"/>
  <c r="O1294" i="2"/>
  <c r="Q1294" i="2" s="1"/>
  <c r="R1294" i="2" s="1"/>
  <c r="N1294" i="2"/>
  <c r="M1294" i="2"/>
  <c r="K1294" i="2"/>
  <c r="I1294" i="2"/>
  <c r="E1294" i="2"/>
  <c r="P1293" i="2"/>
  <c r="O1293" i="2"/>
  <c r="Q1293" i="2" s="1"/>
  <c r="R1293" i="2" s="1"/>
  <c r="N1293" i="2"/>
  <c r="M1293" i="2"/>
  <c r="K1293" i="2"/>
  <c r="I1293" i="2"/>
  <c r="E1293" i="2"/>
  <c r="Q1292" i="2"/>
  <c r="R1292" i="2" s="1"/>
  <c r="P1292" i="2"/>
  <c r="O1292" i="2"/>
  <c r="N1292" i="2"/>
  <c r="M1292" i="2"/>
  <c r="K1292" i="2"/>
  <c r="I1292" i="2"/>
  <c r="E1292" i="2"/>
  <c r="Q1291" i="2"/>
  <c r="R1291" i="2" s="1"/>
  <c r="P1291" i="2"/>
  <c r="O1291" i="2"/>
  <c r="N1291" i="2"/>
  <c r="M1291" i="2"/>
  <c r="K1291" i="2"/>
  <c r="I1291" i="2"/>
  <c r="E1291" i="2"/>
  <c r="P1290" i="2"/>
  <c r="O1290" i="2"/>
  <c r="Q1290" i="2" s="1"/>
  <c r="R1290" i="2" s="1"/>
  <c r="N1290" i="2"/>
  <c r="M1290" i="2"/>
  <c r="K1290" i="2"/>
  <c r="I1290" i="2"/>
  <c r="E1290" i="2"/>
  <c r="P1289" i="2"/>
  <c r="O1289" i="2"/>
  <c r="Q1289" i="2" s="1"/>
  <c r="R1289" i="2" s="1"/>
  <c r="N1289" i="2"/>
  <c r="M1289" i="2"/>
  <c r="K1289" i="2"/>
  <c r="I1289" i="2"/>
  <c r="E1289" i="2"/>
  <c r="P1288" i="2"/>
  <c r="O1288" i="2"/>
  <c r="Q1288" i="2" s="1"/>
  <c r="R1288" i="2" s="1"/>
  <c r="N1288" i="2"/>
  <c r="M1288" i="2"/>
  <c r="K1288" i="2"/>
  <c r="I1288" i="2"/>
  <c r="E1288" i="2"/>
  <c r="Q1287" i="2"/>
  <c r="R1287" i="2" s="1"/>
  <c r="P1287" i="2"/>
  <c r="O1287" i="2"/>
  <c r="N1287" i="2"/>
  <c r="M1287" i="2"/>
  <c r="K1287" i="2"/>
  <c r="I1287" i="2"/>
  <c r="E1287" i="2"/>
  <c r="P1286" i="2"/>
  <c r="O1286" i="2"/>
  <c r="Q1286" i="2" s="1"/>
  <c r="R1286" i="2" s="1"/>
  <c r="N1286" i="2"/>
  <c r="M1286" i="2"/>
  <c r="K1286" i="2"/>
  <c r="I1286" i="2"/>
  <c r="E1286" i="2"/>
  <c r="P1285" i="2"/>
  <c r="O1285" i="2"/>
  <c r="Q1285" i="2" s="1"/>
  <c r="R1285" i="2" s="1"/>
  <c r="N1285" i="2"/>
  <c r="M1285" i="2"/>
  <c r="K1285" i="2"/>
  <c r="I1285" i="2"/>
  <c r="E1285" i="2"/>
  <c r="P1284" i="2"/>
  <c r="O1284" i="2"/>
  <c r="Q1284" i="2" s="1"/>
  <c r="R1284" i="2" s="1"/>
  <c r="N1284" i="2"/>
  <c r="M1284" i="2"/>
  <c r="K1284" i="2"/>
  <c r="I1284" i="2"/>
  <c r="E1284" i="2"/>
  <c r="Q1283" i="2"/>
  <c r="R1283" i="2" s="1"/>
  <c r="P1283" i="2"/>
  <c r="O1283" i="2"/>
  <c r="N1283" i="2"/>
  <c r="M1283" i="2"/>
  <c r="K1283" i="2"/>
  <c r="I1283" i="2"/>
  <c r="E1283" i="2"/>
  <c r="P1282" i="2"/>
  <c r="O1282" i="2"/>
  <c r="Q1282" i="2" s="1"/>
  <c r="R1282" i="2" s="1"/>
  <c r="N1282" i="2"/>
  <c r="M1282" i="2"/>
  <c r="K1282" i="2"/>
  <c r="I1282" i="2"/>
  <c r="E1282" i="2"/>
  <c r="P1281" i="2"/>
  <c r="O1281" i="2"/>
  <c r="Q1281" i="2" s="1"/>
  <c r="R1281" i="2" s="1"/>
  <c r="N1281" i="2"/>
  <c r="M1281" i="2"/>
  <c r="K1281" i="2"/>
  <c r="I1281" i="2"/>
  <c r="E1281" i="2"/>
  <c r="P1280" i="2"/>
  <c r="O1280" i="2"/>
  <c r="Q1280" i="2" s="1"/>
  <c r="R1280" i="2" s="1"/>
  <c r="N1280" i="2"/>
  <c r="M1280" i="2"/>
  <c r="K1280" i="2"/>
  <c r="I1280" i="2"/>
  <c r="E1280" i="2"/>
  <c r="Q1279" i="2"/>
  <c r="R1279" i="2" s="1"/>
  <c r="P1279" i="2"/>
  <c r="O1279" i="2"/>
  <c r="N1279" i="2"/>
  <c r="M1279" i="2"/>
  <c r="K1279" i="2"/>
  <c r="I1279" i="2"/>
  <c r="E1279" i="2"/>
  <c r="R1278" i="2"/>
  <c r="P1278" i="2"/>
  <c r="O1278" i="2"/>
  <c r="Q1278" i="2" s="1"/>
  <c r="N1278" i="2"/>
  <c r="M1278" i="2"/>
  <c r="K1278" i="2"/>
  <c r="I1278" i="2"/>
  <c r="E1278" i="2"/>
  <c r="P1277" i="2"/>
  <c r="O1277" i="2"/>
  <c r="Q1277" i="2" s="1"/>
  <c r="R1277" i="2" s="1"/>
  <c r="N1277" i="2"/>
  <c r="M1277" i="2"/>
  <c r="K1277" i="2"/>
  <c r="I1277" i="2"/>
  <c r="E1277" i="2"/>
  <c r="P1276" i="2"/>
  <c r="O1276" i="2"/>
  <c r="Q1276" i="2" s="1"/>
  <c r="R1276" i="2" s="1"/>
  <c r="N1276" i="2"/>
  <c r="M1276" i="2"/>
  <c r="K1276" i="2"/>
  <c r="I1276" i="2"/>
  <c r="E1276" i="2"/>
  <c r="P1275" i="2"/>
  <c r="O1275" i="2"/>
  <c r="Q1275" i="2" s="1"/>
  <c r="R1275" i="2" s="1"/>
  <c r="N1275" i="2"/>
  <c r="M1275" i="2"/>
  <c r="K1275" i="2"/>
  <c r="I1275" i="2"/>
  <c r="E1275" i="2"/>
  <c r="P1274" i="2"/>
  <c r="O1274" i="2"/>
  <c r="Q1274" i="2" s="1"/>
  <c r="R1274" i="2" s="1"/>
  <c r="N1274" i="2"/>
  <c r="M1274" i="2"/>
  <c r="K1274" i="2"/>
  <c r="I1274" i="2"/>
  <c r="E1274" i="2"/>
  <c r="P1273" i="2"/>
  <c r="O1273" i="2"/>
  <c r="Q1273" i="2" s="1"/>
  <c r="R1273" i="2" s="1"/>
  <c r="N1273" i="2"/>
  <c r="M1273" i="2"/>
  <c r="K1273" i="2"/>
  <c r="I1273" i="2"/>
  <c r="E1273" i="2"/>
  <c r="P1272" i="2"/>
  <c r="O1272" i="2"/>
  <c r="Q1272" i="2" s="1"/>
  <c r="R1272" i="2" s="1"/>
  <c r="N1272" i="2"/>
  <c r="M1272" i="2"/>
  <c r="K1272" i="2"/>
  <c r="I1272" i="2"/>
  <c r="E1272" i="2"/>
  <c r="Q1271" i="2"/>
  <c r="R1271" i="2" s="1"/>
  <c r="P1271" i="2"/>
  <c r="O1271" i="2"/>
  <c r="N1271" i="2"/>
  <c r="M1271" i="2"/>
  <c r="K1271" i="2"/>
  <c r="I1271" i="2"/>
  <c r="E1271" i="2"/>
  <c r="P1270" i="2"/>
  <c r="O1270" i="2"/>
  <c r="Q1270" i="2" s="1"/>
  <c r="R1270" i="2" s="1"/>
  <c r="N1270" i="2"/>
  <c r="M1270" i="2"/>
  <c r="K1270" i="2"/>
  <c r="I1270" i="2"/>
  <c r="E1270" i="2"/>
  <c r="P1269" i="2"/>
  <c r="O1269" i="2"/>
  <c r="Q1269" i="2" s="1"/>
  <c r="R1269" i="2" s="1"/>
  <c r="N1269" i="2"/>
  <c r="M1269" i="2"/>
  <c r="K1269" i="2"/>
  <c r="I1269" i="2"/>
  <c r="E1269" i="2"/>
  <c r="P1268" i="2"/>
  <c r="O1268" i="2"/>
  <c r="Q1268" i="2" s="1"/>
  <c r="R1268" i="2" s="1"/>
  <c r="N1268" i="2"/>
  <c r="M1268" i="2"/>
  <c r="K1268" i="2"/>
  <c r="I1268" i="2"/>
  <c r="E1268" i="2"/>
  <c r="Q1267" i="2"/>
  <c r="R1267" i="2" s="1"/>
  <c r="P1267" i="2"/>
  <c r="O1267" i="2"/>
  <c r="N1267" i="2"/>
  <c r="M1267" i="2"/>
  <c r="K1267" i="2"/>
  <c r="I1267" i="2"/>
  <c r="E1267" i="2"/>
  <c r="R1266" i="2"/>
  <c r="P1266" i="2"/>
  <c r="O1266" i="2"/>
  <c r="Q1266" i="2" s="1"/>
  <c r="N1266" i="2"/>
  <c r="M1266" i="2"/>
  <c r="K1266" i="2"/>
  <c r="I1266" i="2"/>
  <c r="E1266" i="2"/>
  <c r="P1265" i="2"/>
  <c r="O1265" i="2"/>
  <c r="Q1265" i="2" s="1"/>
  <c r="R1265" i="2" s="1"/>
  <c r="N1265" i="2"/>
  <c r="M1265" i="2"/>
  <c r="K1265" i="2"/>
  <c r="I1265" i="2"/>
  <c r="E1265" i="2"/>
  <c r="Q1264" i="2"/>
  <c r="R1264" i="2" s="1"/>
  <c r="P1264" i="2"/>
  <c r="O1264" i="2"/>
  <c r="N1264" i="2"/>
  <c r="M1264" i="2"/>
  <c r="K1264" i="2"/>
  <c r="I1264" i="2"/>
  <c r="E1264" i="2"/>
  <c r="Q1263" i="2"/>
  <c r="R1263" i="2" s="1"/>
  <c r="P1263" i="2"/>
  <c r="O1263" i="2"/>
  <c r="N1263" i="2"/>
  <c r="M1263" i="2"/>
  <c r="K1263" i="2"/>
  <c r="I1263" i="2"/>
  <c r="E1263" i="2"/>
  <c r="P1262" i="2"/>
  <c r="O1262" i="2"/>
  <c r="Q1262" i="2" s="1"/>
  <c r="R1262" i="2" s="1"/>
  <c r="N1262" i="2"/>
  <c r="M1262" i="2"/>
  <c r="K1262" i="2"/>
  <c r="I1262" i="2"/>
  <c r="E1262" i="2"/>
  <c r="P1261" i="2"/>
  <c r="O1261" i="2"/>
  <c r="Q1261" i="2" s="1"/>
  <c r="R1261" i="2" s="1"/>
  <c r="N1261" i="2"/>
  <c r="M1261" i="2"/>
  <c r="K1261" i="2"/>
  <c r="I1261" i="2"/>
  <c r="E1261" i="2"/>
  <c r="P1260" i="2"/>
  <c r="O1260" i="2"/>
  <c r="Q1260" i="2" s="1"/>
  <c r="R1260" i="2" s="1"/>
  <c r="N1260" i="2"/>
  <c r="M1260" i="2"/>
  <c r="K1260" i="2"/>
  <c r="I1260" i="2"/>
  <c r="E1260" i="2"/>
  <c r="P1259" i="2"/>
  <c r="O1259" i="2"/>
  <c r="Q1259" i="2" s="1"/>
  <c r="R1259" i="2" s="1"/>
  <c r="N1259" i="2"/>
  <c r="M1259" i="2"/>
  <c r="K1259" i="2"/>
  <c r="I1259" i="2"/>
  <c r="E1259" i="2"/>
  <c r="P1258" i="2"/>
  <c r="O1258" i="2"/>
  <c r="Q1258" i="2" s="1"/>
  <c r="R1258" i="2" s="1"/>
  <c r="N1258" i="2"/>
  <c r="M1258" i="2"/>
  <c r="K1258" i="2"/>
  <c r="I1258" i="2"/>
  <c r="E1258" i="2"/>
  <c r="P1257" i="2"/>
  <c r="O1257" i="2"/>
  <c r="Q1257" i="2" s="1"/>
  <c r="R1257" i="2" s="1"/>
  <c r="N1257" i="2"/>
  <c r="M1257" i="2"/>
  <c r="K1257" i="2"/>
  <c r="I1257" i="2"/>
  <c r="E1257" i="2"/>
  <c r="P1256" i="2"/>
  <c r="O1256" i="2"/>
  <c r="Q1256" i="2" s="1"/>
  <c r="R1256" i="2" s="1"/>
  <c r="N1256" i="2"/>
  <c r="M1256" i="2"/>
  <c r="K1256" i="2"/>
  <c r="I1256" i="2"/>
  <c r="E1256" i="2"/>
  <c r="P1255" i="2"/>
  <c r="O1255" i="2"/>
  <c r="Q1255" i="2" s="1"/>
  <c r="R1255" i="2" s="1"/>
  <c r="N1255" i="2"/>
  <c r="M1255" i="2"/>
  <c r="K1255" i="2"/>
  <c r="I1255" i="2"/>
  <c r="E1255" i="2"/>
  <c r="P1254" i="2"/>
  <c r="O1254" i="2"/>
  <c r="Q1254" i="2" s="1"/>
  <c r="R1254" i="2" s="1"/>
  <c r="N1254" i="2"/>
  <c r="M1254" i="2"/>
  <c r="K1254" i="2"/>
  <c r="I1254" i="2"/>
  <c r="E1254" i="2"/>
  <c r="P1253" i="2"/>
  <c r="O1253" i="2"/>
  <c r="Q1253" i="2" s="1"/>
  <c r="R1253" i="2" s="1"/>
  <c r="N1253" i="2"/>
  <c r="M1253" i="2"/>
  <c r="K1253" i="2"/>
  <c r="I1253" i="2"/>
  <c r="E1253" i="2"/>
  <c r="P1252" i="2"/>
  <c r="O1252" i="2"/>
  <c r="Q1252" i="2" s="1"/>
  <c r="R1252" i="2" s="1"/>
  <c r="N1252" i="2"/>
  <c r="M1252" i="2"/>
  <c r="K1252" i="2"/>
  <c r="I1252" i="2"/>
  <c r="E1252" i="2"/>
  <c r="P1251" i="2"/>
  <c r="O1251" i="2"/>
  <c r="Q1251" i="2" s="1"/>
  <c r="R1251" i="2" s="1"/>
  <c r="N1251" i="2"/>
  <c r="M1251" i="2"/>
  <c r="K1251" i="2"/>
  <c r="I1251" i="2"/>
  <c r="E1251" i="2"/>
  <c r="R1250" i="2"/>
  <c r="P1250" i="2"/>
  <c r="O1250" i="2"/>
  <c r="Q1250" i="2" s="1"/>
  <c r="N1250" i="2"/>
  <c r="M1250" i="2"/>
  <c r="K1250" i="2"/>
  <c r="I1250" i="2"/>
  <c r="E1250" i="2"/>
  <c r="P1249" i="2"/>
  <c r="O1249" i="2"/>
  <c r="Q1249" i="2" s="1"/>
  <c r="R1249" i="2" s="1"/>
  <c r="N1249" i="2"/>
  <c r="M1249" i="2"/>
  <c r="K1249" i="2"/>
  <c r="I1249" i="2"/>
  <c r="E1249" i="2"/>
  <c r="P1248" i="2"/>
  <c r="O1248" i="2"/>
  <c r="Q1248" i="2" s="1"/>
  <c r="R1248" i="2" s="1"/>
  <c r="N1248" i="2"/>
  <c r="M1248" i="2"/>
  <c r="K1248" i="2"/>
  <c r="I1248" i="2"/>
  <c r="E1248" i="2"/>
  <c r="P1247" i="2"/>
  <c r="O1247" i="2"/>
  <c r="Q1247" i="2" s="1"/>
  <c r="R1247" i="2" s="1"/>
  <c r="N1247" i="2"/>
  <c r="M1247" i="2"/>
  <c r="K1247" i="2"/>
  <c r="I1247" i="2"/>
  <c r="E1247" i="2"/>
  <c r="R1246" i="2"/>
  <c r="P1246" i="2"/>
  <c r="O1246" i="2"/>
  <c r="Q1246" i="2" s="1"/>
  <c r="N1246" i="2"/>
  <c r="M1246" i="2"/>
  <c r="K1246" i="2"/>
  <c r="I1246" i="2"/>
  <c r="E1246" i="2"/>
  <c r="P1245" i="2"/>
  <c r="O1245" i="2"/>
  <c r="Q1245" i="2" s="1"/>
  <c r="R1245" i="2" s="1"/>
  <c r="N1245" i="2"/>
  <c r="M1245" i="2"/>
  <c r="K1245" i="2"/>
  <c r="I1245" i="2"/>
  <c r="E1245" i="2"/>
  <c r="P1244" i="2"/>
  <c r="O1244" i="2"/>
  <c r="Q1244" i="2" s="1"/>
  <c r="R1244" i="2" s="1"/>
  <c r="N1244" i="2"/>
  <c r="M1244" i="2"/>
  <c r="K1244" i="2"/>
  <c r="I1244" i="2"/>
  <c r="E1244" i="2"/>
  <c r="P1243" i="2"/>
  <c r="O1243" i="2"/>
  <c r="Q1243" i="2" s="1"/>
  <c r="R1243" i="2" s="1"/>
  <c r="N1243" i="2"/>
  <c r="M1243" i="2"/>
  <c r="K1243" i="2"/>
  <c r="I1243" i="2"/>
  <c r="E1243" i="2"/>
  <c r="P1242" i="2"/>
  <c r="O1242" i="2"/>
  <c r="Q1242" i="2" s="1"/>
  <c r="R1242" i="2" s="1"/>
  <c r="N1242" i="2"/>
  <c r="M1242" i="2"/>
  <c r="K1242" i="2"/>
  <c r="I1242" i="2"/>
  <c r="E1242" i="2"/>
  <c r="P1241" i="2"/>
  <c r="O1241" i="2"/>
  <c r="Q1241" i="2" s="1"/>
  <c r="R1241" i="2" s="1"/>
  <c r="N1241" i="2"/>
  <c r="M1241" i="2"/>
  <c r="K1241" i="2"/>
  <c r="I1241" i="2"/>
  <c r="E1241" i="2"/>
  <c r="P1240" i="2"/>
  <c r="O1240" i="2"/>
  <c r="Q1240" i="2" s="1"/>
  <c r="R1240" i="2" s="1"/>
  <c r="N1240" i="2"/>
  <c r="M1240" i="2"/>
  <c r="K1240" i="2"/>
  <c r="I1240" i="2"/>
  <c r="E1240" i="2"/>
  <c r="Q1239" i="2"/>
  <c r="R1239" i="2" s="1"/>
  <c r="P1239" i="2"/>
  <c r="O1239" i="2"/>
  <c r="N1239" i="2"/>
  <c r="M1239" i="2"/>
  <c r="K1239" i="2"/>
  <c r="I1239" i="2"/>
  <c r="E1239" i="2"/>
  <c r="P1238" i="2"/>
  <c r="O1238" i="2"/>
  <c r="Q1238" i="2" s="1"/>
  <c r="R1238" i="2" s="1"/>
  <c r="N1238" i="2"/>
  <c r="M1238" i="2"/>
  <c r="K1238" i="2"/>
  <c r="I1238" i="2"/>
  <c r="E1238" i="2"/>
  <c r="P1237" i="2"/>
  <c r="O1237" i="2"/>
  <c r="Q1237" i="2" s="1"/>
  <c r="R1237" i="2" s="1"/>
  <c r="N1237" i="2"/>
  <c r="M1237" i="2"/>
  <c r="K1237" i="2"/>
  <c r="I1237" i="2"/>
  <c r="E1237" i="2"/>
  <c r="P1236" i="2"/>
  <c r="O1236" i="2"/>
  <c r="Q1236" i="2" s="1"/>
  <c r="R1236" i="2" s="1"/>
  <c r="N1236" i="2"/>
  <c r="M1236" i="2"/>
  <c r="K1236" i="2"/>
  <c r="I1236" i="2"/>
  <c r="E1236" i="2"/>
  <c r="P1235" i="2"/>
  <c r="O1235" i="2"/>
  <c r="Q1235" i="2" s="1"/>
  <c r="R1235" i="2" s="1"/>
  <c r="N1235" i="2"/>
  <c r="M1235" i="2"/>
  <c r="K1235" i="2"/>
  <c r="I1235" i="2"/>
  <c r="E1235" i="2"/>
  <c r="R1234" i="2"/>
  <c r="P1234" i="2"/>
  <c r="O1234" i="2"/>
  <c r="Q1234" i="2" s="1"/>
  <c r="N1234" i="2"/>
  <c r="M1234" i="2"/>
  <c r="K1234" i="2"/>
  <c r="I1234" i="2"/>
  <c r="E1234" i="2"/>
  <c r="R1233" i="2"/>
  <c r="P1233" i="2"/>
  <c r="O1233" i="2"/>
  <c r="Q1233" i="2" s="1"/>
  <c r="N1233" i="2"/>
  <c r="M1233" i="2"/>
  <c r="K1233" i="2"/>
  <c r="I1233" i="2"/>
  <c r="E1233" i="2"/>
  <c r="P1232" i="2"/>
  <c r="O1232" i="2"/>
  <c r="Q1232" i="2" s="1"/>
  <c r="R1232" i="2" s="1"/>
  <c r="N1232" i="2"/>
  <c r="M1232" i="2"/>
  <c r="K1232" i="2"/>
  <c r="I1232" i="2"/>
  <c r="E1232" i="2"/>
  <c r="P1231" i="2"/>
  <c r="O1231" i="2"/>
  <c r="Q1231" i="2" s="1"/>
  <c r="R1231" i="2" s="1"/>
  <c r="N1231" i="2"/>
  <c r="M1231" i="2"/>
  <c r="K1231" i="2"/>
  <c r="I1231" i="2"/>
  <c r="E1231" i="2"/>
  <c r="P1230" i="2"/>
  <c r="O1230" i="2"/>
  <c r="Q1230" i="2" s="1"/>
  <c r="R1230" i="2" s="1"/>
  <c r="N1230" i="2"/>
  <c r="M1230" i="2"/>
  <c r="K1230" i="2"/>
  <c r="I1230" i="2"/>
  <c r="E1230" i="2"/>
  <c r="P1229" i="2"/>
  <c r="O1229" i="2"/>
  <c r="Q1229" i="2" s="1"/>
  <c r="R1229" i="2" s="1"/>
  <c r="N1229" i="2"/>
  <c r="M1229" i="2"/>
  <c r="K1229" i="2"/>
  <c r="I1229" i="2"/>
  <c r="E1229" i="2"/>
  <c r="P1228" i="2"/>
  <c r="O1228" i="2"/>
  <c r="Q1228" i="2" s="1"/>
  <c r="R1228" i="2" s="1"/>
  <c r="N1228" i="2"/>
  <c r="M1228" i="2"/>
  <c r="K1228" i="2"/>
  <c r="I1228" i="2"/>
  <c r="E1228" i="2"/>
  <c r="P1227" i="2"/>
  <c r="O1227" i="2"/>
  <c r="Q1227" i="2" s="1"/>
  <c r="R1227" i="2" s="1"/>
  <c r="N1227" i="2"/>
  <c r="M1227" i="2"/>
  <c r="K1227" i="2"/>
  <c r="I1227" i="2"/>
  <c r="E1227" i="2"/>
  <c r="P1226" i="2"/>
  <c r="O1226" i="2"/>
  <c r="Q1226" i="2" s="1"/>
  <c r="R1226" i="2" s="1"/>
  <c r="N1226" i="2"/>
  <c r="M1226" i="2"/>
  <c r="K1226" i="2"/>
  <c r="I1226" i="2"/>
  <c r="E1226" i="2"/>
  <c r="P1225" i="2"/>
  <c r="O1225" i="2"/>
  <c r="Q1225" i="2" s="1"/>
  <c r="R1225" i="2" s="1"/>
  <c r="N1225" i="2"/>
  <c r="M1225" i="2"/>
  <c r="K1225" i="2"/>
  <c r="I1225" i="2"/>
  <c r="E1225" i="2"/>
  <c r="P1224" i="2"/>
  <c r="O1224" i="2"/>
  <c r="Q1224" i="2" s="1"/>
  <c r="R1224" i="2" s="1"/>
  <c r="N1224" i="2"/>
  <c r="M1224" i="2"/>
  <c r="K1224" i="2"/>
  <c r="I1224" i="2"/>
  <c r="E1224" i="2"/>
  <c r="P1223" i="2"/>
  <c r="O1223" i="2"/>
  <c r="Q1223" i="2" s="1"/>
  <c r="R1223" i="2" s="1"/>
  <c r="N1223" i="2"/>
  <c r="M1223" i="2"/>
  <c r="K1223" i="2"/>
  <c r="I1223" i="2"/>
  <c r="E1223" i="2"/>
  <c r="R1222" i="2"/>
  <c r="P1222" i="2"/>
  <c r="O1222" i="2"/>
  <c r="Q1222" i="2" s="1"/>
  <c r="N1222" i="2"/>
  <c r="M1222" i="2"/>
  <c r="K1222" i="2"/>
  <c r="I1222" i="2"/>
  <c r="E1222" i="2"/>
  <c r="P1221" i="2"/>
  <c r="O1221" i="2"/>
  <c r="Q1221" i="2" s="1"/>
  <c r="R1221" i="2" s="1"/>
  <c r="N1221" i="2"/>
  <c r="M1221" i="2"/>
  <c r="K1221" i="2"/>
  <c r="I1221" i="2"/>
  <c r="E1221" i="2"/>
  <c r="P1220" i="2"/>
  <c r="O1220" i="2"/>
  <c r="Q1220" i="2" s="1"/>
  <c r="R1220" i="2" s="1"/>
  <c r="N1220" i="2"/>
  <c r="M1220" i="2"/>
  <c r="K1220" i="2"/>
  <c r="I1220" i="2"/>
  <c r="E1220" i="2"/>
  <c r="P1219" i="2"/>
  <c r="O1219" i="2"/>
  <c r="Q1219" i="2" s="1"/>
  <c r="R1219" i="2" s="1"/>
  <c r="N1219" i="2"/>
  <c r="M1219" i="2"/>
  <c r="K1219" i="2"/>
  <c r="I1219" i="2"/>
  <c r="E1219" i="2"/>
  <c r="P1218" i="2"/>
  <c r="O1218" i="2"/>
  <c r="Q1218" i="2" s="1"/>
  <c r="R1218" i="2" s="1"/>
  <c r="N1218" i="2"/>
  <c r="M1218" i="2"/>
  <c r="K1218" i="2"/>
  <c r="I1218" i="2"/>
  <c r="E1218" i="2"/>
  <c r="R1217" i="2"/>
  <c r="P1217" i="2"/>
  <c r="O1217" i="2"/>
  <c r="Q1217" i="2" s="1"/>
  <c r="N1217" i="2"/>
  <c r="M1217" i="2"/>
  <c r="K1217" i="2"/>
  <c r="I1217" i="2"/>
  <c r="E1217" i="2"/>
  <c r="P1216" i="2"/>
  <c r="O1216" i="2"/>
  <c r="Q1216" i="2" s="1"/>
  <c r="R1216" i="2" s="1"/>
  <c r="N1216" i="2"/>
  <c r="M1216" i="2"/>
  <c r="K1216" i="2"/>
  <c r="I1216" i="2"/>
  <c r="E1216" i="2"/>
  <c r="Q1215" i="2"/>
  <c r="R1215" i="2" s="1"/>
  <c r="P1215" i="2"/>
  <c r="O1215" i="2"/>
  <c r="N1215" i="2"/>
  <c r="M1215" i="2"/>
  <c r="K1215" i="2"/>
  <c r="I1215" i="2"/>
  <c r="E1215" i="2"/>
  <c r="P1214" i="2"/>
  <c r="O1214" i="2"/>
  <c r="Q1214" i="2" s="1"/>
  <c r="R1214" i="2" s="1"/>
  <c r="N1214" i="2"/>
  <c r="M1214" i="2"/>
  <c r="K1214" i="2"/>
  <c r="I1214" i="2"/>
  <c r="E1214" i="2"/>
  <c r="P1213" i="2"/>
  <c r="O1213" i="2"/>
  <c r="Q1213" i="2" s="1"/>
  <c r="R1213" i="2" s="1"/>
  <c r="N1213" i="2"/>
  <c r="M1213" i="2"/>
  <c r="K1213" i="2"/>
  <c r="I1213" i="2"/>
  <c r="E1213" i="2"/>
  <c r="P1212" i="2"/>
  <c r="O1212" i="2"/>
  <c r="Q1212" i="2" s="1"/>
  <c r="R1212" i="2" s="1"/>
  <c r="N1212" i="2"/>
  <c r="M1212" i="2"/>
  <c r="K1212" i="2"/>
  <c r="I1212" i="2"/>
  <c r="E1212" i="2"/>
  <c r="P1211" i="2"/>
  <c r="O1211" i="2"/>
  <c r="Q1211" i="2" s="1"/>
  <c r="R1211" i="2" s="1"/>
  <c r="N1211" i="2"/>
  <c r="M1211" i="2"/>
  <c r="K1211" i="2"/>
  <c r="I1211" i="2"/>
  <c r="E1211" i="2"/>
  <c r="R1210" i="2"/>
  <c r="P1210" i="2"/>
  <c r="O1210" i="2"/>
  <c r="Q1210" i="2" s="1"/>
  <c r="N1210" i="2"/>
  <c r="M1210" i="2"/>
  <c r="K1210" i="2"/>
  <c r="I1210" i="2"/>
  <c r="E1210" i="2"/>
  <c r="R1209" i="2"/>
  <c r="P1209" i="2"/>
  <c r="O1209" i="2"/>
  <c r="Q1209" i="2" s="1"/>
  <c r="N1209" i="2"/>
  <c r="M1209" i="2"/>
  <c r="K1209" i="2"/>
  <c r="I1209" i="2"/>
  <c r="E1209" i="2"/>
  <c r="P1208" i="2"/>
  <c r="O1208" i="2"/>
  <c r="Q1208" i="2" s="1"/>
  <c r="R1208" i="2" s="1"/>
  <c r="N1208" i="2"/>
  <c r="M1208" i="2"/>
  <c r="K1208" i="2"/>
  <c r="I1208" i="2"/>
  <c r="E1208" i="2"/>
  <c r="P1207" i="2"/>
  <c r="O1207" i="2"/>
  <c r="Q1207" i="2" s="1"/>
  <c r="R1207" i="2" s="1"/>
  <c r="N1207" i="2"/>
  <c r="M1207" i="2"/>
  <c r="K1207" i="2"/>
  <c r="I1207" i="2"/>
  <c r="E1207" i="2"/>
  <c r="P1206" i="2"/>
  <c r="O1206" i="2"/>
  <c r="Q1206" i="2" s="1"/>
  <c r="R1206" i="2" s="1"/>
  <c r="N1206" i="2"/>
  <c r="M1206" i="2"/>
  <c r="K1206" i="2"/>
  <c r="I1206" i="2"/>
  <c r="E1206" i="2"/>
  <c r="P1205" i="2"/>
  <c r="O1205" i="2"/>
  <c r="Q1205" i="2" s="1"/>
  <c r="R1205" i="2" s="1"/>
  <c r="N1205" i="2"/>
  <c r="M1205" i="2"/>
  <c r="K1205" i="2"/>
  <c r="I1205" i="2"/>
  <c r="E1205" i="2"/>
  <c r="P1204" i="2"/>
  <c r="O1204" i="2"/>
  <c r="Q1204" i="2" s="1"/>
  <c r="R1204" i="2" s="1"/>
  <c r="N1204" i="2"/>
  <c r="M1204" i="2"/>
  <c r="K1204" i="2"/>
  <c r="I1204" i="2"/>
  <c r="E1204" i="2"/>
  <c r="P1203" i="2"/>
  <c r="O1203" i="2"/>
  <c r="Q1203" i="2" s="1"/>
  <c r="R1203" i="2" s="1"/>
  <c r="N1203" i="2"/>
  <c r="M1203" i="2"/>
  <c r="K1203" i="2"/>
  <c r="I1203" i="2"/>
  <c r="E1203" i="2"/>
  <c r="P1202" i="2"/>
  <c r="O1202" i="2"/>
  <c r="Q1202" i="2" s="1"/>
  <c r="R1202" i="2" s="1"/>
  <c r="N1202" i="2"/>
  <c r="M1202" i="2"/>
  <c r="K1202" i="2"/>
  <c r="I1202" i="2"/>
  <c r="E1202" i="2"/>
  <c r="Q1201" i="2"/>
  <c r="R1201" i="2" s="1"/>
  <c r="P1201" i="2"/>
  <c r="O1201" i="2"/>
  <c r="N1201" i="2"/>
  <c r="M1201" i="2"/>
  <c r="K1201" i="2"/>
  <c r="I1201" i="2"/>
  <c r="E1201" i="2"/>
  <c r="P1200" i="2"/>
  <c r="O1200" i="2"/>
  <c r="Q1200" i="2" s="1"/>
  <c r="R1200" i="2" s="1"/>
  <c r="N1200" i="2"/>
  <c r="M1200" i="2"/>
  <c r="K1200" i="2"/>
  <c r="I1200" i="2"/>
  <c r="E1200" i="2"/>
  <c r="P1199" i="2"/>
  <c r="O1199" i="2"/>
  <c r="Q1199" i="2" s="1"/>
  <c r="R1199" i="2" s="1"/>
  <c r="N1199" i="2"/>
  <c r="M1199" i="2"/>
  <c r="K1199" i="2"/>
  <c r="I1199" i="2"/>
  <c r="E1199" i="2"/>
  <c r="P1198" i="2"/>
  <c r="O1198" i="2"/>
  <c r="Q1198" i="2" s="1"/>
  <c r="R1198" i="2" s="1"/>
  <c r="N1198" i="2"/>
  <c r="M1198" i="2"/>
  <c r="K1198" i="2"/>
  <c r="I1198" i="2"/>
  <c r="E1198" i="2"/>
  <c r="P1197" i="2"/>
  <c r="O1197" i="2"/>
  <c r="Q1197" i="2" s="1"/>
  <c r="R1197" i="2" s="1"/>
  <c r="N1197" i="2"/>
  <c r="M1197" i="2"/>
  <c r="K1197" i="2"/>
  <c r="I1197" i="2"/>
  <c r="E1197" i="2"/>
  <c r="P1196" i="2"/>
  <c r="O1196" i="2"/>
  <c r="Q1196" i="2" s="1"/>
  <c r="R1196" i="2" s="1"/>
  <c r="N1196" i="2"/>
  <c r="M1196" i="2"/>
  <c r="K1196" i="2"/>
  <c r="I1196" i="2"/>
  <c r="E1196" i="2"/>
  <c r="P1195" i="2"/>
  <c r="O1195" i="2"/>
  <c r="Q1195" i="2" s="1"/>
  <c r="R1195" i="2" s="1"/>
  <c r="N1195" i="2"/>
  <c r="M1195" i="2"/>
  <c r="K1195" i="2"/>
  <c r="I1195" i="2"/>
  <c r="E1195" i="2"/>
  <c r="P1194" i="2"/>
  <c r="O1194" i="2"/>
  <c r="Q1194" i="2" s="1"/>
  <c r="R1194" i="2" s="1"/>
  <c r="N1194" i="2"/>
  <c r="M1194" i="2"/>
  <c r="K1194" i="2"/>
  <c r="I1194" i="2"/>
  <c r="E1194" i="2"/>
  <c r="Q1193" i="2"/>
  <c r="R1193" i="2" s="1"/>
  <c r="P1193" i="2"/>
  <c r="O1193" i="2"/>
  <c r="N1193" i="2"/>
  <c r="M1193" i="2"/>
  <c r="K1193" i="2"/>
  <c r="I1193" i="2"/>
  <c r="E1193" i="2"/>
  <c r="P1192" i="2"/>
  <c r="O1192" i="2"/>
  <c r="Q1192" i="2" s="1"/>
  <c r="R1192" i="2" s="1"/>
  <c r="N1192" i="2"/>
  <c r="M1192" i="2"/>
  <c r="K1192" i="2"/>
  <c r="I1192" i="2"/>
  <c r="E1192" i="2"/>
  <c r="P1191" i="2"/>
  <c r="O1191" i="2"/>
  <c r="Q1191" i="2" s="1"/>
  <c r="R1191" i="2" s="1"/>
  <c r="N1191" i="2"/>
  <c r="M1191" i="2"/>
  <c r="K1191" i="2"/>
  <c r="I1191" i="2"/>
  <c r="E1191" i="2"/>
  <c r="P1190" i="2"/>
  <c r="O1190" i="2"/>
  <c r="Q1190" i="2" s="1"/>
  <c r="R1190" i="2" s="1"/>
  <c r="N1190" i="2"/>
  <c r="M1190" i="2"/>
  <c r="K1190" i="2"/>
  <c r="I1190" i="2"/>
  <c r="E1190" i="2"/>
  <c r="Q1189" i="2"/>
  <c r="R1189" i="2" s="1"/>
  <c r="P1189" i="2"/>
  <c r="O1189" i="2"/>
  <c r="N1189" i="2"/>
  <c r="M1189" i="2"/>
  <c r="K1189" i="2"/>
  <c r="I1189" i="2"/>
  <c r="E1189" i="2"/>
  <c r="P1188" i="2"/>
  <c r="O1188" i="2"/>
  <c r="Q1188" i="2" s="1"/>
  <c r="R1188" i="2" s="1"/>
  <c r="N1188" i="2"/>
  <c r="M1188" i="2"/>
  <c r="K1188" i="2"/>
  <c r="I1188" i="2"/>
  <c r="E1188" i="2"/>
  <c r="P1187" i="2"/>
  <c r="O1187" i="2"/>
  <c r="Q1187" i="2" s="1"/>
  <c r="R1187" i="2" s="1"/>
  <c r="N1187" i="2"/>
  <c r="M1187" i="2"/>
  <c r="K1187" i="2"/>
  <c r="I1187" i="2"/>
  <c r="E1187" i="2"/>
  <c r="P1186" i="2"/>
  <c r="O1186" i="2"/>
  <c r="Q1186" i="2" s="1"/>
  <c r="R1186" i="2" s="1"/>
  <c r="N1186" i="2"/>
  <c r="M1186" i="2"/>
  <c r="K1186" i="2"/>
  <c r="I1186" i="2"/>
  <c r="E1186" i="2"/>
  <c r="Q1185" i="2"/>
  <c r="R1185" i="2" s="1"/>
  <c r="P1185" i="2"/>
  <c r="O1185" i="2"/>
  <c r="N1185" i="2"/>
  <c r="M1185" i="2"/>
  <c r="K1185" i="2"/>
  <c r="I1185" i="2"/>
  <c r="E1185" i="2"/>
  <c r="P1184" i="2"/>
  <c r="O1184" i="2"/>
  <c r="Q1184" i="2" s="1"/>
  <c r="R1184" i="2" s="1"/>
  <c r="N1184" i="2"/>
  <c r="M1184" i="2"/>
  <c r="K1184" i="2"/>
  <c r="I1184" i="2"/>
  <c r="E1184" i="2"/>
  <c r="P1183" i="2"/>
  <c r="O1183" i="2"/>
  <c r="Q1183" i="2" s="1"/>
  <c r="R1183" i="2" s="1"/>
  <c r="N1183" i="2"/>
  <c r="M1183" i="2"/>
  <c r="K1183" i="2"/>
  <c r="I1183" i="2"/>
  <c r="E1183" i="2"/>
  <c r="P1182" i="2"/>
  <c r="O1182" i="2"/>
  <c r="Q1182" i="2" s="1"/>
  <c r="R1182" i="2" s="1"/>
  <c r="N1182" i="2"/>
  <c r="M1182" i="2"/>
  <c r="K1182" i="2"/>
  <c r="I1182" i="2"/>
  <c r="E1182" i="2"/>
  <c r="Q1181" i="2"/>
  <c r="R1181" i="2" s="1"/>
  <c r="P1181" i="2"/>
  <c r="O1181" i="2"/>
  <c r="N1181" i="2"/>
  <c r="M1181" i="2"/>
  <c r="K1181" i="2"/>
  <c r="I1181" i="2"/>
  <c r="E1181" i="2"/>
  <c r="P1180" i="2"/>
  <c r="O1180" i="2"/>
  <c r="Q1180" i="2" s="1"/>
  <c r="R1180" i="2" s="1"/>
  <c r="N1180" i="2"/>
  <c r="M1180" i="2"/>
  <c r="K1180" i="2"/>
  <c r="I1180" i="2"/>
  <c r="E1180" i="2"/>
  <c r="P1179" i="2"/>
  <c r="O1179" i="2"/>
  <c r="Q1179" i="2" s="1"/>
  <c r="R1179" i="2" s="1"/>
  <c r="N1179" i="2"/>
  <c r="M1179" i="2"/>
  <c r="K1179" i="2"/>
  <c r="I1179" i="2"/>
  <c r="E1179" i="2"/>
  <c r="P1178" i="2"/>
  <c r="O1178" i="2"/>
  <c r="Q1178" i="2" s="1"/>
  <c r="R1178" i="2" s="1"/>
  <c r="N1178" i="2"/>
  <c r="M1178" i="2"/>
  <c r="K1178" i="2"/>
  <c r="I1178" i="2"/>
  <c r="E1178" i="2"/>
  <c r="Q1177" i="2"/>
  <c r="R1177" i="2" s="1"/>
  <c r="P1177" i="2"/>
  <c r="O1177" i="2"/>
  <c r="N1177" i="2"/>
  <c r="M1177" i="2"/>
  <c r="K1177" i="2"/>
  <c r="I1177" i="2"/>
  <c r="E1177" i="2"/>
  <c r="P1176" i="2"/>
  <c r="O1176" i="2"/>
  <c r="Q1176" i="2" s="1"/>
  <c r="R1176" i="2" s="1"/>
  <c r="N1176" i="2"/>
  <c r="M1176" i="2"/>
  <c r="K1176" i="2"/>
  <c r="I1176" i="2"/>
  <c r="E1176" i="2"/>
  <c r="P1175" i="2"/>
  <c r="O1175" i="2"/>
  <c r="Q1175" i="2" s="1"/>
  <c r="R1175" i="2" s="1"/>
  <c r="N1175" i="2"/>
  <c r="M1175" i="2"/>
  <c r="K1175" i="2"/>
  <c r="I1175" i="2"/>
  <c r="E1175" i="2"/>
  <c r="P1174" i="2"/>
  <c r="O1174" i="2"/>
  <c r="Q1174" i="2" s="1"/>
  <c r="R1174" i="2" s="1"/>
  <c r="N1174" i="2"/>
  <c r="M1174" i="2"/>
  <c r="K1174" i="2"/>
  <c r="I1174" i="2"/>
  <c r="E1174" i="2"/>
  <c r="Q1173" i="2"/>
  <c r="R1173" i="2" s="1"/>
  <c r="P1173" i="2"/>
  <c r="O1173" i="2"/>
  <c r="N1173" i="2"/>
  <c r="M1173" i="2"/>
  <c r="K1173" i="2"/>
  <c r="I1173" i="2"/>
  <c r="E1173" i="2"/>
  <c r="P1172" i="2"/>
  <c r="O1172" i="2"/>
  <c r="Q1172" i="2" s="1"/>
  <c r="R1172" i="2" s="1"/>
  <c r="N1172" i="2"/>
  <c r="M1172" i="2"/>
  <c r="K1172" i="2"/>
  <c r="I1172" i="2"/>
  <c r="E1172" i="2"/>
  <c r="P1171" i="2"/>
  <c r="O1171" i="2"/>
  <c r="Q1171" i="2" s="1"/>
  <c r="R1171" i="2" s="1"/>
  <c r="N1171" i="2"/>
  <c r="M1171" i="2"/>
  <c r="K1171" i="2"/>
  <c r="I1171" i="2"/>
  <c r="E1171" i="2"/>
  <c r="P1170" i="2"/>
  <c r="O1170" i="2"/>
  <c r="Q1170" i="2" s="1"/>
  <c r="R1170" i="2" s="1"/>
  <c r="N1170" i="2"/>
  <c r="M1170" i="2"/>
  <c r="K1170" i="2"/>
  <c r="I1170" i="2"/>
  <c r="E1170" i="2"/>
  <c r="P1169" i="2"/>
  <c r="O1169" i="2"/>
  <c r="Q1169" i="2" s="1"/>
  <c r="R1169" i="2" s="1"/>
  <c r="N1169" i="2"/>
  <c r="M1169" i="2"/>
  <c r="K1169" i="2"/>
  <c r="I1169" i="2"/>
  <c r="E1169" i="2"/>
  <c r="P1168" i="2"/>
  <c r="O1168" i="2"/>
  <c r="Q1168" i="2" s="1"/>
  <c r="R1168" i="2" s="1"/>
  <c r="N1168" i="2"/>
  <c r="M1168" i="2"/>
  <c r="K1168" i="2"/>
  <c r="I1168" i="2"/>
  <c r="E1168" i="2"/>
  <c r="P1167" i="2"/>
  <c r="O1167" i="2"/>
  <c r="Q1167" i="2" s="1"/>
  <c r="R1167" i="2" s="1"/>
  <c r="N1167" i="2"/>
  <c r="M1167" i="2"/>
  <c r="K1167" i="2"/>
  <c r="I1167" i="2"/>
  <c r="E1167" i="2"/>
  <c r="P1166" i="2"/>
  <c r="O1166" i="2"/>
  <c r="Q1166" i="2" s="1"/>
  <c r="R1166" i="2" s="1"/>
  <c r="N1166" i="2"/>
  <c r="M1166" i="2"/>
  <c r="K1166" i="2"/>
  <c r="I1166" i="2"/>
  <c r="E1166" i="2"/>
  <c r="P1165" i="2"/>
  <c r="O1165" i="2"/>
  <c r="Q1165" i="2" s="1"/>
  <c r="R1165" i="2" s="1"/>
  <c r="N1165" i="2"/>
  <c r="M1165" i="2"/>
  <c r="K1165" i="2"/>
  <c r="I1165" i="2"/>
  <c r="E1165" i="2"/>
  <c r="P1164" i="2"/>
  <c r="O1164" i="2"/>
  <c r="Q1164" i="2" s="1"/>
  <c r="R1164" i="2" s="1"/>
  <c r="N1164" i="2"/>
  <c r="M1164" i="2"/>
  <c r="K1164" i="2"/>
  <c r="I1164" i="2"/>
  <c r="E1164" i="2"/>
  <c r="P1163" i="2"/>
  <c r="O1163" i="2"/>
  <c r="Q1163" i="2" s="1"/>
  <c r="R1163" i="2" s="1"/>
  <c r="N1163" i="2"/>
  <c r="M1163" i="2"/>
  <c r="K1163" i="2"/>
  <c r="I1163" i="2"/>
  <c r="E1163" i="2"/>
  <c r="P1162" i="2"/>
  <c r="O1162" i="2"/>
  <c r="Q1162" i="2" s="1"/>
  <c r="R1162" i="2" s="1"/>
  <c r="N1162" i="2"/>
  <c r="M1162" i="2"/>
  <c r="K1162" i="2"/>
  <c r="I1162" i="2"/>
  <c r="E1162" i="2"/>
  <c r="P1161" i="2"/>
  <c r="O1161" i="2"/>
  <c r="Q1161" i="2" s="1"/>
  <c r="R1161" i="2" s="1"/>
  <c r="N1161" i="2"/>
  <c r="M1161" i="2"/>
  <c r="K1161" i="2"/>
  <c r="I1161" i="2"/>
  <c r="E1161" i="2"/>
  <c r="P1160" i="2"/>
  <c r="O1160" i="2"/>
  <c r="Q1160" i="2" s="1"/>
  <c r="R1160" i="2" s="1"/>
  <c r="N1160" i="2"/>
  <c r="M1160" i="2"/>
  <c r="K1160" i="2"/>
  <c r="I1160" i="2"/>
  <c r="E1160" i="2"/>
  <c r="P1159" i="2"/>
  <c r="O1159" i="2"/>
  <c r="Q1159" i="2" s="1"/>
  <c r="R1159" i="2" s="1"/>
  <c r="N1159" i="2"/>
  <c r="M1159" i="2"/>
  <c r="K1159" i="2"/>
  <c r="I1159" i="2"/>
  <c r="E1159" i="2"/>
  <c r="P1158" i="2"/>
  <c r="O1158" i="2"/>
  <c r="Q1158" i="2" s="1"/>
  <c r="R1158" i="2" s="1"/>
  <c r="N1158" i="2"/>
  <c r="M1158" i="2"/>
  <c r="K1158" i="2"/>
  <c r="I1158" i="2"/>
  <c r="E1158" i="2"/>
  <c r="Q1157" i="2"/>
  <c r="R1157" i="2" s="1"/>
  <c r="P1157" i="2"/>
  <c r="O1157" i="2"/>
  <c r="N1157" i="2"/>
  <c r="M1157" i="2"/>
  <c r="K1157" i="2"/>
  <c r="I1157" i="2"/>
  <c r="E1157" i="2"/>
  <c r="P1156" i="2"/>
  <c r="O1156" i="2"/>
  <c r="Q1156" i="2" s="1"/>
  <c r="R1156" i="2" s="1"/>
  <c r="N1156" i="2"/>
  <c r="M1156" i="2"/>
  <c r="K1156" i="2"/>
  <c r="I1156" i="2"/>
  <c r="E1156" i="2"/>
  <c r="P1155" i="2"/>
  <c r="O1155" i="2"/>
  <c r="Q1155" i="2" s="1"/>
  <c r="R1155" i="2" s="1"/>
  <c r="N1155" i="2"/>
  <c r="M1155" i="2"/>
  <c r="K1155" i="2"/>
  <c r="I1155" i="2"/>
  <c r="E1155" i="2"/>
  <c r="P1154" i="2"/>
  <c r="O1154" i="2"/>
  <c r="Q1154" i="2" s="1"/>
  <c r="R1154" i="2" s="1"/>
  <c r="N1154" i="2"/>
  <c r="M1154" i="2"/>
  <c r="K1154" i="2"/>
  <c r="I1154" i="2"/>
  <c r="E1154" i="2"/>
  <c r="P1153" i="2"/>
  <c r="O1153" i="2"/>
  <c r="Q1153" i="2" s="1"/>
  <c r="R1153" i="2" s="1"/>
  <c r="N1153" i="2"/>
  <c r="M1153" i="2"/>
  <c r="K1153" i="2"/>
  <c r="I1153" i="2"/>
  <c r="E1153" i="2"/>
  <c r="P1152" i="2"/>
  <c r="O1152" i="2"/>
  <c r="Q1152" i="2" s="1"/>
  <c r="R1152" i="2" s="1"/>
  <c r="N1152" i="2"/>
  <c r="M1152" i="2"/>
  <c r="K1152" i="2"/>
  <c r="I1152" i="2"/>
  <c r="E1152" i="2"/>
  <c r="P1151" i="2"/>
  <c r="O1151" i="2"/>
  <c r="Q1151" i="2" s="1"/>
  <c r="R1151" i="2" s="1"/>
  <c r="N1151" i="2"/>
  <c r="M1151" i="2"/>
  <c r="K1151" i="2"/>
  <c r="I1151" i="2"/>
  <c r="E1151" i="2"/>
  <c r="P1150" i="2"/>
  <c r="O1150" i="2"/>
  <c r="Q1150" i="2" s="1"/>
  <c r="R1150" i="2" s="1"/>
  <c r="N1150" i="2"/>
  <c r="M1150" i="2"/>
  <c r="K1150" i="2"/>
  <c r="I1150" i="2"/>
  <c r="E1150" i="2"/>
  <c r="Q1149" i="2"/>
  <c r="R1149" i="2" s="1"/>
  <c r="P1149" i="2"/>
  <c r="O1149" i="2"/>
  <c r="N1149" i="2"/>
  <c r="M1149" i="2"/>
  <c r="K1149" i="2"/>
  <c r="I1149" i="2"/>
  <c r="E1149" i="2"/>
  <c r="P1148" i="2"/>
  <c r="O1148" i="2"/>
  <c r="Q1148" i="2" s="1"/>
  <c r="R1148" i="2" s="1"/>
  <c r="N1148" i="2"/>
  <c r="M1148" i="2"/>
  <c r="K1148" i="2"/>
  <c r="I1148" i="2"/>
  <c r="E1148" i="2"/>
  <c r="P1147" i="2"/>
  <c r="O1147" i="2"/>
  <c r="Q1147" i="2" s="1"/>
  <c r="R1147" i="2" s="1"/>
  <c r="N1147" i="2"/>
  <c r="M1147" i="2"/>
  <c r="K1147" i="2"/>
  <c r="I1147" i="2"/>
  <c r="E1147" i="2"/>
  <c r="P1146" i="2"/>
  <c r="O1146" i="2"/>
  <c r="Q1146" i="2" s="1"/>
  <c r="R1146" i="2" s="1"/>
  <c r="N1146" i="2"/>
  <c r="M1146" i="2"/>
  <c r="K1146" i="2"/>
  <c r="I1146" i="2"/>
  <c r="E1146" i="2"/>
  <c r="P1145" i="2"/>
  <c r="O1145" i="2"/>
  <c r="Q1145" i="2" s="1"/>
  <c r="R1145" i="2" s="1"/>
  <c r="N1145" i="2"/>
  <c r="M1145" i="2"/>
  <c r="K1145" i="2"/>
  <c r="I1145" i="2"/>
  <c r="E1145" i="2"/>
  <c r="P1144" i="2"/>
  <c r="O1144" i="2"/>
  <c r="Q1144" i="2" s="1"/>
  <c r="R1144" i="2" s="1"/>
  <c r="N1144" i="2"/>
  <c r="M1144" i="2"/>
  <c r="K1144" i="2"/>
  <c r="I1144" i="2"/>
  <c r="E1144" i="2"/>
  <c r="P1143" i="2"/>
  <c r="O1143" i="2"/>
  <c r="Q1143" i="2" s="1"/>
  <c r="R1143" i="2" s="1"/>
  <c r="N1143" i="2"/>
  <c r="M1143" i="2"/>
  <c r="K1143" i="2"/>
  <c r="I1143" i="2"/>
  <c r="E1143" i="2"/>
  <c r="P1142" i="2"/>
  <c r="O1142" i="2"/>
  <c r="Q1142" i="2" s="1"/>
  <c r="R1142" i="2" s="1"/>
  <c r="N1142" i="2"/>
  <c r="M1142" i="2"/>
  <c r="K1142" i="2"/>
  <c r="I1142" i="2"/>
  <c r="E1142" i="2"/>
  <c r="Q1141" i="2"/>
  <c r="R1141" i="2" s="1"/>
  <c r="P1141" i="2"/>
  <c r="O1141" i="2"/>
  <c r="N1141" i="2"/>
  <c r="M1141" i="2"/>
  <c r="K1141" i="2"/>
  <c r="I1141" i="2"/>
  <c r="E1141" i="2"/>
  <c r="P1140" i="2"/>
  <c r="O1140" i="2"/>
  <c r="Q1140" i="2" s="1"/>
  <c r="R1140" i="2" s="1"/>
  <c r="N1140" i="2"/>
  <c r="M1140" i="2"/>
  <c r="K1140" i="2"/>
  <c r="I1140" i="2"/>
  <c r="E1140" i="2"/>
  <c r="P1139" i="2"/>
  <c r="O1139" i="2"/>
  <c r="Q1139" i="2" s="1"/>
  <c r="R1139" i="2" s="1"/>
  <c r="N1139" i="2"/>
  <c r="M1139" i="2"/>
  <c r="K1139" i="2"/>
  <c r="I1139" i="2"/>
  <c r="E1139" i="2"/>
  <c r="P1138" i="2"/>
  <c r="O1138" i="2"/>
  <c r="Q1138" i="2" s="1"/>
  <c r="R1138" i="2" s="1"/>
  <c r="N1138" i="2"/>
  <c r="M1138" i="2"/>
  <c r="K1138" i="2"/>
  <c r="I1138" i="2"/>
  <c r="E1138" i="2"/>
  <c r="Q1137" i="2"/>
  <c r="R1137" i="2" s="1"/>
  <c r="P1137" i="2"/>
  <c r="O1137" i="2"/>
  <c r="N1137" i="2"/>
  <c r="M1137" i="2"/>
  <c r="K1137" i="2"/>
  <c r="I1137" i="2"/>
  <c r="E1137" i="2"/>
  <c r="P1136" i="2"/>
  <c r="O1136" i="2"/>
  <c r="Q1136" i="2" s="1"/>
  <c r="R1136" i="2" s="1"/>
  <c r="N1136" i="2"/>
  <c r="M1136" i="2"/>
  <c r="K1136" i="2"/>
  <c r="I1136" i="2"/>
  <c r="E1136" i="2"/>
  <c r="P1135" i="2"/>
  <c r="O1135" i="2"/>
  <c r="Q1135" i="2" s="1"/>
  <c r="R1135" i="2" s="1"/>
  <c r="N1135" i="2"/>
  <c r="M1135" i="2"/>
  <c r="K1135" i="2"/>
  <c r="I1135" i="2"/>
  <c r="E1135" i="2"/>
  <c r="P1134" i="2"/>
  <c r="O1134" i="2"/>
  <c r="Q1134" i="2" s="1"/>
  <c r="R1134" i="2" s="1"/>
  <c r="N1134" i="2"/>
  <c r="M1134" i="2"/>
  <c r="K1134" i="2"/>
  <c r="I1134" i="2"/>
  <c r="E1134" i="2"/>
  <c r="P1133" i="2"/>
  <c r="O1133" i="2"/>
  <c r="Q1133" i="2" s="1"/>
  <c r="R1133" i="2" s="1"/>
  <c r="N1133" i="2"/>
  <c r="M1133" i="2"/>
  <c r="K1133" i="2"/>
  <c r="I1133" i="2"/>
  <c r="E1133" i="2"/>
  <c r="P1132" i="2"/>
  <c r="O1132" i="2"/>
  <c r="Q1132" i="2" s="1"/>
  <c r="R1132" i="2" s="1"/>
  <c r="N1132" i="2"/>
  <c r="M1132" i="2"/>
  <c r="K1132" i="2"/>
  <c r="I1132" i="2"/>
  <c r="E1132" i="2"/>
  <c r="P1131" i="2"/>
  <c r="O1131" i="2"/>
  <c r="Q1131" i="2" s="1"/>
  <c r="R1131" i="2" s="1"/>
  <c r="N1131" i="2"/>
  <c r="M1131" i="2"/>
  <c r="K1131" i="2"/>
  <c r="I1131" i="2"/>
  <c r="E1131" i="2"/>
  <c r="P1130" i="2"/>
  <c r="O1130" i="2"/>
  <c r="Q1130" i="2" s="1"/>
  <c r="R1130" i="2" s="1"/>
  <c r="N1130" i="2"/>
  <c r="M1130" i="2"/>
  <c r="K1130" i="2"/>
  <c r="I1130" i="2"/>
  <c r="E1130" i="2"/>
  <c r="P1129" i="2"/>
  <c r="O1129" i="2"/>
  <c r="Q1129" i="2" s="1"/>
  <c r="R1129" i="2" s="1"/>
  <c r="N1129" i="2"/>
  <c r="M1129" i="2"/>
  <c r="K1129" i="2"/>
  <c r="I1129" i="2"/>
  <c r="E1129" i="2"/>
  <c r="P1128" i="2"/>
  <c r="O1128" i="2"/>
  <c r="Q1128" i="2" s="1"/>
  <c r="R1128" i="2" s="1"/>
  <c r="N1128" i="2"/>
  <c r="M1128" i="2"/>
  <c r="K1128" i="2"/>
  <c r="I1128" i="2"/>
  <c r="E1128" i="2"/>
  <c r="P1127" i="2"/>
  <c r="O1127" i="2"/>
  <c r="Q1127" i="2" s="1"/>
  <c r="R1127" i="2" s="1"/>
  <c r="N1127" i="2"/>
  <c r="M1127" i="2"/>
  <c r="K1127" i="2"/>
  <c r="I1127" i="2"/>
  <c r="E1127" i="2"/>
  <c r="P1126" i="2"/>
  <c r="O1126" i="2"/>
  <c r="Q1126" i="2" s="1"/>
  <c r="R1126" i="2" s="1"/>
  <c r="N1126" i="2"/>
  <c r="M1126" i="2"/>
  <c r="K1126" i="2"/>
  <c r="I1126" i="2"/>
  <c r="E1126" i="2"/>
  <c r="P1125" i="2"/>
  <c r="O1125" i="2"/>
  <c r="Q1125" i="2" s="1"/>
  <c r="R1125" i="2" s="1"/>
  <c r="N1125" i="2"/>
  <c r="M1125" i="2"/>
  <c r="K1125" i="2"/>
  <c r="I1125" i="2"/>
  <c r="E1125" i="2"/>
  <c r="P1124" i="2"/>
  <c r="O1124" i="2"/>
  <c r="Q1124" i="2" s="1"/>
  <c r="R1124" i="2" s="1"/>
  <c r="N1124" i="2"/>
  <c r="M1124" i="2"/>
  <c r="K1124" i="2"/>
  <c r="I1124" i="2"/>
  <c r="E1124" i="2"/>
  <c r="P1123" i="2"/>
  <c r="O1123" i="2"/>
  <c r="Q1123" i="2" s="1"/>
  <c r="R1123" i="2" s="1"/>
  <c r="N1123" i="2"/>
  <c r="M1123" i="2"/>
  <c r="K1123" i="2"/>
  <c r="I1123" i="2"/>
  <c r="E1123" i="2"/>
  <c r="P1122" i="2"/>
  <c r="O1122" i="2"/>
  <c r="Q1122" i="2" s="1"/>
  <c r="R1122" i="2" s="1"/>
  <c r="N1122" i="2"/>
  <c r="M1122" i="2"/>
  <c r="K1122" i="2"/>
  <c r="I1122" i="2"/>
  <c r="E1122" i="2"/>
  <c r="P1120" i="2"/>
  <c r="O1120" i="2"/>
  <c r="Q1120" i="2" s="1"/>
  <c r="R1120" i="2" s="1"/>
  <c r="N1120" i="2"/>
  <c r="M1120" i="2"/>
  <c r="K1120" i="2"/>
  <c r="I1120" i="2"/>
  <c r="E1120" i="2"/>
  <c r="Q1119" i="2"/>
  <c r="R1119" i="2" s="1"/>
  <c r="P1119" i="2"/>
  <c r="O1119" i="2"/>
  <c r="N1119" i="2"/>
  <c r="M1119" i="2"/>
  <c r="K1119" i="2"/>
  <c r="I1119" i="2"/>
  <c r="E1119" i="2"/>
  <c r="P1118" i="2"/>
  <c r="O1118" i="2"/>
  <c r="Q1118" i="2" s="1"/>
  <c r="R1118" i="2" s="1"/>
  <c r="N1118" i="2"/>
  <c r="M1118" i="2"/>
  <c r="K1118" i="2"/>
  <c r="I1118" i="2"/>
  <c r="E1118" i="2"/>
  <c r="P1117" i="2"/>
  <c r="O1117" i="2"/>
  <c r="Q1117" i="2" s="1"/>
  <c r="R1117" i="2" s="1"/>
  <c r="N1117" i="2"/>
  <c r="M1117" i="2"/>
  <c r="K1117" i="2"/>
  <c r="I1117" i="2"/>
  <c r="E1117" i="2"/>
  <c r="P1116" i="2"/>
  <c r="O1116" i="2"/>
  <c r="Q1116" i="2" s="1"/>
  <c r="R1116" i="2" s="1"/>
  <c r="N1116" i="2"/>
  <c r="M1116" i="2"/>
  <c r="K1116" i="2"/>
  <c r="I1116" i="2"/>
  <c r="E1116" i="2"/>
  <c r="P1115" i="2"/>
  <c r="O1115" i="2"/>
  <c r="Q1115" i="2" s="1"/>
  <c r="R1115" i="2" s="1"/>
  <c r="N1115" i="2"/>
  <c r="M1115" i="2"/>
  <c r="K1115" i="2"/>
  <c r="I1115" i="2"/>
  <c r="E1115" i="2"/>
  <c r="P1114" i="2"/>
  <c r="O1114" i="2"/>
  <c r="Q1114" i="2" s="1"/>
  <c r="R1114" i="2" s="1"/>
  <c r="N1114" i="2"/>
  <c r="M1114" i="2"/>
  <c r="K1114" i="2"/>
  <c r="I1114" i="2"/>
  <c r="E1114" i="2"/>
  <c r="P1113" i="2"/>
  <c r="O1113" i="2"/>
  <c r="Q1113" i="2" s="1"/>
  <c r="R1113" i="2" s="1"/>
  <c r="N1113" i="2"/>
  <c r="M1113" i="2"/>
  <c r="K1113" i="2"/>
  <c r="I1113" i="2"/>
  <c r="E1113" i="2"/>
  <c r="P1112" i="2"/>
  <c r="O1112" i="2"/>
  <c r="Q1112" i="2" s="1"/>
  <c r="R1112" i="2" s="1"/>
  <c r="N1112" i="2"/>
  <c r="M1112" i="2"/>
  <c r="K1112" i="2"/>
  <c r="I1112" i="2"/>
  <c r="E1112" i="2"/>
  <c r="P1111" i="2"/>
  <c r="O1111" i="2"/>
  <c r="Q1111" i="2" s="1"/>
  <c r="R1111" i="2" s="1"/>
  <c r="N1111" i="2"/>
  <c r="M1111" i="2"/>
  <c r="K1111" i="2"/>
  <c r="I1111" i="2"/>
  <c r="E1111" i="2"/>
  <c r="P1110" i="2"/>
  <c r="O1110" i="2"/>
  <c r="Q1110" i="2" s="1"/>
  <c r="R1110" i="2" s="1"/>
  <c r="N1110" i="2"/>
  <c r="M1110" i="2"/>
  <c r="K1110" i="2"/>
  <c r="I1110" i="2"/>
  <c r="E1110" i="2"/>
  <c r="P1109" i="2"/>
  <c r="O1109" i="2"/>
  <c r="Q1109" i="2" s="1"/>
  <c r="R1109" i="2" s="1"/>
  <c r="N1109" i="2"/>
  <c r="M1109" i="2"/>
  <c r="K1109" i="2"/>
  <c r="I1109" i="2"/>
  <c r="E1109" i="2"/>
  <c r="P1108" i="2"/>
  <c r="O1108" i="2"/>
  <c r="Q1108" i="2" s="1"/>
  <c r="R1108" i="2" s="1"/>
  <c r="N1108" i="2"/>
  <c r="M1108" i="2"/>
  <c r="K1108" i="2"/>
  <c r="I1108" i="2"/>
  <c r="E1108" i="2"/>
  <c r="Q1107" i="2"/>
  <c r="R1107" i="2" s="1"/>
  <c r="P1107" i="2"/>
  <c r="O1107" i="2"/>
  <c r="N1107" i="2"/>
  <c r="M1107" i="2"/>
  <c r="K1107" i="2"/>
  <c r="I1107" i="2"/>
  <c r="E1107" i="2"/>
  <c r="P1106" i="2"/>
  <c r="O1106" i="2"/>
  <c r="Q1106" i="2" s="1"/>
  <c r="R1106" i="2" s="1"/>
  <c r="N1106" i="2"/>
  <c r="M1106" i="2"/>
  <c r="K1106" i="2"/>
  <c r="I1106" i="2"/>
  <c r="E1106" i="2"/>
  <c r="P1105" i="2"/>
  <c r="O1105" i="2"/>
  <c r="Q1105" i="2" s="1"/>
  <c r="R1105" i="2" s="1"/>
  <c r="N1105" i="2"/>
  <c r="M1105" i="2"/>
  <c r="K1105" i="2"/>
  <c r="I1105" i="2"/>
  <c r="E1105" i="2"/>
  <c r="P1104" i="2"/>
  <c r="O1104" i="2"/>
  <c r="Q1104" i="2" s="1"/>
  <c r="R1104" i="2" s="1"/>
  <c r="N1104" i="2"/>
  <c r="M1104" i="2"/>
  <c r="K1104" i="2"/>
  <c r="I1104" i="2"/>
  <c r="E1104" i="2"/>
  <c r="P1103" i="2"/>
  <c r="O1103" i="2"/>
  <c r="Q1103" i="2" s="1"/>
  <c r="R1103" i="2" s="1"/>
  <c r="N1103" i="2"/>
  <c r="M1103" i="2"/>
  <c r="K1103" i="2"/>
  <c r="I1103" i="2"/>
  <c r="E1103" i="2"/>
  <c r="P1102" i="2"/>
  <c r="O1102" i="2"/>
  <c r="Q1102" i="2" s="1"/>
  <c r="R1102" i="2" s="1"/>
  <c r="N1102" i="2"/>
  <c r="M1102" i="2"/>
  <c r="K1102" i="2"/>
  <c r="I1102" i="2"/>
  <c r="E1102" i="2"/>
  <c r="P1101" i="2"/>
  <c r="O1101" i="2"/>
  <c r="Q1101" i="2" s="1"/>
  <c r="R1101" i="2" s="1"/>
  <c r="N1101" i="2"/>
  <c r="M1101" i="2"/>
  <c r="K1101" i="2"/>
  <c r="I1101" i="2"/>
  <c r="E1101" i="2"/>
  <c r="P1100" i="2"/>
  <c r="O1100" i="2"/>
  <c r="Q1100" i="2" s="1"/>
  <c r="R1100" i="2" s="1"/>
  <c r="N1100" i="2"/>
  <c r="M1100" i="2"/>
  <c r="K1100" i="2"/>
  <c r="I1100" i="2"/>
  <c r="E1100" i="2"/>
  <c r="P1099" i="2"/>
  <c r="O1099" i="2"/>
  <c r="Q1099" i="2" s="1"/>
  <c r="R1099" i="2" s="1"/>
  <c r="N1099" i="2"/>
  <c r="M1099" i="2"/>
  <c r="K1099" i="2"/>
  <c r="I1099" i="2"/>
  <c r="E1099" i="2"/>
  <c r="P1098" i="2"/>
  <c r="O1098" i="2"/>
  <c r="Q1098" i="2" s="1"/>
  <c r="R1098" i="2" s="1"/>
  <c r="N1098" i="2"/>
  <c r="M1098" i="2"/>
  <c r="K1098" i="2"/>
  <c r="I1098" i="2"/>
  <c r="E1098" i="2"/>
  <c r="P1097" i="2"/>
  <c r="O1097" i="2"/>
  <c r="Q1097" i="2" s="1"/>
  <c r="R1097" i="2" s="1"/>
  <c r="N1097" i="2"/>
  <c r="M1097" i="2"/>
  <c r="K1097" i="2"/>
  <c r="I1097" i="2"/>
  <c r="E1097" i="2"/>
  <c r="P1096" i="2"/>
  <c r="O1096" i="2"/>
  <c r="Q1096" i="2" s="1"/>
  <c r="R1096" i="2" s="1"/>
  <c r="N1096" i="2"/>
  <c r="M1096" i="2"/>
  <c r="K1096" i="2"/>
  <c r="I1096" i="2"/>
  <c r="E1096" i="2"/>
  <c r="P1095" i="2"/>
  <c r="O1095" i="2"/>
  <c r="Q1095" i="2" s="1"/>
  <c r="R1095" i="2" s="1"/>
  <c r="N1095" i="2"/>
  <c r="M1095" i="2"/>
  <c r="K1095" i="2"/>
  <c r="I1095" i="2"/>
  <c r="E1095" i="2"/>
  <c r="P1094" i="2"/>
  <c r="O1094" i="2"/>
  <c r="Q1094" i="2" s="1"/>
  <c r="R1094" i="2" s="1"/>
  <c r="N1094" i="2"/>
  <c r="M1094" i="2"/>
  <c r="K1094" i="2"/>
  <c r="I1094" i="2"/>
  <c r="E1094" i="2"/>
  <c r="P1093" i="2"/>
  <c r="O1093" i="2"/>
  <c r="Q1093" i="2" s="1"/>
  <c r="R1093" i="2" s="1"/>
  <c r="N1093" i="2"/>
  <c r="M1093" i="2"/>
  <c r="K1093" i="2"/>
  <c r="I1093" i="2"/>
  <c r="E1093" i="2"/>
  <c r="P1092" i="2"/>
  <c r="O1092" i="2"/>
  <c r="Q1092" i="2" s="1"/>
  <c r="R1092" i="2" s="1"/>
  <c r="N1092" i="2"/>
  <c r="M1092" i="2"/>
  <c r="K1092" i="2"/>
  <c r="I1092" i="2"/>
  <c r="E1092" i="2"/>
  <c r="Q1091" i="2"/>
  <c r="R1091" i="2" s="1"/>
  <c r="P1091" i="2"/>
  <c r="O1091" i="2"/>
  <c r="N1091" i="2"/>
  <c r="M1091" i="2"/>
  <c r="K1091" i="2"/>
  <c r="I1091" i="2"/>
  <c r="E1091" i="2"/>
  <c r="P1090" i="2"/>
  <c r="O1090" i="2"/>
  <c r="Q1090" i="2" s="1"/>
  <c r="R1090" i="2" s="1"/>
  <c r="N1090" i="2"/>
  <c r="M1090" i="2"/>
  <c r="K1090" i="2"/>
  <c r="I1090" i="2"/>
  <c r="E1090" i="2"/>
  <c r="P1089" i="2"/>
  <c r="O1089" i="2"/>
  <c r="Q1089" i="2" s="1"/>
  <c r="R1089" i="2" s="1"/>
  <c r="N1089" i="2"/>
  <c r="M1089" i="2"/>
  <c r="K1089" i="2"/>
  <c r="I1089" i="2"/>
  <c r="E1089" i="2"/>
  <c r="Q1088" i="2"/>
  <c r="R1088" i="2" s="1"/>
  <c r="P1088" i="2"/>
  <c r="O1088" i="2"/>
  <c r="N1088" i="2"/>
  <c r="M1088" i="2"/>
  <c r="K1088" i="2"/>
  <c r="I1088" i="2"/>
  <c r="E1088" i="2"/>
  <c r="P1087" i="2"/>
  <c r="O1087" i="2"/>
  <c r="Q1087" i="2" s="1"/>
  <c r="R1087" i="2" s="1"/>
  <c r="N1087" i="2"/>
  <c r="M1087" i="2"/>
  <c r="K1087" i="2"/>
  <c r="I1087" i="2"/>
  <c r="E1087" i="2"/>
  <c r="P1086" i="2"/>
  <c r="O1086" i="2"/>
  <c r="Q1086" i="2" s="1"/>
  <c r="R1086" i="2" s="1"/>
  <c r="N1086" i="2"/>
  <c r="M1086" i="2"/>
  <c r="K1086" i="2"/>
  <c r="I1086" i="2"/>
  <c r="E1086" i="2"/>
  <c r="P1085" i="2"/>
  <c r="O1085" i="2"/>
  <c r="Q1085" i="2" s="1"/>
  <c r="R1085" i="2" s="1"/>
  <c r="N1085" i="2"/>
  <c r="M1085" i="2"/>
  <c r="K1085" i="2"/>
  <c r="I1085" i="2"/>
  <c r="E1085" i="2"/>
  <c r="Q1084" i="2"/>
  <c r="R1084" i="2" s="1"/>
  <c r="P1084" i="2"/>
  <c r="O1084" i="2"/>
  <c r="N1084" i="2"/>
  <c r="M1084" i="2"/>
  <c r="K1084" i="2"/>
  <c r="I1084" i="2"/>
  <c r="E1084" i="2"/>
  <c r="P1083" i="2"/>
  <c r="O1083" i="2"/>
  <c r="Q1083" i="2" s="1"/>
  <c r="R1083" i="2" s="1"/>
  <c r="N1083" i="2"/>
  <c r="M1083" i="2"/>
  <c r="K1083" i="2"/>
  <c r="I1083" i="2"/>
  <c r="E1083" i="2"/>
  <c r="P1082" i="2"/>
  <c r="O1082" i="2"/>
  <c r="Q1082" i="2" s="1"/>
  <c r="R1082" i="2" s="1"/>
  <c r="N1082" i="2"/>
  <c r="M1082" i="2"/>
  <c r="K1082" i="2"/>
  <c r="I1082" i="2"/>
  <c r="E1082" i="2"/>
  <c r="P1081" i="2"/>
  <c r="O1081" i="2"/>
  <c r="Q1081" i="2" s="1"/>
  <c r="R1081" i="2" s="1"/>
  <c r="N1081" i="2"/>
  <c r="M1081" i="2"/>
  <c r="K1081" i="2"/>
  <c r="I1081" i="2"/>
  <c r="E1081" i="2"/>
  <c r="Q1080" i="2"/>
  <c r="R1080" i="2" s="1"/>
  <c r="P1080" i="2"/>
  <c r="O1080" i="2"/>
  <c r="N1080" i="2"/>
  <c r="M1080" i="2"/>
  <c r="K1080" i="2"/>
  <c r="I1080" i="2"/>
  <c r="E1080" i="2"/>
  <c r="P1079" i="2"/>
  <c r="O1079" i="2"/>
  <c r="Q1079" i="2" s="1"/>
  <c r="R1079" i="2" s="1"/>
  <c r="N1079" i="2"/>
  <c r="M1079" i="2"/>
  <c r="K1079" i="2"/>
  <c r="I1079" i="2"/>
  <c r="E1079" i="2"/>
  <c r="P1078" i="2"/>
  <c r="O1078" i="2"/>
  <c r="Q1078" i="2" s="1"/>
  <c r="R1078" i="2" s="1"/>
  <c r="N1078" i="2"/>
  <c r="M1078" i="2"/>
  <c r="K1078" i="2"/>
  <c r="I1078" i="2"/>
  <c r="E1078" i="2"/>
  <c r="P1077" i="2"/>
  <c r="O1077" i="2"/>
  <c r="Q1077" i="2" s="1"/>
  <c r="R1077" i="2" s="1"/>
  <c r="N1077" i="2"/>
  <c r="M1077" i="2"/>
  <c r="K1077" i="2"/>
  <c r="I1077" i="2"/>
  <c r="E1077" i="2"/>
  <c r="R1076" i="2"/>
  <c r="Q1076" i="2"/>
  <c r="P1076" i="2"/>
  <c r="O1076" i="2"/>
  <c r="N1076" i="2"/>
  <c r="M1076" i="2"/>
  <c r="K1076" i="2"/>
  <c r="I1076" i="2"/>
  <c r="E1076" i="2"/>
  <c r="P1075" i="2"/>
  <c r="O1075" i="2"/>
  <c r="Q1075" i="2" s="1"/>
  <c r="R1075" i="2" s="1"/>
  <c r="N1075" i="2"/>
  <c r="M1075" i="2"/>
  <c r="K1075" i="2"/>
  <c r="I1075" i="2"/>
  <c r="E1075" i="2"/>
  <c r="P1074" i="2"/>
  <c r="O1074" i="2"/>
  <c r="Q1074" i="2" s="1"/>
  <c r="R1074" i="2" s="1"/>
  <c r="N1074" i="2"/>
  <c r="M1074" i="2"/>
  <c r="K1074" i="2"/>
  <c r="I1074" i="2"/>
  <c r="E1074" i="2"/>
  <c r="P1073" i="2"/>
  <c r="O1073" i="2"/>
  <c r="Q1073" i="2" s="1"/>
  <c r="R1073" i="2" s="1"/>
  <c r="N1073" i="2"/>
  <c r="M1073" i="2"/>
  <c r="K1073" i="2"/>
  <c r="I1073" i="2"/>
  <c r="E1073" i="2"/>
  <c r="Q1072" i="2"/>
  <c r="R1072" i="2" s="1"/>
  <c r="P1072" i="2"/>
  <c r="O1072" i="2"/>
  <c r="N1072" i="2"/>
  <c r="M1072" i="2"/>
  <c r="K1072" i="2"/>
  <c r="I1072" i="2"/>
  <c r="E1072" i="2"/>
  <c r="P1071" i="2"/>
  <c r="O1071" i="2"/>
  <c r="Q1071" i="2" s="1"/>
  <c r="R1071" i="2" s="1"/>
  <c r="N1071" i="2"/>
  <c r="M1071" i="2"/>
  <c r="K1071" i="2"/>
  <c r="I1071" i="2"/>
  <c r="E1071" i="2"/>
  <c r="P1070" i="2"/>
  <c r="O1070" i="2"/>
  <c r="Q1070" i="2" s="1"/>
  <c r="R1070" i="2" s="1"/>
  <c r="N1070" i="2"/>
  <c r="M1070" i="2"/>
  <c r="K1070" i="2"/>
  <c r="I1070" i="2"/>
  <c r="E1070" i="2"/>
  <c r="P1069" i="2"/>
  <c r="O1069" i="2"/>
  <c r="Q1069" i="2" s="1"/>
  <c r="R1069" i="2" s="1"/>
  <c r="N1069" i="2"/>
  <c r="M1069" i="2"/>
  <c r="K1069" i="2"/>
  <c r="I1069" i="2"/>
  <c r="E1069" i="2"/>
  <c r="P1068" i="2"/>
  <c r="O1068" i="2"/>
  <c r="Q1068" i="2" s="1"/>
  <c r="R1068" i="2" s="1"/>
  <c r="N1068" i="2"/>
  <c r="M1068" i="2"/>
  <c r="K1068" i="2"/>
  <c r="I1068" i="2"/>
  <c r="E1068" i="2"/>
  <c r="P1067" i="2"/>
  <c r="O1067" i="2"/>
  <c r="Q1067" i="2" s="1"/>
  <c r="R1067" i="2" s="1"/>
  <c r="N1067" i="2"/>
  <c r="M1067" i="2"/>
  <c r="K1067" i="2"/>
  <c r="I1067" i="2"/>
  <c r="E1067" i="2"/>
  <c r="P1066" i="2"/>
  <c r="O1066" i="2"/>
  <c r="Q1066" i="2" s="1"/>
  <c r="R1066" i="2" s="1"/>
  <c r="N1066" i="2"/>
  <c r="M1066" i="2"/>
  <c r="K1066" i="2"/>
  <c r="I1066" i="2"/>
  <c r="E1066" i="2"/>
  <c r="P1065" i="2"/>
  <c r="O1065" i="2"/>
  <c r="Q1065" i="2" s="1"/>
  <c r="R1065" i="2" s="1"/>
  <c r="N1065" i="2"/>
  <c r="M1065" i="2"/>
  <c r="K1065" i="2"/>
  <c r="I1065" i="2"/>
  <c r="E1065" i="2"/>
  <c r="P1064" i="2"/>
  <c r="O1064" i="2"/>
  <c r="Q1064" i="2" s="1"/>
  <c r="R1064" i="2" s="1"/>
  <c r="N1064" i="2"/>
  <c r="M1064" i="2"/>
  <c r="K1064" i="2"/>
  <c r="I1064" i="2"/>
  <c r="E1064" i="2"/>
  <c r="P1063" i="2"/>
  <c r="O1063" i="2"/>
  <c r="Q1063" i="2" s="1"/>
  <c r="R1063" i="2" s="1"/>
  <c r="N1063" i="2"/>
  <c r="M1063" i="2"/>
  <c r="K1063" i="2"/>
  <c r="I1063" i="2"/>
  <c r="E1063" i="2"/>
  <c r="P1062" i="2"/>
  <c r="O1062" i="2"/>
  <c r="Q1062" i="2" s="1"/>
  <c r="R1062" i="2" s="1"/>
  <c r="N1062" i="2"/>
  <c r="M1062" i="2"/>
  <c r="K1062" i="2"/>
  <c r="I1062" i="2"/>
  <c r="E1062" i="2"/>
  <c r="P1061" i="2"/>
  <c r="O1061" i="2"/>
  <c r="Q1061" i="2" s="1"/>
  <c r="R1061" i="2" s="1"/>
  <c r="N1061" i="2"/>
  <c r="M1061" i="2"/>
  <c r="K1061" i="2"/>
  <c r="I1061" i="2"/>
  <c r="E1061" i="2"/>
  <c r="P1060" i="2"/>
  <c r="O1060" i="2"/>
  <c r="Q1060" i="2" s="1"/>
  <c r="R1060" i="2" s="1"/>
  <c r="N1060" i="2"/>
  <c r="M1060" i="2"/>
  <c r="K1060" i="2"/>
  <c r="I1060" i="2"/>
  <c r="E1060" i="2"/>
  <c r="P1059" i="2"/>
  <c r="O1059" i="2"/>
  <c r="Q1059" i="2" s="1"/>
  <c r="R1059" i="2" s="1"/>
  <c r="N1059" i="2"/>
  <c r="M1059" i="2"/>
  <c r="K1059" i="2"/>
  <c r="I1059" i="2"/>
  <c r="E1059" i="2"/>
  <c r="P1058" i="2"/>
  <c r="O1058" i="2"/>
  <c r="Q1058" i="2" s="1"/>
  <c r="R1058" i="2" s="1"/>
  <c r="N1058" i="2"/>
  <c r="M1058" i="2"/>
  <c r="K1058" i="2"/>
  <c r="I1058" i="2"/>
  <c r="E1058" i="2"/>
  <c r="P1057" i="2"/>
  <c r="O1057" i="2"/>
  <c r="Q1057" i="2" s="1"/>
  <c r="R1057" i="2" s="1"/>
  <c r="N1057" i="2"/>
  <c r="M1057" i="2"/>
  <c r="K1057" i="2"/>
  <c r="I1057" i="2"/>
  <c r="E1057" i="2"/>
  <c r="P1056" i="2"/>
  <c r="O1056" i="2"/>
  <c r="Q1056" i="2" s="1"/>
  <c r="R1056" i="2" s="1"/>
  <c r="N1056" i="2"/>
  <c r="M1056" i="2"/>
  <c r="K1056" i="2"/>
  <c r="I1056" i="2"/>
  <c r="E1056" i="2"/>
  <c r="P1055" i="2"/>
  <c r="O1055" i="2"/>
  <c r="Q1055" i="2" s="1"/>
  <c r="R1055" i="2" s="1"/>
  <c r="N1055" i="2"/>
  <c r="M1055" i="2"/>
  <c r="K1055" i="2"/>
  <c r="I1055" i="2"/>
  <c r="E1055" i="2"/>
  <c r="P1054" i="2"/>
  <c r="O1054" i="2"/>
  <c r="Q1054" i="2" s="1"/>
  <c r="R1054" i="2" s="1"/>
  <c r="N1054" i="2"/>
  <c r="M1054" i="2"/>
  <c r="K1054" i="2"/>
  <c r="I1054" i="2"/>
  <c r="E1054" i="2"/>
  <c r="P1053" i="2"/>
  <c r="O1053" i="2"/>
  <c r="Q1053" i="2" s="1"/>
  <c r="R1053" i="2" s="1"/>
  <c r="N1053" i="2"/>
  <c r="M1053" i="2"/>
  <c r="K1053" i="2"/>
  <c r="I1053" i="2"/>
  <c r="E1053" i="2"/>
  <c r="P1052" i="2"/>
  <c r="O1052" i="2"/>
  <c r="Q1052" i="2" s="1"/>
  <c r="R1052" i="2" s="1"/>
  <c r="N1052" i="2"/>
  <c r="M1052" i="2"/>
  <c r="K1052" i="2"/>
  <c r="I1052" i="2"/>
  <c r="E1052" i="2"/>
  <c r="P1051" i="2"/>
  <c r="O1051" i="2"/>
  <c r="Q1051" i="2" s="1"/>
  <c r="R1051" i="2" s="1"/>
  <c r="N1051" i="2"/>
  <c r="M1051" i="2"/>
  <c r="K1051" i="2"/>
  <c r="I1051" i="2"/>
  <c r="E1051" i="2"/>
  <c r="P1050" i="2"/>
  <c r="O1050" i="2"/>
  <c r="Q1050" i="2" s="1"/>
  <c r="R1050" i="2" s="1"/>
  <c r="N1050" i="2"/>
  <c r="M1050" i="2"/>
  <c r="K1050" i="2"/>
  <c r="I1050" i="2"/>
  <c r="E1050" i="2"/>
  <c r="P1049" i="2"/>
  <c r="O1049" i="2"/>
  <c r="Q1049" i="2" s="1"/>
  <c r="R1049" i="2" s="1"/>
  <c r="N1049" i="2"/>
  <c r="M1049" i="2"/>
  <c r="K1049" i="2"/>
  <c r="I1049" i="2"/>
  <c r="E1049" i="2"/>
  <c r="P1048" i="2"/>
  <c r="O1048" i="2"/>
  <c r="Q1048" i="2" s="1"/>
  <c r="R1048" i="2" s="1"/>
  <c r="N1048" i="2"/>
  <c r="M1048" i="2"/>
  <c r="K1048" i="2"/>
  <c r="I1048" i="2"/>
  <c r="E1048" i="2"/>
  <c r="P1047" i="2"/>
  <c r="O1047" i="2"/>
  <c r="Q1047" i="2" s="1"/>
  <c r="R1047" i="2" s="1"/>
  <c r="N1047" i="2"/>
  <c r="M1047" i="2"/>
  <c r="K1047" i="2"/>
  <c r="I1047" i="2"/>
  <c r="E1047" i="2"/>
  <c r="P1046" i="2"/>
  <c r="O1046" i="2"/>
  <c r="Q1046" i="2" s="1"/>
  <c r="R1046" i="2" s="1"/>
  <c r="N1046" i="2"/>
  <c r="M1046" i="2"/>
  <c r="K1046" i="2"/>
  <c r="I1046" i="2"/>
  <c r="E1046" i="2"/>
  <c r="P1045" i="2"/>
  <c r="O1045" i="2"/>
  <c r="Q1045" i="2" s="1"/>
  <c r="R1045" i="2" s="1"/>
  <c r="N1045" i="2"/>
  <c r="M1045" i="2"/>
  <c r="K1045" i="2"/>
  <c r="I1045" i="2"/>
  <c r="E1045" i="2"/>
  <c r="P1044" i="2"/>
  <c r="O1044" i="2"/>
  <c r="Q1044" i="2" s="1"/>
  <c r="R1044" i="2" s="1"/>
  <c r="N1044" i="2"/>
  <c r="M1044" i="2"/>
  <c r="K1044" i="2"/>
  <c r="I1044" i="2"/>
  <c r="E1044" i="2"/>
  <c r="P1043" i="2"/>
  <c r="O1043" i="2"/>
  <c r="Q1043" i="2" s="1"/>
  <c r="R1043" i="2" s="1"/>
  <c r="N1043" i="2"/>
  <c r="M1043" i="2"/>
  <c r="K1043" i="2"/>
  <c r="I1043" i="2"/>
  <c r="E1043" i="2"/>
  <c r="P1042" i="2"/>
  <c r="O1042" i="2"/>
  <c r="Q1042" i="2" s="1"/>
  <c r="R1042" i="2" s="1"/>
  <c r="N1042" i="2"/>
  <c r="M1042" i="2"/>
  <c r="K1042" i="2"/>
  <c r="I1042" i="2"/>
  <c r="E1042" i="2"/>
  <c r="P1041" i="2"/>
  <c r="O1041" i="2"/>
  <c r="Q1041" i="2" s="1"/>
  <c r="R1041" i="2" s="1"/>
  <c r="N1041" i="2"/>
  <c r="M1041" i="2"/>
  <c r="K1041" i="2"/>
  <c r="I1041" i="2"/>
  <c r="E1041" i="2"/>
  <c r="P1040" i="2"/>
  <c r="O1040" i="2"/>
  <c r="Q1040" i="2" s="1"/>
  <c r="R1040" i="2" s="1"/>
  <c r="N1040" i="2"/>
  <c r="M1040" i="2"/>
  <c r="K1040" i="2"/>
  <c r="I1040" i="2"/>
  <c r="E1040" i="2"/>
  <c r="Q1039" i="2"/>
  <c r="R1039" i="2" s="1"/>
  <c r="P1039" i="2"/>
  <c r="O1039" i="2"/>
  <c r="N1039" i="2"/>
  <c r="M1039" i="2"/>
  <c r="K1039" i="2"/>
  <c r="I1039" i="2"/>
  <c r="E1039" i="2"/>
  <c r="P1038" i="2"/>
  <c r="O1038" i="2"/>
  <c r="Q1038" i="2" s="1"/>
  <c r="R1038" i="2" s="1"/>
  <c r="N1038" i="2"/>
  <c r="M1038" i="2"/>
  <c r="K1038" i="2"/>
  <c r="I1038" i="2"/>
  <c r="E1038" i="2"/>
  <c r="P1037" i="2"/>
  <c r="O1037" i="2"/>
  <c r="Q1037" i="2" s="1"/>
  <c r="R1037" i="2" s="1"/>
  <c r="N1037" i="2"/>
  <c r="M1037" i="2"/>
  <c r="K1037" i="2"/>
  <c r="I1037" i="2"/>
  <c r="E1037" i="2"/>
  <c r="P1035" i="2"/>
  <c r="O1035" i="2"/>
  <c r="Q1035" i="2" s="1"/>
  <c r="R1035" i="2" s="1"/>
  <c r="N1035" i="2"/>
  <c r="M1035" i="2"/>
  <c r="K1035" i="2"/>
  <c r="I1035" i="2"/>
  <c r="E1035" i="2"/>
  <c r="P1034" i="2"/>
  <c r="O1034" i="2"/>
  <c r="Q1034" i="2" s="1"/>
  <c r="R1034" i="2" s="1"/>
  <c r="N1034" i="2"/>
  <c r="M1034" i="2"/>
  <c r="K1034" i="2"/>
  <c r="I1034" i="2"/>
  <c r="E1034" i="2"/>
  <c r="P1033" i="2"/>
  <c r="O1033" i="2"/>
  <c r="Q1033" i="2" s="1"/>
  <c r="R1033" i="2" s="1"/>
  <c r="N1033" i="2"/>
  <c r="M1033" i="2"/>
  <c r="K1033" i="2"/>
  <c r="I1033" i="2"/>
  <c r="E1033" i="2"/>
  <c r="P1032" i="2"/>
  <c r="O1032" i="2"/>
  <c r="Q1032" i="2" s="1"/>
  <c r="R1032" i="2" s="1"/>
  <c r="N1032" i="2"/>
  <c r="M1032" i="2"/>
  <c r="K1032" i="2"/>
  <c r="I1032" i="2"/>
  <c r="E1032" i="2"/>
  <c r="P1031" i="2"/>
  <c r="O1031" i="2"/>
  <c r="Q1031" i="2" s="1"/>
  <c r="R1031" i="2" s="1"/>
  <c r="N1031" i="2"/>
  <c r="M1031" i="2"/>
  <c r="K1031" i="2"/>
  <c r="I1031" i="2"/>
  <c r="E1031" i="2"/>
  <c r="P1030" i="2"/>
  <c r="O1030" i="2"/>
  <c r="Q1030" i="2" s="1"/>
  <c r="R1030" i="2" s="1"/>
  <c r="N1030" i="2"/>
  <c r="M1030" i="2"/>
  <c r="K1030" i="2"/>
  <c r="I1030" i="2"/>
  <c r="E1030" i="2"/>
  <c r="P1029" i="2"/>
  <c r="O1029" i="2"/>
  <c r="Q1029" i="2" s="1"/>
  <c r="R1029" i="2" s="1"/>
  <c r="N1029" i="2"/>
  <c r="M1029" i="2"/>
  <c r="K1029" i="2"/>
  <c r="I1029" i="2"/>
  <c r="E1029" i="2"/>
  <c r="P1028" i="2"/>
  <c r="O1028" i="2"/>
  <c r="Q1028" i="2" s="1"/>
  <c r="R1028" i="2" s="1"/>
  <c r="N1028" i="2"/>
  <c r="M1028" i="2"/>
  <c r="K1028" i="2"/>
  <c r="I1028" i="2"/>
  <c r="E1028" i="2"/>
  <c r="P1027" i="2"/>
  <c r="O1027" i="2"/>
  <c r="Q1027" i="2" s="1"/>
  <c r="R1027" i="2" s="1"/>
  <c r="N1027" i="2"/>
  <c r="M1027" i="2"/>
  <c r="K1027" i="2"/>
  <c r="I1027" i="2"/>
  <c r="E1027" i="2"/>
  <c r="Q1026" i="2"/>
  <c r="R1026" i="2" s="1"/>
  <c r="P1026" i="2"/>
  <c r="O1026" i="2"/>
  <c r="N1026" i="2"/>
  <c r="M1026" i="2"/>
  <c r="K1026" i="2"/>
  <c r="I1026" i="2"/>
  <c r="E1026" i="2"/>
  <c r="P1025" i="2"/>
  <c r="O1025" i="2"/>
  <c r="Q1025" i="2" s="1"/>
  <c r="R1025" i="2" s="1"/>
  <c r="N1025" i="2"/>
  <c r="M1025" i="2"/>
  <c r="K1025" i="2"/>
  <c r="I1025" i="2"/>
  <c r="E1025" i="2"/>
  <c r="P1024" i="2"/>
  <c r="O1024" i="2"/>
  <c r="Q1024" i="2" s="1"/>
  <c r="R1024" i="2" s="1"/>
  <c r="N1024" i="2"/>
  <c r="M1024" i="2"/>
  <c r="K1024" i="2"/>
  <c r="I1024" i="2"/>
  <c r="E1024" i="2"/>
  <c r="Q1023" i="2"/>
  <c r="R1023" i="2" s="1"/>
  <c r="P1023" i="2"/>
  <c r="O1023" i="2"/>
  <c r="N1023" i="2"/>
  <c r="M1023" i="2"/>
  <c r="K1023" i="2"/>
  <c r="I1023" i="2"/>
  <c r="E1023" i="2"/>
  <c r="P1022" i="2"/>
  <c r="O1022" i="2"/>
  <c r="Q1022" i="2" s="1"/>
  <c r="R1022" i="2" s="1"/>
  <c r="N1022" i="2"/>
  <c r="M1022" i="2"/>
  <c r="K1022" i="2"/>
  <c r="I1022" i="2"/>
  <c r="E1022" i="2"/>
  <c r="P1021" i="2"/>
  <c r="O1021" i="2"/>
  <c r="Q1021" i="2" s="1"/>
  <c r="R1021" i="2" s="1"/>
  <c r="N1021" i="2"/>
  <c r="M1021" i="2"/>
  <c r="K1021" i="2"/>
  <c r="I1021" i="2"/>
  <c r="E1021" i="2"/>
  <c r="P1020" i="2"/>
  <c r="O1020" i="2"/>
  <c r="Q1020" i="2" s="1"/>
  <c r="R1020" i="2" s="1"/>
  <c r="N1020" i="2"/>
  <c r="M1020" i="2"/>
  <c r="K1020" i="2"/>
  <c r="I1020" i="2"/>
  <c r="E1020" i="2"/>
  <c r="Q1019" i="2"/>
  <c r="R1019" i="2" s="1"/>
  <c r="P1019" i="2"/>
  <c r="O1019" i="2"/>
  <c r="N1019" i="2"/>
  <c r="M1019" i="2"/>
  <c r="K1019" i="2"/>
  <c r="I1019" i="2"/>
  <c r="E1019" i="2"/>
  <c r="P1018" i="2"/>
  <c r="O1018" i="2"/>
  <c r="Q1018" i="2" s="1"/>
  <c r="R1018" i="2" s="1"/>
  <c r="N1018" i="2"/>
  <c r="M1018" i="2"/>
  <c r="K1018" i="2"/>
  <c r="I1018" i="2"/>
  <c r="E1018" i="2"/>
  <c r="P1017" i="2"/>
  <c r="O1017" i="2"/>
  <c r="Q1017" i="2" s="1"/>
  <c r="R1017" i="2" s="1"/>
  <c r="N1017" i="2"/>
  <c r="M1017" i="2"/>
  <c r="K1017" i="2"/>
  <c r="I1017" i="2"/>
  <c r="E1017" i="2"/>
  <c r="P1016" i="2"/>
  <c r="O1016" i="2"/>
  <c r="Q1016" i="2" s="1"/>
  <c r="R1016" i="2" s="1"/>
  <c r="N1016" i="2"/>
  <c r="M1016" i="2"/>
  <c r="K1016" i="2"/>
  <c r="I1016" i="2"/>
  <c r="E1016" i="2"/>
  <c r="R1015" i="2"/>
  <c r="Q1015" i="2"/>
  <c r="P1015" i="2"/>
  <c r="O1015" i="2"/>
  <c r="N1015" i="2"/>
  <c r="M1015" i="2"/>
  <c r="K1015" i="2"/>
  <c r="I1015" i="2"/>
  <c r="E1015" i="2"/>
  <c r="P1014" i="2"/>
  <c r="O1014" i="2"/>
  <c r="Q1014" i="2" s="1"/>
  <c r="R1014" i="2" s="1"/>
  <c r="N1014" i="2"/>
  <c r="M1014" i="2"/>
  <c r="K1014" i="2"/>
  <c r="I1014" i="2"/>
  <c r="E1014" i="2"/>
  <c r="P1013" i="2"/>
  <c r="O1013" i="2"/>
  <c r="Q1013" i="2" s="1"/>
  <c r="R1013" i="2" s="1"/>
  <c r="N1013" i="2"/>
  <c r="M1013" i="2"/>
  <c r="K1013" i="2"/>
  <c r="I1013" i="2"/>
  <c r="E1013" i="2"/>
  <c r="P1012" i="2"/>
  <c r="O1012" i="2"/>
  <c r="Q1012" i="2" s="1"/>
  <c r="R1012" i="2" s="1"/>
  <c r="N1012" i="2"/>
  <c r="M1012" i="2"/>
  <c r="K1012" i="2"/>
  <c r="I1012" i="2"/>
  <c r="E1012" i="2"/>
  <c r="P1011" i="2"/>
  <c r="O1011" i="2"/>
  <c r="Q1011" i="2" s="1"/>
  <c r="R1011" i="2" s="1"/>
  <c r="N1011" i="2"/>
  <c r="M1011" i="2"/>
  <c r="K1011" i="2"/>
  <c r="I1011" i="2"/>
  <c r="E1011" i="2"/>
  <c r="P1010" i="2"/>
  <c r="O1010" i="2"/>
  <c r="Q1010" i="2" s="1"/>
  <c r="R1010" i="2" s="1"/>
  <c r="N1010" i="2"/>
  <c r="M1010" i="2"/>
  <c r="K1010" i="2"/>
  <c r="I1010" i="2"/>
  <c r="E1010" i="2"/>
  <c r="P1009" i="2"/>
  <c r="O1009" i="2"/>
  <c r="Q1009" i="2" s="1"/>
  <c r="R1009" i="2" s="1"/>
  <c r="N1009" i="2"/>
  <c r="M1009" i="2"/>
  <c r="K1009" i="2"/>
  <c r="I1009" i="2"/>
  <c r="E1009" i="2"/>
  <c r="P1008" i="2"/>
  <c r="O1008" i="2"/>
  <c r="Q1008" i="2" s="1"/>
  <c r="R1008" i="2" s="1"/>
  <c r="N1008" i="2"/>
  <c r="M1008" i="2"/>
  <c r="K1008" i="2"/>
  <c r="I1008" i="2"/>
  <c r="E1008" i="2"/>
  <c r="P1007" i="2"/>
  <c r="O1007" i="2"/>
  <c r="Q1007" i="2" s="1"/>
  <c r="R1007" i="2" s="1"/>
  <c r="N1007" i="2"/>
  <c r="M1007" i="2"/>
  <c r="K1007" i="2"/>
  <c r="I1007" i="2"/>
  <c r="E1007" i="2"/>
  <c r="P1006" i="2"/>
  <c r="O1006" i="2"/>
  <c r="Q1006" i="2" s="1"/>
  <c r="R1006" i="2" s="1"/>
  <c r="N1006" i="2"/>
  <c r="M1006" i="2"/>
  <c r="K1006" i="2"/>
  <c r="I1006" i="2"/>
  <c r="E1006" i="2"/>
  <c r="P1005" i="2"/>
  <c r="O1005" i="2"/>
  <c r="Q1005" i="2" s="1"/>
  <c r="R1005" i="2" s="1"/>
  <c r="N1005" i="2"/>
  <c r="M1005" i="2"/>
  <c r="K1005" i="2"/>
  <c r="I1005" i="2"/>
  <c r="E1005" i="2"/>
  <c r="P1004" i="2"/>
  <c r="O1004" i="2"/>
  <c r="Q1004" i="2" s="1"/>
  <c r="R1004" i="2" s="1"/>
  <c r="N1004" i="2"/>
  <c r="M1004" i="2"/>
  <c r="K1004" i="2"/>
  <c r="I1004" i="2"/>
  <c r="E1004" i="2"/>
  <c r="P1003" i="2"/>
  <c r="O1003" i="2"/>
  <c r="Q1003" i="2" s="1"/>
  <c r="R1003" i="2" s="1"/>
  <c r="N1003" i="2"/>
  <c r="M1003" i="2"/>
  <c r="K1003" i="2"/>
  <c r="I1003" i="2"/>
  <c r="E1003" i="2"/>
  <c r="P1002" i="2"/>
  <c r="O1002" i="2"/>
  <c r="Q1002" i="2" s="1"/>
  <c r="R1002" i="2" s="1"/>
  <c r="N1002" i="2"/>
  <c r="M1002" i="2"/>
  <c r="K1002" i="2"/>
  <c r="I1002" i="2"/>
  <c r="E1002" i="2"/>
  <c r="R1001" i="2"/>
  <c r="P1001" i="2"/>
  <c r="O1001" i="2"/>
  <c r="Q1001" i="2" s="1"/>
  <c r="N1001" i="2"/>
  <c r="M1001" i="2"/>
  <c r="K1001" i="2"/>
  <c r="I1001" i="2"/>
  <c r="E1001" i="2"/>
  <c r="P1000" i="2"/>
  <c r="O1000" i="2"/>
  <c r="Q1000" i="2" s="1"/>
  <c r="R1000" i="2" s="1"/>
  <c r="N1000" i="2"/>
  <c r="M1000" i="2"/>
  <c r="K1000" i="2"/>
  <c r="I1000" i="2"/>
  <c r="E1000" i="2"/>
  <c r="P999" i="2"/>
  <c r="O999" i="2"/>
  <c r="Q999" i="2" s="1"/>
  <c r="R999" i="2" s="1"/>
  <c r="N999" i="2"/>
  <c r="M999" i="2"/>
  <c r="K999" i="2"/>
  <c r="I999" i="2"/>
  <c r="E999" i="2"/>
  <c r="P998" i="2"/>
  <c r="O998" i="2"/>
  <c r="Q998" i="2" s="1"/>
  <c r="R998" i="2" s="1"/>
  <c r="N998" i="2"/>
  <c r="M998" i="2"/>
  <c r="K998" i="2"/>
  <c r="I998" i="2"/>
  <c r="E998" i="2"/>
  <c r="P997" i="2"/>
  <c r="O997" i="2"/>
  <c r="Q997" i="2" s="1"/>
  <c r="R997" i="2" s="1"/>
  <c r="N997" i="2"/>
  <c r="M997" i="2"/>
  <c r="K997" i="2"/>
  <c r="I997" i="2"/>
  <c r="E997" i="2"/>
  <c r="P996" i="2"/>
  <c r="O996" i="2"/>
  <c r="Q996" i="2" s="1"/>
  <c r="R996" i="2" s="1"/>
  <c r="N996" i="2"/>
  <c r="M996" i="2"/>
  <c r="K996" i="2"/>
  <c r="I996" i="2"/>
  <c r="E996" i="2"/>
  <c r="P995" i="2"/>
  <c r="O995" i="2"/>
  <c r="Q995" i="2" s="1"/>
  <c r="R995" i="2" s="1"/>
  <c r="N995" i="2"/>
  <c r="M995" i="2"/>
  <c r="K995" i="2"/>
  <c r="I995" i="2"/>
  <c r="E995" i="2"/>
  <c r="P994" i="2"/>
  <c r="O994" i="2"/>
  <c r="Q994" i="2" s="1"/>
  <c r="R994" i="2" s="1"/>
  <c r="N994" i="2"/>
  <c r="M994" i="2"/>
  <c r="K994" i="2"/>
  <c r="I994" i="2"/>
  <c r="E994" i="2"/>
  <c r="R993" i="2"/>
  <c r="P993" i="2"/>
  <c r="O993" i="2"/>
  <c r="Q993" i="2" s="1"/>
  <c r="N993" i="2"/>
  <c r="M993" i="2"/>
  <c r="K993" i="2"/>
  <c r="I993" i="2"/>
  <c r="E993" i="2"/>
  <c r="P992" i="2"/>
  <c r="O992" i="2"/>
  <c r="Q992" i="2" s="1"/>
  <c r="R992" i="2" s="1"/>
  <c r="N992" i="2"/>
  <c r="M992" i="2"/>
  <c r="K992" i="2"/>
  <c r="I992" i="2"/>
  <c r="E992" i="2"/>
  <c r="P991" i="2"/>
  <c r="O991" i="2"/>
  <c r="Q991" i="2" s="1"/>
  <c r="R991" i="2" s="1"/>
  <c r="N991" i="2"/>
  <c r="M991" i="2"/>
  <c r="K991" i="2"/>
  <c r="I991" i="2"/>
  <c r="E991" i="2"/>
  <c r="P990" i="2"/>
  <c r="O990" i="2"/>
  <c r="Q990" i="2" s="1"/>
  <c r="R990" i="2" s="1"/>
  <c r="N990" i="2"/>
  <c r="M990" i="2"/>
  <c r="K990" i="2"/>
  <c r="I990" i="2"/>
  <c r="E990" i="2"/>
  <c r="P989" i="2"/>
  <c r="O989" i="2"/>
  <c r="Q989" i="2" s="1"/>
  <c r="R989" i="2" s="1"/>
  <c r="N989" i="2"/>
  <c r="M989" i="2"/>
  <c r="K989" i="2"/>
  <c r="I989" i="2"/>
  <c r="E989" i="2"/>
  <c r="P988" i="2"/>
  <c r="O988" i="2"/>
  <c r="Q988" i="2" s="1"/>
  <c r="R988" i="2" s="1"/>
  <c r="N988" i="2"/>
  <c r="M988" i="2"/>
  <c r="K988" i="2"/>
  <c r="I988" i="2"/>
  <c r="E988" i="2"/>
  <c r="P987" i="2"/>
  <c r="O987" i="2"/>
  <c r="Q987" i="2" s="1"/>
  <c r="R987" i="2" s="1"/>
  <c r="N987" i="2"/>
  <c r="M987" i="2"/>
  <c r="K987" i="2"/>
  <c r="I987" i="2"/>
  <c r="E987" i="2"/>
  <c r="P986" i="2"/>
  <c r="O986" i="2"/>
  <c r="Q986" i="2" s="1"/>
  <c r="R986" i="2" s="1"/>
  <c r="N986" i="2"/>
  <c r="M986" i="2"/>
  <c r="K986" i="2"/>
  <c r="I986" i="2"/>
  <c r="E986" i="2"/>
  <c r="P985" i="2"/>
  <c r="O985" i="2"/>
  <c r="Q985" i="2" s="1"/>
  <c r="R985" i="2" s="1"/>
  <c r="N985" i="2"/>
  <c r="M985" i="2"/>
  <c r="K985" i="2"/>
  <c r="I985" i="2"/>
  <c r="E985" i="2"/>
  <c r="P984" i="2"/>
  <c r="O984" i="2"/>
  <c r="Q984" i="2" s="1"/>
  <c r="R984" i="2" s="1"/>
  <c r="N984" i="2"/>
  <c r="M984" i="2"/>
  <c r="K984" i="2"/>
  <c r="I984" i="2"/>
  <c r="E984" i="2"/>
  <c r="P983" i="2"/>
  <c r="O983" i="2"/>
  <c r="Q983" i="2" s="1"/>
  <c r="R983" i="2" s="1"/>
  <c r="N983" i="2"/>
  <c r="M983" i="2"/>
  <c r="K983" i="2"/>
  <c r="I983" i="2"/>
  <c r="E983" i="2"/>
  <c r="P982" i="2"/>
  <c r="O982" i="2"/>
  <c r="Q982" i="2" s="1"/>
  <c r="R982" i="2" s="1"/>
  <c r="N982" i="2"/>
  <c r="M982" i="2"/>
  <c r="K982" i="2"/>
  <c r="I982" i="2"/>
  <c r="E982" i="2"/>
  <c r="P981" i="2"/>
  <c r="O981" i="2"/>
  <c r="Q981" i="2" s="1"/>
  <c r="R981" i="2" s="1"/>
  <c r="N981" i="2"/>
  <c r="M981" i="2"/>
  <c r="K981" i="2"/>
  <c r="I981" i="2"/>
  <c r="E981" i="2"/>
  <c r="P980" i="2"/>
  <c r="O980" i="2"/>
  <c r="Q980" i="2" s="1"/>
  <c r="R980" i="2" s="1"/>
  <c r="N980" i="2"/>
  <c r="M980" i="2"/>
  <c r="K980" i="2"/>
  <c r="I980" i="2"/>
  <c r="E980" i="2"/>
  <c r="P979" i="2"/>
  <c r="O979" i="2"/>
  <c r="Q979" i="2" s="1"/>
  <c r="R979" i="2" s="1"/>
  <c r="N979" i="2"/>
  <c r="M979" i="2"/>
  <c r="K979" i="2"/>
  <c r="I979" i="2"/>
  <c r="E979" i="2"/>
  <c r="P978" i="2"/>
  <c r="O978" i="2"/>
  <c r="Q978" i="2" s="1"/>
  <c r="R978" i="2" s="1"/>
  <c r="N978" i="2"/>
  <c r="M978" i="2"/>
  <c r="K978" i="2"/>
  <c r="I978" i="2"/>
  <c r="E978" i="2"/>
  <c r="P977" i="2"/>
  <c r="O977" i="2"/>
  <c r="Q977" i="2" s="1"/>
  <c r="R977" i="2" s="1"/>
  <c r="N977" i="2"/>
  <c r="M977" i="2"/>
  <c r="K977" i="2"/>
  <c r="I977" i="2"/>
  <c r="E977" i="2"/>
  <c r="R976" i="2"/>
  <c r="P976" i="2"/>
  <c r="O976" i="2"/>
  <c r="Q976" i="2" s="1"/>
  <c r="N976" i="2"/>
  <c r="M976" i="2"/>
  <c r="K976" i="2"/>
  <c r="I976" i="2"/>
  <c r="E976" i="2"/>
  <c r="P975" i="2"/>
  <c r="O975" i="2"/>
  <c r="Q975" i="2" s="1"/>
  <c r="R975" i="2" s="1"/>
  <c r="N975" i="2"/>
  <c r="M975" i="2"/>
  <c r="K975" i="2"/>
  <c r="I975" i="2"/>
  <c r="E975" i="2"/>
  <c r="P974" i="2"/>
  <c r="O974" i="2"/>
  <c r="Q974" i="2" s="1"/>
  <c r="R974" i="2" s="1"/>
  <c r="N974" i="2"/>
  <c r="M974" i="2"/>
  <c r="K974" i="2"/>
  <c r="I974" i="2"/>
  <c r="E974" i="2"/>
  <c r="P973" i="2"/>
  <c r="O973" i="2"/>
  <c r="Q973" i="2" s="1"/>
  <c r="R973" i="2" s="1"/>
  <c r="N973" i="2"/>
  <c r="M973" i="2"/>
  <c r="K973" i="2"/>
  <c r="I973" i="2"/>
  <c r="E973" i="2"/>
  <c r="P972" i="2"/>
  <c r="O972" i="2"/>
  <c r="Q972" i="2" s="1"/>
  <c r="R972" i="2" s="1"/>
  <c r="N972" i="2"/>
  <c r="M972" i="2"/>
  <c r="K972" i="2"/>
  <c r="I972" i="2"/>
  <c r="E972" i="2"/>
  <c r="P971" i="2"/>
  <c r="O971" i="2"/>
  <c r="Q971" i="2" s="1"/>
  <c r="R971" i="2" s="1"/>
  <c r="N971" i="2"/>
  <c r="M971" i="2"/>
  <c r="K971" i="2"/>
  <c r="I971" i="2"/>
  <c r="E971" i="2"/>
  <c r="P970" i="2"/>
  <c r="O970" i="2"/>
  <c r="Q970" i="2" s="1"/>
  <c r="R970" i="2" s="1"/>
  <c r="N970" i="2"/>
  <c r="M970" i="2"/>
  <c r="K970" i="2"/>
  <c r="I970" i="2"/>
  <c r="E970" i="2"/>
  <c r="R969" i="2"/>
  <c r="P969" i="2"/>
  <c r="O969" i="2"/>
  <c r="Q969" i="2" s="1"/>
  <c r="N969" i="2"/>
  <c r="M969" i="2"/>
  <c r="K969" i="2"/>
  <c r="I969" i="2"/>
  <c r="E969" i="2"/>
  <c r="P968" i="2"/>
  <c r="O968" i="2"/>
  <c r="Q968" i="2" s="1"/>
  <c r="R968" i="2" s="1"/>
  <c r="N968" i="2"/>
  <c r="M968" i="2"/>
  <c r="K968" i="2"/>
  <c r="I968" i="2"/>
  <c r="E968" i="2"/>
  <c r="P967" i="2"/>
  <c r="O967" i="2"/>
  <c r="Q967" i="2" s="1"/>
  <c r="R967" i="2" s="1"/>
  <c r="N967" i="2"/>
  <c r="M967" i="2"/>
  <c r="K967" i="2"/>
  <c r="I967" i="2"/>
  <c r="E967" i="2"/>
  <c r="P966" i="2"/>
  <c r="O966" i="2"/>
  <c r="Q966" i="2" s="1"/>
  <c r="R966" i="2" s="1"/>
  <c r="N966" i="2"/>
  <c r="M966" i="2"/>
  <c r="K966" i="2"/>
  <c r="I966" i="2"/>
  <c r="E966" i="2"/>
  <c r="P965" i="2"/>
  <c r="O965" i="2"/>
  <c r="Q965" i="2" s="1"/>
  <c r="R965" i="2" s="1"/>
  <c r="N965" i="2"/>
  <c r="M965" i="2"/>
  <c r="K965" i="2"/>
  <c r="I965" i="2"/>
  <c r="E965" i="2"/>
  <c r="P964" i="2"/>
  <c r="O964" i="2"/>
  <c r="Q964" i="2" s="1"/>
  <c r="R964" i="2" s="1"/>
  <c r="N964" i="2"/>
  <c r="M964" i="2"/>
  <c r="K964" i="2"/>
  <c r="I964" i="2"/>
  <c r="E964" i="2"/>
  <c r="Q963" i="2"/>
  <c r="R963" i="2" s="1"/>
  <c r="P963" i="2"/>
  <c r="O963" i="2"/>
  <c r="N963" i="2"/>
  <c r="M963" i="2"/>
  <c r="K963" i="2"/>
  <c r="I963" i="2"/>
  <c r="E963" i="2"/>
  <c r="P962" i="2"/>
  <c r="O962" i="2"/>
  <c r="Q962" i="2" s="1"/>
  <c r="R962" i="2" s="1"/>
  <c r="N962" i="2"/>
  <c r="M962" i="2"/>
  <c r="K962" i="2"/>
  <c r="I962" i="2"/>
  <c r="E962" i="2"/>
  <c r="P961" i="2"/>
  <c r="O961" i="2"/>
  <c r="Q961" i="2" s="1"/>
  <c r="R961" i="2" s="1"/>
  <c r="N961" i="2"/>
  <c r="M961" i="2"/>
  <c r="K961" i="2"/>
  <c r="I961" i="2"/>
  <c r="E961" i="2"/>
  <c r="R960" i="2"/>
  <c r="P960" i="2"/>
  <c r="O960" i="2"/>
  <c r="Q960" i="2" s="1"/>
  <c r="N960" i="2"/>
  <c r="M960" i="2"/>
  <c r="K960" i="2"/>
  <c r="I960" i="2"/>
  <c r="E960" i="2"/>
  <c r="Q959" i="2"/>
  <c r="R959" i="2" s="1"/>
  <c r="P959" i="2"/>
  <c r="O959" i="2"/>
  <c r="N959" i="2"/>
  <c r="M959" i="2"/>
  <c r="K959" i="2"/>
  <c r="I959" i="2"/>
  <c r="E959" i="2"/>
  <c r="P958" i="2"/>
  <c r="O958" i="2"/>
  <c r="Q958" i="2" s="1"/>
  <c r="R958" i="2" s="1"/>
  <c r="N958" i="2"/>
  <c r="M958" i="2"/>
  <c r="K958" i="2"/>
  <c r="I958" i="2"/>
  <c r="E958" i="2"/>
  <c r="P957" i="2"/>
  <c r="O957" i="2"/>
  <c r="Q957" i="2" s="1"/>
  <c r="R957" i="2" s="1"/>
  <c r="N957" i="2"/>
  <c r="M957" i="2"/>
  <c r="K957" i="2"/>
  <c r="I957" i="2"/>
  <c r="E957" i="2"/>
  <c r="P956" i="2"/>
  <c r="O956" i="2"/>
  <c r="Q956" i="2" s="1"/>
  <c r="R956" i="2" s="1"/>
  <c r="N956" i="2"/>
  <c r="M956" i="2"/>
  <c r="K956" i="2"/>
  <c r="I956" i="2"/>
  <c r="E956" i="2"/>
  <c r="P955" i="2"/>
  <c r="O955" i="2"/>
  <c r="Q955" i="2" s="1"/>
  <c r="R955" i="2" s="1"/>
  <c r="N955" i="2"/>
  <c r="M955" i="2"/>
  <c r="K955" i="2"/>
  <c r="I955" i="2"/>
  <c r="E955" i="2"/>
  <c r="P954" i="2"/>
  <c r="O954" i="2"/>
  <c r="Q954" i="2" s="1"/>
  <c r="R954" i="2" s="1"/>
  <c r="N954" i="2"/>
  <c r="M954" i="2"/>
  <c r="K954" i="2"/>
  <c r="I954" i="2"/>
  <c r="E954" i="2"/>
  <c r="P953" i="2"/>
  <c r="O953" i="2"/>
  <c r="Q953" i="2" s="1"/>
  <c r="R953" i="2" s="1"/>
  <c r="N953" i="2"/>
  <c r="M953" i="2"/>
  <c r="K953" i="2"/>
  <c r="I953" i="2"/>
  <c r="E953" i="2"/>
  <c r="P952" i="2"/>
  <c r="O952" i="2"/>
  <c r="Q952" i="2" s="1"/>
  <c r="R952" i="2" s="1"/>
  <c r="N952" i="2"/>
  <c r="M952" i="2"/>
  <c r="K952" i="2"/>
  <c r="I952" i="2"/>
  <c r="E952" i="2"/>
  <c r="Q951" i="2"/>
  <c r="R951" i="2" s="1"/>
  <c r="P951" i="2"/>
  <c r="O951" i="2"/>
  <c r="N951" i="2"/>
  <c r="M951" i="2"/>
  <c r="K951" i="2"/>
  <c r="I951" i="2"/>
  <c r="E951" i="2"/>
  <c r="P950" i="2"/>
  <c r="O950" i="2"/>
  <c r="Q950" i="2" s="1"/>
  <c r="R950" i="2" s="1"/>
  <c r="N950" i="2"/>
  <c r="M950" i="2"/>
  <c r="K950" i="2"/>
  <c r="I950" i="2"/>
  <c r="E950" i="2"/>
  <c r="P949" i="2"/>
  <c r="O949" i="2"/>
  <c r="Q949" i="2" s="1"/>
  <c r="R949" i="2" s="1"/>
  <c r="N949" i="2"/>
  <c r="M949" i="2"/>
  <c r="K949" i="2"/>
  <c r="I949" i="2"/>
  <c r="E949" i="2"/>
  <c r="P948" i="2"/>
  <c r="O948" i="2"/>
  <c r="Q948" i="2" s="1"/>
  <c r="R948" i="2" s="1"/>
  <c r="N948" i="2"/>
  <c r="M948" i="2"/>
  <c r="K948" i="2"/>
  <c r="I948" i="2"/>
  <c r="E948" i="2"/>
  <c r="P947" i="2"/>
  <c r="O947" i="2"/>
  <c r="Q947" i="2" s="1"/>
  <c r="R947" i="2" s="1"/>
  <c r="N947" i="2"/>
  <c r="M947" i="2"/>
  <c r="K947" i="2"/>
  <c r="I947" i="2"/>
  <c r="E947" i="2"/>
  <c r="R946" i="2"/>
  <c r="Q946" i="2"/>
  <c r="P946" i="2"/>
  <c r="O946" i="2"/>
  <c r="N946" i="2"/>
  <c r="M946" i="2"/>
  <c r="K946" i="2"/>
  <c r="I946" i="2"/>
  <c r="E946" i="2"/>
  <c r="P945" i="2"/>
  <c r="O945" i="2"/>
  <c r="Q945" i="2" s="1"/>
  <c r="R945" i="2" s="1"/>
  <c r="N945" i="2"/>
  <c r="M945" i="2"/>
  <c r="K945" i="2"/>
  <c r="I945" i="2"/>
  <c r="E945" i="2"/>
  <c r="P944" i="2"/>
  <c r="O944" i="2"/>
  <c r="Q944" i="2" s="1"/>
  <c r="R944" i="2" s="1"/>
  <c r="N944" i="2"/>
  <c r="M944" i="2"/>
  <c r="K944" i="2"/>
  <c r="I944" i="2"/>
  <c r="E944" i="2"/>
  <c r="P943" i="2"/>
  <c r="O943" i="2"/>
  <c r="Q943" i="2" s="1"/>
  <c r="R943" i="2" s="1"/>
  <c r="N943" i="2"/>
  <c r="M943" i="2"/>
  <c r="K943" i="2"/>
  <c r="I943" i="2"/>
  <c r="E943" i="2"/>
  <c r="P942" i="2"/>
  <c r="O942" i="2"/>
  <c r="Q942" i="2" s="1"/>
  <c r="R942" i="2" s="1"/>
  <c r="N942" i="2"/>
  <c r="M942" i="2"/>
  <c r="K942" i="2"/>
  <c r="I942" i="2"/>
  <c r="E942" i="2"/>
  <c r="P941" i="2"/>
  <c r="O941" i="2"/>
  <c r="Q941" i="2" s="1"/>
  <c r="R941" i="2" s="1"/>
  <c r="N941" i="2"/>
  <c r="M941" i="2"/>
  <c r="K941" i="2"/>
  <c r="I941" i="2"/>
  <c r="E941" i="2"/>
  <c r="P940" i="2"/>
  <c r="O940" i="2"/>
  <c r="Q940" i="2" s="1"/>
  <c r="R940" i="2" s="1"/>
  <c r="N940" i="2"/>
  <c r="M940" i="2"/>
  <c r="K940" i="2"/>
  <c r="I940" i="2"/>
  <c r="E940" i="2"/>
  <c r="Q939" i="2"/>
  <c r="R939" i="2" s="1"/>
  <c r="P939" i="2"/>
  <c r="O939" i="2"/>
  <c r="N939" i="2"/>
  <c r="M939" i="2"/>
  <c r="K939" i="2"/>
  <c r="I939" i="2"/>
  <c r="E939" i="2"/>
  <c r="Q938" i="2"/>
  <c r="R938" i="2" s="1"/>
  <c r="P938" i="2"/>
  <c r="O938" i="2"/>
  <c r="N938" i="2"/>
  <c r="M938" i="2"/>
  <c r="K938" i="2"/>
  <c r="I938" i="2"/>
  <c r="E938" i="2"/>
  <c r="P937" i="2"/>
  <c r="O937" i="2"/>
  <c r="Q937" i="2" s="1"/>
  <c r="R937" i="2" s="1"/>
  <c r="N937" i="2"/>
  <c r="M937" i="2"/>
  <c r="K937" i="2"/>
  <c r="I937" i="2"/>
  <c r="E937" i="2"/>
  <c r="P936" i="2"/>
  <c r="O936" i="2"/>
  <c r="Q936" i="2" s="1"/>
  <c r="R936" i="2" s="1"/>
  <c r="N936" i="2"/>
  <c r="M936" i="2"/>
  <c r="K936" i="2"/>
  <c r="I936" i="2"/>
  <c r="E936" i="2"/>
  <c r="Q935" i="2"/>
  <c r="R935" i="2" s="1"/>
  <c r="P935" i="2"/>
  <c r="O935" i="2"/>
  <c r="N935" i="2"/>
  <c r="M935" i="2"/>
  <c r="K935" i="2"/>
  <c r="I935" i="2"/>
  <c r="E935" i="2"/>
  <c r="P934" i="2"/>
  <c r="O934" i="2"/>
  <c r="Q934" i="2" s="1"/>
  <c r="R934" i="2" s="1"/>
  <c r="N934" i="2"/>
  <c r="M934" i="2"/>
  <c r="K934" i="2"/>
  <c r="I934" i="2"/>
  <c r="E934" i="2"/>
  <c r="P933" i="2"/>
  <c r="O933" i="2"/>
  <c r="Q933" i="2" s="1"/>
  <c r="R933" i="2" s="1"/>
  <c r="N933" i="2"/>
  <c r="M933" i="2"/>
  <c r="K933" i="2"/>
  <c r="I933" i="2"/>
  <c r="E933" i="2"/>
  <c r="P932" i="2"/>
  <c r="O932" i="2"/>
  <c r="Q932" i="2" s="1"/>
  <c r="R932" i="2" s="1"/>
  <c r="N932" i="2"/>
  <c r="M932" i="2"/>
  <c r="K932" i="2"/>
  <c r="I932" i="2"/>
  <c r="E932" i="2"/>
  <c r="P931" i="2"/>
  <c r="O931" i="2"/>
  <c r="Q931" i="2" s="1"/>
  <c r="R931" i="2" s="1"/>
  <c r="N931" i="2"/>
  <c r="M931" i="2"/>
  <c r="K931" i="2"/>
  <c r="I931" i="2"/>
  <c r="E931" i="2"/>
  <c r="P930" i="2"/>
  <c r="O930" i="2"/>
  <c r="Q930" i="2" s="1"/>
  <c r="R930" i="2" s="1"/>
  <c r="N930" i="2"/>
  <c r="M930" i="2"/>
  <c r="K930" i="2"/>
  <c r="I930" i="2"/>
  <c r="E930" i="2"/>
  <c r="P929" i="2"/>
  <c r="O929" i="2"/>
  <c r="Q929" i="2" s="1"/>
  <c r="R929" i="2" s="1"/>
  <c r="N929" i="2"/>
  <c r="M929" i="2"/>
  <c r="K929" i="2"/>
  <c r="I929" i="2"/>
  <c r="E929" i="2"/>
  <c r="P928" i="2"/>
  <c r="O928" i="2"/>
  <c r="Q928" i="2" s="1"/>
  <c r="R928" i="2" s="1"/>
  <c r="N928" i="2"/>
  <c r="M928" i="2"/>
  <c r="K928" i="2"/>
  <c r="I928" i="2"/>
  <c r="E928" i="2"/>
  <c r="Q927" i="2"/>
  <c r="R927" i="2" s="1"/>
  <c r="P927" i="2"/>
  <c r="O927" i="2"/>
  <c r="N927" i="2"/>
  <c r="M927" i="2"/>
  <c r="K927" i="2"/>
  <c r="I927" i="2"/>
  <c r="E927" i="2"/>
  <c r="P926" i="2"/>
  <c r="O926" i="2"/>
  <c r="Q926" i="2" s="1"/>
  <c r="R926" i="2" s="1"/>
  <c r="N926" i="2"/>
  <c r="M926" i="2"/>
  <c r="K926" i="2"/>
  <c r="I926" i="2"/>
  <c r="E926" i="2"/>
  <c r="P925" i="2"/>
  <c r="O925" i="2"/>
  <c r="Q925" i="2" s="1"/>
  <c r="R925" i="2" s="1"/>
  <c r="N925" i="2"/>
  <c r="M925" i="2"/>
  <c r="K925" i="2"/>
  <c r="I925" i="2"/>
  <c r="E925" i="2"/>
  <c r="P923" i="2"/>
  <c r="O923" i="2"/>
  <c r="Q923" i="2" s="1"/>
  <c r="R923" i="2" s="1"/>
  <c r="N923" i="2"/>
  <c r="M923" i="2"/>
  <c r="K923" i="2"/>
  <c r="I923" i="2"/>
  <c r="E923" i="2"/>
  <c r="P922" i="2"/>
  <c r="O922" i="2"/>
  <c r="Q922" i="2" s="1"/>
  <c r="R922" i="2" s="1"/>
  <c r="N922" i="2"/>
  <c r="M922" i="2"/>
  <c r="K922" i="2"/>
  <c r="I922" i="2"/>
  <c r="E922" i="2"/>
  <c r="R921" i="2"/>
  <c r="Q921" i="2"/>
  <c r="P921" i="2"/>
  <c r="O921" i="2"/>
  <c r="N921" i="2"/>
  <c r="M921" i="2"/>
  <c r="K921" i="2"/>
  <c r="I921" i="2"/>
  <c r="E921" i="2"/>
  <c r="P920" i="2"/>
  <c r="O920" i="2"/>
  <c r="Q920" i="2" s="1"/>
  <c r="R920" i="2" s="1"/>
  <c r="N920" i="2"/>
  <c r="M920" i="2"/>
  <c r="K920" i="2"/>
  <c r="I920" i="2"/>
  <c r="E920" i="2"/>
  <c r="P919" i="2"/>
  <c r="O919" i="2"/>
  <c r="Q919" i="2" s="1"/>
  <c r="R919" i="2" s="1"/>
  <c r="N919" i="2"/>
  <c r="M919" i="2"/>
  <c r="K919" i="2"/>
  <c r="I919" i="2"/>
  <c r="E919" i="2"/>
  <c r="P918" i="2"/>
  <c r="O918" i="2"/>
  <c r="Q918" i="2" s="1"/>
  <c r="R918" i="2" s="1"/>
  <c r="N918" i="2"/>
  <c r="M918" i="2"/>
  <c r="K918" i="2"/>
  <c r="I918" i="2"/>
  <c r="E918" i="2"/>
  <c r="P917" i="2"/>
  <c r="O917" i="2"/>
  <c r="Q917" i="2" s="1"/>
  <c r="R917" i="2" s="1"/>
  <c r="N917" i="2"/>
  <c r="M917" i="2"/>
  <c r="K917" i="2"/>
  <c r="I917" i="2"/>
  <c r="E917" i="2"/>
  <c r="P916" i="2"/>
  <c r="O916" i="2"/>
  <c r="Q916" i="2" s="1"/>
  <c r="R916" i="2" s="1"/>
  <c r="N916" i="2"/>
  <c r="M916" i="2"/>
  <c r="K916" i="2"/>
  <c r="I916" i="2"/>
  <c r="E916" i="2"/>
  <c r="P915" i="2"/>
  <c r="O915" i="2"/>
  <c r="Q915" i="2" s="1"/>
  <c r="R915" i="2" s="1"/>
  <c r="N915" i="2"/>
  <c r="M915" i="2"/>
  <c r="K915" i="2"/>
  <c r="I915" i="2"/>
  <c r="E915" i="2"/>
  <c r="P914" i="2"/>
  <c r="O914" i="2"/>
  <c r="Q914" i="2" s="1"/>
  <c r="R914" i="2" s="1"/>
  <c r="N914" i="2"/>
  <c r="M914" i="2"/>
  <c r="K914" i="2"/>
  <c r="I914" i="2"/>
  <c r="E914" i="2"/>
  <c r="P913" i="2"/>
  <c r="O913" i="2"/>
  <c r="Q913" i="2" s="1"/>
  <c r="R913" i="2" s="1"/>
  <c r="N913" i="2"/>
  <c r="M913" i="2"/>
  <c r="K913" i="2"/>
  <c r="I913" i="2"/>
  <c r="E913" i="2"/>
  <c r="P912" i="2"/>
  <c r="O912" i="2"/>
  <c r="Q912" i="2" s="1"/>
  <c r="R912" i="2" s="1"/>
  <c r="N912" i="2"/>
  <c r="M912" i="2"/>
  <c r="K912" i="2"/>
  <c r="I912" i="2"/>
  <c r="E912" i="2"/>
  <c r="P911" i="2"/>
  <c r="O911" i="2"/>
  <c r="Q911" i="2" s="1"/>
  <c r="R911" i="2" s="1"/>
  <c r="N911" i="2"/>
  <c r="M911" i="2"/>
  <c r="K911" i="2"/>
  <c r="I911" i="2"/>
  <c r="E911" i="2"/>
  <c r="P910" i="2"/>
  <c r="O910" i="2"/>
  <c r="Q910" i="2" s="1"/>
  <c r="R910" i="2" s="1"/>
  <c r="N910" i="2"/>
  <c r="M910" i="2"/>
  <c r="K910" i="2"/>
  <c r="I910" i="2"/>
  <c r="E910" i="2"/>
  <c r="P909" i="2"/>
  <c r="O909" i="2"/>
  <c r="Q909" i="2" s="1"/>
  <c r="R909" i="2" s="1"/>
  <c r="N909" i="2"/>
  <c r="M909" i="2"/>
  <c r="K909" i="2"/>
  <c r="I909" i="2"/>
  <c r="E909" i="2"/>
  <c r="Q908" i="2"/>
  <c r="R908" i="2" s="1"/>
  <c r="P908" i="2"/>
  <c r="O908" i="2"/>
  <c r="N908" i="2"/>
  <c r="M908" i="2"/>
  <c r="K908" i="2"/>
  <c r="I908" i="2"/>
  <c r="E908" i="2"/>
  <c r="P907" i="2"/>
  <c r="O907" i="2"/>
  <c r="Q907" i="2" s="1"/>
  <c r="R907" i="2" s="1"/>
  <c r="N907" i="2"/>
  <c r="M907" i="2"/>
  <c r="K907" i="2"/>
  <c r="I907" i="2"/>
  <c r="E907" i="2"/>
  <c r="P906" i="2"/>
  <c r="O906" i="2"/>
  <c r="Q906" i="2" s="1"/>
  <c r="R906" i="2" s="1"/>
  <c r="N906" i="2"/>
  <c r="M906" i="2"/>
  <c r="K906" i="2"/>
  <c r="I906" i="2"/>
  <c r="E906" i="2"/>
  <c r="P905" i="2"/>
  <c r="O905" i="2"/>
  <c r="Q905" i="2" s="1"/>
  <c r="R905" i="2" s="1"/>
  <c r="N905" i="2"/>
  <c r="M905" i="2"/>
  <c r="K905" i="2"/>
  <c r="I905" i="2"/>
  <c r="E905" i="2"/>
  <c r="Q904" i="2"/>
  <c r="R904" i="2" s="1"/>
  <c r="P904" i="2"/>
  <c r="O904" i="2"/>
  <c r="N904" i="2"/>
  <c r="M904" i="2"/>
  <c r="K904" i="2"/>
  <c r="I904" i="2"/>
  <c r="E904" i="2"/>
  <c r="P903" i="2"/>
  <c r="O903" i="2"/>
  <c r="Q903" i="2" s="1"/>
  <c r="R903" i="2" s="1"/>
  <c r="N903" i="2"/>
  <c r="M903" i="2"/>
  <c r="K903" i="2"/>
  <c r="I903" i="2"/>
  <c r="E903" i="2"/>
  <c r="P902" i="2"/>
  <c r="O902" i="2"/>
  <c r="Q902" i="2" s="1"/>
  <c r="R902" i="2" s="1"/>
  <c r="N902" i="2"/>
  <c r="M902" i="2"/>
  <c r="K902" i="2"/>
  <c r="I902" i="2"/>
  <c r="E902" i="2"/>
  <c r="Q901" i="2"/>
  <c r="R901" i="2" s="1"/>
  <c r="P901" i="2"/>
  <c r="O901" i="2"/>
  <c r="N901" i="2"/>
  <c r="M901" i="2"/>
  <c r="K901" i="2"/>
  <c r="I901" i="2"/>
  <c r="E901" i="2"/>
  <c r="P900" i="2"/>
  <c r="O900" i="2"/>
  <c r="Q900" i="2" s="1"/>
  <c r="R900" i="2" s="1"/>
  <c r="N900" i="2"/>
  <c r="M900" i="2"/>
  <c r="K900" i="2"/>
  <c r="I900" i="2"/>
  <c r="E900" i="2"/>
  <c r="P899" i="2"/>
  <c r="O899" i="2"/>
  <c r="Q899" i="2" s="1"/>
  <c r="R899" i="2" s="1"/>
  <c r="N899" i="2"/>
  <c r="M899" i="2"/>
  <c r="K899" i="2"/>
  <c r="I899" i="2"/>
  <c r="E899" i="2"/>
  <c r="P898" i="2"/>
  <c r="O898" i="2"/>
  <c r="Q898" i="2" s="1"/>
  <c r="R898" i="2" s="1"/>
  <c r="N898" i="2"/>
  <c r="M898" i="2"/>
  <c r="K898" i="2"/>
  <c r="I898" i="2"/>
  <c r="E898" i="2"/>
  <c r="Q897" i="2"/>
  <c r="R897" i="2" s="1"/>
  <c r="P897" i="2"/>
  <c r="O897" i="2"/>
  <c r="N897" i="2"/>
  <c r="M897" i="2"/>
  <c r="K897" i="2"/>
  <c r="I897" i="2"/>
  <c r="E897" i="2"/>
  <c r="P896" i="2"/>
  <c r="O896" i="2"/>
  <c r="Q896" i="2" s="1"/>
  <c r="R896" i="2" s="1"/>
  <c r="N896" i="2"/>
  <c r="M896" i="2"/>
  <c r="K896" i="2"/>
  <c r="I896" i="2"/>
  <c r="E896" i="2"/>
  <c r="P895" i="2"/>
  <c r="O895" i="2"/>
  <c r="Q895" i="2" s="1"/>
  <c r="R895" i="2" s="1"/>
  <c r="N895" i="2"/>
  <c r="M895" i="2"/>
  <c r="K895" i="2"/>
  <c r="I895" i="2"/>
  <c r="E895" i="2"/>
  <c r="P894" i="2"/>
  <c r="O894" i="2"/>
  <c r="Q894" i="2" s="1"/>
  <c r="R894" i="2" s="1"/>
  <c r="N894" i="2"/>
  <c r="M894" i="2"/>
  <c r="K894" i="2"/>
  <c r="I894" i="2"/>
  <c r="E894" i="2"/>
  <c r="R893" i="2"/>
  <c r="Q893" i="2"/>
  <c r="P893" i="2"/>
  <c r="O893" i="2"/>
  <c r="N893" i="2"/>
  <c r="M893" i="2"/>
  <c r="K893" i="2"/>
  <c r="I893" i="2"/>
  <c r="E893" i="2"/>
  <c r="P892" i="2"/>
  <c r="O892" i="2"/>
  <c r="Q892" i="2" s="1"/>
  <c r="R892" i="2" s="1"/>
  <c r="N892" i="2"/>
  <c r="M892" i="2"/>
  <c r="K892" i="2"/>
  <c r="I892" i="2"/>
  <c r="E892" i="2"/>
  <c r="P891" i="2"/>
  <c r="O891" i="2"/>
  <c r="Q891" i="2" s="1"/>
  <c r="R891" i="2" s="1"/>
  <c r="N891" i="2"/>
  <c r="M891" i="2"/>
  <c r="K891" i="2"/>
  <c r="I891" i="2"/>
  <c r="E891" i="2"/>
  <c r="P890" i="2"/>
  <c r="O890" i="2"/>
  <c r="Q890" i="2" s="1"/>
  <c r="R890" i="2" s="1"/>
  <c r="N890" i="2"/>
  <c r="M890" i="2"/>
  <c r="K890" i="2"/>
  <c r="I890" i="2"/>
  <c r="E890" i="2"/>
  <c r="P889" i="2"/>
  <c r="O889" i="2"/>
  <c r="Q889" i="2" s="1"/>
  <c r="R889" i="2" s="1"/>
  <c r="N889" i="2"/>
  <c r="M889" i="2"/>
  <c r="K889" i="2"/>
  <c r="I889" i="2"/>
  <c r="E889" i="2"/>
  <c r="P888" i="2"/>
  <c r="O888" i="2"/>
  <c r="Q888" i="2" s="1"/>
  <c r="R888" i="2" s="1"/>
  <c r="N888" i="2"/>
  <c r="M888" i="2"/>
  <c r="K888" i="2"/>
  <c r="I888" i="2"/>
  <c r="E888" i="2"/>
  <c r="P887" i="2"/>
  <c r="O887" i="2"/>
  <c r="Q887" i="2" s="1"/>
  <c r="R887" i="2" s="1"/>
  <c r="N887" i="2"/>
  <c r="M887" i="2"/>
  <c r="K887" i="2"/>
  <c r="I887" i="2"/>
  <c r="E887" i="2"/>
  <c r="P886" i="2"/>
  <c r="O886" i="2"/>
  <c r="Q886" i="2" s="1"/>
  <c r="R886" i="2" s="1"/>
  <c r="N886" i="2"/>
  <c r="M886" i="2"/>
  <c r="K886" i="2"/>
  <c r="I886" i="2"/>
  <c r="E886" i="2"/>
  <c r="P885" i="2"/>
  <c r="O885" i="2"/>
  <c r="Q885" i="2" s="1"/>
  <c r="R885" i="2" s="1"/>
  <c r="N885" i="2"/>
  <c r="M885" i="2"/>
  <c r="K885" i="2"/>
  <c r="I885" i="2"/>
  <c r="E885" i="2"/>
  <c r="Q884" i="2"/>
  <c r="R884" i="2" s="1"/>
  <c r="P884" i="2"/>
  <c r="O884" i="2"/>
  <c r="N884" i="2"/>
  <c r="M884" i="2"/>
  <c r="K884" i="2"/>
  <c r="I884" i="2"/>
  <c r="E884" i="2"/>
  <c r="P883" i="2"/>
  <c r="O883" i="2"/>
  <c r="Q883" i="2" s="1"/>
  <c r="R883" i="2" s="1"/>
  <c r="N883" i="2"/>
  <c r="M883" i="2"/>
  <c r="K883" i="2"/>
  <c r="I883" i="2"/>
  <c r="E883" i="2"/>
  <c r="P882" i="2"/>
  <c r="O882" i="2"/>
  <c r="Q882" i="2" s="1"/>
  <c r="R882" i="2" s="1"/>
  <c r="N882" i="2"/>
  <c r="M882" i="2"/>
  <c r="K882" i="2"/>
  <c r="I882" i="2"/>
  <c r="E882" i="2"/>
  <c r="P881" i="2"/>
  <c r="O881" i="2"/>
  <c r="Q881" i="2" s="1"/>
  <c r="R881" i="2" s="1"/>
  <c r="N881" i="2"/>
  <c r="M881" i="2"/>
  <c r="K881" i="2"/>
  <c r="I881" i="2"/>
  <c r="E881" i="2"/>
  <c r="Q880" i="2"/>
  <c r="R880" i="2" s="1"/>
  <c r="P880" i="2"/>
  <c r="O880" i="2"/>
  <c r="N880" i="2"/>
  <c r="M880" i="2"/>
  <c r="K880" i="2"/>
  <c r="I880" i="2"/>
  <c r="E880" i="2"/>
  <c r="P879" i="2"/>
  <c r="O879" i="2"/>
  <c r="Q879" i="2" s="1"/>
  <c r="R879" i="2" s="1"/>
  <c r="N879" i="2"/>
  <c r="M879" i="2"/>
  <c r="K879" i="2"/>
  <c r="I879" i="2"/>
  <c r="E879" i="2"/>
  <c r="P878" i="2"/>
  <c r="O878" i="2"/>
  <c r="Q878" i="2" s="1"/>
  <c r="R878" i="2" s="1"/>
  <c r="N878" i="2"/>
  <c r="M878" i="2"/>
  <c r="K878" i="2"/>
  <c r="I878" i="2"/>
  <c r="E878" i="2"/>
  <c r="Q877" i="2"/>
  <c r="R877" i="2" s="1"/>
  <c r="P877" i="2"/>
  <c r="O877" i="2"/>
  <c r="N877" i="2"/>
  <c r="M877" i="2"/>
  <c r="K877" i="2"/>
  <c r="I877" i="2"/>
  <c r="E877" i="2"/>
  <c r="Q876" i="2"/>
  <c r="R876" i="2" s="1"/>
  <c r="P876" i="2"/>
  <c r="O876" i="2"/>
  <c r="N876" i="2"/>
  <c r="M876" i="2"/>
  <c r="K876" i="2"/>
  <c r="I876" i="2"/>
  <c r="E876" i="2"/>
  <c r="P875" i="2"/>
  <c r="O875" i="2"/>
  <c r="Q875" i="2" s="1"/>
  <c r="R875" i="2" s="1"/>
  <c r="N875" i="2"/>
  <c r="M875" i="2"/>
  <c r="K875" i="2"/>
  <c r="I875" i="2"/>
  <c r="E875" i="2"/>
  <c r="P874" i="2"/>
  <c r="O874" i="2"/>
  <c r="Q874" i="2" s="1"/>
  <c r="R874" i="2" s="1"/>
  <c r="N874" i="2"/>
  <c r="M874" i="2"/>
  <c r="K874" i="2"/>
  <c r="I874" i="2"/>
  <c r="E874" i="2"/>
  <c r="R873" i="2"/>
  <c r="Q873" i="2"/>
  <c r="P873" i="2"/>
  <c r="O873" i="2"/>
  <c r="N873" i="2"/>
  <c r="M873" i="2"/>
  <c r="K873" i="2"/>
  <c r="I873" i="2"/>
  <c r="E873" i="2"/>
  <c r="P872" i="2"/>
  <c r="O872" i="2"/>
  <c r="Q872" i="2" s="1"/>
  <c r="R872" i="2" s="1"/>
  <c r="N872" i="2"/>
  <c r="M872" i="2"/>
  <c r="K872" i="2"/>
  <c r="I872" i="2"/>
  <c r="E872" i="2"/>
  <c r="P871" i="2"/>
  <c r="O871" i="2"/>
  <c r="Q871" i="2" s="1"/>
  <c r="R871" i="2" s="1"/>
  <c r="N871" i="2"/>
  <c r="M871" i="2"/>
  <c r="K871" i="2"/>
  <c r="I871" i="2"/>
  <c r="E871" i="2"/>
  <c r="P870" i="2"/>
  <c r="O870" i="2"/>
  <c r="Q870" i="2" s="1"/>
  <c r="R870" i="2" s="1"/>
  <c r="N870" i="2"/>
  <c r="M870" i="2"/>
  <c r="K870" i="2"/>
  <c r="I870" i="2"/>
  <c r="E870" i="2"/>
  <c r="P869" i="2"/>
  <c r="O869" i="2"/>
  <c r="Q869" i="2" s="1"/>
  <c r="R869" i="2" s="1"/>
  <c r="N869" i="2"/>
  <c r="M869" i="2"/>
  <c r="K869" i="2"/>
  <c r="I869" i="2"/>
  <c r="E869" i="2"/>
  <c r="P868" i="2"/>
  <c r="O868" i="2"/>
  <c r="Q868" i="2" s="1"/>
  <c r="R868" i="2" s="1"/>
  <c r="N868" i="2"/>
  <c r="M868" i="2"/>
  <c r="K868" i="2"/>
  <c r="I868" i="2"/>
  <c r="E868" i="2"/>
  <c r="P867" i="2"/>
  <c r="O867" i="2"/>
  <c r="Q867" i="2" s="1"/>
  <c r="R867" i="2" s="1"/>
  <c r="N867" i="2"/>
  <c r="M867" i="2"/>
  <c r="K867" i="2"/>
  <c r="I867" i="2"/>
  <c r="E867" i="2"/>
  <c r="P866" i="2"/>
  <c r="O866" i="2"/>
  <c r="Q866" i="2" s="1"/>
  <c r="R866" i="2" s="1"/>
  <c r="N866" i="2"/>
  <c r="M866" i="2"/>
  <c r="K866" i="2"/>
  <c r="I866" i="2"/>
  <c r="E866" i="2"/>
  <c r="P865" i="2"/>
  <c r="O865" i="2"/>
  <c r="Q865" i="2" s="1"/>
  <c r="R865" i="2" s="1"/>
  <c r="N865" i="2"/>
  <c r="M865" i="2"/>
  <c r="K865" i="2"/>
  <c r="I865" i="2"/>
  <c r="E865" i="2"/>
  <c r="Q864" i="2"/>
  <c r="R864" i="2" s="1"/>
  <c r="P864" i="2"/>
  <c r="O864" i="2"/>
  <c r="N864" i="2"/>
  <c r="M864" i="2"/>
  <c r="K864" i="2"/>
  <c r="I864" i="2"/>
  <c r="E864" i="2"/>
  <c r="P863" i="2"/>
  <c r="O863" i="2"/>
  <c r="Q863" i="2" s="1"/>
  <c r="R863" i="2" s="1"/>
  <c r="N863" i="2"/>
  <c r="M863" i="2"/>
  <c r="K863" i="2"/>
  <c r="I863" i="2"/>
  <c r="E863" i="2"/>
  <c r="P862" i="2"/>
  <c r="O862" i="2"/>
  <c r="Q862" i="2" s="1"/>
  <c r="R862" i="2" s="1"/>
  <c r="N862" i="2"/>
  <c r="M862" i="2"/>
  <c r="K862" i="2"/>
  <c r="I862" i="2"/>
  <c r="E862" i="2"/>
  <c r="P861" i="2"/>
  <c r="O861" i="2"/>
  <c r="Q861" i="2" s="1"/>
  <c r="R861" i="2" s="1"/>
  <c r="N861" i="2"/>
  <c r="M861" i="2"/>
  <c r="K861" i="2"/>
  <c r="I861" i="2"/>
  <c r="E861" i="2"/>
  <c r="Q860" i="2"/>
  <c r="R860" i="2" s="1"/>
  <c r="P860" i="2"/>
  <c r="O860" i="2"/>
  <c r="N860" i="2"/>
  <c r="M860" i="2"/>
  <c r="K860" i="2"/>
  <c r="I860" i="2"/>
  <c r="E860" i="2"/>
  <c r="P859" i="2"/>
  <c r="O859" i="2"/>
  <c r="Q859" i="2" s="1"/>
  <c r="R859" i="2" s="1"/>
  <c r="N859" i="2"/>
  <c r="M859" i="2"/>
  <c r="K859" i="2"/>
  <c r="I859" i="2"/>
  <c r="E859" i="2"/>
  <c r="P858" i="2"/>
  <c r="O858" i="2"/>
  <c r="Q858" i="2" s="1"/>
  <c r="R858" i="2" s="1"/>
  <c r="N858" i="2"/>
  <c r="M858" i="2"/>
  <c r="K858" i="2"/>
  <c r="I858" i="2"/>
  <c r="E858" i="2"/>
  <c r="Q857" i="2"/>
  <c r="R857" i="2" s="1"/>
  <c r="P857" i="2"/>
  <c r="O857" i="2"/>
  <c r="N857" i="2"/>
  <c r="M857" i="2"/>
  <c r="K857" i="2"/>
  <c r="I857" i="2"/>
  <c r="E857" i="2"/>
  <c r="P856" i="2"/>
  <c r="O856" i="2"/>
  <c r="Q856" i="2" s="1"/>
  <c r="R856" i="2" s="1"/>
  <c r="N856" i="2"/>
  <c r="M856" i="2"/>
  <c r="K856" i="2"/>
  <c r="I856" i="2"/>
  <c r="E856" i="2"/>
  <c r="P855" i="2"/>
  <c r="O855" i="2"/>
  <c r="Q855" i="2" s="1"/>
  <c r="R855" i="2" s="1"/>
  <c r="N855" i="2"/>
  <c r="M855" i="2"/>
  <c r="K855" i="2"/>
  <c r="I855" i="2"/>
  <c r="E855" i="2"/>
  <c r="P854" i="2"/>
  <c r="O854" i="2"/>
  <c r="Q854" i="2" s="1"/>
  <c r="R854" i="2" s="1"/>
  <c r="N854" i="2"/>
  <c r="M854" i="2"/>
  <c r="K854" i="2"/>
  <c r="I854" i="2"/>
  <c r="E854" i="2"/>
  <c r="R853" i="2"/>
  <c r="Q853" i="2"/>
  <c r="P853" i="2"/>
  <c r="O853" i="2"/>
  <c r="N853" i="2"/>
  <c r="M853" i="2"/>
  <c r="K853" i="2"/>
  <c r="I853" i="2"/>
  <c r="E853" i="2"/>
  <c r="P852" i="2"/>
  <c r="O852" i="2"/>
  <c r="Q852" i="2" s="1"/>
  <c r="R852" i="2" s="1"/>
  <c r="N852" i="2"/>
  <c r="M852" i="2"/>
  <c r="K852" i="2"/>
  <c r="I852" i="2"/>
  <c r="E852" i="2"/>
  <c r="P851" i="2"/>
  <c r="O851" i="2"/>
  <c r="Q851" i="2" s="1"/>
  <c r="R851" i="2" s="1"/>
  <c r="N851" i="2"/>
  <c r="M851" i="2"/>
  <c r="K851" i="2"/>
  <c r="I851" i="2"/>
  <c r="E851" i="2"/>
  <c r="P850" i="2"/>
  <c r="O850" i="2"/>
  <c r="Q850" i="2" s="1"/>
  <c r="R850" i="2" s="1"/>
  <c r="N850" i="2"/>
  <c r="M850" i="2"/>
  <c r="K850" i="2"/>
  <c r="I850" i="2"/>
  <c r="E850" i="2"/>
  <c r="Q849" i="2"/>
  <c r="R849" i="2" s="1"/>
  <c r="P849" i="2"/>
  <c r="O849" i="2"/>
  <c r="N849" i="2"/>
  <c r="M849" i="2"/>
  <c r="K849" i="2"/>
  <c r="I849" i="2"/>
  <c r="E849" i="2"/>
  <c r="P848" i="2"/>
  <c r="O848" i="2"/>
  <c r="Q848" i="2" s="1"/>
  <c r="R848" i="2" s="1"/>
  <c r="N848" i="2"/>
  <c r="M848" i="2"/>
  <c r="K848" i="2"/>
  <c r="I848" i="2"/>
  <c r="E848" i="2"/>
  <c r="R847" i="2"/>
  <c r="P847" i="2"/>
  <c r="O847" i="2"/>
  <c r="Q847" i="2" s="1"/>
  <c r="N847" i="2"/>
  <c r="M847" i="2"/>
  <c r="K847" i="2"/>
  <c r="I847" i="2"/>
  <c r="E847" i="2"/>
  <c r="P846" i="2"/>
  <c r="O846" i="2"/>
  <c r="Q846" i="2" s="1"/>
  <c r="R846" i="2" s="1"/>
  <c r="N846" i="2"/>
  <c r="M846" i="2"/>
  <c r="K846" i="2"/>
  <c r="I846" i="2"/>
  <c r="E846" i="2"/>
  <c r="P845" i="2"/>
  <c r="O845" i="2"/>
  <c r="Q845" i="2" s="1"/>
  <c r="R845" i="2" s="1"/>
  <c r="N845" i="2"/>
  <c r="M845" i="2"/>
  <c r="K845" i="2"/>
  <c r="I845" i="2"/>
  <c r="E845" i="2"/>
  <c r="Q844" i="2"/>
  <c r="R844" i="2" s="1"/>
  <c r="P844" i="2"/>
  <c r="O844" i="2"/>
  <c r="N844" i="2"/>
  <c r="M844" i="2"/>
  <c r="K844" i="2"/>
  <c r="I844" i="2"/>
  <c r="E844" i="2"/>
  <c r="P843" i="2"/>
  <c r="O843" i="2"/>
  <c r="Q843" i="2" s="1"/>
  <c r="R843" i="2" s="1"/>
  <c r="N843" i="2"/>
  <c r="M843" i="2"/>
  <c r="K843" i="2"/>
  <c r="I843" i="2"/>
  <c r="E843" i="2"/>
  <c r="P842" i="2"/>
  <c r="O842" i="2"/>
  <c r="Q842" i="2" s="1"/>
  <c r="R842" i="2" s="1"/>
  <c r="N842" i="2"/>
  <c r="M842" i="2"/>
  <c r="K842" i="2"/>
  <c r="I842" i="2"/>
  <c r="E842" i="2"/>
  <c r="Q841" i="2"/>
  <c r="R841" i="2" s="1"/>
  <c r="P841" i="2"/>
  <c r="O841" i="2"/>
  <c r="N841" i="2"/>
  <c r="M841" i="2"/>
  <c r="K841" i="2"/>
  <c r="I841" i="2"/>
  <c r="E841" i="2"/>
  <c r="P840" i="2"/>
  <c r="O840" i="2"/>
  <c r="Q840" i="2" s="1"/>
  <c r="R840" i="2" s="1"/>
  <c r="N840" i="2"/>
  <c r="M840" i="2"/>
  <c r="K840" i="2"/>
  <c r="I840" i="2"/>
  <c r="E840" i="2"/>
  <c r="P839" i="2"/>
  <c r="O839" i="2"/>
  <c r="Q839" i="2" s="1"/>
  <c r="R839" i="2" s="1"/>
  <c r="N839" i="2"/>
  <c r="M839" i="2"/>
  <c r="K839" i="2"/>
  <c r="I839" i="2"/>
  <c r="E839" i="2"/>
  <c r="P838" i="2"/>
  <c r="O838" i="2"/>
  <c r="Q838" i="2" s="1"/>
  <c r="R838" i="2" s="1"/>
  <c r="N838" i="2"/>
  <c r="M838" i="2"/>
  <c r="K838" i="2"/>
  <c r="I838" i="2"/>
  <c r="E838" i="2"/>
  <c r="Q837" i="2"/>
  <c r="R837" i="2" s="1"/>
  <c r="P837" i="2"/>
  <c r="O837" i="2"/>
  <c r="N837" i="2"/>
  <c r="M837" i="2"/>
  <c r="K837" i="2"/>
  <c r="I837" i="2"/>
  <c r="E837" i="2"/>
  <c r="P836" i="2"/>
  <c r="O836" i="2"/>
  <c r="Q836" i="2" s="1"/>
  <c r="R836" i="2" s="1"/>
  <c r="N836" i="2"/>
  <c r="M836" i="2"/>
  <c r="K836" i="2"/>
  <c r="I836" i="2"/>
  <c r="E836" i="2"/>
  <c r="P834" i="2"/>
  <c r="O834" i="2"/>
  <c r="Q834" i="2" s="1"/>
  <c r="R834" i="2" s="1"/>
  <c r="N834" i="2"/>
  <c r="M834" i="2"/>
  <c r="K834" i="2"/>
  <c r="I834" i="2"/>
  <c r="E834" i="2"/>
  <c r="P833" i="2"/>
  <c r="O833" i="2"/>
  <c r="Q833" i="2" s="1"/>
  <c r="R833" i="2" s="1"/>
  <c r="N833" i="2"/>
  <c r="M833" i="2"/>
  <c r="K833" i="2"/>
  <c r="I833" i="2"/>
  <c r="E833" i="2"/>
  <c r="P832" i="2"/>
  <c r="O832" i="2"/>
  <c r="Q832" i="2" s="1"/>
  <c r="R832" i="2" s="1"/>
  <c r="N832" i="2"/>
  <c r="M832" i="2"/>
  <c r="K832" i="2"/>
  <c r="I832" i="2"/>
  <c r="E832" i="2"/>
  <c r="P831" i="2"/>
  <c r="O831" i="2"/>
  <c r="Q831" i="2" s="1"/>
  <c r="R831" i="2" s="1"/>
  <c r="N831" i="2"/>
  <c r="M831" i="2"/>
  <c r="K831" i="2"/>
  <c r="I831" i="2"/>
  <c r="E831" i="2"/>
  <c r="P830" i="2"/>
  <c r="O830" i="2"/>
  <c r="Q830" i="2" s="1"/>
  <c r="R830" i="2" s="1"/>
  <c r="N830" i="2"/>
  <c r="M830" i="2"/>
  <c r="K830" i="2"/>
  <c r="I830" i="2"/>
  <c r="E830" i="2"/>
  <c r="P829" i="2"/>
  <c r="O829" i="2"/>
  <c r="Q829" i="2" s="1"/>
  <c r="R829" i="2" s="1"/>
  <c r="N829" i="2"/>
  <c r="M829" i="2"/>
  <c r="K829" i="2"/>
  <c r="I829" i="2"/>
  <c r="E829" i="2"/>
  <c r="P828" i="2"/>
  <c r="O828" i="2"/>
  <c r="Q828" i="2" s="1"/>
  <c r="R828" i="2" s="1"/>
  <c r="N828" i="2"/>
  <c r="M828" i="2"/>
  <c r="K828" i="2"/>
  <c r="I828" i="2"/>
  <c r="E828" i="2"/>
  <c r="Q827" i="2"/>
  <c r="R827" i="2" s="1"/>
  <c r="P827" i="2"/>
  <c r="O827" i="2"/>
  <c r="N827" i="2"/>
  <c r="M827" i="2"/>
  <c r="K827" i="2"/>
  <c r="I827" i="2"/>
  <c r="E827" i="2"/>
  <c r="P826" i="2"/>
  <c r="O826" i="2"/>
  <c r="Q826" i="2" s="1"/>
  <c r="R826" i="2" s="1"/>
  <c r="N826" i="2"/>
  <c r="M826" i="2"/>
  <c r="K826" i="2"/>
  <c r="I826" i="2"/>
  <c r="E826" i="2"/>
  <c r="P825" i="2"/>
  <c r="O825" i="2"/>
  <c r="Q825" i="2" s="1"/>
  <c r="R825" i="2" s="1"/>
  <c r="N825" i="2"/>
  <c r="M825" i="2"/>
  <c r="K825" i="2"/>
  <c r="I825" i="2"/>
  <c r="E825" i="2"/>
  <c r="P824" i="2"/>
  <c r="O824" i="2"/>
  <c r="Q824" i="2" s="1"/>
  <c r="R824" i="2" s="1"/>
  <c r="N824" i="2"/>
  <c r="M824" i="2"/>
  <c r="K824" i="2"/>
  <c r="I824" i="2"/>
  <c r="E824" i="2"/>
  <c r="Q823" i="2"/>
  <c r="R823" i="2" s="1"/>
  <c r="P823" i="2"/>
  <c r="O823" i="2"/>
  <c r="N823" i="2"/>
  <c r="M823" i="2"/>
  <c r="K823" i="2"/>
  <c r="I823" i="2"/>
  <c r="E823" i="2"/>
  <c r="P822" i="2"/>
  <c r="O822" i="2"/>
  <c r="Q822" i="2" s="1"/>
  <c r="R822" i="2" s="1"/>
  <c r="N822" i="2"/>
  <c r="M822" i="2"/>
  <c r="K822" i="2"/>
  <c r="I822" i="2"/>
  <c r="E822" i="2"/>
  <c r="P821" i="2"/>
  <c r="O821" i="2"/>
  <c r="Q821" i="2" s="1"/>
  <c r="R821" i="2" s="1"/>
  <c r="N821" i="2"/>
  <c r="M821" i="2"/>
  <c r="K821" i="2"/>
  <c r="I821" i="2"/>
  <c r="E821" i="2"/>
  <c r="R820" i="2"/>
  <c r="Q820" i="2"/>
  <c r="P820" i="2"/>
  <c r="O820" i="2"/>
  <c r="N820" i="2"/>
  <c r="M820" i="2"/>
  <c r="K820" i="2"/>
  <c r="I820" i="2"/>
  <c r="E820" i="2"/>
  <c r="P819" i="2"/>
  <c r="O819" i="2"/>
  <c r="Q819" i="2" s="1"/>
  <c r="R819" i="2" s="1"/>
  <c r="N819" i="2"/>
  <c r="M819" i="2"/>
  <c r="K819" i="2"/>
  <c r="I819" i="2"/>
  <c r="E819" i="2"/>
  <c r="P818" i="2"/>
  <c r="O818" i="2"/>
  <c r="Q818" i="2" s="1"/>
  <c r="R818" i="2" s="1"/>
  <c r="N818" i="2"/>
  <c r="M818" i="2"/>
  <c r="K818" i="2"/>
  <c r="I818" i="2"/>
  <c r="E818" i="2"/>
  <c r="P817" i="2"/>
  <c r="O817" i="2"/>
  <c r="Q817" i="2" s="1"/>
  <c r="R817" i="2" s="1"/>
  <c r="N817" i="2"/>
  <c r="M817" i="2"/>
  <c r="K817" i="2"/>
  <c r="I817" i="2"/>
  <c r="E817" i="2"/>
  <c r="P816" i="2"/>
  <c r="O816" i="2"/>
  <c r="Q816" i="2" s="1"/>
  <c r="R816" i="2" s="1"/>
  <c r="N816" i="2"/>
  <c r="M816" i="2"/>
  <c r="K816" i="2"/>
  <c r="I816" i="2"/>
  <c r="E816" i="2"/>
  <c r="P815" i="2"/>
  <c r="O815" i="2"/>
  <c r="Q815" i="2" s="1"/>
  <c r="R815" i="2" s="1"/>
  <c r="N815" i="2"/>
  <c r="M815" i="2"/>
  <c r="K815" i="2"/>
  <c r="I815" i="2"/>
  <c r="E815" i="2"/>
  <c r="R814" i="2"/>
  <c r="P814" i="2"/>
  <c r="O814" i="2"/>
  <c r="Q814" i="2" s="1"/>
  <c r="N814" i="2"/>
  <c r="M814" i="2"/>
  <c r="K814" i="2"/>
  <c r="I814" i="2"/>
  <c r="E814" i="2"/>
  <c r="P813" i="2"/>
  <c r="O813" i="2"/>
  <c r="Q813" i="2" s="1"/>
  <c r="R813" i="2" s="1"/>
  <c r="N813" i="2"/>
  <c r="M813" i="2"/>
  <c r="K813" i="2"/>
  <c r="I813" i="2"/>
  <c r="E813" i="2"/>
  <c r="P812" i="2"/>
  <c r="O812" i="2"/>
  <c r="Q812" i="2" s="1"/>
  <c r="R812" i="2" s="1"/>
  <c r="N812" i="2"/>
  <c r="M812" i="2"/>
  <c r="K812" i="2"/>
  <c r="I812" i="2"/>
  <c r="E812" i="2"/>
  <c r="Q811" i="2"/>
  <c r="R811" i="2" s="1"/>
  <c r="P811" i="2"/>
  <c r="O811" i="2"/>
  <c r="N811" i="2"/>
  <c r="M811" i="2"/>
  <c r="K811" i="2"/>
  <c r="I811" i="2"/>
  <c r="E811" i="2"/>
  <c r="P810" i="2"/>
  <c r="O810" i="2"/>
  <c r="Q810" i="2" s="1"/>
  <c r="R810" i="2" s="1"/>
  <c r="N810" i="2"/>
  <c r="M810" i="2"/>
  <c r="K810" i="2"/>
  <c r="I810" i="2"/>
  <c r="E810" i="2"/>
  <c r="P809" i="2"/>
  <c r="O809" i="2"/>
  <c r="Q809" i="2" s="1"/>
  <c r="R809" i="2" s="1"/>
  <c r="N809" i="2"/>
  <c r="M809" i="2"/>
  <c r="K809" i="2"/>
  <c r="I809" i="2"/>
  <c r="E809" i="2"/>
  <c r="Q807" i="2"/>
  <c r="R807" i="2" s="1"/>
  <c r="P807" i="2"/>
  <c r="O807" i="2"/>
  <c r="N807" i="2"/>
  <c r="M807" i="2"/>
  <c r="K807" i="2"/>
  <c r="I807" i="2"/>
  <c r="E807" i="2"/>
  <c r="P806" i="2"/>
  <c r="O806" i="2"/>
  <c r="Q806" i="2" s="1"/>
  <c r="R806" i="2" s="1"/>
  <c r="N806" i="2"/>
  <c r="M806" i="2"/>
  <c r="K806" i="2"/>
  <c r="I806" i="2"/>
  <c r="E806" i="2"/>
  <c r="P805" i="2"/>
  <c r="O805" i="2"/>
  <c r="Q805" i="2" s="1"/>
  <c r="R805" i="2" s="1"/>
  <c r="N805" i="2"/>
  <c r="M805" i="2"/>
  <c r="K805" i="2"/>
  <c r="I805" i="2"/>
  <c r="E805" i="2"/>
  <c r="P804" i="2"/>
  <c r="O804" i="2"/>
  <c r="Q804" i="2" s="1"/>
  <c r="R804" i="2" s="1"/>
  <c r="N804" i="2"/>
  <c r="M804" i="2"/>
  <c r="K804" i="2"/>
  <c r="I804" i="2"/>
  <c r="E804" i="2"/>
  <c r="Q803" i="2"/>
  <c r="R803" i="2" s="1"/>
  <c r="P803" i="2"/>
  <c r="O803" i="2"/>
  <c r="N803" i="2"/>
  <c r="M803" i="2"/>
  <c r="K803" i="2"/>
  <c r="I803" i="2"/>
  <c r="E803" i="2"/>
  <c r="P802" i="2"/>
  <c r="O802" i="2"/>
  <c r="Q802" i="2" s="1"/>
  <c r="R802" i="2" s="1"/>
  <c r="N802" i="2"/>
  <c r="M802" i="2"/>
  <c r="K802" i="2"/>
  <c r="I802" i="2"/>
  <c r="E802" i="2"/>
  <c r="P801" i="2"/>
  <c r="O801" i="2"/>
  <c r="Q801" i="2" s="1"/>
  <c r="R801" i="2" s="1"/>
  <c r="N801" i="2"/>
  <c r="M801" i="2"/>
  <c r="K801" i="2"/>
  <c r="I801" i="2"/>
  <c r="E801" i="2"/>
  <c r="P800" i="2"/>
  <c r="O800" i="2"/>
  <c r="Q800" i="2" s="1"/>
  <c r="R800" i="2" s="1"/>
  <c r="N800" i="2"/>
  <c r="M800" i="2"/>
  <c r="K800" i="2"/>
  <c r="I800" i="2"/>
  <c r="E800" i="2"/>
  <c r="P799" i="2"/>
  <c r="O799" i="2"/>
  <c r="Q799" i="2" s="1"/>
  <c r="R799" i="2" s="1"/>
  <c r="N799" i="2"/>
  <c r="M799" i="2"/>
  <c r="K799" i="2"/>
  <c r="I799" i="2"/>
  <c r="E799" i="2"/>
  <c r="P798" i="2"/>
  <c r="O798" i="2"/>
  <c r="Q798" i="2" s="1"/>
  <c r="R798" i="2" s="1"/>
  <c r="N798" i="2"/>
  <c r="M798" i="2"/>
  <c r="K798" i="2"/>
  <c r="I798" i="2"/>
  <c r="E798" i="2"/>
  <c r="R797" i="2"/>
  <c r="P797" i="2"/>
  <c r="O797" i="2"/>
  <c r="Q797" i="2" s="1"/>
  <c r="N797" i="2"/>
  <c r="M797" i="2"/>
  <c r="K797" i="2"/>
  <c r="I797" i="2"/>
  <c r="E797" i="2"/>
  <c r="P796" i="2"/>
  <c r="O796" i="2"/>
  <c r="Q796" i="2" s="1"/>
  <c r="R796" i="2" s="1"/>
  <c r="N796" i="2"/>
  <c r="M796" i="2"/>
  <c r="K796" i="2"/>
  <c r="I796" i="2"/>
  <c r="E796" i="2"/>
  <c r="P795" i="2"/>
  <c r="O795" i="2"/>
  <c r="Q795" i="2" s="1"/>
  <c r="R795" i="2" s="1"/>
  <c r="N795" i="2"/>
  <c r="M795" i="2"/>
  <c r="K795" i="2"/>
  <c r="I795" i="2"/>
  <c r="E795" i="2"/>
  <c r="Q794" i="2"/>
  <c r="R794" i="2" s="1"/>
  <c r="P794" i="2"/>
  <c r="O794" i="2"/>
  <c r="N794" i="2"/>
  <c r="M794" i="2"/>
  <c r="K794" i="2"/>
  <c r="I794" i="2"/>
  <c r="E794" i="2"/>
  <c r="P793" i="2"/>
  <c r="O793" i="2"/>
  <c r="Q793" i="2" s="1"/>
  <c r="R793" i="2" s="1"/>
  <c r="N793" i="2"/>
  <c r="M793" i="2"/>
  <c r="K793" i="2"/>
  <c r="I793" i="2"/>
  <c r="E793" i="2"/>
  <c r="P792" i="2"/>
  <c r="O792" i="2"/>
  <c r="Q792" i="2" s="1"/>
  <c r="R792" i="2" s="1"/>
  <c r="N792" i="2"/>
  <c r="M792" i="2"/>
  <c r="K792" i="2"/>
  <c r="I792" i="2"/>
  <c r="E792" i="2"/>
  <c r="Q791" i="2"/>
  <c r="R791" i="2" s="1"/>
  <c r="P791" i="2"/>
  <c r="O791" i="2"/>
  <c r="N791" i="2"/>
  <c r="M791" i="2"/>
  <c r="K791" i="2"/>
  <c r="I791" i="2"/>
  <c r="E791" i="2"/>
  <c r="Q790" i="2"/>
  <c r="R790" i="2" s="1"/>
  <c r="P790" i="2"/>
  <c r="O790" i="2"/>
  <c r="N790" i="2"/>
  <c r="M790" i="2"/>
  <c r="K790" i="2"/>
  <c r="I790" i="2"/>
  <c r="E790" i="2"/>
  <c r="P789" i="2"/>
  <c r="O789" i="2"/>
  <c r="Q789" i="2" s="1"/>
  <c r="R789" i="2" s="1"/>
  <c r="N789" i="2"/>
  <c r="M789" i="2"/>
  <c r="K789" i="2"/>
  <c r="I789" i="2"/>
  <c r="E789" i="2"/>
  <c r="P788" i="2"/>
  <c r="O788" i="2"/>
  <c r="Q788" i="2" s="1"/>
  <c r="R788" i="2" s="1"/>
  <c r="N788" i="2"/>
  <c r="M788" i="2"/>
  <c r="K788" i="2"/>
  <c r="I788" i="2"/>
  <c r="E788" i="2"/>
  <c r="R787" i="2"/>
  <c r="Q787" i="2"/>
  <c r="P787" i="2"/>
  <c r="O787" i="2"/>
  <c r="N787" i="2"/>
  <c r="M787" i="2"/>
  <c r="K787" i="2"/>
  <c r="I787" i="2"/>
  <c r="E787" i="2"/>
  <c r="P786" i="2"/>
  <c r="O786" i="2"/>
  <c r="Q786" i="2" s="1"/>
  <c r="R786" i="2" s="1"/>
  <c r="N786" i="2"/>
  <c r="M786" i="2"/>
  <c r="K786" i="2"/>
  <c r="I786" i="2"/>
  <c r="E786" i="2"/>
  <c r="R785" i="2"/>
  <c r="P785" i="2"/>
  <c r="O785" i="2"/>
  <c r="Q785" i="2" s="1"/>
  <c r="N785" i="2"/>
  <c r="M785" i="2"/>
  <c r="K785" i="2"/>
  <c r="I785" i="2"/>
  <c r="E785" i="2"/>
  <c r="P784" i="2"/>
  <c r="O784" i="2"/>
  <c r="Q784" i="2" s="1"/>
  <c r="R784" i="2" s="1"/>
  <c r="N784" i="2"/>
  <c r="M784" i="2"/>
  <c r="K784" i="2"/>
  <c r="I784" i="2"/>
  <c r="E784" i="2"/>
  <c r="P783" i="2"/>
  <c r="O783" i="2"/>
  <c r="Q783" i="2" s="1"/>
  <c r="R783" i="2" s="1"/>
  <c r="N783" i="2"/>
  <c r="M783" i="2"/>
  <c r="K783" i="2"/>
  <c r="I783" i="2"/>
  <c r="E783" i="2"/>
  <c r="Q782" i="2"/>
  <c r="R782" i="2" s="1"/>
  <c r="P782" i="2"/>
  <c r="O782" i="2"/>
  <c r="N782" i="2"/>
  <c r="M782" i="2"/>
  <c r="K782" i="2"/>
  <c r="I782" i="2"/>
  <c r="E782" i="2"/>
  <c r="P781" i="2"/>
  <c r="O781" i="2"/>
  <c r="Q781" i="2" s="1"/>
  <c r="R781" i="2" s="1"/>
  <c r="N781" i="2"/>
  <c r="M781" i="2"/>
  <c r="K781" i="2"/>
  <c r="I781" i="2"/>
  <c r="E781" i="2"/>
  <c r="P780" i="2"/>
  <c r="O780" i="2"/>
  <c r="Q780" i="2" s="1"/>
  <c r="R780" i="2" s="1"/>
  <c r="N780" i="2"/>
  <c r="M780" i="2"/>
  <c r="K780" i="2"/>
  <c r="I780" i="2"/>
  <c r="E780" i="2"/>
  <c r="P779" i="2"/>
  <c r="O779" i="2"/>
  <c r="Q779" i="2" s="1"/>
  <c r="R779" i="2" s="1"/>
  <c r="N779" i="2"/>
  <c r="M779" i="2"/>
  <c r="K779" i="2"/>
  <c r="I779" i="2"/>
  <c r="E779" i="2"/>
  <c r="Q778" i="2"/>
  <c r="R778" i="2" s="1"/>
  <c r="P778" i="2"/>
  <c r="O778" i="2"/>
  <c r="N778" i="2"/>
  <c r="M778" i="2"/>
  <c r="K778" i="2"/>
  <c r="I778" i="2"/>
  <c r="E778" i="2"/>
  <c r="P777" i="2"/>
  <c r="O777" i="2"/>
  <c r="Q777" i="2" s="1"/>
  <c r="R777" i="2" s="1"/>
  <c r="N777" i="2"/>
  <c r="M777" i="2"/>
  <c r="K777" i="2"/>
  <c r="I777" i="2"/>
  <c r="E777" i="2"/>
  <c r="P776" i="2"/>
  <c r="O776" i="2"/>
  <c r="Q776" i="2" s="1"/>
  <c r="R776" i="2" s="1"/>
  <c r="N776" i="2"/>
  <c r="M776" i="2"/>
  <c r="K776" i="2"/>
  <c r="I776" i="2"/>
  <c r="E776" i="2"/>
  <c r="R775" i="2"/>
  <c r="Q775" i="2"/>
  <c r="P775" i="2"/>
  <c r="O775" i="2"/>
  <c r="N775" i="2"/>
  <c r="M775" i="2"/>
  <c r="K775" i="2"/>
  <c r="I775" i="2"/>
  <c r="E775" i="2"/>
  <c r="P774" i="2"/>
  <c r="O774" i="2"/>
  <c r="Q774" i="2" s="1"/>
  <c r="R774" i="2" s="1"/>
  <c r="N774" i="2"/>
  <c r="M774" i="2"/>
  <c r="K774" i="2"/>
  <c r="I774" i="2"/>
  <c r="E774" i="2"/>
  <c r="P773" i="2"/>
  <c r="O773" i="2"/>
  <c r="Q773" i="2" s="1"/>
  <c r="R773" i="2" s="1"/>
  <c r="N773" i="2"/>
  <c r="M773" i="2"/>
  <c r="K773" i="2"/>
  <c r="I773" i="2"/>
  <c r="E773" i="2"/>
  <c r="P772" i="2"/>
  <c r="O772" i="2"/>
  <c r="Q772" i="2" s="1"/>
  <c r="R772" i="2" s="1"/>
  <c r="N772" i="2"/>
  <c r="M772" i="2"/>
  <c r="K772" i="2"/>
  <c r="I772" i="2"/>
  <c r="E772" i="2"/>
  <c r="P771" i="2"/>
  <c r="O771" i="2"/>
  <c r="Q771" i="2" s="1"/>
  <c r="R771" i="2" s="1"/>
  <c r="N771" i="2"/>
  <c r="M771" i="2"/>
  <c r="K771" i="2"/>
  <c r="I771" i="2"/>
  <c r="E771" i="2"/>
  <c r="P770" i="2"/>
  <c r="O770" i="2"/>
  <c r="Q770" i="2" s="1"/>
  <c r="R770" i="2" s="1"/>
  <c r="N770" i="2"/>
  <c r="M770" i="2"/>
  <c r="K770" i="2"/>
  <c r="I770" i="2"/>
  <c r="E770" i="2"/>
  <c r="P769" i="2"/>
  <c r="O769" i="2"/>
  <c r="Q769" i="2" s="1"/>
  <c r="R769" i="2" s="1"/>
  <c r="N769" i="2"/>
  <c r="M769" i="2"/>
  <c r="K769" i="2"/>
  <c r="I769" i="2"/>
  <c r="E769" i="2"/>
  <c r="P768" i="2"/>
  <c r="O768" i="2"/>
  <c r="Q768" i="2" s="1"/>
  <c r="R768" i="2" s="1"/>
  <c r="N768" i="2"/>
  <c r="M768" i="2"/>
  <c r="K768" i="2"/>
  <c r="I768" i="2"/>
  <c r="E768" i="2"/>
  <c r="P767" i="2"/>
  <c r="O767" i="2"/>
  <c r="Q767" i="2" s="1"/>
  <c r="R767" i="2" s="1"/>
  <c r="N767" i="2"/>
  <c r="M767" i="2"/>
  <c r="K767" i="2"/>
  <c r="I767" i="2"/>
  <c r="E767" i="2"/>
  <c r="R766" i="2"/>
  <c r="Q766" i="2"/>
  <c r="P766" i="2"/>
  <c r="O766" i="2"/>
  <c r="N766" i="2"/>
  <c r="M766" i="2"/>
  <c r="K766" i="2"/>
  <c r="I766" i="2"/>
  <c r="E766" i="2"/>
  <c r="P765" i="2"/>
  <c r="O765" i="2"/>
  <c r="Q765" i="2" s="1"/>
  <c r="R765" i="2" s="1"/>
  <c r="N765" i="2"/>
  <c r="M765" i="2"/>
  <c r="K765" i="2"/>
  <c r="I765" i="2"/>
  <c r="E765" i="2"/>
  <c r="P764" i="2"/>
  <c r="O764" i="2"/>
  <c r="Q764" i="2" s="1"/>
  <c r="R764" i="2" s="1"/>
  <c r="N764" i="2"/>
  <c r="M764" i="2"/>
  <c r="K764" i="2"/>
  <c r="I764" i="2"/>
  <c r="E764" i="2"/>
  <c r="R763" i="2"/>
  <c r="Q763" i="2"/>
  <c r="P763" i="2"/>
  <c r="O763" i="2"/>
  <c r="N763" i="2"/>
  <c r="M763" i="2"/>
  <c r="K763" i="2"/>
  <c r="I763" i="2"/>
  <c r="E763" i="2"/>
  <c r="P762" i="2"/>
  <c r="O762" i="2"/>
  <c r="Q762" i="2" s="1"/>
  <c r="R762" i="2" s="1"/>
  <c r="N762" i="2"/>
  <c r="M762" i="2"/>
  <c r="K762" i="2"/>
  <c r="I762" i="2"/>
  <c r="E762" i="2"/>
  <c r="P761" i="2"/>
  <c r="O761" i="2"/>
  <c r="Q761" i="2" s="1"/>
  <c r="R761" i="2" s="1"/>
  <c r="N761" i="2"/>
  <c r="M761" i="2"/>
  <c r="K761" i="2"/>
  <c r="I761" i="2"/>
  <c r="E761" i="2"/>
  <c r="P760" i="2"/>
  <c r="O760" i="2"/>
  <c r="Q760" i="2" s="1"/>
  <c r="R760" i="2" s="1"/>
  <c r="N760" i="2"/>
  <c r="M760" i="2"/>
  <c r="K760" i="2"/>
  <c r="I760" i="2"/>
  <c r="E760" i="2"/>
  <c r="Q759" i="2"/>
  <c r="R759" i="2" s="1"/>
  <c r="P759" i="2"/>
  <c r="O759" i="2"/>
  <c r="N759" i="2"/>
  <c r="M759" i="2"/>
  <c r="K759" i="2"/>
  <c r="I759" i="2"/>
  <c r="E759" i="2"/>
  <c r="P758" i="2"/>
  <c r="O758" i="2"/>
  <c r="Q758" i="2" s="1"/>
  <c r="R758" i="2" s="1"/>
  <c r="N758" i="2"/>
  <c r="M758" i="2"/>
  <c r="K758" i="2"/>
  <c r="I758" i="2"/>
  <c r="E758" i="2"/>
  <c r="P757" i="2"/>
  <c r="O757" i="2"/>
  <c r="Q757" i="2" s="1"/>
  <c r="R757" i="2" s="1"/>
  <c r="N757" i="2"/>
  <c r="M757" i="2"/>
  <c r="K757" i="2"/>
  <c r="I757" i="2"/>
  <c r="E757" i="2"/>
  <c r="P756" i="2"/>
  <c r="O756" i="2"/>
  <c r="Q756" i="2" s="1"/>
  <c r="R756" i="2" s="1"/>
  <c r="N756" i="2"/>
  <c r="M756" i="2"/>
  <c r="K756" i="2"/>
  <c r="I756" i="2"/>
  <c r="E756" i="2"/>
  <c r="R755" i="2"/>
  <c r="Q755" i="2"/>
  <c r="P755" i="2"/>
  <c r="O755" i="2"/>
  <c r="N755" i="2"/>
  <c r="M755" i="2"/>
  <c r="K755" i="2"/>
  <c r="I755" i="2"/>
  <c r="E755" i="2"/>
  <c r="P753" i="2"/>
  <c r="O753" i="2"/>
  <c r="Q753" i="2" s="1"/>
  <c r="R753" i="2" s="1"/>
  <c r="N753" i="2"/>
  <c r="M753" i="2"/>
  <c r="K753" i="2"/>
  <c r="I753" i="2"/>
  <c r="E753" i="2"/>
  <c r="P752" i="2"/>
  <c r="O752" i="2"/>
  <c r="Q752" i="2" s="1"/>
  <c r="R752" i="2" s="1"/>
  <c r="N752" i="2"/>
  <c r="M752" i="2"/>
  <c r="K752" i="2"/>
  <c r="I752" i="2"/>
  <c r="E752" i="2"/>
  <c r="P751" i="2"/>
  <c r="O751" i="2"/>
  <c r="Q751" i="2" s="1"/>
  <c r="R751" i="2" s="1"/>
  <c r="N751" i="2"/>
  <c r="M751" i="2"/>
  <c r="K751" i="2"/>
  <c r="I751" i="2"/>
  <c r="E751" i="2"/>
  <c r="P750" i="2"/>
  <c r="O750" i="2"/>
  <c r="Q750" i="2" s="1"/>
  <c r="R750" i="2" s="1"/>
  <c r="N750" i="2"/>
  <c r="M750" i="2"/>
  <c r="K750" i="2"/>
  <c r="I750" i="2"/>
  <c r="E750" i="2"/>
  <c r="P749" i="2"/>
  <c r="O749" i="2"/>
  <c r="Q749" i="2" s="1"/>
  <c r="R749" i="2" s="1"/>
  <c r="N749" i="2"/>
  <c r="M749" i="2"/>
  <c r="K749" i="2"/>
  <c r="I749" i="2"/>
  <c r="E749" i="2"/>
  <c r="R748" i="2"/>
  <c r="P748" i="2"/>
  <c r="O748" i="2"/>
  <c r="Q748" i="2" s="1"/>
  <c r="N748" i="2"/>
  <c r="M748" i="2"/>
  <c r="K748" i="2"/>
  <c r="I748" i="2"/>
  <c r="E748" i="2"/>
  <c r="P747" i="2"/>
  <c r="O747" i="2"/>
  <c r="Q747" i="2" s="1"/>
  <c r="R747" i="2" s="1"/>
  <c r="N747" i="2"/>
  <c r="M747" i="2"/>
  <c r="K747" i="2"/>
  <c r="I747" i="2"/>
  <c r="E747" i="2"/>
  <c r="P746" i="2"/>
  <c r="O746" i="2"/>
  <c r="Q746" i="2" s="1"/>
  <c r="R746" i="2" s="1"/>
  <c r="N746" i="2"/>
  <c r="M746" i="2"/>
  <c r="K746" i="2"/>
  <c r="I746" i="2"/>
  <c r="E746" i="2"/>
  <c r="P745" i="2"/>
  <c r="O745" i="2"/>
  <c r="Q745" i="2" s="1"/>
  <c r="R745" i="2" s="1"/>
  <c r="N745" i="2"/>
  <c r="M745" i="2"/>
  <c r="K745" i="2"/>
  <c r="I745" i="2"/>
  <c r="E745" i="2"/>
  <c r="P744" i="2"/>
  <c r="O744" i="2"/>
  <c r="Q744" i="2" s="1"/>
  <c r="R744" i="2" s="1"/>
  <c r="N744" i="2"/>
  <c r="M744" i="2"/>
  <c r="K744" i="2"/>
  <c r="I744" i="2"/>
  <c r="E744" i="2"/>
  <c r="P743" i="2"/>
  <c r="O743" i="2"/>
  <c r="Q743" i="2" s="1"/>
  <c r="R743" i="2" s="1"/>
  <c r="N743" i="2"/>
  <c r="M743" i="2"/>
  <c r="K743" i="2"/>
  <c r="I743" i="2"/>
  <c r="E743" i="2"/>
  <c r="P742" i="2"/>
  <c r="O742" i="2"/>
  <c r="Q742" i="2" s="1"/>
  <c r="R742" i="2" s="1"/>
  <c r="N742" i="2"/>
  <c r="M742" i="2"/>
  <c r="K742" i="2"/>
  <c r="I742" i="2"/>
  <c r="E742" i="2"/>
  <c r="P741" i="2"/>
  <c r="O741" i="2"/>
  <c r="Q741" i="2" s="1"/>
  <c r="R741" i="2" s="1"/>
  <c r="N741" i="2"/>
  <c r="M741" i="2"/>
  <c r="K741" i="2"/>
  <c r="I741" i="2"/>
  <c r="E741" i="2"/>
  <c r="P740" i="2"/>
  <c r="O740" i="2"/>
  <c r="Q740" i="2" s="1"/>
  <c r="R740" i="2" s="1"/>
  <c r="N740" i="2"/>
  <c r="M740" i="2"/>
  <c r="K740" i="2"/>
  <c r="I740" i="2"/>
  <c r="E740" i="2"/>
  <c r="P739" i="2"/>
  <c r="O739" i="2"/>
  <c r="Q739" i="2" s="1"/>
  <c r="R739" i="2" s="1"/>
  <c r="N739" i="2"/>
  <c r="M739" i="2"/>
  <c r="K739" i="2"/>
  <c r="I739" i="2"/>
  <c r="E739" i="2"/>
  <c r="P738" i="2"/>
  <c r="O738" i="2"/>
  <c r="Q738" i="2" s="1"/>
  <c r="R738" i="2" s="1"/>
  <c r="N738" i="2"/>
  <c r="M738" i="2"/>
  <c r="K738" i="2"/>
  <c r="I738" i="2"/>
  <c r="E738" i="2"/>
  <c r="R737" i="2"/>
  <c r="Q737" i="2"/>
  <c r="P737" i="2"/>
  <c r="O737" i="2"/>
  <c r="N737" i="2"/>
  <c r="M737" i="2"/>
  <c r="K737" i="2"/>
  <c r="I737" i="2"/>
  <c r="E737" i="2"/>
  <c r="P736" i="2"/>
  <c r="O736" i="2"/>
  <c r="Q736" i="2" s="1"/>
  <c r="R736" i="2" s="1"/>
  <c r="N736" i="2"/>
  <c r="M736" i="2"/>
  <c r="K736" i="2"/>
  <c r="I736" i="2"/>
  <c r="E736" i="2"/>
  <c r="P735" i="2"/>
  <c r="O735" i="2"/>
  <c r="Q735" i="2" s="1"/>
  <c r="R735" i="2" s="1"/>
  <c r="N735" i="2"/>
  <c r="M735" i="2"/>
  <c r="K735" i="2"/>
  <c r="I735" i="2"/>
  <c r="E735" i="2"/>
  <c r="R734" i="2"/>
  <c r="Q734" i="2"/>
  <c r="P734" i="2"/>
  <c r="O734" i="2"/>
  <c r="N734" i="2"/>
  <c r="M734" i="2"/>
  <c r="K734" i="2"/>
  <c r="I734" i="2"/>
  <c r="E734" i="2"/>
  <c r="P733" i="2"/>
  <c r="O733" i="2"/>
  <c r="Q733" i="2" s="1"/>
  <c r="R733" i="2" s="1"/>
  <c r="N733" i="2"/>
  <c r="M733" i="2"/>
  <c r="K733" i="2"/>
  <c r="I733" i="2"/>
  <c r="E733" i="2"/>
  <c r="R732" i="2"/>
  <c r="P732" i="2"/>
  <c r="O732" i="2"/>
  <c r="Q732" i="2" s="1"/>
  <c r="N732" i="2"/>
  <c r="M732" i="2"/>
  <c r="K732" i="2"/>
  <c r="I732" i="2"/>
  <c r="E732" i="2"/>
  <c r="P731" i="2"/>
  <c r="O731" i="2"/>
  <c r="Q731" i="2" s="1"/>
  <c r="R731" i="2" s="1"/>
  <c r="N731" i="2"/>
  <c r="M731" i="2"/>
  <c r="K731" i="2"/>
  <c r="I731" i="2"/>
  <c r="E731" i="2"/>
  <c r="P730" i="2"/>
  <c r="O730" i="2"/>
  <c r="Q730" i="2" s="1"/>
  <c r="R730" i="2" s="1"/>
  <c r="N730" i="2"/>
  <c r="M730" i="2"/>
  <c r="K730" i="2"/>
  <c r="I730" i="2"/>
  <c r="E730" i="2"/>
  <c r="P729" i="2"/>
  <c r="O729" i="2"/>
  <c r="Q729" i="2" s="1"/>
  <c r="R729" i="2" s="1"/>
  <c r="N729" i="2"/>
  <c r="M729" i="2"/>
  <c r="K729" i="2"/>
  <c r="I729" i="2"/>
  <c r="E729" i="2"/>
  <c r="P728" i="2"/>
  <c r="O728" i="2"/>
  <c r="Q728" i="2" s="1"/>
  <c r="R728" i="2" s="1"/>
  <c r="N728" i="2"/>
  <c r="M728" i="2"/>
  <c r="K728" i="2"/>
  <c r="I728" i="2"/>
  <c r="E728" i="2"/>
  <c r="P727" i="2"/>
  <c r="O727" i="2"/>
  <c r="Q727" i="2" s="1"/>
  <c r="R727" i="2" s="1"/>
  <c r="N727" i="2"/>
  <c r="M727" i="2"/>
  <c r="K727" i="2"/>
  <c r="I727" i="2"/>
  <c r="E727" i="2"/>
  <c r="P726" i="2"/>
  <c r="O726" i="2"/>
  <c r="Q726" i="2" s="1"/>
  <c r="R726" i="2" s="1"/>
  <c r="N726" i="2"/>
  <c r="M726" i="2"/>
  <c r="K726" i="2"/>
  <c r="I726" i="2"/>
  <c r="E726" i="2"/>
  <c r="P725" i="2"/>
  <c r="O725" i="2"/>
  <c r="Q725" i="2" s="1"/>
  <c r="R725" i="2" s="1"/>
  <c r="N725" i="2"/>
  <c r="M725" i="2"/>
  <c r="K725" i="2"/>
  <c r="I725" i="2"/>
  <c r="E725" i="2"/>
  <c r="P724" i="2"/>
  <c r="O724" i="2"/>
  <c r="Q724" i="2" s="1"/>
  <c r="R724" i="2" s="1"/>
  <c r="N724" i="2"/>
  <c r="M724" i="2"/>
  <c r="K724" i="2"/>
  <c r="I724" i="2"/>
  <c r="E724" i="2"/>
  <c r="P723" i="2"/>
  <c r="O723" i="2"/>
  <c r="Q723" i="2" s="1"/>
  <c r="R723" i="2" s="1"/>
  <c r="N723" i="2"/>
  <c r="M723" i="2"/>
  <c r="K723" i="2"/>
  <c r="I723" i="2"/>
  <c r="E723" i="2"/>
  <c r="P722" i="2"/>
  <c r="O722" i="2"/>
  <c r="Q722" i="2" s="1"/>
  <c r="R722" i="2" s="1"/>
  <c r="N722" i="2"/>
  <c r="M722" i="2"/>
  <c r="K722" i="2"/>
  <c r="I722" i="2"/>
  <c r="E722" i="2"/>
  <c r="Q721" i="2"/>
  <c r="R721" i="2" s="1"/>
  <c r="P721" i="2"/>
  <c r="O721" i="2"/>
  <c r="N721" i="2"/>
  <c r="M721" i="2"/>
  <c r="K721" i="2"/>
  <c r="I721" i="2"/>
  <c r="E721" i="2"/>
  <c r="P720" i="2"/>
  <c r="O720" i="2"/>
  <c r="Q720" i="2" s="1"/>
  <c r="R720" i="2" s="1"/>
  <c r="N720" i="2"/>
  <c r="M720" i="2"/>
  <c r="K720" i="2"/>
  <c r="I720" i="2"/>
  <c r="E720" i="2"/>
  <c r="P719" i="2"/>
  <c r="O719" i="2"/>
  <c r="Q719" i="2" s="1"/>
  <c r="R719" i="2" s="1"/>
  <c r="N719" i="2"/>
  <c r="M719" i="2"/>
  <c r="K719" i="2"/>
  <c r="I719" i="2"/>
  <c r="E719" i="2"/>
  <c r="Q717" i="2"/>
  <c r="R717" i="2" s="1"/>
  <c r="P717" i="2"/>
  <c r="O717" i="2"/>
  <c r="N717" i="2"/>
  <c r="M717" i="2"/>
  <c r="K717" i="2"/>
  <c r="I717" i="2"/>
  <c r="E717" i="2"/>
  <c r="P716" i="2"/>
  <c r="O716" i="2"/>
  <c r="Q716" i="2" s="1"/>
  <c r="R716" i="2" s="1"/>
  <c r="N716" i="2"/>
  <c r="M716" i="2"/>
  <c r="K716" i="2"/>
  <c r="I716" i="2"/>
  <c r="E716" i="2"/>
  <c r="P715" i="2"/>
  <c r="O715" i="2"/>
  <c r="Q715" i="2" s="1"/>
  <c r="R715" i="2" s="1"/>
  <c r="N715" i="2"/>
  <c r="M715" i="2"/>
  <c r="K715" i="2"/>
  <c r="I715" i="2"/>
  <c r="E715" i="2"/>
  <c r="P714" i="2"/>
  <c r="O714" i="2"/>
  <c r="Q714" i="2" s="1"/>
  <c r="R714" i="2" s="1"/>
  <c r="N714" i="2"/>
  <c r="M714" i="2"/>
  <c r="K714" i="2"/>
  <c r="I714" i="2"/>
  <c r="E714" i="2"/>
  <c r="P713" i="2"/>
  <c r="O713" i="2"/>
  <c r="Q713" i="2" s="1"/>
  <c r="R713" i="2" s="1"/>
  <c r="N713" i="2"/>
  <c r="M713" i="2"/>
  <c r="K713" i="2"/>
  <c r="I713" i="2"/>
  <c r="E713" i="2"/>
  <c r="P711" i="2"/>
  <c r="O711" i="2"/>
  <c r="Q711" i="2" s="1"/>
  <c r="R711" i="2" s="1"/>
  <c r="N711" i="2"/>
  <c r="M711" i="2"/>
  <c r="K711" i="2"/>
  <c r="I711" i="2"/>
  <c r="E711" i="2"/>
  <c r="P710" i="2"/>
  <c r="O710" i="2"/>
  <c r="Q710" i="2" s="1"/>
  <c r="R710" i="2" s="1"/>
  <c r="N710" i="2"/>
  <c r="M710" i="2"/>
  <c r="K710" i="2"/>
  <c r="I710" i="2"/>
  <c r="E710" i="2"/>
  <c r="P709" i="2"/>
  <c r="O709" i="2"/>
  <c r="Q709" i="2" s="1"/>
  <c r="R709" i="2" s="1"/>
  <c r="N709" i="2"/>
  <c r="M709" i="2"/>
  <c r="K709" i="2"/>
  <c r="I709" i="2"/>
  <c r="E709" i="2"/>
  <c r="P708" i="2"/>
  <c r="O708" i="2"/>
  <c r="Q708" i="2" s="1"/>
  <c r="R708" i="2" s="1"/>
  <c r="N708" i="2"/>
  <c r="M708" i="2"/>
  <c r="K708" i="2"/>
  <c r="I708" i="2"/>
  <c r="E708" i="2"/>
  <c r="P707" i="2"/>
  <c r="O707" i="2"/>
  <c r="Q707" i="2" s="1"/>
  <c r="R707" i="2" s="1"/>
  <c r="N707" i="2"/>
  <c r="M707" i="2"/>
  <c r="K707" i="2"/>
  <c r="I707" i="2"/>
  <c r="E707" i="2"/>
  <c r="P706" i="2"/>
  <c r="O706" i="2"/>
  <c r="Q706" i="2" s="1"/>
  <c r="R706" i="2" s="1"/>
  <c r="N706" i="2"/>
  <c r="M706" i="2"/>
  <c r="K706" i="2"/>
  <c r="I706" i="2"/>
  <c r="E706" i="2"/>
  <c r="P705" i="2"/>
  <c r="O705" i="2"/>
  <c r="Q705" i="2" s="1"/>
  <c r="R705" i="2" s="1"/>
  <c r="N705" i="2"/>
  <c r="M705" i="2"/>
  <c r="K705" i="2"/>
  <c r="I705" i="2"/>
  <c r="E705" i="2"/>
  <c r="P704" i="2"/>
  <c r="O704" i="2"/>
  <c r="Q704" i="2" s="1"/>
  <c r="R704" i="2" s="1"/>
  <c r="N704" i="2"/>
  <c r="M704" i="2"/>
  <c r="K704" i="2"/>
  <c r="I704" i="2"/>
  <c r="E704" i="2"/>
  <c r="Q703" i="2"/>
  <c r="R703" i="2" s="1"/>
  <c r="P703" i="2"/>
  <c r="O703" i="2"/>
  <c r="N703" i="2"/>
  <c r="M703" i="2"/>
  <c r="K703" i="2"/>
  <c r="I703" i="2"/>
  <c r="E703" i="2"/>
  <c r="P702" i="2"/>
  <c r="O702" i="2"/>
  <c r="Q702" i="2" s="1"/>
  <c r="R702" i="2" s="1"/>
  <c r="N702" i="2"/>
  <c r="M702" i="2"/>
  <c r="K702" i="2"/>
  <c r="I702" i="2"/>
  <c r="E702" i="2"/>
  <c r="P701" i="2"/>
  <c r="O701" i="2"/>
  <c r="Q701" i="2" s="1"/>
  <c r="R701" i="2" s="1"/>
  <c r="N701" i="2"/>
  <c r="M701" i="2"/>
  <c r="K701" i="2"/>
  <c r="I701" i="2"/>
  <c r="E701" i="2"/>
  <c r="P699" i="2"/>
  <c r="O699" i="2"/>
  <c r="Q699" i="2" s="1"/>
  <c r="R699" i="2" s="1"/>
  <c r="N699" i="2"/>
  <c r="M699" i="2"/>
  <c r="K699" i="2"/>
  <c r="I699" i="2"/>
  <c r="E699" i="2"/>
  <c r="P698" i="2"/>
  <c r="O698" i="2"/>
  <c r="Q698" i="2" s="1"/>
  <c r="R698" i="2" s="1"/>
  <c r="N698" i="2"/>
  <c r="M698" i="2"/>
  <c r="K698" i="2"/>
  <c r="I698" i="2"/>
  <c r="E698" i="2"/>
  <c r="P697" i="2"/>
  <c r="O697" i="2"/>
  <c r="Q697" i="2" s="1"/>
  <c r="R697" i="2" s="1"/>
  <c r="N697" i="2"/>
  <c r="M697" i="2"/>
  <c r="K697" i="2"/>
  <c r="I697" i="2"/>
  <c r="E697" i="2"/>
  <c r="P696" i="2"/>
  <c r="O696" i="2"/>
  <c r="Q696" i="2" s="1"/>
  <c r="R696" i="2" s="1"/>
  <c r="N696" i="2"/>
  <c r="M696" i="2"/>
  <c r="K696" i="2"/>
  <c r="I696" i="2"/>
  <c r="E696" i="2"/>
  <c r="P695" i="2"/>
  <c r="O695" i="2"/>
  <c r="Q695" i="2" s="1"/>
  <c r="R695" i="2" s="1"/>
  <c r="N695" i="2"/>
  <c r="M695" i="2"/>
  <c r="K695" i="2"/>
  <c r="I695" i="2"/>
  <c r="E695" i="2"/>
  <c r="P694" i="2"/>
  <c r="O694" i="2"/>
  <c r="Q694" i="2" s="1"/>
  <c r="R694" i="2" s="1"/>
  <c r="N694" i="2"/>
  <c r="M694" i="2"/>
  <c r="K694" i="2"/>
  <c r="I694" i="2"/>
  <c r="E694" i="2"/>
  <c r="P693" i="2"/>
  <c r="O693" i="2"/>
  <c r="Q693" i="2" s="1"/>
  <c r="R693" i="2" s="1"/>
  <c r="N693" i="2"/>
  <c r="M693" i="2"/>
  <c r="K693" i="2"/>
  <c r="I693" i="2"/>
  <c r="E693" i="2"/>
  <c r="P692" i="2"/>
  <c r="O692" i="2"/>
  <c r="Q692" i="2" s="1"/>
  <c r="R692" i="2" s="1"/>
  <c r="N692" i="2"/>
  <c r="M692" i="2"/>
  <c r="K692" i="2"/>
  <c r="I692" i="2"/>
  <c r="E692" i="2"/>
  <c r="R691" i="2"/>
  <c r="Q691" i="2"/>
  <c r="P691" i="2"/>
  <c r="O691" i="2"/>
  <c r="N691" i="2"/>
  <c r="M691" i="2"/>
  <c r="K691" i="2"/>
  <c r="I691" i="2"/>
  <c r="E691" i="2"/>
  <c r="P690" i="2"/>
  <c r="O690" i="2"/>
  <c r="Q690" i="2" s="1"/>
  <c r="R690" i="2" s="1"/>
  <c r="N690" i="2"/>
  <c r="M690" i="2"/>
  <c r="K690" i="2"/>
  <c r="I690" i="2"/>
  <c r="E690" i="2"/>
  <c r="P689" i="2"/>
  <c r="O689" i="2"/>
  <c r="Q689" i="2" s="1"/>
  <c r="R689" i="2" s="1"/>
  <c r="N689" i="2"/>
  <c r="M689" i="2"/>
  <c r="K689" i="2"/>
  <c r="I689" i="2"/>
  <c r="E689" i="2"/>
  <c r="P688" i="2"/>
  <c r="O688" i="2"/>
  <c r="Q688" i="2" s="1"/>
  <c r="R688" i="2" s="1"/>
  <c r="N688" i="2"/>
  <c r="M688" i="2"/>
  <c r="K688" i="2"/>
  <c r="I688" i="2"/>
  <c r="E688" i="2"/>
  <c r="P687" i="2"/>
  <c r="O687" i="2"/>
  <c r="Q687" i="2" s="1"/>
  <c r="R687" i="2" s="1"/>
  <c r="N687" i="2"/>
  <c r="M687" i="2"/>
  <c r="K687" i="2"/>
  <c r="I687" i="2"/>
  <c r="E687" i="2"/>
  <c r="P686" i="2"/>
  <c r="O686" i="2"/>
  <c r="Q686" i="2" s="1"/>
  <c r="R686" i="2" s="1"/>
  <c r="N686" i="2"/>
  <c r="M686" i="2"/>
  <c r="K686" i="2"/>
  <c r="I686" i="2"/>
  <c r="E686" i="2"/>
  <c r="P685" i="2"/>
  <c r="O685" i="2"/>
  <c r="Q685" i="2" s="1"/>
  <c r="R685" i="2" s="1"/>
  <c r="N685" i="2"/>
  <c r="M685" i="2"/>
  <c r="K685" i="2"/>
  <c r="I685" i="2"/>
  <c r="E685" i="2"/>
  <c r="P684" i="2"/>
  <c r="O684" i="2"/>
  <c r="Q684" i="2" s="1"/>
  <c r="R684" i="2" s="1"/>
  <c r="N684" i="2"/>
  <c r="M684" i="2"/>
  <c r="K684" i="2"/>
  <c r="I684" i="2"/>
  <c r="E684" i="2"/>
  <c r="R683" i="2"/>
  <c r="Q683" i="2"/>
  <c r="P683" i="2"/>
  <c r="O683" i="2"/>
  <c r="N683" i="2"/>
  <c r="M683" i="2"/>
  <c r="K683" i="2"/>
  <c r="I683" i="2"/>
  <c r="E683" i="2"/>
  <c r="P682" i="2"/>
  <c r="O682" i="2"/>
  <c r="Q682" i="2" s="1"/>
  <c r="R682" i="2" s="1"/>
  <c r="N682" i="2"/>
  <c r="M682" i="2"/>
  <c r="K682" i="2"/>
  <c r="I682" i="2"/>
  <c r="E682" i="2"/>
  <c r="P681" i="2"/>
  <c r="O681" i="2"/>
  <c r="Q681" i="2" s="1"/>
  <c r="R681" i="2" s="1"/>
  <c r="N681" i="2"/>
  <c r="M681" i="2"/>
  <c r="K681" i="2"/>
  <c r="I681" i="2"/>
  <c r="E681" i="2"/>
  <c r="P680" i="2"/>
  <c r="O680" i="2"/>
  <c r="Q680" i="2" s="1"/>
  <c r="R680" i="2" s="1"/>
  <c r="N680" i="2"/>
  <c r="M680" i="2"/>
  <c r="K680" i="2"/>
  <c r="I680" i="2"/>
  <c r="E680" i="2"/>
  <c r="P679" i="2"/>
  <c r="O679" i="2"/>
  <c r="Q679" i="2" s="1"/>
  <c r="R679" i="2" s="1"/>
  <c r="N679" i="2"/>
  <c r="M679" i="2"/>
  <c r="K679" i="2"/>
  <c r="I679" i="2"/>
  <c r="E679" i="2"/>
  <c r="P678" i="2"/>
  <c r="O678" i="2"/>
  <c r="Q678" i="2" s="1"/>
  <c r="R678" i="2" s="1"/>
  <c r="N678" i="2"/>
  <c r="M678" i="2"/>
  <c r="K678" i="2"/>
  <c r="I678" i="2"/>
  <c r="E678" i="2"/>
  <c r="P677" i="2"/>
  <c r="O677" i="2"/>
  <c r="Q677" i="2" s="1"/>
  <c r="R677" i="2" s="1"/>
  <c r="N677" i="2"/>
  <c r="M677" i="2"/>
  <c r="K677" i="2"/>
  <c r="I677" i="2"/>
  <c r="E677" i="2"/>
  <c r="P676" i="2"/>
  <c r="O676" i="2"/>
  <c r="Q676" i="2" s="1"/>
  <c r="R676" i="2" s="1"/>
  <c r="N676" i="2"/>
  <c r="M676" i="2"/>
  <c r="K676" i="2"/>
  <c r="I676" i="2"/>
  <c r="E676" i="2"/>
  <c r="P675" i="2"/>
  <c r="O675" i="2"/>
  <c r="Q675" i="2" s="1"/>
  <c r="R675" i="2" s="1"/>
  <c r="N675" i="2"/>
  <c r="M675" i="2"/>
  <c r="K675" i="2"/>
  <c r="I675" i="2"/>
  <c r="E675" i="2"/>
  <c r="P674" i="2"/>
  <c r="O674" i="2"/>
  <c r="Q674" i="2" s="1"/>
  <c r="R674" i="2" s="1"/>
  <c r="N674" i="2"/>
  <c r="M674" i="2"/>
  <c r="K674" i="2"/>
  <c r="I674" i="2"/>
  <c r="E674" i="2"/>
  <c r="P673" i="2"/>
  <c r="O673" i="2"/>
  <c r="Q673" i="2" s="1"/>
  <c r="R673" i="2" s="1"/>
  <c r="N673" i="2"/>
  <c r="M673" i="2"/>
  <c r="K673" i="2"/>
  <c r="I673" i="2"/>
  <c r="E673" i="2"/>
  <c r="P672" i="2"/>
  <c r="O672" i="2"/>
  <c r="Q672" i="2" s="1"/>
  <c r="R672" i="2" s="1"/>
  <c r="N672" i="2"/>
  <c r="M672" i="2"/>
  <c r="K672" i="2"/>
  <c r="I672" i="2"/>
  <c r="E672" i="2"/>
  <c r="P671" i="2"/>
  <c r="O671" i="2"/>
  <c r="Q671" i="2" s="1"/>
  <c r="R671" i="2" s="1"/>
  <c r="N671" i="2"/>
  <c r="M671" i="2"/>
  <c r="K671" i="2"/>
  <c r="I671" i="2"/>
  <c r="E671" i="2"/>
  <c r="P670" i="2"/>
  <c r="O670" i="2"/>
  <c r="Q670" i="2" s="1"/>
  <c r="R670" i="2" s="1"/>
  <c r="N670" i="2"/>
  <c r="M670" i="2"/>
  <c r="K670" i="2"/>
  <c r="I670" i="2"/>
  <c r="E670" i="2"/>
  <c r="P669" i="2"/>
  <c r="O669" i="2"/>
  <c r="Q669" i="2" s="1"/>
  <c r="R669" i="2" s="1"/>
  <c r="N669" i="2"/>
  <c r="M669" i="2"/>
  <c r="K669" i="2"/>
  <c r="I669" i="2"/>
  <c r="E669" i="2"/>
  <c r="Q668" i="2"/>
  <c r="R668" i="2" s="1"/>
  <c r="P668" i="2"/>
  <c r="O668" i="2"/>
  <c r="N668" i="2"/>
  <c r="M668" i="2"/>
  <c r="K668" i="2"/>
  <c r="I668" i="2"/>
  <c r="E668" i="2"/>
  <c r="P667" i="2"/>
  <c r="O667" i="2"/>
  <c r="Q667" i="2" s="1"/>
  <c r="R667" i="2" s="1"/>
  <c r="N667" i="2"/>
  <c r="M667" i="2"/>
  <c r="K667" i="2"/>
  <c r="I667" i="2"/>
  <c r="E667" i="2"/>
  <c r="P666" i="2"/>
  <c r="O666" i="2"/>
  <c r="Q666" i="2" s="1"/>
  <c r="R666" i="2" s="1"/>
  <c r="N666" i="2"/>
  <c r="M666" i="2"/>
  <c r="K666" i="2"/>
  <c r="I666" i="2"/>
  <c r="E666" i="2"/>
  <c r="P665" i="2"/>
  <c r="O665" i="2"/>
  <c r="Q665" i="2" s="1"/>
  <c r="R665" i="2" s="1"/>
  <c r="N665" i="2"/>
  <c r="M665" i="2"/>
  <c r="K665" i="2"/>
  <c r="I665" i="2"/>
  <c r="E665" i="2"/>
  <c r="P664" i="2"/>
  <c r="O664" i="2"/>
  <c r="Q664" i="2" s="1"/>
  <c r="R664" i="2" s="1"/>
  <c r="N664" i="2"/>
  <c r="M664" i="2"/>
  <c r="K664" i="2"/>
  <c r="I664" i="2"/>
  <c r="E664" i="2"/>
  <c r="P663" i="2"/>
  <c r="O663" i="2"/>
  <c r="Q663" i="2" s="1"/>
  <c r="R663" i="2" s="1"/>
  <c r="N663" i="2"/>
  <c r="M663" i="2"/>
  <c r="K663" i="2"/>
  <c r="I663" i="2"/>
  <c r="E663" i="2"/>
  <c r="P662" i="2"/>
  <c r="O662" i="2"/>
  <c r="Q662" i="2" s="1"/>
  <c r="R662" i="2" s="1"/>
  <c r="N662" i="2"/>
  <c r="M662" i="2"/>
  <c r="K662" i="2"/>
  <c r="I662" i="2"/>
  <c r="E662" i="2"/>
  <c r="R661" i="2"/>
  <c r="P661" i="2"/>
  <c r="O661" i="2"/>
  <c r="Q661" i="2" s="1"/>
  <c r="N661" i="2"/>
  <c r="M661" i="2"/>
  <c r="K661" i="2"/>
  <c r="I661" i="2"/>
  <c r="E661" i="2"/>
  <c r="P660" i="2"/>
  <c r="O660" i="2"/>
  <c r="Q660" i="2" s="1"/>
  <c r="R660" i="2" s="1"/>
  <c r="N660" i="2"/>
  <c r="M660" i="2"/>
  <c r="K660" i="2"/>
  <c r="I660" i="2"/>
  <c r="E660" i="2"/>
  <c r="P659" i="2"/>
  <c r="O659" i="2"/>
  <c r="Q659" i="2" s="1"/>
  <c r="R659" i="2" s="1"/>
  <c r="N659" i="2"/>
  <c r="M659" i="2"/>
  <c r="K659" i="2"/>
  <c r="I659" i="2"/>
  <c r="E659" i="2"/>
  <c r="P658" i="2"/>
  <c r="O658" i="2"/>
  <c r="Q658" i="2" s="1"/>
  <c r="R658" i="2" s="1"/>
  <c r="N658" i="2"/>
  <c r="M658" i="2"/>
  <c r="K658" i="2"/>
  <c r="I658" i="2"/>
  <c r="E658" i="2"/>
  <c r="P656" i="2"/>
  <c r="O656" i="2"/>
  <c r="Q656" i="2" s="1"/>
  <c r="R656" i="2" s="1"/>
  <c r="N656" i="2"/>
  <c r="M656" i="2"/>
  <c r="K656" i="2"/>
  <c r="I656" i="2"/>
  <c r="E656" i="2"/>
  <c r="P655" i="2"/>
  <c r="O655" i="2"/>
  <c r="Q655" i="2" s="1"/>
  <c r="R655" i="2" s="1"/>
  <c r="N655" i="2"/>
  <c r="M655" i="2"/>
  <c r="K655" i="2"/>
  <c r="I655" i="2"/>
  <c r="E655" i="2"/>
  <c r="Q654" i="2"/>
  <c r="R654" i="2" s="1"/>
  <c r="P654" i="2"/>
  <c r="O654" i="2"/>
  <c r="N654" i="2"/>
  <c r="M654" i="2"/>
  <c r="K654" i="2"/>
  <c r="I654" i="2"/>
  <c r="E654" i="2"/>
  <c r="P653" i="2"/>
  <c r="O653" i="2"/>
  <c r="Q653" i="2" s="1"/>
  <c r="R653" i="2" s="1"/>
  <c r="N653" i="2"/>
  <c r="M653" i="2"/>
  <c r="K653" i="2"/>
  <c r="I653" i="2"/>
  <c r="E653" i="2"/>
  <c r="P652" i="2"/>
  <c r="O652" i="2"/>
  <c r="Q652" i="2" s="1"/>
  <c r="R652" i="2" s="1"/>
  <c r="N652" i="2"/>
  <c r="M652" i="2"/>
  <c r="K652" i="2"/>
  <c r="I652" i="2"/>
  <c r="E652" i="2"/>
  <c r="P651" i="2"/>
  <c r="O651" i="2"/>
  <c r="Q651" i="2" s="1"/>
  <c r="R651" i="2" s="1"/>
  <c r="N651" i="2"/>
  <c r="M651" i="2"/>
  <c r="K651" i="2"/>
  <c r="I651" i="2"/>
  <c r="E651" i="2"/>
  <c r="Q650" i="2"/>
  <c r="R650" i="2" s="1"/>
  <c r="P650" i="2"/>
  <c r="O650" i="2"/>
  <c r="N650" i="2"/>
  <c r="M650" i="2"/>
  <c r="K650" i="2"/>
  <c r="I650" i="2"/>
  <c r="E650" i="2"/>
  <c r="P649" i="2"/>
  <c r="O649" i="2"/>
  <c r="Q649" i="2" s="1"/>
  <c r="R649" i="2" s="1"/>
  <c r="N649" i="2"/>
  <c r="M649" i="2"/>
  <c r="K649" i="2"/>
  <c r="I649" i="2"/>
  <c r="E649" i="2"/>
  <c r="P648" i="2"/>
  <c r="O648" i="2"/>
  <c r="Q648" i="2" s="1"/>
  <c r="R648" i="2" s="1"/>
  <c r="N648" i="2"/>
  <c r="M648" i="2"/>
  <c r="K648" i="2"/>
  <c r="I648" i="2"/>
  <c r="E648" i="2"/>
  <c r="P647" i="2"/>
  <c r="O647" i="2"/>
  <c r="Q647" i="2" s="1"/>
  <c r="R647" i="2" s="1"/>
  <c r="N647" i="2"/>
  <c r="M647" i="2"/>
  <c r="K647" i="2"/>
  <c r="I647" i="2"/>
  <c r="E647" i="2"/>
  <c r="Q646" i="2"/>
  <c r="R646" i="2" s="1"/>
  <c r="P646" i="2"/>
  <c r="O646" i="2"/>
  <c r="N646" i="2"/>
  <c r="M646" i="2"/>
  <c r="K646" i="2"/>
  <c r="I646" i="2"/>
  <c r="E646" i="2"/>
  <c r="P645" i="2"/>
  <c r="O645" i="2"/>
  <c r="Q645" i="2" s="1"/>
  <c r="R645" i="2" s="1"/>
  <c r="N645" i="2"/>
  <c r="M645" i="2"/>
  <c r="K645" i="2"/>
  <c r="I645" i="2"/>
  <c r="E645" i="2"/>
  <c r="P644" i="2"/>
  <c r="O644" i="2"/>
  <c r="Q644" i="2" s="1"/>
  <c r="R644" i="2" s="1"/>
  <c r="N644" i="2"/>
  <c r="M644" i="2"/>
  <c r="K644" i="2"/>
  <c r="I644" i="2"/>
  <c r="E644" i="2"/>
  <c r="P643" i="2"/>
  <c r="O643" i="2"/>
  <c r="Q643" i="2" s="1"/>
  <c r="R643" i="2" s="1"/>
  <c r="N643" i="2"/>
  <c r="M643" i="2"/>
  <c r="K643" i="2"/>
  <c r="I643" i="2"/>
  <c r="E643" i="2"/>
  <c r="Q642" i="2"/>
  <c r="R642" i="2" s="1"/>
  <c r="P642" i="2"/>
  <c r="O642" i="2"/>
  <c r="N642" i="2"/>
  <c r="M642" i="2"/>
  <c r="K642" i="2"/>
  <c r="I642" i="2"/>
  <c r="E642" i="2"/>
  <c r="P641" i="2"/>
  <c r="O641" i="2"/>
  <c r="Q641" i="2" s="1"/>
  <c r="R641" i="2" s="1"/>
  <c r="N641" i="2"/>
  <c r="M641" i="2"/>
  <c r="K641" i="2"/>
  <c r="I641" i="2"/>
  <c r="E641" i="2"/>
  <c r="P640" i="2"/>
  <c r="O640" i="2"/>
  <c r="Q640" i="2" s="1"/>
  <c r="R640" i="2" s="1"/>
  <c r="N640" i="2"/>
  <c r="M640" i="2"/>
  <c r="K640" i="2"/>
  <c r="I640" i="2"/>
  <c r="E640" i="2"/>
  <c r="P639" i="2"/>
  <c r="O639" i="2"/>
  <c r="Q639" i="2" s="1"/>
  <c r="R639" i="2" s="1"/>
  <c r="N639" i="2"/>
  <c r="M639" i="2"/>
  <c r="K639" i="2"/>
  <c r="I639" i="2"/>
  <c r="E639" i="2"/>
  <c r="Q638" i="2"/>
  <c r="R638" i="2" s="1"/>
  <c r="P638" i="2"/>
  <c r="O638" i="2"/>
  <c r="N638" i="2"/>
  <c r="M638" i="2"/>
  <c r="K638" i="2"/>
  <c r="I638" i="2"/>
  <c r="E638" i="2"/>
  <c r="P637" i="2"/>
  <c r="O637" i="2"/>
  <c r="Q637" i="2" s="1"/>
  <c r="R637" i="2" s="1"/>
  <c r="N637" i="2"/>
  <c r="M637" i="2"/>
  <c r="K637" i="2"/>
  <c r="I637" i="2"/>
  <c r="E637" i="2"/>
  <c r="P636" i="2"/>
  <c r="O636" i="2"/>
  <c r="Q636" i="2" s="1"/>
  <c r="R636" i="2" s="1"/>
  <c r="N636" i="2"/>
  <c r="M636" i="2"/>
  <c r="K636" i="2"/>
  <c r="I636" i="2"/>
  <c r="E636" i="2"/>
  <c r="P635" i="2"/>
  <c r="O635" i="2"/>
  <c r="Q635" i="2" s="1"/>
  <c r="R635" i="2" s="1"/>
  <c r="N635" i="2"/>
  <c r="M635" i="2"/>
  <c r="K635" i="2"/>
  <c r="I635" i="2"/>
  <c r="E635" i="2"/>
  <c r="Q634" i="2"/>
  <c r="R634" i="2" s="1"/>
  <c r="P634" i="2"/>
  <c r="O634" i="2"/>
  <c r="N634" i="2"/>
  <c r="M634" i="2"/>
  <c r="K634" i="2"/>
  <c r="I634" i="2"/>
  <c r="E634" i="2"/>
  <c r="P632" i="2"/>
  <c r="O632" i="2"/>
  <c r="Q632" i="2" s="1"/>
  <c r="R632" i="2" s="1"/>
  <c r="N632" i="2"/>
  <c r="M632" i="2"/>
  <c r="K632" i="2"/>
  <c r="I632" i="2"/>
  <c r="E632" i="2"/>
  <c r="P631" i="2"/>
  <c r="O631" i="2"/>
  <c r="Q631" i="2" s="1"/>
  <c r="R631" i="2" s="1"/>
  <c r="N631" i="2"/>
  <c r="M631" i="2"/>
  <c r="K631" i="2"/>
  <c r="I631" i="2"/>
  <c r="E631" i="2"/>
  <c r="P630" i="2"/>
  <c r="O630" i="2"/>
  <c r="Q630" i="2" s="1"/>
  <c r="R630" i="2" s="1"/>
  <c r="N630" i="2"/>
  <c r="M630" i="2"/>
  <c r="K630" i="2"/>
  <c r="I630" i="2"/>
  <c r="E630" i="2"/>
  <c r="Q628" i="2"/>
  <c r="R628" i="2" s="1"/>
  <c r="P628" i="2"/>
  <c r="O628" i="2"/>
  <c r="N628" i="2"/>
  <c r="M628" i="2"/>
  <c r="K628" i="2"/>
  <c r="I628" i="2"/>
  <c r="E628" i="2"/>
  <c r="P627" i="2"/>
  <c r="O627" i="2"/>
  <c r="Q627" i="2" s="1"/>
  <c r="R627" i="2" s="1"/>
  <c r="N627" i="2"/>
  <c r="M627" i="2"/>
  <c r="K627" i="2"/>
  <c r="I627" i="2"/>
  <c r="E627" i="2"/>
  <c r="P626" i="2"/>
  <c r="O626" i="2"/>
  <c r="Q626" i="2" s="1"/>
  <c r="R626" i="2" s="1"/>
  <c r="N626" i="2"/>
  <c r="M626" i="2"/>
  <c r="K626" i="2"/>
  <c r="I626" i="2"/>
  <c r="E626" i="2"/>
  <c r="P625" i="2"/>
  <c r="O625" i="2"/>
  <c r="Q625" i="2" s="1"/>
  <c r="R625" i="2" s="1"/>
  <c r="N625" i="2"/>
  <c r="M625" i="2"/>
  <c r="K625" i="2"/>
  <c r="I625" i="2"/>
  <c r="E625" i="2"/>
  <c r="Q624" i="2"/>
  <c r="R624" i="2" s="1"/>
  <c r="P624" i="2"/>
  <c r="O624" i="2"/>
  <c r="N624" i="2"/>
  <c r="M624" i="2"/>
  <c r="K624" i="2"/>
  <c r="I624" i="2"/>
  <c r="E624" i="2"/>
  <c r="P623" i="2"/>
  <c r="O623" i="2"/>
  <c r="Q623" i="2" s="1"/>
  <c r="R623" i="2" s="1"/>
  <c r="N623" i="2"/>
  <c r="M623" i="2"/>
  <c r="K623" i="2"/>
  <c r="I623" i="2"/>
  <c r="E623" i="2"/>
  <c r="P622" i="2"/>
  <c r="O622" i="2"/>
  <c r="Q622" i="2" s="1"/>
  <c r="R622" i="2" s="1"/>
  <c r="N622" i="2"/>
  <c r="M622" i="2"/>
  <c r="K622" i="2"/>
  <c r="I622" i="2"/>
  <c r="E622" i="2"/>
  <c r="P621" i="2"/>
  <c r="O621" i="2"/>
  <c r="Q621" i="2" s="1"/>
  <c r="R621" i="2" s="1"/>
  <c r="N621" i="2"/>
  <c r="M621" i="2"/>
  <c r="K621" i="2"/>
  <c r="I621" i="2"/>
  <c r="E621" i="2"/>
  <c r="Q620" i="2"/>
  <c r="R620" i="2" s="1"/>
  <c r="P620" i="2"/>
  <c r="O620" i="2"/>
  <c r="N620" i="2"/>
  <c r="M620" i="2"/>
  <c r="K620" i="2"/>
  <c r="I620" i="2"/>
  <c r="E620" i="2"/>
  <c r="P619" i="2"/>
  <c r="O619" i="2"/>
  <c r="Q619" i="2" s="1"/>
  <c r="R619" i="2" s="1"/>
  <c r="N619" i="2"/>
  <c r="M619" i="2"/>
  <c r="K619" i="2"/>
  <c r="I619" i="2"/>
  <c r="E619" i="2"/>
  <c r="P617" i="2"/>
  <c r="O617" i="2"/>
  <c r="Q617" i="2" s="1"/>
  <c r="R617" i="2" s="1"/>
  <c r="N617" i="2"/>
  <c r="M617" i="2"/>
  <c r="K617" i="2"/>
  <c r="I617" i="2"/>
  <c r="E617" i="2"/>
  <c r="P616" i="2"/>
  <c r="O616" i="2"/>
  <c r="Q616" i="2" s="1"/>
  <c r="R616" i="2" s="1"/>
  <c r="N616" i="2"/>
  <c r="M616" i="2"/>
  <c r="K616" i="2"/>
  <c r="I616" i="2"/>
  <c r="E616" i="2"/>
  <c r="Q615" i="2"/>
  <c r="R615" i="2" s="1"/>
  <c r="P615" i="2"/>
  <c r="O615" i="2"/>
  <c r="N615" i="2"/>
  <c r="M615" i="2"/>
  <c r="K615" i="2"/>
  <c r="I615" i="2"/>
  <c r="E615" i="2"/>
  <c r="P614" i="2"/>
  <c r="O614" i="2"/>
  <c r="Q614" i="2" s="1"/>
  <c r="R614" i="2" s="1"/>
  <c r="N614" i="2"/>
  <c r="M614" i="2"/>
  <c r="K614" i="2"/>
  <c r="I614" i="2"/>
  <c r="E614" i="2"/>
  <c r="P613" i="2"/>
  <c r="O613" i="2"/>
  <c r="Q613" i="2" s="1"/>
  <c r="R613" i="2" s="1"/>
  <c r="N613" i="2"/>
  <c r="M613" i="2"/>
  <c r="K613" i="2"/>
  <c r="I613" i="2"/>
  <c r="E613" i="2"/>
  <c r="P612" i="2"/>
  <c r="O612" i="2"/>
  <c r="Q612" i="2" s="1"/>
  <c r="R612" i="2" s="1"/>
  <c r="N612" i="2"/>
  <c r="M612" i="2"/>
  <c r="K612" i="2"/>
  <c r="I612" i="2"/>
  <c r="E612" i="2"/>
  <c r="Q611" i="2"/>
  <c r="R611" i="2" s="1"/>
  <c r="P611" i="2"/>
  <c r="O611" i="2"/>
  <c r="N611" i="2"/>
  <c r="M611" i="2"/>
  <c r="K611" i="2"/>
  <c r="I611" i="2"/>
  <c r="E611" i="2"/>
  <c r="P610" i="2"/>
  <c r="O610" i="2"/>
  <c r="Q610" i="2" s="1"/>
  <c r="R610" i="2" s="1"/>
  <c r="N610" i="2"/>
  <c r="M610" i="2"/>
  <c r="K610" i="2"/>
  <c r="I610" i="2"/>
  <c r="E610" i="2"/>
  <c r="P609" i="2"/>
  <c r="O609" i="2"/>
  <c r="Q609" i="2" s="1"/>
  <c r="R609" i="2" s="1"/>
  <c r="N609" i="2"/>
  <c r="M609" i="2"/>
  <c r="K609" i="2"/>
  <c r="I609" i="2"/>
  <c r="E609" i="2"/>
  <c r="P608" i="2"/>
  <c r="O608" i="2"/>
  <c r="Q608" i="2" s="1"/>
  <c r="R608" i="2" s="1"/>
  <c r="N608" i="2"/>
  <c r="M608" i="2"/>
  <c r="K608" i="2"/>
  <c r="I608" i="2"/>
  <c r="E608" i="2"/>
  <c r="Q607" i="2"/>
  <c r="R607" i="2" s="1"/>
  <c r="P607" i="2"/>
  <c r="O607" i="2"/>
  <c r="N607" i="2"/>
  <c r="M607" i="2"/>
  <c r="K607" i="2"/>
  <c r="I607" i="2"/>
  <c r="E607" i="2"/>
  <c r="P606" i="2"/>
  <c r="O606" i="2"/>
  <c r="Q606" i="2" s="1"/>
  <c r="R606" i="2" s="1"/>
  <c r="N606" i="2"/>
  <c r="M606" i="2"/>
  <c r="K606" i="2"/>
  <c r="I606" i="2"/>
  <c r="E606" i="2"/>
  <c r="P605" i="2"/>
  <c r="O605" i="2"/>
  <c r="Q605" i="2" s="1"/>
  <c r="R605" i="2" s="1"/>
  <c r="N605" i="2"/>
  <c r="M605" i="2"/>
  <c r="K605" i="2"/>
  <c r="I605" i="2"/>
  <c r="E605" i="2"/>
  <c r="P604" i="2"/>
  <c r="O604" i="2"/>
  <c r="Q604" i="2" s="1"/>
  <c r="R604" i="2" s="1"/>
  <c r="N604" i="2"/>
  <c r="M604" i="2"/>
  <c r="K604" i="2"/>
  <c r="I604" i="2"/>
  <c r="E604" i="2"/>
  <c r="Q603" i="2"/>
  <c r="R603" i="2" s="1"/>
  <c r="P603" i="2"/>
  <c r="O603" i="2"/>
  <c r="N603" i="2"/>
  <c r="M603" i="2"/>
  <c r="K603" i="2"/>
  <c r="I603" i="2"/>
  <c r="E603" i="2"/>
  <c r="P602" i="2"/>
  <c r="O602" i="2"/>
  <c r="Q602" i="2" s="1"/>
  <c r="R602" i="2" s="1"/>
  <c r="N602" i="2"/>
  <c r="M602" i="2"/>
  <c r="K602" i="2"/>
  <c r="I602" i="2"/>
  <c r="E602" i="2"/>
  <c r="P601" i="2"/>
  <c r="O601" i="2"/>
  <c r="Q601" i="2" s="1"/>
  <c r="R601" i="2" s="1"/>
  <c r="N601" i="2"/>
  <c r="M601" i="2"/>
  <c r="K601" i="2"/>
  <c r="I601" i="2"/>
  <c r="E601" i="2"/>
  <c r="P600" i="2"/>
  <c r="O600" i="2"/>
  <c r="Q600" i="2" s="1"/>
  <c r="R600" i="2" s="1"/>
  <c r="N600" i="2"/>
  <c r="M600" i="2"/>
  <c r="K600" i="2"/>
  <c r="I600" i="2"/>
  <c r="E600" i="2"/>
  <c r="Q599" i="2"/>
  <c r="R599" i="2" s="1"/>
  <c r="P599" i="2"/>
  <c r="O599" i="2"/>
  <c r="N599" i="2"/>
  <c r="M599" i="2"/>
  <c r="K599" i="2"/>
  <c r="I599" i="2"/>
  <c r="E599" i="2"/>
  <c r="P598" i="2"/>
  <c r="O598" i="2"/>
  <c r="Q598" i="2" s="1"/>
  <c r="R598" i="2" s="1"/>
  <c r="N598" i="2"/>
  <c r="M598" i="2"/>
  <c r="K598" i="2"/>
  <c r="I598" i="2"/>
  <c r="E598" i="2"/>
  <c r="P597" i="2"/>
  <c r="O597" i="2"/>
  <c r="Q597" i="2" s="1"/>
  <c r="R597" i="2" s="1"/>
  <c r="N597" i="2"/>
  <c r="M597" i="2"/>
  <c r="K597" i="2"/>
  <c r="I597" i="2"/>
  <c r="E597" i="2"/>
  <c r="P596" i="2"/>
  <c r="O596" i="2"/>
  <c r="Q596" i="2" s="1"/>
  <c r="R596" i="2" s="1"/>
  <c r="N596" i="2"/>
  <c r="M596" i="2"/>
  <c r="K596" i="2"/>
  <c r="I596" i="2"/>
  <c r="E596" i="2"/>
  <c r="Q595" i="2"/>
  <c r="R595" i="2" s="1"/>
  <c r="P595" i="2"/>
  <c r="O595" i="2"/>
  <c r="N595" i="2"/>
  <c r="M595" i="2"/>
  <c r="K595" i="2"/>
  <c r="I595" i="2"/>
  <c r="E595" i="2"/>
  <c r="P594" i="2"/>
  <c r="O594" i="2"/>
  <c r="Q594" i="2" s="1"/>
  <c r="R594" i="2" s="1"/>
  <c r="N594" i="2"/>
  <c r="M594" i="2"/>
  <c r="K594" i="2"/>
  <c r="I594" i="2"/>
  <c r="E594" i="2"/>
  <c r="P593" i="2"/>
  <c r="O593" i="2"/>
  <c r="Q593" i="2" s="1"/>
  <c r="R593" i="2" s="1"/>
  <c r="N593" i="2"/>
  <c r="M593" i="2"/>
  <c r="K593" i="2"/>
  <c r="I593" i="2"/>
  <c r="E593" i="2"/>
  <c r="P592" i="2"/>
  <c r="O592" i="2"/>
  <c r="Q592" i="2" s="1"/>
  <c r="R592" i="2" s="1"/>
  <c r="N592" i="2"/>
  <c r="M592" i="2"/>
  <c r="K592" i="2"/>
  <c r="I592" i="2"/>
  <c r="E592" i="2"/>
  <c r="Q591" i="2"/>
  <c r="R591" i="2" s="1"/>
  <c r="P591" i="2"/>
  <c r="O591" i="2"/>
  <c r="N591" i="2"/>
  <c r="M591" i="2"/>
  <c r="K591" i="2"/>
  <c r="I591" i="2"/>
  <c r="E591" i="2"/>
  <c r="P590" i="2"/>
  <c r="O590" i="2"/>
  <c r="Q590" i="2" s="1"/>
  <c r="R590" i="2" s="1"/>
  <c r="N590" i="2"/>
  <c r="M590" i="2"/>
  <c r="K590" i="2"/>
  <c r="I590" i="2"/>
  <c r="E590" i="2"/>
  <c r="P589" i="2"/>
  <c r="O589" i="2"/>
  <c r="Q589" i="2" s="1"/>
  <c r="R589" i="2" s="1"/>
  <c r="N589" i="2"/>
  <c r="M589" i="2"/>
  <c r="K589" i="2"/>
  <c r="I589" i="2"/>
  <c r="E589" i="2"/>
  <c r="P588" i="2"/>
  <c r="O588" i="2"/>
  <c r="Q588" i="2" s="1"/>
  <c r="R588" i="2" s="1"/>
  <c r="N588" i="2"/>
  <c r="M588" i="2"/>
  <c r="K588" i="2"/>
  <c r="I588" i="2"/>
  <c r="E588" i="2"/>
  <c r="Q587" i="2"/>
  <c r="R587" i="2" s="1"/>
  <c r="P587" i="2"/>
  <c r="O587" i="2"/>
  <c r="N587" i="2"/>
  <c r="M587" i="2"/>
  <c r="K587" i="2"/>
  <c r="I587" i="2"/>
  <c r="E587" i="2"/>
  <c r="P586" i="2"/>
  <c r="O586" i="2"/>
  <c r="Q586" i="2" s="1"/>
  <c r="R586" i="2" s="1"/>
  <c r="N586" i="2"/>
  <c r="M586" i="2"/>
  <c r="K586" i="2"/>
  <c r="I586" i="2"/>
  <c r="E586" i="2"/>
  <c r="P585" i="2"/>
  <c r="O585" i="2"/>
  <c r="Q585" i="2" s="1"/>
  <c r="R585" i="2" s="1"/>
  <c r="N585" i="2"/>
  <c r="M585" i="2"/>
  <c r="K585" i="2"/>
  <c r="I585" i="2"/>
  <c r="E585" i="2"/>
  <c r="P584" i="2"/>
  <c r="O584" i="2"/>
  <c r="Q584" i="2" s="1"/>
  <c r="R584" i="2" s="1"/>
  <c r="N584" i="2"/>
  <c r="M584" i="2"/>
  <c r="K584" i="2"/>
  <c r="I584" i="2"/>
  <c r="E584" i="2"/>
  <c r="Q583" i="2"/>
  <c r="R583" i="2" s="1"/>
  <c r="P583" i="2"/>
  <c r="O583" i="2"/>
  <c r="N583" i="2"/>
  <c r="M583" i="2"/>
  <c r="K583" i="2"/>
  <c r="I583" i="2"/>
  <c r="E583" i="2"/>
  <c r="P582" i="2"/>
  <c r="O582" i="2"/>
  <c r="Q582" i="2" s="1"/>
  <c r="R582" i="2" s="1"/>
  <c r="N582" i="2"/>
  <c r="M582" i="2"/>
  <c r="K582" i="2"/>
  <c r="I582" i="2"/>
  <c r="E582" i="2"/>
  <c r="P581" i="2"/>
  <c r="O581" i="2"/>
  <c r="Q581" i="2" s="1"/>
  <c r="R581" i="2" s="1"/>
  <c r="N581" i="2"/>
  <c r="M581" i="2"/>
  <c r="K581" i="2"/>
  <c r="I581" i="2"/>
  <c r="E581" i="2"/>
  <c r="P580" i="2"/>
  <c r="O580" i="2"/>
  <c r="Q580" i="2" s="1"/>
  <c r="R580" i="2" s="1"/>
  <c r="N580" i="2"/>
  <c r="M580" i="2"/>
  <c r="K580" i="2"/>
  <c r="I580" i="2"/>
  <c r="E580" i="2"/>
  <c r="Q579" i="2"/>
  <c r="R579" i="2" s="1"/>
  <c r="P579" i="2"/>
  <c r="O579" i="2"/>
  <c r="N579" i="2"/>
  <c r="M579" i="2"/>
  <c r="K579" i="2"/>
  <c r="I579" i="2"/>
  <c r="E579" i="2"/>
  <c r="P577" i="2"/>
  <c r="O577" i="2"/>
  <c r="Q577" i="2" s="1"/>
  <c r="R577" i="2" s="1"/>
  <c r="N577" i="2"/>
  <c r="M577" i="2"/>
  <c r="K577" i="2"/>
  <c r="I577" i="2"/>
  <c r="E577" i="2"/>
  <c r="P576" i="2"/>
  <c r="O576" i="2"/>
  <c r="Q576" i="2" s="1"/>
  <c r="R576" i="2" s="1"/>
  <c r="N576" i="2"/>
  <c r="M576" i="2"/>
  <c r="K576" i="2"/>
  <c r="I576" i="2"/>
  <c r="E576" i="2"/>
  <c r="P575" i="2"/>
  <c r="O575" i="2"/>
  <c r="Q575" i="2" s="1"/>
  <c r="R575" i="2" s="1"/>
  <c r="N575" i="2"/>
  <c r="M575" i="2"/>
  <c r="K575" i="2"/>
  <c r="I575" i="2"/>
  <c r="E575" i="2"/>
  <c r="Q574" i="2"/>
  <c r="R574" i="2" s="1"/>
  <c r="P574" i="2"/>
  <c r="O574" i="2"/>
  <c r="N574" i="2"/>
  <c r="M574" i="2"/>
  <c r="K574" i="2"/>
  <c r="I574" i="2"/>
  <c r="E574" i="2"/>
  <c r="P573" i="2"/>
  <c r="O573" i="2"/>
  <c r="Q573" i="2" s="1"/>
  <c r="R573" i="2" s="1"/>
  <c r="N573" i="2"/>
  <c r="M573" i="2"/>
  <c r="K573" i="2"/>
  <c r="I573" i="2"/>
  <c r="E573" i="2"/>
  <c r="P572" i="2"/>
  <c r="O572" i="2"/>
  <c r="Q572" i="2" s="1"/>
  <c r="R572" i="2" s="1"/>
  <c r="N572" i="2"/>
  <c r="M572" i="2"/>
  <c r="K572" i="2"/>
  <c r="I572" i="2"/>
  <c r="E572" i="2"/>
  <c r="P571" i="2"/>
  <c r="O571" i="2"/>
  <c r="Q571" i="2" s="1"/>
  <c r="R571" i="2" s="1"/>
  <c r="N571" i="2"/>
  <c r="M571" i="2"/>
  <c r="K571" i="2"/>
  <c r="I571" i="2"/>
  <c r="E571" i="2"/>
  <c r="Q570" i="2"/>
  <c r="R570" i="2" s="1"/>
  <c r="P570" i="2"/>
  <c r="O570" i="2"/>
  <c r="N570" i="2"/>
  <c r="M570" i="2"/>
  <c r="K570" i="2"/>
  <c r="I570" i="2"/>
  <c r="E570" i="2"/>
  <c r="P569" i="2"/>
  <c r="O569" i="2"/>
  <c r="Q569" i="2" s="1"/>
  <c r="R569" i="2" s="1"/>
  <c r="N569" i="2"/>
  <c r="M569" i="2"/>
  <c r="K569" i="2"/>
  <c r="I569" i="2"/>
  <c r="E569" i="2"/>
  <c r="P567" i="2"/>
  <c r="O567" i="2"/>
  <c r="Q567" i="2" s="1"/>
  <c r="R567" i="2" s="1"/>
  <c r="N567" i="2"/>
  <c r="M567" i="2"/>
  <c r="K567" i="2"/>
  <c r="I567" i="2"/>
  <c r="E567" i="2"/>
  <c r="P566" i="2"/>
  <c r="O566" i="2"/>
  <c r="Q566" i="2" s="1"/>
  <c r="R566" i="2" s="1"/>
  <c r="N566" i="2"/>
  <c r="M566" i="2"/>
  <c r="K566" i="2"/>
  <c r="I566" i="2"/>
  <c r="E566" i="2"/>
  <c r="Q565" i="2"/>
  <c r="R565" i="2" s="1"/>
  <c r="P565" i="2"/>
  <c r="O565" i="2"/>
  <c r="N565" i="2"/>
  <c r="M565" i="2"/>
  <c r="K565" i="2"/>
  <c r="I565" i="2"/>
  <c r="E565" i="2"/>
  <c r="P564" i="2"/>
  <c r="O564" i="2"/>
  <c r="Q564" i="2" s="1"/>
  <c r="R564" i="2" s="1"/>
  <c r="N564" i="2"/>
  <c r="M564" i="2"/>
  <c r="K564" i="2"/>
  <c r="I564" i="2"/>
  <c r="E564" i="2"/>
  <c r="P563" i="2"/>
  <c r="O563" i="2"/>
  <c r="Q563" i="2" s="1"/>
  <c r="R563" i="2" s="1"/>
  <c r="N563" i="2"/>
  <c r="M563" i="2"/>
  <c r="K563" i="2"/>
  <c r="I563" i="2"/>
  <c r="E563" i="2"/>
  <c r="P562" i="2"/>
  <c r="O562" i="2"/>
  <c r="Q562" i="2" s="1"/>
  <c r="R562" i="2" s="1"/>
  <c r="N562" i="2"/>
  <c r="M562" i="2"/>
  <c r="K562" i="2"/>
  <c r="I562" i="2"/>
  <c r="E562" i="2"/>
  <c r="Q561" i="2"/>
  <c r="R561" i="2" s="1"/>
  <c r="P561" i="2"/>
  <c r="O561" i="2"/>
  <c r="N561" i="2"/>
  <c r="M561" i="2"/>
  <c r="K561" i="2"/>
  <c r="I561" i="2"/>
  <c r="E561" i="2"/>
  <c r="P560" i="2"/>
  <c r="O560" i="2"/>
  <c r="Q560" i="2" s="1"/>
  <c r="R560" i="2" s="1"/>
  <c r="N560" i="2"/>
  <c r="M560" i="2"/>
  <c r="K560" i="2"/>
  <c r="I560" i="2"/>
  <c r="E560" i="2"/>
  <c r="P559" i="2"/>
  <c r="O559" i="2"/>
  <c r="Q559" i="2" s="1"/>
  <c r="R559" i="2" s="1"/>
  <c r="N559" i="2"/>
  <c r="M559" i="2"/>
  <c r="K559" i="2"/>
  <c r="I559" i="2"/>
  <c r="E559" i="2"/>
  <c r="P558" i="2"/>
  <c r="O558" i="2"/>
  <c r="Q558" i="2" s="1"/>
  <c r="R558" i="2" s="1"/>
  <c r="N558" i="2"/>
  <c r="M558" i="2"/>
  <c r="K558" i="2"/>
  <c r="I558" i="2"/>
  <c r="E558" i="2"/>
  <c r="Q557" i="2"/>
  <c r="R557" i="2" s="1"/>
  <c r="P557" i="2"/>
  <c r="O557" i="2"/>
  <c r="N557" i="2"/>
  <c r="M557" i="2"/>
  <c r="K557" i="2"/>
  <c r="I557" i="2"/>
  <c r="E557" i="2"/>
  <c r="P556" i="2"/>
  <c r="O556" i="2"/>
  <c r="Q556" i="2" s="1"/>
  <c r="R556" i="2" s="1"/>
  <c r="N556" i="2"/>
  <c r="M556" i="2"/>
  <c r="K556" i="2"/>
  <c r="I556" i="2"/>
  <c r="E556" i="2"/>
  <c r="P555" i="2"/>
  <c r="O555" i="2"/>
  <c r="Q555" i="2" s="1"/>
  <c r="R555" i="2" s="1"/>
  <c r="N555" i="2"/>
  <c r="M555" i="2"/>
  <c r="K555" i="2"/>
  <c r="I555" i="2"/>
  <c r="E555" i="2"/>
  <c r="P554" i="2"/>
  <c r="O554" i="2"/>
  <c r="Q554" i="2" s="1"/>
  <c r="R554" i="2" s="1"/>
  <c r="N554" i="2"/>
  <c r="M554" i="2"/>
  <c r="K554" i="2"/>
  <c r="I554" i="2"/>
  <c r="E554" i="2"/>
  <c r="Q553" i="2"/>
  <c r="R553" i="2" s="1"/>
  <c r="P553" i="2"/>
  <c r="O553" i="2"/>
  <c r="N553" i="2"/>
  <c r="M553" i="2"/>
  <c r="K553" i="2"/>
  <c r="I553" i="2"/>
  <c r="E553" i="2"/>
  <c r="P552" i="2"/>
  <c r="O552" i="2"/>
  <c r="Q552" i="2" s="1"/>
  <c r="R552" i="2" s="1"/>
  <c r="N552" i="2"/>
  <c r="M552" i="2"/>
  <c r="K552" i="2"/>
  <c r="I552" i="2"/>
  <c r="E552" i="2"/>
  <c r="P551" i="2"/>
  <c r="O551" i="2"/>
  <c r="Q551" i="2" s="1"/>
  <c r="R551" i="2" s="1"/>
  <c r="N551" i="2"/>
  <c r="M551" i="2"/>
  <c r="K551" i="2"/>
  <c r="I551" i="2"/>
  <c r="E551" i="2"/>
  <c r="P550" i="2"/>
  <c r="O550" i="2"/>
  <c r="Q550" i="2" s="1"/>
  <c r="R550" i="2" s="1"/>
  <c r="N550" i="2"/>
  <c r="M550" i="2"/>
  <c r="K550" i="2"/>
  <c r="I550" i="2"/>
  <c r="E550" i="2"/>
  <c r="Q549" i="2"/>
  <c r="R549" i="2" s="1"/>
  <c r="P549" i="2"/>
  <c r="O549" i="2"/>
  <c r="N549" i="2"/>
  <c r="M549" i="2"/>
  <c r="K549" i="2"/>
  <c r="I549" i="2"/>
  <c r="E549" i="2"/>
  <c r="P548" i="2"/>
  <c r="O548" i="2"/>
  <c r="Q548" i="2" s="1"/>
  <c r="R548" i="2" s="1"/>
  <c r="N548" i="2"/>
  <c r="M548" i="2"/>
  <c r="K548" i="2"/>
  <c r="I548" i="2"/>
  <c r="E548" i="2"/>
  <c r="P547" i="2"/>
  <c r="O547" i="2"/>
  <c r="Q547" i="2" s="1"/>
  <c r="R547" i="2" s="1"/>
  <c r="N547" i="2"/>
  <c r="M547" i="2"/>
  <c r="K547" i="2"/>
  <c r="I547" i="2"/>
  <c r="E547" i="2"/>
  <c r="P546" i="2"/>
  <c r="O546" i="2"/>
  <c r="Q546" i="2" s="1"/>
  <c r="R546" i="2" s="1"/>
  <c r="N546" i="2"/>
  <c r="M546" i="2"/>
  <c r="K546" i="2"/>
  <c r="I546" i="2"/>
  <c r="E546" i="2"/>
  <c r="Q545" i="2"/>
  <c r="R545" i="2" s="1"/>
  <c r="P545" i="2"/>
  <c r="O545" i="2"/>
  <c r="N545" i="2"/>
  <c r="M545" i="2"/>
  <c r="K545" i="2"/>
  <c r="I545" i="2"/>
  <c r="E545" i="2"/>
  <c r="P544" i="2"/>
  <c r="O544" i="2"/>
  <c r="Q544" i="2" s="1"/>
  <c r="R544" i="2" s="1"/>
  <c r="N544" i="2"/>
  <c r="M544" i="2"/>
  <c r="K544" i="2"/>
  <c r="I544" i="2"/>
  <c r="E544" i="2"/>
  <c r="P542" i="2"/>
  <c r="O542" i="2"/>
  <c r="Q542" i="2" s="1"/>
  <c r="R542" i="2" s="1"/>
  <c r="N542" i="2"/>
  <c r="M542" i="2"/>
  <c r="K542" i="2"/>
  <c r="I542" i="2"/>
  <c r="E542" i="2"/>
  <c r="P541" i="2"/>
  <c r="O541" i="2"/>
  <c r="Q541" i="2" s="1"/>
  <c r="R541" i="2" s="1"/>
  <c r="N541" i="2"/>
  <c r="M541" i="2"/>
  <c r="K541" i="2"/>
  <c r="I541" i="2"/>
  <c r="E541" i="2"/>
  <c r="Q540" i="2"/>
  <c r="R540" i="2" s="1"/>
  <c r="P540" i="2"/>
  <c r="O540" i="2"/>
  <c r="N540" i="2"/>
  <c r="M540" i="2"/>
  <c r="K540" i="2"/>
  <c r="I540" i="2"/>
  <c r="E540" i="2"/>
  <c r="P539" i="2"/>
  <c r="O539" i="2"/>
  <c r="Q539" i="2" s="1"/>
  <c r="R539" i="2" s="1"/>
  <c r="N539" i="2"/>
  <c r="M539" i="2"/>
  <c r="K539" i="2"/>
  <c r="I539" i="2"/>
  <c r="E539" i="2"/>
  <c r="P538" i="2"/>
  <c r="O538" i="2"/>
  <c r="Q538" i="2" s="1"/>
  <c r="R538" i="2" s="1"/>
  <c r="N538" i="2"/>
  <c r="M538" i="2"/>
  <c r="K538" i="2"/>
  <c r="I538" i="2"/>
  <c r="E538" i="2"/>
  <c r="P537" i="2"/>
  <c r="O537" i="2"/>
  <c r="Q537" i="2" s="1"/>
  <c r="R537" i="2" s="1"/>
  <c r="N537" i="2"/>
  <c r="M537" i="2"/>
  <c r="K537" i="2"/>
  <c r="I537" i="2"/>
  <c r="E537" i="2"/>
  <c r="Q536" i="2"/>
  <c r="R536" i="2" s="1"/>
  <c r="P536" i="2"/>
  <c r="O536" i="2"/>
  <c r="N536" i="2"/>
  <c r="M536" i="2"/>
  <c r="K536" i="2"/>
  <c r="I536" i="2"/>
  <c r="E536" i="2"/>
  <c r="P535" i="2"/>
  <c r="O535" i="2"/>
  <c r="Q535" i="2" s="1"/>
  <c r="R535" i="2" s="1"/>
  <c r="N535" i="2"/>
  <c r="M535" i="2"/>
  <c r="K535" i="2"/>
  <c r="I535" i="2"/>
  <c r="E535" i="2"/>
  <c r="P533" i="2"/>
  <c r="O533" i="2"/>
  <c r="Q533" i="2" s="1"/>
  <c r="R533" i="2" s="1"/>
  <c r="N533" i="2"/>
  <c r="M533" i="2"/>
  <c r="K533" i="2"/>
  <c r="I533" i="2"/>
  <c r="E533" i="2"/>
  <c r="P532" i="2"/>
  <c r="O532" i="2"/>
  <c r="Q532" i="2" s="1"/>
  <c r="R532" i="2" s="1"/>
  <c r="N532" i="2"/>
  <c r="M532" i="2"/>
  <c r="K532" i="2"/>
  <c r="I532" i="2"/>
  <c r="E532" i="2"/>
  <c r="Q531" i="2"/>
  <c r="R531" i="2" s="1"/>
  <c r="P531" i="2"/>
  <c r="O531" i="2"/>
  <c r="N531" i="2"/>
  <c r="M531" i="2"/>
  <c r="K531" i="2"/>
  <c r="I531" i="2"/>
  <c r="E531" i="2"/>
  <c r="P530" i="2"/>
  <c r="O530" i="2"/>
  <c r="Q530" i="2" s="1"/>
  <c r="R530" i="2" s="1"/>
  <c r="N530" i="2"/>
  <c r="M530" i="2"/>
  <c r="K530" i="2"/>
  <c r="I530" i="2"/>
  <c r="E530" i="2"/>
  <c r="P529" i="2"/>
  <c r="O529" i="2"/>
  <c r="Q529" i="2" s="1"/>
  <c r="R529" i="2" s="1"/>
  <c r="N529" i="2"/>
  <c r="M529" i="2"/>
  <c r="K529" i="2"/>
  <c r="I529" i="2"/>
  <c r="E529" i="2"/>
  <c r="P528" i="2"/>
  <c r="O528" i="2"/>
  <c r="Q528" i="2" s="1"/>
  <c r="R528" i="2" s="1"/>
  <c r="N528" i="2"/>
  <c r="M528" i="2"/>
  <c r="K528" i="2"/>
  <c r="I528" i="2"/>
  <c r="E528" i="2"/>
  <c r="Q526" i="2"/>
  <c r="R526" i="2" s="1"/>
  <c r="P526" i="2"/>
  <c r="O526" i="2"/>
  <c r="N526" i="2"/>
  <c r="M526" i="2"/>
  <c r="K526" i="2"/>
  <c r="I526" i="2"/>
  <c r="E526" i="2"/>
  <c r="P525" i="2"/>
  <c r="O525" i="2"/>
  <c r="Q525" i="2" s="1"/>
  <c r="R525" i="2" s="1"/>
  <c r="N525" i="2"/>
  <c r="M525" i="2"/>
  <c r="K525" i="2"/>
  <c r="I525" i="2"/>
  <c r="E525" i="2"/>
  <c r="P524" i="2"/>
  <c r="O524" i="2"/>
  <c r="Q524" i="2" s="1"/>
  <c r="R524" i="2" s="1"/>
  <c r="N524" i="2"/>
  <c r="M524" i="2"/>
  <c r="K524" i="2"/>
  <c r="I524" i="2"/>
  <c r="E524" i="2"/>
  <c r="P523" i="2"/>
  <c r="O523" i="2"/>
  <c r="Q523" i="2" s="1"/>
  <c r="R523" i="2" s="1"/>
  <c r="N523" i="2"/>
  <c r="M523" i="2"/>
  <c r="K523" i="2"/>
  <c r="I523" i="2"/>
  <c r="E523" i="2"/>
  <c r="Q522" i="2"/>
  <c r="R522" i="2" s="1"/>
  <c r="P522" i="2"/>
  <c r="O522" i="2"/>
  <c r="N522" i="2"/>
  <c r="M522" i="2"/>
  <c r="K522" i="2"/>
  <c r="I522" i="2"/>
  <c r="E522" i="2"/>
  <c r="P521" i="2"/>
  <c r="O521" i="2"/>
  <c r="Q521" i="2" s="1"/>
  <c r="R521" i="2" s="1"/>
  <c r="N521" i="2"/>
  <c r="M521" i="2"/>
  <c r="K521" i="2"/>
  <c r="I521" i="2"/>
  <c r="E521" i="2"/>
  <c r="P520" i="2"/>
  <c r="O520" i="2"/>
  <c r="Q520" i="2" s="1"/>
  <c r="R520" i="2" s="1"/>
  <c r="N520" i="2"/>
  <c r="M520" i="2"/>
  <c r="K520" i="2"/>
  <c r="I520" i="2"/>
  <c r="E520" i="2"/>
  <c r="P519" i="2"/>
  <c r="O519" i="2"/>
  <c r="Q519" i="2" s="1"/>
  <c r="R519" i="2" s="1"/>
  <c r="N519" i="2"/>
  <c r="M519" i="2"/>
  <c r="K519" i="2"/>
  <c r="I519" i="2"/>
  <c r="E519" i="2"/>
  <c r="Q518" i="2"/>
  <c r="R518" i="2" s="1"/>
  <c r="P518" i="2"/>
  <c r="O518" i="2"/>
  <c r="N518" i="2"/>
  <c r="M518" i="2"/>
  <c r="K518" i="2"/>
  <c r="I518" i="2"/>
  <c r="E518" i="2"/>
  <c r="P516" i="2"/>
  <c r="O516" i="2"/>
  <c r="Q516" i="2" s="1"/>
  <c r="R516" i="2" s="1"/>
  <c r="N516" i="2"/>
  <c r="M516" i="2"/>
  <c r="K516" i="2"/>
  <c r="I516" i="2"/>
  <c r="E516" i="2"/>
  <c r="P515" i="2"/>
  <c r="O515" i="2"/>
  <c r="Q515" i="2" s="1"/>
  <c r="R515" i="2" s="1"/>
  <c r="N515" i="2"/>
  <c r="M515" i="2"/>
  <c r="K515" i="2"/>
  <c r="I515" i="2"/>
  <c r="E515" i="2"/>
  <c r="P514" i="2"/>
  <c r="O514" i="2"/>
  <c r="Q514" i="2" s="1"/>
  <c r="R514" i="2" s="1"/>
  <c r="N514" i="2"/>
  <c r="M514" i="2"/>
  <c r="K514" i="2"/>
  <c r="I514" i="2"/>
  <c r="E514" i="2"/>
  <c r="Q513" i="2"/>
  <c r="R513" i="2" s="1"/>
  <c r="P513" i="2"/>
  <c r="O513" i="2"/>
  <c r="N513" i="2"/>
  <c r="M513" i="2"/>
  <c r="K513" i="2"/>
  <c r="I513" i="2"/>
  <c r="E513" i="2"/>
  <c r="P512" i="2"/>
  <c r="O512" i="2"/>
  <c r="Q512" i="2" s="1"/>
  <c r="R512" i="2" s="1"/>
  <c r="N512" i="2"/>
  <c r="M512" i="2"/>
  <c r="K512" i="2"/>
  <c r="I512" i="2"/>
  <c r="E512" i="2"/>
  <c r="P511" i="2"/>
  <c r="O511" i="2"/>
  <c r="Q511" i="2" s="1"/>
  <c r="R511" i="2" s="1"/>
  <c r="N511" i="2"/>
  <c r="M511" i="2"/>
  <c r="K511" i="2"/>
  <c r="I511" i="2"/>
  <c r="E511" i="2"/>
  <c r="P510" i="2"/>
  <c r="O510" i="2"/>
  <c r="Q510" i="2" s="1"/>
  <c r="R510" i="2" s="1"/>
  <c r="N510" i="2"/>
  <c r="M510" i="2"/>
  <c r="K510" i="2"/>
  <c r="I510" i="2"/>
  <c r="E510" i="2"/>
  <c r="Q509" i="2"/>
  <c r="R509" i="2" s="1"/>
  <c r="P509" i="2"/>
  <c r="O509" i="2"/>
  <c r="N509" i="2"/>
  <c r="M509" i="2"/>
  <c r="K509" i="2"/>
  <c r="I509" i="2"/>
  <c r="E509" i="2"/>
  <c r="P508" i="2"/>
  <c r="O508" i="2"/>
  <c r="Q508" i="2" s="1"/>
  <c r="R508" i="2" s="1"/>
  <c r="N508" i="2"/>
  <c r="M508" i="2"/>
  <c r="K508" i="2"/>
  <c r="I508" i="2"/>
  <c r="E508" i="2"/>
  <c r="P507" i="2"/>
  <c r="O507" i="2"/>
  <c r="Q507" i="2" s="1"/>
  <c r="R507" i="2" s="1"/>
  <c r="N507" i="2"/>
  <c r="M507" i="2"/>
  <c r="K507" i="2"/>
  <c r="I507" i="2"/>
  <c r="E507" i="2"/>
  <c r="P506" i="2"/>
  <c r="O506" i="2"/>
  <c r="Q506" i="2" s="1"/>
  <c r="R506" i="2" s="1"/>
  <c r="N506" i="2"/>
  <c r="M506" i="2"/>
  <c r="K506" i="2"/>
  <c r="I506" i="2"/>
  <c r="E506" i="2"/>
  <c r="Q505" i="2"/>
  <c r="R505" i="2" s="1"/>
  <c r="P505" i="2"/>
  <c r="O505" i="2"/>
  <c r="N505" i="2"/>
  <c r="M505" i="2"/>
  <c r="K505" i="2"/>
  <c r="I505" i="2"/>
  <c r="E505" i="2"/>
  <c r="P504" i="2"/>
  <c r="O504" i="2"/>
  <c r="Q504" i="2" s="1"/>
  <c r="R504" i="2" s="1"/>
  <c r="N504" i="2"/>
  <c r="M504" i="2"/>
  <c r="K504" i="2"/>
  <c r="I504" i="2"/>
  <c r="E504" i="2"/>
  <c r="P503" i="2"/>
  <c r="O503" i="2"/>
  <c r="Q503" i="2" s="1"/>
  <c r="R503" i="2" s="1"/>
  <c r="N503" i="2"/>
  <c r="M503" i="2"/>
  <c r="K503" i="2"/>
  <c r="I503" i="2"/>
  <c r="E503" i="2"/>
  <c r="P502" i="2"/>
  <c r="O502" i="2"/>
  <c r="Q502" i="2" s="1"/>
  <c r="R502" i="2" s="1"/>
  <c r="N502" i="2"/>
  <c r="M502" i="2"/>
  <c r="K502" i="2"/>
  <c r="I502" i="2"/>
  <c r="E502" i="2"/>
  <c r="Q501" i="2"/>
  <c r="R501" i="2" s="1"/>
  <c r="P501" i="2"/>
  <c r="O501" i="2"/>
  <c r="N501" i="2"/>
  <c r="M501" i="2"/>
  <c r="K501" i="2"/>
  <c r="I501" i="2"/>
  <c r="E501" i="2"/>
  <c r="P500" i="2"/>
  <c r="O500" i="2"/>
  <c r="Q500" i="2" s="1"/>
  <c r="R500" i="2" s="1"/>
  <c r="N500" i="2"/>
  <c r="M500" i="2"/>
  <c r="K500" i="2"/>
  <c r="I500" i="2"/>
  <c r="E500" i="2"/>
  <c r="P499" i="2"/>
  <c r="O499" i="2"/>
  <c r="Q499" i="2" s="1"/>
  <c r="R499" i="2" s="1"/>
  <c r="N499" i="2"/>
  <c r="M499" i="2"/>
  <c r="K499" i="2"/>
  <c r="I499" i="2"/>
  <c r="E499" i="2"/>
  <c r="P498" i="2"/>
  <c r="O498" i="2"/>
  <c r="Q498" i="2" s="1"/>
  <c r="R498" i="2" s="1"/>
  <c r="N498" i="2"/>
  <c r="M498" i="2"/>
  <c r="K498" i="2"/>
  <c r="I498" i="2"/>
  <c r="E498" i="2"/>
  <c r="Q497" i="2"/>
  <c r="R497" i="2" s="1"/>
  <c r="P497" i="2"/>
  <c r="O497" i="2"/>
  <c r="N497" i="2"/>
  <c r="M497" i="2"/>
  <c r="K497" i="2"/>
  <c r="I497" i="2"/>
  <c r="E497" i="2"/>
  <c r="P496" i="2"/>
  <c r="O496" i="2"/>
  <c r="Q496" i="2" s="1"/>
  <c r="R496" i="2" s="1"/>
  <c r="N496" i="2"/>
  <c r="M496" i="2"/>
  <c r="K496" i="2"/>
  <c r="I496" i="2"/>
  <c r="E496" i="2"/>
  <c r="P495" i="2"/>
  <c r="O495" i="2"/>
  <c r="Q495" i="2" s="1"/>
  <c r="R495" i="2" s="1"/>
  <c r="N495" i="2"/>
  <c r="M495" i="2"/>
  <c r="K495" i="2"/>
  <c r="I495" i="2"/>
  <c r="E495" i="2"/>
  <c r="P494" i="2"/>
  <c r="O494" i="2"/>
  <c r="Q494" i="2" s="1"/>
  <c r="R494" i="2" s="1"/>
  <c r="N494" i="2"/>
  <c r="M494" i="2"/>
  <c r="K494" i="2"/>
  <c r="I494" i="2"/>
  <c r="E494" i="2"/>
  <c r="Q493" i="2"/>
  <c r="R493" i="2" s="1"/>
  <c r="P493" i="2"/>
  <c r="O493" i="2"/>
  <c r="N493" i="2"/>
  <c r="M493" i="2"/>
  <c r="K493" i="2"/>
  <c r="I493" i="2"/>
  <c r="E493" i="2"/>
  <c r="P492" i="2"/>
  <c r="O492" i="2"/>
  <c r="Q492" i="2" s="1"/>
  <c r="R492" i="2" s="1"/>
  <c r="N492" i="2"/>
  <c r="M492" i="2"/>
  <c r="K492" i="2"/>
  <c r="I492" i="2"/>
  <c r="E492" i="2"/>
  <c r="P491" i="2"/>
  <c r="O491" i="2"/>
  <c r="Q491" i="2" s="1"/>
  <c r="R491" i="2" s="1"/>
  <c r="N491" i="2"/>
  <c r="M491" i="2"/>
  <c r="K491" i="2"/>
  <c r="I491" i="2"/>
  <c r="E491" i="2"/>
  <c r="P490" i="2"/>
  <c r="O490" i="2"/>
  <c r="Q490" i="2" s="1"/>
  <c r="R490" i="2" s="1"/>
  <c r="N490" i="2"/>
  <c r="M490" i="2"/>
  <c r="K490" i="2"/>
  <c r="I490" i="2"/>
  <c r="E490" i="2"/>
  <c r="Q489" i="2"/>
  <c r="R489" i="2" s="1"/>
  <c r="P489" i="2"/>
  <c r="O489" i="2"/>
  <c r="N489" i="2"/>
  <c r="M489" i="2"/>
  <c r="K489" i="2"/>
  <c r="I489" i="2"/>
  <c r="E489" i="2"/>
  <c r="P488" i="2"/>
  <c r="O488" i="2"/>
  <c r="Q488" i="2" s="1"/>
  <c r="R488" i="2" s="1"/>
  <c r="N488" i="2"/>
  <c r="M488" i="2"/>
  <c r="K488" i="2"/>
  <c r="I488" i="2"/>
  <c r="E488" i="2"/>
  <c r="P486" i="2"/>
  <c r="O486" i="2"/>
  <c r="Q486" i="2" s="1"/>
  <c r="R486" i="2" s="1"/>
  <c r="N486" i="2"/>
  <c r="M486" i="2"/>
  <c r="K486" i="2"/>
  <c r="I486" i="2"/>
  <c r="E486" i="2"/>
  <c r="P485" i="2"/>
  <c r="O485" i="2"/>
  <c r="Q485" i="2" s="1"/>
  <c r="R485" i="2" s="1"/>
  <c r="N485" i="2"/>
  <c r="M485" i="2"/>
  <c r="K485" i="2"/>
  <c r="I485" i="2"/>
  <c r="E485" i="2"/>
  <c r="Q484" i="2"/>
  <c r="R484" i="2" s="1"/>
  <c r="P484" i="2"/>
  <c r="O484" i="2"/>
  <c r="N484" i="2"/>
  <c r="M484" i="2"/>
  <c r="K484" i="2"/>
  <c r="I484" i="2"/>
  <c r="E484" i="2"/>
  <c r="P483" i="2"/>
  <c r="O483" i="2"/>
  <c r="Q483" i="2" s="1"/>
  <c r="R483" i="2" s="1"/>
  <c r="N483" i="2"/>
  <c r="M483" i="2"/>
  <c r="K483" i="2"/>
  <c r="I483" i="2"/>
  <c r="E483" i="2"/>
  <c r="P482" i="2"/>
  <c r="O482" i="2"/>
  <c r="Q482" i="2" s="1"/>
  <c r="R482" i="2" s="1"/>
  <c r="N482" i="2"/>
  <c r="M482" i="2"/>
  <c r="K482" i="2"/>
  <c r="I482" i="2"/>
  <c r="E482" i="2"/>
  <c r="P481" i="2"/>
  <c r="O481" i="2"/>
  <c r="Q481" i="2" s="1"/>
  <c r="R481" i="2" s="1"/>
  <c r="N481" i="2"/>
  <c r="M481" i="2"/>
  <c r="K481" i="2"/>
  <c r="I481" i="2"/>
  <c r="E481" i="2"/>
  <c r="Q480" i="2"/>
  <c r="R480" i="2" s="1"/>
  <c r="P480" i="2"/>
  <c r="O480" i="2"/>
  <c r="N480" i="2"/>
  <c r="M480" i="2"/>
  <c r="K480" i="2"/>
  <c r="I480" i="2"/>
  <c r="E480" i="2"/>
  <c r="P478" i="2"/>
  <c r="O478" i="2"/>
  <c r="Q478" i="2" s="1"/>
  <c r="R478" i="2" s="1"/>
  <c r="N478" i="2"/>
  <c r="M478" i="2"/>
  <c r="K478" i="2"/>
  <c r="I478" i="2"/>
  <c r="E478" i="2"/>
  <c r="P477" i="2"/>
  <c r="O477" i="2"/>
  <c r="Q477" i="2" s="1"/>
  <c r="R477" i="2" s="1"/>
  <c r="N477" i="2"/>
  <c r="M477" i="2"/>
  <c r="K477" i="2"/>
  <c r="I477" i="2"/>
  <c r="E477" i="2"/>
  <c r="P476" i="2"/>
  <c r="O476" i="2"/>
  <c r="Q476" i="2" s="1"/>
  <c r="R476" i="2" s="1"/>
  <c r="N476" i="2"/>
  <c r="M476" i="2"/>
  <c r="K476" i="2"/>
  <c r="I476" i="2"/>
  <c r="E476" i="2"/>
  <c r="Q474" i="2"/>
  <c r="R474" i="2" s="1"/>
  <c r="P474" i="2"/>
  <c r="O474" i="2"/>
  <c r="N474" i="2"/>
  <c r="M474" i="2"/>
  <c r="K474" i="2"/>
  <c r="I474" i="2"/>
  <c r="E474" i="2"/>
  <c r="P473" i="2"/>
  <c r="O473" i="2"/>
  <c r="Q473" i="2" s="1"/>
  <c r="R473" i="2" s="1"/>
  <c r="N473" i="2"/>
  <c r="M473" i="2"/>
  <c r="K473" i="2"/>
  <c r="I473" i="2"/>
  <c r="E473" i="2"/>
  <c r="P472" i="2"/>
  <c r="O472" i="2"/>
  <c r="Q472" i="2" s="1"/>
  <c r="R472" i="2" s="1"/>
  <c r="N472" i="2"/>
  <c r="M472" i="2"/>
  <c r="K472" i="2"/>
  <c r="I472" i="2"/>
  <c r="E472" i="2"/>
  <c r="P471" i="2"/>
  <c r="O471" i="2"/>
  <c r="Q471" i="2" s="1"/>
  <c r="R471" i="2" s="1"/>
  <c r="N471" i="2"/>
  <c r="M471" i="2"/>
  <c r="K471" i="2"/>
  <c r="I471" i="2"/>
  <c r="E471" i="2"/>
  <c r="Q470" i="2"/>
  <c r="R470" i="2" s="1"/>
  <c r="P470" i="2"/>
  <c r="O470" i="2"/>
  <c r="N470" i="2"/>
  <c r="M470" i="2"/>
  <c r="K470" i="2"/>
  <c r="I470" i="2"/>
  <c r="E470" i="2"/>
  <c r="R469" i="2"/>
  <c r="P469" i="2"/>
  <c r="O469" i="2"/>
  <c r="Q469" i="2" s="1"/>
  <c r="N469" i="2"/>
  <c r="M469" i="2"/>
  <c r="K469" i="2"/>
  <c r="I469" i="2"/>
  <c r="E469" i="2"/>
  <c r="P468" i="2"/>
  <c r="O468" i="2"/>
  <c r="Q468" i="2" s="1"/>
  <c r="R468" i="2" s="1"/>
  <c r="N468" i="2"/>
  <c r="M468" i="2"/>
  <c r="K468" i="2"/>
  <c r="I468" i="2"/>
  <c r="E468" i="2"/>
  <c r="P467" i="2"/>
  <c r="O467" i="2"/>
  <c r="Q467" i="2" s="1"/>
  <c r="R467" i="2" s="1"/>
  <c r="N467" i="2"/>
  <c r="M467" i="2"/>
  <c r="K467" i="2"/>
  <c r="I467" i="2"/>
  <c r="E467" i="2"/>
  <c r="Q466" i="2"/>
  <c r="R466" i="2" s="1"/>
  <c r="P466" i="2"/>
  <c r="O466" i="2"/>
  <c r="N466" i="2"/>
  <c r="M466" i="2"/>
  <c r="K466" i="2"/>
  <c r="I466" i="2"/>
  <c r="E466" i="2"/>
  <c r="R465" i="2"/>
  <c r="P465" i="2"/>
  <c r="O465" i="2"/>
  <c r="Q465" i="2" s="1"/>
  <c r="N465" i="2"/>
  <c r="M465" i="2"/>
  <c r="K465" i="2"/>
  <c r="I465" i="2"/>
  <c r="E465" i="2"/>
  <c r="P464" i="2"/>
  <c r="O464" i="2"/>
  <c r="Q464" i="2" s="1"/>
  <c r="R464" i="2" s="1"/>
  <c r="N464" i="2"/>
  <c r="M464" i="2"/>
  <c r="K464" i="2"/>
  <c r="I464" i="2"/>
  <c r="E464" i="2"/>
  <c r="Q463" i="2"/>
  <c r="R463" i="2" s="1"/>
  <c r="P463" i="2"/>
  <c r="O463" i="2"/>
  <c r="N463" i="2"/>
  <c r="M463" i="2"/>
  <c r="K463" i="2"/>
  <c r="I463" i="2"/>
  <c r="E463" i="2"/>
  <c r="P462" i="2"/>
  <c r="O462" i="2"/>
  <c r="Q462" i="2" s="1"/>
  <c r="R462" i="2" s="1"/>
  <c r="N462" i="2"/>
  <c r="M462" i="2"/>
  <c r="K462" i="2"/>
  <c r="I462" i="2"/>
  <c r="E462" i="2"/>
  <c r="P460" i="2"/>
  <c r="O460" i="2"/>
  <c r="Q460" i="2" s="1"/>
  <c r="R460" i="2" s="1"/>
  <c r="N460" i="2"/>
  <c r="M460" i="2"/>
  <c r="K460" i="2"/>
  <c r="I460" i="2"/>
  <c r="E460" i="2"/>
  <c r="P459" i="2"/>
  <c r="O459" i="2"/>
  <c r="Q459" i="2" s="1"/>
  <c r="R459" i="2" s="1"/>
  <c r="N459" i="2"/>
  <c r="M459" i="2"/>
  <c r="K459" i="2"/>
  <c r="I459" i="2"/>
  <c r="E459" i="2"/>
  <c r="Q458" i="2"/>
  <c r="R458" i="2" s="1"/>
  <c r="P458" i="2"/>
  <c r="O458" i="2"/>
  <c r="N458" i="2"/>
  <c r="M458" i="2"/>
  <c r="K458" i="2"/>
  <c r="I458" i="2"/>
  <c r="E458" i="2"/>
  <c r="Q456" i="2"/>
  <c r="R456" i="2" s="1"/>
  <c r="P456" i="2"/>
  <c r="O456" i="2"/>
  <c r="N456" i="2"/>
  <c r="M456" i="2"/>
  <c r="K456" i="2"/>
  <c r="I456" i="2"/>
  <c r="E456" i="2"/>
  <c r="R455" i="2"/>
  <c r="P455" i="2"/>
  <c r="O455" i="2"/>
  <c r="Q455" i="2" s="1"/>
  <c r="N455" i="2"/>
  <c r="M455" i="2"/>
  <c r="K455" i="2"/>
  <c r="I455" i="2"/>
  <c r="E455" i="2"/>
  <c r="P454" i="2"/>
  <c r="O454" i="2"/>
  <c r="Q454" i="2" s="1"/>
  <c r="R454" i="2" s="1"/>
  <c r="N454" i="2"/>
  <c r="M454" i="2"/>
  <c r="K454" i="2"/>
  <c r="I454" i="2"/>
  <c r="E454" i="2"/>
  <c r="R453" i="2"/>
  <c r="Q453" i="2"/>
  <c r="P453" i="2"/>
  <c r="O453" i="2"/>
  <c r="N453" i="2"/>
  <c r="M453" i="2"/>
  <c r="K453" i="2"/>
  <c r="I453" i="2"/>
  <c r="E453" i="2"/>
  <c r="R452" i="2"/>
  <c r="P452" i="2"/>
  <c r="O452" i="2"/>
  <c r="Q452" i="2" s="1"/>
  <c r="N452" i="2"/>
  <c r="M452" i="2"/>
  <c r="K452" i="2"/>
  <c r="I452" i="2"/>
  <c r="E452" i="2"/>
  <c r="R451" i="2"/>
  <c r="P451" i="2"/>
  <c r="O451" i="2"/>
  <c r="Q451" i="2" s="1"/>
  <c r="N451" i="2"/>
  <c r="M451" i="2"/>
  <c r="K451" i="2"/>
  <c r="I451" i="2"/>
  <c r="E451" i="2"/>
  <c r="R450" i="2"/>
  <c r="P450" i="2"/>
  <c r="O450" i="2"/>
  <c r="Q450" i="2" s="1"/>
  <c r="N450" i="2"/>
  <c r="M450" i="2"/>
  <c r="K450" i="2"/>
  <c r="I450" i="2"/>
  <c r="E450" i="2"/>
  <c r="P449" i="2"/>
  <c r="O449" i="2"/>
  <c r="Q449" i="2" s="1"/>
  <c r="R449" i="2" s="1"/>
  <c r="N449" i="2"/>
  <c r="M449" i="2"/>
  <c r="K449" i="2"/>
  <c r="I449" i="2"/>
  <c r="E449" i="2"/>
  <c r="R448" i="2"/>
  <c r="P448" i="2"/>
  <c r="O448" i="2"/>
  <c r="Q448" i="2" s="1"/>
  <c r="N448" i="2"/>
  <c r="M448" i="2"/>
  <c r="K448" i="2"/>
  <c r="I448" i="2"/>
  <c r="E448" i="2"/>
  <c r="R447" i="2"/>
  <c r="P447" i="2"/>
  <c r="O447" i="2"/>
  <c r="Q447" i="2" s="1"/>
  <c r="N447" i="2"/>
  <c r="M447" i="2"/>
  <c r="K447" i="2"/>
  <c r="I447" i="2"/>
  <c r="E447" i="2"/>
  <c r="P446" i="2"/>
  <c r="O446" i="2"/>
  <c r="Q446" i="2" s="1"/>
  <c r="R446" i="2" s="1"/>
  <c r="N446" i="2"/>
  <c r="M446" i="2"/>
  <c r="K446" i="2"/>
  <c r="I446" i="2"/>
  <c r="E446" i="2"/>
  <c r="R445" i="2"/>
  <c r="P445" i="2"/>
  <c r="O445" i="2"/>
  <c r="Q445" i="2" s="1"/>
  <c r="N445" i="2"/>
  <c r="M445" i="2"/>
  <c r="K445" i="2"/>
  <c r="I445" i="2"/>
  <c r="E445" i="2"/>
  <c r="R444" i="2"/>
  <c r="P444" i="2"/>
  <c r="O444" i="2"/>
  <c r="Q444" i="2" s="1"/>
  <c r="N444" i="2"/>
  <c r="M444" i="2"/>
  <c r="K444" i="2"/>
  <c r="I444" i="2"/>
  <c r="E444" i="2"/>
  <c r="R443" i="2"/>
  <c r="P443" i="2"/>
  <c r="O443" i="2"/>
  <c r="Q443" i="2" s="1"/>
  <c r="N443" i="2"/>
  <c r="M443" i="2"/>
  <c r="K443" i="2"/>
  <c r="I443" i="2"/>
  <c r="E443" i="2"/>
  <c r="R442" i="2"/>
  <c r="P442" i="2"/>
  <c r="O442" i="2"/>
  <c r="Q442" i="2" s="1"/>
  <c r="N442" i="2"/>
  <c r="M442" i="2"/>
  <c r="K442" i="2"/>
  <c r="I442" i="2"/>
  <c r="E442" i="2"/>
  <c r="P440" i="2"/>
  <c r="O440" i="2"/>
  <c r="Q440" i="2" s="1"/>
  <c r="R440" i="2" s="1"/>
  <c r="N440" i="2"/>
  <c r="M440" i="2"/>
  <c r="K440" i="2"/>
  <c r="I440" i="2"/>
  <c r="E440" i="2"/>
  <c r="R439" i="2"/>
  <c r="Q439" i="2"/>
  <c r="P439" i="2"/>
  <c r="O439" i="2"/>
  <c r="N439" i="2"/>
  <c r="M439" i="2"/>
  <c r="K439" i="2"/>
  <c r="I439" i="2"/>
  <c r="E439" i="2"/>
  <c r="R438" i="2"/>
  <c r="P438" i="2"/>
  <c r="O438" i="2"/>
  <c r="Q438" i="2" s="1"/>
  <c r="N438" i="2"/>
  <c r="M438" i="2"/>
  <c r="K438" i="2"/>
  <c r="I438" i="2"/>
  <c r="E438" i="2"/>
  <c r="P437" i="2"/>
  <c r="O437" i="2"/>
  <c r="Q437" i="2" s="1"/>
  <c r="R437" i="2" s="1"/>
  <c r="N437" i="2"/>
  <c r="M437" i="2"/>
  <c r="K437" i="2"/>
  <c r="I437" i="2"/>
  <c r="E437" i="2"/>
  <c r="Q436" i="2"/>
  <c r="R436" i="2" s="1"/>
  <c r="P436" i="2"/>
  <c r="O436" i="2"/>
  <c r="N436" i="2"/>
  <c r="M436" i="2"/>
  <c r="K436" i="2"/>
  <c r="I436" i="2"/>
  <c r="E436" i="2"/>
  <c r="Q435" i="2"/>
  <c r="R435" i="2" s="1"/>
  <c r="P435" i="2"/>
  <c r="O435" i="2"/>
  <c r="N435" i="2"/>
  <c r="M435" i="2"/>
  <c r="K435" i="2"/>
  <c r="I435" i="2"/>
  <c r="E435" i="2"/>
  <c r="P434" i="2"/>
  <c r="O434" i="2"/>
  <c r="Q434" i="2" s="1"/>
  <c r="R434" i="2" s="1"/>
  <c r="N434" i="2"/>
  <c r="M434" i="2"/>
  <c r="K434" i="2"/>
  <c r="I434" i="2"/>
  <c r="E434" i="2"/>
  <c r="P433" i="2"/>
  <c r="O433" i="2"/>
  <c r="Q433" i="2" s="1"/>
  <c r="R433" i="2" s="1"/>
  <c r="N433" i="2"/>
  <c r="M433" i="2"/>
  <c r="K433" i="2"/>
  <c r="I433" i="2"/>
  <c r="E433" i="2"/>
  <c r="Q432" i="2"/>
  <c r="R432" i="2" s="1"/>
  <c r="P432" i="2"/>
  <c r="O432" i="2"/>
  <c r="N432" i="2"/>
  <c r="M432" i="2"/>
  <c r="K432" i="2"/>
  <c r="I432" i="2"/>
  <c r="E432" i="2"/>
  <c r="Q431" i="2"/>
  <c r="R431" i="2" s="1"/>
  <c r="P431" i="2"/>
  <c r="O431" i="2"/>
  <c r="N431" i="2"/>
  <c r="M431" i="2"/>
  <c r="K431" i="2"/>
  <c r="I431" i="2"/>
  <c r="E431" i="2"/>
  <c r="P430" i="2"/>
  <c r="O430" i="2"/>
  <c r="Q430" i="2" s="1"/>
  <c r="R430" i="2" s="1"/>
  <c r="N430" i="2"/>
  <c r="M430" i="2"/>
  <c r="K430" i="2"/>
  <c r="I430" i="2"/>
  <c r="E430" i="2"/>
  <c r="P429" i="2"/>
  <c r="O429" i="2"/>
  <c r="Q429" i="2" s="1"/>
  <c r="R429" i="2" s="1"/>
  <c r="N429" i="2"/>
  <c r="M429" i="2"/>
  <c r="K429" i="2"/>
  <c r="I429" i="2"/>
  <c r="E429" i="2"/>
  <c r="Q428" i="2"/>
  <c r="R428" i="2" s="1"/>
  <c r="P428" i="2"/>
  <c r="O428" i="2"/>
  <c r="N428" i="2"/>
  <c r="M428" i="2"/>
  <c r="K428" i="2"/>
  <c r="I428" i="2"/>
  <c r="E428" i="2"/>
  <c r="Q427" i="2"/>
  <c r="R427" i="2" s="1"/>
  <c r="P427" i="2"/>
  <c r="O427" i="2"/>
  <c r="N427" i="2"/>
  <c r="M427" i="2"/>
  <c r="K427" i="2"/>
  <c r="I427" i="2"/>
  <c r="E427" i="2"/>
  <c r="P426" i="2"/>
  <c r="O426" i="2"/>
  <c r="Q426" i="2" s="1"/>
  <c r="R426" i="2" s="1"/>
  <c r="N426" i="2"/>
  <c r="M426" i="2"/>
  <c r="K426" i="2"/>
  <c r="I426" i="2"/>
  <c r="E426" i="2"/>
  <c r="P425" i="2"/>
  <c r="O425" i="2"/>
  <c r="Q425" i="2" s="1"/>
  <c r="R425" i="2" s="1"/>
  <c r="N425" i="2"/>
  <c r="M425" i="2"/>
  <c r="K425" i="2"/>
  <c r="I425" i="2"/>
  <c r="E425" i="2"/>
  <c r="Q424" i="2"/>
  <c r="R424" i="2" s="1"/>
  <c r="P424" i="2"/>
  <c r="O424" i="2"/>
  <c r="N424" i="2"/>
  <c r="M424" i="2"/>
  <c r="K424" i="2"/>
  <c r="I424" i="2"/>
  <c r="E424" i="2"/>
  <c r="Q423" i="2"/>
  <c r="R423" i="2" s="1"/>
  <c r="P423" i="2"/>
  <c r="O423" i="2"/>
  <c r="N423" i="2"/>
  <c r="M423" i="2"/>
  <c r="K423" i="2"/>
  <c r="I423" i="2"/>
  <c r="E423" i="2"/>
  <c r="P422" i="2"/>
  <c r="O422" i="2"/>
  <c r="Q422" i="2" s="1"/>
  <c r="R422" i="2" s="1"/>
  <c r="N422" i="2"/>
  <c r="M422" i="2"/>
  <c r="K422" i="2"/>
  <c r="I422" i="2"/>
  <c r="E422" i="2"/>
  <c r="P421" i="2"/>
  <c r="O421" i="2"/>
  <c r="Q421" i="2" s="1"/>
  <c r="R421" i="2" s="1"/>
  <c r="N421" i="2"/>
  <c r="M421" i="2"/>
  <c r="K421" i="2"/>
  <c r="I421" i="2"/>
  <c r="E421" i="2"/>
  <c r="Q420" i="2"/>
  <c r="R420" i="2" s="1"/>
  <c r="P420" i="2"/>
  <c r="O420" i="2"/>
  <c r="N420" i="2"/>
  <c r="M420" i="2"/>
  <c r="K420" i="2"/>
  <c r="I420" i="2"/>
  <c r="E420" i="2"/>
  <c r="Q419" i="2"/>
  <c r="R419" i="2" s="1"/>
  <c r="P419" i="2"/>
  <c r="O419" i="2"/>
  <c r="N419" i="2"/>
  <c r="M419" i="2"/>
  <c r="K419" i="2"/>
  <c r="I419" i="2"/>
  <c r="E419" i="2"/>
  <c r="R418" i="2"/>
  <c r="P418" i="2"/>
  <c r="O418" i="2"/>
  <c r="Q418" i="2" s="1"/>
  <c r="N418" i="2"/>
  <c r="M418" i="2"/>
  <c r="K418" i="2"/>
  <c r="I418" i="2"/>
  <c r="E418" i="2"/>
  <c r="R417" i="2"/>
  <c r="P417" i="2"/>
  <c r="O417" i="2"/>
  <c r="Q417" i="2" s="1"/>
  <c r="N417" i="2"/>
  <c r="M417" i="2"/>
  <c r="K417" i="2"/>
  <c r="I417" i="2"/>
  <c r="E417" i="2"/>
  <c r="R416" i="2"/>
  <c r="P416" i="2"/>
  <c r="O416" i="2"/>
  <c r="Q416" i="2" s="1"/>
  <c r="N416" i="2"/>
  <c r="M416" i="2"/>
  <c r="K416" i="2"/>
  <c r="I416" i="2"/>
  <c r="E416" i="2"/>
  <c r="R415" i="2"/>
  <c r="Q415" i="2"/>
  <c r="P415" i="2"/>
  <c r="O415" i="2"/>
  <c r="N415" i="2"/>
  <c r="M415" i="2"/>
  <c r="K415" i="2"/>
  <c r="I415" i="2"/>
  <c r="E415" i="2"/>
  <c r="R414" i="2"/>
  <c r="P414" i="2"/>
  <c r="O414" i="2"/>
  <c r="Q414" i="2" s="1"/>
  <c r="N414" i="2"/>
  <c r="M414" i="2"/>
  <c r="K414" i="2"/>
  <c r="I414" i="2"/>
  <c r="E414" i="2"/>
  <c r="R413" i="2"/>
  <c r="P413" i="2"/>
  <c r="O413" i="2"/>
  <c r="Q413" i="2" s="1"/>
  <c r="N413" i="2"/>
  <c r="M413" i="2"/>
  <c r="K413" i="2"/>
  <c r="I413" i="2"/>
  <c r="E413" i="2"/>
  <c r="R412" i="2"/>
  <c r="P412" i="2"/>
  <c r="O412" i="2"/>
  <c r="Q412" i="2" s="1"/>
  <c r="N412" i="2"/>
  <c r="M412" i="2"/>
  <c r="K412" i="2"/>
  <c r="I412" i="2"/>
  <c r="E412" i="2"/>
  <c r="R411" i="2"/>
  <c r="P411" i="2"/>
  <c r="O411" i="2"/>
  <c r="Q411" i="2" s="1"/>
  <c r="N411" i="2"/>
  <c r="M411" i="2"/>
  <c r="K411" i="2"/>
  <c r="I411" i="2"/>
  <c r="E411" i="2"/>
  <c r="R410" i="2"/>
  <c r="P410" i="2"/>
  <c r="O410" i="2"/>
  <c r="Q410" i="2" s="1"/>
  <c r="N410" i="2"/>
  <c r="M410" i="2"/>
  <c r="K410" i="2"/>
  <c r="I410" i="2"/>
  <c r="E410" i="2"/>
  <c r="R409" i="2"/>
  <c r="P409" i="2"/>
  <c r="O409" i="2"/>
  <c r="Q409" i="2" s="1"/>
  <c r="N409" i="2"/>
  <c r="M409" i="2"/>
  <c r="K409" i="2"/>
  <c r="I409" i="2"/>
  <c r="E409" i="2"/>
  <c r="R408" i="2"/>
  <c r="Q408" i="2"/>
  <c r="P408" i="2"/>
  <c r="O408" i="2"/>
  <c r="N408" i="2"/>
  <c r="M408" i="2"/>
  <c r="K408" i="2"/>
  <c r="I408" i="2"/>
  <c r="E408" i="2"/>
  <c r="R407" i="2"/>
  <c r="Q407" i="2"/>
  <c r="P407" i="2"/>
  <c r="O407" i="2"/>
  <c r="N407" i="2"/>
  <c r="M407" i="2"/>
  <c r="K407" i="2"/>
  <c r="I407" i="2"/>
  <c r="E407" i="2"/>
  <c r="R406" i="2"/>
  <c r="P406" i="2"/>
  <c r="O406" i="2"/>
  <c r="Q406" i="2" s="1"/>
  <c r="N406" i="2"/>
  <c r="M406" i="2"/>
  <c r="K406" i="2"/>
  <c r="I406" i="2"/>
  <c r="E406" i="2"/>
  <c r="R405" i="2"/>
  <c r="P405" i="2"/>
  <c r="O405" i="2"/>
  <c r="Q405" i="2" s="1"/>
  <c r="N405" i="2"/>
  <c r="M405" i="2"/>
  <c r="K405" i="2"/>
  <c r="I405" i="2"/>
  <c r="E405" i="2"/>
  <c r="R404" i="2"/>
  <c r="P404" i="2"/>
  <c r="O404" i="2"/>
  <c r="Q404" i="2" s="1"/>
  <c r="N404" i="2"/>
  <c r="M404" i="2"/>
  <c r="K404" i="2"/>
  <c r="I404" i="2"/>
  <c r="E404" i="2"/>
  <c r="R403" i="2"/>
  <c r="Q403" i="2"/>
  <c r="P403" i="2"/>
  <c r="O403" i="2"/>
  <c r="N403" i="2"/>
  <c r="M403" i="2"/>
  <c r="K403" i="2"/>
  <c r="I403" i="2"/>
  <c r="E403" i="2"/>
  <c r="R402" i="2"/>
  <c r="P402" i="2"/>
  <c r="O402" i="2"/>
  <c r="Q402" i="2" s="1"/>
  <c r="N402" i="2"/>
  <c r="M402" i="2"/>
  <c r="K402" i="2"/>
  <c r="I402" i="2"/>
  <c r="E402" i="2"/>
  <c r="P401" i="2"/>
  <c r="O401" i="2"/>
  <c r="Q401" i="2" s="1"/>
  <c r="R401" i="2" s="1"/>
  <c r="N401" i="2"/>
  <c r="M401" i="2"/>
  <c r="K401" i="2"/>
  <c r="I401" i="2"/>
  <c r="E401" i="2"/>
  <c r="Q400" i="2"/>
  <c r="R400" i="2" s="1"/>
  <c r="P400" i="2"/>
  <c r="O400" i="2"/>
  <c r="N400" i="2"/>
  <c r="M400" i="2"/>
  <c r="K400" i="2"/>
  <c r="I400" i="2"/>
  <c r="E400" i="2"/>
  <c r="P399" i="2"/>
  <c r="O399" i="2"/>
  <c r="Q399" i="2" s="1"/>
  <c r="R399" i="2" s="1"/>
  <c r="N399" i="2"/>
  <c r="M399" i="2"/>
  <c r="K399" i="2"/>
  <c r="I399" i="2"/>
  <c r="E399" i="2"/>
  <c r="R398" i="2"/>
  <c r="P398" i="2"/>
  <c r="O398" i="2"/>
  <c r="Q398" i="2" s="1"/>
  <c r="N398" i="2"/>
  <c r="M398" i="2"/>
  <c r="K398" i="2"/>
  <c r="I398" i="2"/>
  <c r="E398" i="2"/>
  <c r="P397" i="2"/>
  <c r="O397" i="2"/>
  <c r="Q397" i="2" s="1"/>
  <c r="R397" i="2" s="1"/>
  <c r="N397" i="2"/>
  <c r="M397" i="2"/>
  <c r="K397" i="2"/>
  <c r="I397" i="2"/>
  <c r="E397" i="2"/>
  <c r="Q396" i="2"/>
  <c r="R396" i="2" s="1"/>
  <c r="P396" i="2"/>
  <c r="O396" i="2"/>
  <c r="N396" i="2"/>
  <c r="M396" i="2"/>
  <c r="K396" i="2"/>
  <c r="I396" i="2"/>
  <c r="E396" i="2"/>
  <c r="Q395" i="2"/>
  <c r="R395" i="2" s="1"/>
  <c r="P395" i="2"/>
  <c r="O395" i="2"/>
  <c r="N395" i="2"/>
  <c r="M395" i="2"/>
  <c r="K395" i="2"/>
  <c r="I395" i="2"/>
  <c r="E395" i="2"/>
  <c r="R394" i="2"/>
  <c r="P394" i="2"/>
  <c r="O394" i="2"/>
  <c r="Q394" i="2" s="1"/>
  <c r="N394" i="2"/>
  <c r="M394" i="2"/>
  <c r="K394" i="2"/>
  <c r="I394" i="2"/>
  <c r="E394" i="2"/>
  <c r="P393" i="2"/>
  <c r="O393" i="2"/>
  <c r="Q393" i="2" s="1"/>
  <c r="R393" i="2" s="1"/>
  <c r="N393" i="2"/>
  <c r="M393" i="2"/>
  <c r="K393" i="2"/>
  <c r="I393" i="2"/>
  <c r="E393" i="2"/>
  <c r="P392" i="2"/>
  <c r="O392" i="2"/>
  <c r="Q392" i="2" s="1"/>
  <c r="R392" i="2" s="1"/>
  <c r="N392" i="2"/>
  <c r="M392" i="2"/>
  <c r="K392" i="2"/>
  <c r="I392" i="2"/>
  <c r="E392" i="2"/>
  <c r="P391" i="2"/>
  <c r="O391" i="2"/>
  <c r="Q391" i="2" s="1"/>
  <c r="R391" i="2" s="1"/>
  <c r="N391" i="2"/>
  <c r="M391" i="2"/>
  <c r="K391" i="2"/>
  <c r="I391" i="2"/>
  <c r="E391" i="2"/>
  <c r="R390" i="2"/>
  <c r="P390" i="2"/>
  <c r="O390" i="2"/>
  <c r="Q390" i="2" s="1"/>
  <c r="N390" i="2"/>
  <c r="M390" i="2"/>
  <c r="K390" i="2"/>
  <c r="I390" i="2"/>
  <c r="E390" i="2"/>
  <c r="P389" i="2"/>
  <c r="O389" i="2"/>
  <c r="Q389" i="2" s="1"/>
  <c r="R389" i="2" s="1"/>
  <c r="N389" i="2"/>
  <c r="M389" i="2"/>
  <c r="K389" i="2"/>
  <c r="I389" i="2"/>
  <c r="E389" i="2"/>
  <c r="R388" i="2"/>
  <c r="P388" i="2"/>
  <c r="O388" i="2"/>
  <c r="Q388" i="2" s="1"/>
  <c r="N388" i="2"/>
  <c r="M388" i="2"/>
  <c r="K388" i="2"/>
  <c r="I388" i="2"/>
  <c r="E388" i="2"/>
  <c r="Q387" i="2"/>
  <c r="R387" i="2" s="1"/>
  <c r="P387" i="2"/>
  <c r="O387" i="2"/>
  <c r="N387" i="2"/>
  <c r="M387" i="2"/>
  <c r="K387" i="2"/>
  <c r="I387" i="2"/>
  <c r="E387" i="2"/>
  <c r="P386" i="2"/>
  <c r="O386" i="2"/>
  <c r="Q386" i="2" s="1"/>
  <c r="R386" i="2" s="1"/>
  <c r="N386" i="2"/>
  <c r="M386" i="2"/>
  <c r="K386" i="2"/>
  <c r="I386" i="2"/>
  <c r="E386" i="2"/>
  <c r="P385" i="2"/>
  <c r="O385" i="2"/>
  <c r="Q385" i="2" s="1"/>
  <c r="R385" i="2" s="1"/>
  <c r="N385" i="2"/>
  <c r="M385" i="2"/>
  <c r="K385" i="2"/>
  <c r="I385" i="2"/>
  <c r="E385" i="2"/>
  <c r="P384" i="2"/>
  <c r="O384" i="2"/>
  <c r="Q384" i="2" s="1"/>
  <c r="R384" i="2" s="1"/>
  <c r="N384" i="2"/>
  <c r="M384" i="2"/>
  <c r="K384" i="2"/>
  <c r="I384" i="2"/>
  <c r="E384" i="2"/>
  <c r="Q383" i="2"/>
  <c r="R383" i="2" s="1"/>
  <c r="P383" i="2"/>
  <c r="O383" i="2"/>
  <c r="N383" i="2"/>
  <c r="M383" i="2"/>
  <c r="K383" i="2"/>
  <c r="I383" i="2"/>
  <c r="E383" i="2"/>
  <c r="P382" i="2"/>
  <c r="O382" i="2"/>
  <c r="Q382" i="2" s="1"/>
  <c r="R382" i="2" s="1"/>
  <c r="N382" i="2"/>
  <c r="M382" i="2"/>
  <c r="K382" i="2"/>
  <c r="I382" i="2"/>
  <c r="E382" i="2"/>
  <c r="P381" i="2"/>
  <c r="O381" i="2"/>
  <c r="Q381" i="2" s="1"/>
  <c r="R381" i="2" s="1"/>
  <c r="N381" i="2"/>
  <c r="M381" i="2"/>
  <c r="K381" i="2"/>
  <c r="I381" i="2"/>
  <c r="E381" i="2"/>
  <c r="P380" i="2"/>
  <c r="O380" i="2"/>
  <c r="Q380" i="2" s="1"/>
  <c r="R380" i="2" s="1"/>
  <c r="N380" i="2"/>
  <c r="M380" i="2"/>
  <c r="K380" i="2"/>
  <c r="I380" i="2"/>
  <c r="E380" i="2"/>
  <c r="Q379" i="2"/>
  <c r="R379" i="2" s="1"/>
  <c r="P379" i="2"/>
  <c r="O379" i="2"/>
  <c r="N379" i="2"/>
  <c r="M379" i="2"/>
  <c r="K379" i="2"/>
  <c r="I379" i="2"/>
  <c r="E379" i="2"/>
  <c r="R378" i="2"/>
  <c r="P378" i="2"/>
  <c r="O378" i="2"/>
  <c r="Q378" i="2" s="1"/>
  <c r="N378" i="2"/>
  <c r="M378" i="2"/>
  <c r="K378" i="2"/>
  <c r="I378" i="2"/>
  <c r="E378" i="2"/>
  <c r="P377" i="2"/>
  <c r="O377" i="2"/>
  <c r="Q377" i="2" s="1"/>
  <c r="R377" i="2" s="1"/>
  <c r="N377" i="2"/>
  <c r="M377" i="2"/>
  <c r="K377" i="2"/>
  <c r="I377" i="2"/>
  <c r="E377" i="2"/>
  <c r="Q376" i="2"/>
  <c r="R376" i="2" s="1"/>
  <c r="P376" i="2"/>
  <c r="O376" i="2"/>
  <c r="N376" i="2"/>
  <c r="M376" i="2"/>
  <c r="K376" i="2"/>
  <c r="I376" i="2"/>
  <c r="E376" i="2"/>
  <c r="Q375" i="2"/>
  <c r="R375" i="2" s="1"/>
  <c r="P375" i="2"/>
  <c r="O375" i="2"/>
  <c r="N375" i="2"/>
  <c r="M375" i="2"/>
  <c r="K375" i="2"/>
  <c r="I375" i="2"/>
  <c r="E375" i="2"/>
  <c r="P374" i="2"/>
  <c r="O374" i="2"/>
  <c r="Q374" i="2" s="1"/>
  <c r="R374" i="2" s="1"/>
  <c r="N374" i="2"/>
  <c r="M374" i="2"/>
  <c r="K374" i="2"/>
  <c r="I374" i="2"/>
  <c r="E374" i="2"/>
  <c r="P373" i="2"/>
  <c r="O373" i="2"/>
  <c r="Q373" i="2" s="1"/>
  <c r="R373" i="2" s="1"/>
  <c r="N373" i="2"/>
  <c r="M373" i="2"/>
  <c r="K373" i="2"/>
  <c r="I373" i="2"/>
  <c r="E373" i="2"/>
  <c r="Q372" i="2"/>
  <c r="R372" i="2" s="1"/>
  <c r="P372" i="2"/>
  <c r="O372" i="2"/>
  <c r="N372" i="2"/>
  <c r="M372" i="2"/>
  <c r="K372" i="2"/>
  <c r="I372" i="2"/>
  <c r="E372" i="2"/>
  <c r="P371" i="2"/>
  <c r="O371" i="2"/>
  <c r="Q371" i="2" s="1"/>
  <c r="R371" i="2" s="1"/>
  <c r="N371" i="2"/>
  <c r="M371" i="2"/>
  <c r="K371" i="2"/>
  <c r="I371" i="2"/>
  <c r="E371" i="2"/>
  <c r="P370" i="2"/>
  <c r="O370" i="2"/>
  <c r="Q370" i="2" s="1"/>
  <c r="R370" i="2" s="1"/>
  <c r="N370" i="2"/>
  <c r="M370" i="2"/>
  <c r="K370" i="2"/>
  <c r="I370" i="2"/>
  <c r="E370" i="2"/>
  <c r="P369" i="2"/>
  <c r="O369" i="2"/>
  <c r="Q369" i="2" s="1"/>
  <c r="R369" i="2" s="1"/>
  <c r="N369" i="2"/>
  <c r="M369" i="2"/>
  <c r="K369" i="2"/>
  <c r="I369" i="2"/>
  <c r="E369" i="2"/>
  <c r="Q368" i="2"/>
  <c r="R368" i="2" s="1"/>
  <c r="P368" i="2"/>
  <c r="O368" i="2"/>
  <c r="N368" i="2"/>
  <c r="M368" i="2"/>
  <c r="K368" i="2"/>
  <c r="I368" i="2"/>
  <c r="E368" i="2"/>
  <c r="Q367" i="2"/>
  <c r="R367" i="2" s="1"/>
  <c r="P367" i="2"/>
  <c r="O367" i="2"/>
  <c r="N367" i="2"/>
  <c r="M367" i="2"/>
  <c r="K367" i="2"/>
  <c r="I367" i="2"/>
  <c r="E367" i="2"/>
  <c r="P366" i="2"/>
  <c r="O366" i="2"/>
  <c r="Q366" i="2" s="1"/>
  <c r="R366" i="2" s="1"/>
  <c r="N366" i="2"/>
  <c r="M366" i="2"/>
  <c r="K366" i="2"/>
  <c r="I366" i="2"/>
  <c r="E366" i="2"/>
  <c r="P365" i="2"/>
  <c r="O365" i="2"/>
  <c r="Q365" i="2" s="1"/>
  <c r="R365" i="2" s="1"/>
  <c r="N365" i="2"/>
  <c r="M365" i="2"/>
  <c r="K365" i="2"/>
  <c r="I365" i="2"/>
  <c r="E365" i="2"/>
  <c r="Q364" i="2"/>
  <c r="R364" i="2" s="1"/>
  <c r="P364" i="2"/>
  <c r="O364" i="2"/>
  <c r="N364" i="2"/>
  <c r="M364" i="2"/>
  <c r="K364" i="2"/>
  <c r="I364" i="2"/>
  <c r="E364" i="2"/>
  <c r="Q363" i="2"/>
  <c r="R363" i="2" s="1"/>
  <c r="P363" i="2"/>
  <c r="O363" i="2"/>
  <c r="N363" i="2"/>
  <c r="M363" i="2"/>
  <c r="K363" i="2"/>
  <c r="I363" i="2"/>
  <c r="E363" i="2"/>
  <c r="P362" i="2"/>
  <c r="O362" i="2"/>
  <c r="Q362" i="2" s="1"/>
  <c r="R362" i="2" s="1"/>
  <c r="N362" i="2"/>
  <c r="M362" i="2"/>
  <c r="K362" i="2"/>
  <c r="I362" i="2"/>
  <c r="E362" i="2"/>
  <c r="P361" i="2"/>
  <c r="O361" i="2"/>
  <c r="Q361" i="2" s="1"/>
  <c r="R361" i="2" s="1"/>
  <c r="N361" i="2"/>
  <c r="M361" i="2"/>
  <c r="K361" i="2"/>
  <c r="I361" i="2"/>
  <c r="E361" i="2"/>
  <c r="Q360" i="2"/>
  <c r="R360" i="2" s="1"/>
  <c r="P360" i="2"/>
  <c r="O360" i="2"/>
  <c r="N360" i="2"/>
  <c r="M360" i="2"/>
  <c r="K360" i="2"/>
  <c r="I360" i="2"/>
  <c r="E360" i="2"/>
  <c r="Q359" i="2"/>
  <c r="R359" i="2" s="1"/>
  <c r="P359" i="2"/>
  <c r="O359" i="2"/>
  <c r="N359" i="2"/>
  <c r="M359" i="2"/>
  <c r="K359" i="2"/>
  <c r="I359" i="2"/>
  <c r="E359" i="2"/>
  <c r="P358" i="2"/>
  <c r="O358" i="2"/>
  <c r="Q358" i="2" s="1"/>
  <c r="R358" i="2" s="1"/>
  <c r="N358" i="2"/>
  <c r="M358" i="2"/>
  <c r="K358" i="2"/>
  <c r="I358" i="2"/>
  <c r="E358" i="2"/>
  <c r="P357" i="2"/>
  <c r="O357" i="2"/>
  <c r="Q357" i="2" s="1"/>
  <c r="R357" i="2" s="1"/>
  <c r="N357" i="2"/>
  <c r="M357" i="2"/>
  <c r="K357" i="2"/>
  <c r="I357" i="2"/>
  <c r="E357" i="2"/>
  <c r="Q356" i="2"/>
  <c r="R356" i="2" s="1"/>
  <c r="P356" i="2"/>
  <c r="O356" i="2"/>
  <c r="N356" i="2"/>
  <c r="M356" i="2"/>
  <c r="K356" i="2"/>
  <c r="I356" i="2"/>
  <c r="E356" i="2"/>
  <c r="Q355" i="2"/>
  <c r="R355" i="2" s="1"/>
  <c r="P355" i="2"/>
  <c r="O355" i="2"/>
  <c r="N355" i="2"/>
  <c r="M355" i="2"/>
  <c r="K355" i="2"/>
  <c r="I355" i="2"/>
  <c r="E355" i="2"/>
  <c r="P354" i="2"/>
  <c r="O354" i="2"/>
  <c r="Q354" i="2" s="1"/>
  <c r="R354" i="2" s="1"/>
  <c r="N354" i="2"/>
  <c r="M354" i="2"/>
  <c r="K354" i="2"/>
  <c r="I354" i="2"/>
  <c r="E354" i="2"/>
  <c r="P353" i="2"/>
  <c r="O353" i="2"/>
  <c r="Q353" i="2" s="1"/>
  <c r="R353" i="2" s="1"/>
  <c r="N353" i="2"/>
  <c r="M353" i="2"/>
  <c r="K353" i="2"/>
  <c r="I353" i="2"/>
  <c r="E353" i="2"/>
  <c r="Q352" i="2"/>
  <c r="R352" i="2" s="1"/>
  <c r="P352" i="2"/>
  <c r="O352" i="2"/>
  <c r="N352" i="2"/>
  <c r="M352" i="2"/>
  <c r="K352" i="2"/>
  <c r="I352" i="2"/>
  <c r="E352" i="2"/>
  <c r="Q350" i="2"/>
  <c r="R350" i="2" s="1"/>
  <c r="P350" i="2"/>
  <c r="O350" i="2"/>
  <c r="N350" i="2"/>
  <c r="M350" i="2"/>
  <c r="K350" i="2"/>
  <c r="I350" i="2"/>
  <c r="E350" i="2"/>
  <c r="P349" i="2"/>
  <c r="O349" i="2"/>
  <c r="Q349" i="2" s="1"/>
  <c r="R349" i="2" s="1"/>
  <c r="N349" i="2"/>
  <c r="M349" i="2"/>
  <c r="K349" i="2"/>
  <c r="I349" i="2"/>
  <c r="E349" i="2"/>
  <c r="P348" i="2"/>
  <c r="O348" i="2"/>
  <c r="Q348" i="2" s="1"/>
  <c r="R348" i="2" s="1"/>
  <c r="N348" i="2"/>
  <c r="M348" i="2"/>
  <c r="K348" i="2"/>
  <c r="I348" i="2"/>
  <c r="E348" i="2"/>
  <c r="Q347" i="2"/>
  <c r="R347" i="2" s="1"/>
  <c r="P347" i="2"/>
  <c r="O347" i="2"/>
  <c r="N347" i="2"/>
  <c r="M347" i="2"/>
  <c r="K347" i="2"/>
  <c r="I347" i="2"/>
  <c r="E347" i="2"/>
  <c r="P346" i="2"/>
  <c r="O346" i="2"/>
  <c r="Q346" i="2" s="1"/>
  <c r="R346" i="2" s="1"/>
  <c r="N346" i="2"/>
  <c r="M346" i="2"/>
  <c r="K346" i="2"/>
  <c r="I346" i="2"/>
  <c r="E346" i="2"/>
  <c r="R345" i="2"/>
  <c r="P345" i="2"/>
  <c r="O345" i="2"/>
  <c r="Q345" i="2" s="1"/>
  <c r="N345" i="2"/>
  <c r="M345" i="2"/>
  <c r="K345" i="2"/>
  <c r="I345" i="2"/>
  <c r="E345" i="2"/>
  <c r="P344" i="2"/>
  <c r="O344" i="2"/>
  <c r="Q344" i="2" s="1"/>
  <c r="R344" i="2" s="1"/>
  <c r="N344" i="2"/>
  <c r="M344" i="2"/>
  <c r="K344" i="2"/>
  <c r="I344" i="2"/>
  <c r="E344" i="2"/>
  <c r="Q343" i="2"/>
  <c r="R343" i="2" s="1"/>
  <c r="P343" i="2"/>
  <c r="O343" i="2"/>
  <c r="N343" i="2"/>
  <c r="M343" i="2"/>
  <c r="K343" i="2"/>
  <c r="I343" i="2"/>
  <c r="E343" i="2"/>
  <c r="P342" i="2"/>
  <c r="O342" i="2"/>
  <c r="Q342" i="2" s="1"/>
  <c r="R342" i="2" s="1"/>
  <c r="N342" i="2"/>
  <c r="M342" i="2"/>
  <c r="K342" i="2"/>
  <c r="I342" i="2"/>
  <c r="E342" i="2"/>
  <c r="P341" i="2"/>
  <c r="O341" i="2"/>
  <c r="Q341" i="2" s="1"/>
  <c r="R341" i="2" s="1"/>
  <c r="N341" i="2"/>
  <c r="M341" i="2"/>
  <c r="K341" i="2"/>
  <c r="I341" i="2"/>
  <c r="E341" i="2"/>
  <c r="P340" i="2"/>
  <c r="O340" i="2"/>
  <c r="Q340" i="2" s="1"/>
  <c r="R340" i="2" s="1"/>
  <c r="N340" i="2"/>
  <c r="M340" i="2"/>
  <c r="K340" i="2"/>
  <c r="I340" i="2"/>
  <c r="E340" i="2"/>
  <c r="Q339" i="2"/>
  <c r="R339" i="2" s="1"/>
  <c r="P339" i="2"/>
  <c r="O339" i="2"/>
  <c r="N339" i="2"/>
  <c r="M339" i="2"/>
  <c r="K339" i="2"/>
  <c r="I339" i="2"/>
  <c r="E339" i="2"/>
  <c r="Q338" i="2"/>
  <c r="R338" i="2" s="1"/>
  <c r="P338" i="2"/>
  <c r="O338" i="2"/>
  <c r="N338" i="2"/>
  <c r="M338" i="2"/>
  <c r="K338" i="2"/>
  <c r="I338" i="2"/>
  <c r="E338" i="2"/>
  <c r="P337" i="2"/>
  <c r="O337" i="2"/>
  <c r="Q337" i="2" s="1"/>
  <c r="R337" i="2" s="1"/>
  <c r="N337" i="2"/>
  <c r="M337" i="2"/>
  <c r="K337" i="2"/>
  <c r="I337" i="2"/>
  <c r="E337" i="2"/>
  <c r="P336" i="2"/>
  <c r="O336" i="2"/>
  <c r="Q336" i="2" s="1"/>
  <c r="R336" i="2" s="1"/>
  <c r="N336" i="2"/>
  <c r="M336" i="2"/>
  <c r="K336" i="2"/>
  <c r="I336" i="2"/>
  <c r="E336" i="2"/>
  <c r="P335" i="2"/>
  <c r="O335" i="2"/>
  <c r="Q335" i="2" s="1"/>
  <c r="R335" i="2" s="1"/>
  <c r="N335" i="2"/>
  <c r="M335" i="2"/>
  <c r="K335" i="2"/>
  <c r="I335" i="2"/>
  <c r="E335" i="2"/>
  <c r="Q334" i="2"/>
  <c r="R334" i="2" s="1"/>
  <c r="P334" i="2"/>
  <c r="O334" i="2"/>
  <c r="N334" i="2"/>
  <c r="M334" i="2"/>
  <c r="K334" i="2"/>
  <c r="I334" i="2"/>
  <c r="E334" i="2"/>
  <c r="P333" i="2"/>
  <c r="O333" i="2"/>
  <c r="Q333" i="2" s="1"/>
  <c r="R333" i="2" s="1"/>
  <c r="N333" i="2"/>
  <c r="M333" i="2"/>
  <c r="K333" i="2"/>
  <c r="I333" i="2"/>
  <c r="E333" i="2"/>
  <c r="P332" i="2"/>
  <c r="O332" i="2"/>
  <c r="Q332" i="2" s="1"/>
  <c r="R332" i="2" s="1"/>
  <c r="N332" i="2"/>
  <c r="M332" i="2"/>
  <c r="K332" i="2"/>
  <c r="I332" i="2"/>
  <c r="E332" i="2"/>
  <c r="P331" i="2"/>
  <c r="O331" i="2"/>
  <c r="Q331" i="2" s="1"/>
  <c r="R331" i="2" s="1"/>
  <c r="N331" i="2"/>
  <c r="M331" i="2"/>
  <c r="K331" i="2"/>
  <c r="I331" i="2"/>
  <c r="E331" i="2"/>
  <c r="R330" i="2"/>
  <c r="Q330" i="2"/>
  <c r="P330" i="2"/>
  <c r="O330" i="2"/>
  <c r="N330" i="2"/>
  <c r="M330" i="2"/>
  <c r="K330" i="2"/>
  <c r="I330" i="2"/>
  <c r="E330" i="2"/>
  <c r="P329" i="2"/>
  <c r="O329" i="2"/>
  <c r="Q329" i="2" s="1"/>
  <c r="R329" i="2" s="1"/>
  <c r="N329" i="2"/>
  <c r="M329" i="2"/>
  <c r="K329" i="2"/>
  <c r="I329" i="2"/>
  <c r="E329" i="2"/>
  <c r="P328" i="2"/>
  <c r="O328" i="2"/>
  <c r="Q328" i="2" s="1"/>
  <c r="R328" i="2" s="1"/>
  <c r="N328" i="2"/>
  <c r="M328" i="2"/>
  <c r="K328" i="2"/>
  <c r="I328" i="2"/>
  <c r="E328" i="2"/>
  <c r="Q327" i="2"/>
  <c r="R327" i="2" s="1"/>
  <c r="P327" i="2"/>
  <c r="O327" i="2"/>
  <c r="N327" i="2"/>
  <c r="M327" i="2"/>
  <c r="K327" i="2"/>
  <c r="I327" i="2"/>
  <c r="E327" i="2"/>
  <c r="P326" i="2"/>
  <c r="O326" i="2"/>
  <c r="Q326" i="2" s="1"/>
  <c r="R326" i="2" s="1"/>
  <c r="N326" i="2"/>
  <c r="M326" i="2"/>
  <c r="K326" i="2"/>
  <c r="I326" i="2"/>
  <c r="E326" i="2"/>
  <c r="R325" i="2"/>
  <c r="P325" i="2"/>
  <c r="O325" i="2"/>
  <c r="Q325" i="2" s="1"/>
  <c r="N325" i="2"/>
  <c r="M325" i="2"/>
  <c r="K325" i="2"/>
  <c r="I325" i="2"/>
  <c r="E325" i="2"/>
  <c r="P324" i="2"/>
  <c r="O324" i="2"/>
  <c r="Q324" i="2" s="1"/>
  <c r="R324" i="2" s="1"/>
  <c r="N324" i="2"/>
  <c r="M324" i="2"/>
  <c r="K324" i="2"/>
  <c r="I324" i="2"/>
  <c r="E324" i="2"/>
  <c r="Q323" i="2"/>
  <c r="R323" i="2" s="1"/>
  <c r="P323" i="2"/>
  <c r="O323" i="2"/>
  <c r="N323" i="2"/>
  <c r="M323" i="2"/>
  <c r="K323" i="2"/>
  <c r="I323" i="2"/>
  <c r="E323" i="2"/>
  <c r="Q322" i="2"/>
  <c r="R322" i="2" s="1"/>
  <c r="P322" i="2"/>
  <c r="O322" i="2"/>
  <c r="N322" i="2"/>
  <c r="M322" i="2"/>
  <c r="K322" i="2"/>
  <c r="I322" i="2"/>
  <c r="E322" i="2"/>
  <c r="P321" i="2"/>
  <c r="O321" i="2"/>
  <c r="Q321" i="2" s="1"/>
  <c r="R321" i="2" s="1"/>
  <c r="N321" i="2"/>
  <c r="M321" i="2"/>
  <c r="K321" i="2"/>
  <c r="I321" i="2"/>
  <c r="E321" i="2"/>
  <c r="P320" i="2"/>
  <c r="O320" i="2"/>
  <c r="Q320" i="2" s="1"/>
  <c r="R320" i="2" s="1"/>
  <c r="N320" i="2"/>
  <c r="M320" i="2"/>
  <c r="K320" i="2"/>
  <c r="I320" i="2"/>
  <c r="E320" i="2"/>
  <c r="Q319" i="2"/>
  <c r="R319" i="2" s="1"/>
  <c r="P319" i="2"/>
  <c r="O319" i="2"/>
  <c r="N319" i="2"/>
  <c r="M319" i="2"/>
  <c r="K319" i="2"/>
  <c r="I319" i="2"/>
  <c r="E319" i="2"/>
  <c r="P318" i="2"/>
  <c r="O318" i="2"/>
  <c r="Q318" i="2" s="1"/>
  <c r="R318" i="2" s="1"/>
  <c r="N318" i="2"/>
  <c r="M318" i="2"/>
  <c r="K318" i="2"/>
  <c r="I318" i="2"/>
  <c r="E318" i="2"/>
  <c r="P317" i="2"/>
  <c r="O317" i="2"/>
  <c r="Q317" i="2" s="1"/>
  <c r="R317" i="2" s="1"/>
  <c r="N317" i="2"/>
  <c r="M317" i="2"/>
  <c r="K317" i="2"/>
  <c r="I317" i="2"/>
  <c r="E317" i="2"/>
  <c r="P316" i="2"/>
  <c r="O316" i="2"/>
  <c r="Q316" i="2" s="1"/>
  <c r="R316" i="2" s="1"/>
  <c r="N316" i="2"/>
  <c r="M316" i="2"/>
  <c r="K316" i="2"/>
  <c r="I316" i="2"/>
  <c r="E316" i="2"/>
  <c r="Q315" i="2"/>
  <c r="R315" i="2" s="1"/>
  <c r="P315" i="2"/>
  <c r="O315" i="2"/>
  <c r="N315" i="2"/>
  <c r="M315" i="2"/>
  <c r="K315" i="2"/>
  <c r="I315" i="2"/>
  <c r="E315" i="2"/>
  <c r="Q314" i="2"/>
  <c r="R314" i="2" s="1"/>
  <c r="P314" i="2"/>
  <c r="O314" i="2"/>
  <c r="N314" i="2"/>
  <c r="M314" i="2"/>
  <c r="K314" i="2"/>
  <c r="I314" i="2"/>
  <c r="E314" i="2"/>
  <c r="P313" i="2"/>
  <c r="O313" i="2"/>
  <c r="Q313" i="2" s="1"/>
  <c r="R313" i="2" s="1"/>
  <c r="N313" i="2"/>
  <c r="M313" i="2"/>
  <c r="K313" i="2"/>
  <c r="I313" i="2"/>
  <c r="E313" i="2"/>
  <c r="Q312" i="2"/>
  <c r="R312" i="2" s="1"/>
  <c r="P312" i="2"/>
  <c r="O312" i="2"/>
  <c r="N312" i="2"/>
  <c r="M312" i="2"/>
  <c r="K312" i="2"/>
  <c r="I312" i="2"/>
  <c r="E312" i="2"/>
  <c r="R311" i="2"/>
  <c r="Q311" i="2"/>
  <c r="P311" i="2"/>
  <c r="O311" i="2"/>
  <c r="N311" i="2"/>
  <c r="M311" i="2"/>
  <c r="K311" i="2"/>
  <c r="I311" i="2"/>
  <c r="E311" i="2"/>
  <c r="P310" i="2"/>
  <c r="O310" i="2"/>
  <c r="Q310" i="2" s="1"/>
  <c r="R310" i="2" s="1"/>
  <c r="N310" i="2"/>
  <c r="M310" i="2"/>
  <c r="K310" i="2"/>
  <c r="I310" i="2"/>
  <c r="E310" i="2"/>
  <c r="R309" i="2"/>
  <c r="P309" i="2"/>
  <c r="O309" i="2"/>
  <c r="Q309" i="2" s="1"/>
  <c r="N309" i="2"/>
  <c r="M309" i="2"/>
  <c r="K309" i="2"/>
  <c r="I309" i="2"/>
  <c r="E309" i="2"/>
  <c r="P308" i="2"/>
  <c r="O308" i="2"/>
  <c r="Q308" i="2" s="1"/>
  <c r="R308" i="2" s="1"/>
  <c r="N308" i="2"/>
  <c r="M308" i="2"/>
  <c r="K308" i="2"/>
  <c r="I308" i="2"/>
  <c r="E308" i="2"/>
  <c r="P307" i="2"/>
  <c r="O307" i="2"/>
  <c r="Q307" i="2" s="1"/>
  <c r="R307" i="2" s="1"/>
  <c r="N307" i="2"/>
  <c r="M307" i="2"/>
  <c r="K307" i="2"/>
  <c r="I307" i="2"/>
  <c r="E307" i="2"/>
  <c r="P306" i="2"/>
  <c r="O306" i="2"/>
  <c r="Q306" i="2" s="1"/>
  <c r="R306" i="2" s="1"/>
  <c r="N306" i="2"/>
  <c r="M306" i="2"/>
  <c r="K306" i="2"/>
  <c r="I306" i="2"/>
  <c r="E306" i="2"/>
  <c r="R305" i="2"/>
  <c r="P305" i="2"/>
  <c r="O305" i="2"/>
  <c r="Q305" i="2" s="1"/>
  <c r="N305" i="2"/>
  <c r="M305" i="2"/>
  <c r="K305" i="2"/>
  <c r="I305" i="2"/>
  <c r="E305" i="2"/>
  <c r="P304" i="2"/>
  <c r="O304" i="2"/>
  <c r="Q304" i="2" s="1"/>
  <c r="R304" i="2" s="1"/>
  <c r="N304" i="2"/>
  <c r="M304" i="2"/>
  <c r="K304" i="2"/>
  <c r="I304" i="2"/>
  <c r="E304" i="2"/>
  <c r="P303" i="2"/>
  <c r="O303" i="2"/>
  <c r="Q303" i="2" s="1"/>
  <c r="R303" i="2" s="1"/>
  <c r="N303" i="2"/>
  <c r="M303" i="2"/>
  <c r="K303" i="2"/>
  <c r="I303" i="2"/>
  <c r="E303" i="2"/>
  <c r="P302" i="2"/>
  <c r="O302" i="2"/>
  <c r="Q302" i="2" s="1"/>
  <c r="R302" i="2" s="1"/>
  <c r="N302" i="2"/>
  <c r="M302" i="2"/>
  <c r="K302" i="2"/>
  <c r="I302" i="2"/>
  <c r="E302" i="2"/>
  <c r="P301" i="2"/>
  <c r="O301" i="2"/>
  <c r="Q301" i="2" s="1"/>
  <c r="R301" i="2" s="1"/>
  <c r="N301" i="2"/>
  <c r="M301" i="2"/>
  <c r="K301" i="2"/>
  <c r="I301" i="2"/>
  <c r="E301" i="2"/>
  <c r="Q300" i="2"/>
  <c r="R300" i="2" s="1"/>
  <c r="P300" i="2"/>
  <c r="O300" i="2"/>
  <c r="N300" i="2"/>
  <c r="M300" i="2"/>
  <c r="K300" i="2"/>
  <c r="I300" i="2"/>
  <c r="E300" i="2"/>
  <c r="Q299" i="2"/>
  <c r="R299" i="2" s="1"/>
  <c r="P299" i="2"/>
  <c r="O299" i="2"/>
  <c r="N299" i="2"/>
  <c r="M299" i="2"/>
  <c r="K299" i="2"/>
  <c r="I299" i="2"/>
  <c r="E299" i="2"/>
  <c r="Q298" i="2"/>
  <c r="R298" i="2" s="1"/>
  <c r="P298" i="2"/>
  <c r="O298" i="2"/>
  <c r="N298" i="2"/>
  <c r="M298" i="2"/>
  <c r="K298" i="2"/>
  <c r="I298" i="2"/>
  <c r="E298" i="2"/>
  <c r="P297" i="2"/>
  <c r="O297" i="2"/>
  <c r="Q297" i="2" s="1"/>
  <c r="R297" i="2" s="1"/>
  <c r="N297" i="2"/>
  <c r="M297" i="2"/>
  <c r="K297" i="2"/>
  <c r="I297" i="2"/>
  <c r="E297" i="2"/>
  <c r="P296" i="2"/>
  <c r="O296" i="2"/>
  <c r="Q296" i="2" s="1"/>
  <c r="R296" i="2" s="1"/>
  <c r="N296" i="2"/>
  <c r="M296" i="2"/>
  <c r="K296" i="2"/>
  <c r="I296" i="2"/>
  <c r="E296" i="2"/>
  <c r="P295" i="2"/>
  <c r="O295" i="2"/>
  <c r="Q295" i="2" s="1"/>
  <c r="R295" i="2" s="1"/>
  <c r="N295" i="2"/>
  <c r="M295" i="2"/>
  <c r="K295" i="2"/>
  <c r="I295" i="2"/>
  <c r="E295" i="2"/>
  <c r="P294" i="2"/>
  <c r="O294" i="2"/>
  <c r="Q294" i="2" s="1"/>
  <c r="R294" i="2" s="1"/>
  <c r="N294" i="2"/>
  <c r="M294" i="2"/>
  <c r="K294" i="2"/>
  <c r="I294" i="2"/>
  <c r="E294" i="2"/>
  <c r="P293" i="2"/>
  <c r="O293" i="2"/>
  <c r="Q293" i="2" s="1"/>
  <c r="R293" i="2" s="1"/>
  <c r="N293" i="2"/>
  <c r="M293" i="2"/>
  <c r="K293" i="2"/>
  <c r="I293" i="2"/>
  <c r="E293" i="2"/>
  <c r="P292" i="2"/>
  <c r="O292" i="2"/>
  <c r="Q292" i="2" s="1"/>
  <c r="R292" i="2" s="1"/>
  <c r="N292" i="2"/>
  <c r="M292" i="2"/>
  <c r="K292" i="2"/>
  <c r="I292" i="2"/>
  <c r="E292" i="2"/>
  <c r="P291" i="2"/>
  <c r="O291" i="2"/>
  <c r="Q291" i="2" s="1"/>
  <c r="R291" i="2" s="1"/>
  <c r="N291" i="2"/>
  <c r="M291" i="2"/>
  <c r="K291" i="2"/>
  <c r="I291" i="2"/>
  <c r="E291" i="2"/>
  <c r="P290" i="2"/>
  <c r="O290" i="2"/>
  <c r="Q290" i="2" s="1"/>
  <c r="R290" i="2" s="1"/>
  <c r="N290" i="2"/>
  <c r="M290" i="2"/>
  <c r="K290" i="2"/>
  <c r="I290" i="2"/>
  <c r="E290" i="2"/>
  <c r="P289" i="2"/>
  <c r="O289" i="2"/>
  <c r="Q289" i="2" s="1"/>
  <c r="R289" i="2" s="1"/>
  <c r="N289" i="2"/>
  <c r="M289" i="2"/>
  <c r="K289" i="2"/>
  <c r="I289" i="2"/>
  <c r="E289" i="2"/>
  <c r="P288" i="2"/>
  <c r="O288" i="2"/>
  <c r="Q288" i="2" s="1"/>
  <c r="R288" i="2" s="1"/>
  <c r="N288" i="2"/>
  <c r="M288" i="2"/>
  <c r="K288" i="2"/>
  <c r="I288" i="2"/>
  <c r="E288" i="2"/>
  <c r="P287" i="2"/>
  <c r="O287" i="2"/>
  <c r="Q287" i="2" s="1"/>
  <c r="R287" i="2" s="1"/>
  <c r="N287" i="2"/>
  <c r="M287" i="2"/>
  <c r="K287" i="2"/>
  <c r="I287" i="2"/>
  <c r="E287" i="2"/>
  <c r="Q286" i="2"/>
  <c r="R286" i="2" s="1"/>
  <c r="P286" i="2"/>
  <c r="O286" i="2"/>
  <c r="N286" i="2"/>
  <c r="M286" i="2"/>
  <c r="K286" i="2"/>
  <c r="I286" i="2"/>
  <c r="E286" i="2"/>
  <c r="P285" i="2"/>
  <c r="O285" i="2"/>
  <c r="Q285" i="2" s="1"/>
  <c r="R285" i="2" s="1"/>
  <c r="N285" i="2"/>
  <c r="M285" i="2"/>
  <c r="K285" i="2"/>
  <c r="I285" i="2"/>
  <c r="E285" i="2"/>
  <c r="P284" i="2"/>
  <c r="O284" i="2"/>
  <c r="Q284" i="2" s="1"/>
  <c r="R284" i="2" s="1"/>
  <c r="N284" i="2"/>
  <c r="M284" i="2"/>
  <c r="K284" i="2"/>
  <c r="I284" i="2"/>
  <c r="E284" i="2"/>
  <c r="P283" i="2"/>
  <c r="O283" i="2"/>
  <c r="Q283" i="2" s="1"/>
  <c r="R283" i="2" s="1"/>
  <c r="N283" i="2"/>
  <c r="M283" i="2"/>
  <c r="K283" i="2"/>
  <c r="I283" i="2"/>
  <c r="E283" i="2"/>
  <c r="Q282" i="2"/>
  <c r="R282" i="2" s="1"/>
  <c r="P282" i="2"/>
  <c r="O282" i="2"/>
  <c r="N282" i="2"/>
  <c r="M282" i="2"/>
  <c r="K282" i="2"/>
  <c r="I282" i="2"/>
  <c r="E282" i="2"/>
  <c r="P281" i="2"/>
  <c r="O281" i="2"/>
  <c r="Q281" i="2" s="1"/>
  <c r="R281" i="2" s="1"/>
  <c r="N281" i="2"/>
  <c r="M281" i="2"/>
  <c r="K281" i="2"/>
  <c r="I281" i="2"/>
  <c r="E281" i="2"/>
  <c r="P280" i="2"/>
  <c r="O280" i="2"/>
  <c r="Q280" i="2" s="1"/>
  <c r="R280" i="2" s="1"/>
  <c r="N280" i="2"/>
  <c r="M280" i="2"/>
  <c r="K280" i="2"/>
  <c r="I280" i="2"/>
  <c r="E280" i="2"/>
  <c r="P279" i="2"/>
  <c r="O279" i="2"/>
  <c r="Q279" i="2" s="1"/>
  <c r="R279" i="2" s="1"/>
  <c r="N279" i="2"/>
  <c r="M279" i="2"/>
  <c r="K279" i="2"/>
  <c r="I279" i="2"/>
  <c r="E279" i="2"/>
  <c r="Q278" i="2"/>
  <c r="R278" i="2" s="1"/>
  <c r="P278" i="2"/>
  <c r="O278" i="2"/>
  <c r="N278" i="2"/>
  <c r="M278" i="2"/>
  <c r="K278" i="2"/>
  <c r="I278" i="2"/>
  <c r="E278" i="2"/>
  <c r="P277" i="2"/>
  <c r="O277" i="2"/>
  <c r="Q277" i="2" s="1"/>
  <c r="R277" i="2" s="1"/>
  <c r="N277" i="2"/>
  <c r="M277" i="2"/>
  <c r="K277" i="2"/>
  <c r="I277" i="2"/>
  <c r="E277" i="2"/>
  <c r="P276" i="2"/>
  <c r="O276" i="2"/>
  <c r="Q276" i="2" s="1"/>
  <c r="R276" i="2" s="1"/>
  <c r="N276" i="2"/>
  <c r="M276" i="2"/>
  <c r="K276" i="2"/>
  <c r="I276" i="2"/>
  <c r="E276" i="2"/>
  <c r="P275" i="2"/>
  <c r="O275" i="2"/>
  <c r="Q275" i="2" s="1"/>
  <c r="R275" i="2" s="1"/>
  <c r="N275" i="2"/>
  <c r="M275" i="2"/>
  <c r="K275" i="2"/>
  <c r="I275" i="2"/>
  <c r="E275" i="2"/>
  <c r="Q274" i="2"/>
  <c r="R274" i="2" s="1"/>
  <c r="P274" i="2"/>
  <c r="O274" i="2"/>
  <c r="N274" i="2"/>
  <c r="M274" i="2"/>
  <c r="K274" i="2"/>
  <c r="I274" i="2"/>
  <c r="E274" i="2"/>
  <c r="P273" i="2"/>
  <c r="O273" i="2"/>
  <c r="Q273" i="2" s="1"/>
  <c r="R273" i="2" s="1"/>
  <c r="N273" i="2"/>
  <c r="M273" i="2"/>
  <c r="K273" i="2"/>
  <c r="I273" i="2"/>
  <c r="E273" i="2"/>
  <c r="P272" i="2"/>
  <c r="O272" i="2"/>
  <c r="Q272" i="2" s="1"/>
  <c r="R272" i="2" s="1"/>
  <c r="N272" i="2"/>
  <c r="M272" i="2"/>
  <c r="K272" i="2"/>
  <c r="I272" i="2"/>
  <c r="E272" i="2"/>
  <c r="P271" i="2"/>
  <c r="O271" i="2"/>
  <c r="Q271" i="2" s="1"/>
  <c r="R271" i="2" s="1"/>
  <c r="N271" i="2"/>
  <c r="M271" i="2"/>
  <c r="K271" i="2"/>
  <c r="I271" i="2"/>
  <c r="E271" i="2"/>
  <c r="P270" i="2"/>
  <c r="O270" i="2"/>
  <c r="Q270" i="2" s="1"/>
  <c r="R270" i="2" s="1"/>
  <c r="N270" i="2"/>
  <c r="M270" i="2"/>
  <c r="K270" i="2"/>
  <c r="I270" i="2"/>
  <c r="E270" i="2"/>
  <c r="P269" i="2"/>
  <c r="O269" i="2"/>
  <c r="Q269" i="2" s="1"/>
  <c r="R269" i="2" s="1"/>
  <c r="N269" i="2"/>
  <c r="M269" i="2"/>
  <c r="K269" i="2"/>
  <c r="I269" i="2"/>
  <c r="E269" i="2"/>
  <c r="P268" i="2"/>
  <c r="O268" i="2"/>
  <c r="Q268" i="2" s="1"/>
  <c r="R268" i="2" s="1"/>
  <c r="N268" i="2"/>
  <c r="M268" i="2"/>
  <c r="K268" i="2"/>
  <c r="I268" i="2"/>
  <c r="E268" i="2"/>
  <c r="P267" i="2"/>
  <c r="O267" i="2"/>
  <c r="Q267" i="2" s="1"/>
  <c r="R267" i="2" s="1"/>
  <c r="N267" i="2"/>
  <c r="M267" i="2"/>
  <c r="K267" i="2"/>
  <c r="I267" i="2"/>
  <c r="E267" i="2"/>
  <c r="P266" i="2"/>
  <c r="O266" i="2"/>
  <c r="Q266" i="2" s="1"/>
  <c r="R266" i="2" s="1"/>
  <c r="N266" i="2"/>
  <c r="M266" i="2"/>
  <c r="K266" i="2"/>
  <c r="I266" i="2"/>
  <c r="E266" i="2"/>
  <c r="P265" i="2"/>
  <c r="O265" i="2"/>
  <c r="Q265" i="2" s="1"/>
  <c r="R265" i="2" s="1"/>
  <c r="N265" i="2"/>
  <c r="M265" i="2"/>
  <c r="K265" i="2"/>
  <c r="I265" i="2"/>
  <c r="E265" i="2"/>
  <c r="P264" i="2"/>
  <c r="O264" i="2"/>
  <c r="Q264" i="2" s="1"/>
  <c r="R264" i="2" s="1"/>
  <c r="N264" i="2"/>
  <c r="M264" i="2"/>
  <c r="K264" i="2"/>
  <c r="I264" i="2"/>
  <c r="E264" i="2"/>
  <c r="P263" i="2"/>
  <c r="O263" i="2"/>
  <c r="Q263" i="2" s="1"/>
  <c r="R263" i="2" s="1"/>
  <c r="N263" i="2"/>
  <c r="M263" i="2"/>
  <c r="K263" i="2"/>
  <c r="I263" i="2"/>
  <c r="E263" i="2"/>
  <c r="Q262" i="2"/>
  <c r="R262" i="2" s="1"/>
  <c r="P262" i="2"/>
  <c r="O262" i="2"/>
  <c r="N262" i="2"/>
  <c r="M262" i="2"/>
  <c r="K262" i="2"/>
  <c r="I262" i="2"/>
  <c r="E262" i="2"/>
  <c r="P261" i="2"/>
  <c r="O261" i="2"/>
  <c r="Q261" i="2" s="1"/>
  <c r="R261" i="2" s="1"/>
  <c r="N261" i="2"/>
  <c r="M261" i="2"/>
  <c r="K261" i="2"/>
  <c r="I261" i="2"/>
  <c r="E261" i="2"/>
  <c r="P260" i="2"/>
  <c r="O260" i="2"/>
  <c r="Q260" i="2" s="1"/>
  <c r="R260" i="2" s="1"/>
  <c r="N260" i="2"/>
  <c r="M260" i="2"/>
  <c r="K260" i="2"/>
  <c r="I260" i="2"/>
  <c r="E260" i="2"/>
  <c r="P259" i="2"/>
  <c r="O259" i="2"/>
  <c r="Q259" i="2" s="1"/>
  <c r="R259" i="2" s="1"/>
  <c r="N259" i="2"/>
  <c r="M259" i="2"/>
  <c r="K259" i="2"/>
  <c r="I259" i="2"/>
  <c r="E259" i="2"/>
  <c r="Q258" i="2"/>
  <c r="R258" i="2" s="1"/>
  <c r="P258" i="2"/>
  <c r="O258" i="2"/>
  <c r="N258" i="2"/>
  <c r="M258" i="2"/>
  <c r="K258" i="2"/>
  <c r="I258" i="2"/>
  <c r="E258" i="2"/>
  <c r="P257" i="2"/>
  <c r="O257" i="2"/>
  <c r="Q257" i="2" s="1"/>
  <c r="R257" i="2" s="1"/>
  <c r="N257" i="2"/>
  <c r="M257" i="2"/>
  <c r="K257" i="2"/>
  <c r="I257" i="2"/>
  <c r="E257" i="2"/>
  <c r="P256" i="2"/>
  <c r="O256" i="2"/>
  <c r="Q256" i="2" s="1"/>
  <c r="R256" i="2" s="1"/>
  <c r="N256" i="2"/>
  <c r="M256" i="2"/>
  <c r="K256" i="2"/>
  <c r="I256" i="2"/>
  <c r="E256" i="2"/>
  <c r="P255" i="2"/>
  <c r="O255" i="2"/>
  <c r="Q255" i="2" s="1"/>
  <c r="R255" i="2" s="1"/>
  <c r="N255" i="2"/>
  <c r="M255" i="2"/>
  <c r="K255" i="2"/>
  <c r="I255" i="2"/>
  <c r="E255" i="2"/>
  <c r="Q254" i="2"/>
  <c r="R254" i="2" s="1"/>
  <c r="P254" i="2"/>
  <c r="O254" i="2"/>
  <c r="N254" i="2"/>
  <c r="M254" i="2"/>
  <c r="K254" i="2"/>
  <c r="I254" i="2"/>
  <c r="E254" i="2"/>
  <c r="P253" i="2"/>
  <c r="O253" i="2"/>
  <c r="Q253" i="2" s="1"/>
  <c r="R253" i="2" s="1"/>
  <c r="N253" i="2"/>
  <c r="M253" i="2"/>
  <c r="K253" i="2"/>
  <c r="I253" i="2"/>
  <c r="E253" i="2"/>
  <c r="P252" i="2"/>
  <c r="O252" i="2"/>
  <c r="Q252" i="2" s="1"/>
  <c r="R252" i="2" s="1"/>
  <c r="N252" i="2"/>
  <c r="M252" i="2"/>
  <c r="K252" i="2"/>
  <c r="I252" i="2"/>
  <c r="E252" i="2"/>
  <c r="P251" i="2"/>
  <c r="O251" i="2"/>
  <c r="Q251" i="2" s="1"/>
  <c r="R251" i="2" s="1"/>
  <c r="N251" i="2"/>
  <c r="M251" i="2"/>
  <c r="K251" i="2"/>
  <c r="I251" i="2"/>
  <c r="E251" i="2"/>
  <c r="Q250" i="2"/>
  <c r="R250" i="2" s="1"/>
  <c r="P250" i="2"/>
  <c r="O250" i="2"/>
  <c r="N250" i="2"/>
  <c r="M250" i="2"/>
  <c r="K250" i="2"/>
  <c r="I250" i="2"/>
  <c r="E250" i="2"/>
  <c r="P249" i="2"/>
  <c r="O249" i="2"/>
  <c r="Q249" i="2" s="1"/>
  <c r="R249" i="2" s="1"/>
  <c r="N249" i="2"/>
  <c r="M249" i="2"/>
  <c r="K249" i="2"/>
  <c r="I249" i="2"/>
  <c r="E249" i="2"/>
  <c r="P247" i="2"/>
  <c r="O247" i="2"/>
  <c r="Q247" i="2" s="1"/>
  <c r="R247" i="2" s="1"/>
  <c r="N247" i="2"/>
  <c r="M247" i="2"/>
  <c r="K247" i="2"/>
  <c r="I247" i="2"/>
  <c r="E247" i="2"/>
  <c r="P246" i="2"/>
  <c r="O246" i="2"/>
  <c r="Q246" i="2" s="1"/>
  <c r="R246" i="2" s="1"/>
  <c r="N246" i="2"/>
  <c r="M246" i="2"/>
  <c r="K246" i="2"/>
  <c r="I246" i="2"/>
  <c r="E246" i="2"/>
  <c r="P245" i="2"/>
  <c r="O245" i="2"/>
  <c r="Q245" i="2" s="1"/>
  <c r="R245" i="2" s="1"/>
  <c r="N245" i="2"/>
  <c r="M245" i="2"/>
  <c r="K245" i="2"/>
  <c r="I245" i="2"/>
  <c r="E245" i="2"/>
  <c r="P244" i="2"/>
  <c r="O244" i="2"/>
  <c r="Q244" i="2" s="1"/>
  <c r="R244" i="2" s="1"/>
  <c r="N244" i="2"/>
  <c r="M244" i="2"/>
  <c r="K244" i="2"/>
  <c r="I244" i="2"/>
  <c r="E244" i="2"/>
  <c r="P243" i="2"/>
  <c r="O243" i="2"/>
  <c r="Q243" i="2" s="1"/>
  <c r="R243" i="2" s="1"/>
  <c r="N243" i="2"/>
  <c r="M243" i="2"/>
  <c r="K243" i="2"/>
  <c r="I243" i="2"/>
  <c r="E243" i="2"/>
  <c r="P242" i="2"/>
  <c r="O242" i="2"/>
  <c r="Q242" i="2" s="1"/>
  <c r="R242" i="2" s="1"/>
  <c r="N242" i="2"/>
  <c r="M242" i="2"/>
  <c r="K242" i="2"/>
  <c r="I242" i="2"/>
  <c r="E242" i="2"/>
  <c r="P241" i="2"/>
  <c r="O241" i="2"/>
  <c r="Q241" i="2" s="1"/>
  <c r="R241" i="2" s="1"/>
  <c r="N241" i="2"/>
  <c r="M241" i="2"/>
  <c r="K241" i="2"/>
  <c r="I241" i="2"/>
  <c r="E241" i="2"/>
  <c r="P240" i="2"/>
  <c r="O240" i="2"/>
  <c r="Q240" i="2" s="1"/>
  <c r="R240" i="2" s="1"/>
  <c r="N240" i="2"/>
  <c r="M240" i="2"/>
  <c r="K240" i="2"/>
  <c r="I240" i="2"/>
  <c r="E240" i="2"/>
  <c r="P239" i="2"/>
  <c r="O239" i="2"/>
  <c r="Q239" i="2" s="1"/>
  <c r="R239" i="2" s="1"/>
  <c r="N239" i="2"/>
  <c r="M239" i="2"/>
  <c r="K239" i="2"/>
  <c r="I239" i="2"/>
  <c r="E239" i="2"/>
  <c r="P238" i="2"/>
  <c r="O238" i="2"/>
  <c r="Q238" i="2" s="1"/>
  <c r="R238" i="2" s="1"/>
  <c r="N238" i="2"/>
  <c r="M238" i="2"/>
  <c r="K238" i="2"/>
  <c r="I238" i="2"/>
  <c r="E238" i="2"/>
  <c r="Q237" i="2"/>
  <c r="R237" i="2" s="1"/>
  <c r="P237" i="2"/>
  <c r="O237" i="2"/>
  <c r="N237" i="2"/>
  <c r="M237" i="2"/>
  <c r="K237" i="2"/>
  <c r="I237" i="2"/>
  <c r="E237" i="2"/>
  <c r="P236" i="2"/>
  <c r="O236" i="2"/>
  <c r="Q236" i="2" s="1"/>
  <c r="R236" i="2" s="1"/>
  <c r="N236" i="2"/>
  <c r="M236" i="2"/>
  <c r="K236" i="2"/>
  <c r="I236" i="2"/>
  <c r="E236" i="2"/>
  <c r="P235" i="2"/>
  <c r="O235" i="2"/>
  <c r="Q235" i="2" s="1"/>
  <c r="R235" i="2" s="1"/>
  <c r="N235" i="2"/>
  <c r="M235" i="2"/>
  <c r="K235" i="2"/>
  <c r="I235" i="2"/>
  <c r="E235" i="2"/>
  <c r="P234" i="2"/>
  <c r="O234" i="2"/>
  <c r="Q234" i="2" s="1"/>
  <c r="R234" i="2" s="1"/>
  <c r="N234" i="2"/>
  <c r="M234" i="2"/>
  <c r="K234" i="2"/>
  <c r="I234" i="2"/>
  <c r="E234" i="2"/>
  <c r="Q233" i="2"/>
  <c r="R233" i="2" s="1"/>
  <c r="P233" i="2"/>
  <c r="O233" i="2"/>
  <c r="N233" i="2"/>
  <c r="M233" i="2"/>
  <c r="K233" i="2"/>
  <c r="I233" i="2"/>
  <c r="E233" i="2"/>
  <c r="P232" i="2"/>
  <c r="O232" i="2"/>
  <c r="Q232" i="2" s="1"/>
  <c r="R232" i="2" s="1"/>
  <c r="N232" i="2"/>
  <c r="M232" i="2"/>
  <c r="K232" i="2"/>
  <c r="I232" i="2"/>
  <c r="E232" i="2"/>
  <c r="P231" i="2"/>
  <c r="O231" i="2"/>
  <c r="Q231" i="2" s="1"/>
  <c r="R231" i="2" s="1"/>
  <c r="N231" i="2"/>
  <c r="M231" i="2"/>
  <c r="K231" i="2"/>
  <c r="I231" i="2"/>
  <c r="E231" i="2"/>
  <c r="P230" i="2"/>
  <c r="O230" i="2"/>
  <c r="Q230" i="2" s="1"/>
  <c r="R230" i="2" s="1"/>
  <c r="N230" i="2"/>
  <c r="M230" i="2"/>
  <c r="K230" i="2"/>
  <c r="I230" i="2"/>
  <c r="E230" i="2"/>
  <c r="Q229" i="2"/>
  <c r="R229" i="2" s="1"/>
  <c r="P229" i="2"/>
  <c r="O229" i="2"/>
  <c r="N229" i="2"/>
  <c r="M229" i="2"/>
  <c r="K229" i="2"/>
  <c r="I229" i="2"/>
  <c r="E229" i="2"/>
  <c r="P228" i="2"/>
  <c r="O228" i="2"/>
  <c r="Q228" i="2" s="1"/>
  <c r="R228" i="2" s="1"/>
  <c r="N228" i="2"/>
  <c r="M228" i="2"/>
  <c r="K228" i="2"/>
  <c r="I228" i="2"/>
  <c r="E228" i="2"/>
  <c r="P227" i="2"/>
  <c r="O227" i="2"/>
  <c r="Q227" i="2" s="1"/>
  <c r="R227" i="2" s="1"/>
  <c r="N227" i="2"/>
  <c r="M227" i="2"/>
  <c r="K227" i="2"/>
  <c r="I227" i="2"/>
  <c r="E227" i="2"/>
  <c r="P226" i="2"/>
  <c r="O226" i="2"/>
  <c r="Q226" i="2" s="1"/>
  <c r="R226" i="2" s="1"/>
  <c r="N226" i="2"/>
  <c r="M226" i="2"/>
  <c r="K226" i="2"/>
  <c r="I226" i="2"/>
  <c r="E226" i="2"/>
  <c r="Q225" i="2"/>
  <c r="R225" i="2" s="1"/>
  <c r="P225" i="2"/>
  <c r="O225" i="2"/>
  <c r="N225" i="2"/>
  <c r="M225" i="2"/>
  <c r="K225" i="2"/>
  <c r="I225" i="2"/>
  <c r="E225" i="2"/>
  <c r="P224" i="2"/>
  <c r="O224" i="2"/>
  <c r="Q224" i="2" s="1"/>
  <c r="R224" i="2" s="1"/>
  <c r="N224" i="2"/>
  <c r="M224" i="2"/>
  <c r="K224" i="2"/>
  <c r="I224" i="2"/>
  <c r="E224" i="2"/>
  <c r="P223" i="2"/>
  <c r="O223" i="2"/>
  <c r="Q223" i="2" s="1"/>
  <c r="R223" i="2" s="1"/>
  <c r="N223" i="2"/>
  <c r="M223" i="2"/>
  <c r="K223" i="2"/>
  <c r="I223" i="2"/>
  <c r="E223" i="2"/>
  <c r="P222" i="2"/>
  <c r="O222" i="2"/>
  <c r="Q222" i="2" s="1"/>
  <c r="R222" i="2" s="1"/>
  <c r="N222" i="2"/>
  <c r="M222" i="2"/>
  <c r="K222" i="2"/>
  <c r="I222" i="2"/>
  <c r="E222" i="2"/>
  <c r="P221" i="2"/>
  <c r="O221" i="2"/>
  <c r="Q221" i="2" s="1"/>
  <c r="R221" i="2" s="1"/>
  <c r="N221" i="2"/>
  <c r="M221" i="2"/>
  <c r="K221" i="2"/>
  <c r="I221" i="2"/>
  <c r="E221" i="2"/>
  <c r="P220" i="2"/>
  <c r="O220" i="2"/>
  <c r="Q220" i="2" s="1"/>
  <c r="R220" i="2" s="1"/>
  <c r="N220" i="2"/>
  <c r="M220" i="2"/>
  <c r="K220" i="2"/>
  <c r="I220" i="2"/>
  <c r="E220" i="2"/>
  <c r="P219" i="2"/>
  <c r="O219" i="2"/>
  <c r="Q219" i="2" s="1"/>
  <c r="R219" i="2" s="1"/>
  <c r="N219" i="2"/>
  <c r="M219" i="2"/>
  <c r="K219" i="2"/>
  <c r="I219" i="2"/>
  <c r="E219" i="2"/>
  <c r="P218" i="2"/>
  <c r="O218" i="2"/>
  <c r="Q218" i="2" s="1"/>
  <c r="R218" i="2" s="1"/>
  <c r="N218" i="2"/>
  <c r="M218" i="2"/>
  <c r="K218" i="2"/>
  <c r="I218" i="2"/>
  <c r="E218" i="2"/>
  <c r="P216" i="2"/>
  <c r="O216" i="2"/>
  <c r="Q216" i="2" s="1"/>
  <c r="R216" i="2" s="1"/>
  <c r="N216" i="2"/>
  <c r="M216" i="2"/>
  <c r="K216" i="2"/>
  <c r="I216" i="2"/>
  <c r="E216" i="2"/>
  <c r="P215" i="2"/>
  <c r="O215" i="2"/>
  <c r="Q215" i="2" s="1"/>
  <c r="R215" i="2" s="1"/>
  <c r="N215" i="2"/>
  <c r="M215" i="2"/>
  <c r="K215" i="2"/>
  <c r="I215" i="2"/>
  <c r="E215" i="2"/>
  <c r="P214" i="2"/>
  <c r="O214" i="2"/>
  <c r="Q214" i="2" s="1"/>
  <c r="R214" i="2" s="1"/>
  <c r="N214" i="2"/>
  <c r="M214" i="2"/>
  <c r="K214" i="2"/>
  <c r="I214" i="2"/>
  <c r="E214" i="2"/>
  <c r="P213" i="2"/>
  <c r="O213" i="2"/>
  <c r="Q213" i="2" s="1"/>
  <c r="R213" i="2" s="1"/>
  <c r="N213" i="2"/>
  <c r="M213" i="2"/>
  <c r="K213" i="2"/>
  <c r="I213" i="2"/>
  <c r="E213" i="2"/>
  <c r="Q212" i="2"/>
  <c r="R212" i="2" s="1"/>
  <c r="P212" i="2"/>
  <c r="O212" i="2"/>
  <c r="N212" i="2"/>
  <c r="M212" i="2"/>
  <c r="K212" i="2"/>
  <c r="I212" i="2"/>
  <c r="E212" i="2"/>
  <c r="P211" i="2"/>
  <c r="O211" i="2"/>
  <c r="Q211" i="2" s="1"/>
  <c r="R211" i="2" s="1"/>
  <c r="N211" i="2"/>
  <c r="M211" i="2"/>
  <c r="K211" i="2"/>
  <c r="I211" i="2"/>
  <c r="E211" i="2"/>
  <c r="P210" i="2"/>
  <c r="O210" i="2"/>
  <c r="Q210" i="2" s="1"/>
  <c r="R210" i="2" s="1"/>
  <c r="N210" i="2"/>
  <c r="M210" i="2"/>
  <c r="K210" i="2"/>
  <c r="I210" i="2"/>
  <c r="E210" i="2"/>
  <c r="P209" i="2"/>
  <c r="O209" i="2"/>
  <c r="Q209" i="2" s="1"/>
  <c r="R209" i="2" s="1"/>
  <c r="N209" i="2"/>
  <c r="M209" i="2"/>
  <c r="K209" i="2"/>
  <c r="I209" i="2"/>
  <c r="E209" i="2"/>
  <c r="Q208" i="2"/>
  <c r="R208" i="2" s="1"/>
  <c r="P208" i="2"/>
  <c r="O208" i="2"/>
  <c r="N208" i="2"/>
  <c r="M208" i="2"/>
  <c r="K208" i="2"/>
  <c r="I208" i="2"/>
  <c r="E208" i="2"/>
  <c r="P207" i="2"/>
  <c r="O207" i="2"/>
  <c r="Q207" i="2" s="1"/>
  <c r="R207" i="2" s="1"/>
  <c r="N207" i="2"/>
  <c r="M207" i="2"/>
  <c r="K207" i="2"/>
  <c r="I207" i="2"/>
  <c r="E207" i="2"/>
  <c r="P206" i="2"/>
  <c r="O206" i="2"/>
  <c r="Q206" i="2" s="1"/>
  <c r="R206" i="2" s="1"/>
  <c r="N206" i="2"/>
  <c r="M206" i="2"/>
  <c r="K206" i="2"/>
  <c r="I206" i="2"/>
  <c r="E206" i="2"/>
  <c r="P205" i="2"/>
  <c r="O205" i="2"/>
  <c r="Q205" i="2" s="1"/>
  <c r="R205" i="2" s="1"/>
  <c r="N205" i="2"/>
  <c r="M205" i="2"/>
  <c r="K205" i="2"/>
  <c r="I205" i="2"/>
  <c r="E205" i="2"/>
  <c r="Q204" i="2"/>
  <c r="R204" i="2" s="1"/>
  <c r="P204" i="2"/>
  <c r="O204" i="2"/>
  <c r="N204" i="2"/>
  <c r="M204" i="2"/>
  <c r="K204" i="2"/>
  <c r="I204" i="2"/>
  <c r="E204" i="2"/>
  <c r="P203" i="2"/>
  <c r="O203" i="2"/>
  <c r="Q203" i="2" s="1"/>
  <c r="R203" i="2" s="1"/>
  <c r="N203" i="2"/>
  <c r="M203" i="2"/>
  <c r="K203" i="2"/>
  <c r="I203" i="2"/>
  <c r="E203" i="2"/>
  <c r="P202" i="2"/>
  <c r="O202" i="2"/>
  <c r="Q202" i="2" s="1"/>
  <c r="R202" i="2" s="1"/>
  <c r="N202" i="2"/>
  <c r="M202" i="2"/>
  <c r="K202" i="2"/>
  <c r="I202" i="2"/>
  <c r="E202" i="2"/>
  <c r="P201" i="2"/>
  <c r="O201" i="2"/>
  <c r="Q201" i="2" s="1"/>
  <c r="R201" i="2" s="1"/>
  <c r="N201" i="2"/>
  <c r="M201" i="2"/>
  <c r="K201" i="2"/>
  <c r="I201" i="2"/>
  <c r="E201" i="2"/>
  <c r="Q200" i="2"/>
  <c r="R200" i="2" s="1"/>
  <c r="P200" i="2"/>
  <c r="O200" i="2"/>
  <c r="N200" i="2"/>
  <c r="M200" i="2"/>
  <c r="K200" i="2"/>
  <c r="I200" i="2"/>
  <c r="E200" i="2"/>
  <c r="P199" i="2"/>
  <c r="O199" i="2"/>
  <c r="Q199" i="2" s="1"/>
  <c r="R199" i="2" s="1"/>
  <c r="N199" i="2"/>
  <c r="M199" i="2"/>
  <c r="K199" i="2"/>
  <c r="I199" i="2"/>
  <c r="E199" i="2"/>
  <c r="P198" i="2"/>
  <c r="O198" i="2"/>
  <c r="Q198" i="2" s="1"/>
  <c r="R198" i="2" s="1"/>
  <c r="N198" i="2"/>
  <c r="M198" i="2"/>
  <c r="K198" i="2"/>
  <c r="I198" i="2"/>
  <c r="E198" i="2"/>
  <c r="P197" i="2"/>
  <c r="O197" i="2"/>
  <c r="Q197" i="2" s="1"/>
  <c r="R197" i="2" s="1"/>
  <c r="N197" i="2"/>
  <c r="M197" i="2"/>
  <c r="K197" i="2"/>
  <c r="I197" i="2"/>
  <c r="E197" i="2"/>
  <c r="P196" i="2"/>
  <c r="O196" i="2"/>
  <c r="Q196" i="2" s="1"/>
  <c r="R196" i="2" s="1"/>
  <c r="N196" i="2"/>
  <c r="M196" i="2"/>
  <c r="K196" i="2"/>
  <c r="I196" i="2"/>
  <c r="E196" i="2"/>
  <c r="P194" i="2"/>
  <c r="O194" i="2"/>
  <c r="Q194" i="2" s="1"/>
  <c r="R194" i="2" s="1"/>
  <c r="N194" i="2"/>
  <c r="M194" i="2"/>
  <c r="K194" i="2"/>
  <c r="I194" i="2"/>
  <c r="E194" i="2"/>
  <c r="P193" i="2"/>
  <c r="O193" i="2"/>
  <c r="Q193" i="2" s="1"/>
  <c r="R193" i="2" s="1"/>
  <c r="N193" i="2"/>
  <c r="M193" i="2"/>
  <c r="K193" i="2"/>
  <c r="I193" i="2"/>
  <c r="E193" i="2"/>
  <c r="P192" i="2"/>
  <c r="O192" i="2"/>
  <c r="Q192" i="2" s="1"/>
  <c r="R192" i="2" s="1"/>
  <c r="N192" i="2"/>
  <c r="M192" i="2"/>
  <c r="K192" i="2"/>
  <c r="I192" i="2"/>
  <c r="E192" i="2"/>
  <c r="P191" i="2"/>
  <c r="O191" i="2"/>
  <c r="Q191" i="2" s="1"/>
  <c r="R191" i="2" s="1"/>
  <c r="N191" i="2"/>
  <c r="M191" i="2"/>
  <c r="K191" i="2"/>
  <c r="I191" i="2"/>
  <c r="E191" i="2"/>
  <c r="P190" i="2"/>
  <c r="O190" i="2"/>
  <c r="Q190" i="2" s="1"/>
  <c r="R190" i="2" s="1"/>
  <c r="N190" i="2"/>
  <c r="M190" i="2"/>
  <c r="K190" i="2"/>
  <c r="I190" i="2"/>
  <c r="E190" i="2"/>
  <c r="P189" i="2"/>
  <c r="O189" i="2"/>
  <c r="Q189" i="2" s="1"/>
  <c r="R189" i="2" s="1"/>
  <c r="N189" i="2"/>
  <c r="M189" i="2"/>
  <c r="K189" i="2"/>
  <c r="I189" i="2"/>
  <c r="E189" i="2"/>
  <c r="P188" i="2"/>
  <c r="O188" i="2"/>
  <c r="Q188" i="2" s="1"/>
  <c r="R188" i="2" s="1"/>
  <c r="N188" i="2"/>
  <c r="M188" i="2"/>
  <c r="K188" i="2"/>
  <c r="I188" i="2"/>
  <c r="E188" i="2"/>
  <c r="Q187" i="2"/>
  <c r="R187" i="2" s="1"/>
  <c r="P187" i="2"/>
  <c r="O187" i="2"/>
  <c r="N187" i="2"/>
  <c r="M187" i="2"/>
  <c r="K187" i="2"/>
  <c r="I187" i="2"/>
  <c r="E187" i="2"/>
  <c r="P186" i="2"/>
  <c r="O186" i="2"/>
  <c r="Q186" i="2" s="1"/>
  <c r="R186" i="2" s="1"/>
  <c r="N186" i="2"/>
  <c r="M186" i="2"/>
  <c r="K186" i="2"/>
  <c r="I186" i="2"/>
  <c r="E186" i="2"/>
  <c r="P185" i="2"/>
  <c r="O185" i="2"/>
  <c r="Q185" i="2" s="1"/>
  <c r="R185" i="2" s="1"/>
  <c r="N185" i="2"/>
  <c r="M185" i="2"/>
  <c r="K185" i="2"/>
  <c r="I185" i="2"/>
  <c r="E185" i="2"/>
  <c r="P184" i="2"/>
  <c r="O184" i="2"/>
  <c r="Q184" i="2" s="1"/>
  <c r="R184" i="2" s="1"/>
  <c r="N184" i="2"/>
  <c r="M184" i="2"/>
  <c r="K184" i="2"/>
  <c r="I184" i="2"/>
  <c r="E184" i="2"/>
  <c r="Q183" i="2"/>
  <c r="R183" i="2" s="1"/>
  <c r="P183" i="2"/>
  <c r="O183" i="2"/>
  <c r="N183" i="2"/>
  <c r="M183" i="2"/>
  <c r="K183" i="2"/>
  <c r="I183" i="2"/>
  <c r="E183" i="2"/>
  <c r="P182" i="2"/>
  <c r="O182" i="2"/>
  <c r="Q182" i="2" s="1"/>
  <c r="R182" i="2" s="1"/>
  <c r="N182" i="2"/>
  <c r="M182" i="2"/>
  <c r="K182" i="2"/>
  <c r="I182" i="2"/>
  <c r="E182" i="2"/>
  <c r="P181" i="2"/>
  <c r="O181" i="2"/>
  <c r="Q181" i="2" s="1"/>
  <c r="R181" i="2" s="1"/>
  <c r="N181" i="2"/>
  <c r="M181" i="2"/>
  <c r="K181" i="2"/>
  <c r="I181" i="2"/>
  <c r="E181" i="2"/>
  <c r="P180" i="2"/>
  <c r="O180" i="2"/>
  <c r="Q180" i="2" s="1"/>
  <c r="R180" i="2" s="1"/>
  <c r="N180" i="2"/>
  <c r="M180" i="2"/>
  <c r="K180" i="2"/>
  <c r="I180" i="2"/>
  <c r="E180" i="2"/>
  <c r="Q179" i="2"/>
  <c r="R179" i="2" s="1"/>
  <c r="P179" i="2"/>
  <c r="O179" i="2"/>
  <c r="N179" i="2"/>
  <c r="M179" i="2"/>
  <c r="K179" i="2"/>
  <c r="I179" i="2"/>
  <c r="E179" i="2"/>
  <c r="P178" i="2"/>
  <c r="O178" i="2"/>
  <c r="Q178" i="2" s="1"/>
  <c r="R178" i="2" s="1"/>
  <c r="N178" i="2"/>
  <c r="M178" i="2"/>
  <c r="K178" i="2"/>
  <c r="I178" i="2"/>
  <c r="E178" i="2"/>
  <c r="P177" i="2"/>
  <c r="O177" i="2"/>
  <c r="Q177" i="2" s="1"/>
  <c r="R177" i="2" s="1"/>
  <c r="N177" i="2"/>
  <c r="M177" i="2"/>
  <c r="K177" i="2"/>
  <c r="I177" i="2"/>
  <c r="E177" i="2"/>
  <c r="P176" i="2"/>
  <c r="O176" i="2"/>
  <c r="Q176" i="2" s="1"/>
  <c r="R176" i="2" s="1"/>
  <c r="N176" i="2"/>
  <c r="M176" i="2"/>
  <c r="K176" i="2"/>
  <c r="I176" i="2"/>
  <c r="E176" i="2"/>
  <c r="Q175" i="2"/>
  <c r="R175" i="2" s="1"/>
  <c r="P175" i="2"/>
  <c r="O175" i="2"/>
  <c r="N175" i="2"/>
  <c r="M175" i="2"/>
  <c r="K175" i="2"/>
  <c r="I175" i="2"/>
  <c r="E175" i="2"/>
  <c r="P174" i="2"/>
  <c r="O174" i="2"/>
  <c r="Q174" i="2" s="1"/>
  <c r="R174" i="2" s="1"/>
  <c r="N174" i="2"/>
  <c r="M174" i="2"/>
  <c r="K174" i="2"/>
  <c r="I174" i="2"/>
  <c r="E174" i="2"/>
  <c r="P173" i="2"/>
  <c r="O173" i="2"/>
  <c r="Q173" i="2" s="1"/>
  <c r="R173" i="2" s="1"/>
  <c r="N173" i="2"/>
  <c r="M173" i="2"/>
  <c r="K173" i="2"/>
  <c r="I173" i="2"/>
  <c r="E173" i="2"/>
  <c r="P172" i="2"/>
  <c r="O172" i="2"/>
  <c r="Q172" i="2" s="1"/>
  <c r="R172" i="2" s="1"/>
  <c r="N172" i="2"/>
  <c r="M172" i="2"/>
  <c r="K172" i="2"/>
  <c r="I172" i="2"/>
  <c r="E172" i="2"/>
  <c r="P171" i="2"/>
  <c r="O171" i="2"/>
  <c r="Q171" i="2" s="1"/>
  <c r="R171" i="2" s="1"/>
  <c r="N171" i="2"/>
  <c r="M171" i="2"/>
  <c r="K171" i="2"/>
  <c r="I171" i="2"/>
  <c r="E171" i="2"/>
  <c r="P170" i="2"/>
  <c r="O170" i="2"/>
  <c r="Q170" i="2" s="1"/>
  <c r="R170" i="2" s="1"/>
  <c r="N170" i="2"/>
  <c r="M170" i="2"/>
  <c r="K170" i="2"/>
  <c r="I170" i="2"/>
  <c r="E170" i="2"/>
  <c r="P169" i="2"/>
  <c r="O169" i="2"/>
  <c r="Q169" i="2" s="1"/>
  <c r="R169" i="2" s="1"/>
  <c r="N169" i="2"/>
  <c r="M169" i="2"/>
  <c r="K169" i="2"/>
  <c r="I169" i="2"/>
  <c r="E169" i="2"/>
  <c r="P168" i="2"/>
  <c r="O168" i="2"/>
  <c r="Q168" i="2" s="1"/>
  <c r="R168" i="2" s="1"/>
  <c r="N168" i="2"/>
  <c r="M168" i="2"/>
  <c r="K168" i="2"/>
  <c r="I168" i="2"/>
  <c r="E168" i="2"/>
  <c r="P167" i="2"/>
  <c r="O167" i="2"/>
  <c r="Q167" i="2" s="1"/>
  <c r="R167" i="2" s="1"/>
  <c r="N167" i="2"/>
  <c r="M167" i="2"/>
  <c r="K167" i="2"/>
  <c r="I167" i="2"/>
  <c r="E167" i="2"/>
  <c r="P166" i="2"/>
  <c r="O166" i="2"/>
  <c r="Q166" i="2" s="1"/>
  <c r="R166" i="2" s="1"/>
  <c r="N166" i="2"/>
  <c r="M166" i="2"/>
  <c r="K166" i="2"/>
  <c r="I166" i="2"/>
  <c r="E166" i="2"/>
  <c r="P165" i="2"/>
  <c r="O165" i="2"/>
  <c r="Q165" i="2" s="1"/>
  <c r="R165" i="2" s="1"/>
  <c r="N165" i="2"/>
  <c r="M165" i="2"/>
  <c r="K165" i="2"/>
  <c r="I165" i="2"/>
  <c r="E165" i="2"/>
  <c r="P164" i="2"/>
  <c r="O164" i="2"/>
  <c r="Q164" i="2" s="1"/>
  <c r="R164" i="2" s="1"/>
  <c r="N164" i="2"/>
  <c r="M164" i="2"/>
  <c r="K164" i="2"/>
  <c r="I164" i="2"/>
  <c r="E164" i="2"/>
  <c r="Q163" i="2"/>
  <c r="R163" i="2" s="1"/>
  <c r="P163" i="2"/>
  <c r="O163" i="2"/>
  <c r="N163" i="2"/>
  <c r="M163" i="2"/>
  <c r="K163" i="2"/>
  <c r="I163" i="2"/>
  <c r="E163" i="2"/>
  <c r="P162" i="2"/>
  <c r="O162" i="2"/>
  <c r="Q162" i="2" s="1"/>
  <c r="R162" i="2" s="1"/>
  <c r="N162" i="2"/>
  <c r="M162" i="2"/>
  <c r="K162" i="2"/>
  <c r="I162" i="2"/>
  <c r="E162" i="2"/>
  <c r="P161" i="2"/>
  <c r="O161" i="2"/>
  <c r="Q161" i="2" s="1"/>
  <c r="R161" i="2" s="1"/>
  <c r="N161" i="2"/>
  <c r="M161" i="2"/>
  <c r="K161" i="2"/>
  <c r="I161" i="2"/>
  <c r="E161" i="2"/>
  <c r="P160" i="2"/>
  <c r="O160" i="2"/>
  <c r="Q160" i="2" s="1"/>
  <c r="R160" i="2" s="1"/>
  <c r="N160" i="2"/>
  <c r="M160" i="2"/>
  <c r="K160" i="2"/>
  <c r="I160" i="2"/>
  <c r="E160" i="2"/>
  <c r="Q159" i="2"/>
  <c r="R159" i="2" s="1"/>
  <c r="P159" i="2"/>
  <c r="O159" i="2"/>
  <c r="N159" i="2"/>
  <c r="M159" i="2"/>
  <c r="K159" i="2"/>
  <c r="I159" i="2"/>
  <c r="E159" i="2"/>
  <c r="P157" i="2"/>
  <c r="O157" i="2"/>
  <c r="Q157" i="2" s="1"/>
  <c r="R157" i="2" s="1"/>
  <c r="N157" i="2"/>
  <c r="M157" i="2"/>
  <c r="K157" i="2"/>
  <c r="I157" i="2"/>
  <c r="E157" i="2"/>
  <c r="P156" i="2"/>
  <c r="O156" i="2"/>
  <c r="Q156" i="2" s="1"/>
  <c r="R156" i="2" s="1"/>
  <c r="N156" i="2"/>
  <c r="M156" i="2"/>
  <c r="K156" i="2"/>
  <c r="I156" i="2"/>
  <c r="E156" i="2"/>
  <c r="P155" i="2"/>
  <c r="O155" i="2"/>
  <c r="Q155" i="2" s="1"/>
  <c r="R155" i="2" s="1"/>
  <c r="N155" i="2"/>
  <c r="M155" i="2"/>
  <c r="K155" i="2"/>
  <c r="I155" i="2"/>
  <c r="E155" i="2"/>
  <c r="Q154" i="2"/>
  <c r="R154" i="2" s="1"/>
  <c r="P154" i="2"/>
  <c r="O154" i="2"/>
  <c r="N154" i="2"/>
  <c r="M154" i="2"/>
  <c r="K154" i="2"/>
  <c r="I154" i="2"/>
  <c r="E154" i="2"/>
  <c r="P153" i="2"/>
  <c r="O153" i="2"/>
  <c r="Q153" i="2" s="1"/>
  <c r="R153" i="2" s="1"/>
  <c r="N153" i="2"/>
  <c r="M153" i="2"/>
  <c r="K153" i="2"/>
  <c r="I153" i="2"/>
  <c r="E153" i="2"/>
  <c r="P152" i="2"/>
  <c r="O152" i="2"/>
  <c r="Q152" i="2" s="1"/>
  <c r="R152" i="2" s="1"/>
  <c r="N152" i="2"/>
  <c r="M152" i="2"/>
  <c r="K152" i="2"/>
  <c r="I152" i="2"/>
  <c r="E152" i="2"/>
  <c r="P151" i="2"/>
  <c r="O151" i="2"/>
  <c r="Q151" i="2" s="1"/>
  <c r="R151" i="2" s="1"/>
  <c r="N151" i="2"/>
  <c r="M151" i="2"/>
  <c r="K151" i="2"/>
  <c r="I151" i="2"/>
  <c r="E151" i="2"/>
  <c r="Q150" i="2"/>
  <c r="R150" i="2" s="1"/>
  <c r="P150" i="2"/>
  <c r="O150" i="2"/>
  <c r="N150" i="2"/>
  <c r="M150" i="2"/>
  <c r="K150" i="2"/>
  <c r="I150" i="2"/>
  <c r="E150" i="2"/>
  <c r="P149" i="2"/>
  <c r="O149" i="2"/>
  <c r="Q149" i="2" s="1"/>
  <c r="R149" i="2" s="1"/>
  <c r="N149" i="2"/>
  <c r="M149" i="2"/>
  <c r="K149" i="2"/>
  <c r="I149" i="2"/>
  <c r="E149" i="2"/>
  <c r="P148" i="2"/>
  <c r="O148" i="2"/>
  <c r="Q148" i="2" s="1"/>
  <c r="R148" i="2" s="1"/>
  <c r="N148" i="2"/>
  <c r="M148" i="2"/>
  <c r="K148" i="2"/>
  <c r="I148" i="2"/>
  <c r="E148" i="2"/>
  <c r="P147" i="2"/>
  <c r="O147" i="2"/>
  <c r="Q147" i="2" s="1"/>
  <c r="R147" i="2" s="1"/>
  <c r="N147" i="2"/>
  <c r="M147" i="2"/>
  <c r="K147" i="2"/>
  <c r="I147" i="2"/>
  <c r="E147" i="2"/>
  <c r="P146" i="2"/>
  <c r="O146" i="2"/>
  <c r="Q146" i="2" s="1"/>
  <c r="R146" i="2" s="1"/>
  <c r="N146" i="2"/>
  <c r="M146" i="2"/>
  <c r="K146" i="2"/>
  <c r="I146" i="2"/>
  <c r="E146" i="2"/>
  <c r="P145" i="2"/>
  <c r="O145" i="2"/>
  <c r="Q145" i="2" s="1"/>
  <c r="R145" i="2" s="1"/>
  <c r="N145" i="2"/>
  <c r="M145" i="2"/>
  <c r="K145" i="2"/>
  <c r="I145" i="2"/>
  <c r="E145" i="2"/>
  <c r="P144" i="2"/>
  <c r="O144" i="2"/>
  <c r="Q144" i="2" s="1"/>
  <c r="R144" i="2" s="1"/>
  <c r="N144" i="2"/>
  <c r="M144" i="2"/>
  <c r="K144" i="2"/>
  <c r="I144" i="2"/>
  <c r="E144" i="2"/>
  <c r="P143" i="2"/>
  <c r="O143" i="2"/>
  <c r="Q143" i="2" s="1"/>
  <c r="R143" i="2" s="1"/>
  <c r="N143" i="2"/>
  <c r="M143" i="2"/>
  <c r="K143" i="2"/>
  <c r="I143" i="2"/>
  <c r="E143" i="2"/>
  <c r="P142" i="2"/>
  <c r="O142" i="2"/>
  <c r="Q142" i="2" s="1"/>
  <c r="R142" i="2" s="1"/>
  <c r="N142" i="2"/>
  <c r="M142" i="2"/>
  <c r="K142" i="2"/>
  <c r="I142" i="2"/>
  <c r="E142" i="2"/>
  <c r="P141" i="2"/>
  <c r="O141" i="2"/>
  <c r="Q141" i="2" s="1"/>
  <c r="R141" i="2" s="1"/>
  <c r="N141" i="2"/>
  <c r="M141" i="2"/>
  <c r="K141" i="2"/>
  <c r="I141" i="2"/>
  <c r="E141" i="2"/>
  <c r="P140" i="2"/>
  <c r="O140" i="2"/>
  <c r="Q140" i="2" s="1"/>
  <c r="R140" i="2" s="1"/>
  <c r="N140" i="2"/>
  <c r="M140" i="2"/>
  <c r="K140" i="2"/>
  <c r="I140" i="2"/>
  <c r="E140" i="2"/>
  <c r="P139" i="2"/>
  <c r="O139" i="2"/>
  <c r="Q139" i="2" s="1"/>
  <c r="R139" i="2" s="1"/>
  <c r="N139" i="2"/>
  <c r="M139" i="2"/>
  <c r="K139" i="2"/>
  <c r="I139" i="2"/>
  <c r="E139" i="2"/>
  <c r="Q138" i="2"/>
  <c r="R138" i="2" s="1"/>
  <c r="P138" i="2"/>
  <c r="O138" i="2"/>
  <c r="N138" i="2"/>
  <c r="M138" i="2"/>
  <c r="K138" i="2"/>
  <c r="I138" i="2"/>
  <c r="E138" i="2"/>
  <c r="P137" i="2"/>
  <c r="O137" i="2"/>
  <c r="Q137" i="2" s="1"/>
  <c r="R137" i="2" s="1"/>
  <c r="N137" i="2"/>
  <c r="M137" i="2"/>
  <c r="K137" i="2"/>
  <c r="I137" i="2"/>
  <c r="E137" i="2"/>
  <c r="P136" i="2"/>
  <c r="O136" i="2"/>
  <c r="Q136" i="2" s="1"/>
  <c r="R136" i="2" s="1"/>
  <c r="N136" i="2"/>
  <c r="M136" i="2"/>
  <c r="K136" i="2"/>
  <c r="I136" i="2"/>
  <c r="E136" i="2"/>
  <c r="P135" i="2"/>
  <c r="O135" i="2"/>
  <c r="Q135" i="2" s="1"/>
  <c r="R135" i="2" s="1"/>
  <c r="N135" i="2"/>
  <c r="M135" i="2"/>
  <c r="K135" i="2"/>
  <c r="I135" i="2"/>
  <c r="E135" i="2"/>
  <c r="Q134" i="2"/>
  <c r="R134" i="2" s="1"/>
  <c r="P134" i="2"/>
  <c r="O134" i="2"/>
  <c r="N134" i="2"/>
  <c r="M134" i="2"/>
  <c r="K134" i="2"/>
  <c r="I134" i="2"/>
  <c r="E134" i="2"/>
  <c r="P133" i="2"/>
  <c r="O133" i="2"/>
  <c r="Q133" i="2" s="1"/>
  <c r="R133" i="2" s="1"/>
  <c r="N133" i="2"/>
  <c r="M133" i="2"/>
  <c r="K133" i="2"/>
  <c r="I133" i="2"/>
  <c r="E133" i="2"/>
  <c r="P132" i="2"/>
  <c r="O132" i="2"/>
  <c r="Q132" i="2" s="1"/>
  <c r="R132" i="2" s="1"/>
  <c r="N132" i="2"/>
  <c r="M132" i="2"/>
  <c r="K132" i="2"/>
  <c r="I132" i="2"/>
  <c r="E132" i="2"/>
  <c r="P131" i="2"/>
  <c r="O131" i="2"/>
  <c r="Q131" i="2" s="1"/>
  <c r="R131" i="2" s="1"/>
  <c r="N131" i="2"/>
  <c r="M131" i="2"/>
  <c r="K131" i="2"/>
  <c r="I131" i="2"/>
  <c r="E131" i="2"/>
  <c r="Q130" i="2"/>
  <c r="R130" i="2" s="1"/>
  <c r="P130" i="2"/>
  <c r="O130" i="2"/>
  <c r="N130" i="2"/>
  <c r="M130" i="2"/>
  <c r="K130" i="2"/>
  <c r="I130" i="2"/>
  <c r="E130" i="2"/>
  <c r="P129" i="2"/>
  <c r="O129" i="2"/>
  <c r="Q129" i="2" s="1"/>
  <c r="R129" i="2" s="1"/>
  <c r="N129" i="2"/>
  <c r="M129" i="2"/>
  <c r="K129" i="2"/>
  <c r="I129" i="2"/>
  <c r="E129" i="2"/>
  <c r="P128" i="2"/>
  <c r="O128" i="2"/>
  <c r="Q128" i="2" s="1"/>
  <c r="R128" i="2" s="1"/>
  <c r="N128" i="2"/>
  <c r="M128" i="2"/>
  <c r="K128" i="2"/>
  <c r="I128" i="2"/>
  <c r="E128" i="2"/>
  <c r="P127" i="2"/>
  <c r="O127" i="2"/>
  <c r="Q127" i="2" s="1"/>
  <c r="R127" i="2" s="1"/>
  <c r="N127" i="2"/>
  <c r="M127" i="2"/>
  <c r="K127" i="2"/>
  <c r="I127" i="2"/>
  <c r="E127" i="2"/>
  <c r="Q126" i="2"/>
  <c r="R126" i="2" s="1"/>
  <c r="P126" i="2"/>
  <c r="O126" i="2"/>
  <c r="N126" i="2"/>
  <c r="M126" i="2"/>
  <c r="K126" i="2"/>
  <c r="I126" i="2"/>
  <c r="E126" i="2"/>
  <c r="P125" i="2"/>
  <c r="O125" i="2"/>
  <c r="Q125" i="2" s="1"/>
  <c r="R125" i="2" s="1"/>
  <c r="N125" i="2"/>
  <c r="M125" i="2"/>
  <c r="K125" i="2"/>
  <c r="I125" i="2"/>
  <c r="E125" i="2"/>
  <c r="P124" i="2"/>
  <c r="O124" i="2"/>
  <c r="Q124" i="2" s="1"/>
  <c r="R124" i="2" s="1"/>
  <c r="N124" i="2"/>
  <c r="M124" i="2"/>
  <c r="K124" i="2"/>
  <c r="I124" i="2"/>
  <c r="E124" i="2"/>
  <c r="P123" i="2"/>
  <c r="O123" i="2"/>
  <c r="Q123" i="2" s="1"/>
  <c r="R123" i="2" s="1"/>
  <c r="N123" i="2"/>
  <c r="M123" i="2"/>
  <c r="K123" i="2"/>
  <c r="I123" i="2"/>
  <c r="E123" i="2"/>
  <c r="P122" i="2"/>
  <c r="O122" i="2"/>
  <c r="Q122" i="2" s="1"/>
  <c r="R122" i="2" s="1"/>
  <c r="N122" i="2"/>
  <c r="M122" i="2"/>
  <c r="K122" i="2"/>
  <c r="I122" i="2"/>
  <c r="E122" i="2"/>
  <c r="P121" i="2"/>
  <c r="O121" i="2"/>
  <c r="Q121" i="2" s="1"/>
  <c r="R121" i="2" s="1"/>
  <c r="N121" i="2"/>
  <c r="M121" i="2"/>
  <c r="K121" i="2"/>
  <c r="I121" i="2"/>
  <c r="E121" i="2"/>
  <c r="P120" i="2"/>
  <c r="O120" i="2"/>
  <c r="Q120" i="2" s="1"/>
  <c r="R120" i="2" s="1"/>
  <c r="N120" i="2"/>
  <c r="M120" i="2"/>
  <c r="K120" i="2"/>
  <c r="I120" i="2"/>
  <c r="E120" i="2"/>
  <c r="P119" i="2"/>
  <c r="O119" i="2"/>
  <c r="Q119" i="2" s="1"/>
  <c r="R119" i="2" s="1"/>
  <c r="N119" i="2"/>
  <c r="M119" i="2"/>
  <c r="K119" i="2"/>
  <c r="I119" i="2"/>
  <c r="E119" i="2"/>
  <c r="P118" i="2"/>
  <c r="O118" i="2"/>
  <c r="Q118" i="2" s="1"/>
  <c r="R118" i="2" s="1"/>
  <c r="N118" i="2"/>
  <c r="M118" i="2"/>
  <c r="K118" i="2"/>
  <c r="I118" i="2"/>
  <c r="E118" i="2"/>
  <c r="P117" i="2"/>
  <c r="O117" i="2"/>
  <c r="Q117" i="2" s="1"/>
  <c r="R117" i="2" s="1"/>
  <c r="N117" i="2"/>
  <c r="M117" i="2"/>
  <c r="K117" i="2"/>
  <c r="I117" i="2"/>
  <c r="E117" i="2"/>
  <c r="P116" i="2"/>
  <c r="O116" i="2"/>
  <c r="Q116" i="2" s="1"/>
  <c r="R116" i="2" s="1"/>
  <c r="N116" i="2"/>
  <c r="M116" i="2"/>
  <c r="K116" i="2"/>
  <c r="I116" i="2"/>
  <c r="E116" i="2"/>
  <c r="P115" i="2"/>
  <c r="O115" i="2"/>
  <c r="Q115" i="2" s="1"/>
  <c r="R115" i="2" s="1"/>
  <c r="N115" i="2"/>
  <c r="M115" i="2"/>
  <c r="K115" i="2"/>
  <c r="I115" i="2"/>
  <c r="E115" i="2"/>
  <c r="Q114" i="2"/>
  <c r="R114" i="2" s="1"/>
  <c r="P114" i="2"/>
  <c r="O114" i="2"/>
  <c r="N114" i="2"/>
  <c r="M114" i="2"/>
  <c r="K114" i="2"/>
  <c r="I114" i="2"/>
  <c r="E114" i="2"/>
  <c r="P112" i="2"/>
  <c r="O112" i="2"/>
  <c r="Q112" i="2" s="1"/>
  <c r="R112" i="2" s="1"/>
  <c r="N112" i="2"/>
  <c r="M112" i="2"/>
  <c r="K112" i="2"/>
  <c r="I112" i="2"/>
  <c r="E112" i="2"/>
  <c r="P111" i="2"/>
  <c r="O111" i="2"/>
  <c r="Q111" i="2" s="1"/>
  <c r="R111" i="2" s="1"/>
  <c r="N111" i="2"/>
  <c r="M111" i="2"/>
  <c r="K111" i="2"/>
  <c r="I111" i="2"/>
  <c r="E111" i="2"/>
  <c r="P110" i="2"/>
  <c r="O110" i="2"/>
  <c r="Q110" i="2" s="1"/>
  <c r="R110" i="2" s="1"/>
  <c r="N110" i="2"/>
  <c r="M110" i="2"/>
  <c r="K110" i="2"/>
  <c r="I110" i="2"/>
  <c r="E110" i="2"/>
  <c r="Q109" i="2"/>
  <c r="R109" i="2" s="1"/>
  <c r="P109" i="2"/>
  <c r="O109" i="2"/>
  <c r="N109" i="2"/>
  <c r="M109" i="2"/>
  <c r="K109" i="2"/>
  <c r="I109" i="2"/>
  <c r="E109" i="2"/>
  <c r="P108" i="2"/>
  <c r="O108" i="2"/>
  <c r="Q108" i="2" s="1"/>
  <c r="R108" i="2" s="1"/>
  <c r="N108" i="2"/>
  <c r="M108" i="2"/>
  <c r="K108" i="2"/>
  <c r="I108" i="2"/>
  <c r="E108" i="2"/>
  <c r="P107" i="2"/>
  <c r="O107" i="2"/>
  <c r="Q107" i="2" s="1"/>
  <c r="R107" i="2" s="1"/>
  <c r="N107" i="2"/>
  <c r="M107" i="2"/>
  <c r="K107" i="2"/>
  <c r="I107" i="2"/>
  <c r="E107" i="2"/>
  <c r="P106" i="2"/>
  <c r="O106" i="2"/>
  <c r="Q106" i="2" s="1"/>
  <c r="R106" i="2" s="1"/>
  <c r="N106" i="2"/>
  <c r="M106" i="2"/>
  <c r="K106" i="2"/>
  <c r="I106" i="2"/>
  <c r="E106" i="2"/>
  <c r="Q105" i="2"/>
  <c r="R105" i="2" s="1"/>
  <c r="P105" i="2"/>
  <c r="O105" i="2"/>
  <c r="N105" i="2"/>
  <c r="M105" i="2"/>
  <c r="K105" i="2"/>
  <c r="I105" i="2"/>
  <c r="E105" i="2"/>
  <c r="P104" i="2"/>
  <c r="O104" i="2"/>
  <c r="Q104" i="2" s="1"/>
  <c r="R104" i="2" s="1"/>
  <c r="N104" i="2"/>
  <c r="M104" i="2"/>
  <c r="K104" i="2"/>
  <c r="I104" i="2"/>
  <c r="E104" i="2"/>
  <c r="P103" i="2"/>
  <c r="O103" i="2"/>
  <c r="Q103" i="2" s="1"/>
  <c r="R103" i="2" s="1"/>
  <c r="N103" i="2"/>
  <c r="M103" i="2"/>
  <c r="K103" i="2"/>
  <c r="I103" i="2"/>
  <c r="E103" i="2"/>
  <c r="P102" i="2"/>
  <c r="O102" i="2"/>
  <c r="Q102" i="2" s="1"/>
  <c r="R102" i="2" s="1"/>
  <c r="N102" i="2"/>
  <c r="M102" i="2"/>
  <c r="K102" i="2"/>
  <c r="I102" i="2"/>
  <c r="E102" i="2"/>
  <c r="Q101" i="2"/>
  <c r="R101" i="2" s="1"/>
  <c r="P101" i="2"/>
  <c r="O101" i="2"/>
  <c r="N101" i="2"/>
  <c r="M101" i="2"/>
  <c r="K101" i="2"/>
  <c r="I101" i="2"/>
  <c r="E101" i="2"/>
  <c r="P100" i="2"/>
  <c r="O100" i="2"/>
  <c r="Q100" i="2" s="1"/>
  <c r="R100" i="2" s="1"/>
  <c r="N100" i="2"/>
  <c r="M100" i="2"/>
  <c r="K100" i="2"/>
  <c r="I100" i="2"/>
  <c r="E100" i="2"/>
  <c r="P99" i="2"/>
  <c r="O99" i="2"/>
  <c r="Q99" i="2" s="1"/>
  <c r="R99" i="2" s="1"/>
  <c r="N99" i="2"/>
  <c r="M99" i="2"/>
  <c r="K99" i="2"/>
  <c r="I99" i="2"/>
  <c r="E99" i="2"/>
  <c r="P98" i="2"/>
  <c r="O98" i="2"/>
  <c r="Q98" i="2" s="1"/>
  <c r="R98" i="2" s="1"/>
  <c r="N98" i="2"/>
  <c r="M98" i="2"/>
  <c r="K98" i="2"/>
  <c r="I98" i="2"/>
  <c r="E98" i="2"/>
  <c r="P97" i="2"/>
  <c r="O97" i="2"/>
  <c r="Q97" i="2" s="1"/>
  <c r="R97" i="2" s="1"/>
  <c r="N97" i="2"/>
  <c r="M97" i="2"/>
  <c r="K97" i="2"/>
  <c r="I97" i="2"/>
  <c r="E97" i="2"/>
  <c r="P96" i="2"/>
  <c r="O96" i="2"/>
  <c r="Q96" i="2" s="1"/>
  <c r="R96" i="2" s="1"/>
  <c r="N96" i="2"/>
  <c r="M96" i="2"/>
  <c r="K96" i="2"/>
  <c r="I96" i="2"/>
  <c r="E96" i="2"/>
  <c r="P95" i="2"/>
  <c r="O95" i="2"/>
  <c r="Q95" i="2" s="1"/>
  <c r="R95" i="2" s="1"/>
  <c r="N95" i="2"/>
  <c r="M95" i="2"/>
  <c r="K95" i="2"/>
  <c r="I95" i="2"/>
  <c r="E95" i="2"/>
  <c r="P94" i="2"/>
  <c r="O94" i="2"/>
  <c r="Q94" i="2" s="1"/>
  <c r="R94" i="2" s="1"/>
  <c r="N94" i="2"/>
  <c r="M94" i="2"/>
  <c r="K94" i="2"/>
  <c r="I94" i="2"/>
  <c r="E94" i="2"/>
  <c r="P93" i="2"/>
  <c r="O93" i="2"/>
  <c r="Q93" i="2" s="1"/>
  <c r="R93" i="2" s="1"/>
  <c r="N93" i="2"/>
  <c r="M93" i="2"/>
  <c r="K93" i="2"/>
  <c r="I93" i="2"/>
  <c r="E93" i="2"/>
  <c r="P92" i="2"/>
  <c r="O92" i="2"/>
  <c r="Q92" i="2" s="1"/>
  <c r="R92" i="2" s="1"/>
  <c r="N92" i="2"/>
  <c r="M92" i="2"/>
  <c r="K92" i="2"/>
  <c r="I92" i="2"/>
  <c r="E92" i="2"/>
  <c r="P91" i="2"/>
  <c r="O91" i="2"/>
  <c r="Q91" i="2" s="1"/>
  <c r="R91" i="2" s="1"/>
  <c r="N91" i="2"/>
  <c r="M91" i="2"/>
  <c r="K91" i="2"/>
  <c r="I91" i="2"/>
  <c r="E91" i="2"/>
  <c r="P89" i="2"/>
  <c r="O89" i="2"/>
  <c r="Q89" i="2" s="1"/>
  <c r="R89" i="2" s="1"/>
  <c r="N89" i="2"/>
  <c r="M89" i="2"/>
  <c r="K89" i="2"/>
  <c r="I89" i="2"/>
  <c r="E89" i="2"/>
  <c r="Q88" i="2"/>
  <c r="R88" i="2" s="1"/>
  <c r="P88" i="2"/>
  <c r="O88" i="2"/>
  <c r="N88" i="2"/>
  <c r="M88" i="2"/>
  <c r="K88" i="2"/>
  <c r="I88" i="2"/>
  <c r="E88" i="2"/>
  <c r="P87" i="2"/>
  <c r="O87" i="2"/>
  <c r="Q87" i="2" s="1"/>
  <c r="R87" i="2" s="1"/>
  <c r="N87" i="2"/>
  <c r="M87" i="2"/>
  <c r="K87" i="2"/>
  <c r="I87" i="2"/>
  <c r="E87" i="2"/>
  <c r="P86" i="2"/>
  <c r="O86" i="2"/>
  <c r="Q86" i="2" s="1"/>
  <c r="R86" i="2" s="1"/>
  <c r="N86" i="2"/>
  <c r="M86" i="2"/>
  <c r="K86" i="2"/>
  <c r="I86" i="2"/>
  <c r="E86" i="2"/>
  <c r="P85" i="2"/>
  <c r="O85" i="2"/>
  <c r="Q85" i="2" s="1"/>
  <c r="R85" i="2" s="1"/>
  <c r="N85" i="2"/>
  <c r="M85" i="2"/>
  <c r="K85" i="2"/>
  <c r="I85" i="2"/>
  <c r="E85" i="2"/>
  <c r="Q84" i="2"/>
  <c r="R84" i="2" s="1"/>
  <c r="P84" i="2"/>
  <c r="O84" i="2"/>
  <c r="N84" i="2"/>
  <c r="M84" i="2"/>
  <c r="K84" i="2"/>
  <c r="I84" i="2"/>
  <c r="E84" i="2"/>
  <c r="P83" i="2"/>
  <c r="O83" i="2"/>
  <c r="Q83" i="2" s="1"/>
  <c r="R83" i="2" s="1"/>
  <c r="N83" i="2"/>
  <c r="M83" i="2"/>
  <c r="K83" i="2"/>
  <c r="I83" i="2"/>
  <c r="E83" i="2"/>
  <c r="P82" i="2"/>
  <c r="O82" i="2"/>
  <c r="Q82" i="2" s="1"/>
  <c r="R82" i="2" s="1"/>
  <c r="N82" i="2"/>
  <c r="M82" i="2"/>
  <c r="K82" i="2"/>
  <c r="I82" i="2"/>
  <c r="E82" i="2"/>
  <c r="P81" i="2"/>
  <c r="O81" i="2"/>
  <c r="Q81" i="2" s="1"/>
  <c r="R81" i="2" s="1"/>
  <c r="N81" i="2"/>
  <c r="M81" i="2"/>
  <c r="K81" i="2"/>
  <c r="I81" i="2"/>
  <c r="E81" i="2"/>
  <c r="Q80" i="2"/>
  <c r="R80" i="2" s="1"/>
  <c r="P80" i="2"/>
  <c r="O80" i="2"/>
  <c r="N80" i="2"/>
  <c r="M80" i="2"/>
  <c r="K80" i="2"/>
  <c r="I80" i="2"/>
  <c r="E80" i="2"/>
  <c r="P79" i="2"/>
  <c r="O79" i="2"/>
  <c r="Q79" i="2" s="1"/>
  <c r="R79" i="2" s="1"/>
  <c r="N79" i="2"/>
  <c r="M79" i="2"/>
  <c r="K79" i="2"/>
  <c r="I79" i="2"/>
  <c r="E79" i="2"/>
  <c r="P78" i="2"/>
  <c r="O78" i="2"/>
  <c r="Q78" i="2" s="1"/>
  <c r="R78" i="2" s="1"/>
  <c r="N78" i="2"/>
  <c r="M78" i="2"/>
  <c r="K78" i="2"/>
  <c r="I78" i="2"/>
  <c r="E78" i="2"/>
  <c r="P77" i="2"/>
  <c r="O77" i="2"/>
  <c r="Q77" i="2" s="1"/>
  <c r="R77" i="2" s="1"/>
  <c r="N77" i="2"/>
  <c r="M77" i="2"/>
  <c r="K77" i="2"/>
  <c r="I77" i="2"/>
  <c r="E77" i="2"/>
  <c r="Q75" i="2"/>
  <c r="R75" i="2" s="1"/>
  <c r="P75" i="2"/>
  <c r="O75" i="2"/>
  <c r="N75" i="2"/>
  <c r="M75" i="2"/>
  <c r="K75" i="2"/>
  <c r="I75" i="2"/>
  <c r="E75" i="2"/>
  <c r="P74" i="2"/>
  <c r="O74" i="2"/>
  <c r="Q74" i="2" s="1"/>
  <c r="R74" i="2" s="1"/>
  <c r="N74" i="2"/>
  <c r="M74" i="2"/>
  <c r="K74" i="2"/>
  <c r="I74" i="2"/>
  <c r="E74" i="2"/>
  <c r="P73" i="2"/>
  <c r="O73" i="2"/>
  <c r="Q73" i="2" s="1"/>
  <c r="R73" i="2" s="1"/>
  <c r="N73" i="2"/>
  <c r="M73" i="2"/>
  <c r="K73" i="2"/>
  <c r="I73" i="2"/>
  <c r="E73" i="2"/>
  <c r="P72" i="2"/>
  <c r="O72" i="2"/>
  <c r="Q72" i="2" s="1"/>
  <c r="R72" i="2" s="1"/>
  <c r="N72" i="2"/>
  <c r="M72" i="2"/>
  <c r="K72" i="2"/>
  <c r="I72" i="2"/>
  <c r="E72" i="2"/>
  <c r="P71" i="2"/>
  <c r="O71" i="2"/>
  <c r="Q71" i="2" s="1"/>
  <c r="R71" i="2" s="1"/>
  <c r="N71" i="2"/>
  <c r="M71" i="2"/>
  <c r="K71" i="2"/>
  <c r="I71" i="2"/>
  <c r="E71" i="2"/>
  <c r="P70" i="2"/>
  <c r="O70" i="2"/>
  <c r="Q70" i="2" s="1"/>
  <c r="R70" i="2" s="1"/>
  <c r="N70" i="2"/>
  <c r="M70" i="2"/>
  <c r="K70" i="2"/>
  <c r="I70" i="2"/>
  <c r="E70" i="2"/>
  <c r="P69" i="2"/>
  <c r="O69" i="2"/>
  <c r="Q69" i="2" s="1"/>
  <c r="R69" i="2" s="1"/>
  <c r="N69" i="2"/>
  <c r="M69" i="2"/>
  <c r="K69" i="2"/>
  <c r="I69" i="2"/>
  <c r="E69" i="2"/>
  <c r="P68" i="2"/>
  <c r="O68" i="2"/>
  <c r="Q68" i="2" s="1"/>
  <c r="R68" i="2" s="1"/>
  <c r="N68" i="2"/>
  <c r="M68" i="2"/>
  <c r="K68" i="2"/>
  <c r="I68" i="2"/>
  <c r="E68" i="2"/>
  <c r="P67" i="2"/>
  <c r="O67" i="2"/>
  <c r="Q67" i="2" s="1"/>
  <c r="R67" i="2" s="1"/>
  <c r="N67" i="2"/>
  <c r="M67" i="2"/>
  <c r="K67" i="2"/>
  <c r="I67" i="2"/>
  <c r="E67" i="2"/>
  <c r="P66" i="2"/>
  <c r="O66" i="2"/>
  <c r="Q66" i="2" s="1"/>
  <c r="R66" i="2" s="1"/>
  <c r="N66" i="2"/>
  <c r="M66" i="2"/>
  <c r="K66" i="2"/>
  <c r="I66" i="2"/>
  <c r="E66" i="2"/>
  <c r="P65" i="2"/>
  <c r="O65" i="2"/>
  <c r="Q65" i="2" s="1"/>
  <c r="R65" i="2" s="1"/>
  <c r="N65" i="2"/>
  <c r="M65" i="2"/>
  <c r="K65" i="2"/>
  <c r="I65" i="2"/>
  <c r="E65" i="2"/>
  <c r="P64" i="2"/>
  <c r="O64" i="2"/>
  <c r="Q64" i="2" s="1"/>
  <c r="R64" i="2" s="1"/>
  <c r="N64" i="2"/>
  <c r="M64" i="2"/>
  <c r="K64" i="2"/>
  <c r="I64" i="2"/>
  <c r="E64" i="2"/>
  <c r="Q63" i="2"/>
  <c r="R63" i="2" s="1"/>
  <c r="P63" i="2"/>
  <c r="O63" i="2"/>
  <c r="N63" i="2"/>
  <c r="M63" i="2"/>
  <c r="K63" i="2"/>
  <c r="I63" i="2"/>
  <c r="E63" i="2"/>
  <c r="P62" i="2"/>
  <c r="O62" i="2"/>
  <c r="Q62" i="2" s="1"/>
  <c r="R62" i="2" s="1"/>
  <c r="N62" i="2"/>
  <c r="M62" i="2"/>
  <c r="K62" i="2"/>
  <c r="I62" i="2"/>
  <c r="E62" i="2"/>
  <c r="P61" i="2"/>
  <c r="O61" i="2"/>
  <c r="Q61" i="2" s="1"/>
  <c r="R61" i="2" s="1"/>
  <c r="N61" i="2"/>
  <c r="M61" i="2"/>
  <c r="K61" i="2"/>
  <c r="I61" i="2"/>
  <c r="E61" i="2"/>
  <c r="P60" i="2"/>
  <c r="O60" i="2"/>
  <c r="Q60" i="2" s="1"/>
  <c r="R60" i="2" s="1"/>
  <c r="N60" i="2"/>
  <c r="M60" i="2"/>
  <c r="K60" i="2"/>
  <c r="I60" i="2"/>
  <c r="E60" i="2"/>
  <c r="Q58" i="2"/>
  <c r="R58" i="2" s="1"/>
  <c r="P58" i="2"/>
  <c r="O58" i="2"/>
  <c r="N58" i="2"/>
  <c r="M58" i="2"/>
  <c r="K58" i="2"/>
  <c r="I58" i="2"/>
  <c r="E58" i="2"/>
  <c r="P57" i="2"/>
  <c r="O57" i="2"/>
  <c r="Q57" i="2" s="1"/>
  <c r="R57" i="2" s="1"/>
  <c r="N57" i="2"/>
  <c r="M57" i="2"/>
  <c r="K57" i="2"/>
  <c r="I57" i="2"/>
  <c r="E57" i="2"/>
  <c r="P56" i="2"/>
  <c r="O56" i="2"/>
  <c r="Q56" i="2" s="1"/>
  <c r="R56" i="2" s="1"/>
  <c r="N56" i="2"/>
  <c r="M56" i="2"/>
  <c r="K56" i="2"/>
  <c r="I56" i="2"/>
  <c r="E56" i="2"/>
  <c r="P55" i="2"/>
  <c r="O55" i="2"/>
  <c r="Q55" i="2" s="1"/>
  <c r="R55" i="2" s="1"/>
  <c r="N55" i="2"/>
  <c r="M55" i="2"/>
  <c r="K55" i="2"/>
  <c r="I55" i="2"/>
  <c r="E55" i="2"/>
  <c r="Q54" i="2"/>
  <c r="R54" i="2" s="1"/>
  <c r="P54" i="2"/>
  <c r="O54" i="2"/>
  <c r="N54" i="2"/>
  <c r="M54" i="2"/>
  <c r="K54" i="2"/>
  <c r="I54" i="2"/>
  <c r="E54" i="2"/>
  <c r="P53" i="2"/>
  <c r="O53" i="2"/>
  <c r="Q53" i="2" s="1"/>
  <c r="R53" i="2" s="1"/>
  <c r="N53" i="2"/>
  <c r="M53" i="2"/>
  <c r="K53" i="2"/>
  <c r="I53" i="2"/>
  <c r="E53" i="2"/>
  <c r="P52" i="2"/>
  <c r="O52" i="2"/>
  <c r="Q52" i="2" s="1"/>
  <c r="R52" i="2" s="1"/>
  <c r="N52" i="2"/>
  <c r="M52" i="2"/>
  <c r="K52" i="2"/>
  <c r="I52" i="2"/>
  <c r="E52" i="2"/>
  <c r="P51" i="2"/>
  <c r="O51" i="2"/>
  <c r="Q51" i="2" s="1"/>
  <c r="R51" i="2" s="1"/>
  <c r="N51" i="2"/>
  <c r="M51" i="2"/>
  <c r="K51" i="2"/>
  <c r="I51" i="2"/>
  <c r="E51" i="2"/>
  <c r="Q49" i="2"/>
  <c r="R49" i="2" s="1"/>
  <c r="P49" i="2"/>
  <c r="O49" i="2"/>
  <c r="N49" i="2"/>
  <c r="M49" i="2"/>
  <c r="K49" i="2"/>
  <c r="I49" i="2"/>
  <c r="E49" i="2"/>
  <c r="P48" i="2"/>
  <c r="O48" i="2"/>
  <c r="Q48" i="2" s="1"/>
  <c r="R48" i="2" s="1"/>
  <c r="N48" i="2"/>
  <c r="M48" i="2"/>
  <c r="K48" i="2"/>
  <c r="I48" i="2"/>
  <c r="E48" i="2"/>
  <c r="P47" i="2"/>
  <c r="O47" i="2"/>
  <c r="Q47" i="2" s="1"/>
  <c r="R47" i="2" s="1"/>
  <c r="N47" i="2"/>
  <c r="M47" i="2"/>
  <c r="K47" i="2"/>
  <c r="I47" i="2"/>
  <c r="E47" i="2"/>
  <c r="P46" i="2"/>
  <c r="O46" i="2"/>
  <c r="Q46" i="2" s="1"/>
  <c r="R46" i="2" s="1"/>
  <c r="N46" i="2"/>
  <c r="M46" i="2"/>
  <c r="K46" i="2"/>
  <c r="I46" i="2"/>
  <c r="E46" i="2"/>
  <c r="P45" i="2"/>
  <c r="O45" i="2"/>
  <c r="Q45" i="2" s="1"/>
  <c r="R45" i="2" s="1"/>
  <c r="N45" i="2"/>
  <c r="M45" i="2"/>
  <c r="K45" i="2"/>
  <c r="I45" i="2"/>
  <c r="E45" i="2"/>
  <c r="P44" i="2"/>
  <c r="O44" i="2"/>
  <c r="Q44" i="2" s="1"/>
  <c r="R44" i="2" s="1"/>
  <c r="N44" i="2"/>
  <c r="M44" i="2"/>
  <c r="K44" i="2"/>
  <c r="I44" i="2"/>
  <c r="E44" i="2"/>
  <c r="P43" i="2"/>
  <c r="O43" i="2"/>
  <c r="Q43" i="2" s="1"/>
  <c r="R43" i="2" s="1"/>
  <c r="N43" i="2"/>
  <c r="M43" i="2"/>
  <c r="K43" i="2"/>
  <c r="I43" i="2"/>
  <c r="E43" i="2"/>
  <c r="P42" i="2"/>
  <c r="O42" i="2"/>
  <c r="Q42" i="2" s="1"/>
  <c r="R42" i="2" s="1"/>
  <c r="N42" i="2"/>
  <c r="M42" i="2"/>
  <c r="K42" i="2"/>
  <c r="I42" i="2"/>
  <c r="E42" i="2"/>
  <c r="P41" i="2"/>
  <c r="O41" i="2"/>
  <c r="Q41" i="2" s="1"/>
  <c r="R41" i="2" s="1"/>
  <c r="N41" i="2"/>
  <c r="M41" i="2"/>
  <c r="K41" i="2"/>
  <c r="I41" i="2"/>
  <c r="E41" i="2"/>
  <c r="P40" i="2"/>
  <c r="O40" i="2"/>
  <c r="Q40" i="2" s="1"/>
  <c r="R40" i="2" s="1"/>
  <c r="N40" i="2"/>
  <c r="M40" i="2"/>
  <c r="K40" i="2"/>
  <c r="I40" i="2"/>
  <c r="E40" i="2"/>
  <c r="P39" i="2"/>
  <c r="O39" i="2"/>
  <c r="Q39" i="2" s="1"/>
  <c r="R39" i="2" s="1"/>
  <c r="N39" i="2"/>
  <c r="M39" i="2"/>
  <c r="K39" i="2"/>
  <c r="I39" i="2"/>
  <c r="E39" i="2"/>
  <c r="P38" i="2"/>
  <c r="O38" i="2"/>
  <c r="Q38" i="2" s="1"/>
  <c r="R38" i="2" s="1"/>
  <c r="N38" i="2"/>
  <c r="M38" i="2"/>
  <c r="K38" i="2"/>
  <c r="I38" i="2"/>
  <c r="E38" i="2"/>
  <c r="Q37" i="2"/>
  <c r="R37" i="2" s="1"/>
  <c r="P37" i="2"/>
  <c r="O37" i="2"/>
  <c r="N37" i="2"/>
  <c r="M37" i="2"/>
  <c r="K37" i="2"/>
  <c r="I37" i="2"/>
  <c r="E37" i="2"/>
  <c r="P36" i="2"/>
  <c r="O36" i="2"/>
  <c r="Q36" i="2" s="1"/>
  <c r="R36" i="2" s="1"/>
  <c r="N36" i="2"/>
  <c r="M36" i="2"/>
  <c r="K36" i="2"/>
  <c r="I36" i="2"/>
  <c r="E36" i="2"/>
  <c r="P35" i="2"/>
  <c r="O35" i="2"/>
  <c r="Q35" i="2" s="1"/>
  <c r="R35" i="2" s="1"/>
  <c r="N35" i="2"/>
  <c r="M35" i="2"/>
  <c r="K35" i="2"/>
  <c r="I35" i="2"/>
  <c r="E35" i="2"/>
  <c r="P34" i="2"/>
  <c r="O34" i="2"/>
  <c r="Q34" i="2" s="1"/>
  <c r="R34" i="2" s="1"/>
  <c r="N34" i="2"/>
  <c r="M34" i="2"/>
  <c r="K34" i="2"/>
  <c r="I34" i="2"/>
  <c r="E34" i="2"/>
  <c r="Q33" i="2"/>
  <c r="R33" i="2" s="1"/>
  <c r="P33" i="2"/>
  <c r="O33" i="2"/>
  <c r="N33" i="2"/>
  <c r="M33" i="2"/>
  <c r="K33" i="2"/>
  <c r="I33" i="2"/>
  <c r="E33" i="2"/>
  <c r="P32" i="2"/>
  <c r="O32" i="2"/>
  <c r="Q32" i="2" s="1"/>
  <c r="R32" i="2" s="1"/>
  <c r="N32" i="2"/>
  <c r="M32" i="2"/>
  <c r="K32" i="2"/>
  <c r="I32" i="2"/>
  <c r="E32" i="2"/>
  <c r="P31" i="2"/>
  <c r="O31" i="2"/>
  <c r="Q31" i="2" s="1"/>
  <c r="R31" i="2" s="1"/>
  <c r="N31" i="2"/>
  <c r="M31" i="2"/>
  <c r="K31" i="2"/>
  <c r="I31" i="2"/>
  <c r="E31" i="2"/>
  <c r="P30" i="2"/>
  <c r="O30" i="2"/>
  <c r="Q30" i="2" s="1"/>
  <c r="R30" i="2" s="1"/>
  <c r="N30" i="2"/>
  <c r="M30" i="2"/>
  <c r="K30" i="2"/>
  <c r="I30" i="2"/>
  <c r="E30" i="2"/>
  <c r="Q28" i="2"/>
  <c r="R28" i="2" s="1"/>
  <c r="P28" i="2"/>
  <c r="O28" i="2"/>
  <c r="N28" i="2"/>
  <c r="M28" i="2"/>
  <c r="K28" i="2"/>
  <c r="I28" i="2"/>
  <c r="E28" i="2"/>
  <c r="P27" i="2"/>
  <c r="O27" i="2"/>
  <c r="Q27" i="2" s="1"/>
  <c r="R27" i="2" s="1"/>
  <c r="N27" i="2"/>
  <c r="M27" i="2"/>
  <c r="K27" i="2"/>
  <c r="I27" i="2"/>
  <c r="E27" i="2"/>
  <c r="P26" i="2"/>
  <c r="O26" i="2"/>
  <c r="Q26" i="2" s="1"/>
  <c r="R26" i="2" s="1"/>
  <c r="N26" i="2"/>
  <c r="M26" i="2"/>
  <c r="K26" i="2"/>
  <c r="I26" i="2"/>
  <c r="E26" i="2"/>
  <c r="P24" i="2"/>
  <c r="O24" i="2"/>
  <c r="Q24" i="2" s="1"/>
  <c r="R24" i="2" s="1"/>
  <c r="N24" i="2"/>
  <c r="M24" i="2"/>
  <c r="K24" i="2"/>
  <c r="I24" i="2"/>
  <c r="E24" i="2"/>
  <c r="Q23" i="2"/>
  <c r="R23" i="2" s="1"/>
  <c r="P23" i="2"/>
  <c r="O23" i="2"/>
  <c r="N23" i="2"/>
  <c r="M23" i="2"/>
  <c r="K23" i="2"/>
  <c r="I23" i="2"/>
  <c r="E23" i="2"/>
  <c r="P22" i="2"/>
  <c r="O22" i="2"/>
  <c r="Q22" i="2" s="1"/>
  <c r="R22" i="2" s="1"/>
  <c r="N22" i="2"/>
  <c r="M22" i="2"/>
  <c r="K22" i="2"/>
  <c r="I22" i="2"/>
  <c r="E22" i="2"/>
  <c r="P21" i="2"/>
  <c r="O21" i="2"/>
  <c r="Q21" i="2" s="1"/>
  <c r="R21" i="2" s="1"/>
  <c r="N21" i="2"/>
  <c r="M21" i="2"/>
  <c r="K21" i="2"/>
  <c r="I21" i="2"/>
  <c r="E21" i="2"/>
  <c r="P20" i="2"/>
  <c r="O20" i="2"/>
  <c r="Q20" i="2" s="1"/>
  <c r="R20" i="2" s="1"/>
  <c r="N20" i="2"/>
  <c r="M20" i="2"/>
  <c r="K20" i="2"/>
  <c r="I20" i="2"/>
  <c r="E20" i="2"/>
  <c r="P19" i="2"/>
  <c r="O19" i="2"/>
  <c r="Q19" i="2" s="1"/>
  <c r="R19" i="2" s="1"/>
  <c r="N19" i="2"/>
  <c r="M19" i="2"/>
  <c r="K19" i="2"/>
  <c r="I19" i="2"/>
  <c r="E19" i="2"/>
  <c r="P18" i="2"/>
  <c r="O18" i="2"/>
  <c r="Q18" i="2" s="1"/>
  <c r="R18" i="2" s="1"/>
  <c r="N18" i="2"/>
  <c r="M18" i="2"/>
  <c r="K18" i="2"/>
  <c r="I18" i="2"/>
  <c r="E18" i="2"/>
  <c r="P17" i="2"/>
  <c r="O17" i="2"/>
  <c r="Q17" i="2" s="1"/>
  <c r="R17" i="2" s="1"/>
  <c r="N17" i="2"/>
  <c r="M17" i="2"/>
  <c r="K17" i="2"/>
  <c r="I17" i="2"/>
  <c r="E17" i="2"/>
  <c r="P16" i="2"/>
  <c r="O16" i="2"/>
  <c r="Q16" i="2" s="1"/>
  <c r="R16" i="2" s="1"/>
  <c r="N16" i="2"/>
  <c r="M16" i="2"/>
  <c r="K16" i="2"/>
  <c r="I16" i="2"/>
  <c r="E16" i="2"/>
  <c r="P14" i="2"/>
  <c r="O14" i="2"/>
  <c r="Q14" i="2" s="1"/>
  <c r="R14" i="2" s="1"/>
  <c r="N14" i="2"/>
  <c r="M14" i="2"/>
  <c r="K14" i="2"/>
  <c r="I14" i="2"/>
  <c r="E14" i="2"/>
  <c r="P13" i="2"/>
  <c r="O13" i="2"/>
  <c r="Q13" i="2" s="1"/>
  <c r="R13" i="2" s="1"/>
  <c r="N13" i="2"/>
  <c r="M13" i="2"/>
  <c r="K13" i="2"/>
  <c r="I13" i="2"/>
  <c r="E13" i="2"/>
  <c r="P12" i="2"/>
  <c r="O12" i="2"/>
  <c r="Q12" i="2" s="1"/>
  <c r="R12" i="2" s="1"/>
  <c r="N12" i="2"/>
  <c r="M12" i="2"/>
  <c r="K12" i="2"/>
  <c r="I12" i="2"/>
  <c r="E12" i="2"/>
  <c r="P11" i="2"/>
  <c r="O11" i="2"/>
  <c r="Q11" i="2" s="1"/>
  <c r="R11" i="2" s="1"/>
  <c r="N11" i="2"/>
  <c r="M11" i="2"/>
  <c r="K11" i="2"/>
  <c r="I11" i="2"/>
  <c r="E11" i="2"/>
  <c r="Q10" i="2"/>
  <c r="R10" i="2" s="1"/>
  <c r="P10" i="2"/>
  <c r="O10" i="2"/>
  <c r="N10" i="2"/>
  <c r="M10" i="2"/>
  <c r="K10" i="2"/>
  <c r="I10" i="2"/>
  <c r="E10" i="2"/>
  <c r="P9" i="2"/>
  <c r="O9" i="2"/>
  <c r="Q9" i="2" s="1"/>
  <c r="R9" i="2" s="1"/>
  <c r="N9" i="2"/>
  <c r="M9" i="2"/>
  <c r="K9" i="2"/>
  <c r="I9" i="2"/>
  <c r="E9" i="2"/>
  <c r="P8" i="2"/>
  <c r="O8" i="2"/>
  <c r="Q8" i="2" s="1"/>
  <c r="R8" i="2" s="1"/>
  <c r="N8" i="2"/>
  <c r="M8" i="2"/>
  <c r="K8" i="2"/>
  <c r="I8" i="2"/>
  <c r="E8" i="2"/>
  <c r="P7" i="2"/>
  <c r="O7" i="2"/>
  <c r="Q7" i="2" s="1"/>
  <c r="R7" i="2" s="1"/>
  <c r="N7" i="2"/>
  <c r="M7" i="2"/>
  <c r="K7" i="2"/>
  <c r="I7" i="2"/>
  <c r="E7" i="2"/>
  <c r="P6" i="2"/>
  <c r="O6" i="2"/>
  <c r="Q6" i="2" s="1"/>
  <c r="R6" i="2" s="1"/>
  <c r="N6" i="2"/>
  <c r="M6" i="2"/>
  <c r="K6" i="2"/>
  <c r="I6" i="2"/>
  <c r="E6" i="2"/>
</calcChain>
</file>

<file path=xl/sharedStrings.xml><?xml version="1.0" encoding="utf-8"?>
<sst xmlns="http://schemas.openxmlformats.org/spreadsheetml/2006/main" count="9709" uniqueCount="4977">
  <si>
    <t>РАСЦЕНКИ НЕОСТРОЙ — ПРАВИЛА РАБОТЫ ДЛЯ СОТРУДНИКОВ</t>
  </si>
  <si>
    <t>Версия от 23.10.2026. Все цены — только работа (без материалов и оборудования), руб. без НДС. Документ внутренний, заказчикам и бригадам не передаётся.</t>
  </si>
  <si>
    <t>1. СМЕТЧИКИ И МЕНЕДЖЕРЫ: ЦЕНЫ В КП</t>
  </si>
  <si>
    <t>• В КП ставим «Цену в КП» с листа «Расценки» (голубые колонки) — СПб или Мск по месту объекта. Это наша базовая цена; ниже — только с согласования руководителя.</t>
  </si>
  <si>
    <t>• Материалы считаются отдельно, по счетам поставщиков.</t>
  </si>
  <si>
    <t>• Если заказчик просит ставку нормо-часа (ТО, аварийные и нерегламентные работы) — берём «Нормо-час для заказчика» с листа «Почасовка — ставки и план».</t>
  </si>
  <si>
    <t>• Позиции, подсвеченные оранжевым/красным в колонке «Цена в КП», стоят выше рынка (на 10–30 % и больше 30 %): мы их подняли, потому что на почасовке они убыточны. Если заказчик торгуется именно по ним — снижать можно только при условии, что работу берёт бригада в сделку по целевой цене.</t>
  </si>
  <si>
    <t>• Работы, которой нет в списке, — не придумывать цену: запрос сметчику.</t>
  </si>
  <si>
    <t>2. ПРОРАБЫ И РУКОВОДИТЕЛИ ПРОЕКТОВ: СДЕЛКА С БРИГАДОЙ</t>
  </si>
  <si>
    <t>• «Сделка — цель» — цена за единицу, которую предлагаем бригаде (ИП или самозанятый), уже включая их налог 6 %. С неё начинаем переговоры.</t>
  </si>
  <si>
    <t>• «Сделка — потолок» (цель +15 %) — максимум, который можно согласовать самостоятельно. Выше потолка — только с письменного согласования руководителя.</t>
  </si>
  <si>
    <t>• Платим за принятый объём по акту (м², м, шт, т…), а не за выходы. Мусор, уборка и вынос в пределах рабочей зоны входят в цену.</t>
  </si>
  <si>
    <t>• МАТЕРИАЛЫ И РАСХОДНИКИ — НАШИ, в цену сделки и ставку часа не входят. Материалы — весь комплект по технологии (для плитки: плитка, клей, затирка, грунт, крестики/СВП). Расходники — диски, свёрла, коронки, валики, плёнка, мешки: выдаём по нормативу (% к оплате бригаде — файл «Материалы НЕОСТРОЙ — себестоимость и наценка», лист «Расходники к работам»). Перерасход больше 20 % — объяснение прораба.</t>
  </si>
  <si>
    <t>• Колонка «Как выгоднее отдать» подсказывает, что дешевле для компании: «сделка», «почасовка» или «любой способ».</t>
  </si>
  <si>
    <t>3. ПРОРАБЫ: ПОЧАСОВАЯ ОПЛАТА (если нанимаем человека на часы, а не на объём)</t>
  </si>
  <si>
    <t>• «Ставка часа» — сколько платим за 1 час работы одного человека (ИП/самозанятый, вкл. налог 6 %). Ставки по специальностям — лист «Почасовка — ставки и план».</t>
  </si>
  <si>
    <t>• Смена = 8 оплачиваемых часов (обед не оплачивается). «План на смену» — сколько единиц должен сделать ОДИН человек за смену. Звено из 3 человек — план × 3. Норма уже учитывает перерывы на отдых, подготовку и уборку рабочего места.</t>
  </si>
  <si>
    <t>• План выдаётся строителю перед сменой и проверяется в конце смены. Выполнение меньше 85 % плана два дня подряд — разговор с исполнителем; если не выправляется — переводим работу в сделку или меняем исполнителя.</t>
  </si>
  <si>
    <t>• Если план систематически не выполняется — компания теряет деньги: почасовая оплата рассчитана так, что при 100 % плана мы укладываемся в цену КП.</t>
  </si>
  <si>
    <t>• Почасовку используем прежде всего на мелких, разнородных и аварийных работах (ТО, нерегламент), где объём заранее не посчитать. Объёмные работы — в сделку.</t>
  </si>
  <si>
    <t>4. HR: ПОИСК БРИГАД И СТРОИТЕЛЕЙ</t>
  </si>
  <si>
    <t>• Лист «Для HR»: какие специальности ищем, что они должны уметь, какие допуски нужны, какую ставку и доход в месяц указывать в вакансии и обещать на собеседовании.</t>
  </si>
  <si>
    <t>• В вакансии указываем вилку «от … до …» ставки часа; верх вилки — для опытных со своим инструментом и допусками. Больше верхней границы — только с согласования руководителя.</t>
  </si>
  <si>
    <t>• Бригадам на сделку — в объявлении «работа по расценкам за объём», конкретные цены обсуждает прораб по листу «Расценки» (колонка «Сделка — цель»).</t>
  </si>
  <si>
    <t>ЦВЕТА</t>
  </si>
  <si>
    <t>Голубые колонки — цены для КП (для заказчика). Оранжевые — оплата бригаде в сделку. Зелёные — почасовая оплата и план. Зелёный артикул — работа, недавно добавленная в тарификатор.</t>
  </si>
  <si>
    <t>Подсветка цены в КП: светло-оранжевый — выше рынка до 10 %, оранжевый — на 10–30 %, красный — больше чем на 30 %.</t>
  </si>
  <si>
    <t>ПОРЯДОК ВЫПЛАТ И УСЛОВИЯ (заполняет руководитель)</t>
  </si>
  <si>
    <t>Периодичность выплат бригадам/почасовикам: ____________________ ·  Форма договора: ИП / самозанятый, договор подряда ·  Кто подписывает акты: ____________________</t>
  </si>
  <si>
    <t>РАСЦЕНКИ НЕОСТРОЙ: ЦЕНА В КП, СДЕЛКА С БРИГАДОЙ, ПОЧАСОВАЯ ОПЛАТА И ПЛАН</t>
  </si>
  <si>
    <t>Только работа, руб. без НДС. Колонки F, G, H, J, L — исходные данные из основного тарификатора (цена КП, цель сделки, норма); остальное считается формулами (подсказка формулы — в заголовке), параметры — лист «Параметры», ставки часа — лист «Почасовка — ставки и план».</t>
  </si>
  <si>
    <t>ЦЕНА В КП</t>
  </si>
  <si>
    <t>СДЕЛКА С БРИГАДОЙ (за единицу)</t>
  </si>
  <si>
    <t>ПОЧАСОВАЯ ОПЛАТА И ПЛАН (1 человек)</t>
  </si>
  <si>
    <t>Артикул</t>
  </si>
  <si>
    <t>Вид работ</t>
  </si>
  <si>
    <t>Ед. изм.</t>
  </si>
  <si>
    <t>Код</t>
  </si>
  <si>
    <t>Специальность
(по коду)</t>
  </si>
  <si>
    <t>Цена в КП СПб
(тарификатор)</t>
  </si>
  <si>
    <t>Цена в КП Мск
(тарификатор)</t>
  </si>
  <si>
    <t>Сделка — цель СПб
(тарификатор)</t>
  </si>
  <si>
    <t>Сделка — потолок СПб
= цель × 1,15, не выше цены КП × 0,75</t>
  </si>
  <si>
    <t>Сделка — цель Мск
(тарификатор)</t>
  </si>
  <si>
    <t>Сделка — потолок Мск
= цель × 1,15, не выше цены КП × 0,75</t>
  </si>
  <si>
    <t>Норма, чел.-ч на ед.
(тарификатор)</t>
  </si>
  <si>
    <t>План за 1 час, ед.
= 1 ÷ норма</t>
  </si>
  <si>
    <t>План на смену, ед.
= часы смены ÷ норма</t>
  </si>
  <si>
    <t>Ставка часа СПб, руб/ч
(лист «Почасовка»)</t>
  </si>
  <si>
    <t>Ставка часа Мск, руб/ч
(лист «Почасовка»)</t>
  </si>
  <si>
    <t>Оплата за ед. по часам СПб
= норма × ставка</t>
  </si>
  <si>
    <t>Как выгоднее отдать (СПб)
оплата по часам vs цель сделки, ±10 %</t>
  </si>
  <si>
    <t>1.1 Демонтаж зданий, строений, сооружений</t>
  </si>
  <si>
    <t>1.1.1</t>
  </si>
  <si>
    <t>Разборка покрытий и оснований асфальтобетонных</t>
  </si>
  <si>
    <t>м3</t>
  </si>
  <si>
    <t>BLG</t>
  </si>
  <si>
    <t>1.1.2</t>
  </si>
  <si>
    <t>Демонтаж деревянных зданий и строений без сохранения годного материала</t>
  </si>
  <si>
    <t>м3 здания</t>
  </si>
  <si>
    <t>RAZ</t>
  </si>
  <si>
    <t>1.1.3</t>
  </si>
  <si>
    <t>Демонтаж зданий и строений из металлоконструкций без сохранения годного материала</t>
  </si>
  <si>
    <t>т</t>
  </si>
  <si>
    <t>SVA</t>
  </si>
  <si>
    <t>1.1.4</t>
  </si>
  <si>
    <t>Демонтаж каменных зданий и строений (кирпич, бетон, железобетон) комплексная работа с сохранением годного материала</t>
  </si>
  <si>
    <t>1.1.5</t>
  </si>
  <si>
    <t>Разборка бортовых камней с сохранением камня пригодного для дальнейшего использования</t>
  </si>
  <si>
    <t>мп</t>
  </si>
  <si>
    <t>1.1.6</t>
  </si>
  <si>
    <t>Разборка тротуаров и дорожек из плит бетонных, брусчатки с сохранением пригодных для дальнейшего использования</t>
  </si>
  <si>
    <t>м2</t>
  </si>
  <si>
    <t>1.1.N1</t>
  </si>
  <si>
    <t>Разборка асфальтобетонного покрытия толщиной до 5 см отбойными молотками</t>
  </si>
  <si>
    <t>1.1.N2</t>
  </si>
  <si>
    <t>Демонтаж бетонных дорожных плит (ПАГ, 2П) с погрузкой</t>
  </si>
  <si>
    <t>1.1.N3</t>
  </si>
  <si>
    <t>Демонтаж ограждения из сетки/профлиста со стойками</t>
  </si>
  <si>
    <t>1.2 Демонтажные работы по фасаду</t>
  </si>
  <si>
    <t>1.2.1</t>
  </si>
  <si>
    <t>Отбивка штукатурки с поверхностей стен</t>
  </si>
  <si>
    <t>1.2.2</t>
  </si>
  <si>
    <t>Демонтаж облицовки из профилированного листа без разборки каркаса</t>
  </si>
  <si>
    <t>1.2.3</t>
  </si>
  <si>
    <t>Демонтаж облицовки из профилированного листа с разборкой каркаса</t>
  </si>
  <si>
    <t>1.2.4</t>
  </si>
  <si>
    <t>Демонтаж ограждающих конструкций стен из многослойных панелей (сэндвич-панели)</t>
  </si>
  <si>
    <t>KRO</t>
  </si>
  <si>
    <t>1.2.5</t>
  </si>
  <si>
    <t>Демонтаж ограждающих конструкций стен из панелей "Алюкобонд" и металлического каркаса</t>
  </si>
  <si>
    <t>FAS</t>
  </si>
  <si>
    <t>1.2.6</t>
  </si>
  <si>
    <t>Демонтаж теплоизоляционного слоя стен</t>
  </si>
  <si>
    <t>1.2.7</t>
  </si>
  <si>
    <t>Разборка систем вентилируемых фасадов из плит "Керамогранит" с сохранением каркаса</t>
  </si>
  <si>
    <t>1.2.8</t>
  </si>
  <si>
    <t>Разборка систем вентилируемых фасадов из плит "Керамогранит" с учетом каркаса</t>
  </si>
  <si>
    <t>1.2.N1</t>
  </si>
  <si>
    <t>Демонтаж металлического козырька/навеса над входом</t>
  </si>
  <si>
    <t>1.3 Демонтажные работы по фундаменту</t>
  </si>
  <si>
    <t>1.3.1</t>
  </si>
  <si>
    <t>Разборка бутовых фундаментов</t>
  </si>
  <si>
    <t>1.3.2</t>
  </si>
  <si>
    <t>Разборка бетонных фундаментов</t>
  </si>
  <si>
    <t>1.3.3</t>
  </si>
  <si>
    <t>Разборка железобетонных фундаментов</t>
  </si>
  <si>
    <t>1.4 Демонтажные работы кровли</t>
  </si>
  <si>
    <t>1.4.1</t>
  </si>
  <si>
    <t>Очистка кровли от листвы и мусора</t>
  </si>
  <si>
    <t>1.4.2</t>
  </si>
  <si>
    <t>Очистка снега с крыш при толщине слоя до 20 см</t>
  </si>
  <si>
    <t>1.4.3</t>
  </si>
  <si>
    <t>Очистка снега с крыш, добавлять на каждые следующие 10 см увеличения толщины слоя</t>
  </si>
  <si>
    <t>1.4.4</t>
  </si>
  <si>
    <t>Разборка водосточных ПВХ труб</t>
  </si>
  <si>
    <t>1.4.5</t>
  </si>
  <si>
    <t>Разборка водосточных труб металлических</t>
  </si>
  <si>
    <t>1.4.6</t>
  </si>
  <si>
    <t>Разборка выравнивающих стяжек цементно-песчаных на кровле</t>
  </si>
  <si>
    <t>1.4.7</t>
  </si>
  <si>
    <t>Разборка монолитных перекрытий бетонных</t>
  </si>
  <si>
    <t>1.4.8</t>
  </si>
  <si>
    <t>Разборка монолитных перекрытий железобетонных</t>
  </si>
  <si>
    <t>1.4.9</t>
  </si>
  <si>
    <t>Разборка парапетных решеток</t>
  </si>
  <si>
    <t>1.4.10</t>
  </si>
  <si>
    <t>Разборка покрытий кровель из волнистых и полуволнистых асбестоцементных листов</t>
  </si>
  <si>
    <t>1.4.11</t>
  </si>
  <si>
    <t>Разборка покрытий кровель из листовой стали</t>
  </si>
  <si>
    <t>1.4.12</t>
  </si>
  <si>
    <t>Разборка покрытий кровель из рулонных материалов (добавляется на каждый последующий слой сверх 4х слоев)</t>
  </si>
  <si>
    <t>1.4.13</t>
  </si>
  <si>
    <t>Разборка покрытий кровель из рулонных материалов ковер до 4х слоев</t>
  </si>
  <si>
    <t>1.4.14</t>
  </si>
  <si>
    <t>Разборка поясков, сандриков, желобов, отливов, свесов и т.п. из листовой стали</t>
  </si>
  <si>
    <t>1.4.15</t>
  </si>
  <si>
    <t>Разборка теплоизоляции на кровле из листовых материалов</t>
  </si>
  <si>
    <t>1.4.N1</t>
  </si>
  <si>
    <t>Демонтаж кровельных сэндвич-панелей</t>
  </si>
  <si>
    <t>1.4.N2</t>
  </si>
  <si>
    <t>Демонтаж кровельного профлиста</t>
  </si>
  <si>
    <t>1.4.N3</t>
  </si>
  <si>
    <t>Демонтаж кровельной воронки</t>
  </si>
  <si>
    <t>шт</t>
  </si>
  <si>
    <t>1.4.N4</t>
  </si>
  <si>
    <t>Сбивание сосулек и наледи с карнизов (промальп)</t>
  </si>
  <si>
    <t>1.4.N5</t>
  </si>
  <si>
    <t>Демонтаж зенитного фонаря / люка дымоудаления</t>
  </si>
  <si>
    <t>1.5 Демонтажные работы в здании</t>
  </si>
  <si>
    <t>1.5.1</t>
  </si>
  <si>
    <t>Демонтаж металлических балок, ригелей перекрытия, покрытия</t>
  </si>
  <si>
    <t>тн</t>
  </si>
  <si>
    <t>1.5.2</t>
  </si>
  <si>
    <t>Демонтаж железобетонных конструкций. При объеме более 1 м3 - при помощи отбойных молотков</t>
  </si>
  <si>
    <t>1.5.3</t>
  </si>
  <si>
    <t>Демонтаж бетонных конструкций</t>
  </si>
  <si>
    <t>1.5.4</t>
  </si>
  <si>
    <t>Демонтаж металлоконструкций</t>
  </si>
  <si>
    <t>1.5.5</t>
  </si>
  <si>
    <t>Алмазная резка железобетонных конструкций глубиной 230 мм</t>
  </si>
  <si>
    <t>м реза</t>
  </si>
  <si>
    <t>BET</t>
  </si>
  <si>
    <t>1.5.6</t>
  </si>
  <si>
    <t>На каждые 100 мм увеличения глубины реза добавлять к расценке по алмазной резке ж/б конструкций</t>
  </si>
  <si>
    <t>1.5.N1</t>
  </si>
  <si>
    <t>Алмазное бурение отверстия в ж/б Ø до 100 мм глубиной до 200 мм</t>
  </si>
  <si>
    <t>1.5.N2</t>
  </si>
  <si>
    <t>Демонтаж металлических лестниц, площадок, антресолей</t>
  </si>
  <si>
    <t>1.6 Демонтажные работы полов</t>
  </si>
  <si>
    <t>1.6.1</t>
  </si>
  <si>
    <t>Демонтаж стяжек полов до основания</t>
  </si>
  <si>
    <t>1.6.2</t>
  </si>
  <si>
    <t>Разборка бетонных оснований под полы</t>
  </si>
  <si>
    <t>1.6.3</t>
  </si>
  <si>
    <t>Разборка плинтусов деревянных и из пластмассовых материалов</t>
  </si>
  <si>
    <t>1.6.4</t>
  </si>
  <si>
    <t>Разборка плинтусов цементных и из керамогранита</t>
  </si>
  <si>
    <t>1.6.5</t>
  </si>
  <si>
    <t>Разборка покрытий полов из древесностружечных плит в один слой</t>
  </si>
  <si>
    <t>1.6.6</t>
  </si>
  <si>
    <t>Разборка покрытий полов из керамических плиток</t>
  </si>
  <si>
    <t>1.6.7</t>
  </si>
  <si>
    <t>Разборка покрытий полов из керамогранитных плит толщиной более 15 мм с расчисткой основания от клея</t>
  </si>
  <si>
    <t>1.6.8</t>
  </si>
  <si>
    <t>Разборка покрытий полов из линолеума и релина</t>
  </si>
  <si>
    <t>1.6.9</t>
  </si>
  <si>
    <t>Снятие алюминиевого порога</t>
  </si>
  <si>
    <t>1.6.10</t>
  </si>
  <si>
    <t>Разборка покрытий полов из плиток поливинилхлоридных</t>
  </si>
  <si>
    <t>1.6.11</t>
  </si>
  <si>
    <t>Разборка покрытий полов цементных толщиной до 150 мм</t>
  </si>
  <si>
    <t>1.6.12</t>
  </si>
  <si>
    <t>Разборка покрытий полов из керамогранитных плит толщиной до 15 мм с расчисткой основания от клея</t>
  </si>
  <si>
    <t>1.6.N1</t>
  </si>
  <si>
    <t>Разборка покрытия из ламината / паркетной доски</t>
  </si>
  <si>
    <t>1.6.N2</t>
  </si>
  <si>
    <t>Демонтаж ковролина / ковровой плитки с зачисткой клея</t>
  </si>
  <si>
    <t>1.6.N3</t>
  </si>
  <si>
    <t>Удаление полимерного (эпоксидного/ПУ) покрытия пола фрезерованием</t>
  </si>
  <si>
    <t>PLI</t>
  </si>
  <si>
    <t>1.6.N4</t>
  </si>
  <si>
    <t>Демонтаж фальшпола (съёмного) с опорами</t>
  </si>
  <si>
    <t>1.7 Демонтажные работы потолка</t>
  </si>
  <si>
    <t>1.7.1</t>
  </si>
  <si>
    <t>Демонтаж утеплителя потолков</t>
  </si>
  <si>
    <t>1.7.2</t>
  </si>
  <si>
    <t>Отбивка штукатурки с поверхности потолка</t>
  </si>
  <si>
    <t>OTD</t>
  </si>
  <si>
    <t>1.7.3</t>
  </si>
  <si>
    <t>Разборка облицовки потолков из гипсокартонных листов с каркасом</t>
  </si>
  <si>
    <t>1.7.4</t>
  </si>
  <si>
    <t>Разборка подвесного потолка Грильято включая направляющие</t>
  </si>
  <si>
    <t>1.7.5</t>
  </si>
  <si>
    <t>Разборка подвесной системы потолка</t>
  </si>
  <si>
    <t>1.7.6</t>
  </si>
  <si>
    <t>Разборка подвесных каркасов, подшивных потолков из металлических уголков (не применимо для направляющих)</t>
  </si>
  <si>
    <t>1.7.7</t>
  </si>
  <si>
    <t>Разборка подвесных потолков из металлических кассет, включая направляющие</t>
  </si>
  <si>
    <t>1.7.8</t>
  </si>
  <si>
    <t>Разборка подвесных потолков типа &lt;Армстронг&gt; включая направляющие</t>
  </si>
  <si>
    <t>1.7.9</t>
  </si>
  <si>
    <t>Разборка потолков реечных алюминиевых включая направляющие</t>
  </si>
  <si>
    <t>1.7.10</t>
  </si>
  <si>
    <t>Разборка реечного потолка из ламелей (потолок Кубота)</t>
  </si>
  <si>
    <t>1.7.11</t>
  </si>
  <si>
    <t>Снятие акустических плит, металлокассет подвесного потолка без направляющих</t>
  </si>
  <si>
    <t>1.7.12</t>
  </si>
  <si>
    <t>Снятие облицовки ГКЛ без каркаса</t>
  </si>
  <si>
    <t>1.7.N1</t>
  </si>
  <si>
    <t>Демонтаж натяжного потолка</t>
  </si>
  <si>
    <t>1.8 Демонтажные работы стен и перегородок</t>
  </si>
  <si>
    <t>1.8.1</t>
  </si>
  <si>
    <t>Алмазная резка стены железобетонной глубиной до 10 см</t>
  </si>
  <si>
    <t>1.8.2</t>
  </si>
  <si>
    <t>Алмазная резка стены железобетонной глубиной от 10 см до 40 см</t>
  </si>
  <si>
    <t>1.8.3</t>
  </si>
  <si>
    <t>Демонтаж каркаса под облицовку (только для ГКЛ, ГВЛ,ДСП)</t>
  </si>
  <si>
    <t>1.8.4</t>
  </si>
  <si>
    <t>Демонтаж облицовки стен из ГКЛ, ГВЛ, панелей ПВХ, ДСП (с сохранением каркаса)</t>
  </si>
  <si>
    <t>1.8.5</t>
  </si>
  <si>
    <t>Демонтаж облицовки стен из керамической плитки</t>
  </si>
  <si>
    <t>1.8.6</t>
  </si>
  <si>
    <t>Демонтаж облицовки стен из металлических листов/оцинковки</t>
  </si>
  <si>
    <t>1.8.7</t>
  </si>
  <si>
    <t>Демонтаж утеплителя стен</t>
  </si>
  <si>
    <t>1.8.8</t>
  </si>
  <si>
    <t>Отбивка штукатурки с поверхностей стен, столбов, колонн, пилястр</t>
  </si>
  <si>
    <t>1.8.9</t>
  </si>
  <si>
    <t>Пробивка проема в конструкциях из бетона</t>
  </si>
  <si>
    <t>1.8.10</t>
  </si>
  <si>
    <t>Пробивка проема в конструкциях из кирпича</t>
  </si>
  <si>
    <t>KAM</t>
  </si>
  <si>
    <t>1.8.11</t>
  </si>
  <si>
    <t>Пробивка проема со сплошным выравниванием откосов в перегородках бетонных</t>
  </si>
  <si>
    <t>1.8.12</t>
  </si>
  <si>
    <t>Пробивка проема со сплошным выравниванием откосов в перегородках кирпичных</t>
  </si>
  <si>
    <t>1.8.13</t>
  </si>
  <si>
    <t>Прорезка проемов в перегородках ГКЛ</t>
  </si>
  <si>
    <t>1.8.14</t>
  </si>
  <si>
    <t>Разборка кирпичных перегородок толщиной до 1 кирпича</t>
  </si>
  <si>
    <t>1.8.15</t>
  </si>
  <si>
    <t>Разборка кирпичных стен</t>
  </si>
  <si>
    <t>1.8.16</t>
  </si>
  <si>
    <t>Разборка мелкоблочных стен</t>
  </si>
  <si>
    <t>1.8.17</t>
  </si>
  <si>
    <t>Разборка перегородок из гипсокартонного листа</t>
  </si>
  <si>
    <t>1.8.18</t>
  </si>
  <si>
    <t>Снятие обоев простых и улучшенных</t>
  </si>
  <si>
    <t>1.8.N1</t>
  </si>
  <si>
    <t>Разборка перегородок из пазогребневых / газобетонных блоков до 100 мм</t>
  </si>
  <si>
    <t>1.8.N2</t>
  </si>
  <si>
    <t>Штробление бетонных стен 2×2 см</t>
  </si>
  <si>
    <t>ELM</t>
  </si>
  <si>
    <t>1.8.N3</t>
  </si>
  <si>
    <t>Демонтаж офисных стеклянных перегородок в алюминиевом профиле</t>
  </si>
  <si>
    <t>DVR</t>
  </si>
  <si>
    <t>1.8.N4</t>
  </si>
  <si>
    <t>Удаление масляной краски со стен механически</t>
  </si>
  <si>
    <t>1.9 Демонтажные работы вентиляция/кондиционирование</t>
  </si>
  <si>
    <t>1.9.1</t>
  </si>
  <si>
    <t>Демонтаж антивандальной решетки №1 1000х500х 600</t>
  </si>
  <si>
    <t>1.9.2</t>
  </si>
  <si>
    <t>Демонтаж антивандальной решетки №2 1200х700х1000</t>
  </si>
  <si>
    <t>1.9.3</t>
  </si>
  <si>
    <t>Демонтаж антивандальной решетки №3 1300х900х1500</t>
  </si>
  <si>
    <t>1.9.4</t>
  </si>
  <si>
    <t>Демонтаж вент.оборудования весом от 025 тн до 0.5 тн (вентилятор)</t>
  </si>
  <si>
    <t>VEN</t>
  </si>
  <si>
    <t>1.9.5</t>
  </si>
  <si>
    <t>Демонтаж вент.оборудования весом до 0.1 тн (вентилятор)</t>
  </si>
  <si>
    <t>1.9.6</t>
  </si>
  <si>
    <t>Демонтаж вент.оборудования весом от 01 тн до 0.25 тн (вентилятор)</t>
  </si>
  <si>
    <t>1.9.7</t>
  </si>
  <si>
    <t>Демонтаж вент.оборудования весом свыше 0.5 тн (вентилятор)</t>
  </si>
  <si>
    <t>1.9.8</t>
  </si>
  <si>
    <t>Демонтаж вентиляционной решетки</t>
  </si>
  <si>
    <t>1.9.9</t>
  </si>
  <si>
    <t>Демонтаж внутреннего блока кондиционера от 3 до 5 кВт</t>
  </si>
  <si>
    <t>HOL</t>
  </si>
  <si>
    <t>1.9.10</t>
  </si>
  <si>
    <t>Демонтаж внутреннего блока кондиционера до 3 кВт</t>
  </si>
  <si>
    <t>1.9.11</t>
  </si>
  <si>
    <t>Демонтаж внутреннего блока кондиционера от 5 до 8 кВт</t>
  </si>
  <si>
    <t>1.9.12</t>
  </si>
  <si>
    <t>Демонтаж внутреннего блока кондиционера свыше 8 кВт</t>
  </si>
  <si>
    <t>1.9.13</t>
  </si>
  <si>
    <t>Демонтаж воздуховодов из листовой, оцинкованной стали и алюминия</t>
  </si>
  <si>
    <t>1.9.14</t>
  </si>
  <si>
    <t>Демонтаж воздуховодов из нержавеющей стали</t>
  </si>
  <si>
    <t>1.9.15</t>
  </si>
  <si>
    <t>Демонтаж вытяжного зонта</t>
  </si>
  <si>
    <t>1.9.16</t>
  </si>
  <si>
    <t>Демонтаж накопительной дренажной помпы</t>
  </si>
  <si>
    <t>1.9.17</t>
  </si>
  <si>
    <t>Демонтаж наружного блока кондиционера от 3 до 5 кВт</t>
  </si>
  <si>
    <t>1.9.18</t>
  </si>
  <si>
    <t>Демонтаж наружного блока кондиционера до 3 кВт</t>
  </si>
  <si>
    <t>1.9.19</t>
  </si>
  <si>
    <t>Демонтаж наружного блока кондиционера от 5 до 8 кВт</t>
  </si>
  <si>
    <t>1.9.20</t>
  </si>
  <si>
    <t>Демонтаж наружного блока кондиционера свыше 8 кВт</t>
  </si>
  <si>
    <t>1.9.21</t>
  </si>
  <si>
    <t>Демонтаж проточной дренажной помпы</t>
  </si>
  <si>
    <t>1.9.22</t>
  </si>
  <si>
    <t>Демонтаж смесительного узла</t>
  </si>
  <si>
    <t>SAN</t>
  </si>
  <si>
    <t>1.9.23</t>
  </si>
  <si>
    <t>Демонтаж сплит-систем канального типа до 3 кВт</t>
  </si>
  <si>
    <t>1.9.24</t>
  </si>
  <si>
    <t>Демонтаж сплит-систем канального типа от 3 до 5 кВт</t>
  </si>
  <si>
    <t>1.9.25</t>
  </si>
  <si>
    <t>Демонтаж сплит-систем канального типа от 5 до 8 кВт</t>
  </si>
  <si>
    <t>1.9.26</t>
  </si>
  <si>
    <t>Демонтаж сплит-систем канального типа свыше 8 кВт</t>
  </si>
  <si>
    <t>1.9.27</t>
  </si>
  <si>
    <t>Демонтаж сплит-систем кассетного типа до 3 кВт</t>
  </si>
  <si>
    <t>1.9.28</t>
  </si>
  <si>
    <t>Демонтаж сплит-систем кассетного типа от 3 до 5 кВт</t>
  </si>
  <si>
    <t>1.9.29</t>
  </si>
  <si>
    <t>Демонтаж сплит-систем кассетного типа от 5 до 8 кВт</t>
  </si>
  <si>
    <t>1.9.30</t>
  </si>
  <si>
    <t>Демонтаж сплит-систем кассетного типа свыше 8 кВт</t>
  </si>
  <si>
    <t>1.9.31</t>
  </si>
  <si>
    <t>Демонтаж сплит-систем настенного типа до 3 кВт</t>
  </si>
  <si>
    <t>1.9.32</t>
  </si>
  <si>
    <t>Демонтаж сплит-систем настенного типа от 3 до 5 кВт</t>
  </si>
  <si>
    <t>1.9.33</t>
  </si>
  <si>
    <t>Демонтаж сплит-систем настенного типа от 5 до 8 кВт</t>
  </si>
  <si>
    <t>1.9.34</t>
  </si>
  <si>
    <t>Демонтаж сплит-систем настенного типа свыше 8 кВт</t>
  </si>
  <si>
    <t>1.9.35</t>
  </si>
  <si>
    <t>Демонтаж тепловой завесы водяной длиной до 1000 мм</t>
  </si>
  <si>
    <t>1.9.36</t>
  </si>
  <si>
    <t>Демонтаж тепловой завесы водяной длиной свыше 1000 мм</t>
  </si>
  <si>
    <t>1.9.37</t>
  </si>
  <si>
    <t>Демонтаж тепловой завесы электрической длиной до 1000 мм</t>
  </si>
  <si>
    <t>1.9.38</t>
  </si>
  <si>
    <t>Демонтаж тепловой завесы электрической длиной свыше 1000 мм</t>
  </si>
  <si>
    <t>1.9.39</t>
  </si>
  <si>
    <t>Демонтаж трасс системы кондиционирования</t>
  </si>
  <si>
    <t>1.9.N1</t>
  </si>
  <si>
    <t>Демонтаж гибких воздуховодов</t>
  </si>
  <si>
    <t>1.9.N2</t>
  </si>
  <si>
    <t>Демонтаж круглых воздуховодов Ø до 315 мм</t>
  </si>
  <si>
    <t>1.9.N3</t>
  </si>
  <si>
    <t>Эвакуация хладагента из системы в баллон (сплит/VRF-ветка)</t>
  </si>
  <si>
    <t>1.9.N4</t>
  </si>
  <si>
    <t>Демонтаж фанкойла (кассетного/канального)</t>
  </si>
  <si>
    <t>1.9.N5</t>
  </si>
  <si>
    <t>Демонтаж крышного вентилятора до 100 кг</t>
  </si>
  <si>
    <t>1.10 Демонтажные работы водоснабжение/канализация/отопление (внутренние работы)</t>
  </si>
  <si>
    <t>1.10.1</t>
  </si>
  <si>
    <t>Демонтаж арматуры сливного бачка</t>
  </si>
  <si>
    <t>1.10.2</t>
  </si>
  <si>
    <t>Демонтаж биде</t>
  </si>
  <si>
    <t>1.10.3</t>
  </si>
  <si>
    <t>Демонтаж ванны</t>
  </si>
  <si>
    <t>1.10.4</t>
  </si>
  <si>
    <t>Демонтаж грязевиков/фильтров</t>
  </si>
  <si>
    <t>1.10.5</t>
  </si>
  <si>
    <t>Демонтаж душевого поддона</t>
  </si>
  <si>
    <t>1.10.6</t>
  </si>
  <si>
    <t>Демонтаж железобетонного подиума крепления насоса</t>
  </si>
  <si>
    <t>1.10.7</t>
  </si>
  <si>
    <t>Демонтаж жироуловителя/пескоуловителя</t>
  </si>
  <si>
    <t>1.10.8</t>
  </si>
  <si>
    <t>Демонтаж калориферов массой до 0,1 т (Калорифер водяной КСк 4-9 )</t>
  </si>
  <si>
    <t>1.10.9</t>
  </si>
  <si>
    <t>Демонтаж канализационного насоса Grundfos Sololift2</t>
  </si>
  <si>
    <t>1.10.10</t>
  </si>
  <si>
    <t>Демонтаж канализационной системы типа Multilift</t>
  </si>
  <si>
    <t>1.10.11</t>
  </si>
  <si>
    <t>Демонтаж мойки со смесителем</t>
  </si>
  <si>
    <t>1.10.12</t>
  </si>
  <si>
    <t>Демонтаж муфтовой запорной арматуры</t>
  </si>
  <si>
    <t>1.10.13</t>
  </si>
  <si>
    <t>Демонтаж насоса дренажного погружного</t>
  </si>
  <si>
    <t>1.10.14</t>
  </si>
  <si>
    <t>Демонтаж насоса циркуляционного</t>
  </si>
  <si>
    <t>1.10.15</t>
  </si>
  <si>
    <t>Демонтаж пластинчатых теплообменников для систем отопления и горячего водоснабжения</t>
  </si>
  <si>
    <t>1.10.16</t>
  </si>
  <si>
    <t>Демонтаж пожарного шкафа</t>
  </si>
  <si>
    <t>1.10.17</t>
  </si>
  <si>
    <t>Демонтаж радиатора стального</t>
  </si>
  <si>
    <t>1.10.18</t>
  </si>
  <si>
    <t>Демонтаж радиатора чугунного</t>
  </si>
  <si>
    <t>1.10.19</t>
  </si>
  <si>
    <t>Демонтаж сифона</t>
  </si>
  <si>
    <t>1.10.20</t>
  </si>
  <si>
    <t>Демонтаж сливного трапа</t>
  </si>
  <si>
    <t>1.10.21</t>
  </si>
  <si>
    <t>Демонтаж смесителя без душевой сетки</t>
  </si>
  <si>
    <t>1.10.22</t>
  </si>
  <si>
    <t>Демонтаж смесителя с душевой сеткой</t>
  </si>
  <si>
    <t>1.10.23</t>
  </si>
  <si>
    <t>Демонтаж счетчика-водомерного (тахометрического, импульсного) хвс, гвс (ВСХд)</t>
  </si>
  <si>
    <t>1.10.24</t>
  </si>
  <si>
    <t>Демонтаж тепловентилятора</t>
  </si>
  <si>
    <t>1.10.25</t>
  </si>
  <si>
    <t>Демонтаж тепловой завесы электрической</t>
  </si>
  <si>
    <t>1.10.26</t>
  </si>
  <si>
    <t>Демонтаж трубопроводов стальных/чугунных</t>
  </si>
  <si>
    <t>1.10.27</t>
  </si>
  <si>
    <t>Демонтаж трубупроводов ПВХ /полипропилен</t>
  </si>
  <si>
    <t>1.10.28</t>
  </si>
  <si>
    <t>Демонтаж узла теплового элеваторного</t>
  </si>
  <si>
    <t>1.10.29</t>
  </si>
  <si>
    <t>Демонтаж унитаза или писсуара</t>
  </si>
  <si>
    <t>1.10.30</t>
  </si>
  <si>
    <t>Демонтаж фановых труб</t>
  </si>
  <si>
    <t>1.10.31</t>
  </si>
  <si>
    <t>Демонтаж фланцевой запорной арматуры</t>
  </si>
  <si>
    <t>1.10.32</t>
  </si>
  <si>
    <t>Утилизация жироуловителя с предоставлением акта</t>
  </si>
  <si>
    <t>1.10.N1</t>
  </si>
  <si>
    <t>Демонтаж умывальника (раковины) с сифоном</t>
  </si>
  <si>
    <t>1.10.N2</t>
  </si>
  <si>
    <t>Демонтаж накопительного водонагревателя до 100 л</t>
  </si>
  <si>
    <t>1.10.N3</t>
  </si>
  <si>
    <t>Демонтаж полотенцесушителя</t>
  </si>
  <si>
    <t>1.10.N4</t>
  </si>
  <si>
    <t>Демонтаж инсталляции подвесного унитаза</t>
  </si>
  <si>
    <t>1.11 Демонтажные работы электрооборудования</t>
  </si>
  <si>
    <t>1.11.1</t>
  </si>
  <si>
    <t>Демонтаж шинопровода</t>
  </si>
  <si>
    <t>1.11.2</t>
  </si>
  <si>
    <t>Демонтаж автоматических выключателей/УЗО/Диф 1 Р</t>
  </si>
  <si>
    <t>1.11.3</t>
  </si>
  <si>
    <t>Демонтаж автоматических выключателей/УЗО/Диф 2 Р</t>
  </si>
  <si>
    <t>1.11.4</t>
  </si>
  <si>
    <t>Демонтаж автоматических выключателей/УЗО/Диф 3 Р</t>
  </si>
  <si>
    <t>1.11.5</t>
  </si>
  <si>
    <t>Демонтаж автоматических выключателей/УЗО/Диф 4 Р</t>
  </si>
  <si>
    <t>1.11.6</t>
  </si>
  <si>
    <t>Демонтаж выключателя, розетки</t>
  </si>
  <si>
    <t>шт.</t>
  </si>
  <si>
    <t>1.11.7</t>
  </si>
  <si>
    <t>Демонтаж кабеля сечением до 35 мм2</t>
  </si>
  <si>
    <t>1.11.8</t>
  </si>
  <si>
    <t>Демонтаж кабеля сечением сыше 35 мм2</t>
  </si>
  <si>
    <t>1.11.9</t>
  </si>
  <si>
    <t>Демонтаж кассового узла</t>
  </si>
  <si>
    <t>1.11.10</t>
  </si>
  <si>
    <t>Демонтаж КСО</t>
  </si>
  <si>
    <t>1.11.11</t>
  </si>
  <si>
    <t>Демонтаж лотков кабельных</t>
  </si>
  <si>
    <t>1.11.12</t>
  </si>
  <si>
    <t>Демонтаж магнитного пускателя</t>
  </si>
  <si>
    <t>1.11.13</t>
  </si>
  <si>
    <t>Демонтаж светильника</t>
  </si>
  <si>
    <t>1.11.14</t>
  </si>
  <si>
    <t>Демонтаж светодиодной ленты</t>
  </si>
  <si>
    <t>1.11.15</t>
  </si>
  <si>
    <t>Демонтаж табакошопа</t>
  </si>
  <si>
    <t>1.11.16</t>
  </si>
  <si>
    <t>Демонтаж электросчетчика</t>
  </si>
  <si>
    <t>1.11.17</t>
  </si>
  <si>
    <t>Демонтаж электрощита</t>
  </si>
  <si>
    <t>1.11.N1</t>
  </si>
  <si>
    <t>Демонтаж кабель-канала</t>
  </si>
  <si>
    <t>1.11.N2</t>
  </si>
  <si>
    <t>Демонтаж промышленного светильника (high-bay) на высоте до 12 м</t>
  </si>
  <si>
    <t>1.11.N3</t>
  </si>
  <si>
    <t>Демонтаж распаечной коробки</t>
  </si>
  <si>
    <t>1.11.N4</t>
  </si>
  <si>
    <t>Демонтаж извещателей / оповещателей ОПС</t>
  </si>
  <si>
    <t>1.12 Демонтаж дверных и оконных блоков</t>
  </si>
  <si>
    <t>1.12.1</t>
  </si>
  <si>
    <t>Высверливание личинки замка</t>
  </si>
  <si>
    <t>1.12.2</t>
  </si>
  <si>
    <t>Демонтаж витражного оконного блока из алюминиевого профиля</t>
  </si>
  <si>
    <t>1.12.3</t>
  </si>
  <si>
    <t>Демонтаж витринных стекол М1 6 мм, до 4 м2, с утилизацией</t>
  </si>
  <si>
    <t>1.12.4</t>
  </si>
  <si>
    <t>Демонтаж витринных стекол М1 6 мм, свыше 4 м2, с утилизацией</t>
  </si>
  <si>
    <t>1.12.5</t>
  </si>
  <si>
    <t>Демонтаж двери металлической двухстворчатой</t>
  </si>
  <si>
    <t>1.12.6</t>
  </si>
  <si>
    <t>Демонтаж двери металлической одностворчатой</t>
  </si>
  <si>
    <t>1.12.7</t>
  </si>
  <si>
    <t>Демонтаж деревянной дверной коробки: в каменных стенах с отбивкой штукатурки в откосах со снятием наличников и дверных полотен</t>
  </si>
  <si>
    <t>1.12.8</t>
  </si>
  <si>
    <t>Демонтаж деревянных дверных блоков из перегородок ГКЛ</t>
  </si>
  <si>
    <t>1.12.9</t>
  </si>
  <si>
    <t>Демонтаж доводчика</t>
  </si>
  <si>
    <t>1.12.10</t>
  </si>
  <si>
    <t>Демонтаж дуговой ручки ПВХ двери</t>
  </si>
  <si>
    <t>1.12.11</t>
  </si>
  <si>
    <t>Демонтаж замка врезного металлической двери</t>
  </si>
  <si>
    <t>1.12.12</t>
  </si>
  <si>
    <t>Демонтаж оконного блока из ПВХ профиля</t>
  </si>
  <si>
    <t>1.12.13</t>
  </si>
  <si>
    <t>Демонтаж оконных блоков: в каменных стенах с отбивкой штукатурки в откосах</t>
  </si>
  <si>
    <t>1.12.14</t>
  </si>
  <si>
    <t>Демонтаж ПВХ двери с коробкой</t>
  </si>
  <si>
    <t>1.12.15</t>
  </si>
  <si>
    <t>Демонтаж петли деревянной двери</t>
  </si>
  <si>
    <t>1.12.16</t>
  </si>
  <si>
    <t>Демонтаж петли металлической двери (на сварке)</t>
  </si>
  <si>
    <t>1.12.17</t>
  </si>
  <si>
    <t>Демонтаж петли ПВХ двери</t>
  </si>
  <si>
    <t>1.12.18</t>
  </si>
  <si>
    <t>Демонтаж подоконных досок бетонных</t>
  </si>
  <si>
    <t>1.12.19</t>
  </si>
  <si>
    <t>Демонтаж подоконных досок деревянных</t>
  </si>
  <si>
    <t>1.12.20</t>
  </si>
  <si>
    <t>Демонтаж подоконных досок из ПВХ</t>
  </si>
  <si>
    <t>1.12.21</t>
  </si>
  <si>
    <t>Демонтаж ручки антипаника</t>
  </si>
  <si>
    <t>1.12.22</t>
  </si>
  <si>
    <t>Демонтаж стеклоалюминиевой двери</t>
  </si>
  <si>
    <t>1.12.23</t>
  </si>
  <si>
    <t>Демонтаж стеклопакетов из алюминиевых профилей</t>
  </si>
  <si>
    <t>1.12.24</t>
  </si>
  <si>
    <t>Демонтаж стеклопакетов из ПВХ профилей</t>
  </si>
  <si>
    <t>1.12.25</t>
  </si>
  <si>
    <t>Демонтаж/монтаж полотна металлической двери</t>
  </si>
  <si>
    <t>1.12.26</t>
  </si>
  <si>
    <t>Очистка стекла от тонировочной пленки</t>
  </si>
  <si>
    <t>1.12.27</t>
  </si>
  <si>
    <t>Снятие наличников</t>
  </si>
  <si>
    <t>1.12.N1</t>
  </si>
  <si>
    <t>Демонтаж автоматической раздвижной двери (привод + створки)</t>
  </si>
  <si>
    <t>VOR</t>
  </si>
  <si>
    <t>1.12.N2</t>
  </si>
  <si>
    <t>Демонтаж противопожарной металлической двери EI60 одностворчатой</t>
  </si>
  <si>
    <t>1.12.N3</t>
  </si>
  <si>
    <t>Демонтаж оконных отливов</t>
  </si>
  <si>
    <t>1.13 Демонтаж ворот, рольставней</t>
  </si>
  <si>
    <t>1.13.1</t>
  </si>
  <si>
    <t>1.13.2</t>
  </si>
  <si>
    <t>Демонтаж алюминиевого верхнего профиля</t>
  </si>
  <si>
    <t>1.13.3</t>
  </si>
  <si>
    <t>Демонтаж алюминиевого нижнего профиля</t>
  </si>
  <si>
    <t>1.13.4</t>
  </si>
  <si>
    <t>Демонтаж алюминиевого обрамления калитки</t>
  </si>
  <si>
    <t>1.13.5</t>
  </si>
  <si>
    <t>Демонтаж барабана ворот</t>
  </si>
  <si>
    <t>1.13.6</t>
  </si>
  <si>
    <t>Демонтаж бокового замка части полотна рулонных ворот</t>
  </si>
  <si>
    <t>1.13.7</t>
  </si>
  <si>
    <t>Демонтаж бокового уплотнителя направляющей рулонных ворот</t>
  </si>
  <si>
    <t>1.13.8</t>
  </si>
  <si>
    <t>Демонтаж боковой крышки 137,150,165 короба рулонных ворот</t>
  </si>
  <si>
    <t>1.13.9</t>
  </si>
  <si>
    <t>Демонтаж боковой крышки 180,205,250 короба рулонных ворот</t>
  </si>
  <si>
    <t>1.13.10</t>
  </si>
  <si>
    <t>Демонтаж боковой крышки 300,375 короба рулонных ворот</t>
  </si>
  <si>
    <t>1.13.11</t>
  </si>
  <si>
    <t>Демонтаж боковой крышки панели рулонных ворот</t>
  </si>
  <si>
    <t>1.13.12</t>
  </si>
  <si>
    <t>Демонтаж боковой опоры с роликодержателем рулонных ворот</t>
  </si>
  <si>
    <t>1.13.13</t>
  </si>
  <si>
    <t>Демонтаж болта для центровки пленочных и ПВХ ворот</t>
  </si>
  <si>
    <t>1.13.14</t>
  </si>
  <si>
    <t>Демонтаж вала полнотелого с пазом под шпонку рулонных ворот</t>
  </si>
  <si>
    <t>1.13.15</t>
  </si>
  <si>
    <t>Демонтаж вала пустотелого с пазом под шпонку рулонных ворот</t>
  </si>
  <si>
    <t>1.13.16</t>
  </si>
  <si>
    <t>Демонтаж вала рулонных ворот</t>
  </si>
  <si>
    <t>1.13.17</t>
  </si>
  <si>
    <t>Демонтаж вертикальной направляющей стойки, вертикальный подъем</t>
  </si>
  <si>
    <t>1.13.18</t>
  </si>
  <si>
    <t>Демонтаж вертикальной направляющей стойки, стандартный подъем</t>
  </si>
  <si>
    <t>1.13.19</t>
  </si>
  <si>
    <t>Демонтаж верхнего и нижнего резинового уплотнителя ворот</t>
  </si>
  <si>
    <t>1.13.20</t>
  </si>
  <si>
    <t>Демонтаж верхней опоры створки пленочных и ПВХ ворот</t>
  </si>
  <si>
    <t>1.13.21</t>
  </si>
  <si>
    <t>Демонтаж внешнего бокового уплотнителя секционных ворот</t>
  </si>
  <si>
    <t>1.13.22</t>
  </si>
  <si>
    <t>Демонтаж внешнего верхнего уплотнителя секционных ворот</t>
  </si>
  <si>
    <t>1.13.23</t>
  </si>
  <si>
    <t>Демонтаж ворот секционных и рулонных</t>
  </si>
  <si>
    <t>1.13.24</t>
  </si>
  <si>
    <t>Демонтаж врезного замка калитки ворот, дверей, секционных ворот</t>
  </si>
  <si>
    <t>1.13.25</t>
  </si>
  <si>
    <t>Демонтаж вставки для пружины</t>
  </si>
  <si>
    <t>1.13.26</t>
  </si>
  <si>
    <t>Демонтаж втулки распорной для ролика/роликодержателя</t>
  </si>
  <si>
    <t>1.13.27</t>
  </si>
  <si>
    <t>Демонтаж горизонтальной направляющей ворот</t>
  </si>
  <si>
    <t>1.13.28</t>
  </si>
  <si>
    <t>Демонтаж гребенки полосовых завес</t>
  </si>
  <si>
    <t>1.13.29</t>
  </si>
  <si>
    <t>Демонтаж датчика сигнализации ворот</t>
  </si>
  <si>
    <t>1.13.30</t>
  </si>
  <si>
    <t>Демонтаж жалюзи ворот</t>
  </si>
  <si>
    <t>1.13.31</t>
  </si>
  <si>
    <t>Демонтаж задвижки секционных и рулонных ворот</t>
  </si>
  <si>
    <t>1.13.32</t>
  </si>
  <si>
    <t>Демонтаж замка одностороннего ворот</t>
  </si>
  <si>
    <t>1.13.33</t>
  </si>
  <si>
    <t>Демонтаж защиты вертикальной направляющей стойки</t>
  </si>
  <si>
    <t>1.13.34</t>
  </si>
  <si>
    <t>Демонтаж изгиба направляющей стойки</t>
  </si>
  <si>
    <t>1.13.35</t>
  </si>
  <si>
    <t>Демонтаж калитки ворот</t>
  </si>
  <si>
    <t>1.13.36</t>
  </si>
  <si>
    <t>Демонтаж капсулы для вала</t>
  </si>
  <si>
    <t>1.13.37</t>
  </si>
  <si>
    <t>Демонтаж кардана ворот</t>
  </si>
  <si>
    <t>1.13.38</t>
  </si>
  <si>
    <t>Демонтаж каретки подвижной рулонных ворот</t>
  </si>
  <si>
    <t>1.13.39</t>
  </si>
  <si>
    <t>Демонтаж консоли крепления вала рулонных ворот</t>
  </si>
  <si>
    <t>1.13.40</t>
  </si>
  <si>
    <t>Демонтаж концевого опорного кронштейна вала рулонных ворот</t>
  </si>
  <si>
    <t>1.13.41</t>
  </si>
  <si>
    <t>Демонтаж кронштейна для крепления навального привода</t>
  </si>
  <si>
    <t>1.13.42</t>
  </si>
  <si>
    <t>Демонтаж кронштейна для поддержки пружины</t>
  </si>
  <si>
    <t>1.13.43</t>
  </si>
  <si>
    <t>Демонтаж кронштейна каретки подвижной рулонных ворот</t>
  </si>
  <si>
    <t>1.13.44</t>
  </si>
  <si>
    <t>Демонтаж механической части ручного управления рулонных ворот</t>
  </si>
  <si>
    <t>1.13.45</t>
  </si>
  <si>
    <t>Демонтаж направляющего ролика рулонных ворот</t>
  </si>
  <si>
    <t>1.13.46</t>
  </si>
  <si>
    <t>Демонтаж направляющей профиля рулонных ворот</t>
  </si>
  <si>
    <t>1.13.47</t>
  </si>
  <si>
    <t>Демонтаж натяжного ролика цепи цепного редуктора рулонных ворот</t>
  </si>
  <si>
    <t>1.13.48</t>
  </si>
  <si>
    <t>Демонтаж нижнего углового кронштейна</t>
  </si>
  <si>
    <t>1.13.49</t>
  </si>
  <si>
    <t>Демонтаж нижней опоры створки пленочных и ПВХ ворот</t>
  </si>
  <si>
    <t>1.13.50</t>
  </si>
  <si>
    <t>Демонтаж одной полосы пленочных завес</t>
  </si>
  <si>
    <t>1.13.51</t>
  </si>
  <si>
    <t>Демонтаж окончаний пружин ворот</t>
  </si>
  <si>
    <t>1.13.52</t>
  </si>
  <si>
    <t>Демонтаж Омега профиля от прогибания панели</t>
  </si>
  <si>
    <t>1.13.53</t>
  </si>
  <si>
    <t>Демонтаж панели калитки ворот</t>
  </si>
  <si>
    <t>1.13.54</t>
  </si>
  <si>
    <t>Демонтаж панели металлического ограждения из металлического профиля (без демонтажа стоек)</t>
  </si>
  <si>
    <t>1.13.55</t>
  </si>
  <si>
    <t>Демонтаж петли калитки ворот</t>
  </si>
  <si>
    <t>1.13.56</t>
  </si>
  <si>
    <t>Демонтаж пластиковой направляющей полотна рулонных ворот</t>
  </si>
  <si>
    <t>1.13.57</t>
  </si>
  <si>
    <t>Демонтаж пластины полосовой завесы</t>
  </si>
  <si>
    <t>1.13.58</t>
  </si>
  <si>
    <t>Демонтаж пленочных и ПВХ распашных ворот одна створка</t>
  </si>
  <si>
    <t>1.13.59</t>
  </si>
  <si>
    <t>Демонтаж подшипника ворот</t>
  </si>
  <si>
    <t>1.13.60</t>
  </si>
  <si>
    <t>Демонтаж подшипника опорного кронштейна для вала рулонных ворот</t>
  </si>
  <si>
    <t>1.13.61</t>
  </si>
  <si>
    <t>Демонтаж полотна пленочных и пластиковых ворот 1 створка</t>
  </si>
  <si>
    <t>створка</t>
  </si>
  <si>
    <t>1.13.62</t>
  </si>
  <si>
    <t>Демонтаж порога калитки ворот</t>
  </si>
  <si>
    <t>1.13.63</t>
  </si>
  <si>
    <t>Демонтаж привода секционных/рулонных ворот</t>
  </si>
  <si>
    <t>1.13.64</t>
  </si>
  <si>
    <t>Демонтаж промежуточного кронштейна для вала рулонных ворот</t>
  </si>
  <si>
    <t>1.13.65</t>
  </si>
  <si>
    <t>Демонтаж промежуточной петли секционных ворот</t>
  </si>
  <si>
    <t>1.13.66</t>
  </si>
  <si>
    <t>Демонтаж пружинновозвратого механизма пленочных и ПВХ ворот</t>
  </si>
  <si>
    <t>1.13.67</t>
  </si>
  <si>
    <t>Демонтаж пружинноинерционного механизма ворот</t>
  </si>
  <si>
    <t>1.13.68</t>
  </si>
  <si>
    <t>Демонтаж пружины</t>
  </si>
  <si>
    <t>1.13.69</t>
  </si>
  <si>
    <t>Демонтаж пружины пружинновозвратного механизма пленочных и ПВХ ворот</t>
  </si>
  <si>
    <t>1.13.70</t>
  </si>
  <si>
    <t>Демонтаж раздвижной решётки</t>
  </si>
  <si>
    <t>1.13.71</t>
  </si>
  <si>
    <t>Демонтаж редуктора ворот</t>
  </si>
  <si>
    <t>1.13.72</t>
  </si>
  <si>
    <t>Демонтаж ригельного замка и запорной полосы ворот</t>
  </si>
  <si>
    <t>1.13.73</t>
  </si>
  <si>
    <t>Демонтаж ригеля блокирующего и тяговой пружины ворот</t>
  </si>
  <si>
    <t>1.13.74</t>
  </si>
  <si>
    <t>Демонтаж ролика ворот</t>
  </si>
  <si>
    <t>1.13.75</t>
  </si>
  <si>
    <t>Демонтаж рольставней</t>
  </si>
  <si>
    <t>1.13.76</t>
  </si>
  <si>
    <t>Демонтаж ручки для поднятия полотна ворот</t>
  </si>
  <si>
    <t>1.13.77</t>
  </si>
  <si>
    <t>Демонтаж ручки на двери калитки секционных ворот</t>
  </si>
  <si>
    <t>1.13.78</t>
  </si>
  <si>
    <t>Демонтаж ручки ПВХ ворот</t>
  </si>
  <si>
    <t>1.13.79</t>
  </si>
  <si>
    <t>Демонтаж ручного цепного редуктора ворот</t>
  </si>
  <si>
    <t>1.13.80</t>
  </si>
  <si>
    <t>Демонтаж секционной панели секционных ворот</t>
  </si>
  <si>
    <t>1.13.81</t>
  </si>
  <si>
    <t>Демонтаж смотрового окна пленочных и ПВХ ворот</t>
  </si>
  <si>
    <t>1.13.82</t>
  </si>
  <si>
    <t>Демонтаж соединительной муфты вала ворот</t>
  </si>
  <si>
    <t>1.13.83</t>
  </si>
  <si>
    <t>Демонтаж стоек металлического ограждения из металлического профиля</t>
  </si>
  <si>
    <t>1.13.84</t>
  </si>
  <si>
    <t>Демонтаж стопора полотна рулонных ворот</t>
  </si>
  <si>
    <t>1.13.85</t>
  </si>
  <si>
    <t>Демонтаж суппорта с подшипником ворот</t>
  </si>
  <si>
    <t>1.13.86</t>
  </si>
  <si>
    <t>Демонтаж троса ворот</t>
  </si>
  <si>
    <t>1.13.87</t>
  </si>
  <si>
    <t>Демонтаж укосины для фиксации горизонтальной направляющей ворот</t>
  </si>
  <si>
    <t>1.13.88</t>
  </si>
  <si>
    <t>Демонтаж уплотнителя концевого профиля рулонных ворот</t>
  </si>
  <si>
    <t>1.13.89</t>
  </si>
  <si>
    <t>Демонтаж уплотнителя направляющего профиля рулонных ворот</t>
  </si>
  <si>
    <t>1.13.90</t>
  </si>
  <si>
    <t>Демонтаж устройства от обрыва пружины ворот</t>
  </si>
  <si>
    <t>1.13.91</t>
  </si>
  <si>
    <t>Демонтаж устройства от обрыва троса ворот</t>
  </si>
  <si>
    <t>1.13.92</t>
  </si>
  <si>
    <t>Демонтаж фиксирующей гайки нижней опоры пленочных и ПВХ ворот</t>
  </si>
  <si>
    <t>1.13.93</t>
  </si>
  <si>
    <t>Демонтаж части полотна рулонных ворот</t>
  </si>
  <si>
    <t>1.13.94</t>
  </si>
  <si>
    <t>Демонтаж шины скользящей для доводчика</t>
  </si>
  <si>
    <t>1.13.95</t>
  </si>
  <si>
    <t>Демонтаж шпильки барабана ворот</t>
  </si>
  <si>
    <t>1.13.96</t>
  </si>
  <si>
    <t>Демонтаж электромеханической части управления рулонных ворот</t>
  </si>
  <si>
    <t>1.13.97</t>
  </si>
  <si>
    <t>Демонтаж полотна скоростных ворот DYNACO среднетемпературного исполнения размером 3,0*5,0 м</t>
  </si>
  <si>
    <t>1.13.N1</t>
  </si>
  <si>
    <t>Демонтаж уравнительной платформы (докового левеллера)</t>
  </si>
  <si>
    <t>PSM</t>
  </si>
  <si>
    <t>1.13.N2</t>
  </si>
  <si>
    <t>Демонтаж докового герметизатора / шелтера</t>
  </si>
  <si>
    <t>1.13.N3</t>
  </si>
  <si>
    <t>Демонтаж откатных ворот (полотно + консольная система)</t>
  </si>
  <si>
    <t>1.13.N4</t>
  </si>
  <si>
    <t>Демонтаж шлагбаума</t>
  </si>
  <si>
    <t>1.13.N5</t>
  </si>
  <si>
    <t>Разгрузка торсионных пружин секционных ворот перед демонтажем/ремонтом</t>
  </si>
  <si>
    <t>компл</t>
  </si>
  <si>
    <t>2 Прочие</t>
  </si>
  <si>
    <t>2.1</t>
  </si>
  <si>
    <t>Установка анкера от 92-112 мм в готовые отверстия</t>
  </si>
  <si>
    <t>2.2</t>
  </si>
  <si>
    <t>Установка анкера 16х200 с учетом сверления отверстий в бетоне</t>
  </si>
  <si>
    <t>2.3</t>
  </si>
  <si>
    <t>Сверление вертикальных отверстий в бетонных конструкциях полов перфоратором глубиной 200 мм диаметром 20-50 мм</t>
  </si>
  <si>
    <t>2.4</t>
  </si>
  <si>
    <t>На каждые 10 мм изменения глубины сверления добавлять или исключать к расценке по потолкам диаметр 20 -50мм</t>
  </si>
  <si>
    <t>2.5</t>
  </si>
  <si>
    <t>Сверление вертикальных отверстий в бетонных конструкциях полов перфоратором глубиной 100 мм диаметром 55-100 мм</t>
  </si>
  <si>
    <t>2.6</t>
  </si>
  <si>
    <t>На каждые 10 мм изменения глубины сверления добавлять или исключать к расценке по потолкам диаметр 55-100 мм</t>
  </si>
  <si>
    <t>2.7</t>
  </si>
  <si>
    <t>Сверление вертикальных отверстий в железобетонных конструкциях потолков перфоратором глубиной 200 мм диаметром 20-50 мм</t>
  </si>
  <si>
    <t>2.8</t>
  </si>
  <si>
    <t>На каждые 10 мм изменения глубины сверления добавлять или исключать к расценке по потолкам 20-50 мм</t>
  </si>
  <si>
    <t>2.9</t>
  </si>
  <si>
    <t>Сверление вертикальных отверстий в железобетонных конструкциях потолков перфоратором глубиной 200 мм диаметром 55-100 мм</t>
  </si>
  <si>
    <t>2.10</t>
  </si>
  <si>
    <t>На каждые 10 мм изменения глубины сверления добавлять или исключать к расценке по потолкам 55-100 мм</t>
  </si>
  <si>
    <t>2.11</t>
  </si>
  <si>
    <t>Пробивка в бетонных потолках толщиной 100 мм отверстий площадью до 100 см2</t>
  </si>
  <si>
    <t>2.12</t>
  </si>
  <si>
    <t>Пробивка в кирпичных стенах отверстия диаметром до 25 мм при толщине стен до 38 см</t>
  </si>
  <si>
    <t>2.13</t>
  </si>
  <si>
    <t>Пробивка в кирпичных стенах отверстия диаметром до 50 мм при толщине стен до 38 см</t>
  </si>
  <si>
    <t>2.14</t>
  </si>
  <si>
    <t>Пробивка в бетонных стенах и полах толщиной 100 мм отверстия площадью до 100 см2</t>
  </si>
  <si>
    <t>2.15</t>
  </si>
  <si>
    <t>Сверление отверстий, для прохода кабеля сквозь стену (ГКЛ)</t>
  </si>
  <si>
    <t>2.16</t>
  </si>
  <si>
    <t>Сверление кольцевыми алмазными сверлами в железобетон. констр-циях с применением охлажд. жидкости вертикального отверстия глубиной 200 мм диаметром 110 мм</t>
  </si>
  <si>
    <t>2.17</t>
  </si>
  <si>
    <t>Пробивка в бетонных конструкциях полов и стен борозды площадью сечения до 20 см2</t>
  </si>
  <si>
    <t>2.18</t>
  </si>
  <si>
    <t>Бурение отверстия в стене для фреоновой трассы до 0,6м (кирпич)</t>
  </si>
  <si>
    <t>2.19</t>
  </si>
  <si>
    <t>Бурение отверстия в стене для фреоновой трассы до 0,6м (бетон)</t>
  </si>
  <si>
    <t>2.20</t>
  </si>
  <si>
    <t>Бурение отверстия в стене для фреоновой трассы до 0,6м (монолит)</t>
  </si>
  <si>
    <t>2.21</t>
  </si>
  <si>
    <t>Бурение отверстия в стене для фреоновой трассы свыше 0,6м (кирпич)</t>
  </si>
  <si>
    <t>2.22</t>
  </si>
  <si>
    <t>Бурение отверстия в стене для фреоновой трассы свыше 0,6м (бетон)</t>
  </si>
  <si>
    <t>2.23</t>
  </si>
  <si>
    <t>Бурение отверстия в стене для фреоновой трассы свыше 0,6м (монолит)</t>
  </si>
  <si>
    <t>2.24</t>
  </si>
  <si>
    <t>Бурение отверстия в стене для дренажной трассы до 0,6м (кирпич) D25мм</t>
  </si>
  <si>
    <t>2.25</t>
  </si>
  <si>
    <t>Бурение отверстия в стене для дренажной трассы до 0,6м (бетон) D25мм</t>
  </si>
  <si>
    <t>2.26</t>
  </si>
  <si>
    <t>Бурение отверстия в стене для дренажной трассы до 0,6м (монолит) D25мм</t>
  </si>
  <si>
    <t>2.27</t>
  </si>
  <si>
    <t>Бурение отв. в стене для дренажной трассы свыше 0,6м (кирпич) D25мм</t>
  </si>
  <si>
    <t>2.28</t>
  </si>
  <si>
    <t>Бурение отв. в стене для дренажной трассы свыше 0,6м (бетон) D25мм</t>
  </si>
  <si>
    <t>2.29</t>
  </si>
  <si>
    <t>Бурение отв. в стене для дренажной трассы свыше 0,6м (монолит) D25мм</t>
  </si>
  <si>
    <t>2.30</t>
  </si>
  <si>
    <t>Пробивка в бетонных конструкциях полов и стен борозды площадью сечения до 50 см2</t>
  </si>
  <si>
    <t>2.31</t>
  </si>
  <si>
    <t>Пробивка в бетонных конструкциях полов и стен борозды площадью сечения до 100 см2</t>
  </si>
  <si>
    <t>2.32</t>
  </si>
  <si>
    <t>Покрытие полиэтиленовой пленкой поверхности шкафов, дверных блоков, офисной мебели, оборудования и т.п.</t>
  </si>
  <si>
    <t>2.33</t>
  </si>
  <si>
    <t>Покрытие полиэтиленовой пленкой поверхности полов</t>
  </si>
  <si>
    <t>2.34</t>
  </si>
  <si>
    <t>Спуск (подъем) крупногабаритного оборудования вручную</t>
  </si>
  <si>
    <t>2.35</t>
  </si>
  <si>
    <t>Перенос крупногабаритного оборудования вручную</t>
  </si>
  <si>
    <t>2.36</t>
  </si>
  <si>
    <t>Демонтаж стеллажей</t>
  </si>
  <si>
    <t>2.37</t>
  </si>
  <si>
    <t>Вывоз мусора контейнерами</t>
  </si>
  <si>
    <t>TEX</t>
  </si>
  <si>
    <t>2.38</t>
  </si>
  <si>
    <t>Очистка помещений от строительного мусора</t>
  </si>
  <si>
    <t>2.39</t>
  </si>
  <si>
    <t>Затаривание строительного мусора в мешки</t>
  </si>
  <si>
    <t>2.40</t>
  </si>
  <si>
    <t>Очистка вручную поверхности от красок с земли и лесов (без установки лесов) (1 м2)</t>
  </si>
  <si>
    <t>2.41</t>
  </si>
  <si>
    <t>Наполнение щебнем, битым стеклом и проч. материалами в помещении (заделка мест прохода грызунов)</t>
  </si>
  <si>
    <t>2.42</t>
  </si>
  <si>
    <t>Монтаж строительных лесов с учетом последующего демонтажа лесов</t>
  </si>
  <si>
    <t>2.43</t>
  </si>
  <si>
    <t>Тура вышка марки ВСП 250: аренда на 5суток с доставкой на объект и вывозом с объекта</t>
  </si>
  <si>
    <t>сутки</t>
  </si>
  <si>
    <t>2.44</t>
  </si>
  <si>
    <t>Демонтаж/монтаж датчиков пожарной сигнализации</t>
  </si>
  <si>
    <t>2.45</t>
  </si>
  <si>
    <t>Демонтаж/монтаж рекламы</t>
  </si>
  <si>
    <t>2.46</t>
  </si>
  <si>
    <t>Демонтаж/монтаж стеллажей (перенос)</t>
  </si>
  <si>
    <t>2.47</t>
  </si>
  <si>
    <t>Аренда спецтехники (автовышка, манипулятор)</t>
  </si>
  <si>
    <t>смена</t>
  </si>
  <si>
    <t>2.48</t>
  </si>
  <si>
    <t>Мыте фасада</t>
  </si>
  <si>
    <t>2.49</t>
  </si>
  <si>
    <t>Мыте витринных стекол</t>
  </si>
  <si>
    <t>2.50</t>
  </si>
  <si>
    <t>Установка колесоотбойников металлических</t>
  </si>
  <si>
    <t>2.51</t>
  </si>
  <si>
    <t>Установка колесоотбойников резиновых</t>
  </si>
  <si>
    <t>2.52</t>
  </si>
  <si>
    <t>Доставка материала а/т г/п до 0,5 тн в пределах города</t>
  </si>
  <si>
    <t>усл</t>
  </si>
  <si>
    <t>2.53</t>
  </si>
  <si>
    <t>Доставка материала а/т г/п до 1,5 тн в пределах города</t>
  </si>
  <si>
    <t>2.54</t>
  </si>
  <si>
    <t>Доставка материала а/т г/п до 3,5 тн в пределах города</t>
  </si>
  <si>
    <t>2.55</t>
  </si>
  <si>
    <t>Доставка материала а/т г/п до 5 тн в пределах города</t>
  </si>
  <si>
    <t>2.56</t>
  </si>
  <si>
    <t>Доставка материала а/т г/п до 0,5 тн по области до 30 км</t>
  </si>
  <si>
    <t>2.57</t>
  </si>
  <si>
    <t>Доставка материала а/т г/п до 1,5 тн по области до 30 км</t>
  </si>
  <si>
    <t>2.58</t>
  </si>
  <si>
    <t>Доставка материала а/т г/п до 3,5 тн по области до 30 км</t>
  </si>
  <si>
    <t>2.59</t>
  </si>
  <si>
    <t>Доставка материала а/т г/п до 5 тн по области до 30 км</t>
  </si>
  <si>
    <t>2.60</t>
  </si>
  <si>
    <t>Доставка материала а/т г/п до 0,5 тн по области от 30 до 70 км</t>
  </si>
  <si>
    <t>2.61</t>
  </si>
  <si>
    <t>Доставка материала а/т г/п до 1,5 тн по области от 30 до 70 км</t>
  </si>
  <si>
    <t>2.62</t>
  </si>
  <si>
    <t>Доставка материала а/т г/п до 3,5 тн по области от 30 до 70 км</t>
  </si>
  <si>
    <t>2.63</t>
  </si>
  <si>
    <t>Доставка материала а/т г/п до 5 тн по области от 30 до 70 км</t>
  </si>
  <si>
    <t>2.64</t>
  </si>
  <si>
    <t>Доставка материала а/т г/п до 0,5 тн по области от 70 до 120 км</t>
  </si>
  <si>
    <t>2.65</t>
  </si>
  <si>
    <t>Доставка материала а/т г/п до 1,5 тн по области от 70 до 120 км</t>
  </si>
  <si>
    <t>2.66</t>
  </si>
  <si>
    <t>Доставка материала а/т г/п до 3,5 тн по области от 70 до 120 км</t>
  </si>
  <si>
    <t>2.67</t>
  </si>
  <si>
    <t>Доставка материала а/т г/п до 5 тн по области от 70 до 120 км</t>
  </si>
  <si>
    <t>2.68</t>
  </si>
  <si>
    <t>Выезд на объект для дефектовки работ (при условии общей сметной стоимости работ не более 30 000 руб) в пределах города</t>
  </si>
  <si>
    <t>2.69</t>
  </si>
  <si>
    <t>Выезд на объект для мелкого ремонта и дефектовки работ (при условии общей сметной стоимости работ не более 30 000 руб) по области до 40 км</t>
  </si>
  <si>
    <t>2.70</t>
  </si>
  <si>
    <t>Выезд на объект для мелкого ремонта и дефектовки работ (при условии общей сметной стоимости работ не более 30 000 руб) по области от 40 до 80 км</t>
  </si>
  <si>
    <t>2.71</t>
  </si>
  <si>
    <t>Выезд на объект для мелкого ремонта и дефектовки работ (при условии общей сметной стоимости работ не более 30 000 руб) по области от 80 до 120 км</t>
  </si>
  <si>
    <t>2.72</t>
  </si>
  <si>
    <t>Мелкая работа, расценки на которую отсутствуют в прайс-листе (с указанием в примечании что именно и в каком объеме выполняют)</t>
  </si>
  <si>
    <t>ч/ч</t>
  </si>
  <si>
    <t>2.73</t>
  </si>
  <si>
    <t>Демонтаж стойки стеллажного оборудования высотой 8,5-10,5 м на РЦ</t>
  </si>
  <si>
    <t>2.74</t>
  </si>
  <si>
    <t>Устройство ограждения из металлической оцинкованной сетки</t>
  </si>
  <si>
    <t>2.75</t>
  </si>
  <si>
    <t>Демонтаж балки стеллажного оборудования на РЦ (2,8 м, высотой 115)</t>
  </si>
  <si>
    <t>2.76</t>
  </si>
  <si>
    <t>Демонтаж защиты стойки стеллажного оборудования на РЦ</t>
  </si>
  <si>
    <t>2.77</t>
  </si>
  <si>
    <t>Монтаж стойки стеллажного оборудования высотой 8,5-10,5 м на РЦ</t>
  </si>
  <si>
    <t>2.78</t>
  </si>
  <si>
    <t>Монтаж балки стеллажного оборудования на РЦ (2,8 м, высотой 115)</t>
  </si>
  <si>
    <t>2.79</t>
  </si>
  <si>
    <t>Монтаж защиты стойки стеллажного оборудования на РЦ</t>
  </si>
  <si>
    <t>2.N1</t>
  </si>
  <si>
    <t>Алмазное бурение отверстий Ø до 82 мм в ж/б (за 1 см глубины)</t>
  </si>
  <si>
    <t>см</t>
  </si>
  <si>
    <t>2.N2</t>
  </si>
  <si>
    <t>Алмазное бурение отверстий Ø 132–202 мм в ж/б (за 1 см глубины)</t>
  </si>
  <si>
    <t>2.N3</t>
  </si>
  <si>
    <t>Алмазная резка ж/б стен толщиной до 200 мм стенорезной машиной</t>
  </si>
  <si>
    <t>2.N4</t>
  </si>
  <si>
    <t>Погрузка строительного мусора в контейнер вручную</t>
  </si>
  <si>
    <t>2.N5</t>
  </si>
  <si>
    <t>Вынос строительного мусора по лестнице (на 1 этаж)</t>
  </si>
  <si>
    <t>2.N6</t>
  </si>
  <si>
    <t>Устройство временной пылезащитной перегородки (стойки + плёнка) с демонтажем</t>
  </si>
  <si>
    <t>2.N7</t>
  </si>
  <si>
    <t>Финишная уборка помещений после СМР</t>
  </si>
  <si>
    <t>2.N8</t>
  </si>
  <si>
    <t>Аренда мини-погрузчика с оператором</t>
  </si>
  <si>
    <t>2.N9</t>
  </si>
  <si>
    <t>Аренда ножничного подъёмника 10–12 м с доставкой</t>
  </si>
  <si>
    <t>2.N10</t>
  </si>
  <si>
    <t>Установка металлических столбиков-ограничителей на анкерах</t>
  </si>
  <si>
    <t>3 Земляные работы</t>
  </si>
  <si>
    <t>3.1</t>
  </si>
  <si>
    <t>Водоотлив из котлована, траншеи</t>
  </si>
  <si>
    <t>3.2</t>
  </si>
  <si>
    <t>Засыпка вручную траншей, пазух котлованов и ям</t>
  </si>
  <si>
    <t>ZEM</t>
  </si>
  <si>
    <t>3.3</t>
  </si>
  <si>
    <t>Засыпка траншей и котлованов с перемещением грунта до 5 м бульдозерами</t>
  </si>
  <si>
    <t>3.4</t>
  </si>
  <si>
    <t>Перемещение грунта бульдозерами</t>
  </si>
  <si>
    <t>3.5</t>
  </si>
  <si>
    <t>Планировка откосов вручную</t>
  </si>
  <si>
    <t>3.6</t>
  </si>
  <si>
    <t>Планировка откосов и полотна выемок механизированным способом</t>
  </si>
  <si>
    <t>3.7</t>
  </si>
  <si>
    <t>Разработка грунта в отвал экскаваторами</t>
  </si>
  <si>
    <t>3.8</t>
  </si>
  <si>
    <t>Разработка грунта вручную</t>
  </si>
  <si>
    <t>3.9</t>
  </si>
  <si>
    <t>Уплотнение грунта вибрационными катками</t>
  </si>
  <si>
    <t>3.10</t>
  </si>
  <si>
    <t>Уплотнение грунта пневматическими трамбовками</t>
  </si>
  <si>
    <t>3.N1</t>
  </si>
  <si>
    <t>Погрузка грунта экскаватором в автосамосвалы</t>
  </si>
  <si>
    <t>3.N2</t>
  </si>
  <si>
    <t>Вывоз грунта самосвалом до 30 км с размещением на полигоне</t>
  </si>
  <si>
    <t>3.N3</t>
  </si>
  <si>
    <t>Обратная засыпка пазух мини-погрузчиком с послойным уплотнением виброплитой</t>
  </si>
  <si>
    <t>3.N4</t>
  </si>
  <si>
    <t>Разработка грунта мини-экскаватором в стеснённых условиях действующего объекта</t>
  </si>
  <si>
    <t>3.N5</t>
  </si>
  <si>
    <t>Укладка геотекстиля</t>
  </si>
  <si>
    <t>4.1 Устройство основания под фундаменты</t>
  </si>
  <si>
    <t>4.1.1</t>
  </si>
  <si>
    <t>Устройство гравийного основания под фундаменты</t>
  </si>
  <si>
    <t>4.1.2</t>
  </si>
  <si>
    <t>Устройство песчаного основания под фундаменты</t>
  </si>
  <si>
    <t>4.1.3</t>
  </si>
  <si>
    <t>Устройство щебеночного основания под фундаменты</t>
  </si>
  <si>
    <t>4.2 Устройство фундаментов</t>
  </si>
  <si>
    <t>4.2.1</t>
  </si>
  <si>
    <t>Монтаж/демонтаж крупнощитовой и мелокщитовой опалубки</t>
  </si>
  <si>
    <t>4.2.2</t>
  </si>
  <si>
    <t>Устройство бетонной подготовки</t>
  </si>
  <si>
    <t>4.2.3</t>
  </si>
  <si>
    <t>Армирование подстилающих слоев и набетонок</t>
  </si>
  <si>
    <t>4.2.4</t>
  </si>
  <si>
    <t>Устройство железобетонных фундаментов общего назначения объемом до 5м3</t>
  </si>
  <si>
    <t>4.2.5</t>
  </si>
  <si>
    <t>Устройство бетонных ступеней</t>
  </si>
  <si>
    <t>4.2.6</t>
  </si>
  <si>
    <t>Устройство бетонных площадок крыльца</t>
  </si>
  <si>
    <t>4.2.7</t>
  </si>
  <si>
    <t>Устройство бетонных фундаментов общего назначения под колонны объемом до 3 м3</t>
  </si>
  <si>
    <t>4.2.8</t>
  </si>
  <si>
    <t>Устройство железобетонных фундаментов общего назначения под колонны объемом до 3 м3</t>
  </si>
  <si>
    <t>4.2.9</t>
  </si>
  <si>
    <t>Устройство фундаментных плит железобетонных плоских</t>
  </si>
  <si>
    <t>4.2.10</t>
  </si>
  <si>
    <t>Устройство ленточных бетонных фундаментов</t>
  </si>
  <si>
    <t>4.2.N1</t>
  </si>
  <si>
    <t>Приём бетона с бетононасоса с вибрированием</t>
  </si>
  <si>
    <t>4.2.N2</t>
  </si>
  <si>
    <t>Подливка безусадочным раствором под базы колонн и оборудования</t>
  </si>
  <si>
    <t>4.2.N3</t>
  </si>
  <si>
    <t>Устройство деформационного шва (пенополиэтилен/доска)</t>
  </si>
  <si>
    <t>4.3 Установка закладных деталей</t>
  </si>
  <si>
    <t>4.3.1</t>
  </si>
  <si>
    <t>Установка металлических закладных деталей массой до 20 кг</t>
  </si>
  <si>
    <t>4.3.2</t>
  </si>
  <si>
    <t>Установка металлических закладных деталей массой до 5 кг</t>
  </si>
  <si>
    <t>4.3.N1</t>
  </si>
  <si>
    <t>Установка анкерных (фундаментных) болтов по шаблону</t>
  </si>
  <si>
    <t>4.4 Гидроизоляция фундаментов</t>
  </si>
  <si>
    <t>4.4.1</t>
  </si>
  <si>
    <t>Гидроизоляция боковая обмазочная битумная в 2 слоя</t>
  </si>
  <si>
    <t>4.4.2</t>
  </si>
  <si>
    <t>Гидроизоляция поверхностей мастиковй полиуретановой в 2 слоя</t>
  </si>
  <si>
    <t>4.4.3</t>
  </si>
  <si>
    <t>Горизонтальная цементная гидроизоляция стен, фундаментов с жидким стеклом</t>
  </si>
  <si>
    <t>4.4.4</t>
  </si>
  <si>
    <t>Оклеечная горизонтальная гидроизоляция стен, фундаментов в 2 слоя</t>
  </si>
  <si>
    <t>4.4.N1</t>
  </si>
  <si>
    <t>Утепление фундамента плитами ЭППС на клею/мастике</t>
  </si>
  <si>
    <t>4.4.N2</t>
  </si>
  <si>
    <t>Проникающая гидроизоляция (Пенетрон) в 2 слоя с подготовкой</t>
  </si>
  <si>
    <t>4.4.N3</t>
  </si>
  <si>
    <t>Устройство профилированной мембраны (Planter)</t>
  </si>
  <si>
    <t>5.1 Металлоконструкции</t>
  </si>
  <si>
    <t>5.1.1</t>
  </si>
  <si>
    <t>Изготовление и монтаж связей и распорок из одиночных и парных уголков, гнутосварных профилей и др.</t>
  </si>
  <si>
    <t>5.1.2</t>
  </si>
  <si>
    <t>СВЕРЛЕНИЕ ОТВЕРСТИЙ ЭЛЕКТРОДРЕЛЬЮ В МЕТАЛЛИЧЕСКИХ ДЕТАЛЯХ, ДИАМЕТР ОТВЕРСТИЯ ДО 10 ММ</t>
  </si>
  <si>
    <t>5.1.3</t>
  </si>
  <si>
    <t>СВЕРЛЕНИЕ ОТВЕРСТИЙ ЭЛЕКТРОДРЕЛЬЮ В МЕТАЛЛИЧЕСКИХ ДЕТАЛЯХ, ДИАМЕТР ОТВЕРСТИЯ БОЛЕЕ 10 ММ</t>
  </si>
  <si>
    <t>5.1.4</t>
  </si>
  <si>
    <t>Монтаж металлоконструкций</t>
  </si>
  <si>
    <t>5.1.5</t>
  </si>
  <si>
    <t>Усиление сборных железобетонных конструкций установкой каркасов, сеток и стержневой арматуры</t>
  </si>
  <si>
    <t>5.1.6</t>
  </si>
  <si>
    <t>Усиление сборных железобетонных конструкций установкой каркасов, сеток и стержневой арматуры. Решетка, "клетка" 150х150 мм. Толщина прутка 16-18 мм.</t>
  </si>
  <si>
    <t>5.1.7</t>
  </si>
  <si>
    <t>Монтаж усиливающей обвязки проемов, усиление створок проемов коридора</t>
  </si>
  <si>
    <t>5.1.8</t>
  </si>
  <si>
    <t>Изготовление и монтаж лестниц металлических служебных, эвакуационных, пожарных</t>
  </si>
  <si>
    <t>5.1.9</t>
  </si>
  <si>
    <t>Изготовление и монтаж площадок с настилом и ограждением из листовой, рифленой, просечной и круглой стали</t>
  </si>
  <si>
    <t>5.1.10</t>
  </si>
  <si>
    <t>Устройство металлических ограждений с поручнями из поливинилхлорида</t>
  </si>
  <si>
    <t>5.1.11</t>
  </si>
  <si>
    <t>Устройство металлических ограждений с поручнями из нержавеющей трубы на сварке</t>
  </si>
  <si>
    <t>5.1.12</t>
  </si>
  <si>
    <t>Установка ограждения на крыльце и вдоль пандуса из нержавеющий стали на сварке</t>
  </si>
  <si>
    <t>5.1.13</t>
  </si>
  <si>
    <t>Защита стен и колонн готовыми отбойниками снизу</t>
  </si>
  <si>
    <t>5.1.14</t>
  </si>
  <si>
    <t>Защита стен и колонн отбойниками снизу - металлическая нержавеющая труба диаметром 50мм</t>
  </si>
  <si>
    <t>5.1.15</t>
  </si>
  <si>
    <t>Устройство ограждений для стен из профильной металлической трубы сечением до 100 мм</t>
  </si>
  <si>
    <t>5.1.16</t>
  </si>
  <si>
    <t>Устройство ограждений из металлической трубы (стойки+поручень - диаметр 50мм; ригель - диаметр 25мм)</t>
  </si>
  <si>
    <t>5.1.17</t>
  </si>
  <si>
    <t>Козырек из проф. листа оцинкованного с устройством металлического каркаса</t>
  </si>
  <si>
    <t>5.1.18</t>
  </si>
  <si>
    <t>Козырек из проф. листа оцинкованного по готовому каркасу</t>
  </si>
  <si>
    <t>5.1.19</t>
  </si>
  <si>
    <t>Правка и ремонт металлоконструкций с применением сварочных работ</t>
  </si>
  <si>
    <t>н/ч</t>
  </si>
  <si>
    <t>5.1.20</t>
  </si>
  <si>
    <t>Облицовка ворот/фасадов/стен стальным профилированным листом по готовому каркасу</t>
  </si>
  <si>
    <t>5.1.21</t>
  </si>
  <si>
    <t>Постановка болтов строительных с гайками и шайбами</t>
  </si>
  <si>
    <t>5.1.22</t>
  </si>
  <si>
    <t>Резка стального профилированного,гладкого и рифленного листа</t>
  </si>
  <si>
    <t>5.1.23</t>
  </si>
  <si>
    <t>Вырезка отверстий в металлоконструкциях при толщине стали до 5 мм</t>
  </si>
  <si>
    <t>5.1.24</t>
  </si>
  <si>
    <t>Масляная окраска металлических поверхностей: стальных балок, труб и т.п., количество окрасок 2</t>
  </si>
  <si>
    <t>5.1.25</t>
  </si>
  <si>
    <t>Установка решеток металлических защитных в проемы</t>
  </si>
  <si>
    <t>5.1.N1</t>
  </si>
  <si>
    <t>Демонтаж металлоконструкций с резкой</t>
  </si>
  <si>
    <t>5.1.N2</t>
  </si>
  <si>
    <t>Установка химических анкеров М12–М16 в бетон со сверлением</t>
  </si>
  <si>
    <t>5.1.N3</t>
  </si>
  <si>
    <t>Установка отбойника колонн из трубы Ø108 с заполнением бетоном</t>
  </si>
  <si>
    <t>5.1.N4</t>
  </si>
  <si>
    <t>Ручная дуговая сварка, шов катет до 6 мм</t>
  </si>
  <si>
    <t>5.2 Огнезащита металлоконструкций</t>
  </si>
  <si>
    <t>5.2.1</t>
  </si>
  <si>
    <t>Очистка поверхности щетками перед покраской</t>
  </si>
  <si>
    <t>5.2.2</t>
  </si>
  <si>
    <t>Обеспыливание поверхности перед покраской</t>
  </si>
  <si>
    <t>5.2.3</t>
  </si>
  <si>
    <t>Обезжиривание поверхности уйат-спиритом перед покраской</t>
  </si>
  <si>
    <t>5.2.4</t>
  </si>
  <si>
    <t>Огрунтовка металлических поверхностей за 1 раз грунтовкой</t>
  </si>
  <si>
    <t>5.2.5</t>
  </si>
  <si>
    <t>Окраска металлических огрунтованных поверхностей эмалью</t>
  </si>
  <si>
    <t>5.2.6</t>
  </si>
  <si>
    <t>Огнезащитное покрытие (при толщине покрытия 1,7 мм) метал. огрунтованных поверхностей материалом огнезащитным</t>
  </si>
  <si>
    <t>5.2.7</t>
  </si>
  <si>
    <t>Огнезащитное покрытие (при толщине покрытия 0,8мм) метал. огрунтованных поверхностей материалом огнезащитным</t>
  </si>
  <si>
    <t>5.2.N1</t>
  </si>
  <si>
    <t>Огнезащитное покрытие R90 тонкослойным составом (≈3 мм)</t>
  </si>
  <si>
    <t>5.2.N2</t>
  </si>
  <si>
    <t>Абразивоструйная очистка металла до Sa2,5</t>
  </si>
  <si>
    <t>5.3 Монолитные железобетонные конструкции</t>
  </si>
  <si>
    <t>5.3.1</t>
  </si>
  <si>
    <t>Устройство перекрытия по профнастилу</t>
  </si>
  <si>
    <t>5.3.2</t>
  </si>
  <si>
    <t>Устройство железобетонных перекрытий по стальным балкам</t>
  </si>
  <si>
    <t>5.3.3</t>
  </si>
  <si>
    <t>Устройство пандуса из монолитного железобетона</t>
  </si>
  <si>
    <t>5.3.4</t>
  </si>
  <si>
    <t>Устройство монолитных бетонных прямоугольных приямков под перегрузочные мосты, весы и во входных группах</t>
  </si>
  <si>
    <t>5.3.N1</t>
  </si>
  <si>
    <t>Вязка и установка арматуры монолитных стен и плит</t>
  </si>
  <si>
    <t>5.3.N2</t>
  </si>
  <si>
    <t>Устройство монолитного фундамента под оборудование (чиллер/конденсатор)</t>
  </si>
  <si>
    <t>5.4 Устройство наружных стен</t>
  </si>
  <si>
    <t>5.4.1</t>
  </si>
  <si>
    <t>Кладка стен из бетонных блоков</t>
  </si>
  <si>
    <t>5.4.2</t>
  </si>
  <si>
    <t>Устройство стен из сэндвич-панелей заводской готовности (под ключ)</t>
  </si>
  <si>
    <t>5.4.3</t>
  </si>
  <si>
    <t>Кладка наружных стен из кирпича</t>
  </si>
  <si>
    <t>5.4.4</t>
  </si>
  <si>
    <t>Армирование кладки стен</t>
  </si>
  <si>
    <t>5.4.5</t>
  </si>
  <si>
    <t>Укладка перемычек железобетонных</t>
  </si>
  <si>
    <t>5.4.N1</t>
  </si>
  <si>
    <t>Кладка наружных стен из газобетонных блоков толщиной 300–400 мм</t>
  </si>
  <si>
    <t>5.4.N2</t>
  </si>
  <si>
    <t>Заделка проёмов кирпичом</t>
  </si>
  <si>
    <t>5.4.N3</t>
  </si>
  <si>
    <t>Демонтаж стеновых сэндвич-панелей</t>
  </si>
  <si>
    <t>5.5 Отделочные работы по фасаду</t>
  </si>
  <si>
    <t>5.5.1</t>
  </si>
  <si>
    <t>Облицовка профлистом с устройством каркаса</t>
  </si>
  <si>
    <t>5.5.2</t>
  </si>
  <si>
    <t>Облицовка профлистом по готовому каркасу</t>
  </si>
  <si>
    <t>5.5.3</t>
  </si>
  <si>
    <t>Отделка фасада композитными материалами в комплексе (раскладка,каркас, пароизоляция, леса)</t>
  </si>
  <si>
    <t>5.5.4</t>
  </si>
  <si>
    <t>Утепление фасада плитами из пенополистирола</t>
  </si>
  <si>
    <t>5.5.5</t>
  </si>
  <si>
    <t>Утепление фасада плитами минераловатными</t>
  </si>
  <si>
    <t>5.5.6</t>
  </si>
  <si>
    <t>Монтаж фриза из стали с полимерным покрытием, с устройством каркаса</t>
  </si>
  <si>
    <t>5.5.7</t>
  </si>
  <si>
    <t>Герметизация межпанельных швов силиконовым герметиком</t>
  </si>
  <si>
    <t>5.5.8</t>
  </si>
  <si>
    <t>Наружная облицовка поверхности стен сайдингом металлическим с полимерным покрытием с устройством металлического каркаса и теплоизоляционного слоя</t>
  </si>
  <si>
    <t>5.5.9</t>
  </si>
  <si>
    <t>Отделка фасада металлокассетами</t>
  </si>
  <si>
    <t>5.5.10</t>
  </si>
  <si>
    <t>Отделка фасада линеарными панелями</t>
  </si>
  <si>
    <t>5.5.11</t>
  </si>
  <si>
    <t>Монтаж навесного вентфасада с облицовкой керамогранитом размером 60*60</t>
  </si>
  <si>
    <t>5.5.12</t>
  </si>
  <si>
    <t>Монтаж навесного вентфасада с облицовкой керамогранитом размером 30*30</t>
  </si>
  <si>
    <t>5.5.13</t>
  </si>
  <si>
    <t>Наружная облицовка по бетонной поверхности керамическими отдельными плитками на цементном растворе стен</t>
  </si>
  <si>
    <t>5.5.14</t>
  </si>
  <si>
    <t>Покрытие поверхностей стен грунтовкой за 2 раза</t>
  </si>
  <si>
    <t>5.5.15</t>
  </si>
  <si>
    <t>Штукатурка стен фасадов декоративным раствором улучшенная</t>
  </si>
  <si>
    <t>5.5.16</t>
  </si>
  <si>
    <t>Сплошное выравнивание штукатурки гладких фасадов (толщина до 10 мм)</t>
  </si>
  <si>
    <t>5.5.17</t>
  </si>
  <si>
    <t>Сплошная шпатлевка стен гладких фасадов</t>
  </si>
  <si>
    <t>5.5.18</t>
  </si>
  <si>
    <t>Окраска стен фасадов акриловыми составами с лесов вручную по подготовленной поверхности за два раза</t>
  </si>
  <si>
    <t>5.5.19</t>
  </si>
  <si>
    <t>Облицовка наружных стен керамическим лицевым кирпичем (толщина 120 мм)</t>
  </si>
  <si>
    <t>5.5.20</t>
  </si>
  <si>
    <t>Покрытие стен грунтовкой глубокого проникновения в один слой</t>
  </si>
  <si>
    <t>5.5.N1</t>
  </si>
  <si>
    <t>Монтаж подсистемы навесного вентфасада (оцинкованная сталь)</t>
  </si>
  <si>
    <t>5.5.N2</t>
  </si>
  <si>
    <t>Монтаж утеплителя НВФ из минплит в 2 слоя с ветрозащитой и дюбелями</t>
  </si>
  <si>
    <t>5.5.N3</t>
  </si>
  <si>
    <t>Монтаж отливов и откосов из оцинкованной стали</t>
  </si>
  <si>
    <t>5.5.N4</t>
  </si>
  <si>
    <t>Армирование фасада стеклосеткой с базовым слоем</t>
  </si>
  <si>
    <t>5.6 Ремонтные работы по фасаду</t>
  </si>
  <si>
    <t>5.6.1</t>
  </si>
  <si>
    <t>Замена элементов облицовки вентилируемого фасада без замены каркаса: керамогранитных плит, количество плит в одном месте свыше 5 шт</t>
  </si>
  <si>
    <t>5.6.2</t>
  </si>
  <si>
    <t>Замена элементов облицовки вентилируемого фасада без замены каркаса: керамогранитных плит, количество плит в одном месте до 5 шт</t>
  </si>
  <si>
    <t>5.6.3</t>
  </si>
  <si>
    <t>Правка направляющих подвесной фасадной системы (Металлокассеты,Керамогранита,Композитных панелей)</t>
  </si>
  <si>
    <t>5.6.4</t>
  </si>
  <si>
    <t>Замена плитки "Керамогранит" на вентфасаде</t>
  </si>
  <si>
    <t>5.6.5</t>
  </si>
  <si>
    <t>Замена поврежденных сэндвич-панелей</t>
  </si>
  <si>
    <t>5.6.6</t>
  </si>
  <si>
    <t>Монатж упорного резинового бампера</t>
  </si>
  <si>
    <t>5.6.7</t>
  </si>
  <si>
    <t>Ремонт штукатурки гладких фасадов (отбивка и выравнивание местами)</t>
  </si>
  <si>
    <t>5.6.N1</t>
  </si>
  <si>
    <t>Герметизация швов сэндвич-панелей с удалением старого герметика (промальп)</t>
  </si>
  <si>
    <t>5.6.N2</t>
  </si>
  <si>
    <t>Замена нащельников и фасонных элементов фасада</t>
  </si>
  <si>
    <t>6.1 Устройство кровли</t>
  </si>
  <si>
    <t>6.1.1</t>
  </si>
  <si>
    <t>Герметизация швов примыканий битумно-каучуковым герметиком</t>
  </si>
  <si>
    <t>6.1.2</t>
  </si>
  <si>
    <t>Заполнение гофров профнастила керамзитобетоном на высоту волны</t>
  </si>
  <si>
    <t>6.1.3</t>
  </si>
  <si>
    <t>Монтаж кровельного покрытия из профилированного листа по готовому основанию</t>
  </si>
  <si>
    <t>6.1.4</t>
  </si>
  <si>
    <t>Настил из сотового поликарбоната</t>
  </si>
  <si>
    <t>6.1.5</t>
  </si>
  <si>
    <t>Обрешетка кровельная из досок и брусков с прозорами</t>
  </si>
  <si>
    <t>6.1.6</t>
  </si>
  <si>
    <t>Огрунтовка основания праймером</t>
  </si>
  <si>
    <t>6.1.7</t>
  </si>
  <si>
    <t>Ремонт наплавляемой кровли отдельными местами с демонтажем старого ковра, частичным ремонтом стяжки и устройством 1 слоя рулонной кровли</t>
  </si>
  <si>
    <t>6.1.8</t>
  </si>
  <si>
    <t>Ремонт наплавляемой кровли отдельными местами с демонтажем старого ковра, частичным ремонтом стяжки и устройством 2 слоев рулонной кровли</t>
  </si>
  <si>
    <t>6.1.9</t>
  </si>
  <si>
    <t>Ремонт цементной стяжки отдельными местами 0,25м2 толщиной 50 мм</t>
  </si>
  <si>
    <t>место</t>
  </si>
  <si>
    <t>6.1.10</t>
  </si>
  <si>
    <t>Устр-во плоских однослойных кровель из ПВХ мембран по утеплителю или разделительному слою с несущим основанием из бетона, со сваркой стыков</t>
  </si>
  <si>
    <t>6.1.11</t>
  </si>
  <si>
    <t>Устройство выравнивающих стяжек цементно-песчаных толщиной 15 мм</t>
  </si>
  <si>
    <t>6.1.12</t>
  </si>
  <si>
    <t>Устройство выравнивающих стяжек. На каждые 5 мм изменения толщины стяжки добавлять или исключать</t>
  </si>
  <si>
    <t>6.1.13</t>
  </si>
  <si>
    <t>Устройство дополнительного слоя мягкой кровли поверх существующего.</t>
  </si>
  <si>
    <t>6.1.14</t>
  </si>
  <si>
    <t>Устройство мастичной кровли с 2-х слойным покрытием (с подготовкой основания)</t>
  </si>
  <si>
    <t>6.1.15</t>
  </si>
  <si>
    <t>Устройство мелких покрытий (брандмауэры, парапеты, свесы и т.п.) из листовой оцинкованной стали</t>
  </si>
  <si>
    <t>6.1.16</t>
  </si>
  <si>
    <t>Устройство наплавляемой кровли в 2 слоя рулонных материалов</t>
  </si>
  <si>
    <t>6.1.17</t>
  </si>
  <si>
    <t>Устройство пароизоляции кровли прокладной в один слой</t>
  </si>
  <si>
    <t>6.1.18</t>
  </si>
  <si>
    <t>Устройство плоских однослойных кровель из ПВХ мембран по готовому основанию кроме бетонного со сваркой стыков</t>
  </si>
  <si>
    <t>6.1.19</t>
  </si>
  <si>
    <t>Устройство покрытий кровли из листовой стали</t>
  </si>
  <si>
    <t>6.1.20</t>
  </si>
  <si>
    <t>Устройство примыканий из ПВХ мембран к стенам и парапетам высотой до 450 мм с одним фартуком</t>
  </si>
  <si>
    <t>6.1.21</t>
  </si>
  <si>
    <t>Устройство примыканий кровель из наплавляемых материалов к стенам и парапетам высотой более 600 мм с одним фартуком</t>
  </si>
  <si>
    <t>6.1.22</t>
  </si>
  <si>
    <t>Устройство примыканий кровель из наплавляемых материалов к стенам и парапетам высотой до 600 мм без фартуков</t>
  </si>
  <si>
    <t>6.1.23</t>
  </si>
  <si>
    <t>Устройство примыканий рулонных и мастичных кровель к стенам и парапетам высотой более 600 мм с одним фартуком</t>
  </si>
  <si>
    <t>6.1.24</t>
  </si>
  <si>
    <t>Устройство примыканий рулонных и мастичных кровель к стенам и парапетам высотой до 600 мм без фартуков</t>
  </si>
  <si>
    <t>6.1.25</t>
  </si>
  <si>
    <t>Устройство теплоизоляции из керамзита с проливкой цементным молочком</t>
  </si>
  <si>
    <t>6.1.26</t>
  </si>
  <si>
    <t>Утепление покрытий плитами из пенопласта полистирольного на битумной мастике в один слой</t>
  </si>
  <si>
    <t>6.1.27</t>
  </si>
  <si>
    <t>Утепление покрытий плитами толщиной 50 мм из минеральной ваты на битумной мастике НА КАЖДЫЙ ПОСЛЕДУЮЩИЙ ДОБАВЛЯТЬ</t>
  </si>
  <si>
    <t>6.1.28</t>
  </si>
  <si>
    <t>Утепление покрытий плитами толщиной 50 мм из минеральной ваты на битумной мастике в один слой</t>
  </si>
  <si>
    <t>6.1.29</t>
  </si>
  <si>
    <t>Утепление покрытий плитами толщиной 50 мм из пенопласта НАСУХО</t>
  </si>
  <si>
    <t>6.1.N1</t>
  </si>
  <si>
    <t>Демонтаж рулонной кровли в 1–3 слоя</t>
  </si>
  <si>
    <t>6.1.N2</t>
  </si>
  <si>
    <t>Демонтаж цементно-песчаной стяжки до 50 мм</t>
  </si>
  <si>
    <t>6.1.N3</t>
  </si>
  <si>
    <t>Ремонт ПВХ-мембраны заплатами отдельными местами</t>
  </si>
  <si>
    <t>6.1.N4</t>
  </si>
  <si>
    <t>Укладка утеплителя (минплита/PIR) насухо под мембрану с механическим креплением</t>
  </si>
  <si>
    <t>6.1.N5</t>
  </si>
  <si>
    <t>Устройство наплавляемой пароизоляции</t>
  </si>
  <si>
    <t>6.1.N6</t>
  </si>
  <si>
    <t>Установка кровельных аэраторов</t>
  </si>
  <si>
    <t>6.1.N7</t>
  </si>
  <si>
    <t>Устройство разуклонки из клиновидного утеплителя</t>
  </si>
  <si>
    <t>6.1.N8</t>
  </si>
  <si>
    <t>Очистка плоской кровли от снега и наледи</t>
  </si>
  <si>
    <t>6.1.N9</t>
  </si>
  <si>
    <t>Устройство разделительного слоя из геотекстиля</t>
  </si>
  <si>
    <t>6.1.N10</t>
  </si>
  <si>
    <t>Установка снегозадержателей</t>
  </si>
  <si>
    <t>6.2 Установка наружного водостока</t>
  </si>
  <si>
    <t>6.2.1</t>
  </si>
  <si>
    <t>Механическая прочистка ливневой канализации</t>
  </si>
  <si>
    <t>стояк</t>
  </si>
  <si>
    <t>6.2.2</t>
  </si>
  <si>
    <t>Ремонт воронок ливневой канализации, без установки ливневой решетки</t>
  </si>
  <si>
    <t>6.2.3</t>
  </si>
  <si>
    <t>Установка воронок кровельных сливных</t>
  </si>
  <si>
    <t>6.2.4</t>
  </si>
  <si>
    <t>Устройсво желобов настенных</t>
  </si>
  <si>
    <t>6.2.5</t>
  </si>
  <si>
    <t>Устройство металлической водосточной системы</t>
  </si>
  <si>
    <t>6.2.6</t>
  </si>
  <si>
    <t>Устройство ПВХ водосточной системы</t>
  </si>
  <si>
    <t>6.2.7</t>
  </si>
  <si>
    <t>Устройство решетки ливнестока</t>
  </si>
  <si>
    <t>6.2.N1</t>
  </si>
  <si>
    <t>Установка парапетной воронки (скапера) с примыканием</t>
  </si>
  <si>
    <t>6.2.N2</t>
  </si>
  <si>
    <t>Монтаж греющего кабеля в водостоках и воронках</t>
  </si>
  <si>
    <t>6.2.N3</t>
  </si>
  <si>
    <t>Прочистка кровельных воронок и лотков от мусора</t>
  </si>
  <si>
    <t>6.3 Устройство каркаса из металлоконструкций под рекламу и оборудование</t>
  </si>
  <si>
    <t>6.3.1</t>
  </si>
  <si>
    <t>Установка метал. рам под конденсаторы для холодильного оборудования, под рекламу, под фонари дымоудаления</t>
  </si>
  <si>
    <t>6.3.2</t>
  </si>
  <si>
    <t>Монтаж площадок с настилом и ограждением из листовой, рифленой, просечной и круглой стали</t>
  </si>
  <si>
    <t>6.3.N1</t>
  </si>
  <si>
    <t>Устройство проходного элемента мембраны вокруг опоры оборудования</t>
  </si>
  <si>
    <t>7.1 Основание пола</t>
  </si>
  <si>
    <t>7.1.1</t>
  </si>
  <si>
    <t>Герметизация швов силиконовым герметиком</t>
  </si>
  <si>
    <t>7.1.2</t>
  </si>
  <si>
    <t>Армирование сеткой основания</t>
  </si>
  <si>
    <t>7.1.3</t>
  </si>
  <si>
    <t>Грунтовка поверхности пола в один слой</t>
  </si>
  <si>
    <t>7.1.4</t>
  </si>
  <si>
    <t>Устройство стяжек бетонных. На каждые 5 мм изменения толщины стяжки добавлять или исключать</t>
  </si>
  <si>
    <t>7.1.5</t>
  </si>
  <si>
    <t>Устройство стяжек цементных. На каждые 5 мм изменения толщины стяжки добавлять или исключать</t>
  </si>
  <si>
    <t>7.1.6</t>
  </si>
  <si>
    <t>Устройство монолитной бетонной плиты</t>
  </si>
  <si>
    <t>7.1.7</t>
  </si>
  <si>
    <t>Устройство напольного основания из звукоизоляционных плит</t>
  </si>
  <si>
    <t>7.1.8</t>
  </si>
  <si>
    <t>Устройство напольной гидроизоляции обмазочной в один слой из сухой смеси с ее приготовлением</t>
  </si>
  <si>
    <t>7.1.9</t>
  </si>
  <si>
    <t>Устройство напольной гидроизоляции обмазочной из сухой смеси с ее приготовлением - добавляется на каждый последующий слой</t>
  </si>
  <si>
    <t>7.1.10</t>
  </si>
  <si>
    <t>Устройство напольной гидроизоляции обмазочной в один слой из мастики полиуретановой в два слоя</t>
  </si>
  <si>
    <t>7.1.11</t>
  </si>
  <si>
    <t>Устройство напольной гидроизоляции оклеечной в два слоя</t>
  </si>
  <si>
    <t>7.1.12</t>
  </si>
  <si>
    <t>Устройство напольной тепло- и звукоизоляции сплошной из плит или матов минераловатных или стекловолокнистых</t>
  </si>
  <si>
    <t>7.1.13</t>
  </si>
  <si>
    <t>Устройство основания из песчано-гравийной смеси толщиной 10 см</t>
  </si>
  <si>
    <t>7.1.14</t>
  </si>
  <si>
    <t>Устройство подстилающих слоев щебеночных</t>
  </si>
  <si>
    <t>7.1.15</t>
  </si>
  <si>
    <t>Устройство стяжек бетонных толщиной 20 мм</t>
  </si>
  <si>
    <t>7.1.16</t>
  </si>
  <si>
    <t>Устройство стяжек из выравнивающей полимерцементной смеси толщиной 5 мм</t>
  </si>
  <si>
    <t>7.1.17</t>
  </si>
  <si>
    <t>Устройство стяжек на каждый последующий слой толщиной 1 мм добавлять к расценке из выравнивающей полимерцементной смеси</t>
  </si>
  <si>
    <t>7.1.18</t>
  </si>
  <si>
    <t>Устройство стяжек цементных толщиной 20 мм</t>
  </si>
  <si>
    <t>7.1.N1</t>
  </si>
  <si>
    <t>Демонтаж цементно-песчаной стяжки толщиной до 50 мм</t>
  </si>
  <si>
    <t>7.1.N2</t>
  </si>
  <si>
    <t>Шлифовка бетонного основания с обеспыливанием (подготовка под покрытие)</t>
  </si>
  <si>
    <t>7.1.N3</t>
  </si>
  <si>
    <t>Ремонт трещин в бетонном основании (расшивка, обеспыливание, заполнение ремсоставом)</t>
  </si>
  <si>
    <t>7.1.N4</t>
  </si>
  <si>
    <t>Устройство полусухой механизированной стяжки толщиной до 50 мм с армированием фиброй</t>
  </si>
  <si>
    <t>7.1.N5</t>
  </si>
  <si>
    <t>Устройство разделительного слоя из полиэтиленовой плёнки под стяжку</t>
  </si>
  <si>
    <t>7.2 Покрытие пола</t>
  </si>
  <si>
    <t>7.2.1</t>
  </si>
  <si>
    <t>Замена напольной штучной плитки 30х30см</t>
  </si>
  <si>
    <t>7.2.2</t>
  </si>
  <si>
    <t>Замена напольной штучной плитки 40х40см</t>
  </si>
  <si>
    <t>7.2.3</t>
  </si>
  <si>
    <t>Замена напольной штучной плитки 60х60см</t>
  </si>
  <si>
    <t>7.2.4</t>
  </si>
  <si>
    <t>Затирка швов между плитками ранее облицованных поверхностей с применением сухой смеси</t>
  </si>
  <si>
    <t>7.2.5</t>
  </si>
  <si>
    <t>Монтаж алюминиевого порога</t>
  </si>
  <si>
    <t>7.2.6</t>
  </si>
  <si>
    <t>Монтаж антискользящих планок на саморезах</t>
  </si>
  <si>
    <t>7.2.7</t>
  </si>
  <si>
    <t>Монтаж антискользящих планок самоклеящихся</t>
  </si>
  <si>
    <t>7.2.8</t>
  </si>
  <si>
    <t>Монтаж противоскользящих планок на лестнице</t>
  </si>
  <si>
    <t>7.2.9</t>
  </si>
  <si>
    <t>Нарезка швов в бетоне с заполнением швов герметиком при устройстве бетонных полов</t>
  </si>
  <si>
    <t>7.2.10</t>
  </si>
  <si>
    <t>Облицовка ступеней керамогранитом с огрунтовкой основания и затиркой швов на клее из цементных сухих смесей</t>
  </si>
  <si>
    <t>7.2.11</t>
  </si>
  <si>
    <t>Противоскользящая самоклеящаяся резиновая полоса для ступеней</t>
  </si>
  <si>
    <t>7.2.12</t>
  </si>
  <si>
    <t>Установка напольного резинового ринго-мата</t>
  </si>
  <si>
    <t>7.2.13</t>
  </si>
  <si>
    <t>Устройство грязезащитных напольных покрытий (резиновый коврик типа «Волна», либо «Сити») в один уровень с полом</t>
  </si>
  <si>
    <t>7.2.14</t>
  </si>
  <si>
    <t>Устройство деформационного шва</t>
  </si>
  <si>
    <t>7.2.15</t>
  </si>
  <si>
    <t>Устройство наливных полов полимерных толщиной до 15 мм</t>
  </si>
  <si>
    <t>7.2.16</t>
  </si>
  <si>
    <t>Устройство наливных полов финишных быстротвердеющих толщиной до 5 мм</t>
  </si>
  <si>
    <t>7.2.17</t>
  </si>
  <si>
    <t>Устройство напольного покрытия из ламината</t>
  </si>
  <si>
    <t>7.2.18</t>
  </si>
  <si>
    <t>Устройство напольного покрытия из рифленного алюминия толщиной до 2мм</t>
  </si>
  <si>
    <t>7.2.19</t>
  </si>
  <si>
    <t>Устройство напольного покрытия из рифленного железа толщиной до 4мм</t>
  </si>
  <si>
    <t>7.2.20</t>
  </si>
  <si>
    <t>Устройство напольных покрытий из линолеума насухо</t>
  </si>
  <si>
    <t>7.2.21</t>
  </si>
  <si>
    <t>Устройство напольных покрытий из линолеума на клее</t>
  </si>
  <si>
    <t>7.2.22</t>
  </si>
  <si>
    <t>Устройство напольных покрытий наливных на эпоксидной смоле толщиной до 15 мм</t>
  </si>
  <si>
    <t>7.2.23</t>
  </si>
  <si>
    <t>Устройство подкрытий подступенков из гранитных плит</t>
  </si>
  <si>
    <t>7.2.24</t>
  </si>
  <si>
    <t>Устройство покрытий пола из модульных поливинилхоридных плит раазмером 500х500х7 мм</t>
  </si>
  <si>
    <t>7.2.25</t>
  </si>
  <si>
    <t>Устройство покрытий пола из плит керамической плитки/керамогранита с огрунтовкой основания и затиркой швов на клее из цементных сухих смесей</t>
  </si>
  <si>
    <t>7.2.26</t>
  </si>
  <si>
    <t>Устройство покрытий ступеней из гранитных плит</t>
  </si>
  <si>
    <t>7.2.27</t>
  </si>
  <si>
    <t>Устройство полов бетонных толщиной 100 мм</t>
  </si>
  <si>
    <t>7.2.28</t>
  </si>
  <si>
    <t>Устройство полов бетонных толщиной 150 мм</t>
  </si>
  <si>
    <t>7.2.29</t>
  </si>
  <si>
    <t>Устройство полов бетонных толщиной 200 мм</t>
  </si>
  <si>
    <t>7.2.30</t>
  </si>
  <si>
    <t>Устройство полов бетонных толщиной 250 мм</t>
  </si>
  <si>
    <t>7.2.31</t>
  </si>
  <si>
    <t>Устройство полов бетонных, влагостойких с упрочнением верхнего слоя цементно-кварцевыми смесями с обеспыливающей пропиткой</t>
  </si>
  <si>
    <t>7.2.32</t>
  </si>
  <si>
    <t>Нанесение сплошных линий ,ширина линии 100мм,желтого /белого/оранжевого/синего/зеленого/красного цвета(с учетом материала)</t>
  </si>
  <si>
    <t>7.2.N1</t>
  </si>
  <si>
    <t>Демонтаж напольной керамической плитки / керамогранита</t>
  </si>
  <si>
    <t>7.2.N2</t>
  </si>
  <si>
    <t>Демонтаж линолеума / ковролина / ПВХ-плитки</t>
  </si>
  <si>
    <t>7.2.N3</t>
  </si>
  <si>
    <t>Устройство покрытия из ковровой плитки на фиксаторе</t>
  </si>
  <si>
    <t>7.2.N4</t>
  </si>
  <si>
    <t>Горячая сварка швов коммерческого линолеума</t>
  </si>
  <si>
    <t>7.2.N5</t>
  </si>
  <si>
    <t>Устройство тонкослойного эпоксидного (окрасочного) покрытия пола в 2 слоя</t>
  </si>
  <si>
    <t>7.2.N6</t>
  </si>
  <si>
    <t>Шлифовка и полировка бетонного пола с уплотняющей пропиткой</t>
  </si>
  <si>
    <t>7.2.N7</t>
  </si>
  <si>
    <t>Обеспыливающая пропитка бетонного пола в 2 слоя</t>
  </si>
  <si>
    <t>7.2.N8</t>
  </si>
  <si>
    <t>Локальный ремонт выбоин в бетонном/топпинговом полу ремонтным составом</t>
  </si>
  <si>
    <t>7.2.N9</t>
  </si>
  <si>
    <t>Площадная разметка пола краской (зоны, штриховка, символы по трафарету)</t>
  </si>
  <si>
    <t>7.2.N10</t>
  </si>
  <si>
    <t>Разметка пола полимерной лентой шириной до 100 мм</t>
  </si>
  <si>
    <t>7.3 Устройство плинтусов</t>
  </si>
  <si>
    <t>7.3.1</t>
  </si>
  <si>
    <t>Установка металлического уголка (стык стена-пол) уголок 25х25 мм</t>
  </si>
  <si>
    <t>7.3.2</t>
  </si>
  <si>
    <t>Устройство плинтусов высотой 100 мм из керамогранита на клее из сухиих смесей с затиркой швов</t>
  </si>
  <si>
    <t>7.3.3</t>
  </si>
  <si>
    <t>Устройство плинтусов деревянных (массив)</t>
  </si>
  <si>
    <t>7.3.4</t>
  </si>
  <si>
    <t>Устройство плинтусов деревянных (МДФ)</t>
  </si>
  <si>
    <t>7.3.5</t>
  </si>
  <si>
    <t>Устройство плинтусов деревянных (шпон)</t>
  </si>
  <si>
    <t>7.3.6</t>
  </si>
  <si>
    <t>Устройство плинтусов из матовой нержавеющей стали высотой 100мм</t>
  </si>
  <si>
    <t>7.3.7</t>
  </si>
  <si>
    <t>Устройство плинтусов из плиток керамических на клее из сухиих смесей с затиркой швов</t>
  </si>
  <si>
    <t>7.3.8</t>
  </si>
  <si>
    <t>Устройство плинтусов поливинилхлоридных на клее с комплектующими</t>
  </si>
  <si>
    <t>7.3.9</t>
  </si>
  <si>
    <t>Устройство плинтусов поливинилхлоридных на саморезах с комплектующими</t>
  </si>
  <si>
    <t>7.3.N1</t>
  </si>
  <si>
    <t>Демонтаж плинтуса любого типа</t>
  </si>
  <si>
    <t>7.3.N2</t>
  </si>
  <si>
    <t>Устройство плинтуса из линолеума с заводом на стену и галтельным профилем</t>
  </si>
  <si>
    <t>7.4 Приямок</t>
  </si>
  <si>
    <t>7.4.1</t>
  </si>
  <si>
    <t>Установка грязезащитных решеток типа "Сити"</t>
  </si>
  <si>
    <t>7.4.2</t>
  </si>
  <si>
    <t>Установка оцинкованных грязезащитных решеток</t>
  </si>
  <si>
    <t>7.4.3</t>
  </si>
  <si>
    <t>Установка полимербетонных поддонов для грязезащитных решеток</t>
  </si>
  <si>
    <t>7.4.N1</t>
  </si>
  <si>
    <t>Устройство приямка под грязезащитную решётку (вырезка, бетонирование, установка рамки)</t>
  </si>
  <si>
    <t>7.4.N2</t>
  </si>
  <si>
    <t>Очистка приямка грязезащитной решётки со снятием и установкой решётки</t>
  </si>
  <si>
    <t>8.1 Устройство внутренних стен и перегородок</t>
  </si>
  <si>
    <t>8.1.1</t>
  </si>
  <si>
    <t>Замена остекления в перегородках из алюминиевого профиля</t>
  </si>
  <si>
    <t>8.1.2</t>
  </si>
  <si>
    <t>Кладка перегородок из кирпича армированных толщиной в 1/2 кирпича</t>
  </si>
  <si>
    <t>8.1.3</t>
  </si>
  <si>
    <t>Кладка перегородок из кирпича армированных толщиной в 1/4 кирпича</t>
  </si>
  <si>
    <t>8.1.4</t>
  </si>
  <si>
    <t>Кладка стен кирпичных внутренних</t>
  </si>
  <si>
    <t>8.1.5</t>
  </si>
  <si>
    <t>Монтаж криволинейных перегородок из пеноблоков толщиной 100 мм</t>
  </si>
  <si>
    <t>8.1.6</t>
  </si>
  <si>
    <t>Монтаж перегородок из аллюминиевых профилей</t>
  </si>
  <si>
    <t>8.1.7</t>
  </si>
  <si>
    <t>Монтаж перегородок металлопластиковых остекленных</t>
  </si>
  <si>
    <t>8.1.8</t>
  </si>
  <si>
    <t>Монтаж перегородок: из алюминиевых сплавов сборно-разборных с остеклением</t>
  </si>
  <si>
    <t>8.1.9</t>
  </si>
  <si>
    <t>Монтаж стеклянных перегородок из высококачественного стекла марки М-1 толщиной 10мм</t>
  </si>
  <si>
    <t>8.1.10</t>
  </si>
  <si>
    <t>Установка дополнительного слоя ГКЛ</t>
  </si>
  <si>
    <t>8.1.11</t>
  </si>
  <si>
    <t>Установка перегородок из легкобетонных блоков толщ.200мм</t>
  </si>
  <si>
    <t>8.1.12</t>
  </si>
  <si>
    <t>Установка перегородок из легкобетонных блоков толщ.300мм</t>
  </si>
  <si>
    <t>8.1.13</t>
  </si>
  <si>
    <t>Установка перегородок из легкобетонных блоков толщиной 120мм</t>
  </si>
  <si>
    <t>8.1.14</t>
  </si>
  <si>
    <t>Установка перегородок из легкобетонных плит</t>
  </si>
  <si>
    <t>8.1.15</t>
  </si>
  <si>
    <t>Установка перегородок из пазогребневых блоков, плит толщиной 100 мм</t>
  </si>
  <si>
    <t>8.1.16</t>
  </si>
  <si>
    <t>Установка перегородок из пазогребневых блоков, плит толщиной 50 мм</t>
  </si>
  <si>
    <t>8.1.17</t>
  </si>
  <si>
    <t>Установка перегородок из пазогребневых блоков, плит толщиной 80 мм</t>
  </si>
  <si>
    <t>8.1.18</t>
  </si>
  <si>
    <t>Устр-во перегород. по сис-ме КНАУФ с 1-м метал. каркасом и 3-ной обшивкой с листом оцинк.стали 0,5мм между ГВЛ с 2-х сторон (С 367) 1 дверной проем</t>
  </si>
  <si>
    <t>8.1.19</t>
  </si>
  <si>
    <t>Устр-во перегородок высотой до 3м в общественных зданиях с двусторонней обшивкой ГКЛ в 2 слоя с изоляцией</t>
  </si>
  <si>
    <t>8.1.20</t>
  </si>
  <si>
    <t>Устр-во перегородок из ГВЛ 12,5мм по системе «КНАУФ:» с одинарным метал. каркасом и двухслойной обшивкой с обеих сторон (С 362)</t>
  </si>
  <si>
    <t>8.1.21</t>
  </si>
  <si>
    <t>Устр-во перегородок из ГВЛ толщиной 12,5мм по системе «КНАУФ»: с одинарным метал. каркасом и однослойной обшивкой с обеих сторон (С 361) - глухих</t>
  </si>
  <si>
    <t>8.1.22</t>
  </si>
  <si>
    <t>Устр-во перегородок из ГКЛ 12,5мм по системе «КНАУФ» с одинарным метал. каркасом и однослойной обшивкой с обеих сторон (С 111) - глухих</t>
  </si>
  <si>
    <t>8.1.23</t>
  </si>
  <si>
    <t>Устр-во перегородок из ГКЛ по системе «КНАУФ» с одинарным металлическим каркасом и двухслойной обшивкой с обеих сторон (С 112)</t>
  </si>
  <si>
    <t>8.1.24</t>
  </si>
  <si>
    <t>Устр-во перегородок по сис-ме КНАУФ на 2-м метал. каркасе и 2-ной обшивкой из ГКЛ 12,5мм с 2-х сторон (115-1). Минераловатное заполнение</t>
  </si>
  <si>
    <t>8.1.25</t>
  </si>
  <si>
    <t>Устр-во перегородок по сис-ме КНАУФ с 1-м метал. каркасом и 2-ной обшивкой с листами оцинкованной стали 0,5мм между ГВЛ с обеих сторон</t>
  </si>
  <si>
    <t>8.1.26</t>
  </si>
  <si>
    <t>Устройство сантехнических перегородок высотой до 3м в общественных зданиях с двусторонней обшивкой пластиком с фурнитурой</t>
  </si>
  <si>
    <t>8.1.27</t>
  </si>
  <si>
    <t>Утепление стен и перегородок минватным утеплителем</t>
  </si>
  <si>
    <t>8.1.28</t>
  </si>
  <si>
    <t>Утепление стен и перегородок пенополистирольным утеплителем</t>
  </si>
  <si>
    <t>8.1.N1</t>
  </si>
  <si>
    <t>Демонтаж перегородок из ГКЛ/ГВЛ на металлокаркасе</t>
  </si>
  <si>
    <t>8.1.N2</t>
  </si>
  <si>
    <t>Демонтаж перегородок из кирпича/блоков толщиной до 120 мм</t>
  </si>
  <si>
    <t>8.1.N3</t>
  </si>
  <si>
    <t>Устройство дверного проёма в перегородке из ГКЛ с усилением профилем</t>
  </si>
  <si>
    <t>8.1.N4</t>
  </si>
  <si>
    <t>Устройство короба из ГКЛ (каркас + обшивка в 1 слой, развёртка до 1 м)</t>
  </si>
  <si>
    <t>8.1.N5</t>
  </si>
  <si>
    <t>Пробивка проёма в кирпичной перегородке толщиной в 1/2 кирпича с обрамлением</t>
  </si>
  <si>
    <t>8.1.N6</t>
  </si>
  <si>
    <t>Заделка проёма в перегородке из ГКЛ (каркас, обшивка 2 стороны, изоляция)</t>
  </si>
  <si>
    <t>8.1.N7</t>
  </si>
  <si>
    <t>Монтаж ревизионного люка в стене из ГКЛ</t>
  </si>
  <si>
    <t>8.2 Отделка стен и перегородок</t>
  </si>
  <si>
    <t>8.2.1</t>
  </si>
  <si>
    <t>Вертикальная гидроизоляция стен готовой полимерной мастикой</t>
  </si>
  <si>
    <t>8.2.2</t>
  </si>
  <si>
    <t>Вертикальная гидроизоляция стен из сухихи цементно-песчаных смесей с их приготовлением</t>
  </si>
  <si>
    <t>8.2.3</t>
  </si>
  <si>
    <t>Вертикальная гидроизоляция стен рулонными материалалми</t>
  </si>
  <si>
    <t>8.2.4</t>
  </si>
  <si>
    <t>Гипсовая штукатурка стен толщиной слоя от 10 до 20 мм</t>
  </si>
  <si>
    <t>8.2.5</t>
  </si>
  <si>
    <t>Гипсовая штукатурка стен толщиной слоя до 10 мм</t>
  </si>
  <si>
    <t>8.2.6</t>
  </si>
  <si>
    <t>Замена настенной штучной плитки 20х30мм</t>
  </si>
  <si>
    <t>8.2.7</t>
  </si>
  <si>
    <t>Замена настенной штучной плитки 30х30мм</t>
  </si>
  <si>
    <t>8.2.8</t>
  </si>
  <si>
    <t>Замена настенной штучной плитки 40х40мм</t>
  </si>
  <si>
    <t>8.2.9</t>
  </si>
  <si>
    <t>Замена настенной штучной плитки 60х60мм</t>
  </si>
  <si>
    <t>8.2.10</t>
  </si>
  <si>
    <t>Защита внешних углов алюминиевым уголком на клее</t>
  </si>
  <si>
    <t>8.2.11</t>
  </si>
  <si>
    <t>Защита внешних углов алюминиевым уголком на саморезах</t>
  </si>
  <si>
    <t>8.2.12</t>
  </si>
  <si>
    <t>Защита внешних углов металлическим уголком на саморезах</t>
  </si>
  <si>
    <t>8.2.13</t>
  </si>
  <si>
    <t>Защита внешних углов уголком из нержавеющей стали на клее</t>
  </si>
  <si>
    <t>8.2.14</t>
  </si>
  <si>
    <t>Защита внешних углов уголком из нержавеющей стали на саморезах/анкерах</t>
  </si>
  <si>
    <t>8.2.15</t>
  </si>
  <si>
    <t>Облицовка стен панелями ЛДСП на клее</t>
  </si>
  <si>
    <t>8.2.16</t>
  </si>
  <si>
    <t>Облицовка стен панелями МДФ наклее</t>
  </si>
  <si>
    <t>8.2.17</t>
  </si>
  <si>
    <t>Облицовка стен гипсокартонными листами на клее</t>
  </si>
  <si>
    <t>8.2.18</t>
  </si>
  <si>
    <t>Облицовка стен и дверей оцинкованным листом</t>
  </si>
  <si>
    <t>8.2.19</t>
  </si>
  <si>
    <t>Облицовка стен и колонн алюминиевым рифленым листом</t>
  </si>
  <si>
    <t>8.2.20</t>
  </si>
  <si>
    <t>Облицовка стен и колонн листом из нержавеющей стали (зеркало)</t>
  </si>
  <si>
    <t>8.2.21</t>
  </si>
  <si>
    <t>Облицовка стен и колонн металлическим листом</t>
  </si>
  <si>
    <t>8.2.22</t>
  </si>
  <si>
    <t>Облицовка стен керамической плиткой на клее из сухихи смесей с огрунтовкой поверхности и затиркой швов</t>
  </si>
  <si>
    <t>8.2.23</t>
  </si>
  <si>
    <t>Облицовка стен по готовому каркасу панелями МДФ</t>
  </si>
  <si>
    <t>8.2.24</t>
  </si>
  <si>
    <t>Облицовка стен по сис-ме «КНАУФ» ГКЛ в 2 слоя по 1-му метал. каркасу из ПН и ПС профилей глухих</t>
  </si>
  <si>
    <t>8.2.25</t>
  </si>
  <si>
    <t>Облицовка стен по сис-ме «КНАУФ» по 1-му метал. каркасу из ПН и ПС профилей гипсокартонными листами в один слой глухих</t>
  </si>
  <si>
    <t>8.2.26</t>
  </si>
  <si>
    <t>Облицовка стен ламинированными панелями по металлическому каркасу с его устройством</t>
  </si>
  <si>
    <t>8.2.27</t>
  </si>
  <si>
    <t>Облицовка стен ламинированными панелями на клее</t>
  </si>
  <si>
    <t>8.2.28</t>
  </si>
  <si>
    <t>Облицовка стен ламинированными панелями на саморезы</t>
  </si>
  <si>
    <t>8.2.29</t>
  </si>
  <si>
    <t>Облицовка уголком ПВХ на клее</t>
  </si>
  <si>
    <t>8.2.30</t>
  </si>
  <si>
    <t>Обработка стен антигрибковым составом</t>
  </si>
  <si>
    <t>8.2.31</t>
  </si>
  <si>
    <t>Обшивка стен фанерой на саморезах</t>
  </si>
  <si>
    <t>8.2.32</t>
  </si>
  <si>
    <t>Обшивка стен фанерой на клее</t>
  </si>
  <si>
    <t>8.2.33</t>
  </si>
  <si>
    <t>Оклейка обоями стен по монолитной штукатурке и бетону простыми и средней плотности</t>
  </si>
  <si>
    <t>8.2.34</t>
  </si>
  <si>
    <t>Окраска водно-дисперсионными акриловыми составами за два раза по штукатурке стен, подготовленных под окраску</t>
  </si>
  <si>
    <t>8.2.35</t>
  </si>
  <si>
    <t>Окраска за два раза водно-дисперсионными акриловыми составами по сборным конструкциям стен, подготовленных под окраску (ГКЛ)</t>
  </si>
  <si>
    <t>8.2.36</t>
  </si>
  <si>
    <t>Окраска масляными составами за два разапо сборным конструкциям стен, подготовленных под окраску</t>
  </si>
  <si>
    <t>8.2.37</t>
  </si>
  <si>
    <t>Покрытие поверхностей стен грунтовкой глубокого проникновения за 2 раза</t>
  </si>
  <si>
    <t>8.2.38</t>
  </si>
  <si>
    <t>Слошная шпаклевка стен</t>
  </si>
  <si>
    <t>8.2.39</t>
  </si>
  <si>
    <t>Сплошное выравнивание штукатурки стен из сухих растворных смесей (толщиной до 10 мм)</t>
  </si>
  <si>
    <t>8.2.40</t>
  </si>
  <si>
    <t>Устройство каркаса при оштукатуривании стен</t>
  </si>
  <si>
    <t>8.2.41</t>
  </si>
  <si>
    <t>Штукатурка стен по сетке улучшенная</t>
  </si>
  <si>
    <t>8.2.42</t>
  </si>
  <si>
    <t>Штукатурка стен цементно-известковым раствором толщиной слоя до 10 мм</t>
  </si>
  <si>
    <t>8.2.43</t>
  </si>
  <si>
    <t>Штукатурка стен цементно-известковым раствором толщиной слоя от 10 до 20 мм</t>
  </si>
  <si>
    <t>8.2.44</t>
  </si>
  <si>
    <t>Шумоизоляция стен плитами минватными насухо</t>
  </si>
  <si>
    <t>8.2.45</t>
  </si>
  <si>
    <t>Покрытие поверхностей грунтовкой глубокого проникновения: за 1 раз стен</t>
  </si>
  <si>
    <t>8.2.N1</t>
  </si>
  <si>
    <t>Демонтаж настенной керамической плитки</t>
  </si>
  <si>
    <t>8.2.N2</t>
  </si>
  <si>
    <t>Снятие старых обоев</t>
  </si>
  <si>
    <t>8.2.N3</t>
  </si>
  <si>
    <t>Удаление старого лакокрасочного покрытия со стен шлифованием</t>
  </si>
  <si>
    <t>8.2.N4</t>
  </si>
  <si>
    <t>Локальный ремонт штукатурки стен (заделка выбоин, отбитых участков до 1 м2)</t>
  </si>
  <si>
    <t>8.2.N5</t>
  </si>
  <si>
    <t>Армирование стен малярной стеклосеткой (стеклохолстом)</t>
  </si>
  <si>
    <t>8.2.N6</t>
  </si>
  <si>
    <t>Заделка швов и мест крепления ГКЛ с армирующей лентой</t>
  </si>
  <si>
    <t>8.2.N7</t>
  </si>
  <si>
    <t>Окраска стен износостойкой (эпоксидной/полиуретановой) краской в 2 слоя</t>
  </si>
  <si>
    <t>8.2.N8</t>
  </si>
  <si>
    <t>Монтаж защитного отбойника (ПВХ/металл) на стены</t>
  </si>
  <si>
    <t>8.3 Отделка потолков</t>
  </si>
  <si>
    <t>8.3.1</t>
  </si>
  <si>
    <t>Замена потолочных плиток "Армстронг"</t>
  </si>
  <si>
    <t>8.3.2</t>
  </si>
  <si>
    <t>8.3.3</t>
  </si>
  <si>
    <t>Монтаж подвесной системы из профилей</t>
  </si>
  <si>
    <t>8.3.4</t>
  </si>
  <si>
    <t>Монтаж реечного потолка с направляющими</t>
  </si>
  <si>
    <t>8.3.5</t>
  </si>
  <si>
    <t>Огрунтовка потолков за два раза</t>
  </si>
  <si>
    <t>8.3.6</t>
  </si>
  <si>
    <t>Окраска потолков водо-эмульсионными акриловыми составами за два раза по подготовленной поверхности</t>
  </si>
  <si>
    <t>8.3.7</t>
  </si>
  <si>
    <t>Сплошная шпатлевка потолка</t>
  </si>
  <si>
    <t>8.3.8</t>
  </si>
  <si>
    <t>Сплошное выравнивание потолков из сухих растворных смесей (штукатурка до 10 мм)</t>
  </si>
  <si>
    <t>8.3.9</t>
  </si>
  <si>
    <t>Усиление каркасов потолка, если потолок свыше 4м</t>
  </si>
  <si>
    <t>8.3.10</t>
  </si>
  <si>
    <t>Устранение провисаний подвесного потолка</t>
  </si>
  <si>
    <t>8.3.11</t>
  </si>
  <si>
    <t>Устройство металлического потолка кассетного типа 600х600мм с направляющими</t>
  </si>
  <si>
    <t>8.3.12</t>
  </si>
  <si>
    <t>Устройство подвесных потолков из гипсокартонных листов (ГКЛ) по системе "КНАУФ" одноуровневых (П113)</t>
  </si>
  <si>
    <t>8.3.13</t>
  </si>
  <si>
    <t>Устройство подвесных потолков типа "Армстронг" по каркасу из оцинкованного профиля</t>
  </si>
  <si>
    <t>8.3.14</t>
  </si>
  <si>
    <t>Устройство подвесных потолков типа "Грильято" по каркасу из оцинкованного профиля</t>
  </si>
  <si>
    <t>8.3.15</t>
  </si>
  <si>
    <t>Устройство потолков типа "Албес" с направляющими</t>
  </si>
  <si>
    <t>8.3.16</t>
  </si>
  <si>
    <t>Устройство реечного потолка кубота из ламелей (бренд Бук)</t>
  </si>
  <si>
    <t>8.3.17</t>
  </si>
  <si>
    <t>Устройство шумоизоляции плит перекрытия. Полужесткие шумоизоляционные маты, толщиной мин. 100мм и обшивка гипсокартоном по металлическому каркасу</t>
  </si>
  <si>
    <t>8.3.18</t>
  </si>
  <si>
    <t>Устройство шумоизоляции потолка мембраной</t>
  </si>
  <si>
    <t>8.3.19</t>
  </si>
  <si>
    <t>Устройство шумоизоляции потолка плитами минватными</t>
  </si>
  <si>
    <t>8.3.20</t>
  </si>
  <si>
    <t>Покрытие поверхностей грунтовкой глубокого проникновения: за 1 раз потолков</t>
  </si>
  <si>
    <t>8.3.N1</t>
  </si>
  <si>
    <t>Демонтаж подвесного потолка типа «Армстронг» с сохранением плит</t>
  </si>
  <si>
    <t>8.3.N2</t>
  </si>
  <si>
    <t>Демонтаж потолка из ГКЛ по металлокаркасу</t>
  </si>
  <si>
    <t>8.3.N3</t>
  </si>
  <si>
    <t>Монтаж потолочного плинтуса (галтели) на клей</t>
  </si>
  <si>
    <t>8.3.N4</t>
  </si>
  <si>
    <t>Локальный ремонт потолка из ГКЛ (замена фрагмента до 1 м2 со шпаклёвкой и окраской)</t>
  </si>
  <si>
    <t>8.3.N5</t>
  </si>
  <si>
    <t>Монтаж ревизионного люка в потолок из ГКЛ</t>
  </si>
  <si>
    <t>8.3.N6</t>
  </si>
  <si>
    <t>Окраска потолков и открытых коммуникаций безвоздушным способом на высоте до 8 м</t>
  </si>
  <si>
    <t>9.1 Канализация производственно-бытовая</t>
  </si>
  <si>
    <t>9.1.1</t>
  </si>
  <si>
    <t>Восстановление креплений трубопроводов ХВС, ГВС под мойками и умывальниками. Очистка трубопроводов от грязи и жира. - работа проводится на ранее установленных трубопроводах (не вновь установленных)</t>
  </si>
  <si>
    <t>9.1.2</t>
  </si>
  <si>
    <t>Гидроизоляция швов душевых поддонов</t>
  </si>
  <si>
    <t>9.1.3</t>
  </si>
  <si>
    <t>Замена арматуры универсальной для сливного бачка</t>
  </si>
  <si>
    <t>9.1.4</t>
  </si>
  <si>
    <t>Замена выпусков на мойку</t>
  </si>
  <si>
    <t>9.1.5</t>
  </si>
  <si>
    <t>Замена гибкой подводки к сантехприборам</t>
  </si>
  <si>
    <t>9.1.6</t>
  </si>
  <si>
    <t>Замена гофротрубы унитаза</t>
  </si>
  <si>
    <t>9.1.7</t>
  </si>
  <si>
    <t>Замена сидения для унитаза</t>
  </si>
  <si>
    <t>9.1.8</t>
  </si>
  <si>
    <t>Замена сифона раковины/мойки</t>
  </si>
  <si>
    <t>9.1.9</t>
  </si>
  <si>
    <t>Крепление мойки к полу или к стене с помощью анкера забивного, стержня резьбового, гаек.</t>
  </si>
  <si>
    <t>9.1.10</t>
  </si>
  <si>
    <t>Крепление напорного трубопровода PPR Дн50 к стенам и потолку</t>
  </si>
  <si>
    <t>9.1.11</t>
  </si>
  <si>
    <t>Крепление поддонов из ПВХ к потолку с помощью: анкера забивного латунного, стрежня резьбового, гаек, сверление поддона из ПВХ, гидроизоляция места сверления поддона герометиком и резиновыми прокладками с внутренней и наружной стороны поддона. Создание уклона поддона в сторону выпусков из поддона.</t>
  </si>
  <si>
    <t>1 поддон</t>
  </si>
  <si>
    <t>9.1.12</t>
  </si>
  <si>
    <t>Механическая прочистка канализации (под ключ, за полный комплекс работ)</t>
  </si>
  <si>
    <t>9.1.13</t>
  </si>
  <si>
    <t>Монтаж воздушного клапана на трубопровод канализации (аэратор) после жироуловителя в местах активного разбора воды с целью предотвращения срыва гидрозатворов и появлению запахов канализации в СМ</t>
  </si>
  <si>
    <t>9.1.14</t>
  </si>
  <si>
    <t>Монтаж гидрозатвора любой конфигурации (под ключ)</t>
  </si>
  <si>
    <t>9.1.15</t>
  </si>
  <si>
    <t>Монтаж капельной воронки с гидрозатвором и с сухим затвором для сбора конденсата для трубопровода от кондиционера</t>
  </si>
  <si>
    <t>9.1.16</t>
  </si>
  <si>
    <t>Монтаж регулируемых опор на ножки мойки. Цель - поднять мойку на 3-4см. На одну мойку 4 шт. опоры.</t>
  </si>
  <si>
    <t>9.1.17</t>
  </si>
  <si>
    <t>Монтаж чаши слива грязной воды с подключением к трубопроводу подходящему к пескоуловителю.</t>
  </si>
  <si>
    <t>9.1.18</t>
  </si>
  <si>
    <t>Очистка подмоечного жироуловителя вручную с предоставление акта об утилизации</t>
  </si>
  <si>
    <t>9.1.19</t>
  </si>
  <si>
    <t>Прокладка трубопроводов из чугунных канализационных безраструбных труб диаметром до 100 мм (с учетом фасонных изделий и испытаний)</t>
  </si>
  <si>
    <t>9.1.20</t>
  </si>
  <si>
    <t>Прокладка трубопроводов из чугунных канализационных безраструбных труб диаметром до 125 мм (с учетом фасонных изделий и испытаний)</t>
  </si>
  <si>
    <t>9.1.21</t>
  </si>
  <si>
    <t>Прокладка трубопроводов из чугунных канализационных безраструбных труб диаметром до 150 мм (с учетом фасонных изделий и испытаний)</t>
  </si>
  <si>
    <t>9.1.22</t>
  </si>
  <si>
    <t>Прокладка трубопроводов из чугунных канализационных безраструбных труб диаметром до 50 мм (с учетом фасонных изделий)</t>
  </si>
  <si>
    <t>9.1.23</t>
  </si>
  <si>
    <t>Прокладка трубопроводов из чугунных канализационных раструбных труб диаметром до 100 мм (с учетом фасонных изделий и испытаний)</t>
  </si>
  <si>
    <t>9.1.24</t>
  </si>
  <si>
    <t>Прокладка трубопроводов из чугунных канализационных раструбных труб диаметром до 150 мм (с учетом фасонных изделий и испытаний)</t>
  </si>
  <si>
    <t>9.1.25</t>
  </si>
  <si>
    <t>Прокладка трубопроводов из чугунных канализационных раструбных труб диаметром до 50 мм (с учетом фасонных изделий и испытаний)</t>
  </si>
  <si>
    <t>9.1.26</t>
  </si>
  <si>
    <t>Прокладка трубопроводов канализации из полипропиленовых труб диаметром до 110 мм (с учетом фасонных изделий и испытаний)</t>
  </si>
  <si>
    <t>9.1.27</t>
  </si>
  <si>
    <t>Прокладка трубопроводов канализации из полипропиленовых труб диаметром до 160 мм (с учетом фасонных изделий и испытаний)</t>
  </si>
  <si>
    <t>9.1.28</t>
  </si>
  <si>
    <t>Прокладка трубопроводов канализации из полипропиленовых труб диаметром до 50 мм (с учетом фасонных изделий и испытаний)</t>
  </si>
  <si>
    <t>9.1.29</t>
  </si>
  <si>
    <t>Прокладка трубопроводов канализации из полиэтиленовых труб высокой плотности диаметром до 110 мм (с учетом фасонных изделий и испытаний)</t>
  </si>
  <si>
    <t>9.1.30</t>
  </si>
  <si>
    <t>Прокладка трубопроводов канализации из полиэтиленовых труб высокой плотности диаметром до 160 мм (с учетом фасонных изделий и испытаний)</t>
  </si>
  <si>
    <t>9.1.31</t>
  </si>
  <si>
    <t>Прокладка трубопроводов канализации из полиэтиленовых труб высокой плотности диаметром до 50 мм (с учетом фасонных изделий и испытаний)</t>
  </si>
  <si>
    <t>9.1.32</t>
  </si>
  <si>
    <t>Промывка гидродинамическим способом трубопроводов канализации внутренней диаметром до 100 мм каналоочистительной машиной Karcher</t>
  </si>
  <si>
    <t>9.1.33</t>
  </si>
  <si>
    <t>Промывка гидродинамическим способом трубопроводов канализации внутренней диаметром до 150 мм каналоочистительной машиной Karcher</t>
  </si>
  <si>
    <t>9.1.34</t>
  </si>
  <si>
    <t>Промывка гидродинамическоим способом трубопроводов напорной канализации диаметром до 50 мм</t>
  </si>
  <si>
    <t>9.1.35</t>
  </si>
  <si>
    <t>Прочистка канализационной насосной системы двухмоторной от бытовых отходов</t>
  </si>
  <si>
    <t>9.1.36</t>
  </si>
  <si>
    <t>Прочистка канализационной насосной системы одномоторной от бытовых отходов</t>
  </si>
  <si>
    <t>9.1.37</t>
  </si>
  <si>
    <t>Прочистка системы внутренней канализации без использования спец техники и средств диаметром до 100 мм</t>
  </si>
  <si>
    <t>9.1.38</t>
  </si>
  <si>
    <t>Установка ванн моечных на два отделения (под ключ)</t>
  </si>
  <si>
    <t>9.1.39</t>
  </si>
  <si>
    <t>Установка вентилей, задвижек, затворов, клапанов обратных, кранов проходных на трубопроводах из ПВХ труб диаметром до 110 мм</t>
  </si>
  <si>
    <t>9.1.40</t>
  </si>
  <si>
    <t>Установка вентилей, задвижек, затворов, клапанов обратных, кранов проходных на трубопроводах из полипропиленовых труб диаметром до 110 мм</t>
  </si>
  <si>
    <t>9.1.41</t>
  </si>
  <si>
    <t>Установка вентилей, задвижек, затворов, клапанов обратных, кранов проходных на трубопроводах из полипропиленовых труб диаметром до 160 мм</t>
  </si>
  <si>
    <t>9.1.42</t>
  </si>
  <si>
    <t>Установка вентилей, задвижек, затворов, клапанов обратных, кранов проходных на трубопроводах из чугунных напорных фланцевых труб диаметром до 100 мм</t>
  </si>
  <si>
    <t>9.1.43</t>
  </si>
  <si>
    <t>Установка вентиля, задвижки, затвора, клапана обратного, крана проходного на трубопроводах из ПВХ труб диаметром до 65 мм</t>
  </si>
  <si>
    <t>9.1.44</t>
  </si>
  <si>
    <t>Установка вентиля, задвижки, затвора, клапана обратного, крана проходного на трубопроводах из полипропиленовых труб диаметром до 65 мм</t>
  </si>
  <si>
    <t>9.1.45</t>
  </si>
  <si>
    <t>Установка вентиля, задвижки, затвора, клапана обратного, крана проходного на трубопроводах из чугунных напорных фланцевых труб диаметром до 65 мм</t>
  </si>
  <si>
    <t>9.1.46</t>
  </si>
  <si>
    <t>Установка гарнитуры туалетной: вешалок, подстаканников, поручней для ванн, крючков, штанг и пр.</t>
  </si>
  <si>
    <t>9.1.47</t>
  </si>
  <si>
    <t>Установка дренажного погружного насоса в приямок</t>
  </si>
  <si>
    <t>9.1.48</t>
  </si>
  <si>
    <t>Установка душирующего устройства с краном (под ключ)</t>
  </si>
  <si>
    <t>9.1.49</t>
  </si>
  <si>
    <t>Установка жироуловителя под мойки (под ключ)</t>
  </si>
  <si>
    <t>9.1.50</t>
  </si>
  <si>
    <t>Установка канализационной насосной системы двухмоторной</t>
  </si>
  <si>
    <t>9.1.51</t>
  </si>
  <si>
    <t>Установка канализационной насосной установки одномоторной</t>
  </si>
  <si>
    <t>9.1.52</t>
  </si>
  <si>
    <t>Установка канализационной насосной установки тип SOLOLIFT</t>
  </si>
  <si>
    <t>9.1.53</t>
  </si>
  <si>
    <t>Установка лючка-прочистки со вставной крышкой на резиновом уплотнителе</t>
  </si>
  <si>
    <t>9.1.54</t>
  </si>
  <si>
    <t>Установка лючка-ревизий</t>
  </si>
  <si>
    <t>9.1.55</t>
  </si>
  <si>
    <t>Установка микропереключателя для канализационной насосной установки</t>
  </si>
  <si>
    <t>9.1.56</t>
  </si>
  <si>
    <t>Установка моек на два отделения (под ключ)</t>
  </si>
  <si>
    <t>9.1.57</t>
  </si>
  <si>
    <t>Установка мойки на одно отделение (под ключ)</t>
  </si>
  <si>
    <t>9.1.58</t>
  </si>
  <si>
    <t>Установка насосной системы для отведения конденсата от кондиционеров по типу системы CONLIFT2</t>
  </si>
  <si>
    <t>9.1.59</t>
  </si>
  <si>
    <t>Установка педального смесителя (под ключ)</t>
  </si>
  <si>
    <t>9.1.60</t>
  </si>
  <si>
    <t>Установка пескоуловителя (под ключ)</t>
  </si>
  <si>
    <t>9.1.61</t>
  </si>
  <si>
    <t>Установка писсуаров настенных, любой конфигурации (под ключ)</t>
  </si>
  <si>
    <t>9.1.62</t>
  </si>
  <si>
    <t>Установка поддона душевого с гидроизоляцией швов (под ключ)</t>
  </si>
  <si>
    <t>9.1.63</t>
  </si>
  <si>
    <t>Установка раковины типа тюльпан с пьедесталом</t>
  </si>
  <si>
    <t>9.1.64</t>
  </si>
  <si>
    <t>Установка раковины (под ключ)</t>
  </si>
  <si>
    <t>9.1.65</t>
  </si>
  <si>
    <t>Установка ревизионного лючка из нержавеющей стали</t>
  </si>
  <si>
    <t>9.1.66</t>
  </si>
  <si>
    <t>Установка смесителя для мойки/раковины (под ключ)</t>
  </si>
  <si>
    <t>9.1.67</t>
  </si>
  <si>
    <t>Установка смесителя с душем для ванной комнаты (под ключ)</t>
  </si>
  <si>
    <t>9.1.68</t>
  </si>
  <si>
    <t>Установка трапа пластикового диаметром 100 мм (под ключ)</t>
  </si>
  <si>
    <t>9.1.69</t>
  </si>
  <si>
    <t>Установка трапа пластикового диаметром 50 мм (под ключ)</t>
  </si>
  <si>
    <t>9.1.70</t>
  </si>
  <si>
    <t>Установка трапа стального диаметром 100 мм (под ключ)</t>
  </si>
  <si>
    <t>9.1.71</t>
  </si>
  <si>
    <t>Установка трапа стального диаметром 50 мм (под ключ)</t>
  </si>
  <si>
    <t>9.1.72</t>
  </si>
  <si>
    <t>Установка унитаза любой марки с непосредственно присоединенным бачком (под ключ)</t>
  </si>
  <si>
    <t>9.1.73</t>
  </si>
  <si>
    <t>Установка финального жироуловителя (под ключ)</t>
  </si>
  <si>
    <t>9.1.74</t>
  </si>
  <si>
    <t>Чистка с предварительным разбором канализационной насосной системы двухмоторной</t>
  </si>
  <si>
    <t>9.1.75</t>
  </si>
  <si>
    <t>Чистка с предварительным разбором канализационной насосной системы одномоторной</t>
  </si>
  <si>
    <t>9.1.76</t>
  </si>
  <si>
    <t>Чистка с предварительным разбором насоса типа SOLOLIFT</t>
  </si>
  <si>
    <t>9.1.N1</t>
  </si>
  <si>
    <t>Демонтаж унитаза с бачком</t>
  </si>
  <si>
    <t>9.1.N2</t>
  </si>
  <si>
    <t>Демонтаж раковины/мойки со смесителем и сифоном</t>
  </si>
  <si>
    <t>9.1.N3</t>
  </si>
  <si>
    <t>Демонтаж канализационных трубопроводов из пластмассовых труб диаметром до 110 мм</t>
  </si>
  <si>
    <t>9.1.N4</t>
  </si>
  <si>
    <t>Демонтаж канализационных трубопроводов из чугунных труб диаметром до 150 мм</t>
  </si>
  <si>
    <t>9.1.N5</t>
  </si>
  <si>
    <t>Телеинспекция (видеодиагностика) внутренней канализации с отчётом</t>
  </si>
  <si>
    <t>9.1.N6</t>
  </si>
  <si>
    <t>Устранение засора санприбора/трапа ручным тросом (раковина, унитаз, трап)</t>
  </si>
  <si>
    <t>9.1.N7</t>
  </si>
  <si>
    <t>Установка подвесного унитаза с инсталляцией (под ключ, без отделки короба)</t>
  </si>
  <si>
    <t>9.1.N8</t>
  </si>
  <si>
    <t>Замена стояка канализации Ду110 в пределах этажа (демонтаж чугуна, монтаж ПП с ревизией)</t>
  </si>
  <si>
    <t>этаж</t>
  </si>
  <si>
    <t>9.1.N9</t>
  </si>
  <si>
    <t>Врезка в существующий канализационный трубопровод до Ду110 (тройник/отвод)</t>
  </si>
  <si>
    <t>9.1.N10</t>
  </si>
  <si>
    <t>Установка канализационного обратного клапана Ду50–110</t>
  </si>
  <si>
    <t>9.1.N11</t>
  </si>
  <si>
    <t>Герметизация примыканий санприборов/моек к стене санитарным герметиком</t>
  </si>
  <si>
    <t>9.1.N12</t>
  </si>
  <si>
    <t>Замена смывного устройства (кнопки, механизма) писсуара/унитаза</t>
  </si>
  <si>
    <t>9.2 Система отопления</t>
  </si>
  <si>
    <t>9.2.1</t>
  </si>
  <si>
    <t>Антикоррозийная изоляция трубопроводов с подготовкой поверхности</t>
  </si>
  <si>
    <t>9.2.2</t>
  </si>
  <si>
    <t>Врезка в действующие внутренние сети отопления диаметром до 150 мм с установкой запорной арматуры(только для стальных трубопроводов)</t>
  </si>
  <si>
    <t>9.2.3</t>
  </si>
  <si>
    <t>Врезка в действующие внутренние сети отопления диаметром от 25 до 50 мм с установкой запорной арматуры (только для стальных трубопроводов)</t>
  </si>
  <si>
    <t>9.2.4</t>
  </si>
  <si>
    <t>Врезка в действующие внутренние сети отопления диаметром от 50 до 100 мм с установкой запорной арматуры (только для стальных трубопроводов)</t>
  </si>
  <si>
    <t>9.2.5</t>
  </si>
  <si>
    <t>Гидравлическое испытание трубопроводов систем отопления, водопровода и горячего водоснабжения диаметром до 100 мм</t>
  </si>
  <si>
    <t>9.2.6</t>
  </si>
  <si>
    <t>Гидравлическое испытание трубопроводов систем отопления, водопровода и горячего водоснабжения диаметром до 50 мм</t>
  </si>
  <si>
    <t>9.2.7</t>
  </si>
  <si>
    <t>Гидравлическое испытание+гидро-пневмопромывка УУТЭ</t>
  </si>
  <si>
    <t>9.2.8</t>
  </si>
  <si>
    <t>Гидропневматическая промывка систем теплоснабжения</t>
  </si>
  <si>
    <t>9.2.9</t>
  </si>
  <si>
    <t>Изоляция трубопроводов полуцилиндрами на основе минеральной ваты</t>
  </si>
  <si>
    <t>9.2.10</t>
  </si>
  <si>
    <t>Изоляция трубопроводов трубками на основе вспененного каучука</t>
  </si>
  <si>
    <t>9.2.11</t>
  </si>
  <si>
    <t>Изоляция трубопроводов трубками на основе вспененного полиэтилена</t>
  </si>
  <si>
    <t>9.2.12</t>
  </si>
  <si>
    <t>Монтаж реле перепада давления с импульсными трубками</t>
  </si>
  <si>
    <t>9.2.13</t>
  </si>
  <si>
    <t>Монтаж решеток для радиатора отопления</t>
  </si>
  <si>
    <t>9.2.14</t>
  </si>
  <si>
    <t>Нарезка длинной резьбы вручную на металлической трубе диаметром до 100 мм</t>
  </si>
  <si>
    <t>9.2.15</t>
  </si>
  <si>
    <t>Нарезка длинной резьбы вручную на металлической трубе диаметром до 50 мм</t>
  </si>
  <si>
    <t>9.2.16</t>
  </si>
  <si>
    <t>Нарезка короткой резьбы вручную на металлической трубе диаметром до 100 мм</t>
  </si>
  <si>
    <t>9.2.17</t>
  </si>
  <si>
    <t>Нарезка короткой резьбы вручную на металлической трубе диаметром до 50 мм</t>
  </si>
  <si>
    <t>9.2.18</t>
  </si>
  <si>
    <t>Организация аварийного отключения теплоснабжения в ресурсоснабжающей организации</t>
  </si>
  <si>
    <t>9.2.19</t>
  </si>
  <si>
    <t>Получение акта допуска в эксплуатацию узла учета тепловой энергии, вызов представителя энергоснабжающей организации для проведения опломбирования УУТЭ</t>
  </si>
  <si>
    <t>9.2.20</t>
  </si>
  <si>
    <t>Проверка на прогрев отопительных приборов с регулировкой</t>
  </si>
  <si>
    <t>9.2.21</t>
  </si>
  <si>
    <t>Прокладка трубопроводов отопления стальных бесшовных и электросварных труб диаметром: 100 мм (с учетом фасонных изделий)</t>
  </si>
  <si>
    <t>9.2.22</t>
  </si>
  <si>
    <t>Прокладка трубопроводов отопления стальных бесшовных и электросварных труб диаметром: 125 мм (с учетом фасонных изделий)</t>
  </si>
  <si>
    <t>9.2.23</t>
  </si>
  <si>
    <t>Прокладка трубопроводов отопления стальных бесшовных и электросварных труб диаметром: 150 мм (с учетом фасонных изделий)</t>
  </si>
  <si>
    <t>9.2.24</t>
  </si>
  <si>
    <t>Прокладка трубопроводов отопления стальных бесшовных и электросварных труб диаметром: 50 мм (с учетом фасонных изделий)</t>
  </si>
  <si>
    <t>9.2.25</t>
  </si>
  <si>
    <t>Прокладка трубопроводов отопления стальных бесшовных и электросварных труб диаметром: 65 мм (с учетом фасонных изделий)</t>
  </si>
  <si>
    <t>9.2.26</t>
  </si>
  <si>
    <t>Прокладка трубопроводов отопления стальных бесшовных и электросварных труб диаметром: 80 мм (с учетом фасонных изделий)</t>
  </si>
  <si>
    <t>9.2.27</t>
  </si>
  <si>
    <t>Прокладка трубопроводов отопления из многослойных металл-полимерных труб диаметром 20 мм (с учетом фасонных изделий)</t>
  </si>
  <si>
    <t>9.2.28</t>
  </si>
  <si>
    <t>Прокладка трубопроводов отопления из многослойных металл-полимерных труб диаметром 25 мм (с учетом фасонных изделий)</t>
  </si>
  <si>
    <t>9.2.29</t>
  </si>
  <si>
    <t>Прокладка трубопроводов отопления из многослойных металл-полимерных труб диаметром 50 мм (с учетом фасонных изделий)</t>
  </si>
  <si>
    <t>9.2.30</t>
  </si>
  <si>
    <t>Прокладка трубопроводов отопления из многослойных металл-полимерных труб диаметром 63 мм (с учетом фасонных изделий)</t>
  </si>
  <si>
    <t>9.2.31</t>
  </si>
  <si>
    <t>Прокладка трубопроводов отопления из многослойных полипропиленовых труб диаметром 20 мм (с учетом фасонных изделий)</t>
  </si>
  <si>
    <t>9.2.32</t>
  </si>
  <si>
    <t>Прокладка трубопроводов отопления из многослойных полипропиленовых труб диаметром 25 мм (с учетом фасонных изделий)</t>
  </si>
  <si>
    <t>9.2.33</t>
  </si>
  <si>
    <t>Прокладка трубопроводов отопления из многослойных полипропиленовых труб диаметром 50 мм (с учетом фасонных изделий)</t>
  </si>
  <si>
    <t>9.2.34</t>
  </si>
  <si>
    <t>Прокладка трубопроводов отопления из многослойных полипропиленовых труб диаметром 80 мм (с учетом фасонных изделий)</t>
  </si>
  <si>
    <t>9.2.35</t>
  </si>
  <si>
    <t>Прокладка трубопроводов отопления из стальных водогазопроводных неоцинкованных труб диаметром 15 мм (с учетом фасонных изделий)</t>
  </si>
  <si>
    <t>9.2.36</t>
  </si>
  <si>
    <t>Прокладка трубопроводов отопления из стальных водогазопроводных неоцинкованных труб диаметром 20 мм (с учетом фасонных изделий)</t>
  </si>
  <si>
    <t>9.2.37</t>
  </si>
  <si>
    <t>Прокладка трубопроводов отопления из стальных водогазопроводных неоцинкованных труб диаметром 25 мм (с учетом фасонных изделий)</t>
  </si>
  <si>
    <t>9.2.38</t>
  </si>
  <si>
    <t>Прокладка трубопроводов отопления из стальных водогазопроводных неоцинкованных труб диаметром 32 мм (с учетом фасонных изделий)</t>
  </si>
  <si>
    <t>9.2.39</t>
  </si>
  <si>
    <t>Прокладка трубопроводов отопления из стальных водогазопроводных неоцинкованных труб диаметром 40 мм (с учетом фасонных изделий)</t>
  </si>
  <si>
    <t>9.2.40</t>
  </si>
  <si>
    <t>Прокладка трубопроводов отопления из стальных водогазопроводных неоцинкованных труб диаметром 50 мм (с учетом фасонных изделий)</t>
  </si>
  <si>
    <t>9.2.41</t>
  </si>
  <si>
    <t>Прокладка трубопроводов теплснабжения из стальных бесшовных горячекатанных труб диаметром 102 мм (с учетом фасонных изделий)</t>
  </si>
  <si>
    <t>9.2.42</t>
  </si>
  <si>
    <t>Прокладка трубопроводов теплснабжения из стальных бесшовных горячекатанных труб диаметром 108 мм (с учетом фасонных изделий)</t>
  </si>
  <si>
    <t>9.2.43</t>
  </si>
  <si>
    <t>Прокладка трубопроводов теплснабжения из стальных бесшовных горячекатанных труб диаметром 133 мм (с учетом фасонных изделий)</t>
  </si>
  <si>
    <t>9.2.44</t>
  </si>
  <si>
    <t>Прокладка трубопроводов теплснабжения из стальных бесшовных горячекатанных труб диаметром 159 мм (с учетом фасонных изделий)</t>
  </si>
  <si>
    <t>9.2.45</t>
  </si>
  <si>
    <t>Прокладка трубопроводов теплснабжения из стальных бесшовных горячекатанных труб диаметром 32 мм (с учетом фасонных изделий)</t>
  </si>
  <si>
    <t>9.2.46</t>
  </si>
  <si>
    <t>Прокладка трубопроводов теплснабжения из стальных бесшовных горячекатанных труб диаметром 40 мм (с учетом фасонных изделий)</t>
  </si>
  <si>
    <t>9.2.47</t>
  </si>
  <si>
    <t>Прокладка трубопроводов теплснабжения из стальных бесшовных горячекатанных труб диаметром 50 мм (с учетом фасонных изделий)</t>
  </si>
  <si>
    <t>9.2.48</t>
  </si>
  <si>
    <t>Прокладка трубопроводов теплснабжения из стальных бесшовных горячекатанных труб диаметром 76 мм (с учетом фасонных изделий)</t>
  </si>
  <si>
    <t>9.2.49</t>
  </si>
  <si>
    <t>Прочистка и промывка радиаторов отопления</t>
  </si>
  <si>
    <t>9.2.50</t>
  </si>
  <si>
    <t>Слив и наполнение водой системы отопления</t>
  </si>
  <si>
    <t>9.2.51</t>
  </si>
  <si>
    <t>Установка байпаса с 2-мя шаровыми кранами (под ключ)</t>
  </si>
  <si>
    <t>9.2.52</t>
  </si>
  <si>
    <t>Установка байпаса с 3-мя шаровыми кранами (под ключ)</t>
  </si>
  <si>
    <t>9.2.53</t>
  </si>
  <si>
    <t>Установка блока питания импульсного</t>
  </si>
  <si>
    <t>9.2.54</t>
  </si>
  <si>
    <t>Установка в системах водоснабжения и отопления клапана предохранительного (под ключ)</t>
  </si>
  <si>
    <t>9.2.55</t>
  </si>
  <si>
    <t>Установка в системах водоснабжения и отопления расходомера (под ключ)</t>
  </si>
  <si>
    <t>9.2.56</t>
  </si>
  <si>
    <t>Установка воздухоотводчика в системе отопления (под ключ)</t>
  </si>
  <si>
    <t>9.2.57</t>
  </si>
  <si>
    <t>Установка гильзы в перекрытие (труба стальная D 76 мм, длина 400 мм) /Прокладка трубопроводов отопления и водоснабжения из стальных электросварных труб диаметром 80 мм</t>
  </si>
  <si>
    <t>9.2.58</t>
  </si>
  <si>
    <t>Установка датчика избыточного давления 0..1,6 Мпа</t>
  </si>
  <si>
    <t>9.2.59</t>
  </si>
  <si>
    <t>Установка двух/трехходового клапана с сервоприводом</t>
  </si>
  <si>
    <t>9.2.60</t>
  </si>
  <si>
    <t>Установка клапана для подключения расширительного бака в системах водоснабжения и отопления</t>
  </si>
  <si>
    <t>9.2.61</t>
  </si>
  <si>
    <t>Установка клапана приемного в системах водоснабжения и отопления (под ключ)</t>
  </si>
  <si>
    <t>9.2.62</t>
  </si>
  <si>
    <t>Установка манометра с трехходовым краном</t>
  </si>
  <si>
    <t>9.2.63</t>
  </si>
  <si>
    <t>Установка муфтовых вентилей, задвижек, затворов, клапанов обратных, кранов проходных на трубопроводах из полипропиленовых труб диаметром до 100 мм</t>
  </si>
  <si>
    <t>9.2.64</t>
  </si>
  <si>
    <t>Установка муфтовых вентилей, задвижек, затворов, клапанов обратных, кранов проходных на трубопроводах из полипропиленовых труб диаметром до 150 мм</t>
  </si>
  <si>
    <t>9.2.65</t>
  </si>
  <si>
    <t>Установка муфтовых вентилей, задвижек, затворов, клапанов обратных, кранов проходных на трубопроводах из полипропиленовых труб диаметром до 25 мм</t>
  </si>
  <si>
    <t>9.2.66</t>
  </si>
  <si>
    <t>Установка муфтовых вентилей, задвижек, затворов, клапанов обратных, кранов проходных на трубопроводах из полипропиленовых труб диаметром до 50 мм</t>
  </si>
  <si>
    <t>9.2.67</t>
  </si>
  <si>
    <t>Установка муфтовых вентилей, задвижек, затворов, клапанов обратных, кранов проходных на трубопроводах из стальных труб диаметром до 100 мм</t>
  </si>
  <si>
    <t>9.2.68</t>
  </si>
  <si>
    <t>Установка муфтовых вентилей, задвижек, затворов, клапанов обратных, кранов проходных на трубопроводах из стальных труб диаметром до 150 мм</t>
  </si>
  <si>
    <t>9.2.69</t>
  </si>
  <si>
    <t>Установка муфтовых вентилей, задвижек, затворов, клапанов обратных, кранов проходных на трубопроводах из стальных труб диаметром до 25 мм</t>
  </si>
  <si>
    <t>9.2.70</t>
  </si>
  <si>
    <t>Установка муфтовых вентилей, задвижек, затворов, клапанов обратных, кранов проходных на трубопроводах из стальных труб диаметром до 50 мм</t>
  </si>
  <si>
    <t>9.2.71</t>
  </si>
  <si>
    <t>Установка насоса центробежного с электродвигателем в системах водоснабжения и отопления (с монтажом фланцев)</t>
  </si>
  <si>
    <t>9.2.72</t>
  </si>
  <si>
    <t>Установка подводки гибкой</t>
  </si>
  <si>
    <t>9.2.73</t>
  </si>
  <si>
    <t>Установка преобразователя расхода 1-поточный</t>
  </si>
  <si>
    <t>9.2.74</t>
  </si>
  <si>
    <t>Установка преобразователя расхода 2-поточный</t>
  </si>
  <si>
    <t>9.2.75</t>
  </si>
  <si>
    <t>Установка преобразователя расхода 4-поточный</t>
  </si>
  <si>
    <t>9.2.76</t>
  </si>
  <si>
    <t>Установка радиатора стального, любой кофигурации (под ключ)</t>
  </si>
  <si>
    <t>9.2.77</t>
  </si>
  <si>
    <t>Установка смесительного узла с учетом наладки</t>
  </si>
  <si>
    <t>9.2.78</t>
  </si>
  <si>
    <t>Установка счетчиков потребления тепловой энергии c цифровым выходом</t>
  </si>
  <si>
    <t>9.2.79</t>
  </si>
  <si>
    <t>Установка тепловычислителя</t>
  </si>
  <si>
    <t>9.2.80</t>
  </si>
  <si>
    <t>Установка термометра в оправе прямых и угловых</t>
  </si>
  <si>
    <t>9.2.81</t>
  </si>
  <si>
    <t>Установка термометра сопротивления</t>
  </si>
  <si>
    <t>9.2.82</t>
  </si>
  <si>
    <t>Установка термопреобразователей</t>
  </si>
  <si>
    <t>9.2.83</t>
  </si>
  <si>
    <t>Установка трубы гофрированной из нержавеющей стали с учетом муфт</t>
  </si>
  <si>
    <t>9.2.84</t>
  </si>
  <si>
    <t>Установка устройства считывания</t>
  </si>
  <si>
    <t>9.2.85</t>
  </si>
  <si>
    <t>Установка фланцевых вентилей, задвижек, затворов, клапанов обратных, кранов проходных на трубопроводах из стальных труб диаметром до 100 мм</t>
  </si>
  <si>
    <t>9.2.86</t>
  </si>
  <si>
    <t>Установка фланцевых вентилей, задвижек, затворов, клапанов обратных, кранов проходных на трубопроводах из стальных труб диаметром до 150 мм</t>
  </si>
  <si>
    <t>9.2.87</t>
  </si>
  <si>
    <t>Установка фланцевых вентилей, задвижек, затворов, клапанов обратных, кранов проходных на трубопроводах из стальных труб диаметром до 25 мм</t>
  </si>
  <si>
    <t>9.2.88</t>
  </si>
  <si>
    <t>Установка фланцевых вентилей, задвижек, затворов, клапанов обратных, кранов проходных на трубопроводах из стальных труб диаметром до 50 мм</t>
  </si>
  <si>
    <t>9.2.89</t>
  </si>
  <si>
    <t>Установка циркуляционного насоса в систему отопления на готовое основание</t>
  </si>
  <si>
    <t>9.2.90</t>
  </si>
  <si>
    <t>Установка шкафа скоммутированного металлического для теплосчетчика</t>
  </si>
  <si>
    <t>9.2.91</t>
  </si>
  <si>
    <t>Установка электромагнитного теплосчетчика</t>
  </si>
  <si>
    <t>9.2.92</t>
  </si>
  <si>
    <t>Установка закладных устройств приборов, бобышки, штуцеры (под установку манометров, термометров, спускников)</t>
  </si>
  <si>
    <t>9.2.93</t>
  </si>
  <si>
    <t>Ремонт стального трубопровода диаметром до 50 мм (1 место ремонта) (1. Доставка рабочих к месту производства работ и обратно 2. Внешний осмотр 3. Ремонт трубопровода электрогазосваркой 4. Гидроиспытание)</t>
  </si>
  <si>
    <t>9.2.94</t>
  </si>
  <si>
    <t>Ремонт стального трубопровода диаметром до 80 мм (1 место ремонта) (1. Доставка рабочих к месту производства работ и обратно 2. Внешний осмотр 3. Ремонт трубопровода электрогазосваркой 4. Гидроиспытание)</t>
  </si>
  <si>
    <t>9.2.95</t>
  </si>
  <si>
    <t>Ремонт стального трубопровода диаметром до 100 мм (1 место ремонта) (1. Доставка рабочих к месту производства работ и обратно 2. Внешний осмотр 3. Ремонт трубопровода электрогазосваркой 4. Гидроиспытание)</t>
  </si>
  <si>
    <t>9.2.96</t>
  </si>
  <si>
    <t>Поверка манометра (Техническое обслуживание) (1 шт)</t>
  </si>
  <si>
    <t>9.2.97</t>
  </si>
  <si>
    <t>Проведение лабораторного химического анализа жесткости воды</t>
  </si>
  <si>
    <t>9.2.98</t>
  </si>
  <si>
    <t>Повторный вызов представителей ПАО «МОЭК» для приемки к зимней эксплуатации теплофикационного оборудования зданий (в расчете на одно здание), кроме ЦТП/ИТП</t>
  </si>
  <si>
    <t>9.2.N1</t>
  </si>
  <si>
    <t>Демонтаж радиатора отопления с заглушением подводок</t>
  </si>
  <si>
    <t>9.2.N2</t>
  </si>
  <si>
    <t>Демонтаж стальных трубопроводов отопления/водоснабжения до Ду50 (газорезка)</t>
  </si>
  <si>
    <t>9.2.N3</t>
  </si>
  <si>
    <t>Замена термостатического клапана/термоголовки радиатора</t>
  </si>
  <si>
    <t>9.2.N4</t>
  </si>
  <si>
    <t>Установка внутрипольного/настенного водяного конвектора с подключением</t>
  </si>
  <si>
    <t>9.2.N5</t>
  </si>
  <si>
    <t>Опрессовка системы отопления здания/ИТП с оформлением акта (до 10 стояков)</t>
  </si>
  <si>
    <t>система</t>
  </si>
  <si>
    <t>9.2.N6</t>
  </si>
  <si>
    <t>Подготовка ИТП/теплового пункта к отопительному сезону (ревизия арматуры, промывка, опрессовка, акт)</t>
  </si>
  <si>
    <t>9.2.N7</t>
  </si>
  <si>
    <t>Ревизия задвижки/затвора Ду50–100 (замена набивки, прокладок)</t>
  </si>
  <si>
    <t>9.2.N8</t>
  </si>
  <si>
    <t>Замена прокладок фланцевого соединения Ду50–100</t>
  </si>
  <si>
    <t>соед.</t>
  </si>
  <si>
    <t>9.2.N9</t>
  </si>
  <si>
    <t>Установка балансировочного клапана Ду15–32</t>
  </si>
  <si>
    <t>9.2.N10</t>
  </si>
  <si>
    <t>Подключение водяной тепловой завесы к теплоносителю (узел обвязки с арматурой)</t>
  </si>
  <si>
    <t>9.2.N11</t>
  </si>
  <si>
    <t>Монтаж узла обвязки водяного калорифера приточной установки (насос, 3-ход. клапан, арматура)</t>
  </si>
  <si>
    <t>9.2.N12</t>
  </si>
  <si>
    <t>Окраска трубопроводов отопления/водоснабжения за 2 раза (без грунтовки)</t>
  </si>
  <si>
    <t>9.2.N13</t>
  </si>
  <si>
    <t>Установка мембранного расширительного бака до 100 л</t>
  </si>
  <si>
    <t>9.4 Система водоснабжения</t>
  </si>
  <si>
    <t>9.4.1</t>
  </si>
  <si>
    <t>Водомерный узел, собранный в блок, без обводной линии диаметром ввода до 65 мм, диаметром водомера до 40 мм</t>
  </si>
  <si>
    <t>9.4.2</t>
  </si>
  <si>
    <t>Водомерный узел, собранный в блок, без обводной линиии диаметром ввода до 100 мм, диаметром водомера до 80 мм</t>
  </si>
  <si>
    <t>9.4.3</t>
  </si>
  <si>
    <t>Водомерный узел, собранный в блок, с обводной линией диаметром ввода до 100 мм, диаметром водомера до 80 мм</t>
  </si>
  <si>
    <t>9.4.4</t>
  </si>
  <si>
    <t>Водомерный узел, собранный в блок, с обводной линией диаметром ввода до 65 мм, диаметром водомера до 40 мм</t>
  </si>
  <si>
    <t>9.4.5</t>
  </si>
  <si>
    <t>Гидравлическое испытание nрубопроводов систем отопления, водопровода и горячего водоснабжения диаметром до 100 мм</t>
  </si>
  <si>
    <t>9.4.6</t>
  </si>
  <si>
    <t>Гидравлическое испытание nрубопроводов систем отопления, водопровода и горячего водоснабжения диаметром до 50 мм</t>
  </si>
  <si>
    <t>9.4.7</t>
  </si>
  <si>
    <t>Монтаж водонагревателей электрических накопительных (емкостных) объемом: до 50 л</t>
  </si>
  <si>
    <t>9.4.8</t>
  </si>
  <si>
    <t>Монтаж водонагревателей электрических накопительных (емкостных) объемом: свыше 100 л</t>
  </si>
  <si>
    <t>9.4.9</t>
  </si>
  <si>
    <t>Монтаж водонагревателей электрических накопительных (емкостных) объемом: свыше 50 до 100 л</t>
  </si>
  <si>
    <t>9.4.10</t>
  </si>
  <si>
    <t>Прокладка трубопровода отопления и водоснабжения из стальных электросварных труб диаметром до 100 мм (с учетом фасонных изделий)</t>
  </si>
  <si>
    <t>9.4.11</t>
  </si>
  <si>
    <t>Прокладка трубопровода отопления и водоснабжения из стальных электросварных труб диаметром до 50 мм (с учетом фасонных изделий)</t>
  </si>
  <si>
    <t>9.4.12</t>
  </si>
  <si>
    <t>Прокладка трубопроводов водоснабжения из стальных водогазопроводных оцинкованных труб диаметром 15 мм (с учетом фасонных изделий)</t>
  </si>
  <si>
    <t>9.4.13</t>
  </si>
  <si>
    <t>Прокладка трубопроводов водоснабжения из стальных водогазопроводных оцинкованных труб диаметром 20 мм (с учетом фасонных изделий)</t>
  </si>
  <si>
    <t>9.4.14</t>
  </si>
  <si>
    <t>Прокладка трубопроводов водоснабжения из стальных водогазопроводных оцинкованных труб диаметром 25 мм</t>
  </si>
  <si>
    <t>9.4.15</t>
  </si>
  <si>
    <t>Прокладка трубопроводов водоснабжения из стальных водогазопроводных оцинкованных труб диаметром 32 мм (с учетом фасонных изделий)</t>
  </si>
  <si>
    <t>9.4.16</t>
  </si>
  <si>
    <t>Прокладка трубопроводов водоснабжения из стальных водогазопроводных оцинкованных труб диаметром 40 мм</t>
  </si>
  <si>
    <t>9.4.17</t>
  </si>
  <si>
    <t>Прокладка трубопроводов водоснабжения из стальных водогазопроводных оцинкованных труб диаметром 50 мм (с учетом фасонных изделий)</t>
  </si>
  <si>
    <t>9.4.18</t>
  </si>
  <si>
    <t>Прокладка трубопроводов противопожарного водоснабжения из стальных труб диаметром до 50 мм (с учетом фасонных изделий)</t>
  </si>
  <si>
    <t>9.4.19</t>
  </si>
  <si>
    <t>Трубопровод водоснабжения из многослойных металл-полимерных труб диаметром 15 мм (с учетом фасонных изделий)</t>
  </si>
  <si>
    <t>9.4.20</t>
  </si>
  <si>
    <t>Трубопровод водоснабжения из многослойных металл-полимерных труб диаметром 20 мм (с учетом фасонных изделий)</t>
  </si>
  <si>
    <t>9.4.21</t>
  </si>
  <si>
    <t>Трубопровод водоснабжения из многослойных металл-полимерных труб диаметром 25 мм (с учетом фасонных изделий)</t>
  </si>
  <si>
    <t>9.4.22</t>
  </si>
  <si>
    <t>Трубопровод водоснабжения из многослойных металл-полимерных труб диаметром 32 мм (с учетом фасонных изделий)</t>
  </si>
  <si>
    <t>9.4.23</t>
  </si>
  <si>
    <t>Трубопровод водоснабжения из многослойных металл-полимерных труб диаметром 40 мм (с учетом фасонных изделий)</t>
  </si>
  <si>
    <t>9.4.24</t>
  </si>
  <si>
    <t>Трубопровод водоснабжения из многослойных металл-полимерных труб диаметром 50 мм (с учетом фасонных изделий)</t>
  </si>
  <si>
    <t>9.4.25</t>
  </si>
  <si>
    <t>Трубопровод водоснабжения из многослойных металл-полимерных труб диаметром 63 мм (с учетом фасонных изделий)</t>
  </si>
  <si>
    <t>9.4.26</t>
  </si>
  <si>
    <t>Трубопровод водоснабжения из напорных полиэтиленовых труб диаметром 110 мм (с учетом фасонных изделий) на клее</t>
  </si>
  <si>
    <t>9.4.27</t>
  </si>
  <si>
    <t>Трубопровод водоснабжения из напорных полиэтиленовых труб диаметром 20 мм (с учетом фасонных изделий) на клее</t>
  </si>
  <si>
    <t>9.4.28</t>
  </si>
  <si>
    <t>Трубопровод водоснабжения из напорных полиэтиленовых труб диаметром 25 мм (с учетом фасонных изделий) на клее</t>
  </si>
  <si>
    <t>9.4.29</t>
  </si>
  <si>
    <t>Трубопровод водоснабжения из напорных полиэтиленовых труб диаметром 32 мм (с учетом фасонных изделий) на клее</t>
  </si>
  <si>
    <t>9.4.30</t>
  </si>
  <si>
    <t>Трубопровод водоснабжения из напорных полиэтиленовых труб диаметром 40 мм (с учетом фасонных изделий) на клее</t>
  </si>
  <si>
    <t>9.4.31</t>
  </si>
  <si>
    <t>Трубопровод водоснабжения из напорных полиэтиленовых труб диаметром 50 мм (с учетом фасонных изделий) на клее</t>
  </si>
  <si>
    <t>9.4.32</t>
  </si>
  <si>
    <t>Трубопровод водоснабжения из напорных полиэтиленовых труб диаметром 63 мм (с учетом фасонных изделий) на клее</t>
  </si>
  <si>
    <t>9.4.33</t>
  </si>
  <si>
    <t>Трубопровод водоснабжения из напорных полиэтиленовых труб диаметром 75 мм (с учетом фасонных изделий) на клее</t>
  </si>
  <si>
    <t>9.4.34</t>
  </si>
  <si>
    <t>Трубопровод водоснабжения из напорных полиэтиленовых труб диаметром 90 мм (с учетом фасонных изделий) на клее</t>
  </si>
  <si>
    <t>9.4.35</t>
  </si>
  <si>
    <t>Трубопровод водоснабжения из полипропиленовых труб диаметром 20 мм (с учетом фасонных изделий)</t>
  </si>
  <si>
    <t>9.4.36</t>
  </si>
  <si>
    <t>Трубопровод водоснабжения из полипропиленовых труб диаметром 25 мм (с учетом фасонных изделий)</t>
  </si>
  <si>
    <t>9.4.37</t>
  </si>
  <si>
    <t>Трубопровод водоснабжения из полипропиленовых труб диаметром 32 мм (с учетом фасонных изделий)</t>
  </si>
  <si>
    <t>9.4.38</t>
  </si>
  <si>
    <t>Трубопровод водоснабжения из полипропиленовых труб диаметром 40 мм (с учетом фасонных изделий)</t>
  </si>
  <si>
    <t>9.4.39</t>
  </si>
  <si>
    <t>Трубопровод водоснабжения из полипропиленовых труб диаметром 50 мм (с учетом фасонных изделий)</t>
  </si>
  <si>
    <t>9.4.40</t>
  </si>
  <si>
    <t>Трубопровод водоснабжения из полипропиленовых труб диаметром 63 мм (с учетом фасонных изделий)</t>
  </si>
  <si>
    <t>9.4.41</t>
  </si>
  <si>
    <t>Трубопровод водоснабжения из полипропиленовых труб диаметром 75 мм (с учетом фасонных изделий)</t>
  </si>
  <si>
    <t>9.4.42</t>
  </si>
  <si>
    <t>Трубопровод водоснабжения из полипропиленовых труб диаметром 90 мм (с учетом фасонных изделий)</t>
  </si>
  <si>
    <t>9.4.43</t>
  </si>
  <si>
    <t>Установка вентилей, задвижек, затворов, клапанов обратных, кранов проходных на трубопроводах из полипропиленовых труб на сварке диаметром: до 100 мм</t>
  </si>
  <si>
    <t>9.4.44</t>
  </si>
  <si>
    <t>Установка вентилей, задвижек, затворов, клапанов обратных, кранов проходных на трубопроводах из полипропиленовых труб на сварке диаметром: до 25 мм</t>
  </si>
  <si>
    <t>9.4.45</t>
  </si>
  <si>
    <t>Установка вентилей, задвижек, затворов, клапанов обратных, кранов проходных на трубопроводах из полипропиленовых труб на сварке диаметром: до 50 мм</t>
  </si>
  <si>
    <t>9.4.46</t>
  </si>
  <si>
    <t>Установка в системе водоснабжения фильтра диаметром 25 мм (под ключ)</t>
  </si>
  <si>
    <t>9.4.47</t>
  </si>
  <si>
    <t>Установка в системе водоснабжения фильтра диаметром 32 мм (под ключ)</t>
  </si>
  <si>
    <t>9.4.48</t>
  </si>
  <si>
    <t>Установка в системе водоснабжения фильтра диаметром 40 мм (под ключ)</t>
  </si>
  <si>
    <t>9.4.49</t>
  </si>
  <si>
    <t>Установка в системе водоснабжения фильтра диаметром 50 мм (под ключ)</t>
  </si>
  <si>
    <t>9.4.50</t>
  </si>
  <si>
    <t>Установка кранов пожарных диаметром 50 мм</t>
  </si>
  <si>
    <t>9.4.51</t>
  </si>
  <si>
    <t>Установка кранов поливочных диаметром: 25 мм</t>
  </si>
  <si>
    <t>9.4.52</t>
  </si>
  <si>
    <t>Установка муфтовых вентилей, задвижек, затворов, клапанов обратных, кранов проходных на трубопроводах из пластиковых труб диаметром: до 100 мм</t>
  </si>
  <si>
    <t>9.4.53</t>
  </si>
  <si>
    <t>Установка муфтовых вентилей, задвижек, затворов, клапанов обратных, кранов проходных на трубопроводах из пластиковых труб диаметром: до 25 мм</t>
  </si>
  <si>
    <t>9.4.54</t>
  </si>
  <si>
    <t>Установка муфтовых вентилей, задвижек, затворов, клапанов обратных, кранов проходных на трубопроводах из пластиковых труб диаметром: до 50 мм</t>
  </si>
  <si>
    <t>9.4.55</t>
  </si>
  <si>
    <t>Установка муфтовых вентилей, задвижек, затворов, клапанов обратных, кранов проходных на трубопроводах из стальных труб диаметром: до 100 мм</t>
  </si>
  <si>
    <t>9.4.56</t>
  </si>
  <si>
    <t>Установка муфтовых вентилей, задвижек, затворов, клапанов обратных, кранов проходных на трубопроводах из стальных труб диаметром: до 150 мм</t>
  </si>
  <si>
    <t>9.4.57</t>
  </si>
  <si>
    <t>Установка муфтовых вентилей, задвижек, затворов, клапанов обратных, кранов проходных на трубопроводах из стальных труб диаметром: до 25 мм</t>
  </si>
  <si>
    <t>9.4.58</t>
  </si>
  <si>
    <t>Установка муфтовых вентилей, задвижек, затворов, клапанов обратных, кранов проходных на трубопроводах из стальных труб диаметром: до 50 мм</t>
  </si>
  <si>
    <t>9.4.59</t>
  </si>
  <si>
    <t>Установка опорных конструкций для крепления трубопроводов внутри зданий и сооружений</t>
  </si>
  <si>
    <t>9.4.60</t>
  </si>
  <si>
    <t>Установка полотенцесушителей: из водогазопроводных труб</t>
  </si>
  <si>
    <t>9.4.61</t>
  </si>
  <si>
    <t>Установка полотенцесушителей: из латунных хромированных труб</t>
  </si>
  <si>
    <t>9.4.62</t>
  </si>
  <si>
    <t>Установка счетчика (водомера) диаметром до 100 мм</t>
  </si>
  <si>
    <t>9.4.63</t>
  </si>
  <si>
    <t>Установка счетчика (водомера) диаметром до 150 мм</t>
  </si>
  <si>
    <t>9.4.64</t>
  </si>
  <si>
    <t>Установка счетчика (водомера) диаметром до 40 мм</t>
  </si>
  <si>
    <t>9.4.65</t>
  </si>
  <si>
    <t>Установка счетчика (водомера) диаметром до 50 мм</t>
  </si>
  <si>
    <t>9.4.66</t>
  </si>
  <si>
    <t>Установка счетчика (водомера) диаметром до 80 мм</t>
  </si>
  <si>
    <t>9.4.67</t>
  </si>
  <si>
    <t>Установка фланцевых вентилей, задвижек, затворов, клапанов обратных, кранов проходных на трубопроводах из стальных труб диаметром: до 100 мм</t>
  </si>
  <si>
    <t>9.4.68</t>
  </si>
  <si>
    <t>Установка фланцевых вентилей, задвижек, затворов, клапанов обратных, кранов проходных на трубопроводах из стальных труб диаметром: до 150 мм</t>
  </si>
  <si>
    <t>9.4.69</t>
  </si>
  <si>
    <t>Установка фланцевых вентилей, задвижек, затворов, клапанов обратных, кранов проходных на трубопроводах из стальных труб диаметром: до 25 мм</t>
  </si>
  <si>
    <t>9.4.70</t>
  </si>
  <si>
    <t>Установка фланцевых вентилей, задвижек, затворов, клапанов обратных, кранов проходных на трубопроводах из стальных труб диаметром: до 50 мм</t>
  </si>
  <si>
    <t>9.4.71</t>
  </si>
  <si>
    <t>Установка пожарного шкафа</t>
  </si>
  <si>
    <t>9.4.N1</t>
  </si>
  <si>
    <t>Замена шарового крана Ду15–25 на действующей сети (с отключением и сливом)</t>
  </si>
  <si>
    <t>9.4.N2</t>
  </si>
  <si>
    <t>Установка редуктора давления Ду15–25</t>
  </si>
  <si>
    <t>9.4.N3</t>
  </si>
  <si>
    <t>Установка проточного электроводонагревателя</t>
  </si>
  <si>
    <t>9.4.N4</t>
  </si>
  <si>
    <t>Подключение технологического оборудования (ПММ, пароконвектомат, льдогенератор) к водопроводу и канализации</t>
  </si>
  <si>
    <t>9.4.N5</t>
  </si>
  <si>
    <t>Установка системы умягчения/фильтрации воды (колонна + обвязка) под ключ</t>
  </si>
  <si>
    <t>9.4.N6</t>
  </si>
  <si>
    <t>Замена картриджа магистрального фильтра</t>
  </si>
  <si>
    <t>9.4.N7</t>
  </si>
  <si>
    <t>Промывка и дезинфекция трубопроводов водоснабжения до Ду50 (с отбором проб)</t>
  </si>
  <si>
    <t>9.4.N8</t>
  </si>
  <si>
    <t>Перекатка пожарного рукава на новое ребро</t>
  </si>
  <si>
    <t>9.4.N9</t>
  </si>
  <si>
    <t>Проверка пожарного крана на водоотдачу с актом</t>
  </si>
  <si>
    <t>9.4.N10</t>
  </si>
  <si>
    <t>Установка повысительной насосной станции (до 3 насосов на раме) с подключением</t>
  </si>
  <si>
    <t>9.4.N11</t>
  </si>
  <si>
    <t>Демонтаж трубопроводов водоснабжения из пластмассовых труб до Ду63</t>
  </si>
  <si>
    <t>9.4.N12</t>
  </si>
  <si>
    <t>Установка счётчика воды Ду15–20 (резьбовой) с опломбировкой</t>
  </si>
  <si>
    <t>9.4.N13</t>
  </si>
  <si>
    <t>Установка системы защиты от протечек (краны с приводом + датчики), комплект</t>
  </si>
  <si>
    <t>9.3 Вентиляция и кондиционирование, тепловые завесы</t>
  </si>
  <si>
    <t>9.3.1</t>
  </si>
  <si>
    <t>Вакуумирование системы до 7 кВт</t>
  </si>
  <si>
    <t>9.3.2</t>
  </si>
  <si>
    <t>Вакуумирование системы до 10 кВт</t>
  </si>
  <si>
    <t>9.3.3</t>
  </si>
  <si>
    <t>Вакуумирование системы до 14 кВт</t>
  </si>
  <si>
    <t>9.3.4</t>
  </si>
  <si>
    <t>Вакуумирование системы до 20 кВт</t>
  </si>
  <si>
    <t>9.3.5</t>
  </si>
  <si>
    <t>Видеодиагностика воздуховодов технологической вентиляции (до 60 мп)</t>
  </si>
  <si>
    <t>9.3.6</t>
  </si>
  <si>
    <t>Видеодиагностика воздуховодов технологической вентиляции (свыше 60 мп)</t>
  </si>
  <si>
    <t>9.3.7</t>
  </si>
  <si>
    <t>Гидродинамическая промывка с применением хим.реагента внутренней поверхности воздуховодов, решеток струями высокого давления с предоставлением акта лаборатории (с забором смывов и предоставлением акта лаборатории)</t>
  </si>
  <si>
    <t>9.3.8</t>
  </si>
  <si>
    <t>Диагностика работоспособности кондиционера</t>
  </si>
  <si>
    <t>9.3.9</t>
  </si>
  <si>
    <t>Диагностика целостности прохождения хладагента на предмет утечек (течеискателем)</t>
  </si>
  <si>
    <t>9.3.10</t>
  </si>
  <si>
    <t>Замена вентилятора внешнего блока кондиционера</t>
  </si>
  <si>
    <t>9.3.11</t>
  </si>
  <si>
    <t>Замена вентилятора внутреннего блока</t>
  </si>
  <si>
    <t>9.3.12</t>
  </si>
  <si>
    <t>Замена дренажной помпы</t>
  </si>
  <si>
    <t>9.3.13</t>
  </si>
  <si>
    <t>Замена крыльчатки вентилятора охлаждения внешнего блока</t>
  </si>
  <si>
    <t>9.3.14</t>
  </si>
  <si>
    <t>Изоляция изделиями из вспененного каучука, вспененного полиэтилена трубопроводов наружным диметром: до 160 мм трубками</t>
  </si>
  <si>
    <t>9.3.15</t>
  </si>
  <si>
    <t>Изоляция плоских и криволинейных поверхностей плитами</t>
  </si>
  <si>
    <t>9.3.16</t>
  </si>
  <si>
    <t>Изоляция трубопроводов цилиндрами и полуцилиндрами из минеральной ваты на синтетическом связующем</t>
  </si>
  <si>
    <t>9.3.17</t>
  </si>
  <si>
    <t>Изоляция трубопроводов цилиндрами, полуцилиндрами и сегментами из пенопласта</t>
  </si>
  <si>
    <t>9.3.18</t>
  </si>
  <si>
    <t>Монтаж (пайка) разветвителя ( 3-х труб )</t>
  </si>
  <si>
    <t>9.3.19</t>
  </si>
  <si>
    <t>Монтаж антивандальной решетки №1 1000х500х 600</t>
  </si>
  <si>
    <t>9.3.20</t>
  </si>
  <si>
    <t>Монтаж антивандальной решетки №2 1200х700х1000</t>
  </si>
  <si>
    <t>9.3.21</t>
  </si>
  <si>
    <t>Монтаж антивандальной решетки №3 1300х900х1500</t>
  </si>
  <si>
    <t>9.3.22</t>
  </si>
  <si>
    <t>Монтаж гибкой ПВХ дренажной трубы</t>
  </si>
  <si>
    <t>9.3.23</t>
  </si>
  <si>
    <t>Монтаж каппилярной дренажной трубки</t>
  </si>
  <si>
    <t>9.3.24</t>
  </si>
  <si>
    <t>Монтаж мульти-сплит системы (2 наст. бл.) до 7,0 кВт</t>
  </si>
  <si>
    <t>9.3.25</t>
  </si>
  <si>
    <t>Монтаж мульти-сплит системы (3 наст. бл.) до 12,0 кВт</t>
  </si>
  <si>
    <t>9.3.26</t>
  </si>
  <si>
    <t>Монтаж мульти-сплит системы (4 наст. бл.) до 16,0 кВт</t>
  </si>
  <si>
    <t>9.3.27</t>
  </si>
  <si>
    <t>Монтаж наружн. Блока мощностью до 5 кВт</t>
  </si>
  <si>
    <t>9.3.28</t>
  </si>
  <si>
    <t>Монтаж наружн. Блока мощностью до 8 кВт</t>
  </si>
  <si>
    <t>9.3.29</t>
  </si>
  <si>
    <t>Монтаж наружн. Блока мощностью свыше 8 кВт</t>
  </si>
  <si>
    <t>9.3.30</t>
  </si>
  <si>
    <t>Монтаж обратного клапана</t>
  </si>
  <si>
    <t>9.3.31</t>
  </si>
  <si>
    <t>Настройка параметров, холодильного контура в рабочем режиме.</t>
  </si>
  <si>
    <t>9.3.32</t>
  </si>
  <si>
    <t>Настройка элементов системы автоматики и защитных устройств.</t>
  </si>
  <si>
    <t>9.3.33</t>
  </si>
  <si>
    <t>Очистка от жира с применением химреагентов вентиляторов с предоставлением акта лаборатории</t>
  </si>
  <si>
    <t>9.3.34</t>
  </si>
  <si>
    <t>Очистка от жира с применением химреагентов вытяжных зонтов с предоставлением акта лаборатории</t>
  </si>
  <si>
    <t>9.3.35</t>
  </si>
  <si>
    <t>Пайка трасс сечение до 1 дюйма за 1 пайку - ремонт ранее установленных</t>
  </si>
  <si>
    <t>9.3.36</t>
  </si>
  <si>
    <t>Пайка трасс сечением свыше 1 дюйма за пайку - ремонт ранее установленных</t>
  </si>
  <si>
    <t>9.3.37</t>
  </si>
  <si>
    <t>Перезаправка / Заправка хладагента</t>
  </si>
  <si>
    <t>9.3.38</t>
  </si>
  <si>
    <t>Продувка межблочной трассы азотом</t>
  </si>
  <si>
    <t>9.3.39</t>
  </si>
  <si>
    <t>Прокладка воздуховодов из листовой, оцинкованной стали и алюминия толщиной: 0,5 мм (с учетом фасоных деталей) периметром до 1000 мм</t>
  </si>
  <si>
    <t>9.3.40</t>
  </si>
  <si>
    <t>Прокладка воздуховодов из листовой, оцинкованной стали и алюминия толщиной: 0,6 мм, (с учетом фасоных деталей) диаметром до 250 мм</t>
  </si>
  <si>
    <t>9.3.41</t>
  </si>
  <si>
    <t>Прокладка воздуховодов из листовой, оцинкованной стали и алюминия толщиной: 0,6 мм, (с учетом фасоных деталей) диаметром до 450 мм</t>
  </si>
  <si>
    <t>9.3.42</t>
  </si>
  <si>
    <t>Прокладка воздуховодов из листовой, оцинкованной стали и алюминия толщиной: 0,7 мм, (с учетом фасоных деталей) периметром до 2400 мм</t>
  </si>
  <si>
    <t>9.3.43</t>
  </si>
  <si>
    <t>Прокладка воздуховодов из листовой, оцинкованной стали и алюминия толщиной: 0,7 мм, (с учетом фасоных деталей) диаметром до 800 мм</t>
  </si>
  <si>
    <t>9.3.44</t>
  </si>
  <si>
    <t>Прокладка воздуховодов из листовой, оцинкованной стали и алюминия толщиной: 0,9 м,(с учетом фасоных деталей), периметром до 5200 мм</t>
  </si>
  <si>
    <t>9.3.45</t>
  </si>
  <si>
    <t>Прокладка воздуховодов из листовой, оцинкованной стали и алюминия толщиной: 0,9 мм, (с учетом фасоных деталей) периметром до 4500 мм</t>
  </si>
  <si>
    <t>9.3.46</t>
  </si>
  <si>
    <t>Прокладка воздуховодов из листовой, оцинкованной стали и алюминия толщиной: 1,2 мм (с учетом фасоных деталей), диаметром 1600 мм</t>
  </si>
  <si>
    <t>9.3.47</t>
  </si>
  <si>
    <t>Прокладка воздуховодов из листовой, оцинкованной стали и алюминия толщиной: 1,2 мм (с учетом фасоных деталей), периметром до 5200 мм</t>
  </si>
  <si>
    <t>9.3.48</t>
  </si>
  <si>
    <t>Прокладка воздуховодов из листовой, оцинкованной стали и алюминия толщиной: 1,0 мм (с учетом фасоных деталей), диаметром до 1250 мм</t>
  </si>
  <si>
    <t>9.3.49</t>
  </si>
  <si>
    <t>Прокладка воздуховодов из нержавеющей стали толщиной 0,7 мм (с учетом фасоных деталей) нипельное соединение (1 м2) периметром до 4500мм</t>
  </si>
  <si>
    <t>9.3.50</t>
  </si>
  <si>
    <t>Прокладка воздуховодов из нержавеющей стали толщиной 0,7 мм (с учетом фасоных деталей) фланцевое соединение (1 м2) периметром до 3200мм</t>
  </si>
  <si>
    <t>9.3.51</t>
  </si>
  <si>
    <t>Прокладка воздуховодов из нержавеющей стали толщиной 1 мм (с учетом фасоных деталей) нипельное соединение (1 м2) периметром до 4500мм</t>
  </si>
  <si>
    <t>9.3.52</t>
  </si>
  <si>
    <t>Прокладка воздуховодов из нержавеющей стали толщиной 1 мм (с учетом фасоных деталей) фланцевое соединение (1 м2) периметром до 4500мм</t>
  </si>
  <si>
    <t>9.3.53</t>
  </si>
  <si>
    <t>Прокладка воздуховодов из нержавеющей стали толщиной 1,2 мм (с учетом фасоных деталей) нипельное соединение (1 м2) периметром до 4500мм</t>
  </si>
  <si>
    <t>9.3.54</t>
  </si>
  <si>
    <t>Прокладка воздуховодов из нержавеющей стали толщиной 1,2 мм (с учетом фасоных деталей) фланцевое соединение (1 м2) периметром до 4500мм</t>
  </si>
  <si>
    <t>9.3.55</t>
  </si>
  <si>
    <t>Прокладка трассы из трубы медной диаметром до 16 мм</t>
  </si>
  <si>
    <t>9.3.56</t>
  </si>
  <si>
    <t>Прокладка трассы из трубы медной диаметром до 25 мм</t>
  </si>
  <si>
    <t>9.3.57</t>
  </si>
  <si>
    <t>Прокладка трассы из трубы медной диаметром до 42 мм</t>
  </si>
  <si>
    <t>9.3.58</t>
  </si>
  <si>
    <t>Прокладка трассы из трубы медной диаметром до 67 мм</t>
  </si>
  <si>
    <t>9.3.59</t>
  </si>
  <si>
    <t>Разборка - сборка 1 блока кондиционера (внутреннего или наружного)</t>
  </si>
  <si>
    <t>9.3.60</t>
  </si>
  <si>
    <t>Разовое обслуживание кондиционера любого типа мощностью от 07-24 тыс.BTU обслуживание двух блоков (очистка и дезинфекция блоков, фильтров, радиатора, крыльчатки проверка дренажа и фреонопровода на герметичность, проверка эл.соединений)</t>
  </si>
  <si>
    <t>9.3.61</t>
  </si>
  <si>
    <t>Разовое обслуживание кондиционера любого типа мощностью от 28-36 тыс.BTU обслуживание двух блоков(очистка и дезинфекция блоков, фильтров, радиатора, крыльчатки проверка дренажа и фреонопровода на герметичность, проверка эл.соединений)</t>
  </si>
  <si>
    <t>9.3.62</t>
  </si>
  <si>
    <t>Разовое обслуживание кондиционера любого типа мощностью от 45-54 тыс.BTU обслуживание двух блоков(очистка и дезинфекция блоков, фильтров, радиатора, крыльчатки проверка дренажа и фреонопровода на герметичность, проверка эл.соединений)</t>
  </si>
  <si>
    <t>9.3.63</t>
  </si>
  <si>
    <t>Разовое обслуживание кондиционера любого типа мощностью от 60-90 тыс.BTU обслуживание двух блоков (очистка и дезинфекция блоков, проверка дренажа и фреонопровода на герметичность, дозаправка)</t>
  </si>
  <si>
    <t>9.3.64</t>
  </si>
  <si>
    <t>Сухая очистка внутренней поверхности воздуховодов, решеток</t>
  </si>
  <si>
    <t>9.3.65</t>
  </si>
  <si>
    <t>Техническое обслуживание тепловой завесы длиной до 1000 мм (чистка, проверка эл.соединений)</t>
  </si>
  <si>
    <t>9.3.66</t>
  </si>
  <si>
    <t>Техническое обслуживание тепловой завесы длиной до 1500 мм (чистка, проверка эл.соединений)</t>
  </si>
  <si>
    <t>9.3.67</t>
  </si>
  <si>
    <t>Техническое обслуживание тепловой завесы длиной до 2000 мм (чистка, проверка эл.соединений)</t>
  </si>
  <si>
    <t>9.3.68</t>
  </si>
  <si>
    <t>Установка вставки для фильтр-бокса</t>
  </si>
  <si>
    <t>9.3.69</t>
  </si>
  <si>
    <t>Установка агрегатов вентиляционных пылеулавливающих</t>
  </si>
  <si>
    <t>9.3.70</t>
  </si>
  <si>
    <t>Установка блока защиты кондиционера от эксплуатации ниже -5*С</t>
  </si>
  <si>
    <t>9.3.71</t>
  </si>
  <si>
    <t>Установка блока подключения тепловых завес</t>
  </si>
  <si>
    <t>9.3.72</t>
  </si>
  <si>
    <t>Установка блока ротации для 2-х кондиционеров (для серверных)</t>
  </si>
  <si>
    <t>9.3.73</t>
  </si>
  <si>
    <t>Установка вентиля 2-х ходового</t>
  </si>
  <si>
    <t>9.3.74</t>
  </si>
  <si>
    <t>Установка вентиля 3-х ходового</t>
  </si>
  <si>
    <t>9.3.75</t>
  </si>
  <si>
    <t>Установка вентиля 4-х ходового</t>
  </si>
  <si>
    <t>9.3.76</t>
  </si>
  <si>
    <t>Установка вентиляторов крышных массой: до 0,1 т</t>
  </si>
  <si>
    <t>9.3.77</t>
  </si>
  <si>
    <t>Установка вентиляторов крышных массой: до 0,2 т</t>
  </si>
  <si>
    <t>9.3.78</t>
  </si>
  <si>
    <t>Установка вентиляторов крышных массой: до 0,4 т</t>
  </si>
  <si>
    <t>9.3.79</t>
  </si>
  <si>
    <t>Установка вентиляторов крышных массой: до 0,7 т</t>
  </si>
  <si>
    <t>9.3.80</t>
  </si>
  <si>
    <t>Установка вентиляторов радиальных массой: до 0,05 т</t>
  </si>
  <si>
    <t>9.3.81</t>
  </si>
  <si>
    <t>Установка вентиляторов радиальных массой: свыше 0,05 до 0,12 т</t>
  </si>
  <si>
    <t>9.3.82</t>
  </si>
  <si>
    <t>Установка вентиляторов радиальных массой: свыше 0,12 до 0,2 т</t>
  </si>
  <si>
    <t>9.3.83</t>
  </si>
  <si>
    <t>Установка вентиляторов радиальных массой: свыше 0,2 до 0,4 т</t>
  </si>
  <si>
    <t>9.3.84</t>
  </si>
  <si>
    <t>Установка внутреннего блока канального типа мощностью: до 5 кВт</t>
  </si>
  <si>
    <t>9.3.85</t>
  </si>
  <si>
    <t>Установка внутреннего блока канального типа мощностью: до 8 кВт</t>
  </si>
  <si>
    <t>9.3.86</t>
  </si>
  <si>
    <t>Установка внутреннего блока канального типа мощностью: свыше 8 кВт</t>
  </si>
  <si>
    <t>9.3.87</t>
  </si>
  <si>
    <t>Установка внутреннего блока кассетного типа мощностью: до 5 кВт</t>
  </si>
  <si>
    <t>9.3.88</t>
  </si>
  <si>
    <t>Установка внутреннего блока кассетного типа мощностью: до 8 кВт</t>
  </si>
  <si>
    <t>9.3.89</t>
  </si>
  <si>
    <t>Установка внутреннего блока кассетного типа мощностью: свыше 8 кВт</t>
  </si>
  <si>
    <t>9.3.90</t>
  </si>
  <si>
    <t>Установка внутреннего блока напольного типа мощностью: до 5 кВт</t>
  </si>
  <si>
    <t>9.3.91</t>
  </si>
  <si>
    <t>Установка внутреннего блока напольного типа мощностью: до 8 кВт</t>
  </si>
  <si>
    <t>9.3.92</t>
  </si>
  <si>
    <t>Установка внутреннего блока напольного типа мощностью: свыше 8 кВт</t>
  </si>
  <si>
    <t>9.3.93</t>
  </si>
  <si>
    <t>Установка внутреннего блока настенного типа мощностью: до 5 кВт</t>
  </si>
  <si>
    <t>9.3.94</t>
  </si>
  <si>
    <t>Установка внутреннего блока настенного типа мощностью: до 8 кВт</t>
  </si>
  <si>
    <t>9.3.95</t>
  </si>
  <si>
    <t>Установка внутреннего блока настенного типа мощностью: свыше 8 кВт</t>
  </si>
  <si>
    <t>9.3.96</t>
  </si>
  <si>
    <t>Установка воздухонагревателя/воздухоохладителя электрического</t>
  </si>
  <si>
    <t>9.3.97</t>
  </si>
  <si>
    <t>Установка воздухонагревателя/теплообменника/калорифера весом до 0,1 тн</t>
  </si>
  <si>
    <t>9.3.98</t>
  </si>
  <si>
    <t>Установка воздухонагревателя/теплообменника/калорифера весом до 0,2 тн</t>
  </si>
  <si>
    <t>9.3.99</t>
  </si>
  <si>
    <t>Установка воздухонагревателя/теплообменника/калорифера весом до 0,3 тн</t>
  </si>
  <si>
    <t>9.3.100</t>
  </si>
  <si>
    <t>Установка воздухонагревателя/теплообменника/калорифера весом до 0,4 тн</t>
  </si>
  <si>
    <t>9.3.101</t>
  </si>
  <si>
    <t>Установка воздухораспределителей, предназначенных для подачи воздуха: в рабочую зону, массой до 20 кг</t>
  </si>
  <si>
    <t>9.3.102</t>
  </si>
  <si>
    <t>Установка воздухораспределителей, предназначенных для подачи воздуха: в рабочую зону, массой до 50 кг</t>
  </si>
  <si>
    <t>9.3.103</t>
  </si>
  <si>
    <t>Установка воздушного клапана</t>
  </si>
  <si>
    <t>9.3.104</t>
  </si>
  <si>
    <t>Установка вставки для фильтра карманного</t>
  </si>
  <si>
    <t>9.3.105</t>
  </si>
  <si>
    <t>Установка вставки кассетной фильтрующей</t>
  </si>
  <si>
    <t>9.3.106</t>
  </si>
  <si>
    <t>Установка вставок гибких к радиальным вентиляторам</t>
  </si>
  <si>
    <t>9.3.107</t>
  </si>
  <si>
    <t>Установка датчиков, термостатов (температуры, давления)</t>
  </si>
  <si>
    <t>9.3.108</t>
  </si>
  <si>
    <t>Установка заслонок воздушных клапанов с электрическим приводом</t>
  </si>
  <si>
    <t>9.3.109</t>
  </si>
  <si>
    <t>Установка заслонок воздушных клапанов с ручным приводом</t>
  </si>
  <si>
    <t>9.3.110</t>
  </si>
  <si>
    <t>Установка зонтов над оборудованием</t>
  </si>
  <si>
    <t>9.3.111</t>
  </si>
  <si>
    <t>Установка канального электронагревателя</t>
  </si>
  <si>
    <t>9.3.112</t>
  </si>
  <si>
    <t>Установка кожуха для защиты двигателя вентилятора</t>
  </si>
  <si>
    <t>9.3.113</t>
  </si>
  <si>
    <t>Установка коллектора жира</t>
  </si>
  <si>
    <t>9.3.114</t>
  </si>
  <si>
    <t>Установка комплекта NEMA для частотного преобразовтаеля</t>
  </si>
  <si>
    <t>9.3.115</t>
  </si>
  <si>
    <t>Установка модуля подключения завес c IP54</t>
  </si>
  <si>
    <t>9.3.116</t>
  </si>
  <si>
    <t>Установка низкотемпературного комплекта до -30 градусов (подогрев компрессора, подогрев дренажа, регулятор оборотов вентилятора нар. блока)</t>
  </si>
  <si>
    <t>9.3.117</t>
  </si>
  <si>
    <t>Установка очистителя воздуха Tion Ext X (подвесной способ монтажа) весом до 0,1 тн</t>
  </si>
  <si>
    <t>9.3.118</t>
  </si>
  <si>
    <t>Установка очистителя воздуха Tion Ext X (подвесной способ монтажа) весом от 0,1 до 0,2 тн</t>
  </si>
  <si>
    <t>9.3.119</t>
  </si>
  <si>
    <t>Установка очистителя воздуха Tion Ext X (подвесной способ монтажа) весом от 0,2 до 0,3 тн</t>
  </si>
  <si>
    <t>9.3.120</t>
  </si>
  <si>
    <t>Установка очистителя воздуха Tion Ext X (подвесной способ монтажа) весом от 0,3 до 0,4 тн</t>
  </si>
  <si>
    <t>9.3.121</t>
  </si>
  <si>
    <t>Установка очистителя воздуха Tion Ext X (подвесной способ монтажа) весом от 0,4 до 0,5 тн</t>
  </si>
  <si>
    <t>9.3.122</t>
  </si>
  <si>
    <t>Установка панели управления частотного преобразователя</t>
  </si>
  <si>
    <t>9.3.123</t>
  </si>
  <si>
    <t>Установка помпы накопительной</t>
  </si>
  <si>
    <t>9.3.124</t>
  </si>
  <si>
    <t>Установка помпы проточной</t>
  </si>
  <si>
    <t>9.3.125</t>
  </si>
  <si>
    <t>Установка привода воздушного клапана</t>
  </si>
  <si>
    <t>9.3.126</t>
  </si>
  <si>
    <t>Установка пульта коммутации и управления тепловыми завесами</t>
  </si>
  <si>
    <t>9.3.127</t>
  </si>
  <si>
    <t>Установка регулятора скорости ступенчатого</t>
  </si>
  <si>
    <t>9.3.128</t>
  </si>
  <si>
    <t>Установка рекуператора канального пластинчатого</t>
  </si>
  <si>
    <t>9.3.129</t>
  </si>
  <si>
    <t>Установка решеток жалюзийных площадью в свету: до 0,5 м2</t>
  </si>
  <si>
    <t>9.3.130</t>
  </si>
  <si>
    <t>Установка решеток жалюзийных площадью в свету: до 1,0 м2</t>
  </si>
  <si>
    <t>9.3.131</t>
  </si>
  <si>
    <t>Установка решеток жалюзийных площадью в свету: до 1,5 м2</t>
  </si>
  <si>
    <t>9.3.132</t>
  </si>
  <si>
    <t>Установка решеток жалюзийных площадью в свету: до 2,5 м2</t>
  </si>
  <si>
    <t>9.3.133</t>
  </si>
  <si>
    <t>Установка решеток жалюзийных площадью в свету: до 5 м2</t>
  </si>
  <si>
    <t>9.3.134</t>
  </si>
  <si>
    <t>Установка сервопривода</t>
  </si>
  <si>
    <t>9.3.135</t>
  </si>
  <si>
    <t>9.3.136</t>
  </si>
  <si>
    <t>Установка сплит-систем с внутренним блоком канального типа мощностью: до 5 кВт</t>
  </si>
  <si>
    <t>9.3.137</t>
  </si>
  <si>
    <t>Установка сплит-систем с внутренним блоком канального типа мощностью: до 8 кВт</t>
  </si>
  <si>
    <t>9.3.138</t>
  </si>
  <si>
    <t>Установка сплит-систем с внутренним блоком канального типа мощностью: свыше 8 кВт</t>
  </si>
  <si>
    <t>9.3.139</t>
  </si>
  <si>
    <t>Установка сплит-систем с внутренним блоком кассетного типа мощностью: до 5 кВт</t>
  </si>
  <si>
    <t>9.3.140</t>
  </si>
  <si>
    <t>Установка сплит-систем с внутренним блоком кассетного типа мощностью: до 8 кВт</t>
  </si>
  <si>
    <t>9.3.141</t>
  </si>
  <si>
    <t>Установка сплит-систем с внутренним блоком кассетного типа мощностью: свыше 8 кВт</t>
  </si>
  <si>
    <t>9.3.142</t>
  </si>
  <si>
    <t>Установка сплит-систем с внутренним блоком напольного типа мощностью: до 5 кВт</t>
  </si>
  <si>
    <t>9.3.143</t>
  </si>
  <si>
    <t>Установка сплит-систем с внутренним блоком напольного типа мощностью: до 8 кВт</t>
  </si>
  <si>
    <t>9.3.144</t>
  </si>
  <si>
    <t>Установка сплит-систем с внутренним блоком напольного типа мощностью: свыше 8 кВт</t>
  </si>
  <si>
    <t>9.3.145</t>
  </si>
  <si>
    <t>Установка сплит-систем с внутренним блоком настенного типа мощностью: до 5 кВт</t>
  </si>
  <si>
    <t>9.3.146</t>
  </si>
  <si>
    <t>Установка сплит-систем с внутренним блоком настенного типа мощностью: до 8 кВт</t>
  </si>
  <si>
    <t>9.3.147</t>
  </si>
  <si>
    <t>Установка сплит-систем с внутренним блоком настенного типа мощностью: свыше 8 кВт</t>
  </si>
  <si>
    <t>9.3.148</t>
  </si>
  <si>
    <t>Установка тепловой завесы с водяным источником энергии длиной 1000-1500 мм</t>
  </si>
  <si>
    <t>9.3.149</t>
  </si>
  <si>
    <t>Установка тепловой завесы с водяным источником энергии длиной 1500-2000 мм</t>
  </si>
  <si>
    <t>9.3.150</t>
  </si>
  <si>
    <t>Установка тепловой завесы с водяным источником энергии длиной до 1000 мм</t>
  </si>
  <si>
    <t>9.3.151</t>
  </si>
  <si>
    <t>Установка тепловой завесы с водяным источником энергии длиной свыше 2000 мм</t>
  </si>
  <si>
    <t>9.3.152</t>
  </si>
  <si>
    <t>Установка тепловой завесы с электрическим источником энергии длиной 1000-1500 мм</t>
  </si>
  <si>
    <t>9.3.153</t>
  </si>
  <si>
    <t>Установка тепловой завесы с электрическим источником энергии длиной 1500-2000 мм</t>
  </si>
  <si>
    <t>9.3.154</t>
  </si>
  <si>
    <t>Установка тепловой завесы с электрическим источником энергии длиной до 1000 мм</t>
  </si>
  <si>
    <t>9.3.155</t>
  </si>
  <si>
    <t>Установка тепловой завесы с электрическим источником энергии длиной свыше 2000 мм</t>
  </si>
  <si>
    <t>9.3.156</t>
  </si>
  <si>
    <t>Установка узлов прохода вытяжных вентиляционных шахт</t>
  </si>
  <si>
    <t>9.3.157</t>
  </si>
  <si>
    <t>Установка фильтра карманного</t>
  </si>
  <si>
    <t>9.3.158</t>
  </si>
  <si>
    <t>Установка фильтра кассетного</t>
  </si>
  <si>
    <t>9.3.159</t>
  </si>
  <si>
    <t>Установка фильтр-бокса</t>
  </si>
  <si>
    <t>9.3.160</t>
  </si>
  <si>
    <t>Установка частотного преобразователя</t>
  </si>
  <si>
    <t>9.3.161</t>
  </si>
  <si>
    <t>Установка шумоглушителей вентиляционных трубчатых круглого сечения</t>
  </si>
  <si>
    <t>9.3.162</t>
  </si>
  <si>
    <t>Установка шумоглушителей вентиляционных трубчатых прямоугольного сечения</t>
  </si>
  <si>
    <t>9.3.163</t>
  </si>
  <si>
    <t>Установка шумоглушителя для круглых воздуховодов</t>
  </si>
  <si>
    <t>9.3.164</t>
  </si>
  <si>
    <t>Установка шумоглушителя для прямоугольных воздуховодов</t>
  </si>
  <si>
    <t>9.3.165</t>
  </si>
  <si>
    <t>Установка щита автоматики приточной вентиляционной системы на базе русифицированного свободнопрограммируемого контроллера</t>
  </si>
  <si>
    <t>9.3.166</t>
  </si>
  <si>
    <t>Установка диффузора (воздухораспределителя) системы вентиляции</t>
  </si>
  <si>
    <t>9.3.167</t>
  </si>
  <si>
    <t>Изоляция плоских и криволинейных поверхностей пластинами (плитами) из вспененного каучука, вспененного полиэтилена</t>
  </si>
  <si>
    <t>9.3.168</t>
  </si>
  <si>
    <t>Уст-ка обогрева дренажа (в подготовленное отверстие)</t>
  </si>
  <si>
    <t>9.3.169</t>
  </si>
  <si>
    <t>Чистка дренажной системы</t>
  </si>
  <si>
    <t>пм</t>
  </si>
  <si>
    <t>9.3.170</t>
  </si>
  <si>
    <t>Чистка фильтра грубой очистки кондиционера полупромышленного</t>
  </si>
  <si>
    <t>9.3.171</t>
  </si>
  <si>
    <t>Чистка фильтра грубой очистки кондиционера бытового</t>
  </si>
  <si>
    <t>9.3.N1</t>
  </si>
  <si>
    <t>Демонтаж сплит-системы настенного типа до 5 кВт (со сбором фреона)</t>
  </si>
  <si>
    <t>9.3.N2</t>
  </si>
  <si>
    <t>Демонтаж сплит-системы мощностью 5–10 кВт</t>
  </si>
  <si>
    <t>9.3.N3</t>
  </si>
  <si>
    <t>Демонтаж полупромышленной сплит-системы (кассетный/канальный) до 16 кВт</t>
  </si>
  <si>
    <t>9.3.N4</t>
  </si>
  <si>
    <t>Монтаж канального вентилятора до 1 000 м3/ч</t>
  </si>
  <si>
    <t>9.3.N5</t>
  </si>
  <si>
    <t>Монтаж канального вентилятора 1 500–10 000 м3/ч</t>
  </si>
  <si>
    <t>9.3.N6</t>
  </si>
  <si>
    <t>Монтаж гибкого воздуховода (изолированного/неизолированного)</t>
  </si>
  <si>
    <t>9.3.N7</t>
  </si>
  <si>
    <t>Установка гибкой вставки к канальному оборудованию</t>
  </si>
  <si>
    <t>9.3.N8</t>
  </si>
  <si>
    <t>Установка огнезадерживающего (противопожарного) клапана до 0,5 м2 с приводом</t>
  </si>
  <si>
    <t>9.3.N9</t>
  </si>
  <si>
    <t>Огнезащита воздуховодов рулонным материалом (МБОР, EI 60–150)</t>
  </si>
  <si>
    <t>9.3.N10</t>
  </si>
  <si>
    <t>ТО приточной установки до 5 000 м3/ч</t>
  </si>
  <si>
    <t>9.3.N11</t>
  </si>
  <si>
    <t>ТО приточной установки 5 000–20 000 м3/ч</t>
  </si>
  <si>
    <t>9.3.N12</t>
  </si>
  <si>
    <t>ТО вытяжной установки/канального вентилятора до 5 000 м3/ч</t>
  </si>
  <si>
    <t>9.3.N13</t>
  </si>
  <si>
    <t>ТО крышного вентилятора (осмотр, чистка, подшипники, ремень, замер тока)</t>
  </si>
  <si>
    <t>9.3.N14</t>
  </si>
  <si>
    <t>Замена комплекта фильтров приточной установки (без стоимости фильтров)</t>
  </si>
  <si>
    <t>9.3.N15</t>
  </si>
  <si>
    <t>ТО полупромышленного кондиционера (кассетный/канальный/напольно-потолочный) до 16 кВт</t>
  </si>
  <si>
    <t>9.3.N16</t>
  </si>
  <si>
    <t>ТО компрессорно-конденсаторного блока до 50 кВт</t>
  </si>
  <si>
    <t>9.3.N17</t>
  </si>
  <si>
    <t>Пусконаладка вентсистемы с замером и регулировкой расходов (до 10 точек)</t>
  </si>
  <si>
    <t>сист</t>
  </si>
  <si>
    <t>ETL</t>
  </si>
  <si>
    <t>9.3.N18</t>
  </si>
  <si>
    <t>Аэродинамические испытания и паспортизация системы вентиляции</t>
  </si>
  <si>
    <t>9.3.N19</t>
  </si>
  <si>
    <t>Чистка калорифера/теплообменника приточной установки без разборки воздуховодов</t>
  </si>
  <si>
    <t>9.3.N20</t>
  </si>
  <si>
    <t>Навеска наружного блока кондиционера промальпинистом (высотные работы)</t>
  </si>
  <si>
    <t>9.3.N21</t>
  </si>
  <si>
    <t>Сверление отверстия в бетоне/кирпиче Ø до 60 мм под трассу/дренаж</t>
  </si>
  <si>
    <t>9.3.N22</t>
  </si>
  <si>
    <t>Укладка трассы/дренажа в декоративный кабель-канал (с монтажом короба)</t>
  </si>
  <si>
    <t>9.3.N23</t>
  </si>
  <si>
    <t>Монтаж опорной рамы/кронштейна наружного блока на кровле</t>
  </si>
  <si>
    <t>9.3.N24</t>
  </si>
  <si>
    <t>Замена компрессора сплит-системы до 7 кВт (без стоимости компрессора, с вакуумированием)</t>
  </si>
  <si>
    <t>9.3.N25</t>
  </si>
  <si>
    <t>Замена платы управления кондиционера</t>
  </si>
  <si>
    <t>9.3.N26</t>
  </si>
  <si>
    <t>Замена 4-ходового клапана реверса (пайка, вакуумирование)</t>
  </si>
  <si>
    <t>9.3.N27</t>
  </si>
  <si>
    <t>Мойка теплообменника наружного блока (АВД, химия)</t>
  </si>
  <si>
    <t>9.3.N28</t>
  </si>
  <si>
    <t>Дезинфекция воздуховодов</t>
  </si>
  <si>
    <t>DER</t>
  </si>
  <si>
    <t>9.3.N29</t>
  </si>
  <si>
    <t>Отбор микробиологического смыва с лабораторным анализом и протоколом</t>
  </si>
  <si>
    <t>9.3.N30</t>
  </si>
  <si>
    <t>Монтаж элемента автоматики вентиляции (датчик, реле, концевик) с подключением кабеля</t>
  </si>
  <si>
    <t>10.1 Коммутационое оборудование</t>
  </si>
  <si>
    <t>10.1.1</t>
  </si>
  <si>
    <t>Автомат одно-, двух-, трехполюсный, устанавливаемый на конструкции: на стене или колонне, на ток до 100 А</t>
  </si>
  <si>
    <t>10.1.2</t>
  </si>
  <si>
    <t>Автомат одно-, двух-, трехполюсный, устанавливаемый на конструкции: на стене или колонне, на ток до 25 А</t>
  </si>
  <si>
    <t>10.1.3</t>
  </si>
  <si>
    <t>Автомат одно-, двух-, трехполюсный, устанавливаемый на конструкции: на стене или колонне, на ток до 250 А</t>
  </si>
  <si>
    <t>10.1.4</t>
  </si>
  <si>
    <t>Автомат одно-, двух-, трехполюсный, устанавливаемый на конструкции: на стене или колонне, на ток до 400 А</t>
  </si>
  <si>
    <t>10.1.5</t>
  </si>
  <si>
    <t>Автомат одно-, двух-, трехполюсный, устанавливаемый на конструкции: на стене или колонне, на ток до 630 А</t>
  </si>
  <si>
    <t>10.1.6</t>
  </si>
  <si>
    <t>Установка рубильников с подключением</t>
  </si>
  <si>
    <t>10.1.7</t>
  </si>
  <si>
    <t>Установка шины соединительной</t>
  </si>
  <si>
    <t>10.1.8</t>
  </si>
  <si>
    <t>Установка автоматического выключателя/дифавтомата/УЗО на Din рейку 2-полюсного с подключением</t>
  </si>
  <si>
    <t>10.1.9</t>
  </si>
  <si>
    <t>Установка автоматического выключателя/дифавтомата/УЗО на Din рейку 3-полюсного с подключением</t>
  </si>
  <si>
    <t>10.1.10</t>
  </si>
  <si>
    <t>Установка автоматического выключателя/дифавтомата/УЗО на Din рейку 4-полюсного с подключением</t>
  </si>
  <si>
    <t>10.1.11</t>
  </si>
  <si>
    <t>Установка автоматического выключателя/дифавтомата/УЗО на Din рейку 1-полюсного с подключением</t>
  </si>
  <si>
    <t>10.1.12</t>
  </si>
  <si>
    <t>Установка автоматического выключателя/дифавтомата/УЗО на монтажную плату 1-полюсного с подключением</t>
  </si>
  <si>
    <t>10.1.13</t>
  </si>
  <si>
    <t>Установка автоматического выключателя/дифавтомата/УЗО на монтажную плату 2-полюсного с подключением</t>
  </si>
  <si>
    <t>10.1.14</t>
  </si>
  <si>
    <t>Установка автоматического выключателя/дифавтомата/УЗО на монтажную плату 3-полюсного с подключением</t>
  </si>
  <si>
    <t>10.1.15</t>
  </si>
  <si>
    <t>Установка автоматического выключателя/дифавтомата/УЗО на монтажную плату 4-полюсного с подключением</t>
  </si>
  <si>
    <t>10.1.16</t>
  </si>
  <si>
    <t>Установка амперметра переменного тока прямого измерения с подключением</t>
  </si>
  <si>
    <t>10.1.17</t>
  </si>
  <si>
    <t>Установка вольтметра с подключением</t>
  </si>
  <si>
    <t>10.1.18</t>
  </si>
  <si>
    <t>Установка двухканального календарного таймера реального времени с подключением</t>
  </si>
  <si>
    <t>10.1.19</t>
  </si>
  <si>
    <t>Установка контактора с подключеним</t>
  </si>
  <si>
    <t>10.1.20</t>
  </si>
  <si>
    <t>Установка металлического встроенного корпуса щита</t>
  </si>
  <si>
    <t>10.1.21</t>
  </si>
  <si>
    <t>Установка металлического навесного корпуса щита</t>
  </si>
  <si>
    <t>10.1.22</t>
  </si>
  <si>
    <t>Установка переключателя вольтметра с подключением</t>
  </si>
  <si>
    <t>10.1.23</t>
  </si>
  <si>
    <t>Установка пускателя магнитного с подключением</t>
  </si>
  <si>
    <t>10.1.24</t>
  </si>
  <si>
    <t>Установка Щита автоматической защиты от перегрузок ЩАП</t>
  </si>
  <si>
    <t>10.1.25</t>
  </si>
  <si>
    <t>Установка щитов FreeTech с настройкой</t>
  </si>
  <si>
    <t>10.1.26</t>
  </si>
  <si>
    <t>Установка щита учета с замком IP 31, на два счетчика с окнами</t>
  </si>
  <si>
    <t>10.1.27</t>
  </si>
  <si>
    <t>Установка ящика с понижающим трансформатором типа ЯТП</t>
  </si>
  <si>
    <t>10.1.N1</t>
  </si>
  <si>
    <t>Демонтаж автоматического выключателя/УЗО с DIN-рейки 1–4P</t>
  </si>
  <si>
    <t>10.1.N2</t>
  </si>
  <si>
    <t>Сборка и расключение щита распределительного, за 1 модуль</t>
  </si>
  <si>
    <t>модуль</t>
  </si>
  <si>
    <t>10.1.N3</t>
  </si>
  <si>
    <t>Установка УЗИП / реле контроля напряжения на DIN-рейку с подключением</t>
  </si>
  <si>
    <t>10.1.N4</t>
  </si>
  <si>
    <t>Демонтаж щита навесного металлического до 54 модулей</t>
  </si>
  <si>
    <t>10.1.N5</t>
  </si>
  <si>
    <t>Установка DIN-рейки</t>
  </si>
  <si>
    <t>10.1.N6</t>
  </si>
  <si>
    <t>Установка кросс-модуля / распределительного блока до 125 А с подключением</t>
  </si>
  <si>
    <t>10.1.N7</t>
  </si>
  <si>
    <t>Маркировка групповых линий в щите и актуализация однолинейной схемы на двери</t>
  </si>
  <si>
    <t>щит</t>
  </si>
  <si>
    <t>10.1.N8</t>
  </si>
  <si>
    <t>Установка фотореле / датчика освещённости с подключением</t>
  </si>
  <si>
    <t>10.2 Кабельные магистрали и разводки</t>
  </si>
  <si>
    <t>10.2.1</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</si>
  <si>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16 мм2</t>
  </si>
  <si>
    <t>10.2.2</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</si>
  <si>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2,5 мм2</t>
  </si>
  <si>
    <t>10.2.3</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</si>
  <si>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35 мм2</t>
  </si>
  <si>
    <t>10.2.4</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</si>
  <si>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6 мм2</t>
  </si>
  <si>
    <t>10.2.5</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</si>
  <si>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70 мм2</t>
  </si>
  <si>
    <t>10.2.6</t>
  </si>
  <si>
    <t>Кабель сечением до 120 мм2 по установленным стальным конструкциям и лоткам</t>
  </si>
  <si>
    <t>10.2.7</t>
  </si>
  <si>
    <t>Кабель сечением до 16 мм2 по установленным стальным конструкциям и лоткам</t>
  </si>
  <si>
    <t>10.2.8</t>
  </si>
  <si>
    <t>Кабель сечением до 2,5 мм2 по установленным стальным конструкциям и лтокам</t>
  </si>
  <si>
    <t>10.2.9</t>
  </si>
  <si>
    <t>Кабель сечением до 240 мм2 по установленным стальным конструкциям и лоткам</t>
  </si>
  <si>
    <t>10.2.10</t>
  </si>
  <si>
    <t>Кабель сечением до 35 мм2 по установленным стальным конструкциям и лтокам</t>
  </si>
  <si>
    <t>10.2.11</t>
  </si>
  <si>
    <t>Кабель сечением до 400 мм2 по установленным стальным конструкциям и лоткам</t>
  </si>
  <si>
    <t>10.2.12</t>
  </si>
  <si>
    <t>Кабель сечением до 6 мм2 по установленным стальным конструкциям и лоткам</t>
  </si>
  <si>
    <t>10.2.13</t>
  </si>
  <si>
    <t>Кабель сечением до 70 мм2 по установленным стальным конструкциям и лоткам</t>
  </si>
  <si>
    <t>10.2.14</t>
  </si>
  <si>
    <t>Монтаж коробов пластмассовых шириной до 120 мм</t>
  </si>
  <si>
    <t>10.2.15</t>
  </si>
  <si>
    <t>Монтаж коробов пластмассовых шириной до 40 мм</t>
  </si>
  <si>
    <t>10.2.16</t>
  </si>
  <si>
    <t>Монтаж коробов пластмассовых шириной до 63 мм</t>
  </si>
  <si>
    <t>10.2.17</t>
  </si>
  <si>
    <t>Присоединение к зажимам жил проводов или кабелей сечением: до 150 мм2</t>
  </si>
  <si>
    <t>10.2.18</t>
  </si>
  <si>
    <t>Присоединение к зажимам жил проводов или кабелей сечением: до 16 мм2</t>
  </si>
  <si>
    <t>10.2.19</t>
  </si>
  <si>
    <t>Присоединение к зажимам жил проводов или кабелей сечением: до 2,5 мм2</t>
  </si>
  <si>
    <t>10.2.20</t>
  </si>
  <si>
    <t>Присоединение к зажимам жил проводов или кабелей сечением: до 35 мм2</t>
  </si>
  <si>
    <t>10.2.21</t>
  </si>
  <si>
    <t>Присоединение к зажимам жил проводов или кабелей сечением: до 6 мм2</t>
  </si>
  <si>
    <t>10.2.22</t>
  </si>
  <si>
    <t>Присоединение к зажимам жил проводов или кабелей сечением: до 70 мм2</t>
  </si>
  <si>
    <t>10.2.23</t>
  </si>
  <si>
    <t>Установка консоли-крепление к плоскости (зажимной винт) для опуска</t>
  </si>
  <si>
    <t>10.2.24</t>
  </si>
  <si>
    <t>Установка коробки пластиковой распределительной закрытой установки</t>
  </si>
  <si>
    <t>10.2.25</t>
  </si>
  <si>
    <t>Установка коробки пластиковой распределительной открытой установки</t>
  </si>
  <si>
    <t>10.2.26</t>
  </si>
  <si>
    <t>Установка лотков металлических проволочных по установленным конструкциям</t>
  </si>
  <si>
    <t>10.2.27</t>
  </si>
  <si>
    <t>Установка лотков металлических штампованных по установленным конструкциям, ширина лотка: до 200 мм</t>
  </si>
  <si>
    <t>10.2.28</t>
  </si>
  <si>
    <t>Установка лотков металлических штампованных по установленным конструкциям, ширина лотка: до 400 мм</t>
  </si>
  <si>
    <t>10.2.29</t>
  </si>
  <si>
    <t>Установка наконечников медных обжимных</t>
  </si>
  <si>
    <t>10.2.30</t>
  </si>
  <si>
    <t>Установка опуска для кабелей из хромированной трубы</t>
  </si>
  <si>
    <t>10.2.31</t>
  </si>
  <si>
    <t>Установка профиля перфорированного монтажного</t>
  </si>
  <si>
    <t>10.2.32</t>
  </si>
  <si>
    <t>Установка рукава металлического наружным диаметром: до 48 мм</t>
  </si>
  <si>
    <t>10.2.33</t>
  </si>
  <si>
    <t>Установка рукава металлического наружным диаметром: до 60 мм</t>
  </si>
  <si>
    <t>10.2.34</t>
  </si>
  <si>
    <t>Установка рукава металлического наружным диаметром: до 78 мм</t>
  </si>
  <si>
    <t>10.2.35</t>
  </si>
  <si>
    <t>Установка трубы винипластовой по установленным конструкциям, по стенам и колоннам с креплением скобами, диаметр: до 25 мм</t>
  </si>
  <si>
    <t>10.2.36</t>
  </si>
  <si>
    <t>Установка трубы винипластовой по установленным конструкциям, по стенам и колоннам с креплением скобами, диаметр: до 50 мм</t>
  </si>
  <si>
    <t>10.2.37</t>
  </si>
  <si>
    <t>Установка трубы винипластовой по установленным конструкциям, по стенам и колоннам с креплением скобами, диаметр: до 63 мм</t>
  </si>
  <si>
    <t>10.2.38</t>
  </si>
  <si>
    <t>Установка трубы гофрированной ПВХ для защиты проводов и кабелей по установленным конструкциям, по стенам, колоннам, потолкам, основанию пола</t>
  </si>
  <si>
    <t>10.2.N1</t>
  </si>
  <si>
    <t>Демонтаж кабеля сечением до 16 мм² (с лотков/скоб)</t>
  </si>
  <si>
    <t>10.2.N2</t>
  </si>
  <si>
    <t>Демонтаж кабеля сечением до 70 мм²</t>
  </si>
  <si>
    <t>10.2.N3</t>
  </si>
  <si>
    <t>Прокладка кабеля до 16 мм² открыто по стенам/потолку с креплением скобами/клипсами</t>
  </si>
  <si>
    <t>10.2.N4</t>
  </si>
  <si>
    <t>Монтаж консоли/шпилечного подвеса для лотка (с анкеровкой)</t>
  </si>
  <si>
    <t>10.2.N5</t>
  </si>
  <si>
    <t>Демонтаж лотка металлического до 400 мм</t>
  </si>
  <si>
    <t>10.2.N6</t>
  </si>
  <si>
    <t>Пробивка отверстия в стене/перекрытии для кабеля Ø до 50 мм, толщина до 250 мм (бетон/кирпич)</t>
  </si>
  <si>
    <t>10.2.N7</t>
  </si>
  <si>
    <t>Огнезащитная заделка кабельной проходки (пена/мастика), до 0,02 м²</t>
  </si>
  <si>
    <t>10.2.N8</t>
  </si>
  <si>
    <t>Прокладка кабеля слаботочного (UTP, КПСЭнг) в лоток/короб</t>
  </si>
  <si>
    <t>10.2.N9</t>
  </si>
  <si>
    <t>Расключение распределительной коробки (до 6 соединений, клеммы/опрессовка)</t>
  </si>
  <si>
    <t>10.2.N10</t>
  </si>
  <si>
    <t>Маркировка кабеля бирками</t>
  </si>
  <si>
    <t>10.3 Электроустановочные изделия</t>
  </si>
  <si>
    <t>10.3.1</t>
  </si>
  <si>
    <t>Программирование модема</t>
  </si>
  <si>
    <t>10.3.2</t>
  </si>
  <si>
    <t>Программирование счетчика</t>
  </si>
  <si>
    <t>10.3.3</t>
  </si>
  <si>
    <t>Сопряжение счетчика/модема</t>
  </si>
  <si>
    <t>10.3.4</t>
  </si>
  <si>
    <t>Установка GSM/GPRS-Модема</t>
  </si>
  <si>
    <t>10.3.5</t>
  </si>
  <si>
    <t>Установка антенны универсальной мультидиапазонной</t>
  </si>
  <si>
    <t>10.3.6</t>
  </si>
  <si>
    <t>Установка блока питания</t>
  </si>
  <si>
    <t>10.3.7</t>
  </si>
  <si>
    <t>Установка вилок кабельных силовых с подключением</t>
  </si>
  <si>
    <t>10.3.8</t>
  </si>
  <si>
    <t>Установка выключателей двухклавишных для установки в кабель-канал с подключением</t>
  </si>
  <si>
    <t>10.3.9</t>
  </si>
  <si>
    <t>Установка выключателей двухклавишных неутопленного типа при открытой открытой проводке с подключением</t>
  </si>
  <si>
    <t>10.3.10</t>
  </si>
  <si>
    <t>Установка выключателей двухклавишных утопленного типа при открытой скрытой проводке с подключением</t>
  </si>
  <si>
    <t>10.3.11</t>
  </si>
  <si>
    <t>Установка выключателей одноклавишных для установки в кабель-канал с подключением</t>
  </si>
  <si>
    <t>10.3.12</t>
  </si>
  <si>
    <t>Установка выключателей одноклавишных неутопленного типа при открытой открытой проводке с подключением</t>
  </si>
  <si>
    <t>10.3.13</t>
  </si>
  <si>
    <t>Установка выключателей одноклавишных утопленного типа при открытой скрытой проводке с подключением</t>
  </si>
  <si>
    <t>10.3.14</t>
  </si>
  <si>
    <t>Установка звонка беспроводного</t>
  </si>
  <si>
    <t>10.3.15</t>
  </si>
  <si>
    <t>Установка звонка проводного</t>
  </si>
  <si>
    <t>10.3.16</t>
  </si>
  <si>
    <t>Установка кнопки звонка</t>
  </si>
  <si>
    <t>10.3.17</t>
  </si>
  <si>
    <t>Установка розеток кабельных силовых с подключением</t>
  </si>
  <si>
    <t>10.3.18</t>
  </si>
  <si>
    <t>Установка розеток штепсельных герметчиных и полугерметичных с подключением</t>
  </si>
  <si>
    <t>10.3.19</t>
  </si>
  <si>
    <t>Установка розеток штепсельных неутопленного типа при открытой проводке с подключением</t>
  </si>
  <si>
    <t>10.3.20</t>
  </si>
  <si>
    <t>Установка розеток штепсельных утопленного типа при скрытой проводке с подключением</t>
  </si>
  <si>
    <t>10.3.21</t>
  </si>
  <si>
    <t>Установка счетчика с подключением</t>
  </si>
  <si>
    <t>10.3.22</t>
  </si>
  <si>
    <t>Установка трансформатора тока</t>
  </si>
  <si>
    <t>10.3.23</t>
  </si>
  <si>
    <t>Замена вторичной цепи прибора учета электроэнергии, включенного через трансформаторы тока (без замены эл. Счетчика и трансформаторов тока)</t>
  </si>
  <si>
    <t>10.3.24</t>
  </si>
  <si>
    <t>Замена контроллера шкафа тепловой завесы с учетом оборудования для с-мы Умный Магазин</t>
  </si>
  <si>
    <t>10.3.25</t>
  </si>
  <si>
    <t>Замена контроллера шкафа вентиляции ТЗ с учетом оборудования для с-мы Умный Магазин</t>
  </si>
  <si>
    <t>10.3.26</t>
  </si>
  <si>
    <t>Замена контроллера шкафа вентиляции ПП с учетом оборудования для с-мы Умный Магазин</t>
  </si>
  <si>
    <t>10.3.27</t>
  </si>
  <si>
    <t>Подключение ХО к БМ для с-мы Умный Магазин</t>
  </si>
  <si>
    <t>10.3.28</t>
  </si>
  <si>
    <t>Подкл к БМХО счетчика ЭЭ с имп выходами с учетом оборудования для с-мы Умный Магазин</t>
  </si>
  <si>
    <t>10.3.29</t>
  </si>
  <si>
    <t>Инженерные работы БМХО (настройка нового на основании плана расстановки контроллеров ХО) для с-мы Умный Магазин</t>
  </si>
  <si>
    <t>10.3.30</t>
  </si>
  <si>
    <t>Разработка плана расстановки контроллеров ХО для с-мы Умный Магазин</t>
  </si>
  <si>
    <t>10.3.31</t>
  </si>
  <si>
    <t>Замена контроллера ХМ ГЕ с учетом оборудования</t>
  </si>
  <si>
    <t>10.3.32</t>
  </si>
  <si>
    <t>Установка сетевой карты холод.потребителей с учетом карты для с-мы Умный Магазин</t>
  </si>
  <si>
    <t>10.3.33</t>
  </si>
  <si>
    <t>Инженерные работы. Печь пиццы (настройка адреса сети, интеграция в систему, проверка корректности передаваемой информации, актуализация ИД) для с-мы Умный Магазин</t>
  </si>
  <si>
    <t>10.3.34</t>
  </si>
  <si>
    <t>Монтаж шкафа. Печь пиццы (установка шкафа, переподключение питающего кабеля от автомата щита к силовому контактору шкафа, подключение кабеля от шкафа к автомату силового щита, подключение к сети Modbus RTU) для с-мы Умный Магазин</t>
  </si>
  <si>
    <t>10.3.35</t>
  </si>
  <si>
    <t>Инженерные работы. Хлебопечь (настройка адреса сети, интеграция счетчика в систему, проверка корректности передаваемой информации, актуализация ИД) для с-мы Умный Магазин</t>
  </si>
  <si>
    <t>10.3.36</t>
  </si>
  <si>
    <t>Монтаж анализатора и ТТ. Хлебопечь для с-мы Умный Магазин</t>
  </si>
  <si>
    <t>10.3.37</t>
  </si>
  <si>
    <t>Инженерные работы БМХО ХМ ГЕ для с-мы Умный Магазин</t>
  </si>
  <si>
    <t>10.3.38</t>
  </si>
  <si>
    <t>Командировка КМВ по проекту УМ</t>
  </si>
  <si>
    <t>10.3.39</t>
  </si>
  <si>
    <t>Командировка Волгоград пр проекту УМ</t>
  </si>
  <si>
    <t>10.3.40</t>
  </si>
  <si>
    <t>Командировка ЗК по проекту УМ</t>
  </si>
  <si>
    <t>10.3.41</t>
  </si>
  <si>
    <t>Командировка НН по проекту УМ</t>
  </si>
  <si>
    <t>10.3.42</t>
  </si>
  <si>
    <t>Командировка Казань по проекту УМ</t>
  </si>
  <si>
    <t>10.3.43</t>
  </si>
  <si>
    <t>Командировка Краснодар по проекту УМ</t>
  </si>
  <si>
    <t>10.3.44</t>
  </si>
  <si>
    <t>Ремоделинг Carel pCOxs (PCOS004850 Сетевая карта для PCO3 RS485, BMS; PCO100CLK0 Часы реального времени для PCOxs; монтаж, загрузка и настройка ПО с учетом оборудования и материалов)</t>
  </si>
  <si>
    <t>10.3.N1</t>
  </si>
  <si>
    <t>Демонтаж розетки/выключателя</t>
  </si>
  <si>
    <t>10.3.N2</t>
  </si>
  <si>
    <t>Замена счётчика 3ф прямого включения (демонтаж + монтаж + подключение)</t>
  </si>
  <si>
    <t>10.3.N3</t>
  </si>
  <si>
    <t>Установка датчика движения/присутствия с подключением</t>
  </si>
  <si>
    <t>10.3.N4</t>
  </si>
  <si>
    <t>Установка подрозетника в бетон/кирпич со сверлением гнезда</t>
  </si>
  <si>
    <t>10.3.N5</t>
  </si>
  <si>
    <t>Установка блока розеток рабочего места (4 розетки) в кабель-канал/под стол</t>
  </si>
  <si>
    <t>10.4 Электроосветительные изделия</t>
  </si>
  <si>
    <t>10.4.1</t>
  </si>
  <si>
    <t>Замена блока питания 220в/12в для светодиодных лент и модулей</t>
  </si>
  <si>
    <t>10.4.2</t>
  </si>
  <si>
    <t>Замена драйвер для светодиодного светильника (со снятием и монтажом светильника)</t>
  </si>
  <si>
    <t>10.4.3</t>
  </si>
  <si>
    <t>Замена лампы светодиодной</t>
  </si>
  <si>
    <t>10.4.4</t>
  </si>
  <si>
    <t>Монтаж шинопровода с комплектующими</t>
  </si>
  <si>
    <t>10.4.5</t>
  </si>
  <si>
    <t>Установка инфракрасного обогревателя</t>
  </si>
  <si>
    <t>10.4.6</t>
  </si>
  <si>
    <t>Установка светильников в подвесных потолках, устанавливаемый: на подвесках, количество ламп в светильнике до 2</t>
  </si>
  <si>
    <t>10.4.7</t>
  </si>
  <si>
    <t>Установка блока прожекторов, отдельно устанавливаемых на стальной конструкции: на крыше здания, на фасаде</t>
  </si>
  <si>
    <t>10.4.8</t>
  </si>
  <si>
    <t>Установка линейного магистрального светильника</t>
  </si>
  <si>
    <t>10.4.9</t>
  </si>
  <si>
    <t>Установка линейных светильников в ПП</t>
  </si>
  <si>
    <t>10.4.10</t>
  </si>
  <si>
    <t>Установка прожекторов, отдельно устанавливаемых на стальной конструкции: на крыше здания, на фасаде</t>
  </si>
  <si>
    <t>10.4.11</t>
  </si>
  <si>
    <t>Установка регулятора инфракрасного обогревателя</t>
  </si>
  <si>
    <t>10.4.12</t>
  </si>
  <si>
    <t>Установка светильника бактерицидного/рециркулятора</t>
  </si>
  <si>
    <t>10.4.13</t>
  </si>
  <si>
    <t>Установка светильника в подвесных потолках (спот)</t>
  </si>
  <si>
    <t>10.4.14</t>
  </si>
  <si>
    <t>Установка светильника инсекцидного</t>
  </si>
  <si>
    <t>10.4.15</t>
  </si>
  <si>
    <t>Установка светильника на проволочные лотки</t>
  </si>
  <si>
    <t>10.4.16</t>
  </si>
  <si>
    <t>Установка светильников в подвесных потолках, устанавливаемых: на подвесках, количество ламп в светильнике до 4</t>
  </si>
  <si>
    <t>10.4.17</t>
  </si>
  <si>
    <t>Установка светильников на кронштейнах</t>
  </si>
  <si>
    <t>10.4.18</t>
  </si>
  <si>
    <t>Установка светильников отдельно устанавливаемых: на подвесах (штангах) с количеством ламп в светильнике до 4</t>
  </si>
  <si>
    <t>10.4.19</t>
  </si>
  <si>
    <t>Установка светильников отдельно устанавливаемых: на штырях с количеством ламп в светильнике до 6</t>
  </si>
  <si>
    <t>10.4.20</t>
  </si>
  <si>
    <t>Установка световых настенных указателей ВЫХОД</t>
  </si>
  <si>
    <t>10.4.21</t>
  </si>
  <si>
    <t>Установка светодиодной ленты</t>
  </si>
  <si>
    <t>10.4.22</t>
  </si>
  <si>
    <t>Установка трекового акцентного светильника</t>
  </si>
  <si>
    <t>10.4.N1</t>
  </si>
  <si>
    <t>Демонтаж светильника потолочного (Армстронг/линейного)</t>
  </si>
  <si>
    <t>10.4.N2</t>
  </si>
  <si>
    <t>Замена светильника Армстронг (демонтаж старого + монтаж нового)</t>
  </si>
  <si>
    <t>10.4.N3</t>
  </si>
  <si>
    <t>Ремонт светодиодного светильника (замена LED-модуля/платы)</t>
  </si>
  <si>
    <t>10.4.N4</t>
  </si>
  <si>
    <t>Установка аварийного светильника / блока аварийного питания (БАП) с подключением</t>
  </si>
  <si>
    <t>10.4.N5</t>
  </si>
  <si>
    <t>Замена светильника промышленного (high-bay) на высоте до 12 м с подъёмника (без аренды техники)</t>
  </si>
  <si>
    <t>10.4.N6</t>
  </si>
  <si>
    <t>Установка светильника уличного консольного на опоре (без автовышки)</t>
  </si>
  <si>
    <t>10.4.N7</t>
  </si>
  <si>
    <t>Монтаж алюминиевого профиля для светодиодной ленты с рассеивателем</t>
  </si>
  <si>
    <t>10.4.N8</t>
  </si>
  <si>
    <t>Установка контроллера/диммера освещения с подключением</t>
  </si>
  <si>
    <t>10.5 СИЗ</t>
  </si>
  <si>
    <t>10.5.1</t>
  </si>
  <si>
    <t>Замена/выкладка двухполюсного указателя напряжения</t>
  </si>
  <si>
    <t>10.5.2</t>
  </si>
  <si>
    <t>Замена/выкладка диэлектрическиого ковра</t>
  </si>
  <si>
    <t>10.5.3</t>
  </si>
  <si>
    <t>Замена/выкладка диэлектрических галош</t>
  </si>
  <si>
    <t>10.5.4</t>
  </si>
  <si>
    <t>Замена/выкладка диэлектрических перчаток</t>
  </si>
  <si>
    <t>10.5.5</t>
  </si>
  <si>
    <t>Замена/выкладка журнала регистрации СИЗ</t>
  </si>
  <si>
    <t>10.5.6</t>
  </si>
  <si>
    <t>Замена/выкладка знака постоянного 150х150 мм "Осторожно электрическое напряжение"</t>
  </si>
  <si>
    <t>10.5.7</t>
  </si>
  <si>
    <t>Замена/выкладка изолирующей штанги универсальной</t>
  </si>
  <si>
    <t>10.5.8</t>
  </si>
  <si>
    <t>Замена/выкладка переносного заземления</t>
  </si>
  <si>
    <t>10.5.9</t>
  </si>
  <si>
    <t>Замена/выкладка плаката переносного "Заземлено"</t>
  </si>
  <si>
    <t>10.5.10</t>
  </si>
  <si>
    <t>Замена/выкладка плаката переносного "Не включать работают люди"</t>
  </si>
  <si>
    <t>10.5.11</t>
  </si>
  <si>
    <t>Замена/выкладка плаката переносного "Работать здесь"</t>
  </si>
  <si>
    <t>10.5.12</t>
  </si>
  <si>
    <t>Замена/выкладка щитка защитного лицевого</t>
  </si>
  <si>
    <t>10.5.N1</t>
  </si>
  <si>
    <t>Организация испытаний диэлектрических СИЗ (сбор, доставка в ЭТЛ и возврат), без стоимости испытаний</t>
  </si>
  <si>
    <t>10.6 Испытания электроустановок</t>
  </si>
  <si>
    <t>10.6.1</t>
  </si>
  <si>
    <t>Аварийная поставка ДГУ 150кВт в.т.ч. кабель_на период 10часов</t>
  </si>
  <si>
    <t>10.6.2</t>
  </si>
  <si>
    <t>Аварийная поставка ДГУ 250кВт в.т.ч. кабель_на период 10часов</t>
  </si>
  <si>
    <t>10.6.3</t>
  </si>
  <si>
    <t>Аварийная поставка ДГУ 300кВт в.т.ч. кабель_на период 10часов</t>
  </si>
  <si>
    <t>10.6.4</t>
  </si>
  <si>
    <t>Аварийный выезд технического специалиста для проведения эл.испытания</t>
  </si>
  <si>
    <t>10.6.5</t>
  </si>
  <si>
    <t>Замеры сопротивления, разработка технического отчета магазина до 2000м2</t>
  </si>
  <si>
    <t>10.6.6</t>
  </si>
  <si>
    <t>Замеры сопротивления, разработка технического отчета магазина от 2000….3000м2</t>
  </si>
  <si>
    <t>10.6.7</t>
  </si>
  <si>
    <t>Измерения сопротивления заземляющих устройств</t>
  </si>
  <si>
    <t>10.6.8</t>
  </si>
  <si>
    <t>Испытание кабеля</t>
  </si>
  <si>
    <t>10.6.9</t>
  </si>
  <si>
    <t>Оперативное отключение и включение питания в трансформаторной подстанции с помощью сотрудников МОЭСК</t>
  </si>
  <si>
    <t>10.6.10</t>
  </si>
  <si>
    <t>Опломбировка узла учета электроэнергии с предоставлением акта допуска ПУ</t>
  </si>
  <si>
    <t>10.6.11</t>
  </si>
  <si>
    <t>Подготовка протокола испытаний электроустановки</t>
  </si>
  <si>
    <t>10.6.12</t>
  </si>
  <si>
    <t>Подключение ДГУ</t>
  </si>
  <si>
    <t>10.6.13</t>
  </si>
  <si>
    <t>Проверка (визуальный осмотр) соответствия смонтированной схемы электроустановки требованиям нормативно-технической документации</t>
  </si>
  <si>
    <t>10.6.14</t>
  </si>
  <si>
    <t>Проверка наличия цепи между заземленными установками и элементами заземленной установки</t>
  </si>
  <si>
    <t>10.6.15</t>
  </si>
  <si>
    <t>Проверка сопротивления изоляции проводов, кабелей и обмоток электрических машин</t>
  </si>
  <si>
    <t>10.6.16</t>
  </si>
  <si>
    <t>Проверка сопротивления цепи фаза-0 с последующим определением тока в электроустановках с номинальным напряжением до 1 кВ с системой TN</t>
  </si>
  <si>
    <t>10.6.17</t>
  </si>
  <si>
    <t>Програмирование, настройка автоматического таймера</t>
  </si>
  <si>
    <t>10.6.18</t>
  </si>
  <si>
    <t>Программирование механического таймера</t>
  </si>
  <si>
    <t>10.6.19</t>
  </si>
  <si>
    <t>Прожиг кабеля поиск неисправности</t>
  </si>
  <si>
    <t>10.6.20</t>
  </si>
  <si>
    <t>Распломбировка узла учета электроэнергии с предоставлением акта осмотра ПУ</t>
  </si>
  <si>
    <t>10.6.21</t>
  </si>
  <si>
    <t>Ревизия щитов ЩС,ЩК,ЩНОР,ЩО</t>
  </si>
  <si>
    <t>10.6.22</t>
  </si>
  <si>
    <t>Тепловизионный контроль электрооборудования</t>
  </si>
  <si>
    <t>10.6.N1</t>
  </si>
  <si>
    <t>Проверка срабатывания УЗО (ток и время)</t>
  </si>
  <si>
    <t>10.6.N2</t>
  </si>
  <si>
    <t>Проверка (прогрузка) автоматического выключателя до 63 А</t>
  </si>
  <si>
    <t>10.6.N3</t>
  </si>
  <si>
    <t>Прогрузка автоматического выключателя 100–630 А первичным током</t>
  </si>
  <si>
    <t>10.6.N4</t>
  </si>
  <si>
    <t>Обследование щита и составление однолинейной схемы (до 24 групп)</t>
  </si>
  <si>
    <t>10.6.N5</t>
  </si>
  <si>
    <t>Измерение освещённости с оформлением протокола</t>
  </si>
  <si>
    <t>точка</t>
  </si>
  <si>
    <t>10.6.N6</t>
  </si>
  <si>
    <t>Функциональная проверка АВР (опробование переключения)</t>
  </si>
  <si>
    <t>11.1 Общие работы при прокладке наружных инженерных сетей</t>
  </si>
  <si>
    <t>11.1.1</t>
  </si>
  <si>
    <t>Устройство основания под трубопроводы песчаного</t>
  </si>
  <si>
    <t>NAR</t>
  </si>
  <si>
    <t>11.1.2</t>
  </si>
  <si>
    <t>Устройство основания под трубопроводы щебеночного</t>
  </si>
  <si>
    <t>11.1.3</t>
  </si>
  <si>
    <t>Устройство основания под трубопроводы бетонного</t>
  </si>
  <si>
    <t>11.1.4</t>
  </si>
  <si>
    <t>Монтаж/демонтаж сетчатого ограждения при проведении ремонтных работ</t>
  </si>
  <si>
    <t>секция</t>
  </si>
  <si>
    <t>11.1.5</t>
  </si>
  <si>
    <t>Монтаж/демонтаж ограждения из полимерных композитных материалов при проведении ремонтных работ</t>
  </si>
  <si>
    <t>11.1.6</t>
  </si>
  <si>
    <t>Восстановление бетонных стен каналов после ремонтных работ</t>
  </si>
  <si>
    <t>11.1.7</t>
  </si>
  <si>
    <t>Ремонт железобетонных стен каналов отдельными местами площадью до 0,2 м2</t>
  </si>
  <si>
    <t>11.1.8</t>
  </si>
  <si>
    <t>Изготовление и монтаж площадок для обслуживания оборудования и трубопроводов</t>
  </si>
  <si>
    <t>11.1.9</t>
  </si>
  <si>
    <t>Замена плит перекрытия каналов</t>
  </si>
  <si>
    <t>11.1.10</t>
  </si>
  <si>
    <t>Замена неподвижных опор</t>
  </si>
  <si>
    <t>11.1.11</t>
  </si>
  <si>
    <t>Замена скользящих опор</t>
  </si>
  <si>
    <t>11.1.12</t>
  </si>
  <si>
    <t>Оклеечная гидроизоляция каналов</t>
  </si>
  <si>
    <t>11.1.13</t>
  </si>
  <si>
    <t>Присоединение к действующим сетям ДУ до 80мм</t>
  </si>
  <si>
    <t>11.1.14</t>
  </si>
  <si>
    <t>Присоединение к действующим сетям ДУ до 100мм</t>
  </si>
  <si>
    <t>11.1.15</t>
  </si>
  <si>
    <t>Присоединение к действующим сетям ДУ до 125мм</t>
  </si>
  <si>
    <t>11.1.16</t>
  </si>
  <si>
    <t>Присоединение к действующим сетям ДУ до 150мм</t>
  </si>
  <si>
    <t>11.1.17</t>
  </si>
  <si>
    <t>Очистка камер: от сухого ила и грязи при наличии труб с отключенным теплоносителем</t>
  </si>
  <si>
    <t>11.1.18</t>
  </si>
  <si>
    <t>Очистка камер: от сухого ила и грязи без труб и арматуры</t>
  </si>
  <si>
    <t>11.1.19</t>
  </si>
  <si>
    <t>Очистка камер: от сухого ила и грязи при наличии горячих труб и температуре воздуха более 40 градусов</t>
  </si>
  <si>
    <t>11.1.20</t>
  </si>
  <si>
    <t>Очистка камер: от мокрого ила и грязи при наличии труб с отключенным теплоносителем</t>
  </si>
  <si>
    <t>11.1.21</t>
  </si>
  <si>
    <t>Очистка камер: от мокрого ила и грязи при наличии горячих труб и температуре воздуха более 40 градусов</t>
  </si>
  <si>
    <t>11.1.22</t>
  </si>
  <si>
    <t>Очистка камер: от мокрого ила и грязи без труб и арматуры</t>
  </si>
  <si>
    <t>11.1.23</t>
  </si>
  <si>
    <t>Очистка непроходных каналов: от мокрого ила и грязи при снятых трубах, глубина очистки до 2 м</t>
  </si>
  <si>
    <t>11.1.24</t>
  </si>
  <si>
    <t>Очистка непроходных каналов: от мокрого ила и грязи при снятых трубах, глубина очистки более 2 м</t>
  </si>
  <si>
    <t>11.1.25</t>
  </si>
  <si>
    <t>Устройство тепловой изоляции: из плит, сегментов и скорлуп</t>
  </si>
  <si>
    <t>11.1.26</t>
  </si>
  <si>
    <t>Устройство тепловой изоляции: из ваты минеральной</t>
  </si>
  <si>
    <t>11.1.27</t>
  </si>
  <si>
    <t>Установка сборных железобетонных колец горловин колодцев</t>
  </si>
  <si>
    <t>11.1.28</t>
  </si>
  <si>
    <t>Замена люков колодцев и камер</t>
  </si>
  <si>
    <t>11.1.29</t>
  </si>
  <si>
    <t>Замена люков и кирпичных горловин колодцев и камер</t>
  </si>
  <si>
    <t>11.1.N1</t>
  </si>
  <si>
    <t>Шурфовка для поиска коммуникаций вручную (1×1×1,5 м) с обратной засыпкой</t>
  </si>
  <si>
    <t>11.1.N2</t>
  </si>
  <si>
    <t>Водоотлив из траншей, колодцев и камер погружным насосом</t>
  </si>
  <si>
    <t>11.1.N3</t>
  </si>
  <si>
    <t>Гидравлическое испытание трубопровода Ду до 150 мм (участок до 100 м) с оформлением акта</t>
  </si>
  <si>
    <t>11.1.N4</t>
  </si>
  <si>
    <t>Промывка с дезинфекцией водопровода Ду до 150 мм (до 100 м), без лабораторных анализов</t>
  </si>
  <si>
    <t>11.1.N5</t>
  </si>
  <si>
    <t>Крепление стенок траншей инвентарными щитами (установка и разборка)</t>
  </si>
  <si>
    <t>11.1.N6</t>
  </si>
  <si>
    <t>Герметизация стыков колец колодца (гидропломба/герметик) изнутри</t>
  </si>
  <si>
    <t>стык</t>
  </si>
  <si>
    <t>11.2 Канализация наружная</t>
  </si>
  <si>
    <t>11.2.1</t>
  </si>
  <si>
    <t>Очистка колодца вручную при степени засоренности: 0,05 м3</t>
  </si>
  <si>
    <t>11.2.2</t>
  </si>
  <si>
    <t>Очистка колодца вручную при степени засоренности: 0,25 м3</t>
  </si>
  <si>
    <t>11.2.3</t>
  </si>
  <si>
    <t>Очистка колодца вручную при степени засоренности: 0,50 м3</t>
  </si>
  <si>
    <t>11.2.4</t>
  </si>
  <si>
    <t>Очистка колодца вручную при степени засоренности: 0,75 м3</t>
  </si>
  <si>
    <t>11.2.5</t>
  </si>
  <si>
    <t>Очистка колодца вручную при степени засоренности: 1,0 м3</t>
  </si>
  <si>
    <t>11.2.6</t>
  </si>
  <si>
    <t>Очистка колодца вручную при степени засоренности: от 1,0 м3 до 3,0 м3</t>
  </si>
  <si>
    <t>11.2.7</t>
  </si>
  <si>
    <t>Очистка приямков вручную, включая промывку и очистку стенок</t>
  </si>
  <si>
    <t>11.2.8</t>
  </si>
  <si>
    <t>Откачивание сточной жидкости фекальным насосом</t>
  </si>
  <si>
    <t>11.2.9</t>
  </si>
  <si>
    <t>Откачка жирового осадка насосом, включая промывку и очистку стенок, с предоставлением документов об утилизации жироуловителей</t>
  </si>
  <si>
    <t>11.2.10</t>
  </si>
  <si>
    <t>Промывка гидродинамическим способом трубопроводов канализации внешней диаметром до 150 мм каналоочистительной машиной Karcher</t>
  </si>
  <si>
    <t>11.2.11</t>
  </si>
  <si>
    <t>Промывка гидродинамическим способом трубопроводов канализации внешней диаметром до 250 мм каналоочистительной машиной Karcher</t>
  </si>
  <si>
    <t>11.2.12</t>
  </si>
  <si>
    <t>Промывка гидродинамическим способом трубопроводов канализации внешней диаметром до 300 мм каналоочистительной машиной Karcher</t>
  </si>
  <si>
    <t>11.2.13</t>
  </si>
  <si>
    <t>Проверка трубопровода видеокамерой (до 60 мп)</t>
  </si>
  <si>
    <t>11.2.14</t>
  </si>
  <si>
    <t>Проверка трубопровода видеокамерой (свыше 60 мп)</t>
  </si>
  <si>
    <t>11.2.15</t>
  </si>
  <si>
    <t>Работы по поиску колодцев без геоподосновы</t>
  </si>
  <si>
    <t>11.2.16</t>
  </si>
  <si>
    <t>Установка жироуловителей вертикальных диаметром 1200 мм</t>
  </si>
  <si>
    <t>11.2.17</t>
  </si>
  <si>
    <t>Установка жироуловителей вертикальных диаметром 1500 мм</t>
  </si>
  <si>
    <t>11.2.18</t>
  </si>
  <si>
    <t>Установка жироуловителей горизонтальных диаметром 1200 мм</t>
  </si>
  <si>
    <t>11.2.19</t>
  </si>
  <si>
    <t>Установка жироуловителей горизонатльных диаметром 1500 мм</t>
  </si>
  <si>
    <t>11.2.20</t>
  </si>
  <si>
    <t>Установка смотрового колодца жироуловителей</t>
  </si>
  <si>
    <t>11.2.21</t>
  </si>
  <si>
    <t>Укладка трубопроводов канализации из полиэтиленовых труб диаметром: 110 мм ( с учетом фасонных изделий)</t>
  </si>
  <si>
    <t>11.2.22</t>
  </si>
  <si>
    <t>Укладка трубопроводов канализации из полиэтиленовых труб диаметром: 225 мм ( с учетом фасонных изделий)</t>
  </si>
  <si>
    <t>11.2.23</t>
  </si>
  <si>
    <t>Укладка трубопроводов канализации из полиэтиленовых труб диаметром: 315 мм ( с учетом фасонных изделий)</t>
  </si>
  <si>
    <t>11.2.24</t>
  </si>
  <si>
    <t>Устройство коллекторов прямоугольных сборных железобетонных односекционных</t>
  </si>
  <si>
    <t>11.2.25</t>
  </si>
  <si>
    <t>Укладка канализационных безнапорных раструбных труб из поливинилхлорида (ПВХ) диаметром: 160 мм (с учетом фасонных изделий)</t>
  </si>
  <si>
    <t>11.2.26</t>
  </si>
  <si>
    <t>Укладка канализационных безнапорных раструбных труб из поливинилхлорида (ПВХ) диаметром: 200 мм (с учетом фасонных изделий)</t>
  </si>
  <si>
    <t>11.2.27</t>
  </si>
  <si>
    <t>Укладка канализационных безнапорных раструбных труб из поливинилхлорида (ПВХ) диаметром: 250 мм (с учетом фасонных изделий)</t>
  </si>
  <si>
    <t>11.2.28</t>
  </si>
  <si>
    <t>Укладка канализационных безнапорных раструбных труб из поливинилхлорида (ПВХ) диаметром: 315 мм (с учетом фасонных изделий)</t>
  </si>
  <si>
    <t>11.2.29</t>
  </si>
  <si>
    <t>Устройство круглых сборных железобетонных канализационных колодцев диаметром 1 м в сухих грунтах</t>
  </si>
  <si>
    <t>11.2.30</t>
  </si>
  <si>
    <t>Устройство круглых сборных железобетонных канализационных колодцев диаметром 1 м в мокрых грунтах</t>
  </si>
  <si>
    <t>11.2.31</t>
  </si>
  <si>
    <t>Восстановление внутренних поверхностей канализационных колодцев нанесением цементно-песчанной гидроизоляции толщиной 12 мм при диаметре 1,0 м и высоте 1,0 м</t>
  </si>
  <si>
    <t>11.2.32</t>
  </si>
  <si>
    <t>Укладка трубопроводов водостока из полиэтиленовых труб диаметром: 110 мм (с учетом фасонных изделий)</t>
  </si>
  <si>
    <t>11.2.33</t>
  </si>
  <si>
    <t>Укладка трубопроводов водостока из полиэтиленовых труб диаметром: 225 мм (с учетом фасонных изделий)</t>
  </si>
  <si>
    <t>11.2.34</t>
  </si>
  <si>
    <t>Укладка трубопроводов водостока из полиэтиленовых труб диаметром: 315 мм (с учетом фасонных изделий)</t>
  </si>
  <si>
    <t>11.2.35</t>
  </si>
  <si>
    <t>Присоединение канализационных трубопроводов к существующей сети в грунтах: сухих (Очистка колодца от мусора и осадка; Копание приямка; Пробивка проема в стене колодца;аделка в стену колодца конца трубы; Засыпка приямка; Перенабивка лотка с оштукатуриванием и железнением)</t>
  </si>
  <si>
    <t>11.2.36</t>
  </si>
  <si>
    <t>Присоединение канализационных трубопроводов к существующей сети в грунтах: мокрых (Очистка колодца от мусора и осадка; Копание приямка; Пробивка проема в стене колодца;аделка в стену колодца конца трубы; Засыпка приямка; Перенабивка лотка с оштукатуриванием и железнением)</t>
  </si>
  <si>
    <t>11.2.N1</t>
  </si>
  <si>
    <t>Механическая прочистка выпуска/трубопровода канализации Ду до 150 электромеханической машиной</t>
  </si>
  <si>
    <t>11.2.N2</t>
  </si>
  <si>
    <t>Откачка и вывоз содержимого колодцев/ЛОС илососом с утилизацией (талон)</t>
  </si>
  <si>
    <t>11.2.N3</t>
  </si>
  <si>
    <t>Перенабивка лотка канализационного колодца с железнением</t>
  </si>
  <si>
    <t>11.2.N4</t>
  </si>
  <si>
    <t>Установка (замена) дождеприёмной решётки с опорной рамой</t>
  </si>
  <si>
    <t>11.2.N5</t>
  </si>
  <si>
    <t>Монтаж линейного водоотводного лотка с решёткой на бетонное основание</t>
  </si>
  <si>
    <t>11.2.N6</t>
  </si>
  <si>
    <t>ТО локальных очистных сооружений (пескоуловитель/бензомаслоотделитель): осмотр, промывка коалесцентных модулей</t>
  </si>
  <si>
    <t>11.2.N7</t>
  </si>
  <si>
    <t>Установка обратного клапана (канализационного затвора) Ду 110–160 на выпуске</t>
  </si>
  <si>
    <t>11.2.N8</t>
  </si>
  <si>
    <t>Заделка ввода трубы в стену колодца (герметизация проёма)</t>
  </si>
  <si>
    <t>11.3 Водопровод наружный</t>
  </si>
  <si>
    <t>11.3.1</t>
  </si>
  <si>
    <t>Укладка водопроводных чугунных напорных раструбных труб при заделке раструбов асбестоцементом диаметром 65 мм</t>
  </si>
  <si>
    <t>11.3.2</t>
  </si>
  <si>
    <t>Укладка водопроводных чугунных напорных раструбных труб при заделке раструбов асбестоцементом диаметром 100 мм</t>
  </si>
  <si>
    <t>11.3.3</t>
  </si>
  <si>
    <t>Укладка водопроводных чугунных напорных раструбных труб при заделке раструбов асбестоцементом диаметром 125 мм</t>
  </si>
  <si>
    <t>11.3.4</t>
  </si>
  <si>
    <t>Укладка стальных водопроводных труб с гидравлическим испытанием диаметром 100 мм</t>
  </si>
  <si>
    <t>11.3.5</t>
  </si>
  <si>
    <t>Укладка стальных водопроводных труб с гидравлическим испытанием диаметром 125 мм</t>
  </si>
  <si>
    <t>11.3.6</t>
  </si>
  <si>
    <t>Укладка стальных водопроводных труб с гидравлическим испытанием диаметром 150 мм</t>
  </si>
  <si>
    <t>11.3.7</t>
  </si>
  <si>
    <t>Укладка трубопроводов из полиэтиленовых труб диаметром 65 мм</t>
  </si>
  <si>
    <t>11.3.8</t>
  </si>
  <si>
    <t>Укладка трубопроводов из полиэтиленовых труб диаметром 100 мм</t>
  </si>
  <si>
    <t>11.3.9</t>
  </si>
  <si>
    <t>Укладка трубопроводов из полиэтиленовых труб диаметром 125 мм</t>
  </si>
  <si>
    <t>11.3.10</t>
  </si>
  <si>
    <t>Укладка трубопроводов из полиэтиленовых труб диаметром 150 мм</t>
  </si>
  <si>
    <t>11.3.11</t>
  </si>
  <si>
    <t>Нанесение усиленной антикоррозионной битумно-резиновой или битумно-полимерной изоляции на стальные трубопроводы диаметром 100 мм</t>
  </si>
  <si>
    <t>11.3.12</t>
  </si>
  <si>
    <t>Нанесение усиленной антикоррозионной битумно-резиновой или битумно-полимерной изоляции на стальные трубопроводы диаметром 125 мм</t>
  </si>
  <si>
    <t>11.3.13</t>
  </si>
  <si>
    <t>Установка фасонных частей чугунных диаметром 50-100 мм</t>
  </si>
  <si>
    <t>11.3.14</t>
  </si>
  <si>
    <t>Установка фасонных частей чугунных диаметром 125-200 мм</t>
  </si>
  <si>
    <t>11.3.15</t>
  </si>
  <si>
    <t>Установка полиэтиленовых фасонных частей отводов, колен, патрубков, переходов, тройников, крестовин</t>
  </si>
  <si>
    <t>11.3.16</t>
  </si>
  <si>
    <t>Установка стальных обжимных, соединительных и регулировочных муфт 400 мм</t>
  </si>
  <si>
    <t>11.3.17</t>
  </si>
  <si>
    <t>Установка задвижек или клапанов обратных чугунных диаметром 50 мм</t>
  </si>
  <si>
    <t>11.3.18</t>
  </si>
  <si>
    <t>Установка задвижек или клапанов обратных чугунных диаметром 100 мм</t>
  </si>
  <si>
    <t>11.3.19</t>
  </si>
  <si>
    <t>Установка задвижек или клапанов обратных чугунных диаметром 150 мм</t>
  </si>
  <si>
    <t>11.3.20</t>
  </si>
  <si>
    <t>Установка задвижек или клапанов обратных стальных диаметром 50 мм</t>
  </si>
  <si>
    <t>11.3.21</t>
  </si>
  <si>
    <t>Установка задвижек или клапанов обратных стальных диаметром 100 мм</t>
  </si>
  <si>
    <t>11.3.22</t>
  </si>
  <si>
    <t>Установка задвижек или клапанов обратных стальных диаметром 150 мм</t>
  </si>
  <si>
    <t>11.3.23</t>
  </si>
  <si>
    <t>Приварка фланцев к стальным трубопроводам диаметром 50 мм</t>
  </si>
  <si>
    <t>11.3.24</t>
  </si>
  <si>
    <t>Приварка фланцев к стальным трубопроводам диаметром 100 мм</t>
  </si>
  <si>
    <t>11.3.25</t>
  </si>
  <si>
    <t>Приварка фланцев к стальным трубопроводам диаметром 150 мм</t>
  </si>
  <si>
    <t>11.3.N1</t>
  </si>
  <si>
    <t>Врезка под давлением в ПЭ трубу седёлкой электросварной Ду до 63</t>
  </si>
  <si>
    <t>11.3.N2</t>
  </si>
  <si>
    <t>Замена пожарного гидранта подземного</t>
  </si>
  <si>
    <t>11.3.N3</t>
  </si>
  <si>
    <t>Устранение течи установкой ремонтного хомута Ду до 150 (без земляных)</t>
  </si>
  <si>
    <t>11.3.N4</t>
  </si>
  <si>
    <t>Монтаж водомерного узла Ду 50 в колодце (без прибора учёта)</t>
  </si>
  <si>
    <t>11.4 Теплоснабжение наружное</t>
  </si>
  <si>
    <t>11.4.1</t>
  </si>
  <si>
    <t>Прокладка трубопроводов в каналах и надземная при условном давлении 0,6 МПа, температуре 115°С, диаметр труб 80 мм (с учетом фасонных изделий)</t>
  </si>
  <si>
    <t>11.4.2</t>
  </si>
  <si>
    <t>Прокладка трубопроводов в каналах и надземная при условном давлении 0,6 МПа, температуре 115°С, диаметр труб 100 мм (с учетом фасонных изделий)</t>
  </si>
  <si>
    <t>11.4.3</t>
  </si>
  <si>
    <t>Прокладка трубопроводов в каналах и надземная при условном давлении 0,6 МПа, температуре 115°С, диаметр труб 125 мм (с учетом фасонных изделий)</t>
  </si>
  <si>
    <t>11.4.4</t>
  </si>
  <si>
    <t>Прокладка трубопроводов в каналах и надземная при условном давлении 0,6 МПа, температуре 115°С, диаметр труб 150 мм (с учетом фасонных изделий)</t>
  </si>
  <si>
    <t>11.4.5</t>
  </si>
  <si>
    <t>Прокладка трубопроводов в непроходном канале при условном давлении 1,6 МПа, температуре 150°С, диаметр труб 80 мм (с учетом фасонных изделий)</t>
  </si>
  <si>
    <t>11.4.6</t>
  </si>
  <si>
    <t>Прокладка трубопроводов в непроходном канале при условном давлении 1,6 МПа, температуре 150°С, диаметр труб 100 мм (с учетом фасонных изделий)</t>
  </si>
  <si>
    <t>11.4.7</t>
  </si>
  <si>
    <t>Прокладка трубопроводов в непроходном канале при условном давлении 1,6 МПа, температуре 150°С, диаметр труб 125 мм (с учетом фасонных изделий)</t>
  </si>
  <si>
    <t>11.4.8</t>
  </si>
  <si>
    <t>Прокладка трубопроводов в непроходном канале при условном давлении 1,6 МПа, температуре 150°С, диаметр труб 150 мм (с учетом фасонных изделий)</t>
  </si>
  <si>
    <t>11.4.9</t>
  </si>
  <si>
    <t>Надземная прокладка трубопроводов в изоляции из пенополиуретана (ППУ) при условном давлении 1,6 МПа, температуре 150°С, диаметр труб 80 мм (с учетом фасонных изделий)</t>
  </si>
  <si>
    <t>11.4.10</t>
  </si>
  <si>
    <t>Надземная прокладка трубопроводов в изоляции из пенополиуретана (ППУ) при условном давлении 1,6 МПа, температуре 150°С, диаметр труб 100 мм (с учетом фасонных изделий)</t>
  </si>
  <si>
    <t>11.4.11</t>
  </si>
  <si>
    <t>Надземная прокладка трубопроводов в изоляции из пенополиуретана (ППУ) при условном давлении 1,6 МПа, температуре 150°С, диаметр труб 150 мм (с учетом фасонных изделий)</t>
  </si>
  <si>
    <t>11.4.12</t>
  </si>
  <si>
    <t>Подвальная прокладка трубопроводов в изоляции из пенополиуретана (ППУ) с изоляцией стыков при условном давлении 1,6 МПа, температуре 150°С, диаметр труб 80 мм (с учетом фасонных изделий)</t>
  </si>
  <si>
    <t>11.4.13</t>
  </si>
  <si>
    <t>Подвальная прокладка трубопроводов в изоляции из пенополиуретана (ППУ) с изоляцией стыков при условном давлении 1,6 МПа, температуре 150°С, диаметр труб 100 мм (с учетом фасонных изделий)</t>
  </si>
  <si>
    <t>11.4.14</t>
  </si>
  <si>
    <t>Подвальная прокладка трубопроводов в изоляции из пенополиуретана (ППУ) с изоляцией стыков при условном давлении 1,6 МПа, температуре 150°С, диаметр труб 150 мм (с учетом фасонных изделий)</t>
  </si>
  <si>
    <t>11.4.15</t>
  </si>
  <si>
    <t>Установка задвижек или клапанов стальных для горячей воды и пара диаметром 80 мм</t>
  </si>
  <si>
    <t>11.4.16</t>
  </si>
  <si>
    <t>Установка задвижек или клапанов стальных для горячей воды и пара диаметром 100 мм</t>
  </si>
  <si>
    <t>11.4.17</t>
  </si>
  <si>
    <t>Установка задвижек или клапанов стальных для горячей воды и пара диаметром 150 мм</t>
  </si>
  <si>
    <t>11.4.18</t>
  </si>
  <si>
    <t>Установка вентилей и клапанов обратных муфтовых диаметром до 50 мм</t>
  </si>
  <si>
    <t>11.4.19</t>
  </si>
  <si>
    <t>Установка компенсатора диаметром труб до 100 мм</t>
  </si>
  <si>
    <t>11.4.20</t>
  </si>
  <si>
    <t>Приварка фланцев к стальным трубопроводам диаметром до 50 мм</t>
  </si>
  <si>
    <t>11.4.21</t>
  </si>
  <si>
    <t>Приварка фланцев к стальным трубопроводам диаметром до 100 мм</t>
  </si>
  <si>
    <t>11.4.22</t>
  </si>
  <si>
    <t>Замена прокладок на фланцевых соединениях трубопроводов диаметром труб: до 100 мм</t>
  </si>
  <si>
    <t>11.4.N1</t>
  </si>
  <si>
    <t>Изоляция стыка ППУ-трубы термоусадочной муфтой с заливкой пены Ду до 150</t>
  </si>
  <si>
    <t>11.4.N2</t>
  </si>
  <si>
    <t>Восстановление теплоизоляции трубопровода (минвата + покровный слой оцинковка) Ду до 150</t>
  </si>
  <si>
    <t>11.4.N3</t>
  </si>
  <si>
    <t>Опрессовка участка тепловой сети с оформлением акта</t>
  </si>
  <si>
    <t>13 Благоустройство прилегающей территории</t>
  </si>
  <si>
    <t>13.1</t>
  </si>
  <si>
    <t>Выкашивание газонов газонокосилкой</t>
  </si>
  <si>
    <t>13.2</t>
  </si>
  <si>
    <t>13.3</t>
  </si>
  <si>
    <t>Копка ям вручную размером: 0,3x0,3 м на почвах средних</t>
  </si>
  <si>
    <t>13.4</t>
  </si>
  <si>
    <t>Копка ям вручную размером: 0,6x0,6 м на почвах средних</t>
  </si>
  <si>
    <t>13.5</t>
  </si>
  <si>
    <t>Копка ям вручную размером: 0,8x0,6 м на почвах средних</t>
  </si>
  <si>
    <t>13.6</t>
  </si>
  <si>
    <t>Металлическая ограда из сетчатых панелей высотой 1,2м по железобетонным столбам без цоколя</t>
  </si>
  <si>
    <t>13.7</t>
  </si>
  <si>
    <t>Металлическая ограда из сетчатых панелей высотой 1,6м по железобетонным столбам с цоколем</t>
  </si>
  <si>
    <t>13.8</t>
  </si>
  <si>
    <t>Металлическое ограждение из труб различного профиля по металлическим столбам</t>
  </si>
  <si>
    <t>13.9</t>
  </si>
  <si>
    <t>Монтаж искусственной дорожной неровности (ИДН)</t>
  </si>
  <si>
    <t>13.10</t>
  </si>
  <si>
    <t>На каждые 0,5 см изменения толщины покрытия добавлять или исключать к расценке на устройство покрытий из горячих асфальтобетонных смесей плотных купнозернистых типа АБВ</t>
  </si>
  <si>
    <t>13.11</t>
  </si>
  <si>
    <t>На каждые 0,5 см изменения толщины покрытия добавлять или исключать к расценке на устройство покрытий из горячих асфальтобетонных смесей плотных мелкозернистых типа АБВ</t>
  </si>
  <si>
    <t>13.12</t>
  </si>
  <si>
    <t>На каждые 0,5 см изменения толщины покрытия добавлять к расценке ( из литой мелкозернистой асфальто-бетонной смеси толщиной 3 см)</t>
  </si>
  <si>
    <t>13.13</t>
  </si>
  <si>
    <t>На каждые 0,5 см изменения толщины покрытия из холодных асфальтобетонных смесей добавлять или исключать</t>
  </si>
  <si>
    <t>13.14</t>
  </si>
  <si>
    <t>Нанесение линии горизонтальной дорожной разметки краской со световозвращающими элементами на дорожное покрытие (асфальт, поверхностная обработка)</t>
  </si>
  <si>
    <t>13.15</t>
  </si>
  <si>
    <t>Нанесение линии поперечной дорожной разметки холодным пластиком со световозвращающими элементами вручную с применением трафаретной самоклеящейся ленты</t>
  </si>
  <si>
    <t>13.16</t>
  </si>
  <si>
    <t>Нарезка шва на асфальте алмазным диском</t>
  </si>
  <si>
    <t>13.17</t>
  </si>
  <si>
    <t>Окраска деревянных ограждений</t>
  </si>
  <si>
    <t>13.18</t>
  </si>
  <si>
    <t>Окраска металлических оргаждений, решеток</t>
  </si>
  <si>
    <t>13.19</t>
  </si>
  <si>
    <t>Очистка участка от мусора</t>
  </si>
  <si>
    <t>13.20</t>
  </si>
  <si>
    <t>Планировка участка вручную</t>
  </si>
  <si>
    <t>13.21</t>
  </si>
  <si>
    <t>Подготовка асфальтобетонных оснований под малые архитектурные формы</t>
  </si>
  <si>
    <t>13.22</t>
  </si>
  <si>
    <t>Подготовка грунтовых оснований под малые архитектурные формы</t>
  </si>
  <si>
    <t>13.23</t>
  </si>
  <si>
    <t>Подготовка под цветники, толщина насыпки 20 см</t>
  </si>
  <si>
    <t>13.24</t>
  </si>
  <si>
    <t>Подготовка почвы для устройства партерного и обыкновенного газона без внесения растительной земли механизированным способом</t>
  </si>
  <si>
    <t>13.25</t>
  </si>
  <si>
    <t>Подготовка почвы для устройства партерного и обыкновенного газона без внесения растительной земли ручным способом</t>
  </si>
  <si>
    <t>13.26</t>
  </si>
  <si>
    <t>Подготовка почвы для устройства партерного и обыкновенного газона с внесением растительной земли слоем 15 см: вручную</t>
  </si>
  <si>
    <t>13.27</t>
  </si>
  <si>
    <t>Подготовка почвы для устройства партерного и обыкновенного газона с внесением растительной земли слоем 15 см: механизированным способом</t>
  </si>
  <si>
    <t>13.28</t>
  </si>
  <si>
    <t>Подготовка стандартных посадочных мест вручную для деревьев и кустарников с круглым комом земли размером: 0,2x0,15 м и 0,25x0,2 м в естественном грунте</t>
  </si>
  <si>
    <t>13.29</t>
  </si>
  <si>
    <t>Подготовка стандартных посадочных мест для деревьев-саженцев с комом земли вручную: в естественном грунте</t>
  </si>
  <si>
    <t>13.30</t>
  </si>
  <si>
    <t>Подготовка стандартных посадочных мест для деревьев-саженцев с комом земли системой вручную: в естественном грунте</t>
  </si>
  <si>
    <t>13.31</t>
  </si>
  <si>
    <t>Подготовка стандартных посадочных мест для кустарников-саженцев в группы вручную: в естественном грунте</t>
  </si>
  <si>
    <t>13.32</t>
  </si>
  <si>
    <t>Подготовка щебеночных оснований под малые архитектурные формы</t>
  </si>
  <si>
    <t>13.33</t>
  </si>
  <si>
    <t>Покрытие деревянных поверхностей малых форм лаком с подготовкой поверхности</t>
  </si>
  <si>
    <t>13.34</t>
  </si>
  <si>
    <t>Посадка деревьев и кустанрников с комом земли в ямы</t>
  </si>
  <si>
    <t>13.35</t>
  </si>
  <si>
    <t>Посадка деревьев-саженцев с оголенной корневой системой в ямы</t>
  </si>
  <si>
    <t>13.36</t>
  </si>
  <si>
    <t>Посадка цветов в клумбы, рабатки и вазы-цветочницы: клубневых, луковичных и клубнелуковичных</t>
  </si>
  <si>
    <t>13.37</t>
  </si>
  <si>
    <t>Посадка цветов в клумбы, рабатки и вазы-цветочницы: многолетних и корневищных</t>
  </si>
  <si>
    <t>13.38</t>
  </si>
  <si>
    <t>Посев газонов вручную</t>
  </si>
  <si>
    <t>13.39</t>
  </si>
  <si>
    <t>Разбивка участка</t>
  </si>
  <si>
    <t>13.40</t>
  </si>
  <si>
    <t>Разборка покрытий и оснований: цементно-бетонных</t>
  </si>
  <si>
    <t>13.41</t>
  </si>
  <si>
    <t>Разметка краской для проезжей части знака "Инвалид" вручную с использованием трафаретной ленты</t>
  </si>
  <si>
    <t>13.42</t>
  </si>
  <si>
    <t>Разметка краской для проезжей части пешеходного перехода вручную с использованием трафаретной ленты</t>
  </si>
  <si>
    <t>13.43</t>
  </si>
  <si>
    <t>Разметка проезжей части краской сплошной линией шириной 0,1 м</t>
  </si>
  <si>
    <t>км</t>
  </si>
  <si>
    <t>13.44</t>
  </si>
  <si>
    <t>Разметка проезжей части термопластиком сплошной линией шириной 0,1 м</t>
  </si>
  <si>
    <t>13.45</t>
  </si>
  <si>
    <t>Разработка грунта в отвал экскаватором</t>
  </si>
  <si>
    <t>13.46</t>
  </si>
  <si>
    <t>13.47</t>
  </si>
  <si>
    <t>Резка гранитных и бетонных малоразмерных плит в построечных условиях</t>
  </si>
  <si>
    <t>13.48</t>
  </si>
  <si>
    <t>Ремонт асфальтобетонного покрытия дорог двухслойного толщиной 4-10см</t>
  </si>
  <si>
    <t>13.49</t>
  </si>
  <si>
    <t>Ремонт асфальтобетонного покрытия дорог однослойного толщиной до 4см</t>
  </si>
  <si>
    <t>13.50</t>
  </si>
  <si>
    <t>Ремонт металлических ограждений средний</t>
  </si>
  <si>
    <t>13.51</t>
  </si>
  <si>
    <t>Розлив вяжущих материалов</t>
  </si>
  <si>
    <t>13.52</t>
  </si>
  <si>
    <t>Сгребание и уборка трав</t>
  </si>
  <si>
    <t>13.53</t>
  </si>
  <si>
    <t>Смена отдельных участков металлического ограждения газонов из труб диаметром до 40 мм</t>
  </si>
  <si>
    <t>13.54</t>
  </si>
  <si>
    <t>Укладка металлической сетки в цементобетонное дорожное покрытие</t>
  </si>
  <si>
    <t>13.55</t>
  </si>
  <si>
    <t>Укладка наземных тактильных плит на слой сухой цементно-песчаной смеси</t>
  </si>
  <si>
    <t>13.56</t>
  </si>
  <si>
    <t>13.57</t>
  </si>
  <si>
    <t>Уплотнение грунта самоходным катком</t>
  </si>
  <si>
    <t>13.58</t>
  </si>
  <si>
    <t>Установка бортовых камней дорожных бетонных: при цементобетонных покрытиях</t>
  </si>
  <si>
    <t>13.59</t>
  </si>
  <si>
    <t>Установка дорожных знаков бесфундаментных: на металлических стойках</t>
  </si>
  <si>
    <t>13.60</t>
  </si>
  <si>
    <t>Установка дорожных знаков на металлических рамных конструкциях П-образных</t>
  </si>
  <si>
    <t>13.61</t>
  </si>
  <si>
    <t>Установка дорожных знаков на металлических рамных конструкциях Т-образных</t>
  </si>
  <si>
    <t>13.62</t>
  </si>
  <si>
    <t>Установка дорожных знаков на сборных железобетонных фундаментах и металлических стойках массой до 25 кг</t>
  </si>
  <si>
    <t>13.63</t>
  </si>
  <si>
    <t>Установка дорожных знаков на сборных железобетонных фундаментах и металлических стойках массой от 25 до 50 кг</t>
  </si>
  <si>
    <t>13.64</t>
  </si>
  <si>
    <t>Установка защитных ограждений тротуаров: бетонных полусфер</t>
  </si>
  <si>
    <t>13.65</t>
  </si>
  <si>
    <t>Установка защитных ограждений тротуаров: бетонных тумб</t>
  </si>
  <si>
    <t>13.66</t>
  </si>
  <si>
    <t>Установка садового бордюра бетонного</t>
  </si>
  <si>
    <t>13.67</t>
  </si>
  <si>
    <t>Установка скамеек бетонных</t>
  </si>
  <si>
    <t>13.68</t>
  </si>
  <si>
    <t>Установка скамеек деревянных на металлическом каркасе</t>
  </si>
  <si>
    <t>13.69</t>
  </si>
  <si>
    <t>Установка урн бетонных</t>
  </si>
  <si>
    <t>13.70</t>
  </si>
  <si>
    <t>Установка урн металлических</t>
  </si>
  <si>
    <t>13.71</t>
  </si>
  <si>
    <t>Установка цветочниц бетонных</t>
  </si>
  <si>
    <t>13.72</t>
  </si>
  <si>
    <t>Устройство асфальтобетонных покрытий дорожек и тротуаров однослойных из литой мелкозернистой асфальто-бетонной смеси толщиной 3 см (1 м2)</t>
  </si>
  <si>
    <t>13.73</t>
  </si>
  <si>
    <t>Устройство верхнего слоя покрытия из песчаной асфальтобетонной смеси толщиной 3 см вручную</t>
  </si>
  <si>
    <t>13.74</t>
  </si>
  <si>
    <t>Устройство газонов из готовых рулонных заготовок</t>
  </si>
  <si>
    <t>13.75</t>
  </si>
  <si>
    <t>Устройство металлических пешеходных ограждений</t>
  </si>
  <si>
    <t>13.76</t>
  </si>
  <si>
    <t>Устройство нижнего слоя покрытия из крупнозернистой асфальтобетонной смеси толщиной 4,5 см вручную</t>
  </si>
  <si>
    <t>13.77</t>
  </si>
  <si>
    <t>Устройство однослойных оснований толщиной 15 см из щебня фракции 40-70 мм при укатке каменных материалов</t>
  </si>
  <si>
    <t>13.78</t>
  </si>
  <si>
    <t>Устройство подстилающих и выравнивающих слоев оснований из гравия</t>
  </si>
  <si>
    <t>13.79</t>
  </si>
  <si>
    <t>Устройство подстилающих и выравнивающих слоев оснований из песка</t>
  </si>
  <si>
    <t>13.80</t>
  </si>
  <si>
    <t>Устройство подстилающих и выравнивающих слоев оснований из щебня</t>
  </si>
  <si>
    <t>13.81</t>
  </si>
  <si>
    <t>Устройство покрытий бетонных толщиной 30 мм</t>
  </si>
  <si>
    <t>13.82</t>
  </si>
  <si>
    <t>Устройство покрытий из гранитных малоразмерных плит</t>
  </si>
  <si>
    <t>13.83</t>
  </si>
  <si>
    <t>Устройство покрытий тротуаров из бетонной плитки типа "Брусчатка": веерным мощением</t>
  </si>
  <si>
    <t>13.84</t>
  </si>
  <si>
    <t>Устройство покрытий тротуаров из бетонной плитки типа "Брусчатка": кольцевым мощением</t>
  </si>
  <si>
    <t>13.85</t>
  </si>
  <si>
    <t>Устройство покрытий тротуаров из бетонной плитки типа "Брусчатка": рядовым или паркетным мощением</t>
  </si>
  <si>
    <t>13.86</t>
  </si>
  <si>
    <t>Устройство покрытия толщиной 3 см из холодных асфальтобетонных смесей</t>
  </si>
  <si>
    <t>13.87</t>
  </si>
  <si>
    <t>Устройство покрытия толщиной 4 см из горячих асфальтобетонных смесей плотных крупнозернинистых типа АБ, плотность каменных материалов 2,5-2,9 т/м3</t>
  </si>
  <si>
    <t>13.88</t>
  </si>
  <si>
    <t>Устройство покрытия толщиной 4 см из горячих асфальтобетонных смесей плотных мелкозернистых типа АБВ, плотность каменных материалов 2,5-2,9 т/м3</t>
  </si>
  <si>
    <t>13.89</t>
  </si>
  <si>
    <t>Устройство прослойки из нетканого синтетического материала (НСМ) в земляном полотне: сплошной</t>
  </si>
  <si>
    <t>13.90</t>
  </si>
  <si>
    <t>Ямочный ремонт асфальтобетонного покрытия литой асфальтобетонной смесью с разрушением поверхности и с учетом подготовки основания</t>
  </si>
  <si>
    <t>13.N1</t>
  </si>
  <si>
    <t>Демонтаж асфальтобетонного покрытия толщиной до 10 см с погрузкой (вручную/отбойник)</t>
  </si>
  <si>
    <t>13.N2</t>
  </si>
  <si>
    <t>Фрезерование асфальтобетонного покрытия до 5 см (дорожная фреза с оператором)</t>
  </si>
  <si>
    <t>13.N3</t>
  </si>
  <si>
    <t>Демонтаж бортового камня с погрузкой</t>
  </si>
  <si>
    <t>13.N4</t>
  </si>
  <si>
    <t>Демонтаж тротуарной плитки с сортировкой и складированием</t>
  </si>
  <si>
    <t>13.N5</t>
  </si>
  <si>
    <t>Перекладка просевших участков тротуарной плитки с подсыпкой и уплотнением</t>
  </si>
  <si>
    <t>13.N6</t>
  </si>
  <si>
    <t>Герметизация трещин асфальта битумной мастикой с разделкой</t>
  </si>
  <si>
    <t>13.N7</t>
  </si>
  <si>
    <t>Установка парковочного столбика на анкерах</t>
  </si>
  <si>
    <t>13.N8</t>
  </si>
  <si>
    <t>Монтаж колесоотбойника резинового/композитного на анкерах</t>
  </si>
  <si>
    <t>13.N9</t>
  </si>
  <si>
    <t>Демаркировка (удаление) старой разметки механическим способом</t>
  </si>
  <si>
    <t>13.N10</t>
  </si>
  <si>
    <t>Разметка машиноместа краской (линии + номер)</t>
  </si>
  <si>
    <t>13.N11</t>
  </si>
  <si>
    <t>Окраска бортового камня (работа)</t>
  </si>
  <si>
    <t>13.N12</t>
  </si>
  <si>
    <t>Досыпка растительного грунта на газоны с разравниванием вручную</t>
  </si>
  <si>
    <t>13.N13</t>
  </si>
  <si>
    <t>Вывоз строительного мусора/грунта самосвалом до 30 км (без утилизации)</t>
  </si>
  <si>
    <t>13.N14</t>
  </si>
  <si>
    <t>Аренда мини-экскаватора/экскаватора-погрузчика с оператором</t>
  </si>
  <si>
    <t>маш.-ч</t>
  </si>
  <si>
    <t>13.N15</t>
  </si>
  <si>
    <t>Аренда виброкатка 1,5–3 т с оператором</t>
  </si>
  <si>
    <t>13.N16</t>
  </si>
  <si>
    <t>Замена панели 3D-ограждения на существующих столбах</t>
  </si>
  <si>
    <t>14 Изготовление и монтаж контейенерной площадки</t>
  </si>
  <si>
    <t>14.1</t>
  </si>
  <si>
    <t>Изготовление и монтаж каркаса из одиночных и парных уголков, гнутосварных профилей и др.</t>
  </si>
  <si>
    <t>14.2</t>
  </si>
  <si>
    <t>Бурение отверстий в асфальте глубиной до 20 см, диаметром до 16 мм</t>
  </si>
  <si>
    <t>14.3</t>
  </si>
  <si>
    <t>Обезжиривание металлоконструкций</t>
  </si>
  <si>
    <t>14.4</t>
  </si>
  <si>
    <t>Облицовка листовым металлом по готовому каркасу</t>
  </si>
  <si>
    <t>14.5</t>
  </si>
  <si>
    <t>14.6</t>
  </si>
  <si>
    <t>Огрунтовка металлоконструкций</t>
  </si>
  <si>
    <t>14.7</t>
  </si>
  <si>
    <t>Окраска металлоконструкций за два раза</t>
  </si>
  <si>
    <t>14.8</t>
  </si>
  <si>
    <t>14.9</t>
  </si>
  <si>
    <t>Сборка евроконтейнеров 1100л</t>
  </si>
  <si>
    <t>14.10</t>
  </si>
  <si>
    <t>Резка листового металла</t>
  </si>
  <si>
    <t>14.11</t>
  </si>
  <si>
    <t>Ремонт металлоконструкций каркаса с применением сварочных работ</t>
  </si>
  <si>
    <t>14.12</t>
  </si>
  <si>
    <t>Установка задвижки</t>
  </si>
  <si>
    <t>14.13</t>
  </si>
  <si>
    <t>Установка замка навесного с проушинами (комплект)</t>
  </si>
  <si>
    <t>14.14</t>
  </si>
  <si>
    <t>Установка усиленной петли двери контейрной площадки</t>
  </si>
  <si>
    <t>14.N1</t>
  </si>
  <si>
    <t>Устройство бетонного основания площадки 150 мм с армированием сеткой (без материалов)</t>
  </si>
  <si>
    <t>14.N2</t>
  </si>
  <si>
    <t>Демонтаж старой контейнерной площадки (МК, профлист) с резкой</t>
  </si>
  <si>
    <t>14.N3</t>
  </si>
  <si>
    <t>Установка колесоупора/отбойника для контейнеров из трубы с анкеровкой</t>
  </si>
  <si>
    <t>15 ОЗДС</t>
  </si>
  <si>
    <t>15.1</t>
  </si>
  <si>
    <t>Монтаж блока преобразователя импульсного (БПИ)</t>
  </si>
  <si>
    <t>15.2</t>
  </si>
  <si>
    <t>Монтаж барьера электризуемый БЭ</t>
  </si>
  <si>
    <t>15.3</t>
  </si>
  <si>
    <t>Монтаж блока высоковольтного усилителя (БВУ)</t>
  </si>
  <si>
    <t>15.4</t>
  </si>
  <si>
    <t>Проектные работы устройства сети охранно-защитной дератизационной системы (ОЗДС)</t>
  </si>
  <si>
    <t>услуга</t>
  </si>
  <si>
    <t>15.5</t>
  </si>
  <si>
    <t>Прокладка провода высоковольтного для с-мы ОЗДС</t>
  </si>
  <si>
    <t>15.6</t>
  </si>
  <si>
    <t>Техническое обслуживание охранно-защитной дератизационной системы (ОЗДС)</t>
  </si>
  <si>
    <t>15.7</t>
  </si>
  <si>
    <t>Установка извещателя ПС автоматический тепловой электро-контактный, магнитоконтактный в нормальном исполнении</t>
  </si>
  <si>
    <t>15.8</t>
  </si>
  <si>
    <t>Установка предупреждающей наклейки ОЗДС</t>
  </si>
  <si>
    <t>15.9</t>
  </si>
  <si>
    <t>Химическая дератизация помещений с учетом хим.препаратов</t>
  </si>
  <si>
    <t>15.N1</t>
  </si>
  <si>
    <t>Пусконаладка ОЗДС с измерением выходного напряжения и оформлением протокола</t>
  </si>
  <si>
    <t>15.N2</t>
  </si>
  <si>
    <t>Демонтаж элементов ОЗДС (барьеры, провод)</t>
  </si>
  <si>
    <t>15.N3</t>
  </si>
  <si>
    <t>Установка приманочной станции (родентостанции) с закреплением</t>
  </si>
  <si>
    <t>15.N4</t>
  </si>
  <si>
    <t>Обслуживание приманочной станции (замена приманки, учёт поедаемости) за обход</t>
  </si>
  <si>
    <t>12.1 Автоматические и распашные двери входной группы</t>
  </si>
  <si>
    <t>12.1.1</t>
  </si>
  <si>
    <t>Замена 2-х секционной петли алюминиевой двери входной группы</t>
  </si>
  <si>
    <t>12.1.2</t>
  </si>
  <si>
    <t>Замена 3-х секционной петли алюминиевой двери входной группы</t>
  </si>
  <si>
    <t>12.1.3</t>
  </si>
  <si>
    <t>Замена блока управления с настройкой параметров пользователя</t>
  </si>
  <si>
    <t>12.1.4</t>
  </si>
  <si>
    <t>Замена двойного стекла "триплекс" 4+4мм в автоматической раздвижной двери (под ключ)</t>
  </si>
  <si>
    <t>12.1.5</t>
  </si>
  <si>
    <t>Замена замка двери входной группы с личинкой</t>
  </si>
  <si>
    <t>12.1.6</t>
  </si>
  <si>
    <t>Замена каретки (тележки) подвижной створки</t>
  </si>
  <si>
    <t>12.1.7</t>
  </si>
  <si>
    <t>Замена кнопки аварийной остановки</t>
  </si>
  <si>
    <t>12.1.8</t>
  </si>
  <si>
    <t>Замена кронштейна створки автоматической двери</t>
  </si>
  <si>
    <t>12.1.9</t>
  </si>
  <si>
    <t>Замена крышки оператора автоматической двери</t>
  </si>
  <si>
    <t>12.1.10</t>
  </si>
  <si>
    <t>Замена личинки замка входной группы</t>
  </si>
  <si>
    <t>12.1.11</t>
  </si>
  <si>
    <t>Замена механического разблокиратора замка</t>
  </si>
  <si>
    <t>12.1.12</t>
  </si>
  <si>
    <t>Замена мотор-редуктора с регулировкой натяжения приводного ремня</t>
  </si>
  <si>
    <t>12.1.13</t>
  </si>
  <si>
    <t>Замена напольной направляющей подвижной створки</t>
  </si>
  <si>
    <t>12.1.14</t>
  </si>
  <si>
    <t>Замена натяжного ролика с последующей регулировкой натяжения ремня привода</t>
  </si>
  <si>
    <t>12.1.15</t>
  </si>
  <si>
    <t>Замена нащельника плоского</t>
  </si>
  <si>
    <t>12.1.16</t>
  </si>
  <si>
    <t>Замена нащельника углового</t>
  </si>
  <si>
    <t>12.1.17</t>
  </si>
  <si>
    <t>Замена несущего профиля</t>
  </si>
  <si>
    <t>12.1.18</t>
  </si>
  <si>
    <t>Замена оператора автоматической двери</t>
  </si>
  <si>
    <t>12.1.19</t>
  </si>
  <si>
    <t>Замена платы расширения</t>
  </si>
  <si>
    <t>12.1.20</t>
  </si>
  <si>
    <t>Замена приводного ремня</t>
  </si>
  <si>
    <t>12.1.21</t>
  </si>
  <si>
    <t>Замена промежуточной (внутренней) петли алюминиевой двери входнрой группы</t>
  </si>
  <si>
    <t>12.1.22</t>
  </si>
  <si>
    <t>Замена радара (детектора движения) с последующей настройкой</t>
  </si>
  <si>
    <t>12.1.23</t>
  </si>
  <si>
    <t>Замена ролика каретки (тележки) привода</t>
  </si>
  <si>
    <t>12.1.24</t>
  </si>
  <si>
    <t>Замена ручки дуговой алюминиевой двери входной группы</t>
  </si>
  <si>
    <t>12.1.25</t>
  </si>
  <si>
    <t>Замена сборочного комплекта створки</t>
  </si>
  <si>
    <t>12.1.26</t>
  </si>
  <si>
    <t>Замена селектора (переключателя режимов работы) на идентичный без изменения местоположения</t>
  </si>
  <si>
    <t>12.1.27</t>
  </si>
  <si>
    <t>Замена селектора на другую модель</t>
  </si>
  <si>
    <t>12.1.28</t>
  </si>
  <si>
    <t>Замена силового трансформатора</t>
  </si>
  <si>
    <t>12.1.29</t>
  </si>
  <si>
    <t>Замена сэндвич-панели 10 мм для заполнения дверей</t>
  </si>
  <si>
    <t>12.1.30</t>
  </si>
  <si>
    <t>Замена сэндвич-панели 24 мм для заполнения двери</t>
  </si>
  <si>
    <t>12.1.31</t>
  </si>
  <si>
    <t>Замена фотоэлемента безопасности</t>
  </si>
  <si>
    <t>12.1.32</t>
  </si>
  <si>
    <t>Замена электромагнитного замка</t>
  </si>
  <si>
    <t>12.1.33</t>
  </si>
  <si>
    <t>Замена электромеханического замка автоматических дверей</t>
  </si>
  <si>
    <t>12.1.34</t>
  </si>
  <si>
    <t>Замена электронного блока управления</t>
  </si>
  <si>
    <t>12.1.35</t>
  </si>
  <si>
    <t>Комплексная диагностика привода автоматической двери</t>
  </si>
  <si>
    <t>12.1.36</t>
  </si>
  <si>
    <t>Монтаж автоматической двухстворчатой раздвижной двери. Высота чистого проема 2300 мм, ширина чистого прохода 1300 мм.</t>
  </si>
  <si>
    <t>12.1.37</t>
  </si>
  <si>
    <t>Монтаж автоматической двухстворчатой раздвижной двери. Высота чистого проема 2300 мм, ширина чистого прохода 1500 мм.</t>
  </si>
  <si>
    <t>12.1.38</t>
  </si>
  <si>
    <t>Монтаж автоматической двухстворчатой раздвижной двери. Высота чистого проема 2300мм, ширина чистого прохода 900мм.</t>
  </si>
  <si>
    <t>12.1.39</t>
  </si>
  <si>
    <t>Монтаж автоматической одностворчатой раздвижной двери. Высота чистого проема 2300мм, ширина чистого прохода 900 мм.</t>
  </si>
  <si>
    <t>12.1.40</t>
  </si>
  <si>
    <t>Монтаж автоматической раздвижной двери автобусного типа (2 створки). Высота чистого проема 2300мм, ширина чистого прохода 1000мм.</t>
  </si>
  <si>
    <t>12.1.41</t>
  </si>
  <si>
    <t>Монтаж автоматической раздвижной двери автобусного типа (2 створки). Высота чистого проема 2300мм, ширина чистого прохода 1400мм.</t>
  </si>
  <si>
    <t>12.1.42</t>
  </si>
  <si>
    <t>Монтаж алюминиевой двери из профиля СПЛ-02</t>
  </si>
  <si>
    <t>12.1.43</t>
  </si>
  <si>
    <t>Монтаж полотна алюминиевой/пластиковой двери, состоящее из сэндвич-панели или окрашенного стального листа 0,7мм (размер 600х900мм)</t>
  </si>
  <si>
    <t>12.1.44</t>
  </si>
  <si>
    <t>Монтаж стеклоалюминиевой распашной двери (верх-стекло, низ-сэндвич, без порога, 3 петли)</t>
  </si>
  <si>
    <t>12.1.45</t>
  </si>
  <si>
    <t>Настройка параметров блока управления (без перезагрузки)</t>
  </si>
  <si>
    <t>12.1.46</t>
  </si>
  <si>
    <t>Настройка параметров блока управления (с перезагрузкой)</t>
  </si>
  <si>
    <t>12.1.47</t>
  </si>
  <si>
    <t>Окраска двери по RAL заказчика (кроме 9016) порошковым способом</t>
  </si>
  <si>
    <t>12.1.48</t>
  </si>
  <si>
    <t>Покраска нажимной гарнитуры в цвет полотна двери порошковым способом</t>
  </si>
  <si>
    <t>12.1.49</t>
  </si>
  <si>
    <t>Покраска ручки дуговой в цвет полотна двери порошковым способом</t>
  </si>
  <si>
    <t>12.1.50</t>
  </si>
  <si>
    <t>Протяжка дверного полотна алюминиевой двери</t>
  </si>
  <si>
    <t>12.1.51</t>
  </si>
  <si>
    <t>Прошивка блока управления</t>
  </si>
  <si>
    <t>12.1.52</t>
  </si>
  <si>
    <t>Разовое технической обслуживание автоматической двери (Удаление загрязнений с рабочих поверхностей, Протяжка крепежа конструкций и блоков привода, Регулировка натяжения ременной (цепной) передачи. Проверка функционирования блока аварийного открытия, Настройка параметров системы управления привода, Настройка датчиков движения, Проверка функционирования фотоэлементов, Контроль износа напольных направляющих, Регулировка положения подвижных створок, Проверка функционирования электромеханического замка)</t>
  </si>
  <si>
    <t>12.1.53</t>
  </si>
  <si>
    <t>Регулировка механической части привода</t>
  </si>
  <si>
    <t>12.1.54</t>
  </si>
  <si>
    <t>Ремонт замка во входной группе</t>
  </si>
  <si>
    <t>12.1.55</t>
  </si>
  <si>
    <t>Ремонт замка многозапорного</t>
  </si>
  <si>
    <t>12.1.56</t>
  </si>
  <si>
    <t>Ремонт петли 2-х картной ПВХ двери с регулировкой</t>
  </si>
  <si>
    <t>12.1.57</t>
  </si>
  <si>
    <t>Ремонт простой петли во входной группе</t>
  </si>
  <si>
    <t>12.1.58</t>
  </si>
  <si>
    <t>Ремонт ручки дуговой во входной группе</t>
  </si>
  <si>
    <t>12.1.59</t>
  </si>
  <si>
    <t>Ремонт шпингалета накладного во входной группе</t>
  </si>
  <si>
    <t>12.1.60</t>
  </si>
  <si>
    <t>Установка сбитой створки на несущий рельс</t>
  </si>
  <si>
    <t>12.1.61</t>
  </si>
  <si>
    <t>Устройство раздвижной металлической решетки в тамбуре главного входа</t>
  </si>
  <si>
    <t>12.1.62</t>
  </si>
  <si>
    <t>Замена крышки короба автоматических дверей</t>
  </si>
  <si>
    <t>12.1.63</t>
  </si>
  <si>
    <t>Ремонт электрокоммуникаций автоматических дверей</t>
  </si>
  <si>
    <t>12.1.64</t>
  </si>
  <si>
    <t>Замена короба дверей</t>
  </si>
  <si>
    <t>12.1.65</t>
  </si>
  <si>
    <t>Замена рельса</t>
  </si>
  <si>
    <t>12.1.66</t>
  </si>
  <si>
    <t>Регулировка кареток автоматических дверей</t>
  </si>
  <si>
    <t>12.1.67</t>
  </si>
  <si>
    <t>Регулировка створок автоматических дверей</t>
  </si>
  <si>
    <t>12.1.68</t>
  </si>
  <si>
    <t>Утилизация остекленнной ПВХ двери входной группы</t>
  </si>
  <si>
    <t>12.1.69</t>
  </si>
  <si>
    <t>Утилизация остекленной алюминиевой двери входной группы</t>
  </si>
  <si>
    <t>12.1.N1</t>
  </si>
  <si>
    <t>Демонтаж автоматической раздвижной двери (привод, створки, профили)</t>
  </si>
  <si>
    <t>12.1.N2</t>
  </si>
  <si>
    <t>Аварийный выезд: разблокировка/перевод автоматической двери в ручной режим</t>
  </si>
  <si>
    <t>12.1.N3</t>
  </si>
  <si>
    <t>Замена аккумуляторной батареи блока аварийного открывания</t>
  </si>
  <si>
    <t>12.1.N4</t>
  </si>
  <si>
    <t>Замена щёточного уплотнителя створки автоматической двери</t>
  </si>
  <si>
    <t>12.1.N5</t>
  </si>
  <si>
    <t>Замена энкодера привода автоматической двери</t>
  </si>
  <si>
    <t>12.1.N6</t>
  </si>
  <si>
    <t>Установка доводчика на алюминиевую дверь входной группы</t>
  </si>
  <si>
    <t>12.2 Заполнение оконных проемов</t>
  </si>
  <si>
    <t>12.2.1</t>
  </si>
  <si>
    <t>Монтаж навесных панелей фасадов из герметичных стеклопакетов в пластиковой или алюминиевой обвязке</t>
  </si>
  <si>
    <t>12.2.2</t>
  </si>
  <si>
    <t>Монтаж оконных блоков: алюминиевых с нащельниками из алюминия</t>
  </si>
  <si>
    <t>12.2.3</t>
  </si>
  <si>
    <t>Монтаж оконных блоков: из алюминиевых многокамерных профилей с герметичными стеклопакетами</t>
  </si>
  <si>
    <t>12.2.4</t>
  </si>
  <si>
    <t>Монтаж оконных блоков: стальных с нащельниками из алюминиевых сплавов при высоте здания до 50 м</t>
  </si>
  <si>
    <t>12.2.5</t>
  </si>
  <si>
    <t>Монтаж оконных блоков: стальных с нащельниками из стали при высоте здания до 50 м</t>
  </si>
  <si>
    <t>12.2.6</t>
  </si>
  <si>
    <t>Нанесение атермальной пленки на стекла с подготовкой поверхности</t>
  </si>
  <si>
    <t>12.2.7</t>
  </si>
  <si>
    <t>Нанесение защитой пленки на стекла с подготовкой поверхности</t>
  </si>
  <si>
    <t>12.2.8</t>
  </si>
  <si>
    <t>Нанесение пленки матовой белой на стекла с подготовкой поверхности</t>
  </si>
  <si>
    <t>12.2.9</t>
  </si>
  <si>
    <t>Установка подоконной ДСП-доски, облицованной пластиком</t>
  </si>
  <si>
    <t>12.2.10</t>
  </si>
  <si>
    <t>Смена стекол толщиной 4-6 мм в металлических переплетах на штапиках по эластичной прокладке при площади стекол до 0,25 м2</t>
  </si>
  <si>
    <t>12.2.11</t>
  </si>
  <si>
    <t>Смена стекол толщиной 4-6 мм в металлических переплетах на штапиках по эластичной прокладке при площади стекол до 1.00 м2</t>
  </si>
  <si>
    <t>12.2.12</t>
  </si>
  <si>
    <t>Смена фурнитуры оконных блоков</t>
  </si>
  <si>
    <t>12.2.13</t>
  </si>
  <si>
    <t>Установка в жилых и общественных зданиях оконных блоков из ПВХ профилей: глухих с площадью проема более 2 м2</t>
  </si>
  <si>
    <t>12.2.14</t>
  </si>
  <si>
    <t>Установка в жилых и общественных зданиях оконных блоков из ПВХ профилей: глухих с площадью проема до 2 м2</t>
  </si>
  <si>
    <t>12.2.15</t>
  </si>
  <si>
    <t>Установка в жилых и общественных зданиях оконных блоков из ПВХ профилей: поворотных (откидных, поворотно-откидных) с площадью проема более 2 м2 двухстворчатых</t>
  </si>
  <si>
    <t>12.2.16</t>
  </si>
  <si>
    <t>Установка в жилых и общественных зданиях оконных блоков из ПВХ профилей: поворотных (откидных, поворотно-откидных) с площадью проема более 2 м2 одностворчатых</t>
  </si>
  <si>
    <t>12.2.17</t>
  </si>
  <si>
    <t>Установка в жилых и общественных зданиях оконных блоков из ПВХ профилей: поворотных (откидных, поворотно-откидных) с площадью проема более 2 м2 трехстворчатых, в том числе при наличии створок глухого остекления</t>
  </si>
  <si>
    <t>12.2.18</t>
  </si>
  <si>
    <t>Установка в жилых и общественных зданиях оконных блоков из ПВХ профилей: поворотных (откидных, поворотно-откидных) с площадью проема до 2 м2 двухстворчатых</t>
  </si>
  <si>
    <t>12.2.19</t>
  </si>
  <si>
    <t>Установка в жилых и общественных зданиях оконных блоков из ПВХ профилей: поворотных (откидных, поворотно-откидных) с площадью проема до 2 м2 одностворчатых</t>
  </si>
  <si>
    <t>12.2.20</t>
  </si>
  <si>
    <t>Установка подоконных досок из ПВХ: в каменных стенах толщиной до 0,51 м</t>
  </si>
  <si>
    <t>12.2.21</t>
  </si>
  <si>
    <t>Установка подоконных досок из ПВХ: в каменных стенах толщиной свыше 0,51 м</t>
  </si>
  <si>
    <t>12.2.22</t>
  </si>
  <si>
    <t>Установка подоконных досок из ПВХ: в панельных стенах</t>
  </si>
  <si>
    <t>12.2.23</t>
  </si>
  <si>
    <t>Установка противомоскитных сеток</t>
  </si>
  <si>
    <t>12.2.24</t>
  </si>
  <si>
    <t>Установка уголков ПВХ на клее</t>
  </si>
  <si>
    <t>12.2.25</t>
  </si>
  <si>
    <t>Устройство витринного остекления двойного</t>
  </si>
  <si>
    <t>12.2.26</t>
  </si>
  <si>
    <t>Устройство витринного остекления одинарного</t>
  </si>
  <si>
    <t>12.2.N1</t>
  </si>
  <si>
    <t>Демонтаж оконного блока (ПВХ/алюминий) с подоконником и отливом</t>
  </si>
  <si>
    <t>12.2.N2</t>
  </si>
  <si>
    <t>Регулировка фурнитуры створки окна/двери ПВХ</t>
  </si>
  <si>
    <t>12.2.N3</t>
  </si>
  <si>
    <t>Замена уплотнителя окна/двери ПВХ</t>
  </si>
  <si>
    <t>12.2.N4</t>
  </si>
  <si>
    <t>Замена стеклопакета в ПВХ/алюминиевой раме</t>
  </si>
  <si>
    <t>12.2.N5</t>
  </si>
  <si>
    <t>Устройство откосов из ПВХ сэндвич-панелей</t>
  </si>
  <si>
    <t>12.2.N6</t>
  </si>
  <si>
    <t>Установка оконного отлива</t>
  </si>
  <si>
    <t>12.2.N7</t>
  </si>
  <si>
    <t>Снятие старой плёнки со стекла с очисткой</t>
  </si>
  <si>
    <t>12.3 Металлические двери</t>
  </si>
  <si>
    <t>12.3.1</t>
  </si>
  <si>
    <t>Покраска дверной петли</t>
  </si>
  <si>
    <t>12.3.2</t>
  </si>
  <si>
    <t>Регулировка ранее установленного доводчика двери</t>
  </si>
  <si>
    <t>12.3.3</t>
  </si>
  <si>
    <t>Ремонт петли металлической двери без сварочных работ</t>
  </si>
  <si>
    <t>12.3.4</t>
  </si>
  <si>
    <t>Ремонт петли металлической двери с применением сварки</t>
  </si>
  <si>
    <t>12.3.5</t>
  </si>
  <si>
    <t>Ремонт шпингалета встроенного</t>
  </si>
  <si>
    <t>12.3.6</t>
  </si>
  <si>
    <t>Ремонт шпингалета накладного</t>
  </si>
  <si>
    <t>12.3.7</t>
  </si>
  <si>
    <t>Смена окошек в металлических дверях</t>
  </si>
  <si>
    <t>12.3.8</t>
  </si>
  <si>
    <t>Смена/установка вертикальных запоров для с-мы Антипаника</t>
  </si>
  <si>
    <t>12.3.9</t>
  </si>
  <si>
    <t>Смена/установка глазка дверного</t>
  </si>
  <si>
    <t>12.3.10</t>
  </si>
  <si>
    <t>Смена/установка замка многозапорного (в комплекте с личинкой)</t>
  </si>
  <si>
    <t>12.3.11</t>
  </si>
  <si>
    <t>Смена/установка замка однозапорного (в комплекте с личинкой)</t>
  </si>
  <si>
    <t>12.3.12</t>
  </si>
  <si>
    <t>Смена/установка нажимной гарнитуры для с-мы Антипаника</t>
  </si>
  <si>
    <t>12.3.13</t>
  </si>
  <si>
    <t>Смена/установка ограничителя открывания двери</t>
  </si>
  <si>
    <t>12.3.14</t>
  </si>
  <si>
    <t>Смена/установка перекладины для с-мы Антипаника</t>
  </si>
  <si>
    <t>12.3.15</t>
  </si>
  <si>
    <t>Смена/установка петли на металлическую дверь</t>
  </si>
  <si>
    <t>12.3.16</t>
  </si>
  <si>
    <t>Смена/установка ручки дуговой</t>
  </si>
  <si>
    <t>12.3.17</t>
  </si>
  <si>
    <t>Смена/установка ручки наружной для системы антипаника с профильным цилиндром (ключом)</t>
  </si>
  <si>
    <t>12.3.18</t>
  </si>
  <si>
    <t>Смена/установка ручки скобы</t>
  </si>
  <si>
    <t>12.3.19</t>
  </si>
  <si>
    <t>Смена/установка цилиндрового механизма с вертушкой</t>
  </si>
  <si>
    <t>12.3.20</t>
  </si>
  <si>
    <t>Смена/установка шпангалета встроенного</t>
  </si>
  <si>
    <t>12.3.21</t>
  </si>
  <si>
    <t>Смена/установка шпангалета накладного</t>
  </si>
  <si>
    <t>12.3.22</t>
  </si>
  <si>
    <t>Установка доводчика (верхний способ монтажа)</t>
  </si>
  <si>
    <t>12.3.23</t>
  </si>
  <si>
    <t>Установка доводчика (напольный способ монтажа)</t>
  </si>
  <si>
    <t>12.3.24</t>
  </si>
  <si>
    <t>Установка металлической противопожарной маятниковой двери</t>
  </si>
  <si>
    <t>12.3.25</t>
  </si>
  <si>
    <t>Установка на анкера противопожарных дверей: двупольных</t>
  </si>
  <si>
    <t>12.3.26</t>
  </si>
  <si>
    <t>Установка на анкера противопожарных дверей: однопольных</t>
  </si>
  <si>
    <t>12.3.27</t>
  </si>
  <si>
    <t>Установка пластиковой противопожарной маятниковой двери</t>
  </si>
  <si>
    <t>12.3.28</t>
  </si>
  <si>
    <t>Установка противопожарных дверей: двупольных глухих (на сварке) с установкой фурнитруы и доводчика</t>
  </si>
  <si>
    <t>12.3.29</t>
  </si>
  <si>
    <t>Установка противопожарных дверей: двупольных остекленных (на сварке) с установкой фурнитруы и доводчика</t>
  </si>
  <si>
    <t>12.3.30</t>
  </si>
  <si>
    <t>Установка противопожарных дверей: однопольных глухих (на сварке) с установкой фурнитруы и доводчика</t>
  </si>
  <si>
    <t>12.3.31</t>
  </si>
  <si>
    <t>Установка противопожарных дверей: однопольных остекленных (на сварке) с установкой фурнитруы и доводчика</t>
  </si>
  <si>
    <t>12.3.N1</t>
  </si>
  <si>
    <t>Демонтаж металлической двери с коробкой</t>
  </si>
  <si>
    <t>12.3.N2</t>
  </si>
  <si>
    <t>Замена уплотнителя притвора металлической/противопожарной двери</t>
  </si>
  <si>
    <t>12.3.N3</t>
  </si>
  <si>
    <t>Установка металлической технической двери однопольной на анкера (до 2,2 м2)</t>
  </si>
  <si>
    <t>12.3.N4</t>
  </si>
  <si>
    <t>Установка электромагнитного удерживателя противопожарной двери (без кабеля)</t>
  </si>
  <si>
    <t>12.3.N5</t>
  </si>
  <si>
    <t>Установка электромагнитного замка СКУД на дверь (без кабеля)</t>
  </si>
  <si>
    <t>12.3.N6</t>
  </si>
  <si>
    <t>Заделка монтажного зазора противопожарной двери огнестойкой пеной/раствором</t>
  </si>
  <si>
    <t>12.3.N7</t>
  </si>
  <si>
    <t>Регулировка металлической двери (петли, притвор, замок)</t>
  </si>
  <si>
    <t>12.4 Распашные металлические ворота</t>
  </si>
  <si>
    <t>12.4.1</t>
  </si>
  <si>
    <t>12.4.2</t>
  </si>
  <si>
    <t>Ремонт облицовки ворот</t>
  </si>
  <si>
    <t>12.4.3</t>
  </si>
  <si>
    <t>Установка задвижки-упора</t>
  </si>
  <si>
    <t>12.4.4</t>
  </si>
  <si>
    <t>Установка каркаса металлических распашных ворот из профильной трубы</t>
  </si>
  <si>
    <t>12.4.5</t>
  </si>
  <si>
    <t>Установка металлических распашных ворот с фурнитурой</t>
  </si>
  <si>
    <t>12.4.6</t>
  </si>
  <si>
    <t>Установка навесных замков с проушинами (комплект)</t>
  </si>
  <si>
    <t>12.4.7</t>
  </si>
  <si>
    <t>Установка накладной задвижки</t>
  </si>
  <si>
    <t>12.4.8</t>
  </si>
  <si>
    <t>Установка петель на болтовом соединении</t>
  </si>
  <si>
    <t>12.4.9</t>
  </si>
  <si>
    <t>Установка петель на сварке</t>
  </si>
  <si>
    <t>12.4.10</t>
  </si>
  <si>
    <t>Установка сигнальной лампы на ворота</t>
  </si>
  <si>
    <t>12.4.N1</t>
  </si>
  <si>
    <t>Демонтаж распашных металлических ворот</t>
  </si>
  <si>
    <t>12.4.N2</t>
  </si>
  <si>
    <t>Окраска металлоконструкций ворот эмалью за 2 раза с подготовкой</t>
  </si>
  <si>
    <t>12.5 Секционные, рулонные, подъемные ворота и рольставни</t>
  </si>
  <si>
    <t>12.5.1</t>
  </si>
  <si>
    <t>Изготовление пружины 50-67мм для секционных ворот на объекте (пружина в сборе с окончанием)</t>
  </si>
  <si>
    <t>12.5.2</t>
  </si>
  <si>
    <t>Изготовление пружины 95-152мм для секционных ворот на объекте (пружина в сборе с окончанием)</t>
  </si>
  <si>
    <t>12.5.3</t>
  </si>
  <si>
    <t>Настройка автоматики ворот</t>
  </si>
  <si>
    <t>12.5.4</t>
  </si>
  <si>
    <t>Натяжка пружинно-инерционного механизма рулонных ворот</t>
  </si>
  <si>
    <t>12.5.5</t>
  </si>
  <si>
    <t>Подрезка секционной панели на объекте</t>
  </si>
  <si>
    <t>12.5.6</t>
  </si>
  <si>
    <t>Подтяжка пружины ворот 152мм</t>
  </si>
  <si>
    <t>12.5.7</t>
  </si>
  <si>
    <t>Подтяжка пружины ворот 50-67мм</t>
  </si>
  <si>
    <t>12.5.8</t>
  </si>
  <si>
    <t>Подтяжка пружины ворот 95мм</t>
  </si>
  <si>
    <t>12.5.9</t>
  </si>
  <si>
    <t>Прослабление пружины ворот 152мм</t>
  </si>
  <si>
    <t>12.5.10</t>
  </si>
  <si>
    <t>Прослабление пружины ворот 50-67мм</t>
  </si>
  <si>
    <t>12.5.11</t>
  </si>
  <si>
    <t>Прослабление пружины ворот 95мм</t>
  </si>
  <si>
    <t>12.5.12</t>
  </si>
  <si>
    <t>Регулировка ворот по уровню</t>
  </si>
  <si>
    <t>12.5.13</t>
  </si>
  <si>
    <t>Смазка трущихся элементов рулонных и секционных ворот (с учетом смазки)</t>
  </si>
  <si>
    <t>12.5.14</t>
  </si>
  <si>
    <t>Установка торсионной пружины 50-67 мм</t>
  </si>
  <si>
    <t>12.5.15</t>
  </si>
  <si>
    <t>Установка торсионной пружины 95-152 мм</t>
  </si>
  <si>
    <t>12.5.16</t>
  </si>
  <si>
    <t>Установка шпильки барабана ворот</t>
  </si>
  <si>
    <t>12.5.17</t>
  </si>
  <si>
    <t>Установка алюминиевого верхнего профиля</t>
  </si>
  <si>
    <t>12.5.18</t>
  </si>
  <si>
    <t>Установка алюминиевого нижнего профиля</t>
  </si>
  <si>
    <t>12.5.19</t>
  </si>
  <si>
    <t>Установка алюминиевого обрамления калитки</t>
  </si>
  <si>
    <t>12.5.20</t>
  </si>
  <si>
    <t>Установка барабана ворот</t>
  </si>
  <si>
    <t>12.5.21</t>
  </si>
  <si>
    <t>Установка бокового замка части полотна рулонных ворот</t>
  </si>
  <si>
    <t>12.5.22</t>
  </si>
  <si>
    <t>Установка бокового уплотнителя направляющей рулонных ворот</t>
  </si>
  <si>
    <t>12.5.23</t>
  </si>
  <si>
    <t>Установка боковой крышки 137,150,165 короба рулонных ворот</t>
  </si>
  <si>
    <t>12.5.24</t>
  </si>
  <si>
    <t>Установка боковой крышки 180,205,250 короба рулонных ворот</t>
  </si>
  <si>
    <t>12.5.25</t>
  </si>
  <si>
    <t>Установка боковой крышки 300,375 короба рулонных ворот</t>
  </si>
  <si>
    <t>12.5.26</t>
  </si>
  <si>
    <t>Установка боковой крышки панели рулонных ворот</t>
  </si>
  <si>
    <t>12.5.27</t>
  </si>
  <si>
    <t>Установка боковой опоры с роликодержателем рулонных ворот</t>
  </si>
  <si>
    <t>12.5.28</t>
  </si>
  <si>
    <t>Установка вала полнотелого с пазом под шпонку рулонных ворот</t>
  </si>
  <si>
    <t>12.5.29</t>
  </si>
  <si>
    <t>Установка вала пустотелого с пазом под шпонку рулонных ворот</t>
  </si>
  <si>
    <t>12.5.30</t>
  </si>
  <si>
    <t>Установка вала рулонных ворот</t>
  </si>
  <si>
    <t>12.5.31</t>
  </si>
  <si>
    <t>Установка вертикальной направляющей стойки, вертикальный подъем</t>
  </si>
  <si>
    <t>12.5.32</t>
  </si>
  <si>
    <t>Установка вертикальной направляющей стойки, стандартный подъем</t>
  </si>
  <si>
    <t>12.5.33</t>
  </si>
  <si>
    <t>Установка верхнего и нижнего резинового уплотнителя ворот</t>
  </si>
  <si>
    <t>12.5.34</t>
  </si>
  <si>
    <t>Установка внешнего бокового уплотнителя секционных ворот</t>
  </si>
  <si>
    <t>12.5.35</t>
  </si>
  <si>
    <t>Установка внешнего верхнего уплотнителя секционных ворот</t>
  </si>
  <si>
    <t>12.5.36</t>
  </si>
  <si>
    <t>Установка ворот секционных и рулонных</t>
  </si>
  <si>
    <t>12.5.37</t>
  </si>
  <si>
    <t>Установка врезного замка калитки ворот, дверей, секционных ворот</t>
  </si>
  <si>
    <t>12.5.38</t>
  </si>
  <si>
    <t>Установка вставки для пружины</t>
  </si>
  <si>
    <t>12.5.39</t>
  </si>
  <si>
    <t>Установка втулки распорной для ролика/роликодержателя</t>
  </si>
  <si>
    <t>12.5.40</t>
  </si>
  <si>
    <t>Установка горизонтальной направляющей ворот</t>
  </si>
  <si>
    <t>12.5.41</t>
  </si>
  <si>
    <t>Установка датчика сигнализации ворот</t>
  </si>
  <si>
    <t>12.5.42</t>
  </si>
  <si>
    <t>Установка жалюзи ворот</t>
  </si>
  <si>
    <t>12.5.43</t>
  </si>
  <si>
    <t>Установка задвижки секционных и рулонных ворот</t>
  </si>
  <si>
    <t>12.5.44</t>
  </si>
  <si>
    <t>Установка замка одностороннего ворот</t>
  </si>
  <si>
    <t>12.5.45</t>
  </si>
  <si>
    <t>Установка защиты вертикальной направляющей стойки</t>
  </si>
  <si>
    <t>12.5.46</t>
  </si>
  <si>
    <t>Установка изгиба направляющей стойки</t>
  </si>
  <si>
    <t>12.5.47</t>
  </si>
  <si>
    <t>Установка калитки ворот</t>
  </si>
  <si>
    <t>12.5.48</t>
  </si>
  <si>
    <t>Установка капсулы для вала</t>
  </si>
  <si>
    <t>12.5.49</t>
  </si>
  <si>
    <t>Установка кардана ворот</t>
  </si>
  <si>
    <t>12.5.50</t>
  </si>
  <si>
    <t>Установка каретки подвижной рулонных ворот</t>
  </si>
  <si>
    <t>12.5.51</t>
  </si>
  <si>
    <t>Установка консоли крепления вала рулонных ворот</t>
  </si>
  <si>
    <t>12.5.52</t>
  </si>
  <si>
    <t>Установка концевого опорного кронштейна вала рулонных ворот</t>
  </si>
  <si>
    <t>12.5.53</t>
  </si>
  <si>
    <t>Установка кронштейна для крепления навального привода</t>
  </si>
  <si>
    <t>12.5.54</t>
  </si>
  <si>
    <t>Установка кронштейна для поддержки пружины</t>
  </si>
  <si>
    <t>12.5.55</t>
  </si>
  <si>
    <t>Установка кронштейна каретки подвижной рулонных ворот</t>
  </si>
  <si>
    <t>12.5.56</t>
  </si>
  <si>
    <t>Установка механической части ручного управления рулонных ворот</t>
  </si>
  <si>
    <t>12.5.57</t>
  </si>
  <si>
    <t>Установка направляющего ролика рулонных ворот</t>
  </si>
  <si>
    <t>12.5.58</t>
  </si>
  <si>
    <t>Установка направляющей профиля рулонных ворот</t>
  </si>
  <si>
    <t>12.5.59</t>
  </si>
  <si>
    <t>Установка натяжного ролика цепи цепного редуктора рулонных ворот</t>
  </si>
  <si>
    <t>12.5.60</t>
  </si>
  <si>
    <t>Установка нижнего углового кронштейна</t>
  </si>
  <si>
    <t>12.5.61</t>
  </si>
  <si>
    <t>Установка окончаний пружин ворот</t>
  </si>
  <si>
    <t>12.5.62</t>
  </si>
  <si>
    <t>Установка Омега профиля от прогибания панели</t>
  </si>
  <si>
    <t>12.5.63</t>
  </si>
  <si>
    <t>Установка панели калитки ворот</t>
  </si>
  <si>
    <t>12.5.64</t>
  </si>
  <si>
    <t>Установка панели металлического ограждения из металлического профиля (без стоек)</t>
  </si>
  <si>
    <t>12.5.65</t>
  </si>
  <si>
    <t>Установка панели секционных ворот</t>
  </si>
  <si>
    <t>12.5.66</t>
  </si>
  <si>
    <t>Установка петли калитки ворот</t>
  </si>
  <si>
    <t>12.5.67</t>
  </si>
  <si>
    <t>Установка пластиковой направляющей полотна рулонных ворот</t>
  </si>
  <si>
    <t>12.5.68</t>
  </si>
  <si>
    <t>Установка подшипника ворот</t>
  </si>
  <si>
    <t>12.5.69</t>
  </si>
  <si>
    <t>Установка подшипника опорного кронштейна для вала рулонных ворот</t>
  </si>
  <si>
    <t>12.5.70</t>
  </si>
  <si>
    <t>Установка порога калитки ворот</t>
  </si>
  <si>
    <t>12.5.71</t>
  </si>
  <si>
    <t>Установка привода секционных/рулонных ворот</t>
  </si>
  <si>
    <t>12.5.72</t>
  </si>
  <si>
    <t>Установка промежуточного кронштейна для вала рулонных ворот</t>
  </si>
  <si>
    <t>12.5.73</t>
  </si>
  <si>
    <t>Установка промежуточной петли секционных ворот</t>
  </si>
  <si>
    <t>12.5.74</t>
  </si>
  <si>
    <t>Установка пружинно-инерционного механизма ворот</t>
  </si>
  <si>
    <t>12.5.75</t>
  </si>
  <si>
    <t>Установка раздвижной решётки</t>
  </si>
  <si>
    <t>12.5.76</t>
  </si>
  <si>
    <t>Установка редуктора ворот</t>
  </si>
  <si>
    <t>12.5.77</t>
  </si>
  <si>
    <t>Установка ригельного замка и запорной полосы ворот</t>
  </si>
  <si>
    <t>12.5.78</t>
  </si>
  <si>
    <t>Установка ригеля блокирующего и тяговой пружины ворот</t>
  </si>
  <si>
    <t>12.5.79</t>
  </si>
  <si>
    <t>Установка ролика ворот</t>
  </si>
  <si>
    <t>12.5.80</t>
  </si>
  <si>
    <t>Установка рольставней</t>
  </si>
  <si>
    <t>12.5.81</t>
  </si>
  <si>
    <t>Установка ручки для поднятия полотна ворот</t>
  </si>
  <si>
    <t>12.5.82</t>
  </si>
  <si>
    <t>Установка ручки на двери калитки секционных ворот</t>
  </si>
  <si>
    <t>12.5.83</t>
  </si>
  <si>
    <t>Установка ручки ПВХ-ворот</t>
  </si>
  <si>
    <t>12.5.84</t>
  </si>
  <si>
    <t>Установка ручного цепного редуктора ворот</t>
  </si>
  <si>
    <t>12.5.85</t>
  </si>
  <si>
    <t>Установка соединительной муфты вала ворот</t>
  </si>
  <si>
    <t>12.5.86</t>
  </si>
  <si>
    <t>Установка стоек металлического ограждения из металлического профиля</t>
  </si>
  <si>
    <t>12.5.87</t>
  </si>
  <si>
    <t>Установка стопора полотна рулонных ворот</t>
  </si>
  <si>
    <t>12.5.88</t>
  </si>
  <si>
    <t>Установка суппорта с подшипником ворот</t>
  </si>
  <si>
    <t>12.5.89</t>
  </si>
  <si>
    <t>Установка троса ворот с коушем и втулкой</t>
  </si>
  <si>
    <t>12.5.90</t>
  </si>
  <si>
    <t>Установка укосины для фиксации горизонтальной направляющей ворот</t>
  </si>
  <si>
    <t>12.5.91</t>
  </si>
  <si>
    <t>Установка уплотнителя концевого профиля рулонных ворот</t>
  </si>
  <si>
    <t>12.5.92</t>
  </si>
  <si>
    <t>Установка уплотнителя направляющего профиля рулонных ворот</t>
  </si>
  <si>
    <t>12.5.93</t>
  </si>
  <si>
    <t>Установка устройства от обрыва пружины ворот</t>
  </si>
  <si>
    <t>12.5.94</t>
  </si>
  <si>
    <t>Установка устройства от обрыва троса ворот</t>
  </si>
  <si>
    <t>12.5.95</t>
  </si>
  <si>
    <t>Установка части полотна рулонных ворот до 6 кв.м</t>
  </si>
  <si>
    <t>12.5.96</t>
  </si>
  <si>
    <t>Установка части полотна рулонных ворот от 12 кв.м до 16 кв.м</t>
  </si>
  <si>
    <t>12.5.97</t>
  </si>
  <si>
    <t>Установка части полотна рулонных ворот от 16 кв.м до 20 кв.м</t>
  </si>
  <si>
    <t>12.5.98</t>
  </si>
  <si>
    <t>Установка части полотна рулонных ворот от 6 кв.м до 12 кв.м</t>
  </si>
  <si>
    <t>12.5.99</t>
  </si>
  <si>
    <t>Установка части полотна рулонных ворот свыше 20 кв.м</t>
  </si>
  <si>
    <t>12.5.100</t>
  </si>
  <si>
    <t>Установка шины скользящей для доводчика</t>
  </si>
  <si>
    <t>12.5.101</t>
  </si>
  <si>
    <t>Замена роликового бокового кронштейна</t>
  </si>
  <si>
    <t>12.5.102</t>
  </si>
  <si>
    <t>Установка электромеханической части управления рулонных ворот</t>
  </si>
  <si>
    <t>12.5.103</t>
  </si>
  <si>
    <t>12.5.104</t>
  </si>
  <si>
    <t>Замена 1 шт. зиппера скоростных ворот DYNACO среднетемпературного и низкотемпературного исполнения.</t>
  </si>
  <si>
    <t>12.5.105</t>
  </si>
  <si>
    <t>Монтаж полотна скоростных ворот DYNACO низкотемпературного исполнения размером 3,0*5,0 м</t>
  </si>
  <si>
    <t>12.5.N1</t>
  </si>
  <si>
    <t>Регламентное ТО промышленных секционных ворот с приводом</t>
  </si>
  <si>
    <t>12.5.N2</t>
  </si>
  <si>
    <t>Регламентное ТО рулонных ворот / рольставни</t>
  </si>
  <si>
    <t>12.5.N3</t>
  </si>
  <si>
    <t>Демонтаж секционных ворот</t>
  </si>
  <si>
    <t>12.5.N4</t>
  </si>
  <si>
    <t>Замена фотоэлементов безопасности ворот (пара)</t>
  </si>
  <si>
    <t>12.5.N5</t>
  </si>
  <si>
    <t>Замена блока управления привода ворот с программированием</t>
  </si>
  <si>
    <t>12.5.N6</t>
  </si>
  <si>
    <t>Выезд и диагностика ворот (аварийная заявка)</t>
  </si>
  <si>
    <t>12.5.N7</t>
  </si>
  <si>
    <t>Рихтовка панели секционных ворот на месте</t>
  </si>
  <si>
    <t>12.5.N8</t>
  </si>
  <si>
    <t>Замена/настройка концевых выключателей привода</t>
  </si>
  <si>
    <t>12.5.N9</t>
  </si>
  <si>
    <t>Монтаж скоростных рулонных ПВХ-ворот до 12 м2</t>
  </si>
  <si>
    <t>12.5.N10</t>
  </si>
  <si>
    <t>Замена кнопочного поста / радиоприёмника привода ворот</t>
  </si>
  <si>
    <t>12.6 Пленочные ПВХ завесы</t>
  </si>
  <si>
    <t>12.6.1</t>
  </si>
  <si>
    <t>Установка гребенки полосовых завес</t>
  </si>
  <si>
    <t>12.6.2</t>
  </si>
  <si>
    <t>Установка болта для центровки пленочных и ПВХ ворот</t>
  </si>
  <si>
    <t>12.6.3</t>
  </si>
  <si>
    <t>Установка верхней опоры створки пленочных и ПВХ ворот</t>
  </si>
  <si>
    <t>12.6.4</t>
  </si>
  <si>
    <t>Установка нижней опоры створки пленочных и ПВХ ворот</t>
  </si>
  <si>
    <t>12.6.5</t>
  </si>
  <si>
    <t>Установка одной полосы пленочных завес</t>
  </si>
  <si>
    <t>12.6.6</t>
  </si>
  <si>
    <t>Установка пластины полосовой завесы</t>
  </si>
  <si>
    <t>12.6.7</t>
  </si>
  <si>
    <t>Установка пленочных и ПВХ распашных ворот одна створка</t>
  </si>
  <si>
    <t>12.6.8</t>
  </si>
  <si>
    <t>Установка полотна пленочных и пластиковых ворот 1 створка</t>
  </si>
  <si>
    <t>12.6.9</t>
  </si>
  <si>
    <t>Установка пружинно-возвратого механизма пленочных и ПВХ ворот</t>
  </si>
  <si>
    <t>12.6.10</t>
  </si>
  <si>
    <t>Установка пружины пружинно-возвратного механизма пленочных и ПВХ ворот</t>
  </si>
  <si>
    <t>12.6.11</t>
  </si>
  <si>
    <t>Установка смотрового окна пленочных и ПВХ-ворот</t>
  </si>
  <si>
    <t>12.6.12</t>
  </si>
  <si>
    <t>Установка фиксирующей гайки нижней опоры пленочных и ПВХ ворот</t>
  </si>
  <si>
    <t>12.6.13</t>
  </si>
  <si>
    <t>Натяжка пружины пленочных и ПВХ ворот</t>
  </si>
  <si>
    <t>12.6.14</t>
  </si>
  <si>
    <t>Регулировка по уровню створки пленочных и пластиковых ворот</t>
  </si>
  <si>
    <t>12.6.15</t>
  </si>
  <si>
    <t>Ремонт полотна створки пленочных ворот</t>
  </si>
  <si>
    <t>12.6.16</t>
  </si>
  <si>
    <t>Смазка трущихся элементов пленочных и ПВХ ворот (с учетом смазки)</t>
  </si>
  <si>
    <t>12.6.17</t>
  </si>
  <si>
    <t>Укорачивание полотна 1 створки пленочных и ПВХ ворот</t>
  </si>
  <si>
    <t>12.6.18</t>
  </si>
  <si>
    <t>Установка фиксатора пружинно-возвратного механизма пленочных ворот</t>
  </si>
  <si>
    <t>12.6.19</t>
  </si>
  <si>
    <t>Установка пружинно-возвратного механизма ПВХ ворот</t>
  </si>
  <si>
    <t>12.6.20</t>
  </si>
  <si>
    <t>Установка шарика нижней опоры пленочных ворот</t>
  </si>
  <si>
    <t>12.6.21</t>
  </si>
  <si>
    <t>Установка шарика нижней опоры ПВХ ворот</t>
  </si>
  <si>
    <t>12.6.22</t>
  </si>
  <si>
    <t>Установка пружинно-возвратного механизма пленочных ворот</t>
  </si>
  <si>
    <t>12.6.N1</t>
  </si>
  <si>
    <t>Монтаж полосовой ПВХ-завесы на проём</t>
  </si>
  <si>
    <t>12.6.N2</t>
  </si>
  <si>
    <t>Демонтаж полосовой ПВХ-завесы</t>
  </si>
  <si>
    <t>12.7 Внутренние межкомнатные двери</t>
  </si>
  <si>
    <t>12.7.1</t>
  </si>
  <si>
    <t>Замена замка межкомнатной двери</t>
  </si>
  <si>
    <t>12.7.2</t>
  </si>
  <si>
    <t>Замена замка шкафчиков сотрудников</t>
  </si>
  <si>
    <t>12.7.3</t>
  </si>
  <si>
    <t>Замена личинки замка</t>
  </si>
  <si>
    <t>12.7.4</t>
  </si>
  <si>
    <t>Замена петли межкомнатной двери</t>
  </si>
  <si>
    <t>12.7.5</t>
  </si>
  <si>
    <t>Замена ручки межкомнатной двери</t>
  </si>
  <si>
    <t>12.7.6</t>
  </si>
  <si>
    <t>Ремонт дверной ручки межкомнатной двери</t>
  </si>
  <si>
    <t>12.7.7</t>
  </si>
  <si>
    <t>Ремонт замка однозапорного межкомнатной двери</t>
  </si>
  <si>
    <t>12.7.8</t>
  </si>
  <si>
    <t>Установка дверных блоков из ПВХ с фурнитурой в наружных и внутренних дверных проемах: в каменных стенах площадью проема более 3 м2</t>
  </si>
  <si>
    <t>12.7.9</t>
  </si>
  <si>
    <t>Установка дверных блоков из ПВХ с фурнитурой в наружных и внутренних дверных проемах: в каменных стенах площадью проема до 3 м2</t>
  </si>
  <si>
    <t>12.7.10</t>
  </si>
  <si>
    <t>Установка дверных блоков из ПВХ с фурнитурой в наружных и внутренних дверных проемах: в перегородках ГКЛ площадью проема до 3 м2</t>
  </si>
  <si>
    <t>12.7.11</t>
  </si>
  <si>
    <t>Установка дверных блоков из ПВХ с фурнитурой в наружных и внутренних дверных проемах: в перегородках ГКЛ площадью проема более 3 м2</t>
  </si>
  <si>
    <t>12.7.12</t>
  </si>
  <si>
    <t>Установка деревянных дверных блоков с фурнитурой в наружных и внутренних дверных проемах: в каменных стенах, площадь проема более 3 м2</t>
  </si>
  <si>
    <t>12.7.13</t>
  </si>
  <si>
    <t>Установка деревянных дверных блоков с фурнитурой в наружных и внутренних дверных проемах: в каменных стенах, площадь проема до 3 м2</t>
  </si>
  <si>
    <t>12.7.14</t>
  </si>
  <si>
    <t>Установка деревянных дверных блоков с фурнитурой в наружных и внутренних дверных проемах: в перегородках из ГКЛ, площадь проема более 3 м2</t>
  </si>
  <si>
    <t>12.7.15</t>
  </si>
  <si>
    <t>Установка деревянных дверных блоков с фурнитурой в наружных и внутренних дверных проемах: в перегородках из ГКЛ, площадь проема до 3 м2</t>
  </si>
  <si>
    <t>12.7.16</t>
  </si>
  <si>
    <t>Установка и крепление наличников</t>
  </si>
  <si>
    <t>12.7.17</t>
  </si>
  <si>
    <t>Установка рейки-добора</t>
  </si>
  <si>
    <t>12.7.18</t>
  </si>
  <si>
    <t>Установка: в готовые гнезда врезных дверных замков с ручками</t>
  </si>
  <si>
    <t>12.7.19</t>
  </si>
  <si>
    <t>Установка: вертикальных задвижек</t>
  </si>
  <si>
    <t>12.7.20</t>
  </si>
  <si>
    <t>Установка: дверного доводчика</t>
  </si>
  <si>
    <t>12.7.N1</t>
  </si>
  <si>
    <t>Демонтаж межкомнатного дверного блока с наличниками</t>
  </si>
  <si>
    <t>12.7.N2</t>
  </si>
  <si>
    <t>Регулировка межкомнатной двери (петли, притвор)</t>
  </si>
  <si>
    <t>12.7.N3</t>
  </si>
  <si>
    <t>Установка межкомнатного дверного блока до 900 мм под ключ (коробка, петли, замок, наличники)</t>
  </si>
  <si>
    <t>12.7.N4</t>
  </si>
  <si>
    <t>Установка дверного порога</t>
  </si>
  <si>
    <t>12.7.N5</t>
  </si>
  <si>
    <t>Установка дверного упора/отбойника</t>
  </si>
  <si>
    <t>16.1 Грузоподъемное оборудование</t>
  </si>
  <si>
    <t>16.1.1</t>
  </si>
  <si>
    <t>Срочный выезд на объект, в пределах МКАД в течении 4-х часов для ремонта ГПО</t>
  </si>
  <si>
    <t>16.1.2</t>
  </si>
  <si>
    <t>Срочный выезд на объект, за пределами МКАД в течении 4-х часов для ремонта ГПО</t>
  </si>
  <si>
    <t>16.1.3</t>
  </si>
  <si>
    <t>Выезд на объект, в пределах МКАД для ремонта ГПО</t>
  </si>
  <si>
    <t>16.1.4</t>
  </si>
  <si>
    <t>Выезд на объект, за пределами МКАД за каждый км для ремонта ГПО</t>
  </si>
  <si>
    <t>16.1.5</t>
  </si>
  <si>
    <t>Фиксация грузовой платформы для очистки приямков</t>
  </si>
  <si>
    <t>16.1.6</t>
  </si>
  <si>
    <t>Очистка от грязи, мусора, сточных жидкостей приямка грузового подъемника</t>
  </si>
  <si>
    <t>16.1.7</t>
  </si>
  <si>
    <t>Дезинфекция стен, пола шахты грузового подъемника (с учетом расхоюдных материалов)</t>
  </si>
  <si>
    <t>16.1.8</t>
  </si>
  <si>
    <t>Откачка сточной жидкости из приямка грузового подъемника фекальным насосом</t>
  </si>
  <si>
    <t>16.1.9</t>
  </si>
  <si>
    <t>Проверка работоспособности оборудования/выявление неисправности, инструктаж сотрудников заказчика (одна единица оборудования) подъемного оборудования</t>
  </si>
  <si>
    <t>16.1.10</t>
  </si>
  <si>
    <t>Изготовление и Установка стенда/плаката об информационной безопасности оборудования, включая стоимость материалов</t>
  </si>
  <si>
    <t>16.1.11</t>
  </si>
  <si>
    <t>Регулировка реле контроля напряжения</t>
  </si>
  <si>
    <t>16.1.12</t>
  </si>
  <si>
    <t>Сброс ошибок, настройка параметров щита управления</t>
  </si>
  <si>
    <t>16.1.13</t>
  </si>
  <si>
    <t>Протяжка электрических соединений щита управления</t>
  </si>
  <si>
    <t>16.1.14</t>
  </si>
  <si>
    <t>Замена электромагнитного контактора</t>
  </si>
  <si>
    <t>16.1.15</t>
  </si>
  <si>
    <t>Замена реле контроля напряжения</t>
  </si>
  <si>
    <t>16.1.16</t>
  </si>
  <si>
    <t>Замена блока питания</t>
  </si>
  <si>
    <t>16.1.17</t>
  </si>
  <si>
    <t>Замена автомата защитного отключения</t>
  </si>
  <si>
    <t>16.1.18</t>
  </si>
  <si>
    <t>Замена промежуточного реле</t>
  </si>
  <si>
    <t>16.1.19</t>
  </si>
  <si>
    <t>Замена кнопочного выключателя/включателя</t>
  </si>
  <si>
    <t>16.1.20</t>
  </si>
  <si>
    <t>Установка кнопочного выключателя/включателя</t>
  </si>
  <si>
    <t>16.1.21</t>
  </si>
  <si>
    <t>Замена кулачкового выключателя/включателя</t>
  </si>
  <si>
    <t>16.1.22</t>
  </si>
  <si>
    <t>Ремонт обрыва многожильного кабеля цепи управления ,включая изоляционные материалы,клемники</t>
  </si>
  <si>
    <t>16.1.23</t>
  </si>
  <si>
    <t>Ремонт обрыва многожильного кабеля цепи безопасности ,включая изоляционные материалы,клемники</t>
  </si>
  <si>
    <t>16.1.24</t>
  </si>
  <si>
    <t>Ремонт обрыва многожильного кабеля цепи трехфазного питания, включая изоляционные материалы,клемники</t>
  </si>
  <si>
    <t>16.1.25</t>
  </si>
  <si>
    <t>Ремонт обрыва кабеля цепи освещения, включая изоляционные материалы,клемники</t>
  </si>
  <si>
    <t>16.1.26</t>
  </si>
  <si>
    <t>Замена кабеля (одна работа, не учитывающая метраж заменямого материала)</t>
  </si>
  <si>
    <t>16.1.27</t>
  </si>
  <si>
    <t>Монтаж кабеля (одна работа, не учитывающая метраж заменямого материала)</t>
  </si>
  <si>
    <t>16.1.28</t>
  </si>
  <si>
    <t>Замена металлорукава (одна работа, не учитывающая метраж заменямого материала)</t>
  </si>
  <si>
    <t>16.1.29</t>
  </si>
  <si>
    <t>Монтаж металлорукава (одна работа, не учитывающая метраж заменямого материала)</t>
  </si>
  <si>
    <t>16.1.30</t>
  </si>
  <si>
    <t>Замена гофрированной трубы (одна работа, не учитывающая метраж заменямого материала)</t>
  </si>
  <si>
    <t>16.1.31</t>
  </si>
  <si>
    <t>Монтаж гофрированной трубы (одна работа, не учитывающая метраж заменямого материала)</t>
  </si>
  <si>
    <t>16.1.32</t>
  </si>
  <si>
    <t>Замена щита управления грузового подъемника</t>
  </si>
  <si>
    <t>16.1.33</t>
  </si>
  <si>
    <t>Установка щита управления грузового подъемника</t>
  </si>
  <si>
    <t>16.1.34</t>
  </si>
  <si>
    <t>Замена концевого выключателя</t>
  </si>
  <si>
    <t>16.1.35</t>
  </si>
  <si>
    <t>Установка концевого выключателя</t>
  </si>
  <si>
    <t>16.1.36</t>
  </si>
  <si>
    <t>Регулировка концевого выключателя</t>
  </si>
  <si>
    <t>16.1.37</t>
  </si>
  <si>
    <t>Замена масла в редукторе лебедки (одна работа, не учитывающая объём заменямого материала)</t>
  </si>
  <si>
    <t>16.1.38</t>
  </si>
  <si>
    <t>Замена опорного ролика</t>
  </si>
  <si>
    <t>16.1.39</t>
  </si>
  <si>
    <t>Установка опорного ролика</t>
  </si>
  <si>
    <t>16.1.40</t>
  </si>
  <si>
    <t>Регулировка опорного ролика</t>
  </si>
  <si>
    <t>16.1.41</t>
  </si>
  <si>
    <t>Замена вкладыша башмака</t>
  </si>
  <si>
    <t>16.1.42</t>
  </si>
  <si>
    <t>Замена башмака</t>
  </si>
  <si>
    <t>16.1.43</t>
  </si>
  <si>
    <t>Демонтаж+монтаж электродвигателя тельферной лебедки г/п до 2т</t>
  </si>
  <si>
    <t>16.1.44</t>
  </si>
  <si>
    <t>Демонтаж+монтаж редуктора тельферной лебедки г/п до 2т</t>
  </si>
  <si>
    <t>16.1.45</t>
  </si>
  <si>
    <t>Демонтаж+монтаж электродвигателя тельферной лебедки г/п 2т</t>
  </si>
  <si>
    <t>16.1.46</t>
  </si>
  <si>
    <t>Демонтаж+монтаж редуктора тельферной лебедки г/п 2т</t>
  </si>
  <si>
    <t>16.1.47</t>
  </si>
  <si>
    <t>Демонтаж+монтаж электродвигателя тельферной лебедки г/п 3,2т</t>
  </si>
  <si>
    <t>16.1.48</t>
  </si>
  <si>
    <t>Демонтаж+монтаж редуктора тельферной лебедки г/п 3,2т</t>
  </si>
  <si>
    <t>16.1.49</t>
  </si>
  <si>
    <t>Замена кнопочного поста управления</t>
  </si>
  <si>
    <t>16.1.50</t>
  </si>
  <si>
    <t>Установка кнопочного поста управления</t>
  </si>
  <si>
    <t>16.1.51</t>
  </si>
  <si>
    <t>Ремонт кнопочного поста управления</t>
  </si>
  <si>
    <t>16.1.52</t>
  </si>
  <si>
    <t>Разблокировка застрявшей кабины грузового подъемника</t>
  </si>
  <si>
    <t>16.1.53</t>
  </si>
  <si>
    <t>Блокировка застрявшей кабины грузового подъемника</t>
  </si>
  <si>
    <t>16.1.54</t>
  </si>
  <si>
    <t>Подъем либо опускание кабины грузового подъемника при помощи ручной механической тали</t>
  </si>
  <si>
    <t>16.1.55</t>
  </si>
  <si>
    <t>Замена троса лебёдки тельферного грузового подъемника (одна работа, не учитывающая метраж заменямого материала)</t>
  </si>
  <si>
    <t>16.1.56</t>
  </si>
  <si>
    <t>Регулировка натяжения троса (одна работа, не учитывающая метраж заменямого материала)</t>
  </si>
  <si>
    <t>16.1.57</t>
  </si>
  <si>
    <t>Замена механического запирающего устройства</t>
  </si>
  <si>
    <t>16.1.58</t>
  </si>
  <si>
    <t>Установка механического запирающего устройства</t>
  </si>
  <si>
    <t>16.1.59</t>
  </si>
  <si>
    <t>Замена электромеханического/магнитного запирающего устройства</t>
  </si>
  <si>
    <t>16.1.60</t>
  </si>
  <si>
    <t>Установка электромеханического/магнитного запирающего устройства</t>
  </si>
  <si>
    <t>16.1.61</t>
  </si>
  <si>
    <t>Регулировка запирающего устройства</t>
  </si>
  <si>
    <t>16.1.62</t>
  </si>
  <si>
    <t>Регулировка направляющих тельферного подъемника (одна единица оборудования)</t>
  </si>
  <si>
    <t>16.1.63</t>
  </si>
  <si>
    <t>Регулировка тормозного механизма (одна единица оборудования)</t>
  </si>
  <si>
    <t>16.1.64</t>
  </si>
  <si>
    <t>Регулировка концевых положений грузовой платформы (одна единица оборудования)</t>
  </si>
  <si>
    <t>16.1.65</t>
  </si>
  <si>
    <t>Замена направляющих грузовой платформы (одна работа, не учитывающая метраж заменямого материала)</t>
  </si>
  <si>
    <t>16.1.66</t>
  </si>
  <si>
    <t>Замена балансирной подвески</t>
  </si>
  <si>
    <t>16.1.67</t>
  </si>
  <si>
    <t>Ремонт с последующей регулировкой дверей грузового подъемника (одна единица оборудования)</t>
  </si>
  <si>
    <t>16.1.68</t>
  </si>
  <si>
    <t>Протяжка механического соединения (одна единица оборудования)</t>
  </si>
  <si>
    <t>16.1.69</t>
  </si>
  <si>
    <t>Смазка подвижного элемента (одна единица оборудования)</t>
  </si>
  <si>
    <t>16.1.70</t>
  </si>
  <si>
    <t>Шприцевание подвижного элемента</t>
  </si>
  <si>
    <t>16.1.71</t>
  </si>
  <si>
    <t>Замена (демонтаж + монтаж) гидроцилиндра аппарели</t>
  </si>
  <si>
    <t>16.1.72</t>
  </si>
  <si>
    <t>Замена (демонтаж + монтаж) амортизирующего упора гидравлического подъемника</t>
  </si>
  <si>
    <t>16.1.73</t>
  </si>
  <si>
    <t>Замена (демонтаж + монтаж) гидроцилиндра грузовой платформы</t>
  </si>
  <si>
    <t>16.1.74</t>
  </si>
  <si>
    <t>Замена (демонтаж + монтаж) гидроцилиндра межэтажного гидравлического подъемника</t>
  </si>
  <si>
    <t>16.1.75</t>
  </si>
  <si>
    <t>Замена (демонтаж + монтаж) электродвигателя гидропривода</t>
  </si>
  <si>
    <t>16.1.76</t>
  </si>
  <si>
    <t>Замена (демонтаж + монтаж) РВД (шланга гидравлического)</t>
  </si>
  <si>
    <t>16.1.77</t>
  </si>
  <si>
    <t>Регулировка гидравлического клапана</t>
  </si>
  <si>
    <t>16.1.78</t>
  </si>
  <si>
    <t>Демонтаж гидравлического клапана подъемное оборудование</t>
  </si>
  <si>
    <t>16.1.79</t>
  </si>
  <si>
    <t>Монтаж гидравлического клапана</t>
  </si>
  <si>
    <t>16.1.80</t>
  </si>
  <si>
    <t>Замена гидростанции</t>
  </si>
  <si>
    <t>16.1.81</t>
  </si>
  <si>
    <t>Установка гидростанции</t>
  </si>
  <si>
    <t>16.1.82</t>
  </si>
  <si>
    <t>Замена масла (промывка фильтров) в гидростанции (одна работа, не учитывающая объём заменямого материала)</t>
  </si>
  <si>
    <t>16.1.83</t>
  </si>
  <si>
    <t>Замена фильтра в гидростанции</t>
  </si>
  <si>
    <t>16.1.84</t>
  </si>
  <si>
    <t>Долив масла в гидростанцию (одна работа, не учитывающая объём заменямого материала)</t>
  </si>
  <si>
    <t>16.1.85</t>
  </si>
  <si>
    <t>Ремонт блока управления грузового подъемика</t>
  </si>
  <si>
    <t>16.1.86</t>
  </si>
  <si>
    <t>Ремонт платы управления грузового подъемика</t>
  </si>
  <si>
    <t>16.1.87</t>
  </si>
  <si>
    <t>Ремонт профильной конструкции рамки безопасности (одна единица оборудования)</t>
  </si>
  <si>
    <t>16.1.88</t>
  </si>
  <si>
    <t>Замена упорного бампера</t>
  </si>
  <si>
    <t>16.1.89</t>
  </si>
  <si>
    <t>Установка дополнительного упорного бампера</t>
  </si>
  <si>
    <t>16.1.90</t>
  </si>
  <si>
    <t>Извлечение/удаление предметов(тележек, корзин, паллетов, поддонов, подносов, товарных остатков), препятствующих правильной работе грузового подъемника (на одном подъёмнике)</t>
  </si>
  <si>
    <t>16.1.91</t>
  </si>
  <si>
    <t>Ремонт дефектов, повреждений металлоконструкции с применением сварочных работ, включая сварочные материалы (на одном подъёмнике)</t>
  </si>
  <si>
    <t>16.1.92</t>
  </si>
  <si>
    <t>Аварийный ремонт дефектов, повреждений металлоконструкции с применением сварочных работ, включая сварочные материалы (на одном подъёмнике)</t>
  </si>
  <si>
    <t>16.1.93</t>
  </si>
  <si>
    <t>Аварийное вскрытие дверей грузового подъемника</t>
  </si>
  <si>
    <t>16.1.94</t>
  </si>
  <si>
    <t>Подъем платформы неисправного гидравлического подъемника с использованием специального грузоподъемного оборудования</t>
  </si>
  <si>
    <t>16.1.95</t>
  </si>
  <si>
    <t>Замена РТИ гидроцилиндра, включая материалы (на одном подъёмнике)</t>
  </si>
  <si>
    <t>16.1.96</t>
  </si>
  <si>
    <t>Замена гильзы гидроцилиндра, включая материалы</t>
  </si>
  <si>
    <t>16.1.97</t>
  </si>
  <si>
    <t>Замена штока гидроцилиндра, включая материалы</t>
  </si>
  <si>
    <t>16.1.98</t>
  </si>
  <si>
    <t>Установка раздвижных дверей кабины с применением сварочного оборудования</t>
  </si>
  <si>
    <t>16.1.99</t>
  </si>
  <si>
    <t>Установка крюковой подвески</t>
  </si>
  <si>
    <t>16.1.100</t>
  </si>
  <si>
    <t>Установка дверей кабины с применением сварочного оборудования</t>
  </si>
  <si>
    <t>16.1.101</t>
  </si>
  <si>
    <t>Демонтаж и утилизация поврежденных металлоконструкций</t>
  </si>
  <si>
    <t>16.1.102</t>
  </si>
  <si>
    <t>Установка тельферной лебедки 2т 6м</t>
  </si>
  <si>
    <t>16.1.103</t>
  </si>
  <si>
    <t>Изготовление метало каркаса с применением сварочного оборудования ,обшивка мет листом кабины</t>
  </si>
  <si>
    <t>16.1.104</t>
  </si>
  <si>
    <t>Установка светодиодного светильника ЖКХ с решеткой LED 16W IP54</t>
  </si>
  <si>
    <t>16.1.N1</t>
  </si>
  <si>
    <t>Техническое обслуживание грузового подъёмника (ежемесячное, 1 ед.)</t>
  </si>
  <si>
    <t>ед/мес</t>
  </si>
  <si>
    <t>16.1.N2</t>
  </si>
  <si>
    <t>Полное техническое освидетельствование подъёмника со статическими и динамическими испытаниями (без груза-балласта)</t>
  </si>
  <si>
    <t>16.1.N3</t>
  </si>
  <si>
    <t>Замена тормозных колодок/диска тормоза электротали</t>
  </si>
  <si>
    <t>16.1.N4</t>
  </si>
  <si>
    <t>Замена (восстановление) ловителей подъёмника, комплект</t>
  </si>
  <si>
    <t>16.1.N5</t>
  </si>
  <si>
    <t>Замена датчика точной остановки/положения кабины с настройкой</t>
  </si>
  <si>
    <t>16.1.N6</t>
  </si>
  <si>
    <t>Замена тяговых тросов малого грузового (ресторанного) подъёмника, комплект</t>
  </si>
  <si>
    <t>16.1.N7</t>
  </si>
  <si>
    <t>Работы по ремонту ПС, не предусмотренные тарификатором (нормо-час механика)</t>
  </si>
  <si>
    <t>16.1.N8</t>
  </si>
  <si>
    <t>Замена ходового колеса электротали/тельфера</t>
  </si>
  <si>
    <t>16.1.N9</t>
  </si>
  <si>
    <t>Измерение сопротивления изоляции и проверка заземления ПС (1 ед. оборудования) с протоколом</t>
  </si>
  <si>
    <t>16.1.N10</t>
  </si>
  <si>
    <t>ТО ножничного подъёмного стола (ежеквартальное, 1 ед.)</t>
  </si>
  <si>
    <t>16.2 Пресс</t>
  </si>
  <si>
    <t>16.2.1</t>
  </si>
  <si>
    <t>Срочный выезд на объект, в пределах МКАД в течении 4-х часов для ремонта пресса</t>
  </si>
  <si>
    <t>16.2.2</t>
  </si>
  <si>
    <t>Срочный выезд на объект, за пределами МКАД в течении 4-х часов для ремонта пресса</t>
  </si>
  <si>
    <t>16.2.3</t>
  </si>
  <si>
    <t>Выезд на объект, в пределах МКАД для ремонта пресса</t>
  </si>
  <si>
    <t>16.2.4</t>
  </si>
  <si>
    <t>Выезд на объект, за пределами МКАД за каждый км для ремонта пресса</t>
  </si>
  <si>
    <t>16.2.5</t>
  </si>
  <si>
    <t>Проверка работоспособности оборудования/выявление неисправности, инструктаж сотрудников заказчика (одна единица оборудования) пресса</t>
  </si>
  <si>
    <t>16.2.6</t>
  </si>
  <si>
    <t>16.2.7</t>
  </si>
  <si>
    <t>16.2.8</t>
  </si>
  <si>
    <t>16.2.9</t>
  </si>
  <si>
    <t>16.2.10</t>
  </si>
  <si>
    <t>16.2.11</t>
  </si>
  <si>
    <t>Замена кабеля</t>
  </si>
  <si>
    <t>16.2.12</t>
  </si>
  <si>
    <t>16.2.13</t>
  </si>
  <si>
    <t>16.2.14</t>
  </si>
  <si>
    <t>16.2.15</t>
  </si>
  <si>
    <t>16.2.16</t>
  </si>
  <si>
    <t>16.2.17</t>
  </si>
  <si>
    <t>16.2.18</t>
  </si>
  <si>
    <t>16.2.19</t>
  </si>
  <si>
    <t>16.2.20</t>
  </si>
  <si>
    <t>Ремонт с последующей регулировкой дверей грузового подъемника (одна единица оборудования)/пресса</t>
  </si>
  <si>
    <t>16.2.21</t>
  </si>
  <si>
    <t>16.2.22</t>
  </si>
  <si>
    <t>16.2.23</t>
  </si>
  <si>
    <t>16.2.24</t>
  </si>
  <si>
    <t>Замена (демонтаж + монтаж) амортизирующего упора</t>
  </si>
  <si>
    <t>16.2.25</t>
  </si>
  <si>
    <t>Замена (демонтаж + монтаж) гидроцилиндра</t>
  </si>
  <si>
    <t>16.2.26</t>
  </si>
  <si>
    <t>16.2.27</t>
  </si>
  <si>
    <t>16.2.28</t>
  </si>
  <si>
    <t>16.2.29</t>
  </si>
  <si>
    <t>Демонтаж гидравлического клапана пресса</t>
  </si>
  <si>
    <t>16.2.30</t>
  </si>
  <si>
    <t>16.2.31</t>
  </si>
  <si>
    <t>16.2.32</t>
  </si>
  <si>
    <t>Замена масла (промывка фильтров) в гидростанции</t>
  </si>
  <si>
    <t>16.2.33</t>
  </si>
  <si>
    <t>Долив масла в гидростанцию</t>
  </si>
  <si>
    <t>16.2.34</t>
  </si>
  <si>
    <t>Ремонт платы управления пресса</t>
  </si>
  <si>
    <t>16.2.35</t>
  </si>
  <si>
    <t>Извлечение/удаление предметов(тележек, корзин, паллетов, поддонов, подносов, товарных остатков), препятствующих правильной работе пресса</t>
  </si>
  <si>
    <t>16.2.36</t>
  </si>
  <si>
    <t>Ремонт дефектов, повреждений металлоконструкции с применением сварочных работ, включая сварочные материалы</t>
  </si>
  <si>
    <t>16.2.37</t>
  </si>
  <si>
    <t>Аварийный ремонт дефектов, повреждений металлоконструкции с применением сварочных работ, включая сварочные материалы</t>
  </si>
  <si>
    <t>16.2.38</t>
  </si>
  <si>
    <t>Замена РТИ гидроцилиндра, включая материалы</t>
  </si>
  <si>
    <t>16.2.39</t>
  </si>
  <si>
    <t>16.2.40</t>
  </si>
  <si>
    <t>замена платы управления</t>
  </si>
  <si>
    <t>16.2.41</t>
  </si>
  <si>
    <t>замена кнопочной панели управления</t>
  </si>
  <si>
    <t>16.2.42</t>
  </si>
  <si>
    <t>16.2.43</t>
  </si>
  <si>
    <t>Демонтаж-монтаж прессующей плиты</t>
  </si>
  <si>
    <t>16.2.44</t>
  </si>
  <si>
    <t>Замена рукоятка 4864814-00</t>
  </si>
  <si>
    <t>16.2.45</t>
  </si>
  <si>
    <t>Замена крыла запорного механизма</t>
  </si>
  <si>
    <t>16.2.46</t>
  </si>
  <si>
    <t>Замена планки нижней двери 4871519-00</t>
  </si>
  <si>
    <t>16.2.47</t>
  </si>
  <si>
    <t>Замена крышки пресса нового образца</t>
  </si>
  <si>
    <t>16.2.48</t>
  </si>
  <si>
    <t>Замена ручки 4880650-00</t>
  </si>
  <si>
    <t>16.2.49</t>
  </si>
  <si>
    <t>Замена Конденсатора 4871621-00</t>
  </si>
  <si>
    <t>16.2.50</t>
  </si>
  <si>
    <t>Замена Тележки для пресса</t>
  </si>
  <si>
    <t>16.2.51</t>
  </si>
  <si>
    <t>Замена Двигателя электрического 4873470-00</t>
  </si>
  <si>
    <t>16.2.52</t>
  </si>
  <si>
    <t>Замена Датчика давления 4871620-00</t>
  </si>
  <si>
    <t>16.2.53</t>
  </si>
  <si>
    <t>Аварийный ремонт дефектов, повреждений металлоконструкции пресс плиты с применением сварочных работ, включая сварочные материалы</t>
  </si>
  <si>
    <t>16.2.54</t>
  </si>
  <si>
    <t>замена электродвигателя гидростанции пресса PRESSMAX</t>
  </si>
  <si>
    <t>16.2.55</t>
  </si>
  <si>
    <t>замена гидроцилиндра пресса PRESSMAX</t>
  </si>
  <si>
    <t>16.2.56</t>
  </si>
  <si>
    <t>Замена плиты пресса PRESSMAX</t>
  </si>
  <si>
    <t>16.2.57</t>
  </si>
  <si>
    <t>Изготовление РВД под нужный размер</t>
  </si>
  <si>
    <t>16.2.58</t>
  </si>
  <si>
    <t>Замена гидравлического клапана пресса PRESSMAX</t>
  </si>
  <si>
    <t>16.2.59</t>
  </si>
  <si>
    <t>Регулировка гидравлического клапана пресса PRESSMAX</t>
  </si>
  <si>
    <t>16.2.60</t>
  </si>
  <si>
    <t>Замена гидронасоса пресса PRESSMAX</t>
  </si>
  <si>
    <t>16.2.61</t>
  </si>
  <si>
    <t>Замена концевого выключателя для пресса PRESSMAX</t>
  </si>
  <si>
    <t>16.2.62</t>
  </si>
  <si>
    <t>Замена пускателя для пресса PRESSMAX</t>
  </si>
  <si>
    <t>16.2.63</t>
  </si>
  <si>
    <t>Замена гидрораспределителя для пресса PRESSMAX</t>
  </si>
  <si>
    <t>16.2.64</t>
  </si>
  <si>
    <t>Замена цепи выброса кипы для пресса PRESSMAX</t>
  </si>
  <si>
    <t>16.2.65</t>
  </si>
  <si>
    <t>Замена ручки управления прижимной плитой пресса PRESSMAX</t>
  </si>
  <si>
    <t>16.2.66</t>
  </si>
  <si>
    <t>Замена штока направляющего для пресса PRESSMAX</t>
  </si>
  <si>
    <t>16.2.67</t>
  </si>
  <si>
    <t>Замена маслянного бака для пресса PRESSMAX</t>
  </si>
  <si>
    <t>16.2.68</t>
  </si>
  <si>
    <t>Ремонт металлоконструкции двери пресса PRESSMAX с применением сварки</t>
  </si>
  <si>
    <t>16.2.69</t>
  </si>
  <si>
    <t>Замена замка двери пресса PRESSMAX</t>
  </si>
  <si>
    <t>16.2.70</t>
  </si>
  <si>
    <t>Ремонт замка двери пресса PRESSMAX</t>
  </si>
  <si>
    <t>16.2.71</t>
  </si>
  <si>
    <t>Замена выключатель путевого для пресса PRESSMAX</t>
  </si>
  <si>
    <t>16.2.72</t>
  </si>
  <si>
    <t>Замена заливной горловины для пресса PRESSMAX</t>
  </si>
  <si>
    <t>16.2.73</t>
  </si>
  <si>
    <t>Замена колокола для пресса PRESSMAX</t>
  </si>
  <si>
    <t>16.2.74</t>
  </si>
  <si>
    <t>Замена стекла масломерного TLA-5G для пресса PRESSMAX</t>
  </si>
  <si>
    <t>16.2.75</t>
  </si>
  <si>
    <t>Замена фильтрующего элемента SF064A034GR090 для пресса PRESSMAX</t>
  </si>
  <si>
    <t>16.2.76</t>
  </si>
  <si>
    <t>Ремонт гидроцилиндра пресса PRESSMAX</t>
  </si>
  <si>
    <t>16.2.77</t>
  </si>
  <si>
    <t>Замена петель двери пресса PRESSMAX</t>
  </si>
  <si>
    <t>16.2.78</t>
  </si>
  <si>
    <t>Промывка гидросистемы пресса PRESSMAX</t>
  </si>
  <si>
    <t>16.2.79</t>
  </si>
  <si>
    <t>Доливка масла в пресс PRESSMAX</t>
  </si>
  <si>
    <t>16.2.80</t>
  </si>
  <si>
    <t>Замена масла в прессе PRESSMAX</t>
  </si>
  <si>
    <t>16.2.N1</t>
  </si>
  <si>
    <t>Техническое обслуживание пакетировочного пресса (ежемесячное, 1 ед.)</t>
  </si>
  <si>
    <t>16.2.N2</t>
  </si>
  <si>
    <t>Замена реле давления/манометра пресса</t>
  </si>
  <si>
    <t>16.2.N3</t>
  </si>
  <si>
    <t>Замена износных накладок (полозьев) прессующей плиты, комплект</t>
  </si>
  <si>
    <t>16.2.N4</t>
  </si>
  <si>
    <t>Нормо-час механика пресса (работы вне тарификатора)</t>
  </si>
  <si>
    <t>16.2.N5</t>
  </si>
  <si>
    <t>Замена кабеля питания пресса с вилкой/разъёмом (до 10 м), работа</t>
  </si>
  <si>
    <t>17 ПНР</t>
  </si>
  <si>
    <t>17.1</t>
  </si>
  <si>
    <t>Пусконадалка радиального вентилятора</t>
  </si>
  <si>
    <t>17.2</t>
  </si>
  <si>
    <t>Пусконаладка клапана воздушного с электроприводом</t>
  </si>
  <si>
    <t>17.3</t>
  </si>
  <si>
    <t>Пусконаладка сети систем вентиляции и кондиционирования воздуха при количестве сечений: до 10</t>
  </si>
  <si>
    <t>сеть</t>
  </si>
  <si>
    <t>17.4</t>
  </si>
  <si>
    <t>Пусконаладка сети систем вентиляции и кондиционирования воздуха при количестве сечений: до 5</t>
  </si>
  <si>
    <t>17.5</t>
  </si>
  <si>
    <t>Пусконаладка теплообменной установки</t>
  </si>
  <si>
    <t>установка</t>
  </si>
  <si>
    <t>17.6</t>
  </si>
  <si>
    <t>Пусконаладка центробежных насосов</t>
  </si>
  <si>
    <t>17.7</t>
  </si>
  <si>
    <t>Пусконаладка щитов управления</t>
  </si>
  <si>
    <t>17.8</t>
  </si>
  <si>
    <t>Пусконаладкатеплообменной установки</t>
  </si>
  <si>
    <t>17.9</t>
  </si>
  <si>
    <t>Пусконаладочные работы. Оборудование индивидуального теплового пункта (ИТП) без диспетчеризации)</t>
  </si>
  <si>
    <t>17.10</t>
  </si>
  <si>
    <t>Пусконаладочные работы. Оборудование узла учета тепловой энергии (УУТЭ) без диспетчеризации</t>
  </si>
  <si>
    <t>17.11</t>
  </si>
  <si>
    <t>Разработка технических решений на установку автоматизированного узла управления с предоставлением согласованных проектов следующих разделов ТМ, ЭОМ, АТМ</t>
  </si>
  <si>
    <t>17.12</t>
  </si>
  <si>
    <t>Разработка технических решений на установку узла учета тепловой энергии (УУТЭ) с предоставлением согласованных проектов</t>
  </si>
  <si>
    <t>17.13</t>
  </si>
  <si>
    <t>Комплексная пусконаладка системы АСКУЭ (проверка работоспособности модема, установка сим-карты)</t>
  </si>
  <si>
    <t>17.N1</t>
  </si>
  <si>
    <t>ПНР приточной установки с водяным калорифером и автоматикой (комплексно)</t>
  </si>
  <si>
    <t>17.N2</t>
  </si>
  <si>
    <t>Аэродинамические испытания и паспортизация системы вентиляции (до 10 сечений)</t>
  </si>
  <si>
    <t>17.N3</t>
  </si>
  <si>
    <t>ПНР сплит-системы (проверка герметичности, вакуумирование, запуск)</t>
  </si>
  <si>
    <t>17.N4</t>
  </si>
  <si>
    <t>ПНР системы дымоудаления/подпора (вентилятор + клапаны) с актом</t>
  </si>
  <si>
    <t>17.N5</t>
  </si>
  <si>
    <t>ПНР воздушно-тепловой завесы с водяным теплообменником</t>
  </si>
  <si>
    <t>17.N6</t>
  </si>
  <si>
    <t>ПНР насосной станции повышения давления (2–3 насоса со шкафом управления)</t>
  </si>
  <si>
    <t>17.N7</t>
  </si>
  <si>
    <t>Подготовка УУТЭ к отопительному сезону и повторный допуск (акт с ТСО)</t>
  </si>
  <si>
    <t>17.N8</t>
  </si>
  <si>
    <t>Гидравлические испытания (опрессовка) системы отопления/ИТП с актом</t>
  </si>
  <si>
    <t>19 Работы по ремонту докового оборудования</t>
  </si>
  <si>
    <t>19.2.1</t>
  </si>
  <si>
    <t>Наклейка с маркировочной полосой, 300*100 мм Белый (1721060004)</t>
  </si>
  <si>
    <t>Нормо/час</t>
  </si>
  <si>
    <t>19.2.2</t>
  </si>
  <si>
    <t>Заготовка секции 3535х750 RAL 9006/9002 окрашивание 5009 P/N - 3094396/1541010385</t>
  </si>
  <si>
    <t>19.2.3</t>
  </si>
  <si>
    <t>Заготовка секции 3035х750 RAL 9006/9002 окрашивание 5009 P/N - 3091434/1541010385</t>
  </si>
  <si>
    <t>19.2.4</t>
  </si>
  <si>
    <t>Торцевая накладка 750 мм, левая P/N - 3083030</t>
  </si>
  <si>
    <t>19.2.5</t>
  </si>
  <si>
    <t>Торцевая накладка 750 мм, правая P/N - 3083033</t>
  </si>
  <si>
    <t>19.2.6</t>
  </si>
  <si>
    <t>Ходовой ролик тип KS P/N - 3040122/1521140002</t>
  </si>
  <si>
    <t>19.2.7</t>
  </si>
  <si>
    <t>Верхняя часть главного выключателя P/N - 635256</t>
  </si>
  <si>
    <t>19.2.8</t>
  </si>
  <si>
    <t>Вертикальная направляющая шина (1 м.) P/N - 3099887</t>
  </si>
  <si>
    <t>19.2.9</t>
  </si>
  <si>
    <t>Шарнир, тип 4 P/N - 3040030/1511140016</t>
  </si>
  <si>
    <t>19.2.10</t>
  </si>
  <si>
    <t>Роликовая опора тип 6, для HU/VU P/N - 3095192/1511140004</t>
  </si>
  <si>
    <t>19.2.11</t>
  </si>
  <si>
    <t>Роликодержатель P/N - 3039948/1511140034</t>
  </si>
  <si>
    <t>19.2.12</t>
  </si>
  <si>
    <t>Сэндвичное остекление типа A P/N - 3057711/1511050001</t>
  </si>
  <si>
    <t>19.2.13</t>
  </si>
  <si>
    <t>Гибкая муфта 3044205</t>
  </si>
  <si>
    <t>19.2.14</t>
  </si>
  <si>
    <t>Барабан для троса, левый для направляющих 3086207</t>
  </si>
  <si>
    <t>19.2.15</t>
  </si>
  <si>
    <t>Барабан для троса, правый для направляющих 3086208</t>
  </si>
  <si>
    <t>19.2.16</t>
  </si>
  <si>
    <t>Консоль держатель вала 3 лев+правый 3044143</t>
  </si>
  <si>
    <t>19.2.17</t>
  </si>
  <si>
    <t>Фланцевый подшипник 3076653</t>
  </si>
  <si>
    <t>19.2.18</t>
  </si>
  <si>
    <t>Пружинный амортизатор, длинный 3044522</t>
  </si>
  <si>
    <t>19.2.19</t>
  </si>
  <si>
    <t>Боковой элемент угловой коробки (1 м.) 3086281/3097671; 3086280/3097672</t>
  </si>
  <si>
    <t>19.2.20</t>
  </si>
  <si>
    <t>Вертикальная направляющая шина Херманн (1 м.) 3092887</t>
  </si>
  <si>
    <t>19.2.21</t>
  </si>
  <si>
    <t>Ролик, тип K 3039964</t>
  </si>
  <si>
    <t>19.2.22</t>
  </si>
  <si>
    <t>Элемент насадной N, H, HU, V, VU 3040794</t>
  </si>
  <si>
    <t>19.2.23</t>
  </si>
  <si>
    <t>Задвижка 3060817</t>
  </si>
  <si>
    <t>19.2.24</t>
  </si>
  <si>
    <t>Роликовая опора, верхняя 3093585</t>
  </si>
  <si>
    <t>19.2.25</t>
  </si>
  <si>
    <t>Вал пружины 40 × 3, с канавкой (1 м.) 3045688</t>
  </si>
  <si>
    <t>19.2.26</t>
  </si>
  <si>
    <t>Дуга ходовой шины переходная, 3094440</t>
  </si>
  <si>
    <t>19.2.27</t>
  </si>
  <si>
    <t>Горизонтальная направляющая (1 м.) 3089361</t>
  </si>
  <si>
    <t>19.2.28</t>
  </si>
  <si>
    <t>Уплотнение перемычки HG004 3045681</t>
  </si>
  <si>
    <t>19.2.29</t>
  </si>
  <si>
    <t>Приемная шина для напольного уплотнения (1 м.) 3041117</t>
  </si>
  <si>
    <t>19.2.30</t>
  </si>
  <si>
    <t>Напольное уплотнение (1 м.) P/N - 3098707/1511020032</t>
  </si>
  <si>
    <t>19.2.31</t>
  </si>
  <si>
    <t>Пружина торсионная R223 1521320386</t>
  </si>
  <si>
    <t>19.2.32</t>
  </si>
  <si>
    <t>Пружина торсионная L222 1521320384</t>
  </si>
  <si>
    <t>19.2.33</t>
  </si>
  <si>
    <t>Опорная втулка для пружины 3002225</t>
  </si>
  <si>
    <t>19.2.34</t>
  </si>
  <si>
    <t>Устройство защиты от обрыва пружины 3044643</t>
  </si>
  <si>
    <t>19.2.35</t>
  </si>
  <si>
    <t>Трос 5,5 мм, длина 8000 мм с коушем 3095597</t>
  </si>
  <si>
    <t>19.2.36</t>
  </si>
  <si>
    <t>Боковое уплотнение (1 м.) 1511260012</t>
  </si>
  <si>
    <t>19.2.37</t>
  </si>
  <si>
    <t>Блок управления 420S 636868</t>
  </si>
  <si>
    <t>19.2.38</t>
  </si>
  <si>
    <t>Блок управления 360 636768</t>
  </si>
  <si>
    <t>19.2.39</t>
  </si>
  <si>
    <t>Привод WA 300 S4 635872.Н4</t>
  </si>
  <si>
    <t>19.2.40</t>
  </si>
  <si>
    <t>Главный цилиндр EPL30-450/630 1821250008</t>
  </si>
  <si>
    <t>19.2.41</t>
  </si>
  <si>
    <t>Цилиндр аппарели EPL20-150/330, 1821250006/307392</t>
  </si>
  <si>
    <t>19.2.42</t>
  </si>
  <si>
    <t>Ось цилиндра D20 1821250001/307393</t>
  </si>
  <si>
    <t>19.2.43</t>
  </si>
  <si>
    <t>Гидравлический шланг L2500 1821260003/307092</t>
  </si>
  <si>
    <t>19.2.44</t>
  </si>
  <si>
    <t>Эластичный шнур Easy fix HORMANN HM-309189</t>
  </si>
  <si>
    <t>19.2.45</t>
  </si>
  <si>
    <t>Резиновый шнур для натяжения, с крюками Hormann 2000711</t>
  </si>
  <si>
    <t>19.2.46</t>
  </si>
  <si>
    <t>TL40 rd/gn светофор HORMANN HM-637537</t>
  </si>
  <si>
    <t>19.2.N1</t>
  </si>
  <si>
    <t>Плановое ТО уравнительной платформы (1 ед.)</t>
  </si>
  <si>
    <t>19.2.N2</t>
  </si>
  <si>
    <t>Плановое ТО промышленных секционных ворот с приводом (1 ед.)</t>
  </si>
  <si>
    <t>19.2.N3</t>
  </si>
  <si>
    <t>Плановое ТО докового герметизатора (1 ед.)</t>
  </si>
  <si>
    <t>19.2.N4</t>
  </si>
  <si>
    <t>Замена аппарели (губы) уравнительной платформы</t>
  </si>
  <si>
    <t>19.2.N5</t>
  </si>
  <si>
    <t>Замена шарнирной оси/пальцев аппарели, комплект</t>
  </si>
  <si>
    <t>19.2.N6</t>
  </si>
  <si>
    <t>Замена тентов (штор) докового герметизатора, комплект</t>
  </si>
  <si>
    <t>19.2.N7</t>
  </si>
  <si>
    <t>Замена гидроагрегата (насос-мотор) уравнительной платформы</t>
  </si>
  <si>
    <t>19.2.N8</t>
  </si>
  <si>
    <t>Замена масла в гидросистеме уравнительной платформы</t>
  </si>
  <si>
    <t>19.2.N9</t>
  </si>
  <si>
    <t>Замена резинового докового отбойника</t>
  </si>
  <si>
    <t>19.2.N10</t>
  </si>
  <si>
    <t>Аварийное открытие/фиксация секционных ворот при поломке</t>
  </si>
  <si>
    <t>19.2.N11</t>
  </si>
  <si>
    <t>Нормо-час сервисного инженера ворот/доков (работы вне тарификатора)</t>
  </si>
  <si>
    <t>19.2.N12</t>
  </si>
  <si>
    <t>Ремонт аппарели/настила уравнительной платформы сваркой (до 1 м шва)</t>
  </si>
  <si>
    <t>19.2.N13</t>
  </si>
  <si>
    <t>пара</t>
  </si>
  <si>
    <t>ПОЧАСОВАЯ ОПЛАТА ПО СПЕЦИАЛЬНОСТЯМ</t>
  </si>
  <si>
    <t>Жёлтые ячейки — вводные (ставка бригаде ИП/СЗ вкл. налог 6 % и рынок нормо-часа подрядчика): при изменении пересчитываются листы «Расценки» и «Для HR». Цена в КП на листе «Расценки» не пересчитывается — она из основного тарификатора.</t>
  </si>
  <si>
    <t>Специальность</t>
  </si>
  <si>
    <t>Что делает</t>
  </si>
  <si>
    <t>Ставка часа СПб, руб/ч
(вводная)</t>
  </si>
  <si>
    <t>Ставка часа Мск, руб/ч
(вводная)</t>
  </si>
  <si>
    <t>Смена СПб, руб
= ставка × часы смены</t>
  </si>
  <si>
    <t>Смена Мск, руб
= ставка × часы смены</t>
  </si>
  <si>
    <t>Месяц СПб, руб
= смена × смен в месяц</t>
  </si>
  <si>
    <t>Месяц Мск, руб
= смена × смен в месяц</t>
  </si>
  <si>
    <t>Рынок нормо-часа подрядчика СПб, б/НДС (вводная)</t>
  </si>
  <si>
    <t>Рынок нормо-часа Мск (вводная)</t>
  </si>
  <si>
    <t>Нормо-час для заказчика СПб, б/НДС
= ставка × 1,25 × 1,35, не ниже 95 % рынка</t>
  </si>
  <si>
    <t>Нормо-час для заказчика Мск, б/НДС
= то же</t>
  </si>
  <si>
    <t>Работ в тарификаторе</t>
  </si>
  <si>
    <t>Разнорабочий / демонтажник</t>
  </si>
  <si>
    <t>Демонтаж, разборка, вынос мусора, такелаж вручную, уборка</t>
  </si>
  <si>
    <t>Землекоп / рабочий земляных работ</t>
  </si>
  <si>
    <t>Ручная разработка и обратная засыпка грунта, планировка</t>
  </si>
  <si>
    <t>Дорожный рабочий / благоустройство</t>
  </si>
  <si>
    <t>Бортовой камень, плитка, газоны, ограждения, ручные дорожные работы</t>
  </si>
  <si>
    <t>Бетонщик / арматурщик</t>
  </si>
  <si>
    <t>Опалубка, армирование, бетонирование, стяжки, основания</t>
  </si>
  <si>
    <t>Каменщик</t>
  </si>
  <si>
    <t>Кладка кирпича и блоков, перегородки, ремонт кладки</t>
  </si>
  <si>
    <t>Отделочник (штукатур, маляр, ГКЛ)</t>
  </si>
  <si>
    <t>Штукатурка, шпаклёвка, окраска, перегородки и потолки ГКЛ, подвесные потолки</t>
  </si>
  <si>
    <t>Плиточник / укладчик полов</t>
  </si>
  <si>
    <t>Плитка, керамогранит, наливные полы, линолеум, ПВХ, плинтус</t>
  </si>
  <si>
    <t>Кровельщик</t>
  </si>
  <si>
    <t>Наплавляемые и мембранные кровли, металлокровля, водосток, примыкания</t>
  </si>
  <si>
    <t>Фасадчик / промальпинист</t>
  </si>
  <si>
    <t>Вентфасады, сэндвич-панели, работы на высоте с люльки и верёвки</t>
  </si>
  <si>
    <t>Сварщик / монтажник МК</t>
  </si>
  <si>
    <t>Сварка, монтаж и ремонт металлоконструкций, ограждений, ворот</t>
  </si>
  <si>
    <t>Сантехник</t>
  </si>
  <si>
    <t>Водопровод, канализация, отопление, сантехприборы, насосы</t>
  </si>
  <si>
    <t>Монтажник вентиляции</t>
  </si>
  <si>
    <t>Воздуховоды, вентиляторы, решётки, клапаны, ТО вентустановок</t>
  </si>
  <si>
    <t>Холодильщик / монтажник кондиционеров</t>
  </si>
  <si>
    <t>Сплит- и мульти-системы, фреоновые трассы, вакуумирование, заправка</t>
  </si>
  <si>
    <t>Электромонтажник</t>
  </si>
  <si>
    <t>Кабели, щиты, автоматы, розетки, светильники</t>
  </si>
  <si>
    <t>Инженер электролаборатории / ПНР</t>
  </si>
  <si>
    <t>Измерения, испытания, протоколы, пусконаладка систем</t>
  </si>
  <si>
    <t>Монтажник дверей, окон, перегородок</t>
  </si>
  <si>
    <t>Двери, окна, стеклянные и алюминиевые перегородки, доводчики, фурнитура</t>
  </si>
  <si>
    <t>Сервисный инженер ворот и автоматики</t>
  </si>
  <si>
    <t>Секционные и рулонные ворота, рольставни, автодвери, приводы</t>
  </si>
  <si>
    <t>Механик ПС / подъёмников / прессов / доков</t>
  </si>
  <si>
    <t>Подъёмники, прессы, уравнительные платформы, доки — с допусками РТН</t>
  </si>
  <si>
    <t>Монтажник наружных сетей</t>
  </si>
  <si>
    <t>Наружные ВиК, теплосети, колодцы (ручная часть, без техники)</t>
  </si>
  <si>
    <t>Дезинфектор (ОЗДС)</t>
  </si>
  <si>
    <t>Дератизация, дезинсекция, обслуживание ОЗДС — лицензируемая</t>
  </si>
  <si>
    <t>Как ставить план строителю:</t>
  </si>
  <si>
    <t>1. Найдите работу на листе «Расценки» → колонка «План на смену» — это объём для ОДНОГО человека за смену. Для звена умножьте на число людей.</t>
  </si>
  <si>
    <t>2. Если за смену несколько видов работ: время на каждую = объём × норма (колонка L). Сумма по всем работам должна быть не меньше 8 ч на человека.</t>
  </si>
  <si>
    <t>3. Пример: монтажник должен уложить 40 м кабеля при норме 0,05 чел.-ч/м = 2 ч и поставить 12 розеток при норме 0,25 = 3 ч → загрузка 5 ч, добавьте работ ещё на 3 ч.</t>
  </si>
  <si>
    <t>4. В конце смены прораб фиксирует сделанный объём. Выполнение &lt; 85 % плана два дня подряд — разговор; не выправляется — сделка или замена исполнителя.</t>
  </si>
  <si>
    <t>ДЛЯ HR: КОГО ИЩЕМ И ЧТО ОБЕЩАЕМ</t>
  </si>
  <si>
    <t>Вилка ставки — для вакансии и собеседования (ИП/самозанятый, налог платит исполнитель). Нижняя граница — для новичка без своего инструмента, верхняя — опыт от 3 лет, свой инструмент, допуски. Ставки берутся с листа «Почасовка — ставки и план», доход — смена × смен в месяц (лист «Параметры»).</t>
  </si>
  <si>
    <t>Что должен уметь / допуски</t>
  </si>
  <si>
    <t>Ставка в вакансии СПб: от, руб/ч
= ставка × 0,85</t>
  </si>
  <si>
    <t>до, руб/ч
= ставка</t>
  </si>
  <si>
    <t>Доход в месяц СПб: от, руб
= от × часы × смены</t>
  </si>
  <si>
    <t>до, руб</t>
  </si>
  <si>
    <t>Ставка в вакансии Мск: от, руб/ч
= ставка × 0,85</t>
  </si>
  <si>
    <t>Доход в месяц Мск: от, руб</t>
  </si>
  <si>
    <t>Найм в штат СПб, на руки, руб/ч (ориентир рынка вакансий)</t>
  </si>
  <si>
    <t>Физически вынослив, без вредных привычек; опыт демонтажа — плюс</t>
  </si>
  <si>
    <t>450–560</t>
  </si>
  <si>
    <t>Опыт земляных работ, работа на улице в любую погоду</t>
  </si>
  <si>
    <t>Опыт укладки бортового камня и плитки</t>
  </si>
  <si>
    <t>500–650</t>
  </si>
  <si>
    <t>Опыт опалубки, вязки арматуры, бетонирования; читать простые чертежи</t>
  </si>
  <si>
    <t>550–700</t>
  </si>
  <si>
    <t>Опыт кладки кирпича и блоков от 2 лет</t>
  </si>
  <si>
    <t>600–750</t>
  </si>
  <si>
    <t>Штукатурка/шпаклёвка/окраска/ГКЛ, свой ручной инструмент</t>
  </si>
  <si>
    <t>550–800</t>
  </si>
  <si>
    <t>Плитка и керамогранит, наливные полы; портфолио работ</t>
  </si>
  <si>
    <t>650–900</t>
  </si>
  <si>
    <t>Наплавляемые и мембранные кровли; допуск к работам на высоте</t>
  </si>
  <si>
    <t>600–800</t>
  </si>
  <si>
    <t>Допуск к работам на высоте (группа 2–3), опыт вентфасадов; для промальпа — удостоверение</t>
  </si>
  <si>
    <t>800–1 000</t>
  </si>
  <si>
    <t>Удостоверение сварщика (НАКС — плюс), монтаж МК, допуск на высоту</t>
  </si>
  <si>
    <t>600–850</t>
  </si>
  <si>
    <t>Монтаж ВиК и отопления (ПП, металл, чугун), опыт на коммерческих объектах</t>
  </si>
  <si>
    <t>Монтаж воздуховодов и вентоборудования, допуск на высоту</t>
  </si>
  <si>
    <t>Монтаж и ремонт сплит/мульти-систем, пайка, вакуумирование; свой манометрический коллектор и вакуумный насос</t>
  </si>
  <si>
    <t>900–1 200</t>
  </si>
  <si>
    <t>Группа по электробезопасности не ниже III, монтаж кабеля и щитов</t>
  </si>
  <si>
    <t>550–750</t>
  </si>
  <si>
    <t>Группа ЭБ IV–V, опыт измерений и оформления протоколов, знание ПУЭ/ПТЭЭП</t>
  </si>
  <si>
    <t>Монтаж дверей, окон, перегородок, доводчиков</t>
  </si>
  <si>
    <t>Опыт ремонта и обслуживания ворот DoorHan/Hörmann/Alutech, электрика приводов, группа ЭБ III</t>
  </si>
  <si>
    <t>800–1 100</t>
  </si>
  <si>
    <t>Опыт ремонта гидравлики, подъёмников, доков; удостоверения РТН — обязательно</t>
  </si>
  <si>
    <t>Монтаж наружных сетей ВиК и колодцев</t>
  </si>
  <si>
    <t>Обучение по дезинфекции/дератизации, работа по СанПиН</t>
  </si>
  <si>
    <t>Что обещать на собеседовании:</t>
  </si>
  <si>
    <t>• Оплата за отработанные часы по ставке (почасовка) или за принятый объём по расценке (сделка) — по выбору прораба для конкретного объекта.</t>
  </si>
  <si>
    <t>• Объекты — коммерческая недвижимость СПб и Москвы: гипермаркеты, склады и РЦ, ТЦ, офисы; часто работа на действующем объекте, возможны ночные смены.</t>
  </si>
  <si>
    <t>• При почасовке — понятный план на смену; кто стабильно выполняет план, получает верх вилки и приоритет на сделку (там заработок выше).</t>
  </si>
  <si>
    <t>• Работа как ИП или самозанятый, налог 6 % исполнитель платит сам (он уже учтён в ставке).</t>
  </si>
  <si>
    <t>• Сроки выплат и документы — по условиям на листе «Как пользоваться» (раздел «Порядок выплат»).</t>
  </si>
  <si>
    <t>Чего НЕ обещать: ставку выше верхней границы вилки, оплату простоев по вине исполнителя, оплату работ без акта приёмки.</t>
  </si>
  <si>
    <t>ПАРАМЕТРЫ РАСЧЁТА (жёлтые ячейки можно менять — формулы во всём файле пересчитаются)</t>
  </si>
  <si>
    <t>Параметр</t>
  </si>
  <si>
    <t>Значение</t>
  </si>
  <si>
    <t>Как используется</t>
  </si>
  <si>
    <t>Оплачиваемых часов в смене</t>
  </si>
  <si>
    <t>План на смену = часы ÷ норма; оплата смены = ставка × часы</t>
  </si>
  <si>
    <t>Рабочих смен в месяц</t>
  </si>
  <si>
    <t>Доход в месяц = оплата смены × смены</t>
  </si>
  <si>
    <t>Потолок сделки: надбавка к цели</t>
  </si>
  <si>
    <t>Потолок = цель × (1 + надбавка)…</t>
  </si>
  <si>
    <t>Потолок сделки: не выше доли цены КП</t>
  </si>
  <si>
    <t>…но не больше цены КП × эта доля (оставляем ≥ 25 % на накладные и прибыль)</t>
  </si>
  <si>
    <t>Порог «любой способ», ±</t>
  </si>
  <si>
    <t>Почасовая оплата за ед. дешевле цели сделки больше чем на порог → «почасовка», дороже → «сделка»</t>
  </si>
  <si>
    <t>Нижняя граница вилки HR, доля ставки</t>
  </si>
  <si>
    <t>Вилка в вакансии: от ставка × доля до ставка</t>
  </si>
  <si>
    <t>Накладные НЕОСТРОЙ к ставке бригады</t>
  </si>
  <si>
    <t>ИТР/прораб, транспорт, СИЗ, инструмент, гарантия</t>
  </si>
  <si>
    <t>Наценка НЕОСТРОЙ</t>
  </si>
  <si>
    <t>Нормо-час заказчику = ставка × (1 + накладные) × (1 + наценка)</t>
  </si>
  <si>
    <t>Нормо-час заказчику не ниже доли рынка</t>
  </si>
  <si>
    <t>Если формула ниже рынка — ставим рынок × доля</t>
  </si>
  <si>
    <t>Порог выполнения плана для разбора</t>
  </si>
  <si>
    <t>Справочно: ниже два дня подряд — разговор с исполнителем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</si>
</sst>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0;\-#\ ##0;&quot;–&quot;"/>
    <numFmt numFmtId="165" formatCode="0.000;\-0.000;&quot;–&quot;"/>
    <numFmt numFmtId="166" formatCode="#\ ##0.00;\-#\ ##0.00;&quot;–&quot;"/>
  </numFmts>
  <fonts count="9" x14ac:knownFonts="1">
    <font>
      <sz val="11"/>
      <color theme="1"/>
      <name val="Calibri"/>
      <family val="2"/>
      <scheme val="minor"/>
    </font>
    <font>
      <b/>
      <sz val="15"/>
      <color rgb="FF1F3864"/>
      <name val="Calibri"/>
    </font>
    <font>
      <i/>
      <sz val="11"/>
      <color rgb="FF595959"/>
      <name val="Calibri"/>
    </font>
    <font>
      <b/>
      <sz val="12"/>
      <color rgb="FF1F3864"/>
      <name val="Calibri"/>
    </font>
    <font>
      <b/>
      <sz val="14"/>
      <name val="Calibri"/>
    </font>
    <font>
      <b/>
      <sz val="11"/>
      <color rgb="FFFFFFFF"/>
      <name val="Calibri"/>
    </font>
    <font>
      <b/>
      <sz val="11"/>
      <name val="Calibri"/>
    </font>
    <font>
      <sz val="11"/>
      <name val="Calibri"/>
    </font>
    <font>
      <sz val="11"/>
      <color rgb="FFC00000"/>
      <name val="Calibri"/>
    </font>
  </fonts>
  <fills count="11">
    <fill>
      <patternFill patternType="none"/>
    </fill>
    <fill>
      <patternFill patternType="gray125"/>
    </fill>
    <fill>
      <patternFill patternType="solid">
        <fgColor rgb="FFD9E1F2"/>
      </patternFill>
    </fill>
    <fill>
      <patternFill patternType="solid">
        <fgColor rgb="FFFFF2CC"/>
      </patternFill>
    </fill>
    <fill>
      <patternFill patternType="solid">
        <fgColor rgb="FF1F3864"/>
      </patternFill>
    </fill>
    <fill>
      <patternFill patternType="solid">
        <fgColor rgb="FFDDEBF7"/>
      </patternFill>
    </fill>
    <fill>
      <patternFill patternType="solid">
        <fgColor rgb="FFFCE4D6"/>
      </patternFill>
    </fill>
    <fill>
      <patternFill patternType="solid">
        <fgColor rgb="FFE2EFDA"/>
      </patternFill>
    </fill>
    <fill>
      <patternFill patternType="solid">
        <fgColor rgb="FF2F5597"/>
      </patternFill>
    </fill>
    <fill>
      <patternFill patternType="solid">
        <fgColor rgb="FFC55A11"/>
      </patternFill>
    </fill>
    <fill>
      <patternFill patternType="solid">
        <fgColor rgb="FF54823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4" fillId="0" borderId="0" xfId="0" applyFont="1"/>
    <xf numFmtId="0" fontId="5" fillId="4"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6" fillId="2" borderId="0" xfId="0" applyFont="1" applyFill="1"/>
    <xf numFmtId="0" fontId="0" fillId="2" borderId="0" xfId="0" applyFill="1"/>
    <xf numFmtId="0" fontId="0" fillId="0" borderId="1" xfId="0" applyBorder="1"/>
    <xf numFmtId="164" fontId="6" fillId="0" borderId="1" xfId="0" applyNumberFormat="1" applyFont="1" applyBorder="1"/>
    <xf numFmtId="164" fontId="0" fillId="0" borderId="1" xfId="0" applyNumberFormat="1" applyBorder="1"/>
    <xf numFmtId="165" fontId="0" fillId="0" borderId="1" xfId="0" applyNumberFormat="1" applyBorder="1"/>
    <xf numFmtId="166" fontId="0" fillId="0" borderId="1" xfId="0" applyNumberFormat="1" applyBorder="1"/>
    <xf numFmtId="0" fontId="0" fillId="7" borderId="1" xfId="0" applyFill="1" applyBorder="1"/>
    <xf numFmtId="0" fontId="0" fillId="0" borderId="1" xfId="0" applyBorder="1" applyAlignment="1">
      <alignment vertical="top" wrapText="1"/>
    </xf>
    <xf numFmtId="164" fontId="6" fillId="3" borderId="1" xfId="0" applyNumberFormat="1" applyFont="1" applyFill="1" applyBorder="1" applyAlignment="1">
      <alignment vertical="top" wrapText="1"/>
    </xf>
    <xf numFmtId="164" fontId="0" fillId="0" borderId="1" xfId="0" applyNumberFormat="1" applyBorder="1" applyAlignment="1">
      <alignment vertical="top" wrapText="1"/>
    </xf>
    <xf numFmtId="164" fontId="0" fillId="3" borderId="1" xfId="0" applyNumberFormat="1" applyFill="1" applyBorder="1" applyAlignment="1">
      <alignment vertical="top" wrapText="1"/>
    </xf>
    <xf numFmtId="164" fontId="6" fillId="5" borderId="1" xfId="0" applyNumberFormat="1" applyFont="1" applyFill="1" applyBorder="1" applyAlignment="1">
      <alignment vertical="top" wrapText="1"/>
    </xf>
    <xf numFmtId="0" fontId="6" fillId="0" borderId="0" xfId="0" applyFont="1"/>
    <xf numFmtId="0" fontId="7" fillId="0" borderId="0" xfId="0" applyFont="1"/>
    <xf numFmtId="164" fontId="6" fillId="7" borderId="1" xfId="0" applyNumberFormat="1" applyFont="1" applyFill="1" applyBorder="1" applyAlignment="1">
      <alignment vertical="top" wrapText="1"/>
    </xf>
    <xf numFmtId="0" fontId="8" fillId="0" borderId="0" xfId="0" applyFont="1"/>
    <xf numFmtId="1" fontId="6" fillId="3" borderId="1" xfId="0" applyNumberFormat="1" applyFont="1" applyFill="1" applyBorder="1"/>
    <xf numFmtId="9" fontId="6" fillId="3" borderId="1" xfId="0" applyNumberFormat="1" applyFont="1" applyFill="1" applyBorder="1"/>
    <xf numFmtId="0" fontId="6" fillId="5" borderId="0" xfId="0" applyFont="1" applyFill="1"/>
    <xf numFmtId="0" fontId="0" fillId="0" borderId="0" xfId="0"/>
    <xf numFmtId="0" fontId="0" fillId="0" borderId="0" xfId="0" applyAlignment="1">
      <alignment wrapText="1"/>
    </xf>
    <xf numFmtId="0" fontId="6" fillId="6" borderId="0" xfId="0" applyFont="1" applyFill="1"/>
    <xf numFmtId="0" fontId="6" fillId="7" borderId="0" xfId="0" applyFont="1" applyFill="1"/>
  </cellXfs>
  <cellStyles count="1">
    <cellStyle name="Обычный" xfId="0" builtinId="0"/>
  </cellStyles>
  <dxfs count="8">
    <dxf>
      <fill>
        <patternFill patternType="solid">
          <fgColor rgb="FFFCE4D6"/>
          <bgColor rgb="FFFCE4D6"/>
        </patternFill>
      </fill>
    </dxf>
    <dxf>
      <fill>
        <patternFill patternType="solid">
          <fgColor rgb="FFC6E0B4"/>
          <bgColor rgb="FFC6E0B4"/>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9"/>
  <sheetViews>
    <sheetView tabSelected="1" workbookViewId="0"/>
  </sheetViews>
  <sheetFormatPr defaultRowHeight="15" x14ac:dyDescent="0.25"/>
  <cols>
    <col min="1" max="1" width="4" customWidth="1"/>
    <col min="2" max="2" width="130" customWidth="1"/>
  </cols>
  <sheetData>
    <row r="1" spans="2:2" ht="19.5" x14ac:dyDescent="0.25">
      <c r="B1" s="1" t="s">
        <v>0</v>
      </c>
    </row>
    <row r="2" spans="2:2" ht="30" customHeight="1" x14ac:dyDescent="0.25">
      <c r="B2" s="2" t="s">
        <v>1</v>
      </c>
    </row>
    <row r="3" spans="2:2" ht="15.75" x14ac:dyDescent="0.25">
      <c r="B3" s="3" t="s">
        <v>2</v>
      </c>
    </row>
    <row r="4" spans="2:2" ht="30" customHeight="1" x14ac:dyDescent="0.25">
      <c r="B4" s="4" t="s">
        <v>3</v>
      </c>
    </row>
    <row r="5" spans="2:2" ht="15" customHeight="1" x14ac:dyDescent="0.25">
      <c r="B5" s="4" t="s">
        <v>4</v>
      </c>
    </row>
    <row r="6" spans="2:2" ht="30" customHeight="1" x14ac:dyDescent="0.25">
      <c r="B6" s="4" t="s">
        <v>5</v>
      </c>
    </row>
    <row r="7" spans="2:2" ht="45" customHeight="1" x14ac:dyDescent="0.25">
      <c r="B7" s="4" t="s">
        <v>6</v>
      </c>
    </row>
    <row r="8" spans="2:2" ht="15" customHeight="1" x14ac:dyDescent="0.25">
      <c r="B8" s="4" t="s">
        <v>7</v>
      </c>
    </row>
    <row r="9" spans="2:2" ht="15.75" x14ac:dyDescent="0.25">
      <c r="B9" s="3" t="s">
        <v>8</v>
      </c>
    </row>
    <row r="10" spans="2:2" ht="30" customHeight="1" x14ac:dyDescent="0.25">
      <c r="B10" s="4" t="s">
        <v>9</v>
      </c>
    </row>
    <row r="11" spans="2:2" ht="30" customHeight="1" x14ac:dyDescent="0.25">
      <c r="B11" s="4" t="s">
        <v>10</v>
      </c>
    </row>
    <row r="12" spans="2:2" ht="30" customHeight="1" x14ac:dyDescent="0.25">
      <c r="B12" s="4" t="s">
        <v>11</v>
      </c>
    </row>
    <row r="13" spans="2:2" ht="60" customHeight="1" x14ac:dyDescent="0.25">
      <c r="B13" s="4" t="s">
        <v>12</v>
      </c>
    </row>
    <row r="14" spans="2:2" ht="15" customHeight="1" x14ac:dyDescent="0.25">
      <c r="B14" s="4" t="s">
        <v>13</v>
      </c>
    </row>
    <row r="15" spans="2:2" ht="15.75" x14ac:dyDescent="0.25">
      <c r="B15" s="3" t="s">
        <v>14</v>
      </c>
    </row>
    <row r="16" spans="2:2" ht="30" customHeight="1" x14ac:dyDescent="0.25">
      <c r="B16" s="4" t="s">
        <v>15</v>
      </c>
    </row>
    <row r="17" spans="2:2" ht="30" customHeight="1" x14ac:dyDescent="0.25">
      <c r="B17" s="4" t="s">
        <v>16</v>
      </c>
    </row>
    <row r="18" spans="2:2" ht="30" customHeight="1" x14ac:dyDescent="0.25">
      <c r="B18" s="4" t="s">
        <v>17</v>
      </c>
    </row>
    <row r="19" spans="2:2" ht="30" customHeight="1" x14ac:dyDescent="0.25">
      <c r="B19" s="4" t="s">
        <v>18</v>
      </c>
    </row>
    <row r="20" spans="2:2" ht="30" customHeight="1" x14ac:dyDescent="0.25">
      <c r="B20" s="4" t="s">
        <v>19</v>
      </c>
    </row>
    <row r="21" spans="2:2" ht="15.75" x14ac:dyDescent="0.25">
      <c r="B21" s="3" t="s">
        <v>20</v>
      </c>
    </row>
    <row r="22" spans="2:2" ht="30" customHeight="1" x14ac:dyDescent="0.25">
      <c r="B22" s="4" t="s">
        <v>21</v>
      </c>
    </row>
    <row r="23" spans="2:2" ht="30" customHeight="1" x14ac:dyDescent="0.25">
      <c r="B23" s="4" t="s">
        <v>22</v>
      </c>
    </row>
    <row r="24" spans="2:2" ht="30" customHeight="1" x14ac:dyDescent="0.25">
      <c r="B24" s="4" t="s">
        <v>23</v>
      </c>
    </row>
    <row r="25" spans="2:2" ht="15.75" x14ac:dyDescent="0.25">
      <c r="B25" s="3" t="s">
        <v>24</v>
      </c>
    </row>
    <row r="26" spans="2:2" ht="30" customHeight="1" x14ac:dyDescent="0.25">
      <c r="B26" s="4" t="s">
        <v>25</v>
      </c>
    </row>
    <row r="27" spans="2:2" ht="15" customHeight="1" x14ac:dyDescent="0.25">
      <c r="B27" s="4" t="s">
        <v>26</v>
      </c>
    </row>
    <row r="28" spans="2:2" ht="15.75" x14ac:dyDescent="0.25">
      <c r="B28" s="3" t="s">
        <v>27</v>
      </c>
    </row>
    <row r="29" spans="2:2" ht="30" customHeight="1" x14ac:dyDescent="0.25">
      <c r="B29" s="5"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419"/>
  <sheetViews>
    <sheetView workbookViewId="0">
      <pane xSplit="2" ySplit="4" topLeftCell="C5" activePane="bottomRight" state="frozen"/>
      <selection pane="topRight"/>
      <selection pane="bottomLeft"/>
      <selection pane="bottomRight"/>
    </sheetView>
  </sheetViews>
  <sheetFormatPr defaultRowHeight="15" x14ac:dyDescent="0.25"/>
  <cols>
    <col min="1" max="1" width="9" customWidth="1"/>
    <col min="2" max="2" width="62" customWidth="1"/>
    <col min="3" max="3" width="8" customWidth="1"/>
    <col min="4" max="4" width="6" customWidth="1"/>
    <col min="5" max="5" width="22" customWidth="1"/>
    <col min="6" max="8" width="12" customWidth="1"/>
    <col min="9" max="9" width="14" customWidth="1"/>
    <col min="10" max="10" width="12" customWidth="1"/>
    <col min="11" max="11" width="14" customWidth="1"/>
    <col min="12" max="12" width="11" customWidth="1"/>
    <col min="13" max="13" width="10" customWidth="1"/>
    <col min="14" max="16" width="11" customWidth="1"/>
    <col min="17" max="17" width="12" customWidth="1"/>
    <col min="18" max="18" width="16" customWidth="1"/>
    <col min="19" max="20" width="13" hidden="1" customWidth="1"/>
  </cols>
  <sheetData>
    <row r="1" spans="1:20" ht="18.75" x14ac:dyDescent="0.3">
      <c r="A1" s="6" t="s">
        <v>29</v>
      </c>
    </row>
    <row r="2" spans="1:20" ht="30" customHeight="1" x14ac:dyDescent="0.25">
      <c r="A2" s="32" t="s">
        <v>30</v>
      </c>
      <c r="B2" s="31"/>
      <c r="C2" s="31"/>
      <c r="D2" s="31"/>
      <c r="E2" s="31"/>
      <c r="F2" s="31"/>
      <c r="G2" s="31"/>
      <c r="H2" s="31"/>
      <c r="I2" s="31"/>
      <c r="J2" s="31"/>
      <c r="K2" s="31"/>
      <c r="L2" s="31"/>
      <c r="M2" s="31"/>
      <c r="N2" s="31"/>
      <c r="O2" s="31"/>
      <c r="P2" s="31"/>
      <c r="Q2" s="31"/>
      <c r="R2" s="31"/>
    </row>
    <row r="3" spans="1:20" x14ac:dyDescent="0.25">
      <c r="F3" s="30" t="s">
        <v>31</v>
      </c>
      <c r="G3" s="31"/>
      <c r="H3" s="33" t="s">
        <v>32</v>
      </c>
      <c r="I3" s="31"/>
      <c r="J3" s="31"/>
      <c r="K3" s="31"/>
      <c r="L3" s="34" t="s">
        <v>33</v>
      </c>
      <c r="M3" s="31"/>
      <c r="N3" s="31"/>
      <c r="O3" s="31"/>
      <c r="P3" s="31"/>
      <c r="Q3" s="31"/>
    </row>
    <row r="4" spans="1:20" ht="110.1" customHeight="1" x14ac:dyDescent="0.25">
      <c r="A4" s="7" t="s">
        <v>34</v>
      </c>
      <c r="B4" s="7" t="s">
        <v>35</v>
      </c>
      <c r="C4" s="7" t="s">
        <v>36</v>
      </c>
      <c r="D4" s="7" t="s">
        <v>37</v>
      </c>
      <c r="E4" s="7" t="s">
        <v>38</v>
      </c>
      <c r="F4" s="8" t="s">
        <v>39</v>
      </c>
      <c r="G4" s="8" t="s">
        <v>40</v>
      </c>
      <c r="H4" s="9" t="s">
        <v>41</v>
      </c>
      <c r="I4" s="9" t="s">
        <v>42</v>
      </c>
      <c r="J4" s="9" t="s">
        <v>43</v>
      </c>
      <c r="K4" s="9" t="s">
        <v>44</v>
      </c>
      <c r="L4" s="10" t="s">
        <v>45</v>
      </c>
      <c r="M4" s="10" t="s">
        <v>46</v>
      </c>
      <c r="N4" s="10" t="s">
        <v>47</v>
      </c>
      <c r="O4" s="10" t="s">
        <v>48</v>
      </c>
      <c r="P4" s="10" t="s">
        <v>49</v>
      </c>
      <c r="Q4" s="10" t="s">
        <v>50</v>
      </c>
      <c r="R4" s="7" t="s">
        <v>51</v>
      </c>
    </row>
    <row r="5" spans="1:20" x14ac:dyDescent="0.25">
      <c r="A5" s="11" t="s">
        <v>52</v>
      </c>
      <c r="B5" s="12"/>
      <c r="C5" s="12"/>
      <c r="D5" s="12"/>
      <c r="E5" s="12"/>
      <c r="F5" s="12"/>
      <c r="G5" s="12"/>
      <c r="H5" s="12"/>
      <c r="I5" s="12"/>
      <c r="J5" s="12"/>
      <c r="K5" s="12"/>
      <c r="L5" s="12"/>
      <c r="M5" s="12"/>
      <c r="N5" s="12"/>
      <c r="O5" s="12"/>
      <c r="P5" s="12"/>
      <c r="Q5" s="12"/>
      <c r="R5" s="12"/>
    </row>
    <row r="6" spans="1:20" x14ac:dyDescent="0.25">
      <c r="A6" s="13" t="s">
        <v>53</v>
      </c>
      <c r="B6" s="13" t="s">
        <v>54</v>
      </c>
      <c r="C6" s="13" t="s">
        <v>55</v>
      </c>
      <c r="D6" s="13" t="s">
        <v>56</v>
      </c>
      <c r="E6" s="13" t="str">
        <f>IFERROR(INDEX('Почасовка — ставки и план'!$B$5:$B$24,MATCH(D6,'Почасовка — ставки и план'!$A$5:$A$24,0)),"Аренда техники / механизмы")</f>
        <v>Дорожный рабочий / благоустройство</v>
      </c>
      <c r="F6" s="14">
        <v>3500</v>
      </c>
      <c r="G6" s="14">
        <v>4025</v>
      </c>
      <c r="H6" s="15">
        <v>2100</v>
      </c>
      <c r="I6" s="15">
        <f>IF(OR(H6="",F6=""),"",MAX(H6,MIN(ROUND(H6*(1+Параметры!$B$5),IF(H6*(1+Параметры!$B$5)&gt;=1000,-1,0)),ROUND(F6*Параметры!$B$6,IF(F6*Параметры!$B$6&gt;=1000,-1,0)))))</f>
        <v>2420</v>
      </c>
      <c r="J6" s="15">
        <v>2415</v>
      </c>
      <c r="K6" s="15">
        <f>IF(OR(J6="",G6=""),"",MAX(J6,MIN(ROUND(J6*(1+Параметры!$B$5),IF(J6*(1+Параметры!$B$5)&gt;=1000,-1,0)),ROUND(G6*Параметры!$B$6,IF(G6*Параметры!$B$6&gt;=1000,-1,0)))))</f>
        <v>2780</v>
      </c>
      <c r="L6" s="16">
        <v>3.5</v>
      </c>
      <c r="M6" s="17">
        <f t="shared" ref="M6:M14" si="0">IF(OR(L6="",L6=0),"",1/L6)</f>
        <v>0.2857142857142857</v>
      </c>
      <c r="N6" s="17">
        <f>IF(OR(L6="",L6=0),"",Параметры!$B$3/L6)</f>
        <v>2.2857142857142856</v>
      </c>
      <c r="O6" s="15">
        <f>IF(L6="","",IFERROR(INDEX('Почасовка — ставки и план'!$D$5:$D$24,MATCH($D6,'Почасовка — ставки и план'!$A$5:$A$24,0)),""))</f>
        <v>650</v>
      </c>
      <c r="P6" s="15">
        <f>IF(L6="","",IFERROR(INDEX('Почасовка — ставки и план'!$E$5:$E$24,MATCH($D6,'Почасовка — ставки и план'!$A$5:$A$24,0)),""))</f>
        <v>780</v>
      </c>
      <c r="Q6" s="15">
        <f t="shared" ref="Q6:Q14" si="1">IF(OR(L6="",O6=""),"",ROUND(L6*O6,0))</f>
        <v>2275</v>
      </c>
      <c r="R6" s="13" t="str">
        <f>IF(D6="TEX","аренда техники — сделка/счёт",IF(OR(Q6="",H6="",H6=0),"—",IF(Q6&lt;H6*(1-Параметры!$B$7),"почасовка",IF(Q6&gt;H6*(1+Параметры!$B$7),"сделка","любой способ"))))</f>
        <v>любой способ</v>
      </c>
      <c r="S6">
        <v>0</v>
      </c>
      <c r="T6">
        <v>0</v>
      </c>
    </row>
    <row r="7" spans="1:20" x14ac:dyDescent="0.25">
      <c r="A7" s="13" t="s">
        <v>57</v>
      </c>
      <c r="B7" s="13" t="s">
        <v>58</v>
      </c>
      <c r="C7" s="13" t="s">
        <v>59</v>
      </c>
      <c r="D7" s="13" t="s">
        <v>60</v>
      </c>
      <c r="E7" s="13" t="str">
        <f>IFERROR(INDEX('Почасовка — ставки и план'!$B$5:$B$24,MATCH(D7,'Почасовка — ставки и план'!$A$5:$A$24,0)),"Аренда техники / механизмы")</f>
        <v>Разнорабочий / демонтажник</v>
      </c>
      <c r="F7" s="14">
        <v>1000</v>
      </c>
      <c r="G7" s="14">
        <v>1300</v>
      </c>
      <c r="H7" s="15">
        <v>600</v>
      </c>
      <c r="I7" s="15">
        <f>IF(OR(H7="",F7=""),"",MAX(H7,MIN(ROUND(H7*(1+Параметры!$B$5),IF(H7*(1+Параметры!$B$5)&gt;=1000,-1,0)),ROUND(F7*Параметры!$B$6,IF(F7*Параметры!$B$6&gt;=1000,-1,0)))))</f>
        <v>690</v>
      </c>
      <c r="J7" s="15">
        <v>768</v>
      </c>
      <c r="K7" s="15">
        <f>IF(OR(J7="",G7=""),"",MAX(J7,MIN(ROUND(J7*(1+Параметры!$B$5),IF(J7*(1+Параметры!$B$5)&gt;=1000,-1,0)),ROUND(G7*Параметры!$B$6,IF(G7*Параметры!$B$6&gt;=1000,-1,0)))))</f>
        <v>883</v>
      </c>
      <c r="L7" s="16">
        <v>1.2</v>
      </c>
      <c r="M7" s="17">
        <f t="shared" si="0"/>
        <v>0.83333333333333337</v>
      </c>
      <c r="N7" s="17">
        <f>IF(OR(L7="",L7=0),"",Параметры!$B$3/L7)</f>
        <v>6.666666666666667</v>
      </c>
      <c r="O7" s="15">
        <f>IF(L7="","",IFERROR(INDEX('Почасовка — ставки и план'!$D$5:$D$24,MATCH($D7,'Почасовка — ставки и план'!$A$5:$A$24,0)),""))</f>
        <v>550</v>
      </c>
      <c r="P7" s="15">
        <f>IF(L7="","",IFERROR(INDEX('Почасовка — ставки и план'!$E$5:$E$24,MATCH($D7,'Почасовка — ставки и план'!$A$5:$A$24,0)),""))</f>
        <v>660</v>
      </c>
      <c r="Q7" s="15">
        <f t="shared" si="1"/>
        <v>660</v>
      </c>
      <c r="R7" s="13" t="str">
        <f>IF(D7="TEX","аренда техники — сделка/счёт",IF(OR(Q7="",H7="",H7=0),"—",IF(Q7&lt;H7*(1-Параметры!$B$7),"почасовка",IF(Q7&gt;H7*(1+Параметры!$B$7),"сделка","любой способ"))))</f>
        <v>любой способ</v>
      </c>
      <c r="S7">
        <v>0</v>
      </c>
      <c r="T7">
        <v>0</v>
      </c>
    </row>
    <row r="8" spans="1:20" x14ac:dyDescent="0.25">
      <c r="A8" s="13" t="s">
        <v>61</v>
      </c>
      <c r="B8" s="13" t="s">
        <v>62</v>
      </c>
      <c r="C8" s="13" t="s">
        <v>63</v>
      </c>
      <c r="D8" s="13" t="s">
        <v>64</v>
      </c>
      <c r="E8" s="13" t="str">
        <f>IFERROR(INDEX('Почасовка — ставки и план'!$B$5:$B$24,MATCH(D8,'Почасовка — ставки и план'!$A$5:$A$24,0)),"Аренда техники / механизмы")</f>
        <v>Сварщик / монтажник МК</v>
      </c>
      <c r="F8" s="14">
        <v>12000</v>
      </c>
      <c r="G8" s="14">
        <v>14400</v>
      </c>
      <c r="H8" s="15">
        <v>3900</v>
      </c>
      <c r="I8" s="15">
        <f>IF(OR(H8="",F8=""),"",MAX(H8,MIN(ROUND(H8*(1+Параметры!$B$5),IF(H8*(1+Параметры!$B$5)&gt;=1000,-1,0)),ROUND(F8*Параметры!$B$6,IF(F8*Параметры!$B$6&gt;=1000,-1,0)))))</f>
        <v>4490</v>
      </c>
      <c r="J8" s="15">
        <v>4485</v>
      </c>
      <c r="K8" s="15">
        <f>IF(OR(J8="",G8=""),"",MAX(J8,MIN(ROUND(J8*(1+Параметры!$B$5),IF(J8*(1+Параметры!$B$5)&gt;=1000,-1,0)),ROUND(G8*Параметры!$B$6,IF(G8*Параметры!$B$6&gt;=1000,-1,0)))))</f>
        <v>5160</v>
      </c>
      <c r="L8" s="16">
        <v>10</v>
      </c>
      <c r="M8" s="17">
        <f t="shared" si="0"/>
        <v>0.1</v>
      </c>
      <c r="N8" s="17">
        <f>IF(OR(L8="",L8=0),"",Параметры!$B$3/L8)</f>
        <v>0.8</v>
      </c>
      <c r="O8" s="15">
        <f>IF(L8="","",IFERROR(INDEX('Почасовка — ставки и план'!$D$5:$D$24,MATCH($D8,'Почасовка — ставки и план'!$A$5:$A$24,0)),""))</f>
        <v>900</v>
      </c>
      <c r="P8" s="15">
        <f>IF(L8="","",IFERROR(INDEX('Почасовка — ставки и план'!$E$5:$E$24,MATCH($D8,'Почасовка — ставки и план'!$A$5:$A$24,0)),""))</f>
        <v>1080</v>
      </c>
      <c r="Q8" s="15">
        <f t="shared" si="1"/>
        <v>9000</v>
      </c>
      <c r="R8" s="13" t="str">
        <f>IF(D8="TEX","аренда техники — сделка/счёт",IF(OR(Q8="",H8="",H8=0),"—",IF(Q8&lt;H8*(1-Параметры!$B$7),"почасовка",IF(Q8&gt;H8*(1+Параметры!$B$7),"сделка","любой способ"))))</f>
        <v>сделка</v>
      </c>
      <c r="S8">
        <v>0.84615384615384626</v>
      </c>
      <c r="T8">
        <v>0.9264214046822743</v>
      </c>
    </row>
    <row r="9" spans="1:20" x14ac:dyDescent="0.25">
      <c r="A9" s="13" t="s">
        <v>65</v>
      </c>
      <c r="B9" s="13" t="s">
        <v>66</v>
      </c>
      <c r="C9" s="13" t="s">
        <v>55</v>
      </c>
      <c r="D9" s="13" t="s">
        <v>60</v>
      </c>
      <c r="E9" s="13" t="str">
        <f>IFERROR(INDEX('Почасовка — ставки и план'!$B$5:$B$24,MATCH(D9,'Почасовка — ставки и план'!$A$5:$A$24,0)),"Аренда техники / механизмы")</f>
        <v>Разнорабочий / демонтажник</v>
      </c>
      <c r="F9" s="14">
        <v>4767</v>
      </c>
      <c r="G9" s="14">
        <v>5720</v>
      </c>
      <c r="H9" s="15">
        <v>2500</v>
      </c>
      <c r="I9" s="15">
        <f>IF(OR(H9="",F9=""),"",MAX(H9,MIN(ROUND(H9*(1+Параметры!$B$5),IF(H9*(1+Параметры!$B$5)&gt;=1000,-1,0)),ROUND(F9*Параметры!$B$6,IF(F9*Параметры!$B$6&gt;=1000,-1,0)))))</f>
        <v>2880</v>
      </c>
      <c r="J9" s="15">
        <v>2875</v>
      </c>
      <c r="K9" s="15">
        <f>IF(OR(J9="",G9=""),"",MAX(J9,MIN(ROUND(J9*(1+Параметры!$B$5),IF(J9*(1+Параметры!$B$5)&gt;=1000,-1,0)),ROUND(G9*Параметры!$B$6,IF(G9*Параметры!$B$6&gt;=1000,-1,0)))))</f>
        <v>3310</v>
      </c>
      <c r="L9" s="16">
        <v>6.5</v>
      </c>
      <c r="M9" s="17">
        <f t="shared" si="0"/>
        <v>0.15384615384615385</v>
      </c>
      <c r="N9" s="17">
        <f>IF(OR(L9="",L9=0),"",Параметры!$B$3/L9)</f>
        <v>1.2307692307692308</v>
      </c>
      <c r="O9" s="15">
        <f>IF(L9="","",IFERROR(INDEX('Почасовка — ставки и план'!$D$5:$D$24,MATCH($D9,'Почасовка — ставки и план'!$A$5:$A$24,0)),""))</f>
        <v>550</v>
      </c>
      <c r="P9" s="15">
        <f>IF(L9="","",IFERROR(INDEX('Почасовка — ставки и план'!$E$5:$E$24,MATCH($D9,'Почасовка — ставки и план'!$A$5:$A$24,0)),""))</f>
        <v>660</v>
      </c>
      <c r="Q9" s="15">
        <f t="shared" si="1"/>
        <v>3575</v>
      </c>
      <c r="R9" s="13" t="str">
        <f>IF(D9="TEX","аренда техники — сделка/счёт",IF(OR(Q9="",H9="",H9=0),"—",IF(Q9&lt;H9*(1-Параметры!$B$7),"почасовка",IF(Q9&gt;H9*(1+Параметры!$B$7),"сделка","любой способ"))))</f>
        <v>сделка</v>
      </c>
      <c r="S9">
        <v>0.13500000000000001</v>
      </c>
      <c r="T9">
        <v>0.18426501035196699</v>
      </c>
    </row>
    <row r="10" spans="1:20" x14ac:dyDescent="0.25">
      <c r="A10" s="13" t="s">
        <v>67</v>
      </c>
      <c r="B10" s="13" t="s">
        <v>68</v>
      </c>
      <c r="C10" s="13" t="s">
        <v>69</v>
      </c>
      <c r="D10" s="13" t="s">
        <v>56</v>
      </c>
      <c r="E10" s="13" t="str">
        <f>IFERROR(INDEX('Почасовка — ставки и план'!$B$5:$B$24,MATCH(D10,'Почасовка — ставки и план'!$A$5:$A$24,0)),"Аренда техники / механизмы")</f>
        <v>Дорожный рабочий / благоустройство</v>
      </c>
      <c r="F10" s="14">
        <v>350</v>
      </c>
      <c r="G10" s="14">
        <v>402</v>
      </c>
      <c r="H10" s="15">
        <v>200</v>
      </c>
      <c r="I10" s="15">
        <f>IF(OR(H10="",F10=""),"",MAX(H10,MIN(ROUND(H10*(1+Параметры!$B$5),IF(H10*(1+Параметры!$B$5)&gt;=1000,-1,0)),ROUND(F10*Параметры!$B$6,IF(F10*Параметры!$B$6&gt;=1000,-1,0)))))</f>
        <v>230</v>
      </c>
      <c r="J10" s="15">
        <v>230</v>
      </c>
      <c r="K10" s="15">
        <f>IF(OR(J10="",G10=""),"",MAX(J10,MIN(ROUND(J10*(1+Параметры!$B$5),IF(J10*(1+Параметры!$B$5)&gt;=1000,-1,0)),ROUND(G10*Параметры!$B$6,IF(G10*Параметры!$B$6&gt;=1000,-1,0)))))</f>
        <v>265</v>
      </c>
      <c r="L10" s="16">
        <v>0.35</v>
      </c>
      <c r="M10" s="17">
        <f t="shared" si="0"/>
        <v>2.8571428571428572</v>
      </c>
      <c r="N10" s="17">
        <f>IF(OR(L10="",L10=0),"",Параметры!$B$3/L10)</f>
        <v>22.857142857142858</v>
      </c>
      <c r="O10" s="15">
        <f>IF(L10="","",IFERROR(INDEX('Почасовка — ставки и план'!$D$5:$D$24,MATCH($D10,'Почасовка — ставки и план'!$A$5:$A$24,0)),""))</f>
        <v>650</v>
      </c>
      <c r="P10" s="15">
        <f>IF(L10="","",IFERROR(INDEX('Почасовка — ставки и план'!$E$5:$E$24,MATCH($D10,'Почасовка — ставки и план'!$A$5:$A$24,0)),""))</f>
        <v>780</v>
      </c>
      <c r="Q10" s="15">
        <f t="shared" si="1"/>
        <v>228</v>
      </c>
      <c r="R10" s="13" t="str">
        <f>IF(D10="TEX","аренда техники — сделка/счёт",IF(OR(Q10="",H10="",H10=0),"—",IF(Q10&lt;H10*(1-Параметры!$B$7),"почасовка",IF(Q10&gt;H10*(1+Параметры!$B$7),"сделка","любой способ"))))</f>
        <v>сделка</v>
      </c>
      <c r="S10">
        <v>0</v>
      </c>
      <c r="T10">
        <v>0</v>
      </c>
    </row>
    <row r="11" spans="1:20" x14ac:dyDescent="0.25">
      <c r="A11" s="13" t="s">
        <v>70</v>
      </c>
      <c r="B11" s="13" t="s">
        <v>71</v>
      </c>
      <c r="C11" s="13" t="s">
        <v>72</v>
      </c>
      <c r="D11" s="13" t="s">
        <v>56</v>
      </c>
      <c r="E11" s="13" t="str">
        <f>IFERROR(INDEX('Почасовка — ставки и план'!$B$5:$B$24,MATCH(D11,'Почасовка — ставки и план'!$A$5:$A$24,0)),"Аренда техники / механизмы")</f>
        <v>Дорожный рабочий / благоустройство</v>
      </c>
      <c r="F11" s="14">
        <v>260</v>
      </c>
      <c r="G11" s="14">
        <v>312</v>
      </c>
      <c r="H11" s="15">
        <v>150</v>
      </c>
      <c r="I11" s="15">
        <f>IF(OR(H11="",F11=""),"",MAX(H11,MIN(ROUND(H11*(1+Параметры!$B$5),IF(H11*(1+Параметры!$B$5)&gt;=1000,-1,0)),ROUND(F11*Параметры!$B$6,IF(F11*Параметры!$B$6&gt;=1000,-1,0)))))</f>
        <v>173</v>
      </c>
      <c r="J11" s="15">
        <v>172</v>
      </c>
      <c r="K11" s="15">
        <f>IF(OR(J11="",G11=""),"",MAX(J11,MIN(ROUND(J11*(1+Параметры!$B$5),IF(J11*(1+Параметры!$B$5)&gt;=1000,-1,0)),ROUND(G11*Параметры!$B$6,IF(G11*Параметры!$B$6&gt;=1000,-1,0)))))</f>
        <v>198</v>
      </c>
      <c r="L11" s="16">
        <v>0.3</v>
      </c>
      <c r="M11" s="17">
        <f t="shared" si="0"/>
        <v>3.3333333333333335</v>
      </c>
      <c r="N11" s="17">
        <f>IF(OR(L11="",L11=0),"",Параметры!$B$3/L11)</f>
        <v>26.666666666666668</v>
      </c>
      <c r="O11" s="15">
        <f>IF(L11="","",IFERROR(INDEX('Почасовка — ставки и план'!$D$5:$D$24,MATCH($D11,'Почасовка — ставки и план'!$A$5:$A$24,0)),""))</f>
        <v>650</v>
      </c>
      <c r="P11" s="15">
        <f>IF(L11="","",IFERROR(INDEX('Почасовка — ставки и план'!$E$5:$E$24,MATCH($D11,'Почасовка — ставки и план'!$A$5:$A$24,0)),""))</f>
        <v>780</v>
      </c>
      <c r="Q11" s="15">
        <f t="shared" si="1"/>
        <v>195</v>
      </c>
      <c r="R11" s="13" t="str">
        <f>IF(D11="TEX","аренда техники — сделка/счёт",IF(OR(Q11="",H11="",H11=0),"—",IF(Q11&lt;H11*(1-Параметры!$B$7),"почасовка",IF(Q11&gt;H11*(1+Параметры!$B$7),"сделка","любой способ"))))</f>
        <v>сделка</v>
      </c>
      <c r="S11">
        <v>4.0000000000000042E-2</v>
      </c>
      <c r="T11">
        <v>8.3333333333333259E-2</v>
      </c>
    </row>
    <row r="12" spans="1:20" x14ac:dyDescent="0.25">
      <c r="A12" s="18" t="s">
        <v>73</v>
      </c>
      <c r="B12" s="13" t="s">
        <v>74</v>
      </c>
      <c r="C12" s="13" t="s">
        <v>72</v>
      </c>
      <c r="D12" s="13" t="s">
        <v>56</v>
      </c>
      <c r="E12" s="13" t="str">
        <f>IFERROR(INDEX('Почасовка — ставки и план'!$B$5:$B$24,MATCH(D12,'Почасовка — ставки и план'!$A$5:$A$24,0)),"Аренда техники / механизмы")</f>
        <v>Дорожный рабочий / благоустройство</v>
      </c>
      <c r="F12" s="14">
        <v>200</v>
      </c>
      <c r="G12" s="14">
        <v>230</v>
      </c>
      <c r="H12" s="15">
        <v>120</v>
      </c>
      <c r="I12" s="15">
        <f>IF(OR(H12="",F12=""),"",MAX(H12,MIN(ROUND(H12*(1+Параметры!$B$5),IF(H12*(1+Параметры!$B$5)&gt;=1000,-1,0)),ROUND(F12*Параметры!$B$6,IF(F12*Параметры!$B$6&gt;=1000,-1,0)))))</f>
        <v>138</v>
      </c>
      <c r="J12" s="15">
        <v>138</v>
      </c>
      <c r="K12" s="15">
        <f>IF(OR(J12="",G12=""),"",MAX(J12,MIN(ROUND(J12*(1+Параметры!$B$5),IF(J12*(1+Параметры!$B$5)&gt;=1000,-1,0)),ROUND(G12*Параметры!$B$6,IF(G12*Параметры!$B$6&gt;=1000,-1,0)))))</f>
        <v>159</v>
      </c>
      <c r="L12" s="16">
        <v>0.2</v>
      </c>
      <c r="M12" s="17">
        <f t="shared" si="0"/>
        <v>5</v>
      </c>
      <c r="N12" s="17">
        <f>IF(OR(L12="",L12=0),"",Параметры!$B$3/L12)</f>
        <v>40</v>
      </c>
      <c r="O12" s="15">
        <f>IF(L12="","",IFERROR(INDEX('Почасовка — ставки и план'!$D$5:$D$24,MATCH($D12,'Почасовка — ставки и план'!$A$5:$A$24,0)),""))</f>
        <v>650</v>
      </c>
      <c r="P12" s="15">
        <f>IF(L12="","",IFERROR(INDEX('Почасовка — ставки и план'!$E$5:$E$24,MATCH($D12,'Почасовка — ставки и план'!$A$5:$A$24,0)),""))</f>
        <v>780</v>
      </c>
      <c r="Q12" s="15">
        <f t="shared" si="1"/>
        <v>130</v>
      </c>
      <c r="R12" s="13" t="str">
        <f>IF(D12="TEX","аренда техники — сделка/счёт",IF(OR(Q12="",H12="",H12=0),"—",IF(Q12&lt;H12*(1-Параметры!$B$7),"почасовка",IF(Q12&gt;H12*(1+Параметры!$B$7),"сделка","любой способ"))))</f>
        <v>любой способ</v>
      </c>
      <c r="S12">
        <v>0</v>
      </c>
      <c r="T12">
        <v>0</v>
      </c>
    </row>
    <row r="13" spans="1:20" x14ac:dyDescent="0.25">
      <c r="A13" s="18" t="s">
        <v>75</v>
      </c>
      <c r="B13" s="13" t="s">
        <v>76</v>
      </c>
      <c r="C13" s="13" t="s">
        <v>72</v>
      </c>
      <c r="D13" s="13" t="s">
        <v>56</v>
      </c>
      <c r="E13" s="13" t="str">
        <f>IFERROR(INDEX('Почасовка — ставки и план'!$B$5:$B$24,MATCH(D13,'Почасовка — ставки и план'!$A$5:$A$24,0)),"Аренда техники / механизмы")</f>
        <v>Дорожный рабочий / благоустройство</v>
      </c>
      <c r="F13" s="14">
        <v>460</v>
      </c>
      <c r="G13" s="14">
        <v>529</v>
      </c>
      <c r="H13" s="15">
        <v>280</v>
      </c>
      <c r="I13" s="15">
        <f>IF(OR(H13="",F13=""),"",MAX(H13,MIN(ROUND(H13*(1+Параметры!$B$5),IF(H13*(1+Параметры!$B$5)&gt;=1000,-1,0)),ROUND(F13*Параметры!$B$6,IF(F13*Параметры!$B$6&gt;=1000,-1,0)))))</f>
        <v>322</v>
      </c>
      <c r="J13" s="15">
        <v>322</v>
      </c>
      <c r="K13" s="15">
        <f>IF(OR(J13="",G13=""),"",MAX(J13,MIN(ROUND(J13*(1+Параметры!$B$5),IF(J13*(1+Параметры!$B$5)&gt;=1000,-1,0)),ROUND(G13*Параметры!$B$6,IF(G13*Параметры!$B$6&gt;=1000,-1,0)))))</f>
        <v>370</v>
      </c>
      <c r="L13" s="16">
        <v>0.25</v>
      </c>
      <c r="M13" s="17">
        <f t="shared" si="0"/>
        <v>4</v>
      </c>
      <c r="N13" s="17">
        <f>IF(OR(L13="",L13=0),"",Параметры!$B$3/L13)</f>
        <v>32</v>
      </c>
      <c r="O13" s="15">
        <f>IF(L13="","",IFERROR(INDEX('Почасовка — ставки и план'!$D$5:$D$24,MATCH($D13,'Почасовка — ставки и план'!$A$5:$A$24,0)),""))</f>
        <v>650</v>
      </c>
      <c r="P13" s="15">
        <f>IF(L13="","",IFERROR(INDEX('Почасовка — ставки и план'!$E$5:$E$24,MATCH($D13,'Почасовка — ставки и план'!$A$5:$A$24,0)),""))</f>
        <v>780</v>
      </c>
      <c r="Q13" s="15">
        <f t="shared" si="1"/>
        <v>163</v>
      </c>
      <c r="R13" s="13" t="str">
        <f>IF(D13="TEX","аренда техники — сделка/счёт",IF(OR(Q13="",H13="",H13=0),"—",IF(Q13&lt;H13*(1-Параметры!$B$7),"почасовка",IF(Q13&gt;H13*(1+Параметры!$B$7),"сделка","любой способ"))))</f>
        <v>почасовка</v>
      </c>
      <c r="S13">
        <v>0</v>
      </c>
      <c r="T13">
        <v>0</v>
      </c>
    </row>
    <row r="14" spans="1:20" x14ac:dyDescent="0.25">
      <c r="A14" s="18" t="s">
        <v>77</v>
      </c>
      <c r="B14" s="13" t="s">
        <v>78</v>
      </c>
      <c r="C14" s="13" t="s">
        <v>69</v>
      </c>
      <c r="D14" s="13" t="s">
        <v>64</v>
      </c>
      <c r="E14" s="13" t="str">
        <f>IFERROR(INDEX('Почасовка — ставки и план'!$B$5:$B$24,MATCH(D14,'Почасовка — ставки и план'!$A$5:$A$24,0)),"Аренда техники / механизмы")</f>
        <v>Сварщик / монтажник МК</v>
      </c>
      <c r="F14" s="14">
        <v>480</v>
      </c>
      <c r="G14" s="14">
        <v>576</v>
      </c>
      <c r="H14" s="15">
        <v>180</v>
      </c>
      <c r="I14" s="15">
        <f>IF(OR(H14="",F14=""),"",MAX(H14,MIN(ROUND(H14*(1+Параметры!$B$5),IF(H14*(1+Параметры!$B$5)&gt;=1000,-1,0)),ROUND(F14*Параметры!$B$6,IF(F14*Параметры!$B$6&gt;=1000,-1,0)))))</f>
        <v>207</v>
      </c>
      <c r="J14" s="15">
        <v>207</v>
      </c>
      <c r="K14" s="15">
        <f>IF(OR(J14="",G14=""),"",MAX(J14,MIN(ROUND(J14*(1+Параметры!$B$5),IF(J14*(1+Параметры!$B$5)&gt;=1000,-1,0)),ROUND(G14*Параметры!$B$6,IF(G14*Параметры!$B$6&gt;=1000,-1,0)))))</f>
        <v>238</v>
      </c>
      <c r="L14" s="16">
        <v>0.4</v>
      </c>
      <c r="M14" s="17">
        <f t="shared" si="0"/>
        <v>2.5</v>
      </c>
      <c r="N14" s="17">
        <f>IF(OR(L14="",L14=0),"",Параметры!$B$3/L14)</f>
        <v>20</v>
      </c>
      <c r="O14" s="15">
        <f>IF(L14="","",IFERROR(INDEX('Почасовка — ставки и план'!$D$5:$D$24,MATCH($D14,'Почасовка — ставки и план'!$A$5:$A$24,0)),""))</f>
        <v>900</v>
      </c>
      <c r="P14" s="15">
        <f>IF(L14="","",IFERROR(INDEX('Почасовка — ставки и план'!$E$5:$E$24,MATCH($D14,'Почасовка — ставки и план'!$A$5:$A$24,0)),""))</f>
        <v>1080</v>
      </c>
      <c r="Q14" s="15">
        <f t="shared" si="1"/>
        <v>360</v>
      </c>
      <c r="R14" s="13" t="str">
        <f>IF(D14="TEX","аренда техники — сделка/счёт",IF(OR(Q14="",H14="",H14=0),"—",IF(Q14&lt;H14*(1-Параметры!$B$7),"почасовка",IF(Q14&gt;H14*(1+Параметры!$B$7),"сделка","любой способ"))))</f>
        <v>сделка</v>
      </c>
      <c r="S14">
        <v>0.60000000000000009</v>
      </c>
      <c r="T14">
        <v>0.66956521739130426</v>
      </c>
    </row>
    <row r="15" spans="1:20" x14ac:dyDescent="0.25">
      <c r="A15" s="11" t="s">
        <v>79</v>
      </c>
      <c r="B15" s="12"/>
      <c r="C15" s="12"/>
      <c r="D15" s="12"/>
      <c r="E15" s="12"/>
      <c r="F15" s="12"/>
      <c r="G15" s="12"/>
      <c r="H15" s="12"/>
      <c r="I15" s="12"/>
      <c r="J15" s="12"/>
      <c r="K15" s="12"/>
      <c r="L15" s="12"/>
      <c r="M15" s="12"/>
      <c r="N15" s="12"/>
      <c r="O15" s="12"/>
      <c r="P15" s="12"/>
      <c r="Q15" s="12"/>
      <c r="R15" s="12"/>
    </row>
    <row r="16" spans="1:20" x14ac:dyDescent="0.25">
      <c r="A16" s="13" t="s">
        <v>80</v>
      </c>
      <c r="B16" s="13" t="s">
        <v>81</v>
      </c>
      <c r="C16" s="13" t="s">
        <v>72</v>
      </c>
      <c r="D16" s="13" t="s">
        <v>60</v>
      </c>
      <c r="E16" s="13" t="str">
        <f>IFERROR(INDEX('Почасовка — ставки и план'!$B$5:$B$24,MATCH(D16,'Почасовка — ставки и план'!$A$5:$A$24,0)),"Аренда техники / механизмы")</f>
        <v>Разнорабочий / демонтажник</v>
      </c>
      <c r="F16" s="14">
        <v>300</v>
      </c>
      <c r="G16" s="14">
        <v>345</v>
      </c>
      <c r="H16" s="15">
        <v>180</v>
      </c>
      <c r="I16" s="15">
        <f>IF(OR(H16="",F16=""),"",MAX(H16,MIN(ROUND(H16*(1+Параметры!$B$5),IF(H16*(1+Параметры!$B$5)&gt;=1000,-1,0)),ROUND(F16*Параметры!$B$6,IF(F16*Параметры!$B$6&gt;=1000,-1,0)))))</f>
        <v>207</v>
      </c>
      <c r="J16" s="15">
        <v>207</v>
      </c>
      <c r="K16" s="15">
        <f>IF(OR(J16="",G16=""),"",MAX(J16,MIN(ROUND(J16*(1+Параметры!$B$5),IF(J16*(1+Параметры!$B$5)&gt;=1000,-1,0)),ROUND(G16*Параметры!$B$6,IF(G16*Параметры!$B$6&gt;=1000,-1,0)))))</f>
        <v>238</v>
      </c>
      <c r="L16" s="16">
        <v>0.35</v>
      </c>
      <c r="M16" s="17">
        <f t="shared" ref="M16:M24" si="2">IF(OR(L16="",L16=0),"",1/L16)</f>
        <v>2.8571428571428572</v>
      </c>
      <c r="N16" s="17">
        <f>IF(OR(L16="",L16=0),"",Параметры!$B$3/L16)</f>
        <v>22.857142857142858</v>
      </c>
      <c r="O16" s="15">
        <f>IF(L16="","",IFERROR(INDEX('Почасовка — ставки и план'!$D$5:$D$24,MATCH($D16,'Почасовка — ставки и план'!$A$5:$A$24,0)),""))</f>
        <v>550</v>
      </c>
      <c r="P16" s="15">
        <f>IF(L16="","",IFERROR(INDEX('Почасовка — ставки и план'!$E$5:$E$24,MATCH($D16,'Почасовка — ставки и план'!$A$5:$A$24,0)),""))</f>
        <v>660</v>
      </c>
      <c r="Q16" s="15">
        <f t="shared" ref="Q16:Q24" si="3">IF(OR(L16="",O16=""),"",ROUND(L16*O16,0))</f>
        <v>193</v>
      </c>
      <c r="R16" s="13" t="str">
        <f>IF(D16="TEX","аренда техники — сделка/счёт",IF(OR(Q16="",H16="",H16=0),"—",IF(Q16&lt;H16*(1-Параметры!$B$7),"почасовка",IF(Q16&gt;H16*(1+Параметры!$B$7),"сделка","любой способ"))))</f>
        <v>любой способ</v>
      </c>
      <c r="S16">
        <v>0</v>
      </c>
      <c r="T16">
        <v>0</v>
      </c>
    </row>
    <row r="17" spans="1:20" x14ac:dyDescent="0.25">
      <c r="A17" s="13" t="s">
        <v>82</v>
      </c>
      <c r="B17" s="13" t="s">
        <v>83</v>
      </c>
      <c r="C17" s="13" t="s">
        <v>72</v>
      </c>
      <c r="D17" s="13" t="s">
        <v>60</v>
      </c>
      <c r="E17" s="13" t="str">
        <f>IFERROR(INDEX('Почасовка — ставки и план'!$B$5:$B$24,MATCH(D17,'Почасовка — ставки и план'!$A$5:$A$24,0)),"Аренда техники / механизмы")</f>
        <v>Разнорабочий / демонтажник</v>
      </c>
      <c r="F17" s="14">
        <v>250</v>
      </c>
      <c r="G17" s="14">
        <v>288</v>
      </c>
      <c r="H17" s="15">
        <v>150</v>
      </c>
      <c r="I17" s="15">
        <f>IF(OR(H17="",F17=""),"",MAX(H17,MIN(ROUND(H17*(1+Параметры!$B$5),IF(H17*(1+Параметры!$B$5)&gt;=1000,-1,0)),ROUND(F17*Параметры!$B$6,IF(F17*Параметры!$B$6&gt;=1000,-1,0)))))</f>
        <v>173</v>
      </c>
      <c r="J17" s="15">
        <v>172</v>
      </c>
      <c r="K17" s="15">
        <f>IF(OR(J17="",G17=""),"",MAX(J17,MIN(ROUND(J17*(1+Параметры!$B$5),IF(J17*(1+Параметры!$B$5)&gt;=1000,-1,0)),ROUND(G17*Параметры!$B$6,IF(G17*Параметры!$B$6&gt;=1000,-1,0)))))</f>
        <v>198</v>
      </c>
      <c r="L17" s="16">
        <v>0.25</v>
      </c>
      <c r="M17" s="17">
        <f t="shared" si="2"/>
        <v>4</v>
      </c>
      <c r="N17" s="17">
        <f>IF(OR(L17="",L17=0),"",Параметры!$B$3/L17)</f>
        <v>32</v>
      </c>
      <c r="O17" s="15">
        <f>IF(L17="","",IFERROR(INDEX('Почасовка — ставки и план'!$D$5:$D$24,MATCH($D17,'Почасовка — ставки и план'!$A$5:$A$24,0)),""))</f>
        <v>550</v>
      </c>
      <c r="P17" s="15">
        <f>IF(L17="","",IFERROR(INDEX('Почасовка — ставки и план'!$E$5:$E$24,MATCH($D17,'Почасовка — ставки и план'!$A$5:$A$24,0)),""))</f>
        <v>660</v>
      </c>
      <c r="Q17" s="15">
        <f t="shared" si="3"/>
        <v>138</v>
      </c>
      <c r="R17" s="13" t="str">
        <f>IF(D17="TEX","аренда техники — сделка/счёт",IF(OR(Q17="",H17="",H17=0),"—",IF(Q17&lt;H17*(1-Параметры!$B$7),"почасовка",IF(Q17&gt;H17*(1+Параметры!$B$7),"сделка","любой способ"))))</f>
        <v>любой способ</v>
      </c>
      <c r="S17">
        <v>0</v>
      </c>
      <c r="T17">
        <v>0</v>
      </c>
    </row>
    <row r="18" spans="1:20" x14ac:dyDescent="0.25">
      <c r="A18" s="13" t="s">
        <v>84</v>
      </c>
      <c r="B18" s="13" t="s">
        <v>85</v>
      </c>
      <c r="C18" s="13" t="s">
        <v>72</v>
      </c>
      <c r="D18" s="13" t="s">
        <v>60</v>
      </c>
      <c r="E18" s="13" t="str">
        <f>IFERROR(INDEX('Почасовка — ставки и план'!$B$5:$B$24,MATCH(D18,'Почасовка — ставки и план'!$A$5:$A$24,0)),"Аренда техники / механизмы")</f>
        <v>Разнорабочий / демонтажник</v>
      </c>
      <c r="F18" s="14">
        <v>380</v>
      </c>
      <c r="G18" s="14">
        <v>437</v>
      </c>
      <c r="H18" s="15">
        <v>230</v>
      </c>
      <c r="I18" s="15">
        <f>IF(OR(H18="",F18=""),"",MAX(H18,MIN(ROUND(H18*(1+Параметры!$B$5),IF(H18*(1+Параметры!$B$5)&gt;=1000,-1,0)),ROUND(F18*Параметры!$B$6,IF(F18*Параметры!$B$6&gt;=1000,-1,0)))))</f>
        <v>265</v>
      </c>
      <c r="J18" s="15">
        <v>264</v>
      </c>
      <c r="K18" s="15">
        <f>IF(OR(J18="",G18=""),"",MAX(J18,MIN(ROUND(J18*(1+Параметры!$B$5),IF(J18*(1+Параметры!$B$5)&gt;=1000,-1,0)),ROUND(G18*Параметры!$B$6,IF(G18*Параметры!$B$6&gt;=1000,-1,0)))))</f>
        <v>304</v>
      </c>
      <c r="L18" s="16">
        <v>0.4</v>
      </c>
      <c r="M18" s="17">
        <f t="shared" si="2"/>
        <v>2.5</v>
      </c>
      <c r="N18" s="17">
        <f>IF(OR(L18="",L18=0),"",Параметры!$B$3/L18)</f>
        <v>20</v>
      </c>
      <c r="O18" s="15">
        <f>IF(L18="","",IFERROR(INDEX('Почасовка — ставки и план'!$D$5:$D$24,MATCH($D18,'Почасовка — ставки и план'!$A$5:$A$24,0)),""))</f>
        <v>550</v>
      </c>
      <c r="P18" s="15">
        <f>IF(L18="","",IFERROR(INDEX('Почасовка — ставки и план'!$E$5:$E$24,MATCH($D18,'Почасовка — ставки и план'!$A$5:$A$24,0)),""))</f>
        <v>660</v>
      </c>
      <c r="Q18" s="15">
        <f t="shared" si="3"/>
        <v>220</v>
      </c>
      <c r="R18" s="13" t="str">
        <f>IF(D18="TEX","аренда техники — сделка/счёт",IF(OR(Q18="",H18="",H18=0),"—",IF(Q18&lt;H18*(1-Параметры!$B$7),"почасовка",IF(Q18&gt;H18*(1+Параметры!$B$7),"сделка","любой способ"))))</f>
        <v>любой способ</v>
      </c>
      <c r="S18">
        <v>0</v>
      </c>
      <c r="T18">
        <v>0</v>
      </c>
    </row>
    <row r="19" spans="1:20" x14ac:dyDescent="0.25">
      <c r="A19" s="13" t="s">
        <v>86</v>
      </c>
      <c r="B19" s="13" t="s">
        <v>87</v>
      </c>
      <c r="C19" s="13" t="s">
        <v>72</v>
      </c>
      <c r="D19" s="13" t="s">
        <v>88</v>
      </c>
      <c r="E19" s="13" t="str">
        <f>IFERROR(INDEX('Почасовка — ставки и план'!$B$5:$B$24,MATCH(D19,'Почасовка — ставки и план'!$A$5:$A$24,0)),"Аренда техники / механизмы")</f>
        <v>Кровельщик</v>
      </c>
      <c r="F19" s="14">
        <v>480</v>
      </c>
      <c r="G19" s="14">
        <v>571</v>
      </c>
      <c r="H19" s="15">
        <v>230</v>
      </c>
      <c r="I19" s="15">
        <f>IF(OR(H19="",F19=""),"",MAX(H19,MIN(ROUND(H19*(1+Параметры!$B$5),IF(H19*(1+Параметры!$B$5)&gt;=1000,-1,0)),ROUND(F19*Параметры!$B$6,IF(F19*Параметры!$B$6&gt;=1000,-1,0)))))</f>
        <v>265</v>
      </c>
      <c r="J19" s="15">
        <v>264</v>
      </c>
      <c r="K19" s="15">
        <f>IF(OR(J19="",G19=""),"",MAX(J19,MIN(ROUND(J19*(1+Параметры!$B$5),IF(J19*(1+Параметры!$B$5)&gt;=1000,-1,0)),ROUND(G19*Параметры!$B$6,IF(G19*Параметры!$B$6&gt;=1000,-1,0)))))</f>
        <v>304</v>
      </c>
      <c r="L19" s="16">
        <v>0.45</v>
      </c>
      <c r="M19" s="17">
        <f t="shared" si="2"/>
        <v>2.2222222222222223</v>
      </c>
      <c r="N19" s="17">
        <f>IF(OR(L19="",L19=0),"",Параметры!$B$3/L19)</f>
        <v>17.777777777777779</v>
      </c>
      <c r="O19" s="15">
        <f>IF(L19="","",IFERROR(INDEX('Почасовка — ставки и план'!$D$5:$D$24,MATCH($D19,'Почасовка — ставки и план'!$A$5:$A$24,0)),""))</f>
        <v>800</v>
      </c>
      <c r="P19" s="15">
        <f>IF(L19="","",IFERROR(INDEX('Почасовка — ставки и план'!$E$5:$E$24,MATCH($D19,'Почасовка — ставки и план'!$A$5:$A$24,0)),""))</f>
        <v>950</v>
      </c>
      <c r="Q19" s="15">
        <f t="shared" si="3"/>
        <v>360</v>
      </c>
      <c r="R19" s="13" t="str">
        <f>IF(D19="TEX","аренда техники — сделка/счёт",IF(OR(Q19="",H19="",H19=0),"—",IF(Q19&lt;H19*(1-Параметры!$B$7),"почасовка",IF(Q19&gt;H19*(1+Параметры!$B$7),"сделка","любой способ"))))</f>
        <v>сделка</v>
      </c>
      <c r="S19">
        <v>0.26315789473684198</v>
      </c>
      <c r="T19">
        <v>0.30663615560640722</v>
      </c>
    </row>
    <row r="20" spans="1:20" x14ac:dyDescent="0.25">
      <c r="A20" s="13" t="s">
        <v>89</v>
      </c>
      <c r="B20" s="13" t="s">
        <v>90</v>
      </c>
      <c r="C20" s="13" t="s">
        <v>72</v>
      </c>
      <c r="D20" s="13" t="s">
        <v>91</v>
      </c>
      <c r="E20" s="13" t="str">
        <f>IFERROR(INDEX('Почасовка — ставки и план'!$B$5:$B$24,MATCH(D20,'Почасовка — ставки и план'!$A$5:$A$24,0)),"Аренда техники / механизмы")</f>
        <v>Фасадчик / промальпинист</v>
      </c>
      <c r="F20" s="14">
        <v>1320</v>
      </c>
      <c r="G20" s="14">
        <v>1560</v>
      </c>
      <c r="H20" s="15">
        <v>650</v>
      </c>
      <c r="I20" s="15">
        <f>IF(OR(H20="",F20=""),"",MAX(H20,MIN(ROUND(H20*(1+Параметры!$B$5),IF(H20*(1+Параметры!$B$5)&gt;=1000,-1,0)),ROUND(F20*Параметры!$B$6,IF(F20*Параметры!$B$6&gt;=1000,-1,0)))))</f>
        <v>748</v>
      </c>
      <c r="J20" s="15">
        <v>747</v>
      </c>
      <c r="K20" s="15">
        <f>IF(OR(J20="",G20=""),"",MAX(J20,MIN(ROUND(J20*(1+Параметры!$B$5),IF(J20*(1+Параметры!$B$5)&gt;=1000,-1,0)),ROUND(G20*Параметры!$B$6,IF(G20*Параметры!$B$6&gt;=1000,-1,0)))))</f>
        <v>859</v>
      </c>
      <c r="L20" s="16">
        <v>0.9</v>
      </c>
      <c r="M20" s="17">
        <f t="shared" si="2"/>
        <v>1.1111111111111112</v>
      </c>
      <c r="N20" s="17">
        <f>IF(OR(L20="",L20=0),"",Параметры!$B$3/L20)</f>
        <v>8.8888888888888893</v>
      </c>
      <c r="O20" s="15">
        <f>IF(L20="","",IFERROR(INDEX('Почасовка — ставки и план'!$D$5:$D$24,MATCH($D20,'Почасовка — ставки и план'!$A$5:$A$24,0)),""))</f>
        <v>1100</v>
      </c>
      <c r="P20" s="15">
        <f>IF(L20="","",IFERROR(INDEX('Почасовка — ставки и план'!$E$5:$E$24,MATCH($D20,'Почасовка — ставки и план'!$A$5:$A$24,0)),""))</f>
        <v>1300</v>
      </c>
      <c r="Q20" s="15">
        <f t="shared" si="3"/>
        <v>990</v>
      </c>
      <c r="R20" s="13" t="str">
        <f>IF(D20="TEX","аренда техники — сделка/счёт",IF(OR(Q20="",H20="",H20=0),"—",IF(Q20&lt;H20*(1-Параметры!$B$7),"почасовка",IF(Q20&gt;H20*(1+Параметры!$B$7),"сделка","любой способ"))))</f>
        <v>сделка</v>
      </c>
      <c r="S20">
        <v>0.2</v>
      </c>
      <c r="T20">
        <v>0.233201581027668</v>
      </c>
    </row>
    <row r="21" spans="1:20" x14ac:dyDescent="0.25">
      <c r="A21" s="13" t="s">
        <v>92</v>
      </c>
      <c r="B21" s="13" t="s">
        <v>93</v>
      </c>
      <c r="C21" s="13" t="s">
        <v>72</v>
      </c>
      <c r="D21" s="13" t="s">
        <v>60</v>
      </c>
      <c r="E21" s="13" t="str">
        <f>IFERROR(INDEX('Почасовка — ставки и план'!$B$5:$B$24,MATCH(D21,'Почасовка — ставки и план'!$A$5:$A$24,0)),"Аренда техники / механизмы")</f>
        <v>Разнорабочий / демонтажник</v>
      </c>
      <c r="F21" s="14">
        <v>200</v>
      </c>
      <c r="G21" s="14">
        <v>230</v>
      </c>
      <c r="H21" s="15">
        <v>120</v>
      </c>
      <c r="I21" s="15">
        <f>IF(OR(H21="",F21=""),"",MAX(H21,MIN(ROUND(H21*(1+Параметры!$B$5),IF(H21*(1+Параметры!$B$5)&gt;=1000,-1,0)),ROUND(F21*Параметры!$B$6,IF(F21*Параметры!$B$6&gt;=1000,-1,0)))))</f>
        <v>138</v>
      </c>
      <c r="J21" s="15">
        <v>138</v>
      </c>
      <c r="K21" s="15">
        <f>IF(OR(J21="",G21=""),"",MAX(J21,MIN(ROUND(J21*(1+Параметры!$B$5),IF(J21*(1+Параметры!$B$5)&gt;=1000,-1,0)),ROUND(G21*Параметры!$B$6,IF(G21*Параметры!$B$6&gt;=1000,-1,0)))))</f>
        <v>159</v>
      </c>
      <c r="L21" s="16">
        <v>0.2</v>
      </c>
      <c r="M21" s="17">
        <f t="shared" si="2"/>
        <v>5</v>
      </c>
      <c r="N21" s="17">
        <f>IF(OR(L21="",L21=0),"",Параметры!$B$3/L21)</f>
        <v>40</v>
      </c>
      <c r="O21" s="15">
        <f>IF(L21="","",IFERROR(INDEX('Почасовка — ставки и план'!$D$5:$D$24,MATCH($D21,'Почасовка — ставки и план'!$A$5:$A$24,0)),""))</f>
        <v>550</v>
      </c>
      <c r="P21" s="15">
        <f>IF(L21="","",IFERROR(INDEX('Почасовка — ставки и план'!$E$5:$E$24,MATCH($D21,'Почасовка — ставки и план'!$A$5:$A$24,0)),""))</f>
        <v>660</v>
      </c>
      <c r="Q21" s="15">
        <f t="shared" si="3"/>
        <v>110</v>
      </c>
      <c r="R21" s="13" t="str">
        <f>IF(D21="TEX","аренда техники — сделка/счёт",IF(OR(Q21="",H21="",H21=0),"—",IF(Q21&lt;H21*(1-Параметры!$B$7),"почасовка",IF(Q21&gt;H21*(1+Параметры!$B$7),"сделка","любой способ"))))</f>
        <v>любой способ</v>
      </c>
      <c r="S21">
        <v>0</v>
      </c>
      <c r="T21">
        <v>0</v>
      </c>
    </row>
    <row r="22" spans="1:20" x14ac:dyDescent="0.25">
      <c r="A22" s="13" t="s">
        <v>94</v>
      </c>
      <c r="B22" s="13" t="s">
        <v>95</v>
      </c>
      <c r="C22" s="13" t="s">
        <v>72</v>
      </c>
      <c r="D22" s="13" t="s">
        <v>91</v>
      </c>
      <c r="E22" s="13" t="str">
        <f>IFERROR(INDEX('Почасовка — ставки и план'!$B$5:$B$24,MATCH(D22,'Почасовка — ставки и план'!$A$5:$A$24,0)),"Аренда техники / механизмы")</f>
        <v>Фасадчик / промальпинист</v>
      </c>
      <c r="F22" s="14">
        <v>880</v>
      </c>
      <c r="G22" s="14">
        <v>1040</v>
      </c>
      <c r="H22" s="15">
        <v>400</v>
      </c>
      <c r="I22" s="15">
        <f>IF(OR(H22="",F22=""),"",MAX(H22,MIN(ROUND(H22*(1+Параметры!$B$5),IF(H22*(1+Параметры!$B$5)&gt;=1000,-1,0)),ROUND(F22*Параметры!$B$6,IF(F22*Параметры!$B$6&gt;=1000,-1,0)))))</f>
        <v>460</v>
      </c>
      <c r="J22" s="15">
        <v>460</v>
      </c>
      <c r="K22" s="15">
        <f>IF(OR(J22="",G22=""),"",MAX(J22,MIN(ROUND(J22*(1+Параметры!$B$5),IF(J22*(1+Параметры!$B$5)&gt;=1000,-1,0)),ROUND(G22*Параметры!$B$6,IF(G22*Параметры!$B$6&gt;=1000,-1,0)))))</f>
        <v>529</v>
      </c>
      <c r="L22" s="16">
        <v>0.6</v>
      </c>
      <c r="M22" s="17">
        <f t="shared" si="2"/>
        <v>1.6666666666666667</v>
      </c>
      <c r="N22" s="17">
        <f>IF(OR(L22="",L22=0),"",Параметры!$B$3/L22)</f>
        <v>13.333333333333334</v>
      </c>
      <c r="O22" s="15">
        <f>IF(L22="","",IFERROR(INDEX('Почасовка — ставки и план'!$D$5:$D$24,MATCH($D22,'Почасовка — ставки и план'!$A$5:$A$24,0)),""))</f>
        <v>1100</v>
      </c>
      <c r="P22" s="15">
        <f>IF(L22="","",IFERROR(INDEX('Почасовка — ставки и план'!$E$5:$E$24,MATCH($D22,'Почасовка — ставки и план'!$A$5:$A$24,0)),""))</f>
        <v>1300</v>
      </c>
      <c r="Q22" s="15">
        <f t="shared" si="3"/>
        <v>660</v>
      </c>
      <c r="R22" s="13" t="str">
        <f>IF(D22="TEX","аренда техники — сделка/счёт",IF(OR(Q22="",H22="",H22=0),"—",IF(Q22&lt;H22*(1-Параметры!$B$7),"почасовка",IF(Q22&gt;H22*(1+Параметры!$B$7),"сделка","любой способ"))))</f>
        <v>сделка</v>
      </c>
      <c r="S22">
        <v>0.35384615384615392</v>
      </c>
      <c r="T22">
        <v>0.39223560910307897</v>
      </c>
    </row>
    <row r="23" spans="1:20" x14ac:dyDescent="0.25">
      <c r="A23" s="13" t="s">
        <v>96</v>
      </c>
      <c r="B23" s="13" t="s">
        <v>97</v>
      </c>
      <c r="C23" s="13" t="s">
        <v>72</v>
      </c>
      <c r="D23" s="13" t="s">
        <v>91</v>
      </c>
      <c r="E23" s="13" t="str">
        <f>IFERROR(INDEX('Почасовка — ставки и план'!$B$5:$B$24,MATCH(D23,'Почасовка — ставки и план'!$A$5:$A$24,0)),"Аренда техники / механизмы")</f>
        <v>Фасадчик / промальпинист</v>
      </c>
      <c r="F23" s="14">
        <v>1467</v>
      </c>
      <c r="G23" s="14">
        <v>1734</v>
      </c>
      <c r="H23" s="15">
        <v>650</v>
      </c>
      <c r="I23" s="15">
        <f>IF(OR(H23="",F23=""),"",MAX(H23,MIN(ROUND(H23*(1+Параметры!$B$5),IF(H23*(1+Параметры!$B$5)&gt;=1000,-1,0)),ROUND(F23*Параметры!$B$6,IF(F23*Параметры!$B$6&gt;=1000,-1,0)))))</f>
        <v>748</v>
      </c>
      <c r="J23" s="15">
        <v>747</v>
      </c>
      <c r="K23" s="15">
        <f>IF(OR(J23="",G23=""),"",MAX(J23,MIN(ROUND(J23*(1+Параметры!$B$5),IF(J23*(1+Параметры!$B$5)&gt;=1000,-1,0)),ROUND(G23*Параметры!$B$6,IF(G23*Параметры!$B$6&gt;=1000,-1,0)))))</f>
        <v>859</v>
      </c>
      <c r="L23" s="16">
        <v>1</v>
      </c>
      <c r="M23" s="17">
        <f t="shared" si="2"/>
        <v>1</v>
      </c>
      <c r="N23" s="17">
        <f>IF(OR(L23="",L23=0),"",Параметры!$B$3/L23)</f>
        <v>8</v>
      </c>
      <c r="O23" s="15">
        <f>IF(L23="","",IFERROR(INDEX('Почасовка — ставки и план'!$D$5:$D$24,MATCH($D23,'Почасовка — ставки и план'!$A$5:$A$24,0)),""))</f>
        <v>1100</v>
      </c>
      <c r="P23" s="15">
        <f>IF(L23="","",IFERROR(INDEX('Почасовка — ставки и план'!$E$5:$E$24,MATCH($D23,'Почасовка — ставки и план'!$A$5:$A$24,0)),""))</f>
        <v>1300</v>
      </c>
      <c r="Q23" s="15">
        <f t="shared" si="3"/>
        <v>1100</v>
      </c>
      <c r="R23" s="13" t="str">
        <f>IF(D23="TEX","аренда техники — сделка/счёт",IF(OR(Q23="",H23="",H23=0),"—",IF(Q23&lt;H23*(1-Параметры!$B$7),"почасовка",IF(Q23&gt;H23*(1+Параметры!$B$7),"сделка","любой способ"))))</f>
        <v>сделка</v>
      </c>
      <c r="S23">
        <v>0.33363636363636368</v>
      </c>
      <c r="T23">
        <v>0.37075098814229263</v>
      </c>
    </row>
    <row r="24" spans="1:20" x14ac:dyDescent="0.25">
      <c r="A24" s="18" t="s">
        <v>98</v>
      </c>
      <c r="B24" s="13" t="s">
        <v>99</v>
      </c>
      <c r="C24" s="13" t="s">
        <v>72</v>
      </c>
      <c r="D24" s="13" t="s">
        <v>64</v>
      </c>
      <c r="E24" s="13" t="str">
        <f>IFERROR(INDEX('Почасовка — ставки и план'!$B$5:$B$24,MATCH(D24,'Почасовка — ставки и план'!$A$5:$A$24,0)),"Аренда техники / механизмы")</f>
        <v>Сварщик / монтажник МК</v>
      </c>
      <c r="F24" s="14">
        <v>1200</v>
      </c>
      <c r="G24" s="14">
        <v>1440</v>
      </c>
      <c r="H24" s="15">
        <v>720</v>
      </c>
      <c r="I24" s="15">
        <f>IF(OR(H24="",F24=""),"",MAX(H24,MIN(ROUND(H24*(1+Параметры!$B$5),IF(H24*(1+Параметры!$B$5)&gt;=1000,-1,0)),ROUND(F24*Параметры!$B$6,IF(F24*Параметры!$B$6&gt;=1000,-1,0)))))</f>
        <v>828</v>
      </c>
      <c r="J24" s="15">
        <v>828</v>
      </c>
      <c r="K24" s="15">
        <f>IF(OR(J24="",G24=""),"",MAX(J24,MIN(ROUND(J24*(1+Параметры!$B$5),IF(J24*(1+Параметры!$B$5)&gt;=1000,-1,0)),ROUND(G24*Параметры!$B$6,IF(G24*Параметры!$B$6&gt;=1000,-1,0)))))</f>
        <v>952</v>
      </c>
      <c r="L24" s="16">
        <v>1</v>
      </c>
      <c r="M24" s="17">
        <f t="shared" si="2"/>
        <v>1</v>
      </c>
      <c r="N24" s="17">
        <f>IF(OR(L24="",L24=0),"",Параметры!$B$3/L24)</f>
        <v>8</v>
      </c>
      <c r="O24" s="15">
        <f>IF(L24="","",IFERROR(INDEX('Почасовка — ставки и план'!$D$5:$D$24,MATCH($D24,'Почасовка — ставки и план'!$A$5:$A$24,0)),""))</f>
        <v>900</v>
      </c>
      <c r="P24" s="15">
        <f>IF(L24="","",IFERROR(INDEX('Почасовка — ставки и план'!$E$5:$E$24,MATCH($D24,'Почасовка — ставки и план'!$A$5:$A$24,0)),""))</f>
        <v>1080</v>
      </c>
      <c r="Q24" s="15">
        <f t="shared" si="3"/>
        <v>900</v>
      </c>
      <c r="R24" s="13" t="str">
        <f>IF(D24="TEX","аренда техники — сделка/счёт",IF(OR(Q24="",H24="",H24=0),"—",IF(Q24&lt;H24*(1-Параметры!$B$7),"почасовка",IF(Q24&gt;H24*(1+Параметры!$B$7),"сделка","любой способ"))))</f>
        <v>сделка</v>
      </c>
      <c r="S24">
        <v>0</v>
      </c>
      <c r="T24">
        <v>4.3478260869565188E-2</v>
      </c>
    </row>
    <row r="25" spans="1:20" x14ac:dyDescent="0.25">
      <c r="A25" s="11" t="s">
        <v>100</v>
      </c>
      <c r="B25" s="12"/>
      <c r="C25" s="12"/>
      <c r="D25" s="12"/>
      <c r="E25" s="12"/>
      <c r="F25" s="12"/>
      <c r="G25" s="12"/>
      <c r="H25" s="12"/>
      <c r="I25" s="12"/>
      <c r="J25" s="12"/>
      <c r="K25" s="12"/>
      <c r="L25" s="12"/>
      <c r="M25" s="12"/>
      <c r="N25" s="12"/>
      <c r="O25" s="12"/>
      <c r="P25" s="12"/>
      <c r="Q25" s="12"/>
      <c r="R25" s="12"/>
    </row>
    <row r="26" spans="1:20" x14ac:dyDescent="0.25">
      <c r="A26" s="13" t="s">
        <v>101</v>
      </c>
      <c r="B26" s="13" t="s">
        <v>102</v>
      </c>
      <c r="C26" s="13" t="s">
        <v>55</v>
      </c>
      <c r="D26" s="13" t="s">
        <v>60</v>
      </c>
      <c r="E26" s="13" t="str">
        <f>IFERROR(INDEX('Почасовка — ставки и план'!$B$5:$B$24,MATCH(D26,'Почасовка — ставки и план'!$A$5:$A$24,0)),"Аренда техники / механизмы")</f>
        <v>Разнорабочий / демонтажник</v>
      </c>
      <c r="F26" s="14">
        <v>5500</v>
      </c>
      <c r="G26" s="14">
        <v>6600</v>
      </c>
      <c r="H26" s="15">
        <v>2400</v>
      </c>
      <c r="I26" s="15">
        <f>IF(OR(H26="",F26=""),"",MAX(H26,MIN(ROUND(H26*(1+Параметры!$B$5),IF(H26*(1+Параметры!$B$5)&gt;=1000,-1,0)),ROUND(F26*Параметры!$B$6,IF(F26*Параметры!$B$6&gt;=1000,-1,0)))))</f>
        <v>2760</v>
      </c>
      <c r="J26" s="15">
        <v>2760</v>
      </c>
      <c r="K26" s="15">
        <f>IF(OR(J26="",G26=""),"",MAX(J26,MIN(ROUND(J26*(1+Параметры!$B$5),IF(J26*(1+Параметры!$B$5)&gt;=1000,-1,0)),ROUND(G26*Параметры!$B$6,IF(G26*Параметры!$B$6&gt;=1000,-1,0)))))</f>
        <v>3170</v>
      </c>
      <c r="L26" s="16">
        <v>7.5</v>
      </c>
      <c r="M26" s="17">
        <f>IF(OR(L26="",L26=0),"",1/L26)</f>
        <v>0.13333333333333333</v>
      </c>
      <c r="N26" s="17">
        <f>IF(OR(L26="",L26=0),"",Параметры!$B$3/L26)</f>
        <v>1.0666666666666667</v>
      </c>
      <c r="O26" s="15">
        <f>IF(L26="","",IFERROR(INDEX('Почасовка — ставки и план'!$D$5:$D$24,MATCH($D26,'Почасовка — ставки и план'!$A$5:$A$24,0)),""))</f>
        <v>550</v>
      </c>
      <c r="P26" s="15">
        <f>IF(L26="","",IFERROR(INDEX('Почасовка — ставки и план'!$E$5:$E$24,MATCH($D26,'Почасовка — ставки и план'!$A$5:$A$24,0)),""))</f>
        <v>660</v>
      </c>
      <c r="Q26" s="15">
        <f>IF(OR(L26="",O26=""),"",ROUND(L26*O26,0))</f>
        <v>4125</v>
      </c>
      <c r="R26" s="13" t="str">
        <f>IF(D26="TEX","аренда техники — сделка/счёт",IF(OR(Q26="",H26="",H26=0),"—",IF(Q26&lt;H26*(1-Параметры!$B$7),"почасовка",IF(Q26&gt;H26*(1+Параметры!$B$7),"сделка","любой способ"))))</f>
        <v>сделка</v>
      </c>
      <c r="S26">
        <v>0.375</v>
      </c>
      <c r="T26">
        <v>0.43478260869565211</v>
      </c>
    </row>
    <row r="27" spans="1:20" x14ac:dyDescent="0.25">
      <c r="A27" s="13" t="s">
        <v>103</v>
      </c>
      <c r="B27" s="13" t="s">
        <v>104</v>
      </c>
      <c r="C27" s="13" t="s">
        <v>55</v>
      </c>
      <c r="D27" s="13" t="s">
        <v>60</v>
      </c>
      <c r="E27" s="13" t="str">
        <f>IFERROR(INDEX('Почасовка — ставки и план'!$B$5:$B$24,MATCH(D27,'Почасовка — ставки и план'!$A$5:$A$24,0)),"Аренда техники / механизмы")</f>
        <v>Разнорабочий / демонтажник</v>
      </c>
      <c r="F27" s="14">
        <v>8067</v>
      </c>
      <c r="G27" s="14">
        <v>9680</v>
      </c>
      <c r="H27" s="15">
        <v>4500</v>
      </c>
      <c r="I27" s="15">
        <f>IF(OR(H27="",F27=""),"",MAX(H27,MIN(ROUND(H27*(1+Параметры!$B$5),IF(H27*(1+Параметры!$B$5)&gt;=1000,-1,0)),ROUND(F27*Параметры!$B$6,IF(F27*Параметры!$B$6&gt;=1000,-1,0)))))</f>
        <v>5180</v>
      </c>
      <c r="J27" s="15">
        <v>5310</v>
      </c>
      <c r="K27" s="15">
        <f>IF(OR(J27="",G27=""),"",MAX(J27,MIN(ROUND(J27*(1+Параметры!$B$5),IF(J27*(1+Параметры!$B$5)&gt;=1000,-1,0)),ROUND(G27*Параметры!$B$6,IF(G27*Параметры!$B$6&gt;=1000,-1,0)))))</f>
        <v>6110</v>
      </c>
      <c r="L27" s="16">
        <v>11</v>
      </c>
      <c r="M27" s="17">
        <f>IF(OR(L27="",L27=0),"",1/L27)</f>
        <v>9.0909090909090912E-2</v>
      </c>
      <c r="N27" s="17">
        <f>IF(OR(L27="",L27=0),"",Параметры!$B$3/L27)</f>
        <v>0.72727272727272729</v>
      </c>
      <c r="O27" s="15">
        <f>IF(L27="","",IFERROR(INDEX('Почасовка — ставки и план'!$D$5:$D$24,MATCH($D27,'Почасовка — ставки и план'!$A$5:$A$24,0)),""))</f>
        <v>550</v>
      </c>
      <c r="P27" s="15">
        <f>IF(L27="","",IFERROR(INDEX('Почасовка — ставки и план'!$E$5:$E$24,MATCH($D27,'Почасовка — ставки и план'!$A$5:$A$24,0)),""))</f>
        <v>660</v>
      </c>
      <c r="Q27" s="15">
        <f>IF(OR(L27="",O27=""),"",ROUND(L27*O27,0))</f>
        <v>6050</v>
      </c>
      <c r="R27" s="13" t="str">
        <f>IF(D27="TEX","аренда техники — сделка/счёт",IF(OR(Q27="",H27="",H27=0),"—",IF(Q27&lt;H27*(1-Параметры!$B$7),"почасовка",IF(Q27&gt;H27*(1+Параметры!$B$7),"сделка","любой способ"))))</f>
        <v>сделка</v>
      </c>
      <c r="S27">
        <v>7.559999999999989E-2</v>
      </c>
      <c r="T27">
        <v>7.5555555555555598E-2</v>
      </c>
    </row>
    <row r="28" spans="1:20" x14ac:dyDescent="0.25">
      <c r="A28" s="13" t="s">
        <v>105</v>
      </c>
      <c r="B28" s="13" t="s">
        <v>106</v>
      </c>
      <c r="C28" s="13" t="s">
        <v>55</v>
      </c>
      <c r="D28" s="13" t="s">
        <v>60</v>
      </c>
      <c r="E28" s="13" t="str">
        <f>IFERROR(INDEX('Почасовка — ставки и план'!$B$5:$B$24,MATCH(D28,'Почасовка — ставки и план'!$A$5:$A$24,0)),"Аренда техники / механизмы")</f>
        <v>Разнорабочий / демонтажник</v>
      </c>
      <c r="F28" s="14">
        <v>11000</v>
      </c>
      <c r="G28" s="14">
        <v>13200</v>
      </c>
      <c r="H28" s="15">
        <v>6000</v>
      </c>
      <c r="I28" s="15">
        <f>IF(OR(H28="",F28=""),"",MAX(H28,MIN(ROUND(H28*(1+Параметры!$B$5),IF(H28*(1+Параметры!$B$5)&gt;=1000,-1,0)),ROUND(F28*Параметры!$B$6,IF(F28*Параметры!$B$6&gt;=1000,-1,0)))))</f>
        <v>6900</v>
      </c>
      <c r="J28" s="15">
        <v>7080</v>
      </c>
      <c r="K28" s="15">
        <f>IF(OR(J28="",G28=""),"",MAX(J28,MIN(ROUND(J28*(1+Параметры!$B$5),IF(J28*(1+Параметры!$B$5)&gt;=1000,-1,0)),ROUND(G28*Параметры!$B$6,IF(G28*Параметры!$B$6&gt;=1000,-1,0)))))</f>
        <v>8140</v>
      </c>
      <c r="L28" s="16">
        <v>15</v>
      </c>
      <c r="M28" s="17">
        <f>IF(OR(L28="",L28=0),"",1/L28)</f>
        <v>6.6666666666666666E-2</v>
      </c>
      <c r="N28" s="17">
        <f>IF(OR(L28="",L28=0),"",Параметры!$B$3/L28)</f>
        <v>0.53333333333333333</v>
      </c>
      <c r="O28" s="15">
        <f>IF(L28="","",IFERROR(INDEX('Почасовка — ставки и план'!$D$5:$D$24,MATCH($D28,'Почасовка — ставки и план'!$A$5:$A$24,0)),""))</f>
        <v>550</v>
      </c>
      <c r="P28" s="15">
        <f>IF(L28="","",IFERROR(INDEX('Почасовка — ставки и план'!$E$5:$E$24,MATCH($D28,'Почасовка — ставки и план'!$A$5:$A$24,0)),""))</f>
        <v>660</v>
      </c>
      <c r="Q28" s="15">
        <f>IF(OR(L28="",O28=""),"",ROUND(L28*O28,0))</f>
        <v>8250</v>
      </c>
      <c r="R28" s="13" t="str">
        <f>IF(D28="TEX","аренда техники — сделка/счёт",IF(OR(Q28="",H28="",H28=0),"—",IF(Q28&lt;H28*(1-Параметры!$B$7),"почасовка",IF(Q28&gt;H28*(1+Параметры!$B$7),"сделка","любой способ"))))</f>
        <v>сделка</v>
      </c>
      <c r="S28">
        <v>0.1000000000000001</v>
      </c>
      <c r="T28">
        <v>0.1000000000000001</v>
      </c>
    </row>
    <row r="29" spans="1:20" x14ac:dyDescent="0.25">
      <c r="A29" s="11" t="s">
        <v>107</v>
      </c>
      <c r="B29" s="12"/>
      <c r="C29" s="12"/>
      <c r="D29" s="12"/>
      <c r="E29" s="12"/>
      <c r="F29" s="12"/>
      <c r="G29" s="12"/>
      <c r="H29" s="12"/>
      <c r="I29" s="12"/>
      <c r="J29" s="12"/>
      <c r="K29" s="12"/>
      <c r="L29" s="12"/>
      <c r="M29" s="12"/>
      <c r="N29" s="12"/>
      <c r="O29" s="12"/>
      <c r="P29" s="12"/>
      <c r="Q29" s="12"/>
      <c r="R29" s="12"/>
    </row>
    <row r="30" spans="1:20" x14ac:dyDescent="0.25">
      <c r="A30" s="13" t="s">
        <v>108</v>
      </c>
      <c r="B30" s="13" t="s">
        <v>109</v>
      </c>
      <c r="C30" s="13" t="s">
        <v>72</v>
      </c>
      <c r="D30" s="13" t="s">
        <v>60</v>
      </c>
      <c r="E30" s="13" t="str">
        <f>IFERROR(INDEX('Почасовка — ставки и план'!$B$5:$B$24,MATCH(D30,'Почасовка — ставки и план'!$A$5:$A$24,0)),"Аренда техники / механизмы")</f>
        <v>Разнорабочий / демонтажник</v>
      </c>
      <c r="F30" s="14">
        <v>35</v>
      </c>
      <c r="G30" s="14">
        <v>40</v>
      </c>
      <c r="H30" s="15">
        <v>20</v>
      </c>
      <c r="I30" s="15">
        <f>IF(OR(H30="",F30=""),"",MAX(H30,MIN(ROUND(H30*(1+Параметры!$B$5),IF(H30*(1+Параметры!$B$5)&gt;=1000,-1,0)),ROUND(F30*Параметры!$B$6,IF(F30*Параметры!$B$6&gt;=1000,-1,0)))))</f>
        <v>23</v>
      </c>
      <c r="J30" s="15">
        <v>23</v>
      </c>
      <c r="K30" s="15">
        <f>IF(OR(J30="",G30=""),"",MAX(J30,MIN(ROUND(J30*(1+Параметры!$B$5),IF(J30*(1+Параметры!$B$5)&gt;=1000,-1,0)),ROUND(G30*Параметры!$B$6,IF(G30*Параметры!$B$6&gt;=1000,-1,0)))))</f>
        <v>26</v>
      </c>
      <c r="L30" s="16">
        <v>0.04</v>
      </c>
      <c r="M30" s="17">
        <f t="shared" ref="M30:M49" si="4">IF(OR(L30="",L30=0),"",1/L30)</f>
        <v>25</v>
      </c>
      <c r="N30" s="17">
        <f>IF(OR(L30="",L30=0),"",Параметры!$B$3/L30)</f>
        <v>200</v>
      </c>
      <c r="O30" s="15">
        <f>IF(L30="","",IFERROR(INDEX('Почасовка — ставки и план'!$D$5:$D$24,MATCH($D30,'Почасовка — ставки и план'!$A$5:$A$24,0)),""))</f>
        <v>550</v>
      </c>
      <c r="P30" s="15">
        <f>IF(L30="","",IFERROR(INDEX('Почасовка — ставки и план'!$E$5:$E$24,MATCH($D30,'Почасовка — ставки и план'!$A$5:$A$24,0)),""))</f>
        <v>660</v>
      </c>
      <c r="Q30" s="15">
        <f t="shared" ref="Q30:Q49" si="5">IF(OR(L30="",O30=""),"",ROUND(L30*O30,0))</f>
        <v>22</v>
      </c>
      <c r="R30" s="13" t="str">
        <f>IF(D30="TEX","аренда техники — сделка/счёт",IF(OR(Q30="",H30="",H30=0),"—",IF(Q30&lt;H30*(1-Параметры!$B$7),"почасовка",IF(Q30&gt;H30*(1+Параметры!$B$7),"сделка","любой способ"))))</f>
        <v>любой способ</v>
      </c>
      <c r="S30">
        <v>0</v>
      </c>
      <c r="T30">
        <v>0</v>
      </c>
    </row>
    <row r="31" spans="1:20" x14ac:dyDescent="0.25">
      <c r="A31" s="13" t="s">
        <v>110</v>
      </c>
      <c r="B31" s="13" t="s">
        <v>111</v>
      </c>
      <c r="C31" s="13" t="s">
        <v>72</v>
      </c>
      <c r="D31" s="13" t="s">
        <v>60</v>
      </c>
      <c r="E31" s="13" t="str">
        <f>IFERROR(INDEX('Почасовка — ставки и план'!$B$5:$B$24,MATCH(D31,'Почасовка — ставки и план'!$A$5:$A$24,0)),"Аренда техники / механизмы")</f>
        <v>Разнорабочий / демонтажник</v>
      </c>
      <c r="F31" s="14">
        <v>30</v>
      </c>
      <c r="G31" s="14">
        <v>35</v>
      </c>
      <c r="H31" s="15">
        <v>18</v>
      </c>
      <c r="I31" s="15">
        <f>IF(OR(H31="",F31=""),"",MAX(H31,MIN(ROUND(H31*(1+Параметры!$B$5),IF(H31*(1+Параметры!$B$5)&gt;=1000,-1,0)),ROUND(F31*Параметры!$B$6,IF(F31*Параметры!$B$6&gt;=1000,-1,0)))))</f>
        <v>21</v>
      </c>
      <c r="J31" s="15">
        <v>20.5</v>
      </c>
      <c r="K31" s="15">
        <f>IF(OR(J31="",G31=""),"",MAX(J31,MIN(ROUND(J31*(1+Параметры!$B$5),IF(J31*(1+Параметры!$B$5)&gt;=1000,-1,0)),ROUND(G31*Параметры!$B$6,IF(G31*Параметры!$B$6&gt;=1000,-1,0)))))</f>
        <v>24</v>
      </c>
      <c r="L31" s="16">
        <v>0.04</v>
      </c>
      <c r="M31" s="17">
        <f t="shared" si="4"/>
        <v>25</v>
      </c>
      <c r="N31" s="17">
        <f>IF(OR(L31="",L31=0),"",Параметры!$B$3/L31)</f>
        <v>200</v>
      </c>
      <c r="O31" s="15">
        <f>IF(L31="","",IFERROR(INDEX('Почасовка — ставки и план'!$D$5:$D$24,MATCH($D31,'Почасовка — ставки и план'!$A$5:$A$24,0)),""))</f>
        <v>550</v>
      </c>
      <c r="P31" s="15">
        <f>IF(L31="","",IFERROR(INDEX('Почасовка — ставки и план'!$E$5:$E$24,MATCH($D31,'Почасовка — ставки и план'!$A$5:$A$24,0)),""))</f>
        <v>660</v>
      </c>
      <c r="Q31" s="15">
        <f t="shared" si="5"/>
        <v>22</v>
      </c>
      <c r="R31" s="13" t="str">
        <f>IF(D31="TEX","аренда техники — сделка/счёт",IF(OR(Q31="",H31="",H31=0),"—",IF(Q31&lt;H31*(1-Параметры!$B$7),"почасовка",IF(Q31&gt;H31*(1+Параметры!$B$7),"сделка","любой способ"))))</f>
        <v>сделка</v>
      </c>
      <c r="S31">
        <v>0</v>
      </c>
      <c r="T31">
        <v>1.449275362318847E-2</v>
      </c>
    </row>
    <row r="32" spans="1:20" x14ac:dyDescent="0.25">
      <c r="A32" s="13" t="s">
        <v>112</v>
      </c>
      <c r="B32" s="13" t="s">
        <v>113</v>
      </c>
      <c r="C32" s="13" t="s">
        <v>72</v>
      </c>
      <c r="D32" s="13" t="s">
        <v>60</v>
      </c>
      <c r="E32" s="13" t="str">
        <f>IFERROR(INDEX('Почасовка — ставки и план'!$B$5:$B$24,MATCH(D32,'Почасовка — ставки и план'!$A$5:$A$24,0)),"Аренда техники / механизмы")</f>
        <v>Разнорабочий / демонтажник</v>
      </c>
      <c r="F32" s="14">
        <v>10</v>
      </c>
      <c r="G32" s="14">
        <v>11</v>
      </c>
      <c r="H32" s="15">
        <v>5</v>
      </c>
      <c r="I32" s="15">
        <f>IF(OR(H32="",F32=""),"",MAX(H32,MIN(ROUND(H32*(1+Параметры!$B$5),IF(H32*(1+Параметры!$B$5)&gt;=1000,-1,0)),ROUND(F32*Параметры!$B$6,IF(F32*Параметры!$B$6&gt;=1000,-1,0)))))</f>
        <v>6</v>
      </c>
      <c r="J32" s="15">
        <v>6</v>
      </c>
      <c r="K32" s="15">
        <f>IF(OR(J32="",G32=""),"",MAX(J32,MIN(ROUND(J32*(1+Параметры!$B$5),IF(J32*(1+Параметры!$B$5)&gt;=1000,-1,0)),ROUND(G32*Параметры!$B$6,IF(G32*Параметры!$B$6&gt;=1000,-1,0)))))</f>
        <v>7</v>
      </c>
      <c r="L32" s="16">
        <v>1.2E-2</v>
      </c>
      <c r="M32" s="17">
        <f t="shared" si="4"/>
        <v>83.333333333333329</v>
      </c>
      <c r="N32" s="17">
        <f>IF(OR(L32="",L32=0),"",Параметры!$B$3/L32)</f>
        <v>666.66666666666663</v>
      </c>
      <c r="O32" s="15">
        <f>IF(L32="","",IFERROR(INDEX('Почасовка — ставки и план'!$D$5:$D$24,MATCH($D32,'Почасовка — ставки и план'!$A$5:$A$24,0)),""))</f>
        <v>550</v>
      </c>
      <c r="P32" s="15">
        <f>IF(L32="","",IFERROR(INDEX('Почасовка — ставки и план'!$E$5:$E$24,MATCH($D32,'Почасовка — ставки и план'!$A$5:$A$24,0)),""))</f>
        <v>660</v>
      </c>
      <c r="Q32" s="15">
        <f t="shared" si="5"/>
        <v>7</v>
      </c>
      <c r="R32" s="13" t="str">
        <f>IF(D32="TEX","аренда техники — сделка/счёт",IF(OR(Q32="",H32="",H32=0),"—",IF(Q32&lt;H32*(1-Параметры!$B$7),"почасовка",IF(Q32&gt;H32*(1+Параметры!$B$7),"сделка","любой способ"))))</f>
        <v>сделка</v>
      </c>
      <c r="S32">
        <v>0.25</v>
      </c>
      <c r="T32">
        <v>0.22222222222222229</v>
      </c>
    </row>
    <row r="33" spans="1:20" x14ac:dyDescent="0.25">
      <c r="A33" s="13" t="s">
        <v>114</v>
      </c>
      <c r="B33" s="13" t="s">
        <v>115</v>
      </c>
      <c r="C33" s="13" t="s">
        <v>69</v>
      </c>
      <c r="D33" s="13" t="s">
        <v>88</v>
      </c>
      <c r="E33" s="13" t="str">
        <f>IFERROR(INDEX('Почасовка — ставки и план'!$B$5:$B$24,MATCH(D33,'Почасовка — ставки и план'!$A$5:$A$24,0)),"Аренда техники / механизмы")</f>
        <v>Кровельщик</v>
      </c>
      <c r="F33" s="14">
        <v>160</v>
      </c>
      <c r="G33" s="14">
        <v>191</v>
      </c>
      <c r="H33" s="15">
        <v>70</v>
      </c>
      <c r="I33" s="15">
        <f>IF(OR(H33="",F33=""),"",MAX(H33,MIN(ROUND(H33*(1+Параметры!$B$5),IF(H33*(1+Параметры!$B$5)&gt;=1000,-1,0)),ROUND(F33*Параметры!$B$6,IF(F33*Параметры!$B$6&gt;=1000,-1,0)))))</f>
        <v>81</v>
      </c>
      <c r="J33" s="15">
        <v>80.5</v>
      </c>
      <c r="K33" s="15">
        <f>IF(OR(J33="",G33=""),"",MAX(J33,MIN(ROUND(J33*(1+Параметры!$B$5),IF(J33*(1+Параметры!$B$5)&gt;=1000,-1,0)),ROUND(G33*Параметры!$B$6,IF(G33*Параметры!$B$6&gt;=1000,-1,0)))))</f>
        <v>93</v>
      </c>
      <c r="L33" s="16">
        <v>0.15</v>
      </c>
      <c r="M33" s="17">
        <f t="shared" si="4"/>
        <v>6.666666666666667</v>
      </c>
      <c r="N33" s="17">
        <f>IF(OR(L33="",L33=0),"",Параметры!$B$3/L33)</f>
        <v>53.333333333333336</v>
      </c>
      <c r="O33" s="15">
        <f>IF(L33="","",IFERROR(INDEX('Почасовка — ставки и план'!$D$5:$D$24,MATCH($D33,'Почасовка — ставки и план'!$A$5:$A$24,0)),""))</f>
        <v>800</v>
      </c>
      <c r="P33" s="15">
        <f>IF(L33="","",IFERROR(INDEX('Почасовка — ставки и план'!$E$5:$E$24,MATCH($D33,'Почасовка — ставки и план'!$A$5:$A$24,0)),""))</f>
        <v>950</v>
      </c>
      <c r="Q33" s="15">
        <f t="shared" si="5"/>
        <v>120</v>
      </c>
      <c r="R33" s="13" t="str">
        <f>IF(D33="TEX","аренда техники — сделка/счёт",IF(OR(Q33="",H33="",H33=0),"—",IF(Q33&lt;H33*(1-Параметры!$B$7),"почасовка",IF(Q33&gt;H33*(1+Параметры!$B$7),"сделка","любой способ"))))</f>
        <v>сделка</v>
      </c>
      <c r="S33">
        <v>0.33333333333333331</v>
      </c>
      <c r="T33">
        <v>0.38405797101449268</v>
      </c>
    </row>
    <row r="34" spans="1:20" x14ac:dyDescent="0.25">
      <c r="A34" s="13" t="s">
        <v>116</v>
      </c>
      <c r="B34" s="13" t="s">
        <v>117</v>
      </c>
      <c r="C34" s="13" t="s">
        <v>69</v>
      </c>
      <c r="D34" s="13" t="s">
        <v>88</v>
      </c>
      <c r="E34" s="13" t="str">
        <f>IFERROR(INDEX('Почасовка — ставки и план'!$B$5:$B$24,MATCH(D34,'Почасовка — ставки и план'!$A$5:$A$24,0)),"Аренда техники / механизмы")</f>
        <v>Кровельщик</v>
      </c>
      <c r="F34" s="14">
        <v>214</v>
      </c>
      <c r="G34" s="14">
        <v>254</v>
      </c>
      <c r="H34" s="15">
        <v>90</v>
      </c>
      <c r="I34" s="15">
        <f>IF(OR(H34="",F34=""),"",MAX(H34,MIN(ROUND(H34*(1+Параметры!$B$5),IF(H34*(1+Параметры!$B$5)&gt;=1000,-1,0)),ROUND(F34*Параметры!$B$6,IF(F34*Параметры!$B$6&gt;=1000,-1,0)))))</f>
        <v>104</v>
      </c>
      <c r="J34" s="15">
        <v>103</v>
      </c>
      <c r="K34" s="15">
        <f>IF(OR(J34="",G34=""),"",MAX(J34,MIN(ROUND(J34*(1+Параметры!$B$5),IF(J34*(1+Параметры!$B$5)&gt;=1000,-1,0)),ROUND(G34*Параметры!$B$6,IF(G34*Параметры!$B$6&gt;=1000,-1,0)))))</f>
        <v>118</v>
      </c>
      <c r="L34" s="16">
        <v>0.2</v>
      </c>
      <c r="M34" s="17">
        <f t="shared" si="4"/>
        <v>5</v>
      </c>
      <c r="N34" s="17">
        <f>IF(OR(L34="",L34=0),"",Параметры!$B$3/L34)</f>
        <v>40</v>
      </c>
      <c r="O34" s="15">
        <f>IF(L34="","",IFERROR(INDEX('Почасовка — ставки и план'!$D$5:$D$24,MATCH($D34,'Почасовка — ставки и план'!$A$5:$A$24,0)),""))</f>
        <v>800</v>
      </c>
      <c r="P34" s="15">
        <f>IF(L34="","",IFERROR(INDEX('Почасовка — ставки и план'!$E$5:$E$24,MATCH($D34,'Почасовка — ставки и план'!$A$5:$A$24,0)),""))</f>
        <v>950</v>
      </c>
      <c r="Q34" s="15">
        <f t="shared" si="5"/>
        <v>160</v>
      </c>
      <c r="R34" s="13" t="str">
        <f>IF(D34="TEX","аренда техники — сделка/счёт",IF(OR(Q34="",H34="",H34=0),"—",IF(Q34&lt;H34*(1-Параметры!$B$7),"почасовка",IF(Q34&gt;H34*(1+Параметры!$B$7),"сделка","любой способ"))))</f>
        <v>сделка</v>
      </c>
      <c r="S34">
        <v>0.42666666666666669</v>
      </c>
      <c r="T34">
        <v>0.47674418604651159</v>
      </c>
    </row>
    <row r="35" spans="1:20" x14ac:dyDescent="0.25">
      <c r="A35" s="13" t="s">
        <v>118</v>
      </c>
      <c r="B35" s="13" t="s">
        <v>119</v>
      </c>
      <c r="C35" s="13" t="s">
        <v>55</v>
      </c>
      <c r="D35" s="13" t="s">
        <v>88</v>
      </c>
      <c r="E35" s="13" t="str">
        <f>IFERROR(INDEX('Почасовка — ставки и план'!$B$5:$B$24,MATCH(D35,'Почасовка — ставки и план'!$A$5:$A$24,0)),"Аренда техники / механизмы")</f>
        <v>Кровельщик</v>
      </c>
      <c r="F35" s="14">
        <v>10134</v>
      </c>
      <c r="G35" s="14">
        <v>12034</v>
      </c>
      <c r="H35" s="15">
        <v>3600</v>
      </c>
      <c r="I35" s="15">
        <f>IF(OR(H35="",F35=""),"",MAX(H35,MIN(ROUND(H35*(1+Параметры!$B$5),IF(H35*(1+Параметры!$B$5)&gt;=1000,-1,0)),ROUND(F35*Параметры!$B$6,IF(F35*Параметры!$B$6&gt;=1000,-1,0)))))</f>
        <v>4140</v>
      </c>
      <c r="J35" s="15">
        <v>4140</v>
      </c>
      <c r="K35" s="15">
        <f>IF(OR(J35="",G35=""),"",MAX(J35,MIN(ROUND(J35*(1+Параметры!$B$5),IF(J35*(1+Параметры!$B$5)&gt;=1000,-1,0)),ROUND(G35*Параметры!$B$6,IF(G35*Параметры!$B$6&gt;=1000,-1,0)))))</f>
        <v>4760</v>
      </c>
      <c r="L35" s="16">
        <v>9.5</v>
      </c>
      <c r="M35" s="17">
        <f t="shared" si="4"/>
        <v>0.10526315789473684</v>
      </c>
      <c r="N35" s="17">
        <f>IF(OR(L35="",L35=0),"",Параметры!$B$3/L35)</f>
        <v>0.84210526315789469</v>
      </c>
      <c r="O35" s="15">
        <f>IF(L35="","",IFERROR(INDEX('Почасовка — ставки и план'!$D$5:$D$24,MATCH($D35,'Почасовка — ставки и план'!$A$5:$A$24,0)),""))</f>
        <v>800</v>
      </c>
      <c r="P35" s="15">
        <f>IF(L35="","",IFERROR(INDEX('Почасовка — ставки и план'!$E$5:$E$24,MATCH($D35,'Почасовка — ставки и план'!$A$5:$A$24,0)),""))</f>
        <v>950</v>
      </c>
      <c r="Q35" s="15">
        <f t="shared" si="5"/>
        <v>7600</v>
      </c>
      <c r="R35" s="13" t="str">
        <f>IF(D35="TEX","аренда техники — сделка/счёт",IF(OR(Q35="",H35="",H35=0),"—",IF(Q35&lt;H35*(1-Параметры!$B$7),"почасовка",IF(Q35&gt;H35*(1+Параметры!$B$7),"сделка","любой способ"))))</f>
        <v>сделка</v>
      </c>
      <c r="S35">
        <v>0.68900000000000006</v>
      </c>
      <c r="T35">
        <v>0.74405797101449278</v>
      </c>
    </row>
    <row r="36" spans="1:20" x14ac:dyDescent="0.25">
      <c r="A36" s="13" t="s">
        <v>120</v>
      </c>
      <c r="B36" s="13" t="s">
        <v>121</v>
      </c>
      <c r="C36" s="13" t="s">
        <v>55</v>
      </c>
      <c r="D36" s="13" t="s">
        <v>60</v>
      </c>
      <c r="E36" s="13" t="str">
        <f>IFERROR(INDEX('Почасовка — ставки и план'!$B$5:$B$24,MATCH(D36,'Почасовка — ставки и план'!$A$5:$A$24,0)),"Аренда техники / механизмы")</f>
        <v>Разнорабочий / демонтажник</v>
      </c>
      <c r="F36" s="14">
        <v>9534</v>
      </c>
      <c r="G36" s="14">
        <v>11440</v>
      </c>
      <c r="H36" s="15">
        <v>5100</v>
      </c>
      <c r="I36" s="15">
        <f>IF(OR(H36="",F36=""),"",MAX(H36,MIN(ROUND(H36*(1+Параметры!$B$5),IF(H36*(1+Параметры!$B$5)&gt;=1000,-1,0)),ROUND(F36*Параметры!$B$6,IF(F36*Параметры!$B$6&gt;=1000,-1,0)))))</f>
        <v>5870</v>
      </c>
      <c r="J36" s="15">
        <v>5865</v>
      </c>
      <c r="K36" s="15">
        <f>IF(OR(J36="",G36=""),"",MAX(J36,MIN(ROUND(J36*(1+Параметры!$B$5),IF(J36*(1+Параметры!$B$5)&gt;=1000,-1,0)),ROUND(G36*Параметры!$B$6,IF(G36*Параметры!$B$6&gt;=1000,-1,0)))))</f>
        <v>6740</v>
      </c>
      <c r="L36" s="16">
        <v>13</v>
      </c>
      <c r="M36" s="17">
        <f t="shared" si="4"/>
        <v>7.6923076923076927E-2</v>
      </c>
      <c r="N36" s="17">
        <f>IF(OR(L36="",L36=0),"",Параметры!$B$3/L36)</f>
        <v>0.61538461538461542</v>
      </c>
      <c r="O36" s="15">
        <f>IF(L36="","",IFERROR(INDEX('Почасовка — ставки и план'!$D$5:$D$24,MATCH($D36,'Почасовка — ставки и план'!$A$5:$A$24,0)),""))</f>
        <v>550</v>
      </c>
      <c r="P36" s="15">
        <f>IF(L36="","",IFERROR(INDEX('Почасовка — ставки и план'!$E$5:$E$24,MATCH($D36,'Почасовка — ставки и план'!$A$5:$A$24,0)),""))</f>
        <v>660</v>
      </c>
      <c r="Q36" s="15">
        <f t="shared" si="5"/>
        <v>7150</v>
      </c>
      <c r="R36" s="13" t="str">
        <f>IF(D36="TEX","аренда техники — сделка/счёт",IF(OR(Q36="",H36="",H36=0),"—",IF(Q36&lt;H36*(1-Параметры!$B$7),"почасовка",IF(Q36&gt;H36*(1+Параметры!$B$7),"сделка","любой способ"))))</f>
        <v>сделка</v>
      </c>
      <c r="S36">
        <v>0.1216470588235294</v>
      </c>
      <c r="T36">
        <v>0.17033248081841429</v>
      </c>
    </row>
    <row r="37" spans="1:20" x14ac:dyDescent="0.25">
      <c r="A37" s="13" t="s">
        <v>122</v>
      </c>
      <c r="B37" s="13" t="s">
        <v>123</v>
      </c>
      <c r="C37" s="13" t="s">
        <v>55</v>
      </c>
      <c r="D37" s="13" t="s">
        <v>60</v>
      </c>
      <c r="E37" s="13" t="str">
        <f>IFERROR(INDEX('Почасовка — ставки и план'!$B$5:$B$24,MATCH(D37,'Почасовка — ставки и план'!$A$5:$A$24,0)),"Аренда техники / механизмы")</f>
        <v>Разнорабочий / демонтажник</v>
      </c>
      <c r="F37" s="14">
        <v>12467</v>
      </c>
      <c r="G37" s="14">
        <v>14960</v>
      </c>
      <c r="H37" s="15">
        <v>6600</v>
      </c>
      <c r="I37" s="15">
        <f>IF(OR(H37="",F37=""),"",MAX(H37,MIN(ROUND(H37*(1+Параметры!$B$5),IF(H37*(1+Параметры!$B$5)&gt;=1000,-1,0)),ROUND(F37*Параметры!$B$6,IF(F37*Параметры!$B$6&gt;=1000,-1,0)))))</f>
        <v>7590</v>
      </c>
      <c r="J37" s="15">
        <v>7788</v>
      </c>
      <c r="K37" s="15">
        <f>IF(OR(J37="",G37=""),"",MAX(J37,MIN(ROUND(J37*(1+Параметры!$B$5),IF(J37*(1+Параметры!$B$5)&gt;=1000,-1,0)),ROUND(G37*Параметры!$B$6,IF(G37*Параметры!$B$6&gt;=1000,-1,0)))))</f>
        <v>8960</v>
      </c>
      <c r="L37" s="16">
        <v>17</v>
      </c>
      <c r="M37" s="17">
        <f t="shared" si="4"/>
        <v>5.8823529411764705E-2</v>
      </c>
      <c r="N37" s="17">
        <f>IF(OR(L37="",L37=0),"",Параметры!$B$3/L37)</f>
        <v>0.47058823529411764</v>
      </c>
      <c r="O37" s="15">
        <f>IF(L37="","",IFERROR(INDEX('Почасовка — ставки и план'!$D$5:$D$24,MATCH($D37,'Почасовка — ставки и план'!$A$5:$A$24,0)),""))</f>
        <v>550</v>
      </c>
      <c r="P37" s="15">
        <f>IF(L37="","",IFERROR(INDEX('Почасовка — ставки и план'!$E$5:$E$24,MATCH($D37,'Почасовка — ставки и план'!$A$5:$A$24,0)),""))</f>
        <v>660</v>
      </c>
      <c r="Q37" s="15">
        <f t="shared" si="5"/>
        <v>9350</v>
      </c>
      <c r="R37" s="13" t="str">
        <f>IF(D37="TEX","аренда техники — сделка/счёт",IF(OR(Q37="",H37="",H37=0),"—",IF(Q37&lt;H37*(1-Параметры!$B$7),"почасовка",IF(Q37&gt;H37*(1+Параметры!$B$7),"сделка","любой способ"))))</f>
        <v>сделка</v>
      </c>
      <c r="S37">
        <v>0.13336363636363641</v>
      </c>
      <c r="T37">
        <v>0.1333333333333333</v>
      </c>
    </row>
    <row r="38" spans="1:20" x14ac:dyDescent="0.25">
      <c r="A38" s="13" t="s">
        <v>124</v>
      </c>
      <c r="B38" s="13" t="s">
        <v>125</v>
      </c>
      <c r="C38" s="13" t="s">
        <v>69</v>
      </c>
      <c r="D38" s="13" t="s">
        <v>88</v>
      </c>
      <c r="E38" s="13" t="str">
        <f>IFERROR(INDEX('Почасовка — ставки и план'!$B$5:$B$24,MATCH(D38,'Почасовка — ставки и план'!$A$5:$A$24,0)),"Аренда техники / механизмы")</f>
        <v>Кровельщик</v>
      </c>
      <c r="F38" s="14">
        <v>427</v>
      </c>
      <c r="G38" s="14">
        <v>507</v>
      </c>
      <c r="H38" s="15">
        <v>150</v>
      </c>
      <c r="I38" s="15">
        <f>IF(OR(H38="",F38=""),"",MAX(H38,MIN(ROUND(H38*(1+Параметры!$B$5),IF(H38*(1+Параметры!$B$5)&gt;=1000,-1,0)),ROUND(F38*Параметры!$B$6,IF(F38*Параметры!$B$6&gt;=1000,-1,0)))))</f>
        <v>173</v>
      </c>
      <c r="J38" s="15">
        <v>172</v>
      </c>
      <c r="K38" s="15">
        <f>IF(OR(J38="",G38=""),"",MAX(J38,MIN(ROUND(J38*(1+Параметры!$B$5),IF(J38*(1+Параметры!$B$5)&gt;=1000,-1,0)),ROUND(G38*Параметры!$B$6,IF(G38*Параметры!$B$6&gt;=1000,-1,0)))))</f>
        <v>198</v>
      </c>
      <c r="L38" s="16">
        <v>0.4</v>
      </c>
      <c r="M38" s="17">
        <f t="shared" si="4"/>
        <v>2.5</v>
      </c>
      <c r="N38" s="17">
        <f>IF(OR(L38="",L38=0),"",Параметры!$B$3/L38)</f>
        <v>20</v>
      </c>
      <c r="O38" s="15">
        <f>IF(L38="","",IFERROR(INDEX('Почасовка — ставки и план'!$D$5:$D$24,MATCH($D38,'Почасовка — ставки и план'!$A$5:$A$24,0)),""))</f>
        <v>800</v>
      </c>
      <c r="P38" s="15">
        <f>IF(L38="","",IFERROR(INDEX('Почасовка — ставки и план'!$E$5:$E$24,MATCH($D38,'Почасовка — ставки и план'!$A$5:$A$24,0)),""))</f>
        <v>950</v>
      </c>
      <c r="Q38" s="15">
        <f t="shared" si="5"/>
        <v>320</v>
      </c>
      <c r="R38" s="13" t="str">
        <f>IF(D38="TEX","аренда техники — сделка/счёт",IF(OR(Q38="",H38="",H38=0),"—",IF(Q38&lt;H38*(1-Параметры!$B$7),"почасовка",IF(Q38&gt;H38*(1+Параметры!$B$7),"сделка","любой способ"))))</f>
        <v>сделка</v>
      </c>
      <c r="S38">
        <v>0.70799999999999996</v>
      </c>
      <c r="T38">
        <v>0.76041666666666674</v>
      </c>
    </row>
    <row r="39" spans="1:20" x14ac:dyDescent="0.25">
      <c r="A39" s="13" t="s">
        <v>126</v>
      </c>
      <c r="B39" s="13" t="s">
        <v>127</v>
      </c>
      <c r="C39" s="13" t="s">
        <v>72</v>
      </c>
      <c r="D39" s="13" t="s">
        <v>88</v>
      </c>
      <c r="E39" s="13" t="str">
        <f>IFERROR(INDEX('Почасовка — ставки и план'!$B$5:$B$24,MATCH(D39,'Почасовка — ставки и план'!$A$5:$A$24,0)),"Аренда техники / механизмы")</f>
        <v>Кровельщик</v>
      </c>
      <c r="F39" s="14">
        <v>267</v>
      </c>
      <c r="G39" s="14">
        <v>318</v>
      </c>
      <c r="H39" s="15">
        <v>130</v>
      </c>
      <c r="I39" s="15">
        <f>IF(OR(H39="",F39=""),"",MAX(H39,MIN(ROUND(H39*(1+Параметры!$B$5),IF(H39*(1+Параметры!$B$5)&gt;=1000,-1,0)),ROUND(F39*Параметры!$B$6,IF(F39*Параметры!$B$6&gt;=1000,-1,0)))))</f>
        <v>150</v>
      </c>
      <c r="J39" s="15">
        <v>150</v>
      </c>
      <c r="K39" s="15">
        <f>IF(OR(J39="",G39=""),"",MAX(J39,MIN(ROUND(J39*(1+Параметры!$B$5),IF(J39*(1+Параметры!$B$5)&gt;=1000,-1,0)),ROUND(G39*Параметры!$B$6,IF(G39*Параметры!$B$6&gt;=1000,-1,0)))))</f>
        <v>173</v>
      </c>
      <c r="L39" s="16">
        <v>0.25</v>
      </c>
      <c r="M39" s="17">
        <f t="shared" si="4"/>
        <v>4</v>
      </c>
      <c r="N39" s="17">
        <f>IF(OR(L39="",L39=0),"",Параметры!$B$3/L39)</f>
        <v>32</v>
      </c>
      <c r="O39" s="15">
        <f>IF(L39="","",IFERROR(INDEX('Почасовка — ставки и план'!$D$5:$D$24,MATCH($D39,'Почасовка — ставки и план'!$A$5:$A$24,0)),""))</f>
        <v>800</v>
      </c>
      <c r="P39" s="15">
        <f>IF(L39="","",IFERROR(INDEX('Почасовка — ставки и план'!$E$5:$E$24,MATCH($D39,'Почасовка — ставки и план'!$A$5:$A$24,0)),""))</f>
        <v>950</v>
      </c>
      <c r="Q39" s="15">
        <f t="shared" si="5"/>
        <v>200</v>
      </c>
      <c r="R39" s="13" t="str">
        <f>IF(D39="TEX","аренда техники — сделка/счёт",IF(OR(Q39="",H39="",H39=0),"—",IF(Q39&lt;H39*(1-Параметры!$B$7),"почасовка",IF(Q39&gt;H39*(1+Параметры!$B$7),"сделка","любой способ"))))</f>
        <v>сделка</v>
      </c>
      <c r="S39">
        <v>0.2136363636363636</v>
      </c>
      <c r="T39">
        <v>0.2569169960474309</v>
      </c>
    </row>
    <row r="40" spans="1:20" x14ac:dyDescent="0.25">
      <c r="A40" s="13" t="s">
        <v>128</v>
      </c>
      <c r="B40" s="13" t="s">
        <v>129</v>
      </c>
      <c r="C40" s="13" t="s">
        <v>72</v>
      </c>
      <c r="D40" s="13" t="s">
        <v>88</v>
      </c>
      <c r="E40" s="13" t="str">
        <f>IFERROR(INDEX('Почасовка — ставки и план'!$B$5:$B$24,MATCH(D40,'Почасовка — ставки и план'!$A$5:$A$24,0)),"Аренда техники / механизмы")</f>
        <v>Кровельщик</v>
      </c>
      <c r="F40" s="14">
        <v>192</v>
      </c>
      <c r="G40" s="14">
        <v>228</v>
      </c>
      <c r="H40" s="15">
        <v>90</v>
      </c>
      <c r="I40" s="15">
        <f>IF(OR(H40="",F40=""),"",MAX(H40,MIN(ROUND(H40*(1+Параметры!$B$5),IF(H40*(1+Параметры!$B$5)&gt;=1000,-1,0)),ROUND(F40*Параметры!$B$6,IF(F40*Параметры!$B$6&gt;=1000,-1,0)))))</f>
        <v>104</v>
      </c>
      <c r="J40" s="15">
        <v>103</v>
      </c>
      <c r="K40" s="15">
        <f>IF(OR(J40="",G40=""),"",MAX(J40,MIN(ROUND(J40*(1+Параметры!$B$5),IF(J40*(1+Параметры!$B$5)&gt;=1000,-1,0)),ROUND(G40*Параметры!$B$6,IF(G40*Параметры!$B$6&gt;=1000,-1,0)))))</f>
        <v>118</v>
      </c>
      <c r="L40" s="16">
        <v>0.18</v>
      </c>
      <c r="M40" s="17">
        <f t="shared" si="4"/>
        <v>5.5555555555555554</v>
      </c>
      <c r="N40" s="17">
        <f>IF(OR(L40="",L40=0),"",Параметры!$B$3/L40)</f>
        <v>44.444444444444443</v>
      </c>
      <c r="O40" s="15">
        <f>IF(L40="","",IFERROR(INDEX('Почасовка — ставки и план'!$D$5:$D$24,MATCH($D40,'Почасовка — ставки и план'!$A$5:$A$24,0)),""))</f>
        <v>800</v>
      </c>
      <c r="P40" s="15">
        <f>IF(L40="","",IFERROR(INDEX('Почасовка — ставки и план'!$E$5:$E$24,MATCH($D40,'Почасовка — ставки и план'!$A$5:$A$24,0)),""))</f>
        <v>950</v>
      </c>
      <c r="Q40" s="15">
        <f t="shared" si="5"/>
        <v>144</v>
      </c>
      <c r="R40" s="13" t="str">
        <f>IF(D40="TEX","аренда техники — сделка/счёт",IF(OR(Q40="",H40="",H40=0),"—",IF(Q40&lt;H40*(1-Параметры!$B$7),"почасовка",IF(Q40&gt;H40*(1+Параметры!$B$7),"сделка","любой способ"))))</f>
        <v>сделка</v>
      </c>
      <c r="S40">
        <v>0.28000000000000003</v>
      </c>
      <c r="T40">
        <v>0.32558139534883712</v>
      </c>
    </row>
    <row r="41" spans="1:20" x14ac:dyDescent="0.25">
      <c r="A41" s="13" t="s">
        <v>130</v>
      </c>
      <c r="B41" s="13" t="s">
        <v>131</v>
      </c>
      <c r="C41" s="13" t="s">
        <v>72</v>
      </c>
      <c r="D41" s="13" t="s">
        <v>88</v>
      </c>
      <c r="E41" s="13" t="str">
        <f>IFERROR(INDEX('Почасовка — ставки и план'!$B$5:$B$24,MATCH(D41,'Почасовка — ставки и план'!$A$5:$A$24,0)),"Аренда техники / механизмы")</f>
        <v>Кровельщик</v>
      </c>
      <c r="F41" s="14">
        <v>54</v>
      </c>
      <c r="G41" s="14">
        <v>64</v>
      </c>
      <c r="H41" s="15">
        <v>25</v>
      </c>
      <c r="I41" s="15">
        <f>IF(OR(H41="",F41=""),"",MAX(H41,MIN(ROUND(H41*(1+Параметры!$B$5),IF(H41*(1+Параметры!$B$5)&gt;=1000,-1,0)),ROUND(F41*Параметры!$B$6,IF(F41*Параметры!$B$6&gt;=1000,-1,0)))))</f>
        <v>29</v>
      </c>
      <c r="J41" s="15">
        <v>28.5</v>
      </c>
      <c r="K41" s="15">
        <f>IF(OR(J41="",G41=""),"",MAX(J41,MIN(ROUND(J41*(1+Параметры!$B$5),IF(J41*(1+Параметры!$B$5)&gt;=1000,-1,0)),ROUND(G41*Параметры!$B$6,IF(G41*Параметры!$B$6&gt;=1000,-1,0)))))</f>
        <v>33</v>
      </c>
      <c r="L41" s="16">
        <v>0.05</v>
      </c>
      <c r="M41" s="17">
        <f t="shared" si="4"/>
        <v>20</v>
      </c>
      <c r="N41" s="17">
        <f>IF(OR(L41="",L41=0),"",Параметры!$B$3/L41)</f>
        <v>160</v>
      </c>
      <c r="O41" s="15">
        <f>IF(L41="","",IFERROR(INDEX('Почасовка — ставки и план'!$D$5:$D$24,MATCH($D41,'Почасовка — ставки и план'!$A$5:$A$24,0)),""))</f>
        <v>800</v>
      </c>
      <c r="P41" s="15">
        <f>IF(L41="","",IFERROR(INDEX('Почасовка — ставки и план'!$E$5:$E$24,MATCH($D41,'Почасовка — ставки и план'!$A$5:$A$24,0)),""))</f>
        <v>950</v>
      </c>
      <c r="Q41" s="15">
        <f t="shared" si="5"/>
        <v>40</v>
      </c>
      <c r="R41" s="13" t="str">
        <f>IF(D41="TEX","аренда техники — сделка/счёт",IF(OR(Q41="",H41="",H41=0),"—",IF(Q41&lt;H41*(1-Параметры!$B$7),"почасовка",IF(Q41&gt;H41*(1+Параметры!$B$7),"сделка","любой способ"))))</f>
        <v>сделка</v>
      </c>
      <c r="S41">
        <v>0.35000000000000009</v>
      </c>
      <c r="T41">
        <v>0.39130434782608692</v>
      </c>
    </row>
    <row r="42" spans="1:20" x14ac:dyDescent="0.25">
      <c r="A42" s="13" t="s">
        <v>132</v>
      </c>
      <c r="B42" s="13" t="s">
        <v>133</v>
      </c>
      <c r="C42" s="13" t="s">
        <v>72</v>
      </c>
      <c r="D42" s="13" t="s">
        <v>88</v>
      </c>
      <c r="E42" s="13" t="str">
        <f>IFERROR(INDEX('Почасовка — ставки и план'!$B$5:$B$24,MATCH(D42,'Почасовка — ставки и план'!$A$5:$A$24,0)),"Аренда техники / механизмы")</f>
        <v>Кровельщик</v>
      </c>
      <c r="F42" s="14">
        <v>235</v>
      </c>
      <c r="G42" s="14">
        <v>279</v>
      </c>
      <c r="H42" s="15">
        <v>120</v>
      </c>
      <c r="I42" s="15">
        <f>IF(OR(H42="",F42=""),"",MAX(H42,MIN(ROUND(H42*(1+Параметры!$B$5),IF(H42*(1+Параметры!$B$5)&gt;=1000,-1,0)),ROUND(F42*Параметры!$B$6,IF(F42*Параметры!$B$6&gt;=1000,-1,0)))))</f>
        <v>138</v>
      </c>
      <c r="J42" s="15">
        <v>138</v>
      </c>
      <c r="K42" s="15">
        <f>IF(OR(J42="",G42=""),"",MAX(J42,MIN(ROUND(J42*(1+Параметры!$B$5),IF(J42*(1+Параметры!$B$5)&gt;=1000,-1,0)),ROUND(G42*Параметры!$B$6,IF(G42*Параметры!$B$6&gt;=1000,-1,0)))))</f>
        <v>159</v>
      </c>
      <c r="L42" s="16">
        <v>0.22</v>
      </c>
      <c r="M42" s="17">
        <f t="shared" si="4"/>
        <v>4.5454545454545459</v>
      </c>
      <c r="N42" s="17">
        <f>IF(OR(L42="",L42=0),"",Параметры!$B$3/L42)</f>
        <v>36.363636363636367</v>
      </c>
      <c r="O42" s="15">
        <f>IF(L42="","",IFERROR(INDEX('Почасовка — ставки и план'!$D$5:$D$24,MATCH($D42,'Почасовка — ставки и план'!$A$5:$A$24,0)),""))</f>
        <v>800</v>
      </c>
      <c r="P42" s="15">
        <f>IF(L42="","",IFERROR(INDEX('Почасовка — ставки и план'!$E$5:$E$24,MATCH($D42,'Почасовка — ставки и план'!$A$5:$A$24,0)),""))</f>
        <v>950</v>
      </c>
      <c r="Q42" s="15">
        <f t="shared" si="5"/>
        <v>176</v>
      </c>
      <c r="R42" s="13" t="str">
        <f>IF(D42="TEX","аренда техники — сделка/счёт",IF(OR(Q42="",H42="",H42=0),"—",IF(Q42&lt;H42*(1-Параметры!$B$7),"почасовка",IF(Q42&gt;H42*(1+Параметры!$B$7),"сделка","любой способ"))))</f>
        <v>сделка</v>
      </c>
      <c r="S42">
        <v>0.17499999999999999</v>
      </c>
      <c r="T42">
        <v>0.2130434782608697</v>
      </c>
    </row>
    <row r="43" spans="1:20" x14ac:dyDescent="0.25">
      <c r="A43" s="13" t="s">
        <v>134</v>
      </c>
      <c r="B43" s="13" t="s">
        <v>135</v>
      </c>
      <c r="C43" s="13" t="s">
        <v>69</v>
      </c>
      <c r="D43" s="13" t="s">
        <v>88</v>
      </c>
      <c r="E43" s="13" t="str">
        <f>IFERROR(INDEX('Почасовка — ставки и план'!$B$5:$B$24,MATCH(D43,'Почасовка — ставки и план'!$A$5:$A$24,0)),"Аренда техники / механизмы")</f>
        <v>Кровельщик</v>
      </c>
      <c r="F43" s="14">
        <v>160</v>
      </c>
      <c r="G43" s="14">
        <v>191</v>
      </c>
      <c r="H43" s="15">
        <v>70</v>
      </c>
      <c r="I43" s="15">
        <f>IF(OR(H43="",F43=""),"",MAX(H43,MIN(ROUND(H43*(1+Параметры!$B$5),IF(H43*(1+Параметры!$B$5)&gt;=1000,-1,0)),ROUND(F43*Параметры!$B$6,IF(F43*Параметры!$B$6&gt;=1000,-1,0)))))</f>
        <v>81</v>
      </c>
      <c r="J43" s="15">
        <v>80.5</v>
      </c>
      <c r="K43" s="15">
        <f>IF(OR(J43="",G43=""),"",MAX(J43,MIN(ROUND(J43*(1+Параметры!$B$5),IF(J43*(1+Параметры!$B$5)&gt;=1000,-1,0)),ROUND(G43*Параметры!$B$6,IF(G43*Параметры!$B$6&gt;=1000,-1,0)))))</f>
        <v>93</v>
      </c>
      <c r="L43" s="16">
        <v>0.15</v>
      </c>
      <c r="M43" s="17">
        <f t="shared" si="4"/>
        <v>6.666666666666667</v>
      </c>
      <c r="N43" s="17">
        <f>IF(OR(L43="",L43=0),"",Параметры!$B$3/L43)</f>
        <v>53.333333333333336</v>
      </c>
      <c r="O43" s="15">
        <f>IF(L43="","",IFERROR(INDEX('Почасовка — ставки и план'!$D$5:$D$24,MATCH($D43,'Почасовка — ставки и план'!$A$5:$A$24,0)),""))</f>
        <v>800</v>
      </c>
      <c r="P43" s="15">
        <f>IF(L43="","",IFERROR(INDEX('Почасовка — ставки и план'!$E$5:$E$24,MATCH($D43,'Почасовка — ставки и план'!$A$5:$A$24,0)),""))</f>
        <v>950</v>
      </c>
      <c r="Q43" s="15">
        <f t="shared" si="5"/>
        <v>120</v>
      </c>
      <c r="R43" s="13" t="str">
        <f>IF(D43="TEX","аренда техники — сделка/счёт",IF(OR(Q43="",H43="",H43=0),"—",IF(Q43&lt;H43*(1-Параметры!$B$7),"почасовка",IF(Q43&gt;H43*(1+Параметры!$B$7),"сделка","любой способ"))))</f>
        <v>сделка</v>
      </c>
      <c r="S43">
        <v>0.33333333333333331</v>
      </c>
      <c r="T43">
        <v>0.38405797101449268</v>
      </c>
    </row>
    <row r="44" spans="1:20" x14ac:dyDescent="0.25">
      <c r="A44" s="13" t="s">
        <v>136</v>
      </c>
      <c r="B44" s="13" t="s">
        <v>137</v>
      </c>
      <c r="C44" s="13" t="s">
        <v>72</v>
      </c>
      <c r="D44" s="13" t="s">
        <v>88</v>
      </c>
      <c r="E44" s="13" t="str">
        <f>IFERROR(INDEX('Почасовка — ставки и план'!$B$5:$B$24,MATCH(D44,'Почасовка — ставки и план'!$A$5:$A$24,0)),"Аренда техники / механизмы")</f>
        <v>Кровельщик</v>
      </c>
      <c r="F44" s="14">
        <v>107</v>
      </c>
      <c r="G44" s="14">
        <v>127</v>
      </c>
      <c r="H44" s="15">
        <v>55</v>
      </c>
      <c r="I44" s="15">
        <f>IF(OR(H44="",F44=""),"",MAX(H44,MIN(ROUND(H44*(1+Параметры!$B$5),IF(H44*(1+Параметры!$B$5)&gt;=1000,-1,0)),ROUND(F44*Параметры!$B$6,IF(F44*Параметры!$B$6&gt;=1000,-1,0)))))</f>
        <v>63</v>
      </c>
      <c r="J44" s="15">
        <v>63</v>
      </c>
      <c r="K44" s="15">
        <f>IF(OR(J44="",G44=""),"",MAX(J44,MIN(ROUND(J44*(1+Параметры!$B$5),IF(J44*(1+Параметры!$B$5)&gt;=1000,-1,0)),ROUND(G44*Параметры!$B$6,IF(G44*Параметры!$B$6&gt;=1000,-1,0)))))</f>
        <v>72</v>
      </c>
      <c r="L44" s="16">
        <v>0.1</v>
      </c>
      <c r="M44" s="17">
        <f t="shared" si="4"/>
        <v>10</v>
      </c>
      <c r="N44" s="17">
        <f>IF(OR(L44="",L44=0),"",Параметры!$B$3/L44)</f>
        <v>80</v>
      </c>
      <c r="O44" s="15">
        <f>IF(L44="","",IFERROR(INDEX('Почасовка — ставки и план'!$D$5:$D$24,MATCH($D44,'Почасовка — ставки и план'!$A$5:$A$24,0)),""))</f>
        <v>800</v>
      </c>
      <c r="P44" s="15">
        <f>IF(L44="","",IFERROR(INDEX('Почасовка — ставки и план'!$E$5:$E$24,MATCH($D44,'Почасовка — ставки и план'!$A$5:$A$24,0)),""))</f>
        <v>950</v>
      </c>
      <c r="Q44" s="15">
        <f t="shared" si="5"/>
        <v>80</v>
      </c>
      <c r="R44" s="13" t="str">
        <f>IF(D44="TEX","аренда техники — сделка/счёт",IF(OR(Q44="",H44="",H44=0),"—",IF(Q44&lt;H44*(1-Параметры!$B$7),"почасовка",IF(Q44&gt;H44*(1+Параметры!$B$7),"сделка","любой способ"))))</f>
        <v>сделка</v>
      </c>
      <c r="S44">
        <v>0.18888888888888891</v>
      </c>
      <c r="T44">
        <v>0.233009708737864</v>
      </c>
    </row>
    <row r="45" spans="1:20" x14ac:dyDescent="0.25">
      <c r="A45" s="18" t="s">
        <v>138</v>
      </c>
      <c r="B45" s="13" t="s">
        <v>139</v>
      </c>
      <c r="C45" s="13" t="s">
        <v>72</v>
      </c>
      <c r="D45" s="13" t="s">
        <v>88</v>
      </c>
      <c r="E45" s="13" t="str">
        <f>IFERROR(INDEX('Почасовка — ставки и план'!$B$5:$B$24,MATCH(D45,'Почасовка — ставки и план'!$A$5:$A$24,0)),"Аренда техники / механизмы")</f>
        <v>Кровельщик</v>
      </c>
      <c r="F45" s="14">
        <v>534</v>
      </c>
      <c r="G45" s="14">
        <v>634</v>
      </c>
      <c r="H45" s="15">
        <v>270</v>
      </c>
      <c r="I45" s="15">
        <f>IF(OR(H45="",F45=""),"",MAX(H45,MIN(ROUND(H45*(1+Параметры!$B$5),IF(H45*(1+Параметры!$B$5)&gt;=1000,-1,0)),ROUND(F45*Параметры!$B$6,IF(F45*Параметры!$B$6&gt;=1000,-1,0)))))</f>
        <v>311</v>
      </c>
      <c r="J45" s="15">
        <v>310</v>
      </c>
      <c r="K45" s="15">
        <f>IF(OR(J45="",G45=""),"",MAX(J45,MIN(ROUND(J45*(1+Параметры!$B$5),IF(J45*(1+Параметры!$B$5)&gt;=1000,-1,0)),ROUND(G45*Параметры!$B$6,IF(G45*Параметры!$B$6&gt;=1000,-1,0)))))</f>
        <v>357</v>
      </c>
      <c r="L45" s="16">
        <v>0.5</v>
      </c>
      <c r="M45" s="17">
        <f t="shared" si="4"/>
        <v>2</v>
      </c>
      <c r="N45" s="17">
        <f>IF(OR(L45="",L45=0),"",Параметры!$B$3/L45)</f>
        <v>16</v>
      </c>
      <c r="O45" s="15">
        <f>IF(L45="","",IFERROR(INDEX('Почасовка — ставки и план'!$D$5:$D$24,MATCH($D45,'Почасовка — ставки и план'!$A$5:$A$24,0)),""))</f>
        <v>800</v>
      </c>
      <c r="P45" s="15">
        <f>IF(L45="","",IFERROR(INDEX('Почасовка — ставки и план'!$E$5:$E$24,MATCH($D45,'Почасовка — ставки и план'!$A$5:$A$24,0)),""))</f>
        <v>950</v>
      </c>
      <c r="Q45" s="15">
        <f t="shared" si="5"/>
        <v>400</v>
      </c>
      <c r="R45" s="13" t="str">
        <f>IF(D45="TEX","аренда техники — сделка/счёт",IF(OR(Q45="",H45="",H45=0),"—",IF(Q45&lt;H45*(1-Параметры!$B$7),"почасовка",IF(Q45&gt;H45*(1+Параметры!$B$7),"сделка","любой способ"))))</f>
        <v>сделка</v>
      </c>
      <c r="S45">
        <v>0.18666666666666679</v>
      </c>
      <c r="T45">
        <v>0.22393822393822391</v>
      </c>
    </row>
    <row r="46" spans="1:20" x14ac:dyDescent="0.25">
      <c r="A46" s="18" t="s">
        <v>140</v>
      </c>
      <c r="B46" s="13" t="s">
        <v>141</v>
      </c>
      <c r="C46" s="13" t="s">
        <v>72</v>
      </c>
      <c r="D46" s="13" t="s">
        <v>88</v>
      </c>
      <c r="E46" s="13" t="str">
        <f>IFERROR(INDEX('Почасовка — ставки и план'!$B$5:$B$24,MATCH(D46,'Почасовка — ставки и план'!$A$5:$A$24,0)),"Аренда техники / механизмы")</f>
        <v>Кровельщик</v>
      </c>
      <c r="F46" s="14">
        <v>214</v>
      </c>
      <c r="G46" s="14">
        <v>254</v>
      </c>
      <c r="H46" s="15">
        <v>120</v>
      </c>
      <c r="I46" s="15">
        <f>IF(OR(H46="",F46=""),"",MAX(H46,MIN(ROUND(H46*(1+Параметры!$B$5),IF(H46*(1+Параметры!$B$5)&gt;=1000,-1,0)),ROUND(F46*Параметры!$B$6,IF(F46*Параметры!$B$6&gt;=1000,-1,0)))))</f>
        <v>138</v>
      </c>
      <c r="J46" s="15">
        <v>138</v>
      </c>
      <c r="K46" s="15">
        <f>IF(OR(J46="",G46=""),"",MAX(J46,MIN(ROUND(J46*(1+Параметры!$B$5),IF(J46*(1+Параметры!$B$5)&gt;=1000,-1,0)),ROUND(G46*Параметры!$B$6,IF(G46*Параметры!$B$6&gt;=1000,-1,0)))))</f>
        <v>159</v>
      </c>
      <c r="L46" s="16">
        <v>0.2</v>
      </c>
      <c r="M46" s="17">
        <f t="shared" si="4"/>
        <v>5</v>
      </c>
      <c r="N46" s="17">
        <f>IF(OR(L46="",L46=0),"",Параметры!$B$3/L46)</f>
        <v>40</v>
      </c>
      <c r="O46" s="15">
        <f>IF(L46="","",IFERROR(INDEX('Почасовка — ставки и план'!$D$5:$D$24,MATCH($D46,'Почасовка — ставки и план'!$A$5:$A$24,0)),""))</f>
        <v>800</v>
      </c>
      <c r="P46" s="15">
        <f>IF(L46="","",IFERROR(INDEX('Почасовка — ставки и план'!$E$5:$E$24,MATCH($D46,'Почасовка — ставки и план'!$A$5:$A$24,0)),""))</f>
        <v>950</v>
      </c>
      <c r="Q46" s="15">
        <f t="shared" si="5"/>
        <v>160</v>
      </c>
      <c r="R46" s="13" t="str">
        <f>IF(D46="TEX","аренда техники — сделка/счёт",IF(OR(Q46="",H46="",H46=0),"—",IF(Q46&lt;H46*(1-Параметры!$B$7),"почасовка",IF(Q46&gt;H46*(1+Параметры!$B$7),"сделка","любой способ"))))</f>
        <v>сделка</v>
      </c>
      <c r="S46">
        <v>7.0000000000000062E-2</v>
      </c>
      <c r="T46">
        <v>0.1043478260869566</v>
      </c>
    </row>
    <row r="47" spans="1:20" x14ac:dyDescent="0.25">
      <c r="A47" s="18" t="s">
        <v>142</v>
      </c>
      <c r="B47" s="13" t="s">
        <v>143</v>
      </c>
      <c r="C47" s="13" t="s">
        <v>144</v>
      </c>
      <c r="D47" s="13" t="s">
        <v>88</v>
      </c>
      <c r="E47" s="13" t="str">
        <f>IFERROR(INDEX('Почасовка — ставки и план'!$B$5:$B$24,MATCH(D47,'Почасовка — ставки и план'!$A$5:$A$24,0)),"Аренда техники / механизмы")</f>
        <v>Кровельщик</v>
      </c>
      <c r="F47" s="14">
        <v>900</v>
      </c>
      <c r="G47" s="14">
        <v>1035</v>
      </c>
      <c r="H47" s="15">
        <v>540</v>
      </c>
      <c r="I47" s="15">
        <f>IF(OR(H47="",F47=""),"",MAX(H47,MIN(ROUND(H47*(1+Параметры!$B$5),IF(H47*(1+Параметры!$B$5)&gt;=1000,-1,0)),ROUND(F47*Параметры!$B$6,IF(F47*Параметры!$B$6&gt;=1000,-1,0)))))</f>
        <v>621</v>
      </c>
      <c r="J47" s="15">
        <v>621</v>
      </c>
      <c r="K47" s="15">
        <f>IF(OR(J47="",G47=""),"",MAX(J47,MIN(ROUND(J47*(1+Параметры!$B$5),IF(J47*(1+Параметры!$B$5)&gt;=1000,-1,0)),ROUND(G47*Параметры!$B$6,IF(G47*Параметры!$B$6&gt;=1000,-1,0)))))</f>
        <v>714</v>
      </c>
      <c r="L47" s="16">
        <v>0.8</v>
      </c>
      <c r="M47" s="17">
        <f t="shared" si="4"/>
        <v>1.25</v>
      </c>
      <c r="N47" s="17">
        <f>IF(OR(L47="",L47=0),"",Параметры!$B$3/L47)</f>
        <v>10</v>
      </c>
      <c r="O47" s="15">
        <f>IF(L47="","",IFERROR(INDEX('Почасовка — ставки и план'!$D$5:$D$24,MATCH($D47,'Почасовка — ставки и план'!$A$5:$A$24,0)),""))</f>
        <v>800</v>
      </c>
      <c r="P47" s="15">
        <f>IF(L47="","",IFERROR(INDEX('Почасовка — ставки и план'!$E$5:$E$24,MATCH($D47,'Почасовка — ставки и план'!$A$5:$A$24,0)),""))</f>
        <v>950</v>
      </c>
      <c r="Q47" s="15">
        <f t="shared" si="5"/>
        <v>640</v>
      </c>
      <c r="R47" s="13" t="str">
        <f>IF(D47="TEX","аренда техники — сделка/счёт",IF(OR(Q47="",H47="",H47=0),"—",IF(Q47&lt;H47*(1-Параметры!$B$7),"почасовка",IF(Q47&gt;H47*(1+Параметры!$B$7),"сделка","любой способ"))))</f>
        <v>сделка</v>
      </c>
      <c r="S47">
        <v>0</v>
      </c>
      <c r="T47">
        <v>0</v>
      </c>
    </row>
    <row r="48" spans="1:20" x14ac:dyDescent="0.25">
      <c r="A48" s="18" t="s">
        <v>145</v>
      </c>
      <c r="B48" s="13" t="s">
        <v>146</v>
      </c>
      <c r="C48" s="13" t="s">
        <v>69</v>
      </c>
      <c r="D48" s="13" t="s">
        <v>91</v>
      </c>
      <c r="E48" s="13" t="str">
        <f>IFERROR(INDEX('Почасовка — ставки и план'!$B$5:$B$24,MATCH(D48,'Почасовка — ставки и план'!$A$5:$A$24,0)),"Аренда техники / механизмы")</f>
        <v>Фасадчик / промальпинист</v>
      </c>
      <c r="F48" s="14">
        <v>220</v>
      </c>
      <c r="G48" s="14">
        <v>260</v>
      </c>
      <c r="H48" s="15">
        <v>70</v>
      </c>
      <c r="I48" s="15">
        <f>IF(OR(H48="",F48=""),"",MAX(H48,MIN(ROUND(H48*(1+Параметры!$B$5),IF(H48*(1+Параметры!$B$5)&gt;=1000,-1,0)),ROUND(F48*Параметры!$B$6,IF(F48*Параметры!$B$6&gt;=1000,-1,0)))))</f>
        <v>81</v>
      </c>
      <c r="J48" s="15">
        <v>80.5</v>
      </c>
      <c r="K48" s="15">
        <f>IF(OR(J48="",G48=""),"",MAX(J48,MIN(ROUND(J48*(1+Параметры!$B$5),IF(J48*(1+Параметры!$B$5)&gt;=1000,-1,0)),ROUND(G48*Параметры!$B$6,IF(G48*Параметры!$B$6&gt;=1000,-1,0)))))</f>
        <v>93</v>
      </c>
      <c r="L48" s="16">
        <v>0.15</v>
      </c>
      <c r="M48" s="17">
        <f t="shared" si="4"/>
        <v>6.666666666666667</v>
      </c>
      <c r="N48" s="17">
        <f>IF(OR(L48="",L48=0),"",Параметры!$B$3/L48)</f>
        <v>53.333333333333336</v>
      </c>
      <c r="O48" s="15">
        <f>IF(L48="","",IFERROR(INDEX('Почасовка — ставки и план'!$D$5:$D$24,MATCH($D48,'Почасовка — ставки и план'!$A$5:$A$24,0)),""))</f>
        <v>1100</v>
      </c>
      <c r="P48" s="15">
        <f>IF(L48="","",IFERROR(INDEX('Почасовка — ставки и план'!$E$5:$E$24,MATCH($D48,'Почасовка — ставки и план'!$A$5:$A$24,0)),""))</f>
        <v>1300</v>
      </c>
      <c r="Q48" s="15">
        <f t="shared" si="5"/>
        <v>165</v>
      </c>
      <c r="R48" s="13" t="str">
        <f>IF(D48="TEX","аренда техники — сделка/счёт",IF(OR(Q48="",H48="",H48=0),"—",IF(Q48&lt;H48*(1-Параметры!$B$7),"почасовка",IF(Q48&gt;H48*(1+Параметры!$B$7),"сделка","любой способ"))))</f>
        <v>сделка</v>
      </c>
      <c r="S48">
        <v>0.83333333333333326</v>
      </c>
      <c r="T48">
        <v>0.88405797101449268</v>
      </c>
    </row>
    <row r="49" spans="1:20" x14ac:dyDescent="0.25">
      <c r="A49" s="18" t="s">
        <v>147</v>
      </c>
      <c r="B49" s="13" t="s">
        <v>148</v>
      </c>
      <c r="C49" s="13" t="s">
        <v>144</v>
      </c>
      <c r="D49" s="13" t="s">
        <v>88</v>
      </c>
      <c r="E49" s="13" t="str">
        <f>IFERROR(INDEX('Почасовка — ставки и план'!$B$5:$B$24,MATCH(D49,'Почасовка — ставки и план'!$A$5:$A$24,0)),"Аренда техники / механизмы")</f>
        <v>Кровельщик</v>
      </c>
      <c r="F49" s="14">
        <v>6000</v>
      </c>
      <c r="G49" s="14">
        <v>6900</v>
      </c>
      <c r="H49" s="15">
        <v>3600</v>
      </c>
      <c r="I49" s="15">
        <f>IF(OR(H49="",F49=""),"",MAX(H49,MIN(ROUND(H49*(1+Параметры!$B$5),IF(H49*(1+Параметры!$B$5)&gt;=1000,-1,0)),ROUND(F49*Параметры!$B$6,IF(F49*Параметры!$B$6&gt;=1000,-1,0)))))</f>
        <v>4140</v>
      </c>
      <c r="J49" s="15">
        <v>4140</v>
      </c>
      <c r="K49" s="15">
        <f>IF(OR(J49="",G49=""),"",MAX(J49,MIN(ROUND(J49*(1+Параметры!$B$5),IF(J49*(1+Параметры!$B$5)&gt;=1000,-1,0)),ROUND(G49*Параметры!$B$6,IF(G49*Параметры!$B$6&gt;=1000,-1,0)))))</f>
        <v>4760</v>
      </c>
      <c r="L49" s="16">
        <v>4</v>
      </c>
      <c r="M49" s="17">
        <f t="shared" si="4"/>
        <v>0.25</v>
      </c>
      <c r="N49" s="17">
        <f>IF(OR(L49="",L49=0),"",Параметры!$B$3/L49)</f>
        <v>2</v>
      </c>
      <c r="O49" s="15">
        <f>IF(L49="","",IFERROR(INDEX('Почасовка — ставки и план'!$D$5:$D$24,MATCH($D49,'Почасовка — ставки и план'!$A$5:$A$24,0)),""))</f>
        <v>800</v>
      </c>
      <c r="P49" s="15">
        <f>IF(L49="","",IFERROR(INDEX('Почасовка — ставки и план'!$E$5:$E$24,MATCH($D49,'Почасовка — ставки и план'!$A$5:$A$24,0)),""))</f>
        <v>950</v>
      </c>
      <c r="Q49" s="15">
        <f t="shared" si="5"/>
        <v>3200</v>
      </c>
      <c r="R49" s="13" t="str">
        <f>IF(D49="TEX","аренда техники — сделка/счёт",IF(OR(Q49="",H49="",H49=0),"—",IF(Q49&lt;H49*(1-Параметры!$B$7),"почасовка",IF(Q49&gt;H49*(1+Параметры!$B$7),"сделка","любой способ"))))</f>
        <v>почасовка</v>
      </c>
      <c r="S49">
        <v>0</v>
      </c>
      <c r="T49">
        <v>0</v>
      </c>
    </row>
    <row r="50" spans="1:20" x14ac:dyDescent="0.25">
      <c r="A50" s="11" t="s">
        <v>149</v>
      </c>
      <c r="B50" s="12"/>
      <c r="C50" s="12"/>
      <c r="D50" s="12"/>
      <c r="E50" s="12"/>
      <c r="F50" s="12"/>
      <c r="G50" s="12"/>
      <c r="H50" s="12"/>
      <c r="I50" s="12"/>
      <c r="J50" s="12"/>
      <c r="K50" s="12"/>
      <c r="L50" s="12"/>
      <c r="M50" s="12"/>
      <c r="N50" s="12"/>
      <c r="O50" s="12"/>
      <c r="P50" s="12"/>
      <c r="Q50" s="12"/>
      <c r="R50" s="12"/>
    </row>
    <row r="51" spans="1:20" x14ac:dyDescent="0.25">
      <c r="A51" s="13" t="s">
        <v>150</v>
      </c>
      <c r="B51" s="13" t="s">
        <v>151</v>
      </c>
      <c r="C51" s="13" t="s">
        <v>152</v>
      </c>
      <c r="D51" s="13" t="s">
        <v>64</v>
      </c>
      <c r="E51" s="13" t="str">
        <f>IFERROR(INDEX('Почасовка — ставки и план'!$B$5:$B$24,MATCH(D51,'Почасовка — ставки и план'!$A$5:$A$24,0)),"Аренда техники / механизмы")</f>
        <v>Сварщик / монтажник МК</v>
      </c>
      <c r="F51" s="14">
        <v>24000</v>
      </c>
      <c r="G51" s="14">
        <v>28800</v>
      </c>
      <c r="H51" s="15">
        <v>7200</v>
      </c>
      <c r="I51" s="15">
        <f>IF(OR(H51="",F51=""),"",MAX(H51,MIN(ROUND(H51*(1+Параметры!$B$5),IF(H51*(1+Параметры!$B$5)&gt;=1000,-1,0)),ROUND(F51*Параметры!$B$6,IF(F51*Параметры!$B$6&gt;=1000,-1,0)))))</f>
        <v>8280</v>
      </c>
      <c r="J51" s="15">
        <v>8280</v>
      </c>
      <c r="K51" s="15">
        <f>IF(OR(J51="",G51=""),"",MAX(J51,MIN(ROUND(J51*(1+Параметры!$B$5),IF(J51*(1+Параметры!$B$5)&gt;=1000,-1,0)),ROUND(G51*Параметры!$B$6,IF(G51*Параметры!$B$6&gt;=1000,-1,0)))))</f>
        <v>9520</v>
      </c>
      <c r="L51" s="16">
        <v>20</v>
      </c>
      <c r="M51" s="17">
        <f t="shared" ref="M51:M58" si="6">IF(OR(L51="",L51=0),"",1/L51)</f>
        <v>0.05</v>
      </c>
      <c r="N51" s="17">
        <f>IF(OR(L51="",L51=0),"",Параметры!$B$3/L51)</f>
        <v>0.4</v>
      </c>
      <c r="O51" s="15">
        <f>IF(L51="","",IFERROR(INDEX('Почасовка — ставки и план'!$D$5:$D$24,MATCH($D51,'Почасовка — ставки и план'!$A$5:$A$24,0)),""))</f>
        <v>900</v>
      </c>
      <c r="P51" s="15">
        <f>IF(L51="","",IFERROR(INDEX('Почасовка — ставки и план'!$E$5:$E$24,MATCH($D51,'Почасовка — ставки и план'!$A$5:$A$24,0)),""))</f>
        <v>1080</v>
      </c>
      <c r="Q51" s="15">
        <f t="shared" ref="Q51:Q58" si="7">IF(OR(L51="",O51=""),"",ROUND(L51*O51,0))</f>
        <v>18000</v>
      </c>
      <c r="R51" s="13" t="str">
        <f>IF(D51="TEX","аренда техники — сделка/счёт",IF(OR(Q51="",H51="",H51=0),"—",IF(Q51&lt;H51*(1-Параметры!$B$7),"почасовка",IF(Q51&gt;H51*(1+Параметры!$B$7),"сделка","любой способ"))))</f>
        <v>сделка</v>
      </c>
      <c r="S51">
        <v>1</v>
      </c>
      <c r="T51">
        <v>1.0869565217391299</v>
      </c>
    </row>
    <row r="52" spans="1:20" x14ac:dyDescent="0.25">
      <c r="A52" s="13" t="s">
        <v>153</v>
      </c>
      <c r="B52" s="13" t="s">
        <v>154</v>
      </c>
      <c r="C52" s="13" t="s">
        <v>55</v>
      </c>
      <c r="D52" s="13" t="s">
        <v>60</v>
      </c>
      <c r="E52" s="13" t="str">
        <f>IFERROR(INDEX('Почасовка — ставки и план'!$B$5:$B$24,MATCH(D52,'Почасовка — ставки и план'!$A$5:$A$24,0)),"Аренда техники / механизмы")</f>
        <v>Разнорабочий / демонтажник</v>
      </c>
      <c r="F52" s="14">
        <v>12467</v>
      </c>
      <c r="G52" s="14">
        <v>14960</v>
      </c>
      <c r="H52" s="15">
        <v>6600</v>
      </c>
      <c r="I52" s="15">
        <f>IF(OR(H52="",F52=""),"",MAX(H52,MIN(ROUND(H52*(1+Параметры!$B$5),IF(H52*(1+Параметры!$B$5)&gt;=1000,-1,0)),ROUND(F52*Параметры!$B$6,IF(F52*Параметры!$B$6&gt;=1000,-1,0)))))</f>
        <v>7590</v>
      </c>
      <c r="J52" s="15">
        <v>7788</v>
      </c>
      <c r="K52" s="15">
        <f>IF(OR(J52="",G52=""),"",MAX(J52,MIN(ROUND(J52*(1+Параметры!$B$5),IF(J52*(1+Параметры!$B$5)&gt;=1000,-1,0)),ROUND(G52*Параметры!$B$6,IF(G52*Параметры!$B$6&gt;=1000,-1,0)))))</f>
        <v>8960</v>
      </c>
      <c r="L52" s="16">
        <v>17</v>
      </c>
      <c r="M52" s="17">
        <f t="shared" si="6"/>
        <v>5.8823529411764705E-2</v>
      </c>
      <c r="N52" s="17">
        <f>IF(OR(L52="",L52=0),"",Параметры!$B$3/L52)</f>
        <v>0.47058823529411764</v>
      </c>
      <c r="O52" s="15">
        <f>IF(L52="","",IFERROR(INDEX('Почасовка — ставки и план'!$D$5:$D$24,MATCH($D52,'Почасовка — ставки и план'!$A$5:$A$24,0)),""))</f>
        <v>550</v>
      </c>
      <c r="P52" s="15">
        <f>IF(L52="","",IFERROR(INDEX('Почасовка — ставки и план'!$E$5:$E$24,MATCH($D52,'Почасовка — ставки и план'!$A$5:$A$24,0)),""))</f>
        <v>660</v>
      </c>
      <c r="Q52" s="15">
        <f t="shared" si="7"/>
        <v>9350</v>
      </c>
      <c r="R52" s="13" t="str">
        <f>IF(D52="TEX","аренда техники — сделка/счёт",IF(OR(Q52="",H52="",H52=0),"—",IF(Q52&lt;H52*(1-Параметры!$B$7),"почасовка",IF(Q52&gt;H52*(1+Параметры!$B$7),"сделка","любой способ"))))</f>
        <v>сделка</v>
      </c>
      <c r="S52">
        <v>0.13336363636363641</v>
      </c>
      <c r="T52">
        <v>0.1333333333333333</v>
      </c>
    </row>
    <row r="53" spans="1:20" x14ac:dyDescent="0.25">
      <c r="A53" s="13" t="s">
        <v>155</v>
      </c>
      <c r="B53" s="13" t="s">
        <v>156</v>
      </c>
      <c r="C53" s="13" t="s">
        <v>55</v>
      </c>
      <c r="D53" s="13" t="s">
        <v>60</v>
      </c>
      <c r="E53" s="13" t="str">
        <f>IFERROR(INDEX('Почасовка — ставки и план'!$B$5:$B$24,MATCH(D53,'Почасовка — ставки и план'!$A$5:$A$24,0)),"Аренда техники / механизмы")</f>
        <v>Разнорабочий / демонтажник</v>
      </c>
      <c r="F53" s="14">
        <v>9534</v>
      </c>
      <c r="G53" s="14">
        <v>11440</v>
      </c>
      <c r="H53" s="15">
        <v>5100</v>
      </c>
      <c r="I53" s="15">
        <f>IF(OR(H53="",F53=""),"",MAX(H53,MIN(ROUND(H53*(1+Параметры!$B$5),IF(H53*(1+Параметры!$B$5)&gt;=1000,-1,0)),ROUND(F53*Параметры!$B$6,IF(F53*Параметры!$B$6&gt;=1000,-1,0)))))</f>
        <v>5870</v>
      </c>
      <c r="J53" s="15">
        <v>6018</v>
      </c>
      <c r="K53" s="15">
        <f>IF(OR(J53="",G53=""),"",MAX(J53,MIN(ROUND(J53*(1+Параметры!$B$5),IF(J53*(1+Параметры!$B$5)&gt;=1000,-1,0)),ROUND(G53*Параметры!$B$6,IF(G53*Параметры!$B$6&gt;=1000,-1,0)))))</f>
        <v>6920</v>
      </c>
      <c r="L53" s="16">
        <v>13</v>
      </c>
      <c r="M53" s="17">
        <f t="shared" si="6"/>
        <v>7.6923076923076927E-2</v>
      </c>
      <c r="N53" s="17">
        <f>IF(OR(L53="",L53=0),"",Параметры!$B$3/L53)</f>
        <v>0.61538461538461542</v>
      </c>
      <c r="O53" s="15">
        <f>IF(L53="","",IFERROR(INDEX('Почасовка — ставки и план'!$D$5:$D$24,MATCH($D53,'Почасовка — ставки и план'!$A$5:$A$24,0)),""))</f>
        <v>550</v>
      </c>
      <c r="P53" s="15">
        <f>IF(L53="","",IFERROR(INDEX('Почасовка — ставки и план'!$E$5:$E$24,MATCH($D53,'Почасовка — ставки и план'!$A$5:$A$24,0)),""))</f>
        <v>660</v>
      </c>
      <c r="Q53" s="15">
        <f t="shared" si="7"/>
        <v>7150</v>
      </c>
      <c r="R53" s="13" t="str">
        <f>IF(D53="TEX","аренда техники — сделка/счёт",IF(OR(Q53="",H53="",H53=0),"—",IF(Q53&lt;H53*(1-Параметры!$B$7),"почасовка",IF(Q53&gt;H53*(1+Параметры!$B$7),"сделка","любой способ"))))</f>
        <v>сделка</v>
      </c>
      <c r="S53">
        <v>0.1216470588235294</v>
      </c>
      <c r="T53">
        <v>0.1215686274509804</v>
      </c>
    </row>
    <row r="54" spans="1:20" x14ac:dyDescent="0.25">
      <c r="A54" s="13" t="s">
        <v>157</v>
      </c>
      <c r="B54" s="13" t="s">
        <v>158</v>
      </c>
      <c r="C54" s="13" t="s">
        <v>152</v>
      </c>
      <c r="D54" s="13" t="s">
        <v>64</v>
      </c>
      <c r="E54" s="13" t="str">
        <f>IFERROR(INDEX('Почасовка — ставки и план'!$B$5:$B$24,MATCH(D54,'Почасовка — ставки и план'!$A$5:$A$24,0)),"Аренда техники / механизмы")</f>
        <v>Сварщик / монтажник МК</v>
      </c>
      <c r="F54" s="14">
        <v>14400</v>
      </c>
      <c r="G54" s="14">
        <v>17280</v>
      </c>
      <c r="H54" s="15">
        <v>4500</v>
      </c>
      <c r="I54" s="15">
        <f>IF(OR(H54="",F54=""),"",MAX(H54,MIN(ROUND(H54*(1+Параметры!$B$5),IF(H54*(1+Параметры!$B$5)&gt;=1000,-1,0)),ROUND(F54*Параметры!$B$6,IF(F54*Параметры!$B$6&gt;=1000,-1,0)))))</f>
        <v>5180</v>
      </c>
      <c r="J54" s="15">
        <v>5175</v>
      </c>
      <c r="K54" s="15">
        <f>IF(OR(J54="",G54=""),"",MAX(J54,MIN(ROUND(J54*(1+Параметры!$B$5),IF(J54*(1+Параметры!$B$5)&gt;=1000,-1,0)),ROUND(G54*Параметры!$B$6,IF(G54*Параметры!$B$6&gt;=1000,-1,0)))))</f>
        <v>5950</v>
      </c>
      <c r="L54" s="16">
        <v>12</v>
      </c>
      <c r="M54" s="17">
        <f t="shared" si="6"/>
        <v>8.3333333333333329E-2</v>
      </c>
      <c r="N54" s="17">
        <f>IF(OR(L54="",L54=0),"",Параметры!$B$3/L54)</f>
        <v>0.66666666666666663</v>
      </c>
      <c r="O54" s="15">
        <f>IF(L54="","",IFERROR(INDEX('Почасовка — ставки и план'!$D$5:$D$24,MATCH($D54,'Почасовка — ставки и план'!$A$5:$A$24,0)),""))</f>
        <v>900</v>
      </c>
      <c r="P54" s="15">
        <f>IF(L54="","",IFERROR(INDEX('Почасовка — ставки и план'!$E$5:$E$24,MATCH($D54,'Почасовка — ставки и план'!$A$5:$A$24,0)),""))</f>
        <v>1080</v>
      </c>
      <c r="Q54" s="15">
        <f t="shared" si="7"/>
        <v>10800</v>
      </c>
      <c r="R54" s="13" t="str">
        <f>IF(D54="TEX","аренда техники — сделка/счёт",IF(OR(Q54="",H54="",H54=0),"—",IF(Q54&lt;H54*(1-Параметры!$B$7),"почасовка",IF(Q54&gt;H54*(1+Параметры!$B$7),"сделка","любой способ"))))</f>
        <v>сделка</v>
      </c>
      <c r="S54">
        <v>0.91999999999999993</v>
      </c>
      <c r="T54">
        <v>1.0034782608695649</v>
      </c>
    </row>
    <row r="55" spans="1:20" x14ac:dyDescent="0.25">
      <c r="A55" s="13" t="s">
        <v>159</v>
      </c>
      <c r="B55" s="13" t="s">
        <v>160</v>
      </c>
      <c r="C55" s="13" t="s">
        <v>161</v>
      </c>
      <c r="D55" s="13" t="s">
        <v>162</v>
      </c>
      <c r="E55" s="13" t="str">
        <f>IFERROR(INDEX('Почасовка — ставки и план'!$B$5:$B$24,MATCH(D55,'Почасовка — ставки и план'!$A$5:$A$24,0)),"Аренда техники / механизмы")</f>
        <v>Бетонщик / арматурщик</v>
      </c>
      <c r="F55" s="14">
        <v>2000</v>
      </c>
      <c r="G55" s="14">
        <v>2300</v>
      </c>
      <c r="H55" s="15">
        <v>1200</v>
      </c>
      <c r="I55" s="15">
        <f>IF(OR(H55="",F55=""),"",MAX(H55,MIN(ROUND(H55*(1+Параметры!$B$5),IF(H55*(1+Параметры!$B$5)&gt;=1000,-1,0)),ROUND(F55*Параметры!$B$6,IF(F55*Параметры!$B$6&gt;=1000,-1,0)))))</f>
        <v>1380</v>
      </c>
      <c r="J55" s="15">
        <v>1380</v>
      </c>
      <c r="K55" s="15">
        <f>IF(OR(J55="",G55=""),"",MAX(J55,MIN(ROUND(J55*(1+Параметры!$B$5),IF(J55*(1+Параметры!$B$5)&gt;=1000,-1,0)),ROUND(G55*Параметры!$B$6,IF(G55*Параметры!$B$6&gt;=1000,-1,0)))))</f>
        <v>1590</v>
      </c>
      <c r="L55" s="16">
        <v>1</v>
      </c>
      <c r="M55" s="17">
        <f t="shared" si="6"/>
        <v>1</v>
      </c>
      <c r="N55" s="17">
        <f>IF(OR(L55="",L55=0),"",Параметры!$B$3/L55)</f>
        <v>8</v>
      </c>
      <c r="O55" s="15">
        <f>IF(L55="","",IFERROR(INDEX('Почасовка — ставки и план'!$D$5:$D$24,MATCH($D55,'Почасовка — ставки и план'!$A$5:$A$24,0)),""))</f>
        <v>800</v>
      </c>
      <c r="P55" s="15">
        <f>IF(L55="","",IFERROR(INDEX('Почасовка — ставки и план'!$E$5:$E$24,MATCH($D55,'Почасовка — ставки и план'!$A$5:$A$24,0)),""))</f>
        <v>950</v>
      </c>
      <c r="Q55" s="15">
        <f t="shared" si="7"/>
        <v>800</v>
      </c>
      <c r="R55" s="13" t="str">
        <f>IF(D55="TEX","аренда техники — сделка/счёт",IF(OR(Q55="",H55="",H55=0),"—",IF(Q55&lt;H55*(1-Параметры!$B$7),"почасовка",IF(Q55&gt;H55*(1+Параметры!$B$7),"сделка","любой способ"))))</f>
        <v>почасовка</v>
      </c>
      <c r="S55">
        <v>0</v>
      </c>
      <c r="T55">
        <v>0</v>
      </c>
    </row>
    <row r="56" spans="1:20" x14ac:dyDescent="0.25">
      <c r="A56" s="13" t="s">
        <v>163</v>
      </c>
      <c r="B56" s="13" t="s">
        <v>164</v>
      </c>
      <c r="C56" s="13" t="s">
        <v>161</v>
      </c>
      <c r="D56" s="13" t="s">
        <v>162</v>
      </c>
      <c r="E56" s="13" t="str">
        <f>IFERROR(INDEX('Почасовка — ставки и план'!$B$5:$B$24,MATCH(D56,'Почасовка — ставки и план'!$A$5:$A$24,0)),"Аренда техники / механизмы")</f>
        <v>Бетонщик / арматурщик</v>
      </c>
      <c r="F56" s="14">
        <v>800</v>
      </c>
      <c r="G56" s="14">
        <v>920</v>
      </c>
      <c r="H56" s="15">
        <v>480</v>
      </c>
      <c r="I56" s="15">
        <f>IF(OR(H56="",F56=""),"",MAX(H56,MIN(ROUND(H56*(1+Параметры!$B$5),IF(H56*(1+Параметры!$B$5)&gt;=1000,-1,0)),ROUND(F56*Параметры!$B$6,IF(F56*Параметры!$B$6&gt;=1000,-1,0)))))</f>
        <v>552</v>
      </c>
      <c r="J56" s="15">
        <v>552</v>
      </c>
      <c r="K56" s="15">
        <f>IF(OR(J56="",G56=""),"",MAX(J56,MIN(ROUND(J56*(1+Параметры!$B$5),IF(J56*(1+Параметры!$B$5)&gt;=1000,-1,0)),ROUND(G56*Параметры!$B$6,IF(G56*Параметры!$B$6&gt;=1000,-1,0)))))</f>
        <v>635</v>
      </c>
      <c r="L56" s="16">
        <v>0.4</v>
      </c>
      <c r="M56" s="17">
        <f t="shared" si="6"/>
        <v>2.5</v>
      </c>
      <c r="N56" s="17">
        <f>IF(OR(L56="",L56=0),"",Параметры!$B$3/L56)</f>
        <v>20</v>
      </c>
      <c r="O56" s="15">
        <f>IF(L56="","",IFERROR(INDEX('Почасовка — ставки и план'!$D$5:$D$24,MATCH($D56,'Почасовка — ставки и план'!$A$5:$A$24,0)),""))</f>
        <v>800</v>
      </c>
      <c r="P56" s="15">
        <f>IF(L56="","",IFERROR(INDEX('Почасовка — ставки и план'!$E$5:$E$24,MATCH($D56,'Почасовка — ставки и план'!$A$5:$A$24,0)),""))</f>
        <v>950</v>
      </c>
      <c r="Q56" s="15">
        <f t="shared" si="7"/>
        <v>320</v>
      </c>
      <c r="R56" s="13" t="str">
        <f>IF(D56="TEX","аренда техники — сделка/счёт",IF(OR(Q56="",H56="",H56=0),"—",IF(Q56&lt;H56*(1-Параметры!$B$7),"почасовка",IF(Q56&gt;H56*(1+Параметры!$B$7),"сделка","любой способ"))))</f>
        <v>почасовка</v>
      </c>
      <c r="S56">
        <v>0</v>
      </c>
      <c r="T56">
        <v>0</v>
      </c>
    </row>
    <row r="57" spans="1:20" x14ac:dyDescent="0.25">
      <c r="A57" s="18" t="s">
        <v>165</v>
      </c>
      <c r="B57" s="13" t="s">
        <v>166</v>
      </c>
      <c r="C57" s="13" t="s">
        <v>144</v>
      </c>
      <c r="D57" s="13" t="s">
        <v>162</v>
      </c>
      <c r="E57" s="13" t="str">
        <f>IFERROR(INDEX('Почасовка — ставки и план'!$B$5:$B$24,MATCH(D57,'Почасовка — ставки и план'!$A$5:$A$24,0)),"Аренда техники / механизмы")</f>
        <v>Бетонщик / арматурщик</v>
      </c>
      <c r="F57" s="14">
        <v>1200</v>
      </c>
      <c r="G57" s="14">
        <v>1380</v>
      </c>
      <c r="H57" s="15">
        <v>720</v>
      </c>
      <c r="I57" s="15">
        <f>IF(OR(H57="",F57=""),"",MAX(H57,MIN(ROUND(H57*(1+Параметры!$B$5),IF(H57*(1+Параметры!$B$5)&gt;=1000,-1,0)),ROUND(F57*Параметры!$B$6,IF(F57*Параметры!$B$6&gt;=1000,-1,0)))))</f>
        <v>828</v>
      </c>
      <c r="J57" s="15">
        <v>828</v>
      </c>
      <c r="K57" s="15">
        <f>IF(OR(J57="",G57=""),"",MAX(J57,MIN(ROUND(J57*(1+Параметры!$B$5),IF(J57*(1+Параметры!$B$5)&gt;=1000,-1,0)),ROUND(G57*Параметры!$B$6,IF(G57*Параметры!$B$6&gt;=1000,-1,0)))))</f>
        <v>952</v>
      </c>
      <c r="L57" s="16">
        <v>0.6</v>
      </c>
      <c r="M57" s="17">
        <f t="shared" si="6"/>
        <v>1.6666666666666667</v>
      </c>
      <c r="N57" s="17">
        <f>IF(OR(L57="",L57=0),"",Параметры!$B$3/L57)</f>
        <v>13.333333333333334</v>
      </c>
      <c r="O57" s="15">
        <f>IF(L57="","",IFERROR(INDEX('Почасовка — ставки и план'!$D$5:$D$24,MATCH($D57,'Почасовка — ставки и план'!$A$5:$A$24,0)),""))</f>
        <v>800</v>
      </c>
      <c r="P57" s="15">
        <f>IF(L57="","",IFERROR(INDEX('Почасовка — ставки и план'!$E$5:$E$24,MATCH($D57,'Почасовка — ставки и план'!$A$5:$A$24,0)),""))</f>
        <v>950</v>
      </c>
      <c r="Q57" s="15">
        <f t="shared" si="7"/>
        <v>480</v>
      </c>
      <c r="R57" s="13" t="str">
        <f>IF(D57="TEX","аренда техники — сделка/счёт",IF(OR(Q57="",H57="",H57=0),"—",IF(Q57&lt;H57*(1-Параметры!$B$7),"почасовка",IF(Q57&gt;H57*(1+Параметры!$B$7),"сделка","любой способ"))))</f>
        <v>почасовка</v>
      </c>
      <c r="S57">
        <v>0</v>
      </c>
      <c r="T57">
        <v>0</v>
      </c>
    </row>
    <row r="58" spans="1:20" x14ac:dyDescent="0.25">
      <c r="A58" s="18" t="s">
        <v>167</v>
      </c>
      <c r="B58" s="13" t="s">
        <v>168</v>
      </c>
      <c r="C58" s="13" t="s">
        <v>63</v>
      </c>
      <c r="D58" s="13" t="s">
        <v>64</v>
      </c>
      <c r="E58" s="13" t="str">
        <f>IFERROR(INDEX('Почасовка — ставки и план'!$B$5:$B$24,MATCH(D58,'Почасовка — ставки и план'!$A$5:$A$24,0)),"Аренда техники / механизмы")</f>
        <v>Сварщик / монтажник МК</v>
      </c>
      <c r="F58" s="14">
        <v>21600</v>
      </c>
      <c r="G58" s="14">
        <v>25920</v>
      </c>
      <c r="H58" s="15">
        <v>7200</v>
      </c>
      <c r="I58" s="15">
        <f>IF(OR(H58="",F58=""),"",MAX(H58,MIN(ROUND(H58*(1+Параметры!$B$5),IF(H58*(1+Параметры!$B$5)&gt;=1000,-1,0)),ROUND(F58*Параметры!$B$6,IF(F58*Параметры!$B$6&gt;=1000,-1,0)))))</f>
        <v>8280</v>
      </c>
      <c r="J58" s="15">
        <v>8280</v>
      </c>
      <c r="K58" s="15">
        <f>IF(OR(J58="",G58=""),"",MAX(J58,MIN(ROUND(J58*(1+Параметры!$B$5),IF(J58*(1+Параметры!$B$5)&gt;=1000,-1,0)),ROUND(G58*Параметры!$B$6,IF(G58*Параметры!$B$6&gt;=1000,-1,0)))))</f>
        <v>9520</v>
      </c>
      <c r="L58" s="16">
        <v>18</v>
      </c>
      <c r="M58" s="17">
        <f t="shared" si="6"/>
        <v>5.5555555555555552E-2</v>
      </c>
      <c r="N58" s="17">
        <f>IF(OR(L58="",L58=0),"",Параметры!$B$3/L58)</f>
        <v>0.44444444444444442</v>
      </c>
      <c r="O58" s="15">
        <f>IF(L58="","",IFERROR(INDEX('Почасовка — ставки и план'!$D$5:$D$24,MATCH($D58,'Почасовка — ставки и план'!$A$5:$A$24,0)),""))</f>
        <v>900</v>
      </c>
      <c r="P58" s="15">
        <f>IF(L58="","",IFERROR(INDEX('Почасовка — ставки и план'!$E$5:$E$24,MATCH($D58,'Почасовка — ставки и план'!$A$5:$A$24,0)),""))</f>
        <v>1080</v>
      </c>
      <c r="Q58" s="15">
        <f t="shared" si="7"/>
        <v>16200</v>
      </c>
      <c r="R58" s="13" t="str">
        <f>IF(D58="TEX","аренда техники — сделка/счёт",IF(OR(Q58="",H58="",H58=0),"—",IF(Q58&lt;H58*(1-Параметры!$B$7),"почасовка",IF(Q58&gt;H58*(1+Параметры!$B$7),"сделка","любой способ"))))</f>
        <v>сделка</v>
      </c>
      <c r="S58">
        <v>0.8</v>
      </c>
      <c r="T58">
        <v>0.87826086956521743</v>
      </c>
    </row>
    <row r="59" spans="1:20" x14ac:dyDescent="0.25">
      <c r="A59" s="11" t="s">
        <v>169</v>
      </c>
      <c r="B59" s="12"/>
      <c r="C59" s="12"/>
      <c r="D59" s="12"/>
      <c r="E59" s="12"/>
      <c r="F59" s="12"/>
      <c r="G59" s="12"/>
      <c r="H59" s="12"/>
      <c r="I59" s="12"/>
      <c r="J59" s="12"/>
      <c r="K59" s="12"/>
      <c r="L59" s="12"/>
      <c r="M59" s="12"/>
      <c r="N59" s="12"/>
      <c r="O59" s="12"/>
      <c r="P59" s="12"/>
      <c r="Q59" s="12"/>
      <c r="R59" s="12"/>
    </row>
    <row r="60" spans="1:20" x14ac:dyDescent="0.25">
      <c r="A60" s="13" t="s">
        <v>170</v>
      </c>
      <c r="B60" s="13" t="s">
        <v>171</v>
      </c>
      <c r="C60" s="13" t="s">
        <v>55</v>
      </c>
      <c r="D60" s="13" t="s">
        <v>60</v>
      </c>
      <c r="E60" s="13" t="str">
        <f>IFERROR(INDEX('Почасовка — ставки и план'!$B$5:$B$24,MATCH(D60,'Почасовка — ставки и план'!$A$5:$A$24,0)),"Аренда техники / механизмы")</f>
        <v>Разнорабочий / демонтажник</v>
      </c>
      <c r="F60" s="14">
        <v>6600</v>
      </c>
      <c r="G60" s="14">
        <v>7920</v>
      </c>
      <c r="H60" s="15">
        <v>3900</v>
      </c>
      <c r="I60" s="15">
        <f>IF(OR(H60="",F60=""),"",MAX(H60,MIN(ROUND(H60*(1+Параметры!$B$5),IF(H60*(1+Параметры!$B$5)&gt;=1000,-1,0)),ROUND(F60*Параметры!$B$6,IF(F60*Параметры!$B$6&gt;=1000,-1,0)))))</f>
        <v>4490</v>
      </c>
      <c r="J60" s="15">
        <v>4485</v>
      </c>
      <c r="K60" s="15">
        <f>IF(OR(J60="",G60=""),"",MAX(J60,MIN(ROUND(J60*(1+Параметры!$B$5),IF(J60*(1+Параметры!$B$5)&gt;=1000,-1,0)),ROUND(G60*Параметры!$B$6,IF(G60*Параметры!$B$6&gt;=1000,-1,0)))))</f>
        <v>5160</v>
      </c>
      <c r="L60" s="16">
        <v>9</v>
      </c>
      <c r="M60" s="17">
        <f t="shared" ref="M60:M75" si="8">IF(OR(L60="",L60=0),"",1/L60)</f>
        <v>0.1111111111111111</v>
      </c>
      <c r="N60" s="17">
        <f>IF(OR(L60="",L60=0),"",Параметры!$B$3/L60)</f>
        <v>0.88888888888888884</v>
      </c>
      <c r="O60" s="15">
        <f>IF(L60="","",IFERROR(INDEX('Почасовка — ставки и план'!$D$5:$D$24,MATCH($D60,'Почасовка — ставки и план'!$A$5:$A$24,0)),""))</f>
        <v>550</v>
      </c>
      <c r="P60" s="15">
        <f>IF(L60="","",IFERROR(INDEX('Почасовка — ставки и план'!$E$5:$E$24,MATCH($D60,'Почасовка — ставки и план'!$A$5:$A$24,0)),""))</f>
        <v>660</v>
      </c>
      <c r="Q60" s="15">
        <f t="shared" ref="Q60:Q75" si="9">IF(OR(L60="",O60=""),"",ROUND(L60*O60,0))</f>
        <v>4950</v>
      </c>
      <c r="R60" s="13" t="str">
        <f>IF(D60="TEX","аренда техники — сделка/счёт",IF(OR(Q60="",H60="",H60=0),"—",IF(Q60&lt;H60*(1-Параметры!$B$7),"почасовка",IF(Q60&gt;H60*(1+Параметры!$B$7),"сделка","любой способ"))))</f>
        <v>сделка</v>
      </c>
      <c r="S60">
        <v>1.538461538461533E-2</v>
      </c>
      <c r="T60">
        <v>5.9531772575250892E-2</v>
      </c>
    </row>
    <row r="61" spans="1:20" x14ac:dyDescent="0.25">
      <c r="A61" s="13" t="s">
        <v>172</v>
      </c>
      <c r="B61" s="13" t="s">
        <v>173</v>
      </c>
      <c r="C61" s="13" t="s">
        <v>55</v>
      </c>
      <c r="D61" s="13" t="s">
        <v>60</v>
      </c>
      <c r="E61" s="13" t="str">
        <f>IFERROR(INDEX('Почасовка — ставки и план'!$B$5:$B$24,MATCH(D61,'Почасовка — ставки и план'!$A$5:$A$24,0)),"Аренда техники / механизмы")</f>
        <v>Разнорабочий / демонтажник</v>
      </c>
      <c r="F61" s="14">
        <v>8800</v>
      </c>
      <c r="G61" s="14">
        <v>10560</v>
      </c>
      <c r="H61" s="15">
        <v>4800</v>
      </c>
      <c r="I61" s="15">
        <f>IF(OR(H61="",F61=""),"",MAX(H61,MIN(ROUND(H61*(1+Параметры!$B$5),IF(H61*(1+Параметры!$B$5)&gt;=1000,-1,0)),ROUND(F61*Параметры!$B$6,IF(F61*Параметры!$B$6&gt;=1000,-1,0)))))</f>
        <v>5520</v>
      </c>
      <c r="J61" s="15">
        <v>5520</v>
      </c>
      <c r="K61" s="15">
        <f>IF(OR(J61="",G61=""),"",MAX(J61,MIN(ROUND(J61*(1+Параметры!$B$5),IF(J61*(1+Параметры!$B$5)&gt;=1000,-1,0)),ROUND(G61*Параметры!$B$6,IF(G61*Параметры!$B$6&gt;=1000,-1,0)))))</f>
        <v>6350</v>
      </c>
      <c r="L61" s="16">
        <v>12</v>
      </c>
      <c r="M61" s="17">
        <f t="shared" si="8"/>
        <v>8.3333333333333329E-2</v>
      </c>
      <c r="N61" s="17">
        <f>IF(OR(L61="",L61=0),"",Параметры!$B$3/L61)</f>
        <v>0.66666666666666663</v>
      </c>
      <c r="O61" s="15">
        <f>IF(L61="","",IFERROR(INDEX('Почасовка — ставки и план'!$D$5:$D$24,MATCH($D61,'Почасовка — ставки и план'!$A$5:$A$24,0)),""))</f>
        <v>550</v>
      </c>
      <c r="P61" s="15">
        <f>IF(L61="","",IFERROR(INDEX('Почасовка — ставки и план'!$E$5:$E$24,MATCH($D61,'Почасовка — ставки и план'!$A$5:$A$24,0)),""))</f>
        <v>660</v>
      </c>
      <c r="Q61" s="15">
        <f t="shared" si="9"/>
        <v>6600</v>
      </c>
      <c r="R61" s="13" t="str">
        <f>IF(D61="TEX","аренда техники — сделка/счёт",IF(OR(Q61="",H61="",H61=0),"—",IF(Q61&lt;H61*(1-Параметры!$B$7),"почасовка",IF(Q61&gt;H61*(1+Параметры!$B$7),"сделка","любой способ"))))</f>
        <v>сделка</v>
      </c>
      <c r="S61">
        <v>0.1000000000000001</v>
      </c>
      <c r="T61">
        <v>0.1478260869565218</v>
      </c>
    </row>
    <row r="62" spans="1:20" x14ac:dyDescent="0.25">
      <c r="A62" s="13" t="s">
        <v>174</v>
      </c>
      <c r="B62" s="13" t="s">
        <v>175</v>
      </c>
      <c r="C62" s="13" t="s">
        <v>69</v>
      </c>
      <c r="D62" s="13" t="s">
        <v>60</v>
      </c>
      <c r="E62" s="13" t="str">
        <f>IFERROR(INDEX('Почасовка — ставки и план'!$B$5:$B$24,MATCH(D62,'Почасовка — ставки и план'!$A$5:$A$24,0)),"Аренда техники / механизмы")</f>
        <v>Разнорабочий / демонтажник</v>
      </c>
      <c r="F62" s="14">
        <v>50</v>
      </c>
      <c r="G62" s="14">
        <v>57.5</v>
      </c>
      <c r="H62" s="15">
        <v>30</v>
      </c>
      <c r="I62" s="15">
        <f>IF(OR(H62="",F62=""),"",MAX(H62,MIN(ROUND(H62*(1+Параметры!$B$5),IF(H62*(1+Параметры!$B$5)&gt;=1000,-1,0)),ROUND(F62*Параметры!$B$6,IF(F62*Параметры!$B$6&gt;=1000,-1,0)))))</f>
        <v>35</v>
      </c>
      <c r="J62" s="15">
        <v>34.5</v>
      </c>
      <c r="K62" s="15">
        <f>IF(OR(J62="",G62=""),"",MAX(J62,MIN(ROUND(J62*(1+Параметры!$B$5),IF(J62*(1+Параметры!$B$5)&gt;=1000,-1,0)),ROUND(G62*Параметры!$B$6,IF(G62*Параметры!$B$6&gt;=1000,-1,0)))))</f>
        <v>40</v>
      </c>
      <c r="L62" s="16">
        <v>0.05</v>
      </c>
      <c r="M62" s="17">
        <f t="shared" si="8"/>
        <v>20</v>
      </c>
      <c r="N62" s="17">
        <f>IF(OR(L62="",L62=0),"",Параметры!$B$3/L62)</f>
        <v>160</v>
      </c>
      <c r="O62" s="15">
        <f>IF(L62="","",IFERROR(INDEX('Почасовка — ставки и план'!$D$5:$D$24,MATCH($D62,'Почасовка — ставки и план'!$A$5:$A$24,0)),""))</f>
        <v>550</v>
      </c>
      <c r="P62" s="15">
        <f>IF(L62="","",IFERROR(INDEX('Почасовка — ставки и план'!$E$5:$E$24,MATCH($D62,'Почасовка — ставки и план'!$A$5:$A$24,0)),""))</f>
        <v>660</v>
      </c>
      <c r="Q62" s="15">
        <f t="shared" si="9"/>
        <v>28</v>
      </c>
      <c r="R62" s="13" t="str">
        <f>IF(D62="TEX","аренда техники — сделка/счёт",IF(OR(Q62="",H62="",H62=0),"—",IF(Q62&lt;H62*(1-Параметры!$B$7),"почасовка",IF(Q62&gt;H62*(1+Параметры!$B$7),"сделка","любой способ"))))</f>
        <v>любой способ</v>
      </c>
      <c r="S62">
        <v>0</v>
      </c>
      <c r="T62">
        <v>0</v>
      </c>
    </row>
    <row r="63" spans="1:20" x14ac:dyDescent="0.25">
      <c r="A63" s="13" t="s">
        <v>176</v>
      </c>
      <c r="B63" s="13" t="s">
        <v>177</v>
      </c>
      <c r="C63" s="13" t="s">
        <v>69</v>
      </c>
      <c r="D63" s="13" t="s">
        <v>60</v>
      </c>
      <c r="E63" s="13" t="str">
        <f>IFERROR(INDEX('Почасовка — ставки и план'!$B$5:$B$24,MATCH(D63,'Почасовка — ставки и план'!$A$5:$A$24,0)),"Аренда техники / механизмы")</f>
        <v>Разнорабочий / демонтажник</v>
      </c>
      <c r="F63" s="14">
        <v>120</v>
      </c>
      <c r="G63" s="14">
        <v>138</v>
      </c>
      <c r="H63" s="15">
        <v>70</v>
      </c>
      <c r="I63" s="15">
        <f>IF(OR(H63="",F63=""),"",MAX(H63,MIN(ROUND(H63*(1+Параметры!$B$5),IF(H63*(1+Параметры!$B$5)&gt;=1000,-1,0)),ROUND(F63*Параметры!$B$6,IF(F63*Параметры!$B$6&gt;=1000,-1,0)))))</f>
        <v>81</v>
      </c>
      <c r="J63" s="15">
        <v>80.5</v>
      </c>
      <c r="K63" s="15">
        <f>IF(OR(J63="",G63=""),"",MAX(J63,MIN(ROUND(J63*(1+Параметры!$B$5),IF(J63*(1+Параметры!$B$5)&gt;=1000,-1,0)),ROUND(G63*Параметры!$B$6,IF(G63*Параметры!$B$6&gt;=1000,-1,0)))))</f>
        <v>93</v>
      </c>
      <c r="L63" s="16">
        <v>0.12</v>
      </c>
      <c r="M63" s="17">
        <f t="shared" si="8"/>
        <v>8.3333333333333339</v>
      </c>
      <c r="N63" s="17">
        <f>IF(OR(L63="",L63=0),"",Параметры!$B$3/L63)</f>
        <v>66.666666666666671</v>
      </c>
      <c r="O63" s="15">
        <f>IF(L63="","",IFERROR(INDEX('Почасовка — ставки и план'!$D$5:$D$24,MATCH($D63,'Почасовка — ставки и план'!$A$5:$A$24,0)),""))</f>
        <v>550</v>
      </c>
      <c r="P63" s="15">
        <f>IF(L63="","",IFERROR(INDEX('Почасовка — ставки и план'!$E$5:$E$24,MATCH($D63,'Почасовка — ставки и план'!$A$5:$A$24,0)),""))</f>
        <v>660</v>
      </c>
      <c r="Q63" s="15">
        <f t="shared" si="9"/>
        <v>66</v>
      </c>
      <c r="R63" s="13" t="str">
        <f>IF(D63="TEX","аренда техники — сделка/счёт",IF(OR(Q63="",H63="",H63=0),"—",IF(Q63&lt;H63*(1-Параметры!$B$7),"почасовка",IF(Q63&gt;H63*(1+Параметры!$B$7),"сделка","любой способ"))))</f>
        <v>любой способ</v>
      </c>
      <c r="S63">
        <v>0</v>
      </c>
      <c r="T63">
        <v>0</v>
      </c>
    </row>
    <row r="64" spans="1:20" x14ac:dyDescent="0.25">
      <c r="A64" s="13" t="s">
        <v>178</v>
      </c>
      <c r="B64" s="13" t="s">
        <v>179</v>
      </c>
      <c r="C64" s="13" t="s">
        <v>72</v>
      </c>
      <c r="D64" s="13" t="s">
        <v>60</v>
      </c>
      <c r="E64" s="13" t="str">
        <f>IFERROR(INDEX('Почасовка — ставки и план'!$B$5:$B$24,MATCH(D64,'Почасовка — ставки и план'!$A$5:$A$24,0)),"Аренда техники / механизмы")</f>
        <v>Разнорабочий / демонтажник</v>
      </c>
      <c r="F64" s="14">
        <v>100</v>
      </c>
      <c r="G64" s="14">
        <v>115</v>
      </c>
      <c r="H64" s="15">
        <v>60</v>
      </c>
      <c r="I64" s="15">
        <f>IF(OR(H64="",F64=""),"",MAX(H64,MIN(ROUND(H64*(1+Параметры!$B$5),IF(H64*(1+Параметры!$B$5)&gt;=1000,-1,0)),ROUND(F64*Параметры!$B$6,IF(F64*Параметры!$B$6&gt;=1000,-1,0)))))</f>
        <v>69</v>
      </c>
      <c r="J64" s="15">
        <v>69</v>
      </c>
      <c r="K64" s="15">
        <f>IF(OR(J64="",G64=""),"",MAX(J64,MIN(ROUND(J64*(1+Параметры!$B$5),IF(J64*(1+Параметры!$B$5)&gt;=1000,-1,0)),ROUND(G64*Параметры!$B$6,IF(G64*Параметры!$B$6&gt;=1000,-1,0)))))</f>
        <v>79</v>
      </c>
      <c r="L64" s="16">
        <v>0.12</v>
      </c>
      <c r="M64" s="17">
        <f t="shared" si="8"/>
        <v>8.3333333333333339</v>
      </c>
      <c r="N64" s="17">
        <f>IF(OR(L64="",L64=0),"",Параметры!$B$3/L64)</f>
        <v>66.666666666666671</v>
      </c>
      <c r="O64" s="15">
        <f>IF(L64="","",IFERROR(INDEX('Почасовка — ставки и план'!$D$5:$D$24,MATCH($D64,'Почасовка — ставки и план'!$A$5:$A$24,0)),""))</f>
        <v>550</v>
      </c>
      <c r="P64" s="15">
        <f>IF(L64="","",IFERROR(INDEX('Почасовка — ставки и план'!$E$5:$E$24,MATCH($D64,'Почасовка — ставки и план'!$A$5:$A$24,0)),""))</f>
        <v>660</v>
      </c>
      <c r="Q64" s="15">
        <f t="shared" si="9"/>
        <v>66</v>
      </c>
      <c r="R64" s="13" t="str">
        <f>IF(D64="TEX","аренда техники — сделка/счёт",IF(OR(Q64="",H64="",H64=0),"—",IF(Q64&lt;H64*(1-Параметры!$B$7),"почасовка",IF(Q64&gt;H64*(1+Параметры!$B$7),"сделка","любой способ"))))</f>
        <v>любой способ</v>
      </c>
      <c r="S64">
        <v>0</v>
      </c>
      <c r="T64">
        <v>0</v>
      </c>
    </row>
    <row r="65" spans="1:20" x14ac:dyDescent="0.25">
      <c r="A65" s="13" t="s">
        <v>180</v>
      </c>
      <c r="B65" s="13" t="s">
        <v>181</v>
      </c>
      <c r="C65" s="13" t="s">
        <v>72</v>
      </c>
      <c r="D65" s="13" t="s">
        <v>60</v>
      </c>
      <c r="E65" s="13" t="str">
        <f>IFERROR(INDEX('Почасовка — ставки и план'!$B$5:$B$24,MATCH(D65,'Почасовка — ставки и план'!$A$5:$A$24,0)),"Аренда техники / механизмы")</f>
        <v>Разнорабочий / демонтажник</v>
      </c>
      <c r="F65" s="14">
        <v>300</v>
      </c>
      <c r="G65" s="14">
        <v>345</v>
      </c>
      <c r="H65" s="15">
        <v>180</v>
      </c>
      <c r="I65" s="15">
        <f>IF(OR(H65="",F65=""),"",MAX(H65,MIN(ROUND(H65*(1+Параметры!$B$5),IF(H65*(1+Параметры!$B$5)&gt;=1000,-1,0)),ROUND(F65*Параметры!$B$6,IF(F65*Параметры!$B$6&gt;=1000,-1,0)))))</f>
        <v>207</v>
      </c>
      <c r="J65" s="15">
        <v>207</v>
      </c>
      <c r="K65" s="15">
        <f>IF(OR(J65="",G65=""),"",MAX(J65,MIN(ROUND(J65*(1+Параметры!$B$5),IF(J65*(1+Параметры!$B$5)&gt;=1000,-1,0)),ROUND(G65*Параметры!$B$6,IF(G65*Параметры!$B$6&gt;=1000,-1,0)))))</f>
        <v>238</v>
      </c>
      <c r="L65" s="16">
        <v>0.35</v>
      </c>
      <c r="M65" s="17">
        <f t="shared" si="8"/>
        <v>2.8571428571428572</v>
      </c>
      <c r="N65" s="17">
        <f>IF(OR(L65="",L65=0),"",Параметры!$B$3/L65)</f>
        <v>22.857142857142858</v>
      </c>
      <c r="O65" s="15">
        <f>IF(L65="","",IFERROR(INDEX('Почасовка — ставки и план'!$D$5:$D$24,MATCH($D65,'Почасовка — ставки и план'!$A$5:$A$24,0)),""))</f>
        <v>550</v>
      </c>
      <c r="P65" s="15">
        <f>IF(L65="","",IFERROR(INDEX('Почасовка — ставки и план'!$E$5:$E$24,MATCH($D65,'Почасовка — ставки и план'!$A$5:$A$24,0)),""))</f>
        <v>660</v>
      </c>
      <c r="Q65" s="15">
        <f t="shared" si="9"/>
        <v>193</v>
      </c>
      <c r="R65" s="13" t="str">
        <f>IF(D65="TEX","аренда техники — сделка/счёт",IF(OR(Q65="",H65="",H65=0),"—",IF(Q65&lt;H65*(1-Параметры!$B$7),"почасовка",IF(Q65&gt;H65*(1+Параметры!$B$7),"сделка","любой способ"))))</f>
        <v>любой способ</v>
      </c>
      <c r="S65">
        <v>0</v>
      </c>
      <c r="T65">
        <v>0</v>
      </c>
    </row>
    <row r="66" spans="1:20" x14ac:dyDescent="0.25">
      <c r="A66" s="13" t="s">
        <v>182</v>
      </c>
      <c r="B66" s="13" t="s">
        <v>183</v>
      </c>
      <c r="C66" s="13" t="s">
        <v>72</v>
      </c>
      <c r="D66" s="13" t="s">
        <v>60</v>
      </c>
      <c r="E66" s="13" t="str">
        <f>IFERROR(INDEX('Почасовка — ставки и план'!$B$5:$B$24,MATCH(D66,'Почасовка — ставки и план'!$A$5:$A$24,0)),"Аренда техники / механизмы")</f>
        <v>Разнорабочий / демонтажник</v>
      </c>
      <c r="F66" s="14">
        <v>650</v>
      </c>
      <c r="G66" s="14">
        <v>747</v>
      </c>
      <c r="H66" s="15">
        <v>400</v>
      </c>
      <c r="I66" s="15">
        <f>IF(OR(H66="",F66=""),"",MAX(H66,MIN(ROUND(H66*(1+Параметры!$B$5),IF(H66*(1+Параметры!$B$5)&gt;=1000,-1,0)),ROUND(F66*Параметры!$B$6,IF(F66*Параметры!$B$6&gt;=1000,-1,0)))))</f>
        <v>460</v>
      </c>
      <c r="J66" s="15">
        <v>460</v>
      </c>
      <c r="K66" s="15">
        <f>IF(OR(J66="",G66=""),"",MAX(J66,MIN(ROUND(J66*(1+Параметры!$B$5),IF(J66*(1+Параметры!$B$5)&gt;=1000,-1,0)),ROUND(G66*Параметры!$B$6,IF(G66*Параметры!$B$6&gt;=1000,-1,0)))))</f>
        <v>529</v>
      </c>
      <c r="L66" s="16">
        <v>0.8</v>
      </c>
      <c r="M66" s="17">
        <f t="shared" si="8"/>
        <v>1.25</v>
      </c>
      <c r="N66" s="17">
        <f>IF(OR(L66="",L66=0),"",Параметры!$B$3/L66)</f>
        <v>10</v>
      </c>
      <c r="O66" s="15">
        <f>IF(L66="","",IFERROR(INDEX('Почасовка — ставки и план'!$D$5:$D$24,MATCH($D66,'Почасовка — ставки и план'!$A$5:$A$24,0)),""))</f>
        <v>550</v>
      </c>
      <c r="P66" s="15">
        <f>IF(L66="","",IFERROR(INDEX('Почасовка — ставки и план'!$E$5:$E$24,MATCH($D66,'Почасовка — ставки и план'!$A$5:$A$24,0)),""))</f>
        <v>660</v>
      </c>
      <c r="Q66" s="15">
        <f t="shared" si="9"/>
        <v>440</v>
      </c>
      <c r="R66" s="13" t="str">
        <f>IF(D66="TEX","аренда техники — сделка/счёт",IF(OR(Q66="",H66="",H66=0),"—",IF(Q66&lt;H66*(1-Параметры!$B$7),"почасовка",IF(Q66&gt;H66*(1+Параметры!$B$7),"сделка","любой способ"))))</f>
        <v>любой способ</v>
      </c>
      <c r="S66">
        <v>0</v>
      </c>
      <c r="T66">
        <v>0</v>
      </c>
    </row>
    <row r="67" spans="1:20" x14ac:dyDescent="0.25">
      <c r="A67" s="13" t="s">
        <v>184</v>
      </c>
      <c r="B67" s="13" t="s">
        <v>185</v>
      </c>
      <c r="C67" s="13" t="s">
        <v>72</v>
      </c>
      <c r="D67" s="13" t="s">
        <v>60</v>
      </c>
      <c r="E67" s="13" t="str">
        <f>IFERROR(INDEX('Почасовка — ставки и план'!$B$5:$B$24,MATCH(D67,'Почасовка — ставки и план'!$A$5:$A$24,0)),"Аренда техники / механизмы")</f>
        <v>Разнорабочий / демонтажник</v>
      </c>
      <c r="F67" s="14">
        <v>80</v>
      </c>
      <c r="G67" s="14">
        <v>92</v>
      </c>
      <c r="H67" s="15">
        <v>50</v>
      </c>
      <c r="I67" s="15">
        <f>IF(OR(H67="",F67=""),"",MAX(H67,MIN(ROUND(H67*(1+Параметры!$B$5),IF(H67*(1+Параметры!$B$5)&gt;=1000,-1,0)),ROUND(F67*Параметры!$B$6,IF(F67*Параметры!$B$6&gt;=1000,-1,0)))))</f>
        <v>58</v>
      </c>
      <c r="J67" s="15">
        <v>57.5</v>
      </c>
      <c r="K67" s="15">
        <f>IF(OR(J67="",G67=""),"",MAX(J67,MIN(ROUND(J67*(1+Параметры!$B$5),IF(J67*(1+Параметры!$B$5)&gt;=1000,-1,0)),ROUND(G67*Параметры!$B$6,IF(G67*Параметры!$B$6&gt;=1000,-1,0)))))</f>
        <v>66</v>
      </c>
      <c r="L67" s="16">
        <v>7.0000000000000007E-2</v>
      </c>
      <c r="M67" s="17">
        <f t="shared" si="8"/>
        <v>14.285714285714285</v>
      </c>
      <c r="N67" s="17">
        <f>IF(OR(L67="",L67=0),"",Параметры!$B$3/L67)</f>
        <v>114.28571428571428</v>
      </c>
      <c r="O67" s="15">
        <f>IF(L67="","",IFERROR(INDEX('Почасовка — ставки и план'!$D$5:$D$24,MATCH($D67,'Почасовка — ставки и план'!$A$5:$A$24,0)),""))</f>
        <v>550</v>
      </c>
      <c r="P67" s="15">
        <f>IF(L67="","",IFERROR(INDEX('Почасовка — ставки и план'!$E$5:$E$24,MATCH($D67,'Почасовка — ставки и план'!$A$5:$A$24,0)),""))</f>
        <v>660</v>
      </c>
      <c r="Q67" s="15">
        <f t="shared" si="9"/>
        <v>39</v>
      </c>
      <c r="R67" s="13" t="str">
        <f>IF(D67="TEX","аренда техники — сделка/счёт",IF(OR(Q67="",H67="",H67=0),"—",IF(Q67&lt;H67*(1-Параметры!$B$7),"почасовка",IF(Q67&gt;H67*(1+Параметры!$B$7),"сделка","любой способ"))))</f>
        <v>почасовка</v>
      </c>
      <c r="S67">
        <v>0</v>
      </c>
      <c r="T67">
        <v>0</v>
      </c>
    </row>
    <row r="68" spans="1:20" x14ac:dyDescent="0.25">
      <c r="A68" s="13" t="s">
        <v>186</v>
      </c>
      <c r="B68" s="13" t="s">
        <v>187</v>
      </c>
      <c r="C68" s="13" t="s">
        <v>69</v>
      </c>
      <c r="D68" s="13" t="s">
        <v>60</v>
      </c>
      <c r="E68" s="13" t="str">
        <f>IFERROR(INDEX('Почасовка — ставки и план'!$B$5:$B$24,MATCH(D68,'Почасовка — ставки и план'!$A$5:$A$24,0)),"Аренда техники / механизмы")</f>
        <v>Разнорабочий / демонтажник</v>
      </c>
      <c r="F68" s="14">
        <v>120</v>
      </c>
      <c r="G68" s="14">
        <v>138</v>
      </c>
      <c r="H68" s="15">
        <v>70</v>
      </c>
      <c r="I68" s="15">
        <f>IF(OR(H68="",F68=""),"",MAX(H68,MIN(ROUND(H68*(1+Параметры!$B$5),IF(H68*(1+Параметры!$B$5)&gt;=1000,-1,0)),ROUND(F68*Параметры!$B$6,IF(F68*Параметры!$B$6&gt;=1000,-1,0)))))</f>
        <v>81</v>
      </c>
      <c r="J68" s="15">
        <v>80.5</v>
      </c>
      <c r="K68" s="15">
        <f>IF(OR(J68="",G68=""),"",MAX(J68,MIN(ROUND(J68*(1+Параметры!$B$5),IF(J68*(1+Параметры!$B$5)&gt;=1000,-1,0)),ROUND(G68*Параметры!$B$6,IF(G68*Параметры!$B$6&gt;=1000,-1,0)))))</f>
        <v>93</v>
      </c>
      <c r="L68" s="16">
        <v>0.15</v>
      </c>
      <c r="M68" s="17">
        <f t="shared" si="8"/>
        <v>6.666666666666667</v>
      </c>
      <c r="N68" s="17">
        <f>IF(OR(L68="",L68=0),"",Параметры!$B$3/L68)</f>
        <v>53.333333333333336</v>
      </c>
      <c r="O68" s="15">
        <f>IF(L68="","",IFERROR(INDEX('Почасовка — ставки и план'!$D$5:$D$24,MATCH($D68,'Почасовка — ставки и план'!$A$5:$A$24,0)),""))</f>
        <v>550</v>
      </c>
      <c r="P68" s="15">
        <f>IF(L68="","",IFERROR(INDEX('Почасовка — ставки и план'!$E$5:$E$24,MATCH($D68,'Почасовка — ставки и план'!$A$5:$A$24,0)),""))</f>
        <v>660</v>
      </c>
      <c r="Q68" s="15">
        <f t="shared" si="9"/>
        <v>83</v>
      </c>
      <c r="R68" s="13" t="str">
        <f>IF(D68="TEX","аренда техники — сделка/счёт",IF(OR(Q68="",H68="",H68=0),"—",IF(Q68&lt;H68*(1-Параметры!$B$7),"почасовка",IF(Q68&gt;H68*(1+Параметры!$B$7),"сделка","любой способ"))))</f>
        <v>сделка</v>
      </c>
      <c r="S68">
        <v>0</v>
      </c>
      <c r="T68">
        <v>0</v>
      </c>
    </row>
    <row r="69" spans="1:20" x14ac:dyDescent="0.25">
      <c r="A69" s="13" t="s">
        <v>188</v>
      </c>
      <c r="B69" s="13" t="s">
        <v>189</v>
      </c>
      <c r="C69" s="13" t="s">
        <v>72</v>
      </c>
      <c r="D69" s="13" t="s">
        <v>60</v>
      </c>
      <c r="E69" s="13" t="str">
        <f>IFERROR(INDEX('Почасовка — ставки и план'!$B$5:$B$24,MATCH(D69,'Почасовка — ставки и план'!$A$5:$A$24,0)),"Аренда техники / механизмы")</f>
        <v>Разнорабочий / демонтажник</v>
      </c>
      <c r="F69" s="14">
        <v>150</v>
      </c>
      <c r="G69" s="14">
        <v>172</v>
      </c>
      <c r="H69" s="15">
        <v>90</v>
      </c>
      <c r="I69" s="15">
        <f>IF(OR(H69="",F69=""),"",MAX(H69,MIN(ROUND(H69*(1+Параметры!$B$5),IF(H69*(1+Параметры!$B$5)&gt;=1000,-1,0)),ROUND(F69*Параметры!$B$6,IF(F69*Параметры!$B$6&gt;=1000,-1,0)))))</f>
        <v>104</v>
      </c>
      <c r="J69" s="15">
        <v>103</v>
      </c>
      <c r="K69" s="15">
        <f>IF(OR(J69="",G69=""),"",MAX(J69,MIN(ROUND(J69*(1+Параметры!$B$5),IF(J69*(1+Параметры!$B$5)&gt;=1000,-1,0)),ROUND(G69*Параметры!$B$6,IF(G69*Параметры!$B$6&gt;=1000,-1,0)))))</f>
        <v>118</v>
      </c>
      <c r="L69" s="16">
        <v>0.18</v>
      </c>
      <c r="M69" s="17">
        <f t="shared" si="8"/>
        <v>5.5555555555555554</v>
      </c>
      <c r="N69" s="17">
        <f>IF(OR(L69="",L69=0),"",Параметры!$B$3/L69)</f>
        <v>44.444444444444443</v>
      </c>
      <c r="O69" s="15">
        <f>IF(L69="","",IFERROR(INDEX('Почасовка — ставки и план'!$D$5:$D$24,MATCH($D69,'Почасовка — ставки и план'!$A$5:$A$24,0)),""))</f>
        <v>550</v>
      </c>
      <c r="P69" s="15">
        <f>IF(L69="","",IFERROR(INDEX('Почасовка — ставки и план'!$E$5:$E$24,MATCH($D69,'Почасовка — ставки и план'!$A$5:$A$24,0)),""))</f>
        <v>660</v>
      </c>
      <c r="Q69" s="15">
        <f t="shared" si="9"/>
        <v>99</v>
      </c>
      <c r="R69" s="13" t="str">
        <f>IF(D69="TEX","аренда техники — сделка/счёт",IF(OR(Q69="",H69="",H69=0),"—",IF(Q69&lt;H69*(1-Параметры!$B$7),"почасовка",IF(Q69&gt;H69*(1+Параметры!$B$7),"сделка","любой способ"))))</f>
        <v>любой способ</v>
      </c>
      <c r="S69">
        <v>0</v>
      </c>
      <c r="T69">
        <v>0</v>
      </c>
    </row>
    <row r="70" spans="1:20" x14ac:dyDescent="0.25">
      <c r="A70" s="13" t="s">
        <v>190</v>
      </c>
      <c r="B70" s="13" t="s">
        <v>191</v>
      </c>
      <c r="C70" s="13" t="s">
        <v>72</v>
      </c>
      <c r="D70" s="13" t="s">
        <v>60</v>
      </c>
      <c r="E70" s="13" t="str">
        <f>IFERROR(INDEX('Почасовка — ставки и план'!$B$5:$B$24,MATCH(D70,'Почасовка — ставки и план'!$A$5:$A$24,0)),"Аренда техники / механизмы")</f>
        <v>Разнорабочий / демонтажник</v>
      </c>
      <c r="F70" s="14">
        <v>1027</v>
      </c>
      <c r="G70" s="14">
        <v>1232</v>
      </c>
      <c r="H70" s="15">
        <v>600</v>
      </c>
      <c r="I70" s="15">
        <f>IF(OR(H70="",F70=""),"",MAX(H70,MIN(ROUND(H70*(1+Параметры!$B$5),IF(H70*(1+Параметры!$B$5)&gt;=1000,-1,0)),ROUND(F70*Параметры!$B$6,IF(F70*Параметры!$B$6&gt;=1000,-1,0)))))</f>
        <v>690</v>
      </c>
      <c r="J70" s="15">
        <v>690</v>
      </c>
      <c r="K70" s="15">
        <f>IF(OR(J70="",G70=""),"",MAX(J70,MIN(ROUND(J70*(1+Параметры!$B$5),IF(J70*(1+Параметры!$B$5)&gt;=1000,-1,0)),ROUND(G70*Параметры!$B$6,IF(G70*Параметры!$B$6&gt;=1000,-1,0)))))</f>
        <v>794</v>
      </c>
      <c r="L70" s="16">
        <v>1.4</v>
      </c>
      <c r="M70" s="17">
        <f t="shared" si="8"/>
        <v>0.7142857142857143</v>
      </c>
      <c r="N70" s="17">
        <f>IF(OR(L70="",L70=0),"",Параметры!$B$3/L70)</f>
        <v>5.7142857142857144</v>
      </c>
      <c r="O70" s="15">
        <f>IF(L70="","",IFERROR(INDEX('Почасовка — ставки и план'!$D$5:$D$24,MATCH($D70,'Почасовка — ставки и план'!$A$5:$A$24,0)),""))</f>
        <v>550</v>
      </c>
      <c r="P70" s="15">
        <f>IF(L70="","",IFERROR(INDEX('Почасовка — ставки и план'!$E$5:$E$24,MATCH($D70,'Почасовка — ставки и план'!$A$5:$A$24,0)),""))</f>
        <v>660</v>
      </c>
      <c r="Q70" s="15">
        <f t="shared" si="9"/>
        <v>770</v>
      </c>
      <c r="R70" s="13" t="str">
        <f>IF(D70="TEX","аренда техники — сделка/счёт",IF(OR(Q70="",H70="",H70=0),"—",IF(Q70&lt;H70*(1-Параметры!$B$7),"почасовка",IF(Q70&gt;H70*(1+Параметры!$B$7),"сделка","любой способ"))))</f>
        <v>сделка</v>
      </c>
      <c r="S70">
        <v>2.6999999999999909E-2</v>
      </c>
      <c r="T70">
        <v>7.1304347826086856E-2</v>
      </c>
    </row>
    <row r="71" spans="1:20" x14ac:dyDescent="0.25">
      <c r="A71" s="13" t="s">
        <v>192</v>
      </c>
      <c r="B71" s="13" t="s">
        <v>193</v>
      </c>
      <c r="C71" s="13" t="s">
        <v>72</v>
      </c>
      <c r="D71" s="13" t="s">
        <v>60</v>
      </c>
      <c r="E71" s="13" t="str">
        <f>IFERROR(INDEX('Почасовка — ставки и план'!$B$5:$B$24,MATCH(D71,'Почасовка — ставки и план'!$A$5:$A$24,0)),"Аренда техники / механизмы")</f>
        <v>Разнорабочий / демонтажник</v>
      </c>
      <c r="F71" s="14">
        <v>450</v>
      </c>
      <c r="G71" s="14">
        <v>518</v>
      </c>
      <c r="H71" s="15">
        <v>270</v>
      </c>
      <c r="I71" s="15">
        <f>IF(OR(H71="",F71=""),"",MAX(H71,MIN(ROUND(H71*(1+Параметры!$B$5),IF(H71*(1+Параметры!$B$5)&gt;=1000,-1,0)),ROUND(F71*Параметры!$B$6,IF(F71*Параметры!$B$6&gt;=1000,-1,0)))))</f>
        <v>311</v>
      </c>
      <c r="J71" s="15">
        <v>310</v>
      </c>
      <c r="K71" s="15">
        <f>IF(OR(J71="",G71=""),"",MAX(J71,MIN(ROUND(J71*(1+Параметры!$B$5),IF(J71*(1+Параметры!$B$5)&gt;=1000,-1,0)),ROUND(G71*Параметры!$B$6,IF(G71*Параметры!$B$6&gt;=1000,-1,0)))))</f>
        <v>357</v>
      </c>
      <c r="L71" s="16">
        <v>0.55000000000000004</v>
      </c>
      <c r="M71" s="17">
        <f t="shared" si="8"/>
        <v>1.8181818181818181</v>
      </c>
      <c r="N71" s="17">
        <f>IF(OR(L71="",L71=0),"",Параметры!$B$3/L71)</f>
        <v>14.545454545454545</v>
      </c>
      <c r="O71" s="15">
        <f>IF(L71="","",IFERROR(INDEX('Почасовка — ставки и план'!$D$5:$D$24,MATCH($D71,'Почасовка — ставки и план'!$A$5:$A$24,0)),""))</f>
        <v>550</v>
      </c>
      <c r="P71" s="15">
        <f>IF(L71="","",IFERROR(INDEX('Почасовка — ставки и план'!$E$5:$E$24,MATCH($D71,'Почасовка — ставки и план'!$A$5:$A$24,0)),""))</f>
        <v>660</v>
      </c>
      <c r="Q71" s="15">
        <f t="shared" si="9"/>
        <v>303</v>
      </c>
      <c r="R71" s="13" t="str">
        <f>IF(D71="TEX","аренда техники — сделка/счёт",IF(OR(Q71="",H71="",H71=0),"—",IF(Q71&lt;H71*(1-Параметры!$B$7),"почасовка",IF(Q71&gt;H71*(1+Параметры!$B$7),"сделка","любой способ"))))</f>
        <v>сделка</v>
      </c>
      <c r="S71">
        <v>0</v>
      </c>
      <c r="T71">
        <v>0</v>
      </c>
    </row>
    <row r="72" spans="1:20" x14ac:dyDescent="0.25">
      <c r="A72" s="18" t="s">
        <v>194</v>
      </c>
      <c r="B72" s="13" t="s">
        <v>195</v>
      </c>
      <c r="C72" s="13" t="s">
        <v>72</v>
      </c>
      <c r="D72" s="13" t="s">
        <v>60</v>
      </c>
      <c r="E72" s="13" t="str">
        <f>IFERROR(INDEX('Почасовка — ставки и план'!$B$5:$B$24,MATCH(D72,'Почасовка — ставки и план'!$A$5:$A$24,0)),"Аренда техники / механизмы")</f>
        <v>Разнорабочий / демонтажник</v>
      </c>
      <c r="F72" s="14">
        <v>90</v>
      </c>
      <c r="G72" s="14">
        <v>103</v>
      </c>
      <c r="H72" s="15">
        <v>55</v>
      </c>
      <c r="I72" s="15">
        <f>IF(OR(H72="",F72=""),"",MAX(H72,MIN(ROUND(H72*(1+Параметры!$B$5),IF(H72*(1+Параметры!$B$5)&gt;=1000,-1,0)),ROUND(F72*Параметры!$B$6,IF(F72*Параметры!$B$6&gt;=1000,-1,0)))))</f>
        <v>63</v>
      </c>
      <c r="J72" s="15">
        <v>63</v>
      </c>
      <c r="K72" s="15">
        <f>IF(OR(J72="",G72=""),"",MAX(J72,MIN(ROUND(J72*(1+Параметры!$B$5),IF(J72*(1+Параметры!$B$5)&gt;=1000,-1,0)),ROUND(G72*Параметры!$B$6,IF(G72*Параметры!$B$6&gt;=1000,-1,0)))))</f>
        <v>72</v>
      </c>
      <c r="L72" s="16">
        <v>0.08</v>
      </c>
      <c r="M72" s="17">
        <f t="shared" si="8"/>
        <v>12.5</v>
      </c>
      <c r="N72" s="17">
        <f>IF(OR(L72="",L72=0),"",Параметры!$B$3/L72)</f>
        <v>100</v>
      </c>
      <c r="O72" s="15">
        <f>IF(L72="","",IFERROR(INDEX('Почасовка — ставки и план'!$D$5:$D$24,MATCH($D72,'Почасовка — ставки и план'!$A$5:$A$24,0)),""))</f>
        <v>550</v>
      </c>
      <c r="P72" s="15">
        <f>IF(L72="","",IFERROR(INDEX('Почасовка — ставки и план'!$E$5:$E$24,MATCH($D72,'Почасовка — ставки и план'!$A$5:$A$24,0)),""))</f>
        <v>660</v>
      </c>
      <c r="Q72" s="15">
        <f t="shared" si="9"/>
        <v>44</v>
      </c>
      <c r="R72" s="13" t="str">
        <f>IF(D72="TEX","аренда техники — сделка/счёт",IF(OR(Q72="",H72="",H72=0),"—",IF(Q72&lt;H72*(1-Параметры!$B$7),"почасовка",IF(Q72&gt;H72*(1+Параметры!$B$7),"сделка","любой способ"))))</f>
        <v>почасовка</v>
      </c>
      <c r="S72">
        <v>0</v>
      </c>
      <c r="T72">
        <v>0</v>
      </c>
    </row>
    <row r="73" spans="1:20" x14ac:dyDescent="0.25">
      <c r="A73" s="18" t="s">
        <v>196</v>
      </c>
      <c r="B73" s="13" t="s">
        <v>197</v>
      </c>
      <c r="C73" s="13" t="s">
        <v>72</v>
      </c>
      <c r="D73" s="13" t="s">
        <v>60</v>
      </c>
      <c r="E73" s="13" t="str">
        <f>IFERROR(INDEX('Почасовка — ставки и план'!$B$5:$B$24,MATCH(D73,'Почасовка — ставки и план'!$A$5:$A$24,0)),"Аренда техники / механизмы")</f>
        <v>Разнорабочий / демонтажник</v>
      </c>
      <c r="F73" s="14">
        <v>150</v>
      </c>
      <c r="G73" s="14">
        <v>172</v>
      </c>
      <c r="H73" s="15">
        <v>90</v>
      </c>
      <c r="I73" s="15">
        <f>IF(OR(H73="",F73=""),"",MAX(H73,MIN(ROUND(H73*(1+Параметры!$B$5),IF(H73*(1+Параметры!$B$5)&gt;=1000,-1,0)),ROUND(F73*Параметры!$B$6,IF(F73*Параметры!$B$6&gt;=1000,-1,0)))))</f>
        <v>104</v>
      </c>
      <c r="J73" s="15">
        <v>103</v>
      </c>
      <c r="K73" s="15">
        <f>IF(OR(J73="",G73=""),"",MAX(J73,MIN(ROUND(J73*(1+Параметры!$B$5),IF(J73*(1+Параметры!$B$5)&gt;=1000,-1,0)),ROUND(G73*Параметры!$B$6,IF(G73*Параметры!$B$6&gt;=1000,-1,0)))))</f>
        <v>118</v>
      </c>
      <c r="L73" s="16">
        <v>0.15</v>
      </c>
      <c r="M73" s="17">
        <f t="shared" si="8"/>
        <v>6.666666666666667</v>
      </c>
      <c r="N73" s="17">
        <f>IF(OR(L73="",L73=0),"",Параметры!$B$3/L73)</f>
        <v>53.333333333333336</v>
      </c>
      <c r="O73" s="15">
        <f>IF(L73="","",IFERROR(INDEX('Почасовка — ставки и план'!$D$5:$D$24,MATCH($D73,'Почасовка — ставки и план'!$A$5:$A$24,0)),""))</f>
        <v>550</v>
      </c>
      <c r="P73" s="15">
        <f>IF(L73="","",IFERROR(INDEX('Почасовка — ставки и план'!$E$5:$E$24,MATCH($D73,'Почасовка — ставки и план'!$A$5:$A$24,0)),""))</f>
        <v>660</v>
      </c>
      <c r="Q73" s="15">
        <f t="shared" si="9"/>
        <v>83</v>
      </c>
      <c r="R73" s="13" t="str">
        <f>IF(D73="TEX","аренда техники — сделка/счёт",IF(OR(Q73="",H73="",H73=0),"—",IF(Q73&lt;H73*(1-Параметры!$B$7),"почасовка",IF(Q73&gt;H73*(1+Параметры!$B$7),"сделка","любой способ"))))</f>
        <v>любой способ</v>
      </c>
      <c r="S73">
        <v>0</v>
      </c>
      <c r="T73">
        <v>0</v>
      </c>
    </row>
    <row r="74" spans="1:20" x14ac:dyDescent="0.25">
      <c r="A74" s="18" t="s">
        <v>198</v>
      </c>
      <c r="B74" s="13" t="s">
        <v>199</v>
      </c>
      <c r="C74" s="13" t="s">
        <v>72</v>
      </c>
      <c r="D74" s="13" t="s">
        <v>200</v>
      </c>
      <c r="E74" s="13" t="str">
        <f>IFERROR(INDEX('Почасовка — ставки и план'!$B$5:$B$24,MATCH(D74,'Почасовка — ставки и план'!$A$5:$A$24,0)),"Аренда техники / механизмы")</f>
        <v>Плиточник / укладчик полов</v>
      </c>
      <c r="F74" s="14">
        <v>450</v>
      </c>
      <c r="G74" s="14">
        <v>518</v>
      </c>
      <c r="H74" s="15">
        <v>270</v>
      </c>
      <c r="I74" s="15">
        <f>IF(OR(H74="",F74=""),"",MAX(H74,MIN(ROUND(H74*(1+Параметры!$B$5),IF(H74*(1+Параметры!$B$5)&gt;=1000,-1,0)),ROUND(F74*Параметры!$B$6,IF(F74*Параметры!$B$6&gt;=1000,-1,0)))))</f>
        <v>311</v>
      </c>
      <c r="J74" s="15">
        <v>310</v>
      </c>
      <c r="K74" s="15">
        <f>IF(OR(J74="",G74=""),"",MAX(J74,MIN(ROUND(J74*(1+Параметры!$B$5),IF(J74*(1+Параметры!$B$5)&gt;=1000,-1,0)),ROUND(G74*Параметры!$B$6,IF(G74*Параметры!$B$6&gt;=1000,-1,0)))))</f>
        <v>357</v>
      </c>
      <c r="L74" s="16">
        <v>0.35</v>
      </c>
      <c r="M74" s="17">
        <f t="shared" si="8"/>
        <v>2.8571428571428572</v>
      </c>
      <c r="N74" s="17">
        <f>IF(OR(L74="",L74=0),"",Параметры!$B$3/L74)</f>
        <v>22.857142857142858</v>
      </c>
      <c r="O74" s="15">
        <f>IF(L74="","",IFERROR(INDEX('Почасовка — ставки и план'!$D$5:$D$24,MATCH($D74,'Почасовка — ставки и план'!$A$5:$A$24,0)),""))</f>
        <v>900</v>
      </c>
      <c r="P74" s="15">
        <f>IF(L74="","",IFERROR(INDEX('Почасовка — ставки и план'!$E$5:$E$24,MATCH($D74,'Почасовка — ставки и план'!$A$5:$A$24,0)),""))</f>
        <v>1080</v>
      </c>
      <c r="Q74" s="15">
        <f t="shared" si="9"/>
        <v>315</v>
      </c>
      <c r="R74" s="13" t="str">
        <f>IF(D74="TEX","аренда техники — сделка/счёт",IF(OR(Q74="",H74="",H74=0),"—",IF(Q74&lt;H74*(1-Параметры!$B$7),"почасовка",IF(Q74&gt;H74*(1+Параметры!$B$7),"сделка","любой способ"))))</f>
        <v>сделка</v>
      </c>
      <c r="S74">
        <v>0</v>
      </c>
      <c r="T74">
        <v>0</v>
      </c>
    </row>
    <row r="75" spans="1:20" x14ac:dyDescent="0.25">
      <c r="A75" s="18" t="s">
        <v>201</v>
      </c>
      <c r="B75" s="13" t="s">
        <v>202</v>
      </c>
      <c r="C75" s="13" t="s">
        <v>72</v>
      </c>
      <c r="D75" s="13" t="s">
        <v>60</v>
      </c>
      <c r="E75" s="13" t="str">
        <f>IFERROR(INDEX('Почасовка — ставки и план'!$B$5:$B$24,MATCH(D75,'Почасовка — ставки и план'!$A$5:$A$24,0)),"Аренда техники / механизмы")</f>
        <v>Разнорабочий / демонтажник</v>
      </c>
      <c r="F75" s="14">
        <v>300</v>
      </c>
      <c r="G75" s="14">
        <v>345</v>
      </c>
      <c r="H75" s="15">
        <v>180</v>
      </c>
      <c r="I75" s="15">
        <f>IF(OR(H75="",F75=""),"",MAX(H75,MIN(ROUND(H75*(1+Параметры!$B$5),IF(H75*(1+Параметры!$B$5)&gt;=1000,-1,0)),ROUND(F75*Параметры!$B$6,IF(F75*Параметры!$B$6&gt;=1000,-1,0)))))</f>
        <v>207</v>
      </c>
      <c r="J75" s="15">
        <v>207</v>
      </c>
      <c r="K75" s="15">
        <f>IF(OR(J75="",G75=""),"",MAX(J75,MIN(ROUND(J75*(1+Параметры!$B$5),IF(J75*(1+Параметры!$B$5)&gt;=1000,-1,0)),ROUND(G75*Параметры!$B$6,IF(G75*Параметры!$B$6&gt;=1000,-1,0)))))</f>
        <v>238</v>
      </c>
      <c r="L75" s="16">
        <v>0.3</v>
      </c>
      <c r="M75" s="17">
        <f t="shared" si="8"/>
        <v>3.3333333333333335</v>
      </c>
      <c r="N75" s="17">
        <f>IF(OR(L75="",L75=0),"",Параметры!$B$3/L75)</f>
        <v>26.666666666666668</v>
      </c>
      <c r="O75" s="15">
        <f>IF(L75="","",IFERROR(INDEX('Почасовка — ставки и план'!$D$5:$D$24,MATCH($D75,'Почасовка — ставки и план'!$A$5:$A$24,0)),""))</f>
        <v>550</v>
      </c>
      <c r="P75" s="15">
        <f>IF(L75="","",IFERROR(INDEX('Почасовка — ставки и план'!$E$5:$E$24,MATCH($D75,'Почасовка — ставки и план'!$A$5:$A$24,0)),""))</f>
        <v>660</v>
      </c>
      <c r="Q75" s="15">
        <f t="shared" si="9"/>
        <v>165</v>
      </c>
      <c r="R75" s="13" t="str">
        <f>IF(D75="TEX","аренда техники — сделка/счёт",IF(OR(Q75="",H75="",H75=0),"—",IF(Q75&lt;H75*(1-Параметры!$B$7),"почасовка",IF(Q75&gt;H75*(1+Параметры!$B$7),"сделка","любой способ"))))</f>
        <v>любой способ</v>
      </c>
      <c r="S75">
        <v>0</v>
      </c>
      <c r="T75">
        <v>0</v>
      </c>
    </row>
    <row r="76" spans="1:20" x14ac:dyDescent="0.25">
      <c r="A76" s="11" t="s">
        <v>203</v>
      </c>
      <c r="B76" s="12"/>
      <c r="C76" s="12"/>
      <c r="D76" s="12"/>
      <c r="E76" s="12"/>
      <c r="F76" s="12"/>
      <c r="G76" s="12"/>
      <c r="H76" s="12"/>
      <c r="I76" s="12"/>
      <c r="J76" s="12"/>
      <c r="K76" s="12"/>
      <c r="L76" s="12"/>
      <c r="M76" s="12"/>
      <c r="N76" s="12"/>
      <c r="O76" s="12"/>
      <c r="P76" s="12"/>
      <c r="Q76" s="12"/>
      <c r="R76" s="12"/>
    </row>
    <row r="77" spans="1:20" x14ac:dyDescent="0.25">
      <c r="A77" s="13" t="s">
        <v>204</v>
      </c>
      <c r="B77" s="13" t="s">
        <v>205</v>
      </c>
      <c r="C77" s="13" t="s">
        <v>72</v>
      </c>
      <c r="D77" s="13" t="s">
        <v>60</v>
      </c>
      <c r="E77" s="13" t="str">
        <f>IFERROR(INDEX('Почасовка — ставки и план'!$B$5:$B$24,MATCH(D77,'Почасовка — ставки и план'!$A$5:$A$24,0)),"Аренда техники / механизмы")</f>
        <v>Разнорабочий / демонтажник</v>
      </c>
      <c r="F77" s="14">
        <v>120</v>
      </c>
      <c r="G77" s="14">
        <v>138</v>
      </c>
      <c r="H77" s="15">
        <v>70</v>
      </c>
      <c r="I77" s="15">
        <f>IF(OR(H77="",F77=""),"",MAX(H77,MIN(ROUND(H77*(1+Параметры!$B$5),IF(H77*(1+Параметры!$B$5)&gt;=1000,-1,0)),ROUND(F77*Параметры!$B$6,IF(F77*Параметры!$B$6&gt;=1000,-1,0)))))</f>
        <v>81</v>
      </c>
      <c r="J77" s="15">
        <v>80.5</v>
      </c>
      <c r="K77" s="15">
        <f>IF(OR(J77="",G77=""),"",MAX(J77,MIN(ROUND(J77*(1+Параметры!$B$5),IF(J77*(1+Параметры!$B$5)&gt;=1000,-1,0)),ROUND(G77*Параметры!$B$6,IF(G77*Параметры!$B$6&gt;=1000,-1,0)))))</f>
        <v>93</v>
      </c>
      <c r="L77" s="16">
        <v>0.15</v>
      </c>
      <c r="M77" s="17">
        <f t="shared" ref="M77:M89" si="10">IF(OR(L77="",L77=0),"",1/L77)</f>
        <v>6.666666666666667</v>
      </c>
      <c r="N77" s="17">
        <f>IF(OR(L77="",L77=0),"",Параметры!$B$3/L77)</f>
        <v>53.333333333333336</v>
      </c>
      <c r="O77" s="15">
        <f>IF(L77="","",IFERROR(INDEX('Почасовка — ставки и план'!$D$5:$D$24,MATCH($D77,'Почасовка — ставки и план'!$A$5:$A$24,0)),""))</f>
        <v>550</v>
      </c>
      <c r="P77" s="15">
        <f>IF(L77="","",IFERROR(INDEX('Почасовка — ставки и план'!$E$5:$E$24,MATCH($D77,'Почасовка — ставки и план'!$A$5:$A$24,0)),""))</f>
        <v>660</v>
      </c>
      <c r="Q77" s="15">
        <f t="shared" ref="Q77:Q89" si="11">IF(OR(L77="",O77=""),"",ROUND(L77*O77,0))</f>
        <v>83</v>
      </c>
      <c r="R77" s="13" t="str">
        <f>IF(D77="TEX","аренда техники — сделка/счёт",IF(OR(Q77="",H77="",H77=0),"—",IF(Q77&lt;H77*(1-Параметры!$B$7),"почасовка",IF(Q77&gt;H77*(1+Параметры!$B$7),"сделка","любой способ"))))</f>
        <v>сделка</v>
      </c>
      <c r="S77">
        <v>0</v>
      </c>
      <c r="T77">
        <v>0</v>
      </c>
    </row>
    <row r="78" spans="1:20" x14ac:dyDescent="0.25">
      <c r="A78" s="13" t="s">
        <v>206</v>
      </c>
      <c r="B78" s="13" t="s">
        <v>207</v>
      </c>
      <c r="C78" s="13" t="s">
        <v>72</v>
      </c>
      <c r="D78" s="13" t="s">
        <v>208</v>
      </c>
      <c r="E78" s="13" t="str">
        <f>IFERROR(INDEX('Почасовка — ставки и план'!$B$5:$B$24,MATCH(D78,'Почасовка — ставки и план'!$A$5:$A$24,0)),"Аренда техники / механизмы")</f>
        <v>Отделочник (штукатур, маляр, ГКЛ)</v>
      </c>
      <c r="F78" s="14">
        <v>500</v>
      </c>
      <c r="G78" s="14">
        <v>600</v>
      </c>
      <c r="H78" s="15">
        <v>210</v>
      </c>
      <c r="I78" s="15">
        <f>IF(OR(H78="",F78=""),"",MAX(H78,MIN(ROUND(H78*(1+Параметры!$B$5),IF(H78*(1+Параметры!$B$5)&gt;=1000,-1,0)),ROUND(F78*Параметры!$B$6,IF(F78*Параметры!$B$6&gt;=1000,-1,0)))))</f>
        <v>242</v>
      </c>
      <c r="J78" s="15">
        <v>241</v>
      </c>
      <c r="K78" s="15">
        <f>IF(OR(J78="",G78=""),"",MAX(J78,MIN(ROUND(J78*(1+Параметры!$B$5),IF(J78*(1+Параметры!$B$5)&gt;=1000,-1,0)),ROUND(G78*Параметры!$B$6,IF(G78*Параметры!$B$6&gt;=1000,-1,0)))))</f>
        <v>277</v>
      </c>
      <c r="L78" s="16">
        <v>0.5</v>
      </c>
      <c r="M78" s="17">
        <f t="shared" si="10"/>
        <v>2</v>
      </c>
      <c r="N78" s="17">
        <f>IF(OR(L78="",L78=0),"",Параметры!$B$3/L78)</f>
        <v>16</v>
      </c>
      <c r="O78" s="15">
        <f>IF(L78="","",IFERROR(INDEX('Почасовка — ставки и план'!$D$5:$D$24,MATCH($D78,'Почасовка — ставки и план'!$A$5:$A$24,0)),""))</f>
        <v>750</v>
      </c>
      <c r="P78" s="15">
        <f>IF(L78="","",IFERROR(INDEX('Почасовка — ставки и план'!$E$5:$E$24,MATCH($D78,'Почасовка — ставки и план'!$A$5:$A$24,0)),""))</f>
        <v>900</v>
      </c>
      <c r="Q78" s="15">
        <f t="shared" si="11"/>
        <v>375</v>
      </c>
      <c r="R78" s="13" t="str">
        <f>IF(D78="TEX","аренда техники — сделка/счёт",IF(OR(Q78="",H78="",H78=0),"—",IF(Q78&lt;H78*(1-Параметры!$B$7),"почасовка",IF(Q78&gt;H78*(1+Параметры!$B$7),"сделка","любой способ"))))</f>
        <v>сделка</v>
      </c>
      <c r="S78">
        <v>0.4285714285714286</v>
      </c>
      <c r="T78">
        <v>0.49253731343283591</v>
      </c>
    </row>
    <row r="79" spans="1:20" x14ac:dyDescent="0.25">
      <c r="A79" s="13" t="s">
        <v>209</v>
      </c>
      <c r="B79" s="13" t="s">
        <v>210</v>
      </c>
      <c r="C79" s="13" t="s">
        <v>72</v>
      </c>
      <c r="D79" s="13" t="s">
        <v>208</v>
      </c>
      <c r="E79" s="13" t="str">
        <f>IFERROR(INDEX('Почасовка — ставки и план'!$B$5:$B$24,MATCH(D79,'Почасовка — ставки и план'!$A$5:$A$24,0)),"Аренда техники / механизмы")</f>
        <v>Отделочник (штукатур, маляр, ГКЛ)</v>
      </c>
      <c r="F79" s="14">
        <v>251</v>
      </c>
      <c r="G79" s="14">
        <v>300</v>
      </c>
      <c r="H79" s="15">
        <v>130</v>
      </c>
      <c r="I79" s="15">
        <f>IF(OR(H79="",F79=""),"",MAX(H79,MIN(ROUND(H79*(1+Параметры!$B$5),IF(H79*(1+Параметры!$B$5)&gt;=1000,-1,0)),ROUND(F79*Параметры!$B$6,IF(F79*Параметры!$B$6&gt;=1000,-1,0)))))</f>
        <v>150</v>
      </c>
      <c r="J79" s="15">
        <v>150</v>
      </c>
      <c r="K79" s="15">
        <f>IF(OR(J79="",G79=""),"",MAX(J79,MIN(ROUND(J79*(1+Параметры!$B$5),IF(J79*(1+Параметры!$B$5)&gt;=1000,-1,0)),ROUND(G79*Параметры!$B$6,IF(G79*Параметры!$B$6&gt;=1000,-1,0)))))</f>
        <v>173</v>
      </c>
      <c r="L79" s="16">
        <v>0.25</v>
      </c>
      <c r="M79" s="17">
        <f t="shared" si="10"/>
        <v>4</v>
      </c>
      <c r="N79" s="17">
        <f>IF(OR(L79="",L79=0),"",Параметры!$B$3/L79)</f>
        <v>32</v>
      </c>
      <c r="O79" s="15">
        <f>IF(L79="","",IFERROR(INDEX('Почасовка — ставки и план'!$D$5:$D$24,MATCH($D79,'Почасовка — ставки и план'!$A$5:$A$24,0)),""))</f>
        <v>750</v>
      </c>
      <c r="P79" s="15">
        <f>IF(L79="","",IFERROR(INDEX('Почасовка — ставки и план'!$E$5:$E$24,MATCH($D79,'Почасовка — ставки и план'!$A$5:$A$24,0)),""))</f>
        <v>900</v>
      </c>
      <c r="Q79" s="15">
        <f t="shared" si="11"/>
        <v>188</v>
      </c>
      <c r="R79" s="13" t="str">
        <f>IF(D79="TEX","аренда техники — сделка/счёт",IF(OR(Q79="",H79="",H79=0),"—",IF(Q79&lt;H79*(1-Параметры!$B$7),"почасовка",IF(Q79&gt;H79*(1+Параметры!$B$7),"сделка","любой способ"))))</f>
        <v>сделка</v>
      </c>
      <c r="S79">
        <v>0.1409090909090909</v>
      </c>
      <c r="T79">
        <v>0.1857707509881423</v>
      </c>
    </row>
    <row r="80" spans="1:20" x14ac:dyDescent="0.25">
      <c r="A80" s="13" t="s">
        <v>211</v>
      </c>
      <c r="B80" s="13" t="s">
        <v>212</v>
      </c>
      <c r="C80" s="13" t="s">
        <v>72</v>
      </c>
      <c r="D80" s="13" t="s">
        <v>208</v>
      </c>
      <c r="E80" s="13" t="str">
        <f>IFERROR(INDEX('Почасовка — ставки и план'!$B$5:$B$24,MATCH(D80,'Почасовка — ставки и план'!$A$5:$A$24,0)),"Аренда техники / механизмы")</f>
        <v>Отделочник (штукатур, маляр, ГКЛ)</v>
      </c>
      <c r="F80" s="14">
        <v>200</v>
      </c>
      <c r="G80" s="14">
        <v>240</v>
      </c>
      <c r="H80" s="15">
        <v>110</v>
      </c>
      <c r="I80" s="15">
        <f>IF(OR(H80="",F80=""),"",MAX(H80,MIN(ROUND(H80*(1+Параметры!$B$5),IF(H80*(1+Параметры!$B$5)&gt;=1000,-1,0)),ROUND(F80*Параметры!$B$6,IF(F80*Параметры!$B$6&gt;=1000,-1,0)))))</f>
        <v>127</v>
      </c>
      <c r="J80" s="15">
        <v>126</v>
      </c>
      <c r="K80" s="15">
        <f>IF(OR(J80="",G80=""),"",MAX(J80,MIN(ROUND(J80*(1+Параметры!$B$5),IF(J80*(1+Параметры!$B$5)&gt;=1000,-1,0)),ROUND(G80*Параметры!$B$6,IF(G80*Параметры!$B$6&gt;=1000,-1,0)))))</f>
        <v>145</v>
      </c>
      <c r="L80" s="16">
        <v>0.2</v>
      </c>
      <c r="M80" s="17">
        <f t="shared" si="10"/>
        <v>5</v>
      </c>
      <c r="N80" s="17">
        <f>IF(OR(L80="",L80=0),"",Параметры!$B$3/L80)</f>
        <v>40</v>
      </c>
      <c r="O80" s="15">
        <f>IF(L80="","",IFERROR(INDEX('Почасовка — ставки и план'!$D$5:$D$24,MATCH($D80,'Почасовка — ставки и план'!$A$5:$A$24,0)),""))</f>
        <v>750</v>
      </c>
      <c r="P80" s="15">
        <f>IF(L80="","",IFERROR(INDEX('Почасовка — ставки и план'!$E$5:$E$24,MATCH($D80,'Почасовка — ставки и план'!$A$5:$A$24,0)),""))</f>
        <v>900</v>
      </c>
      <c r="Q80" s="15">
        <f t="shared" si="11"/>
        <v>150</v>
      </c>
      <c r="R80" s="13" t="str">
        <f>IF(D80="TEX","аренда техники — сделка/счёт",IF(OR(Q80="",H80="",H80=0),"—",IF(Q80&lt;H80*(1-Параметры!$B$7),"почасовка",IF(Q80&gt;H80*(1+Параметры!$B$7),"сделка","любой способ"))))</f>
        <v>сделка</v>
      </c>
      <c r="S80">
        <v>0.1111111111111112</v>
      </c>
      <c r="T80">
        <v>0.15942028985507251</v>
      </c>
    </row>
    <row r="81" spans="1:20" x14ac:dyDescent="0.25">
      <c r="A81" s="13" t="s">
        <v>213</v>
      </c>
      <c r="B81" s="13" t="s">
        <v>214</v>
      </c>
      <c r="C81" s="13" t="s">
        <v>72</v>
      </c>
      <c r="D81" s="13" t="s">
        <v>208</v>
      </c>
      <c r="E81" s="13" t="str">
        <f>IFERROR(INDEX('Почасовка — ставки и план'!$B$5:$B$24,MATCH(D81,'Почасовка — ставки и план'!$A$5:$A$24,0)),"Аренда техники / механизмы")</f>
        <v>Отделочник (штукатур, маляр, ГКЛ)</v>
      </c>
      <c r="F81" s="14">
        <v>120</v>
      </c>
      <c r="G81" s="14">
        <v>144</v>
      </c>
      <c r="H81" s="15">
        <v>70</v>
      </c>
      <c r="I81" s="15">
        <f>IF(OR(H81="",F81=""),"",MAX(H81,MIN(ROUND(H81*(1+Параметры!$B$5),IF(H81*(1+Параметры!$B$5)&gt;=1000,-1,0)),ROUND(F81*Параметры!$B$6,IF(F81*Параметры!$B$6&gt;=1000,-1,0)))))</f>
        <v>81</v>
      </c>
      <c r="J81" s="15">
        <v>80.5</v>
      </c>
      <c r="K81" s="15">
        <f>IF(OR(J81="",G81=""),"",MAX(J81,MIN(ROUND(J81*(1+Параметры!$B$5),IF(J81*(1+Параметры!$B$5)&gt;=1000,-1,0)),ROUND(G81*Параметры!$B$6,IF(G81*Параметры!$B$6&gt;=1000,-1,0)))))</f>
        <v>93</v>
      </c>
      <c r="L81" s="16">
        <v>0.12</v>
      </c>
      <c r="M81" s="17">
        <f t="shared" si="10"/>
        <v>8.3333333333333339</v>
      </c>
      <c r="N81" s="17">
        <f>IF(OR(L81="",L81=0),"",Параметры!$B$3/L81)</f>
        <v>66.666666666666671</v>
      </c>
      <c r="O81" s="15">
        <f>IF(L81="","",IFERROR(INDEX('Почасовка — ставки и план'!$D$5:$D$24,MATCH($D81,'Почасовка — ставки и план'!$A$5:$A$24,0)),""))</f>
        <v>750</v>
      </c>
      <c r="P81" s="15">
        <f>IF(L81="","",IFERROR(INDEX('Почасовка — ставки и план'!$E$5:$E$24,MATCH($D81,'Почасовка — ставки и план'!$A$5:$A$24,0)),""))</f>
        <v>900</v>
      </c>
      <c r="Q81" s="15">
        <f t="shared" si="11"/>
        <v>90</v>
      </c>
      <c r="R81" s="13" t="str">
        <f>IF(D81="TEX","аренда техники — сделка/счёт",IF(OR(Q81="",H81="",H81=0),"—",IF(Q81&lt;H81*(1-Параметры!$B$7),"почасовка",IF(Q81&gt;H81*(1+Параметры!$B$7),"сделка","любой способ"))))</f>
        <v>сделка</v>
      </c>
      <c r="S81">
        <v>0</v>
      </c>
      <c r="T81">
        <v>4.3478260869565188E-2</v>
      </c>
    </row>
    <row r="82" spans="1:20" x14ac:dyDescent="0.25">
      <c r="A82" s="13" t="s">
        <v>215</v>
      </c>
      <c r="B82" s="13" t="s">
        <v>216</v>
      </c>
      <c r="C82" s="13" t="s">
        <v>72</v>
      </c>
      <c r="D82" s="13" t="s">
        <v>208</v>
      </c>
      <c r="E82" s="13" t="str">
        <f>IFERROR(INDEX('Почасовка — ставки и план'!$B$5:$B$24,MATCH(D82,'Почасовка — ставки и план'!$A$5:$A$24,0)),"Аренда техники / механизмы")</f>
        <v>Отделочник (штукатур, маляр, ГКЛ)</v>
      </c>
      <c r="F82" s="14">
        <v>180</v>
      </c>
      <c r="G82" s="14">
        <v>216</v>
      </c>
      <c r="H82" s="15">
        <v>90</v>
      </c>
      <c r="I82" s="15">
        <f>IF(OR(H82="",F82=""),"",MAX(H82,MIN(ROUND(H82*(1+Параметры!$B$5),IF(H82*(1+Параметры!$B$5)&gt;=1000,-1,0)),ROUND(F82*Параметры!$B$6,IF(F82*Параметры!$B$6&gt;=1000,-1,0)))))</f>
        <v>104</v>
      </c>
      <c r="J82" s="15">
        <v>103</v>
      </c>
      <c r="K82" s="15">
        <f>IF(OR(J82="",G82=""),"",MAX(J82,MIN(ROUND(J82*(1+Параметры!$B$5),IF(J82*(1+Параметры!$B$5)&gt;=1000,-1,0)),ROUND(G82*Параметры!$B$6,IF(G82*Параметры!$B$6&gt;=1000,-1,0)))))</f>
        <v>118</v>
      </c>
      <c r="L82" s="16">
        <v>0.18</v>
      </c>
      <c r="M82" s="17">
        <f t="shared" si="10"/>
        <v>5.5555555555555554</v>
      </c>
      <c r="N82" s="17">
        <f>IF(OR(L82="",L82=0),"",Параметры!$B$3/L82)</f>
        <v>44.444444444444443</v>
      </c>
      <c r="O82" s="15">
        <f>IF(L82="","",IFERROR(INDEX('Почасовка — ставки и план'!$D$5:$D$24,MATCH($D82,'Почасовка — ставки и план'!$A$5:$A$24,0)),""))</f>
        <v>750</v>
      </c>
      <c r="P82" s="15">
        <f>IF(L82="","",IFERROR(INDEX('Почасовка — ставки и план'!$E$5:$E$24,MATCH($D82,'Почасовка — ставки и план'!$A$5:$A$24,0)),""))</f>
        <v>900</v>
      </c>
      <c r="Q82" s="15">
        <f t="shared" si="11"/>
        <v>135</v>
      </c>
      <c r="R82" s="13" t="str">
        <f>IF(D82="TEX","аренда техники — сделка/счёт",IF(OR(Q82="",H82="",H82=0),"—",IF(Q82&lt;H82*(1-Параметры!$B$7),"почасовка",IF(Q82&gt;H82*(1+Параметры!$B$7),"сделка","любой способ"))))</f>
        <v>сделка</v>
      </c>
      <c r="S82">
        <v>0.2</v>
      </c>
      <c r="T82">
        <v>0.2558139534883721</v>
      </c>
    </row>
    <row r="83" spans="1:20" x14ac:dyDescent="0.25">
      <c r="A83" s="13" t="s">
        <v>217</v>
      </c>
      <c r="B83" s="13" t="s">
        <v>218</v>
      </c>
      <c r="C83" s="13" t="s">
        <v>72</v>
      </c>
      <c r="D83" s="13" t="s">
        <v>208</v>
      </c>
      <c r="E83" s="13" t="str">
        <f>IFERROR(INDEX('Почасовка — ставки и план'!$B$5:$B$24,MATCH(D83,'Почасовка — ставки и план'!$A$5:$A$24,0)),"Аренда техники / механизмы")</f>
        <v>Отделочник (штукатур, маляр, ГКЛ)</v>
      </c>
      <c r="F83" s="14">
        <v>220</v>
      </c>
      <c r="G83" s="14">
        <v>264</v>
      </c>
      <c r="H83" s="15">
        <v>120</v>
      </c>
      <c r="I83" s="15">
        <f>IF(OR(H83="",F83=""),"",MAX(H83,MIN(ROUND(H83*(1+Параметры!$B$5),IF(H83*(1+Параметры!$B$5)&gt;=1000,-1,0)),ROUND(F83*Параметры!$B$6,IF(F83*Параметры!$B$6&gt;=1000,-1,0)))))</f>
        <v>138</v>
      </c>
      <c r="J83" s="15">
        <v>138</v>
      </c>
      <c r="K83" s="15">
        <f>IF(OR(J83="",G83=""),"",MAX(J83,MIN(ROUND(J83*(1+Параметры!$B$5),IF(J83*(1+Параметры!$B$5)&gt;=1000,-1,0)),ROUND(G83*Параметры!$B$6,IF(G83*Параметры!$B$6&gt;=1000,-1,0)))))</f>
        <v>159</v>
      </c>
      <c r="L83" s="16">
        <v>0.22</v>
      </c>
      <c r="M83" s="17">
        <f t="shared" si="10"/>
        <v>4.5454545454545459</v>
      </c>
      <c r="N83" s="17">
        <f>IF(OR(L83="",L83=0),"",Параметры!$B$3/L83)</f>
        <v>36.363636363636367</v>
      </c>
      <c r="O83" s="15">
        <f>IF(L83="","",IFERROR(INDEX('Почасовка — ставки и план'!$D$5:$D$24,MATCH($D83,'Почасовка — ставки и план'!$A$5:$A$24,0)),""))</f>
        <v>750</v>
      </c>
      <c r="P83" s="15">
        <f>IF(L83="","",IFERROR(INDEX('Почасовка — ставки и план'!$E$5:$E$24,MATCH($D83,'Почасовка — ставки и план'!$A$5:$A$24,0)),""))</f>
        <v>900</v>
      </c>
      <c r="Q83" s="15">
        <f t="shared" si="11"/>
        <v>165</v>
      </c>
      <c r="R83" s="13" t="str">
        <f>IF(D83="TEX","аренда техники — сделка/счёт",IF(OR(Q83="",H83="",H83=0),"—",IF(Q83&lt;H83*(1-Параметры!$B$7),"почасовка",IF(Q83&gt;H83*(1+Параметры!$B$7),"сделка","любой способ"))))</f>
        <v>сделка</v>
      </c>
      <c r="S83">
        <v>0.1000000000000001</v>
      </c>
      <c r="T83">
        <v>0.1478260869565218</v>
      </c>
    </row>
    <row r="84" spans="1:20" x14ac:dyDescent="0.25">
      <c r="A84" s="13" t="s">
        <v>219</v>
      </c>
      <c r="B84" s="13" t="s">
        <v>220</v>
      </c>
      <c r="C84" s="13" t="s">
        <v>72</v>
      </c>
      <c r="D84" s="13" t="s">
        <v>208</v>
      </c>
      <c r="E84" s="13" t="str">
        <f>IFERROR(INDEX('Почасовка — ставки и план'!$B$5:$B$24,MATCH(D84,'Почасовка — ставки и план'!$A$5:$A$24,0)),"Аренда техники / механизмы")</f>
        <v>Отделочник (штукатур, маляр, ГКЛ)</v>
      </c>
      <c r="F84" s="14">
        <v>180</v>
      </c>
      <c r="G84" s="14">
        <v>216</v>
      </c>
      <c r="H84" s="15">
        <v>110</v>
      </c>
      <c r="I84" s="15">
        <f>IF(OR(H84="",F84=""),"",MAX(H84,MIN(ROUND(H84*(1+Параметры!$B$5),IF(H84*(1+Параметры!$B$5)&gt;=1000,-1,0)),ROUND(F84*Параметры!$B$6,IF(F84*Параметры!$B$6&gt;=1000,-1,0)))))</f>
        <v>127</v>
      </c>
      <c r="J84" s="15">
        <v>126</v>
      </c>
      <c r="K84" s="15">
        <f>IF(OR(J84="",G84=""),"",MAX(J84,MIN(ROUND(J84*(1+Параметры!$B$5),IF(J84*(1+Параметры!$B$5)&gt;=1000,-1,0)),ROUND(G84*Параметры!$B$6,IF(G84*Параметры!$B$6&gt;=1000,-1,0)))))</f>
        <v>145</v>
      </c>
      <c r="L84" s="16">
        <v>0.18</v>
      </c>
      <c r="M84" s="17">
        <f t="shared" si="10"/>
        <v>5.5555555555555554</v>
      </c>
      <c r="N84" s="17">
        <f>IF(OR(L84="",L84=0),"",Параметры!$B$3/L84)</f>
        <v>44.444444444444443</v>
      </c>
      <c r="O84" s="15">
        <f>IF(L84="","",IFERROR(INDEX('Почасовка — ставки и план'!$D$5:$D$24,MATCH($D84,'Почасовка — ставки и план'!$A$5:$A$24,0)),""))</f>
        <v>750</v>
      </c>
      <c r="P84" s="15">
        <f>IF(L84="","",IFERROR(INDEX('Почасовка — ставки и план'!$E$5:$E$24,MATCH($D84,'Почасовка — ставки и план'!$A$5:$A$24,0)),""))</f>
        <v>900</v>
      </c>
      <c r="Q84" s="15">
        <f t="shared" si="11"/>
        <v>135</v>
      </c>
      <c r="R84" s="13" t="str">
        <f>IF(D84="TEX","аренда техники — сделка/счёт",IF(OR(Q84="",H84="",H84=0),"—",IF(Q84&lt;H84*(1-Параметры!$B$7),"почасовка",IF(Q84&gt;H84*(1+Параметры!$B$7),"сделка","любой способ"))))</f>
        <v>сделка</v>
      </c>
      <c r="S84">
        <v>0</v>
      </c>
      <c r="T84">
        <v>4.3478260869565188E-2</v>
      </c>
    </row>
    <row r="85" spans="1:20" x14ac:dyDescent="0.25">
      <c r="A85" s="13" t="s">
        <v>221</v>
      </c>
      <c r="B85" s="13" t="s">
        <v>222</v>
      </c>
      <c r="C85" s="13" t="s">
        <v>72</v>
      </c>
      <c r="D85" s="13" t="s">
        <v>208</v>
      </c>
      <c r="E85" s="13" t="str">
        <f>IFERROR(INDEX('Почасовка — ставки и план'!$B$5:$B$24,MATCH(D85,'Почасовка — ставки и план'!$A$5:$A$24,0)),"Аренда техники / механизмы")</f>
        <v>Отделочник (штукатур, маляр, ГКЛ)</v>
      </c>
      <c r="F85" s="14">
        <v>220</v>
      </c>
      <c r="G85" s="14">
        <v>264</v>
      </c>
      <c r="H85" s="15">
        <v>120</v>
      </c>
      <c r="I85" s="15">
        <f>IF(OR(H85="",F85=""),"",MAX(H85,MIN(ROUND(H85*(1+Параметры!$B$5),IF(H85*(1+Параметры!$B$5)&gt;=1000,-1,0)),ROUND(F85*Параметры!$B$6,IF(F85*Параметры!$B$6&gt;=1000,-1,0)))))</f>
        <v>138</v>
      </c>
      <c r="J85" s="15">
        <v>138</v>
      </c>
      <c r="K85" s="15">
        <f>IF(OR(J85="",G85=""),"",MAX(J85,MIN(ROUND(J85*(1+Параметры!$B$5),IF(J85*(1+Параметры!$B$5)&gt;=1000,-1,0)),ROUND(G85*Параметры!$B$6,IF(G85*Параметры!$B$6&gt;=1000,-1,0)))))</f>
        <v>159</v>
      </c>
      <c r="L85" s="16">
        <v>0.22</v>
      </c>
      <c r="M85" s="17">
        <f t="shared" si="10"/>
        <v>4.5454545454545459</v>
      </c>
      <c r="N85" s="17">
        <f>IF(OR(L85="",L85=0),"",Параметры!$B$3/L85)</f>
        <v>36.363636363636367</v>
      </c>
      <c r="O85" s="15">
        <f>IF(L85="","",IFERROR(INDEX('Почасовка — ставки и план'!$D$5:$D$24,MATCH($D85,'Почасовка — ставки и план'!$A$5:$A$24,0)),""))</f>
        <v>750</v>
      </c>
      <c r="P85" s="15">
        <f>IF(L85="","",IFERROR(INDEX('Почасовка — ставки и план'!$E$5:$E$24,MATCH($D85,'Почасовка — ставки и план'!$A$5:$A$24,0)),""))</f>
        <v>900</v>
      </c>
      <c r="Q85" s="15">
        <f t="shared" si="11"/>
        <v>165</v>
      </c>
      <c r="R85" s="13" t="str">
        <f>IF(D85="TEX","аренда техники — сделка/счёт",IF(OR(Q85="",H85="",H85=0),"—",IF(Q85&lt;H85*(1-Параметры!$B$7),"почасовка",IF(Q85&gt;H85*(1+Параметры!$B$7),"сделка","любой способ"))))</f>
        <v>сделка</v>
      </c>
      <c r="S85">
        <v>0.1000000000000001</v>
      </c>
      <c r="T85">
        <v>0.1478260869565218</v>
      </c>
    </row>
    <row r="86" spans="1:20" x14ac:dyDescent="0.25">
      <c r="A86" s="13" t="s">
        <v>223</v>
      </c>
      <c r="B86" s="13" t="s">
        <v>224</v>
      </c>
      <c r="C86" s="13" t="s">
        <v>72</v>
      </c>
      <c r="D86" s="13" t="s">
        <v>208</v>
      </c>
      <c r="E86" s="13" t="str">
        <f>IFERROR(INDEX('Почасовка — ставки и план'!$B$5:$B$24,MATCH(D86,'Почасовка — ставки и план'!$A$5:$A$24,0)),"Аренда техники / механизмы")</f>
        <v>Отделочник (штукатур, маляр, ГКЛ)</v>
      </c>
      <c r="F86" s="14">
        <v>251</v>
      </c>
      <c r="G86" s="14">
        <v>300</v>
      </c>
      <c r="H86" s="15">
        <v>140</v>
      </c>
      <c r="I86" s="15">
        <f>IF(OR(H86="",F86=""),"",MAX(H86,MIN(ROUND(H86*(1+Параметры!$B$5),IF(H86*(1+Параметры!$B$5)&gt;=1000,-1,0)),ROUND(F86*Параметры!$B$6,IF(F86*Параметры!$B$6&gt;=1000,-1,0)))))</f>
        <v>161</v>
      </c>
      <c r="J86" s="15">
        <v>161</v>
      </c>
      <c r="K86" s="15">
        <f>IF(OR(J86="",G86=""),"",MAX(J86,MIN(ROUND(J86*(1+Параметры!$B$5),IF(J86*(1+Параметры!$B$5)&gt;=1000,-1,0)),ROUND(G86*Параметры!$B$6,IF(G86*Параметры!$B$6&gt;=1000,-1,0)))))</f>
        <v>185</v>
      </c>
      <c r="L86" s="16">
        <v>0.25</v>
      </c>
      <c r="M86" s="17">
        <f t="shared" si="10"/>
        <v>4</v>
      </c>
      <c r="N86" s="17">
        <f>IF(OR(L86="",L86=0),"",Параметры!$B$3/L86)</f>
        <v>32</v>
      </c>
      <c r="O86" s="15">
        <f>IF(L86="","",IFERROR(INDEX('Почасовка — ставки и план'!$D$5:$D$24,MATCH($D86,'Почасовка — ставки и план'!$A$5:$A$24,0)),""))</f>
        <v>750</v>
      </c>
      <c r="P86" s="15">
        <f>IF(L86="","",IFERROR(INDEX('Почасовка — ставки и план'!$E$5:$E$24,MATCH($D86,'Почасовка — ставки и план'!$A$5:$A$24,0)),""))</f>
        <v>900</v>
      </c>
      <c r="Q86" s="15">
        <f t="shared" si="11"/>
        <v>188</v>
      </c>
      <c r="R86" s="13" t="str">
        <f>IF(D86="TEX","аренда техники — сделка/счёт",IF(OR(Q86="",H86="",H86=0),"—",IF(Q86&lt;H86*(1-Параметры!$B$7),"почасовка",IF(Q86&gt;H86*(1+Параметры!$B$7),"сделка","любой способ"))))</f>
        <v>сделка</v>
      </c>
      <c r="S86">
        <v>9.1304347826086873E-2</v>
      </c>
      <c r="T86">
        <v>0.13636363636363649</v>
      </c>
    </row>
    <row r="87" spans="1:20" x14ac:dyDescent="0.25">
      <c r="A87" s="13" t="s">
        <v>225</v>
      </c>
      <c r="B87" s="13" t="s">
        <v>226</v>
      </c>
      <c r="C87" s="13" t="s">
        <v>144</v>
      </c>
      <c r="D87" s="13" t="s">
        <v>208</v>
      </c>
      <c r="E87" s="13" t="str">
        <f>IFERROR(INDEX('Почасовка — ставки и план'!$B$5:$B$24,MATCH(D87,'Почасовка — ставки и план'!$A$5:$A$24,0)),"Аренда техники / механизмы")</f>
        <v>Отделочник (штукатур, маляр, ГКЛ)</v>
      </c>
      <c r="F87" s="14">
        <v>40</v>
      </c>
      <c r="G87" s="14">
        <v>48</v>
      </c>
      <c r="H87" s="15">
        <v>25</v>
      </c>
      <c r="I87" s="15">
        <f>IF(OR(H87="",F87=""),"",MAX(H87,MIN(ROUND(H87*(1+Параметры!$B$5),IF(H87*(1+Параметры!$B$5)&gt;=1000,-1,0)),ROUND(F87*Параметры!$B$6,IF(F87*Параметры!$B$6&gt;=1000,-1,0)))))</f>
        <v>29</v>
      </c>
      <c r="J87" s="15">
        <v>28.5</v>
      </c>
      <c r="K87" s="15">
        <f>IF(OR(J87="",G87=""),"",MAX(J87,MIN(ROUND(J87*(1+Параметры!$B$5),IF(J87*(1+Параметры!$B$5)&gt;=1000,-1,0)),ROUND(G87*Параметры!$B$6,IF(G87*Параметры!$B$6&gt;=1000,-1,0)))))</f>
        <v>33</v>
      </c>
      <c r="L87" s="16">
        <v>0.04</v>
      </c>
      <c r="M87" s="17">
        <f t="shared" si="10"/>
        <v>25</v>
      </c>
      <c r="N87" s="17">
        <f>IF(OR(L87="",L87=0),"",Параметры!$B$3/L87)</f>
        <v>200</v>
      </c>
      <c r="O87" s="15">
        <f>IF(L87="","",IFERROR(INDEX('Почасовка — ставки и план'!$D$5:$D$24,MATCH($D87,'Почасовка — ставки и план'!$A$5:$A$24,0)),""))</f>
        <v>750</v>
      </c>
      <c r="P87" s="15">
        <f>IF(L87="","",IFERROR(INDEX('Почасовка — ставки и план'!$E$5:$E$24,MATCH($D87,'Почасовка — ставки и план'!$A$5:$A$24,0)),""))</f>
        <v>900</v>
      </c>
      <c r="Q87" s="15">
        <f t="shared" si="11"/>
        <v>30</v>
      </c>
      <c r="R87" s="13" t="str">
        <f>IF(D87="TEX","аренда техники — сделка/счёт",IF(OR(Q87="",H87="",H87=0),"—",IF(Q87&lt;H87*(1-Параметры!$B$7),"почасовка",IF(Q87&gt;H87*(1+Параметры!$B$7),"сделка","любой способ"))))</f>
        <v>сделка</v>
      </c>
      <c r="S87">
        <v>0</v>
      </c>
      <c r="T87">
        <v>4.3478260869565188E-2</v>
      </c>
    </row>
    <row r="88" spans="1:20" x14ac:dyDescent="0.25">
      <c r="A88" s="13" t="s">
        <v>227</v>
      </c>
      <c r="B88" s="13" t="s">
        <v>228</v>
      </c>
      <c r="C88" s="13" t="s">
        <v>72</v>
      </c>
      <c r="D88" s="13" t="s">
        <v>208</v>
      </c>
      <c r="E88" s="13" t="str">
        <f>IFERROR(INDEX('Почасовка — ставки и план'!$B$5:$B$24,MATCH(D88,'Почасовка — ставки и план'!$A$5:$A$24,0)),"Аренда техники / механизмы")</f>
        <v>Отделочник (штукатур, маляр, ГКЛ)</v>
      </c>
      <c r="F88" s="14">
        <v>151</v>
      </c>
      <c r="G88" s="14">
        <v>180</v>
      </c>
      <c r="H88" s="15">
        <v>70</v>
      </c>
      <c r="I88" s="15">
        <f>IF(OR(H88="",F88=""),"",MAX(H88,MIN(ROUND(H88*(1+Параметры!$B$5),IF(H88*(1+Параметры!$B$5)&gt;=1000,-1,0)),ROUND(F88*Параметры!$B$6,IF(F88*Параметры!$B$6&gt;=1000,-1,0)))))</f>
        <v>81</v>
      </c>
      <c r="J88" s="15">
        <v>80.5</v>
      </c>
      <c r="K88" s="15">
        <f>IF(OR(J88="",G88=""),"",MAX(J88,MIN(ROUND(J88*(1+Параметры!$B$5),IF(J88*(1+Параметры!$B$5)&gt;=1000,-1,0)),ROUND(G88*Параметры!$B$6,IF(G88*Параметры!$B$6&gt;=1000,-1,0)))))</f>
        <v>93</v>
      </c>
      <c r="L88" s="16">
        <v>0.15</v>
      </c>
      <c r="M88" s="17">
        <f t="shared" si="10"/>
        <v>6.666666666666667</v>
      </c>
      <c r="N88" s="17">
        <f>IF(OR(L88="",L88=0),"",Параметры!$B$3/L88)</f>
        <v>53.333333333333336</v>
      </c>
      <c r="O88" s="15">
        <f>IF(L88="","",IFERROR(INDEX('Почасовка — ставки и план'!$D$5:$D$24,MATCH($D88,'Почасовка — ставки и план'!$A$5:$A$24,0)),""))</f>
        <v>750</v>
      </c>
      <c r="P88" s="15">
        <f>IF(L88="","",IFERROR(INDEX('Почасовка — ставки и план'!$E$5:$E$24,MATCH($D88,'Почасовка — ставки и план'!$A$5:$A$24,0)),""))</f>
        <v>900</v>
      </c>
      <c r="Q88" s="15">
        <f t="shared" si="11"/>
        <v>113</v>
      </c>
      <c r="R88" s="13" t="str">
        <f>IF(D88="TEX","аренда техники — сделка/счёт",IF(OR(Q88="",H88="",H88=0),"—",IF(Q88&lt;H88*(1-Параметры!$B$7),"почасовка",IF(Q88&gt;H88*(1+Параметры!$B$7),"сделка","любой способ"))))</f>
        <v>сделка</v>
      </c>
      <c r="S88">
        <v>0.2583333333333333</v>
      </c>
      <c r="T88">
        <v>0.30434782608695649</v>
      </c>
    </row>
    <row r="89" spans="1:20" x14ac:dyDescent="0.25">
      <c r="A89" s="18" t="s">
        <v>229</v>
      </c>
      <c r="B89" s="13" t="s">
        <v>230</v>
      </c>
      <c r="C89" s="13" t="s">
        <v>72</v>
      </c>
      <c r="D89" s="13" t="s">
        <v>208</v>
      </c>
      <c r="E89" s="13" t="str">
        <f>IFERROR(INDEX('Почасовка — ставки и план'!$B$5:$B$24,MATCH(D89,'Почасовка — ставки и план'!$A$5:$A$24,0)),"Аренда техники / механизмы")</f>
        <v>Отделочник (штукатур, маляр, ГКЛ)</v>
      </c>
      <c r="F89" s="14">
        <v>100</v>
      </c>
      <c r="G89" s="14">
        <v>115</v>
      </c>
      <c r="H89" s="15">
        <v>60</v>
      </c>
      <c r="I89" s="15">
        <f>IF(OR(H89="",F89=""),"",MAX(H89,MIN(ROUND(H89*(1+Параметры!$B$5),IF(H89*(1+Параметры!$B$5)&gt;=1000,-1,0)),ROUND(F89*Параметры!$B$6,IF(F89*Параметры!$B$6&gt;=1000,-1,0)))))</f>
        <v>69</v>
      </c>
      <c r="J89" s="15">
        <v>69</v>
      </c>
      <c r="K89" s="15">
        <f>IF(OR(J89="",G89=""),"",MAX(J89,MIN(ROUND(J89*(1+Параметры!$B$5),IF(J89*(1+Параметры!$B$5)&gt;=1000,-1,0)),ROUND(G89*Параметры!$B$6,IF(G89*Параметры!$B$6&gt;=1000,-1,0)))))</f>
        <v>79</v>
      </c>
      <c r="L89" s="16">
        <v>0.08</v>
      </c>
      <c r="M89" s="17">
        <f t="shared" si="10"/>
        <v>12.5</v>
      </c>
      <c r="N89" s="17">
        <f>IF(OR(L89="",L89=0),"",Параметры!$B$3/L89)</f>
        <v>100</v>
      </c>
      <c r="O89" s="15">
        <f>IF(L89="","",IFERROR(INDEX('Почасовка — ставки и план'!$D$5:$D$24,MATCH($D89,'Почасовка — ставки и план'!$A$5:$A$24,0)),""))</f>
        <v>750</v>
      </c>
      <c r="P89" s="15">
        <f>IF(L89="","",IFERROR(INDEX('Почасовка — ставки и план'!$E$5:$E$24,MATCH($D89,'Почасовка — ставки и план'!$A$5:$A$24,0)),""))</f>
        <v>900</v>
      </c>
      <c r="Q89" s="15">
        <f t="shared" si="11"/>
        <v>60</v>
      </c>
      <c r="R89" s="13" t="str">
        <f>IF(D89="TEX","аренда техники — сделка/счёт",IF(OR(Q89="",H89="",H89=0),"—",IF(Q89&lt;H89*(1-Параметры!$B$7),"почасовка",IF(Q89&gt;H89*(1+Параметры!$B$7),"сделка","любой способ"))))</f>
        <v>любой способ</v>
      </c>
      <c r="S89">
        <v>0</v>
      </c>
      <c r="T89">
        <v>0</v>
      </c>
    </row>
    <row r="90" spans="1:20" x14ac:dyDescent="0.25">
      <c r="A90" s="11" t="s">
        <v>231</v>
      </c>
      <c r="B90" s="12"/>
      <c r="C90" s="12"/>
      <c r="D90" s="12"/>
      <c r="E90" s="12"/>
      <c r="F90" s="12"/>
      <c r="G90" s="12"/>
      <c r="H90" s="12"/>
      <c r="I90" s="12"/>
      <c r="J90" s="12"/>
      <c r="K90" s="12"/>
      <c r="L90" s="12"/>
      <c r="M90" s="12"/>
      <c r="N90" s="12"/>
      <c r="O90" s="12"/>
      <c r="P90" s="12"/>
      <c r="Q90" s="12"/>
      <c r="R90" s="12"/>
    </row>
    <row r="91" spans="1:20" x14ac:dyDescent="0.25">
      <c r="A91" s="13" t="s">
        <v>232</v>
      </c>
      <c r="B91" s="13" t="s">
        <v>233</v>
      </c>
      <c r="C91" s="13" t="s">
        <v>69</v>
      </c>
      <c r="D91" s="13" t="s">
        <v>162</v>
      </c>
      <c r="E91" s="13" t="str">
        <f>IFERROR(INDEX('Почасовка — ставки и план'!$B$5:$B$24,MATCH(D91,'Почасовка — ставки и план'!$A$5:$A$24,0)),"Аренда техники / механизмы")</f>
        <v>Бетонщик / арматурщик</v>
      </c>
      <c r="F91" s="14">
        <v>800</v>
      </c>
      <c r="G91" s="14">
        <v>920</v>
      </c>
      <c r="H91" s="15">
        <v>480</v>
      </c>
      <c r="I91" s="15">
        <f>IF(OR(H91="",F91=""),"",MAX(H91,MIN(ROUND(H91*(1+Параметры!$B$5),IF(H91*(1+Параметры!$B$5)&gt;=1000,-1,0)),ROUND(F91*Параметры!$B$6,IF(F91*Параметры!$B$6&gt;=1000,-1,0)))))</f>
        <v>552</v>
      </c>
      <c r="J91" s="15">
        <v>552</v>
      </c>
      <c r="K91" s="15">
        <f>IF(OR(J91="",G91=""),"",MAX(J91,MIN(ROUND(J91*(1+Параметры!$B$5),IF(J91*(1+Параметры!$B$5)&gt;=1000,-1,0)),ROUND(G91*Параметры!$B$6,IF(G91*Параметры!$B$6&gt;=1000,-1,0)))))</f>
        <v>635</v>
      </c>
      <c r="L91" s="16">
        <v>0.4</v>
      </c>
      <c r="M91" s="17">
        <f t="shared" ref="M91:M112" si="12">IF(OR(L91="",L91=0),"",1/L91)</f>
        <v>2.5</v>
      </c>
      <c r="N91" s="17">
        <f>IF(OR(L91="",L91=0),"",Параметры!$B$3/L91)</f>
        <v>20</v>
      </c>
      <c r="O91" s="15">
        <f>IF(L91="","",IFERROR(INDEX('Почасовка — ставки и план'!$D$5:$D$24,MATCH($D91,'Почасовка — ставки и план'!$A$5:$A$24,0)),""))</f>
        <v>800</v>
      </c>
      <c r="P91" s="15">
        <f>IF(L91="","",IFERROR(INDEX('Почасовка — ставки и план'!$E$5:$E$24,MATCH($D91,'Почасовка — ставки и план'!$A$5:$A$24,0)),""))</f>
        <v>950</v>
      </c>
      <c r="Q91" s="15">
        <f t="shared" ref="Q91:Q112" si="13">IF(OR(L91="",O91=""),"",ROUND(L91*O91,0))</f>
        <v>320</v>
      </c>
      <c r="R91" s="13" t="str">
        <f>IF(D91="TEX","аренда техники — сделка/счёт",IF(OR(Q91="",H91="",H91=0),"—",IF(Q91&lt;H91*(1-Параметры!$B$7),"почасовка",IF(Q91&gt;H91*(1+Параметры!$B$7),"сделка","любой способ"))))</f>
        <v>почасовка</v>
      </c>
      <c r="S91">
        <v>0</v>
      </c>
      <c r="T91">
        <v>0</v>
      </c>
    </row>
    <row r="92" spans="1:20" x14ac:dyDescent="0.25">
      <c r="A92" s="13" t="s">
        <v>234</v>
      </c>
      <c r="B92" s="13" t="s">
        <v>235</v>
      </c>
      <c r="C92" s="13" t="s">
        <v>69</v>
      </c>
      <c r="D92" s="13" t="s">
        <v>162</v>
      </c>
      <c r="E92" s="13" t="str">
        <f>IFERROR(INDEX('Почасовка — ставки и план'!$B$5:$B$24,MATCH(D92,'Почасовка — ставки и план'!$A$5:$A$24,0)),"Аренда техники / механизмы")</f>
        <v>Бетонщик / арматурщик</v>
      </c>
      <c r="F92" s="14">
        <v>2000</v>
      </c>
      <c r="G92" s="14">
        <v>2300</v>
      </c>
      <c r="H92" s="15">
        <v>1200</v>
      </c>
      <c r="I92" s="15">
        <f>IF(OR(H92="",F92=""),"",MAX(H92,MIN(ROUND(H92*(1+Параметры!$B$5),IF(H92*(1+Параметры!$B$5)&gt;=1000,-1,0)),ROUND(F92*Параметры!$B$6,IF(F92*Параметры!$B$6&gt;=1000,-1,0)))))</f>
        <v>1380</v>
      </c>
      <c r="J92" s="15">
        <v>1380</v>
      </c>
      <c r="K92" s="15">
        <f>IF(OR(J92="",G92=""),"",MAX(J92,MIN(ROUND(J92*(1+Параметры!$B$5),IF(J92*(1+Параметры!$B$5)&gt;=1000,-1,0)),ROUND(G92*Параметры!$B$6,IF(G92*Параметры!$B$6&gt;=1000,-1,0)))))</f>
        <v>1590</v>
      </c>
      <c r="L92" s="16">
        <v>1</v>
      </c>
      <c r="M92" s="17">
        <f t="shared" si="12"/>
        <v>1</v>
      </c>
      <c r="N92" s="17">
        <f>IF(OR(L92="",L92=0),"",Параметры!$B$3/L92)</f>
        <v>8</v>
      </c>
      <c r="O92" s="15">
        <f>IF(L92="","",IFERROR(INDEX('Почасовка — ставки и план'!$D$5:$D$24,MATCH($D92,'Почасовка — ставки и план'!$A$5:$A$24,0)),""))</f>
        <v>800</v>
      </c>
      <c r="P92" s="15">
        <f>IF(L92="","",IFERROR(INDEX('Почасовка — ставки и план'!$E$5:$E$24,MATCH($D92,'Почасовка — ставки и план'!$A$5:$A$24,0)),""))</f>
        <v>950</v>
      </c>
      <c r="Q92" s="15">
        <f t="shared" si="13"/>
        <v>800</v>
      </c>
      <c r="R92" s="13" t="str">
        <f>IF(D92="TEX","аренда техники — сделка/счёт",IF(OR(Q92="",H92="",H92=0),"—",IF(Q92&lt;H92*(1-Параметры!$B$7),"почасовка",IF(Q92&gt;H92*(1+Параметры!$B$7),"сделка","любой способ"))))</f>
        <v>почасовка</v>
      </c>
      <c r="S92">
        <v>0</v>
      </c>
      <c r="T92">
        <v>0</v>
      </c>
    </row>
    <row r="93" spans="1:20" x14ac:dyDescent="0.25">
      <c r="A93" s="13" t="s">
        <v>236</v>
      </c>
      <c r="B93" s="13" t="s">
        <v>237</v>
      </c>
      <c r="C93" s="13" t="s">
        <v>72</v>
      </c>
      <c r="D93" s="13" t="s">
        <v>208</v>
      </c>
      <c r="E93" s="13" t="str">
        <f>IFERROR(INDEX('Почасовка — ставки и план'!$B$5:$B$24,MATCH(D93,'Почасовка — ставки и план'!$A$5:$A$24,0)),"Аренда техники / механизмы")</f>
        <v>Отделочник (штукатур, маляр, ГКЛ)</v>
      </c>
      <c r="F93" s="14">
        <v>151</v>
      </c>
      <c r="G93" s="14">
        <v>180</v>
      </c>
      <c r="H93" s="15">
        <v>70</v>
      </c>
      <c r="I93" s="15">
        <f>IF(OR(H93="",F93=""),"",MAX(H93,MIN(ROUND(H93*(1+Параметры!$B$5),IF(H93*(1+Параметры!$B$5)&gt;=1000,-1,0)),ROUND(F93*Параметры!$B$6,IF(F93*Параметры!$B$6&gt;=1000,-1,0)))))</f>
        <v>81</v>
      </c>
      <c r="J93" s="15">
        <v>80.5</v>
      </c>
      <c r="K93" s="15">
        <f>IF(OR(J93="",G93=""),"",MAX(J93,MIN(ROUND(J93*(1+Параметры!$B$5),IF(J93*(1+Параметры!$B$5)&gt;=1000,-1,0)),ROUND(G93*Параметры!$B$6,IF(G93*Параметры!$B$6&gt;=1000,-1,0)))))</f>
        <v>93</v>
      </c>
      <c r="L93" s="16">
        <v>0.15</v>
      </c>
      <c r="M93" s="17">
        <f t="shared" si="12"/>
        <v>6.666666666666667</v>
      </c>
      <c r="N93" s="17">
        <f>IF(OR(L93="",L93=0),"",Параметры!$B$3/L93)</f>
        <v>53.333333333333336</v>
      </c>
      <c r="O93" s="15">
        <f>IF(L93="","",IFERROR(INDEX('Почасовка — ставки и план'!$D$5:$D$24,MATCH($D93,'Почасовка — ставки и план'!$A$5:$A$24,0)),""))</f>
        <v>750</v>
      </c>
      <c r="P93" s="15">
        <f>IF(L93="","",IFERROR(INDEX('Почасовка — ставки и план'!$E$5:$E$24,MATCH($D93,'Почасовка — ставки и план'!$A$5:$A$24,0)),""))</f>
        <v>900</v>
      </c>
      <c r="Q93" s="15">
        <f t="shared" si="13"/>
        <v>113</v>
      </c>
      <c r="R93" s="13" t="str">
        <f>IF(D93="TEX","аренда техники — сделка/счёт",IF(OR(Q93="",H93="",H93=0),"—",IF(Q93&lt;H93*(1-Параметры!$B$7),"почасовка",IF(Q93&gt;H93*(1+Параметры!$B$7),"сделка","любой способ"))))</f>
        <v>сделка</v>
      </c>
      <c r="S93">
        <v>0.2583333333333333</v>
      </c>
      <c r="T93">
        <v>0.30434782608695649</v>
      </c>
    </row>
    <row r="94" spans="1:20" x14ac:dyDescent="0.25">
      <c r="A94" s="13" t="s">
        <v>238</v>
      </c>
      <c r="B94" s="13" t="s">
        <v>239</v>
      </c>
      <c r="C94" s="13" t="s">
        <v>72</v>
      </c>
      <c r="D94" s="13" t="s">
        <v>208</v>
      </c>
      <c r="E94" s="13" t="str">
        <f>IFERROR(INDEX('Почасовка — ставки и план'!$B$5:$B$24,MATCH(D94,'Почасовка — ставки и план'!$A$5:$A$24,0)),"Аренда техники / механизмы")</f>
        <v>Отделочник (штукатур, маляр, ГКЛ)</v>
      </c>
      <c r="F94" s="14">
        <v>180</v>
      </c>
      <c r="G94" s="14">
        <v>216</v>
      </c>
      <c r="H94" s="15">
        <v>90</v>
      </c>
      <c r="I94" s="15">
        <f>IF(OR(H94="",F94=""),"",MAX(H94,MIN(ROUND(H94*(1+Параметры!$B$5),IF(H94*(1+Параметры!$B$5)&gt;=1000,-1,0)),ROUND(F94*Параметры!$B$6,IF(F94*Параметры!$B$6&gt;=1000,-1,0)))))</f>
        <v>104</v>
      </c>
      <c r="J94" s="15">
        <v>103</v>
      </c>
      <c r="K94" s="15">
        <f>IF(OR(J94="",G94=""),"",MAX(J94,MIN(ROUND(J94*(1+Параметры!$B$5),IF(J94*(1+Параметры!$B$5)&gt;=1000,-1,0)),ROUND(G94*Параметры!$B$6,IF(G94*Параметры!$B$6&gt;=1000,-1,0)))))</f>
        <v>118</v>
      </c>
      <c r="L94" s="16">
        <v>0.18</v>
      </c>
      <c r="M94" s="17">
        <f t="shared" si="12"/>
        <v>5.5555555555555554</v>
      </c>
      <c r="N94" s="17">
        <f>IF(OR(L94="",L94=0),"",Параметры!$B$3/L94)</f>
        <v>44.444444444444443</v>
      </c>
      <c r="O94" s="15">
        <f>IF(L94="","",IFERROR(INDEX('Почасовка — ставки и план'!$D$5:$D$24,MATCH($D94,'Почасовка — ставки и план'!$A$5:$A$24,0)),""))</f>
        <v>750</v>
      </c>
      <c r="P94" s="15">
        <f>IF(L94="","",IFERROR(INDEX('Почасовка — ставки и план'!$E$5:$E$24,MATCH($D94,'Почасовка — ставки и план'!$A$5:$A$24,0)),""))</f>
        <v>900</v>
      </c>
      <c r="Q94" s="15">
        <f t="shared" si="13"/>
        <v>135</v>
      </c>
      <c r="R94" s="13" t="str">
        <f>IF(D94="TEX","аренда техники — сделка/счёт",IF(OR(Q94="",H94="",H94=0),"—",IF(Q94&lt;H94*(1-Параметры!$B$7),"почасовка",IF(Q94&gt;H94*(1+Параметры!$B$7),"сделка","любой способ"))))</f>
        <v>сделка</v>
      </c>
      <c r="S94">
        <v>0.2</v>
      </c>
      <c r="T94">
        <v>0.2558139534883721</v>
      </c>
    </row>
    <row r="95" spans="1:20" x14ac:dyDescent="0.25">
      <c r="A95" s="13" t="s">
        <v>240</v>
      </c>
      <c r="B95" s="13" t="s">
        <v>241</v>
      </c>
      <c r="C95" s="13" t="s">
        <v>72</v>
      </c>
      <c r="D95" s="13" t="s">
        <v>208</v>
      </c>
      <c r="E95" s="13" t="str">
        <f>IFERROR(INDEX('Почасовка — ставки и план'!$B$5:$B$24,MATCH(D95,'Почасовка — ставки и план'!$A$5:$A$24,0)),"Аренда техники / механизмы")</f>
        <v>Отделочник (штукатур, маляр, ГКЛ)</v>
      </c>
      <c r="F95" s="14">
        <v>400</v>
      </c>
      <c r="G95" s="14">
        <v>480</v>
      </c>
      <c r="H95" s="15">
        <v>180</v>
      </c>
      <c r="I95" s="15">
        <f>IF(OR(H95="",F95=""),"",MAX(H95,MIN(ROUND(H95*(1+Параметры!$B$5),IF(H95*(1+Параметры!$B$5)&gt;=1000,-1,0)),ROUND(F95*Параметры!$B$6,IF(F95*Параметры!$B$6&gt;=1000,-1,0)))))</f>
        <v>207</v>
      </c>
      <c r="J95" s="15">
        <v>207</v>
      </c>
      <c r="K95" s="15">
        <f>IF(OR(J95="",G95=""),"",MAX(J95,MIN(ROUND(J95*(1+Параметры!$B$5),IF(J95*(1+Параметры!$B$5)&gt;=1000,-1,0)),ROUND(G95*Параметры!$B$6,IF(G95*Параметры!$B$6&gt;=1000,-1,0)))))</f>
        <v>238</v>
      </c>
      <c r="L95" s="16">
        <v>0.4</v>
      </c>
      <c r="M95" s="17">
        <f t="shared" si="12"/>
        <v>2.5</v>
      </c>
      <c r="N95" s="17">
        <f>IF(OR(L95="",L95=0),"",Параметры!$B$3/L95)</f>
        <v>20</v>
      </c>
      <c r="O95" s="15">
        <f>IF(L95="","",IFERROR(INDEX('Почасовка — ставки и план'!$D$5:$D$24,MATCH($D95,'Почасовка — ставки и план'!$A$5:$A$24,0)),""))</f>
        <v>750</v>
      </c>
      <c r="P95" s="15">
        <f>IF(L95="","",IFERROR(INDEX('Почасовка — ставки и план'!$E$5:$E$24,MATCH($D95,'Почасовка — ставки и план'!$A$5:$A$24,0)),""))</f>
        <v>900</v>
      </c>
      <c r="Q95" s="15">
        <f t="shared" si="13"/>
        <v>300</v>
      </c>
      <c r="R95" s="13" t="str">
        <f>IF(D95="TEX","аренда техники — сделка/счёт",IF(OR(Q95="",H95="",H95=0),"—",IF(Q95&lt;H95*(1-Параметры!$B$7),"почасовка",IF(Q95&gt;H95*(1+Параметры!$B$7),"сделка","любой способ"))))</f>
        <v>сделка</v>
      </c>
      <c r="S95">
        <v>0.33333333333333331</v>
      </c>
      <c r="T95">
        <v>0.39130434782608692</v>
      </c>
    </row>
    <row r="96" spans="1:20" x14ac:dyDescent="0.25">
      <c r="A96" s="13" t="s">
        <v>242</v>
      </c>
      <c r="B96" s="13" t="s">
        <v>243</v>
      </c>
      <c r="C96" s="13" t="s">
        <v>72</v>
      </c>
      <c r="D96" s="13" t="s">
        <v>208</v>
      </c>
      <c r="E96" s="13" t="str">
        <f>IFERROR(INDEX('Почасовка — ставки и план'!$B$5:$B$24,MATCH(D96,'Почасовка — ставки и план'!$A$5:$A$24,0)),"Аренда техники / механизмы")</f>
        <v>Отделочник (штукатур, маляр, ГКЛ)</v>
      </c>
      <c r="F96" s="14">
        <v>220</v>
      </c>
      <c r="G96" s="14">
        <v>264</v>
      </c>
      <c r="H96" s="15">
        <v>110</v>
      </c>
      <c r="I96" s="15">
        <f>IF(OR(H96="",F96=""),"",MAX(H96,MIN(ROUND(H96*(1+Параметры!$B$5),IF(H96*(1+Параметры!$B$5)&gt;=1000,-1,0)),ROUND(F96*Параметры!$B$6,IF(F96*Параметры!$B$6&gt;=1000,-1,0)))))</f>
        <v>127</v>
      </c>
      <c r="J96" s="15">
        <v>126</v>
      </c>
      <c r="K96" s="15">
        <f>IF(OR(J96="",G96=""),"",MAX(J96,MIN(ROUND(J96*(1+Параметры!$B$5),IF(J96*(1+Параметры!$B$5)&gt;=1000,-1,0)),ROUND(G96*Параметры!$B$6,IF(G96*Параметры!$B$6&gt;=1000,-1,0)))))</f>
        <v>145</v>
      </c>
      <c r="L96" s="16">
        <v>0.22</v>
      </c>
      <c r="M96" s="17">
        <f t="shared" si="12"/>
        <v>4.5454545454545459</v>
      </c>
      <c r="N96" s="17">
        <f>IF(OR(L96="",L96=0),"",Параметры!$B$3/L96)</f>
        <v>36.363636363636367</v>
      </c>
      <c r="O96" s="15">
        <f>IF(L96="","",IFERROR(INDEX('Почасовка — ставки и план'!$D$5:$D$24,MATCH($D96,'Почасовка — ставки и план'!$A$5:$A$24,0)),""))</f>
        <v>750</v>
      </c>
      <c r="P96" s="15">
        <f>IF(L96="","",IFERROR(INDEX('Почасовка — ставки и план'!$E$5:$E$24,MATCH($D96,'Почасовка — ставки и план'!$A$5:$A$24,0)),""))</f>
        <v>900</v>
      </c>
      <c r="Q96" s="15">
        <f t="shared" si="13"/>
        <v>165</v>
      </c>
      <c r="R96" s="13" t="str">
        <f>IF(D96="TEX","аренда техники — сделка/счёт",IF(OR(Q96="",H96="",H96=0),"—",IF(Q96&lt;H96*(1-Параметры!$B$7),"почасовка",IF(Q96&gt;H96*(1+Параметры!$B$7),"сделка","любой способ"))))</f>
        <v>сделка</v>
      </c>
      <c r="S96">
        <v>0.22222222222222229</v>
      </c>
      <c r="T96">
        <v>0.2753623188405796</v>
      </c>
    </row>
    <row r="97" spans="1:20" x14ac:dyDescent="0.25">
      <c r="A97" s="13" t="s">
        <v>244</v>
      </c>
      <c r="B97" s="13" t="s">
        <v>245</v>
      </c>
      <c r="C97" s="13" t="s">
        <v>72</v>
      </c>
      <c r="D97" s="13" t="s">
        <v>60</v>
      </c>
      <c r="E97" s="13" t="str">
        <f>IFERROR(INDEX('Почасовка — ставки и план'!$B$5:$B$24,MATCH(D97,'Почасовка — ставки и план'!$A$5:$A$24,0)),"Аренда техники / механизмы")</f>
        <v>Разнорабочий / демонтажник</v>
      </c>
      <c r="F97" s="14">
        <v>120</v>
      </c>
      <c r="G97" s="14">
        <v>138</v>
      </c>
      <c r="H97" s="15">
        <v>70</v>
      </c>
      <c r="I97" s="15">
        <f>IF(OR(H97="",F97=""),"",MAX(H97,MIN(ROUND(H97*(1+Параметры!$B$5),IF(H97*(1+Параметры!$B$5)&gt;=1000,-1,0)),ROUND(F97*Параметры!$B$6,IF(F97*Параметры!$B$6&gt;=1000,-1,0)))))</f>
        <v>81</v>
      </c>
      <c r="J97" s="15">
        <v>80.5</v>
      </c>
      <c r="K97" s="15">
        <f>IF(OR(J97="",G97=""),"",MAX(J97,MIN(ROUND(J97*(1+Параметры!$B$5),IF(J97*(1+Параметры!$B$5)&gt;=1000,-1,0)),ROUND(G97*Параметры!$B$6,IF(G97*Параметры!$B$6&gt;=1000,-1,0)))))</f>
        <v>93</v>
      </c>
      <c r="L97" s="16">
        <v>0.15</v>
      </c>
      <c r="M97" s="17">
        <f t="shared" si="12"/>
        <v>6.666666666666667</v>
      </c>
      <c r="N97" s="17">
        <f>IF(OR(L97="",L97=0),"",Параметры!$B$3/L97)</f>
        <v>53.333333333333336</v>
      </c>
      <c r="O97" s="15">
        <f>IF(L97="","",IFERROR(INDEX('Почасовка — ставки и план'!$D$5:$D$24,MATCH($D97,'Почасовка — ставки и план'!$A$5:$A$24,0)),""))</f>
        <v>550</v>
      </c>
      <c r="P97" s="15">
        <f>IF(L97="","",IFERROR(INDEX('Почасовка — ставки и план'!$E$5:$E$24,MATCH($D97,'Почасовка — ставки и план'!$A$5:$A$24,0)),""))</f>
        <v>660</v>
      </c>
      <c r="Q97" s="15">
        <f t="shared" si="13"/>
        <v>83</v>
      </c>
      <c r="R97" s="13" t="str">
        <f>IF(D97="TEX","аренда техники — сделка/счёт",IF(OR(Q97="",H97="",H97=0),"—",IF(Q97&lt;H97*(1-Параметры!$B$7),"почасовка",IF(Q97&gt;H97*(1+Параметры!$B$7),"сделка","любой способ"))))</f>
        <v>сделка</v>
      </c>
      <c r="S97">
        <v>0</v>
      </c>
      <c r="T97">
        <v>0</v>
      </c>
    </row>
    <row r="98" spans="1:20" x14ac:dyDescent="0.25">
      <c r="A98" s="13" t="s">
        <v>246</v>
      </c>
      <c r="B98" s="13" t="s">
        <v>247</v>
      </c>
      <c r="C98" s="13" t="s">
        <v>72</v>
      </c>
      <c r="D98" s="13" t="s">
        <v>208</v>
      </c>
      <c r="E98" s="13" t="str">
        <f>IFERROR(INDEX('Почасовка — ставки и план'!$B$5:$B$24,MATCH(D98,'Почасовка — ставки и план'!$A$5:$A$24,0)),"Аренда техники / механизмы")</f>
        <v>Отделочник (штукатур, маляр, ГКЛ)</v>
      </c>
      <c r="F98" s="14">
        <v>451</v>
      </c>
      <c r="G98" s="14">
        <v>540</v>
      </c>
      <c r="H98" s="15">
        <v>210</v>
      </c>
      <c r="I98" s="15">
        <f>IF(OR(H98="",F98=""),"",MAX(H98,MIN(ROUND(H98*(1+Параметры!$B$5),IF(H98*(1+Параметры!$B$5)&gt;=1000,-1,0)),ROUND(F98*Параметры!$B$6,IF(F98*Параметры!$B$6&gt;=1000,-1,0)))))</f>
        <v>242</v>
      </c>
      <c r="J98" s="15">
        <v>241</v>
      </c>
      <c r="K98" s="15">
        <f>IF(OR(J98="",G98=""),"",MAX(J98,MIN(ROUND(J98*(1+Параметры!$B$5),IF(J98*(1+Параметры!$B$5)&gt;=1000,-1,0)),ROUND(G98*Параметры!$B$6,IF(G98*Параметры!$B$6&gt;=1000,-1,0)))))</f>
        <v>277</v>
      </c>
      <c r="L98" s="16">
        <v>0.45</v>
      </c>
      <c r="M98" s="17">
        <f t="shared" si="12"/>
        <v>2.2222222222222223</v>
      </c>
      <c r="N98" s="17">
        <f>IF(OR(L98="",L98=0),"",Параметры!$B$3/L98)</f>
        <v>17.777777777777779</v>
      </c>
      <c r="O98" s="15">
        <f>IF(L98="","",IFERROR(INDEX('Почасовка — ставки и план'!$D$5:$D$24,MATCH($D98,'Почасовка — ставки и план'!$A$5:$A$24,0)),""))</f>
        <v>750</v>
      </c>
      <c r="P98" s="15">
        <f>IF(L98="","",IFERROR(INDEX('Почасовка — ставки и план'!$E$5:$E$24,MATCH($D98,'Почасовка — ставки и план'!$A$5:$A$24,0)),""))</f>
        <v>900</v>
      </c>
      <c r="Q98" s="15">
        <f t="shared" si="13"/>
        <v>338</v>
      </c>
      <c r="R98" s="13" t="str">
        <f>IF(D98="TEX","аренда техники — сделка/счёт",IF(OR(Q98="",H98="",H98=0),"—",IF(Q98&lt;H98*(1-Параметры!$B$7),"почасовка",IF(Q98&gt;H98*(1+Параметры!$B$7),"сделка","любой способ"))))</f>
        <v>сделка</v>
      </c>
      <c r="S98">
        <v>0.28857142857142848</v>
      </c>
      <c r="T98">
        <v>0.34328358208955229</v>
      </c>
    </row>
    <row r="99" spans="1:20" x14ac:dyDescent="0.25">
      <c r="A99" s="13" t="s">
        <v>248</v>
      </c>
      <c r="B99" s="13" t="s">
        <v>249</v>
      </c>
      <c r="C99" s="13" t="s">
        <v>55</v>
      </c>
      <c r="D99" s="13" t="s">
        <v>60</v>
      </c>
      <c r="E99" s="13" t="str">
        <f>IFERROR(INDEX('Почасовка — ставки и план'!$B$5:$B$24,MATCH(D99,'Почасовка — ставки и план'!$A$5:$A$24,0)),"Аренда техники / механизмы")</f>
        <v>Разнорабочий / демонтажник</v>
      </c>
      <c r="F99" s="14">
        <v>14667</v>
      </c>
      <c r="G99" s="14">
        <v>17600</v>
      </c>
      <c r="H99" s="15">
        <v>8400</v>
      </c>
      <c r="I99" s="15">
        <f>IF(OR(H99="",F99=""),"",MAX(H99,MIN(ROUND(H99*(1+Параметры!$B$5),IF(H99*(1+Параметры!$B$5)&gt;=1000,-1,0)),ROUND(F99*Параметры!$B$6,IF(F99*Параметры!$B$6&gt;=1000,-1,0)))))</f>
        <v>9660</v>
      </c>
      <c r="J99" s="15">
        <v>9912</v>
      </c>
      <c r="K99" s="15">
        <f>IF(OR(J99="",G99=""),"",MAX(J99,MIN(ROUND(J99*(1+Параметры!$B$5),IF(J99*(1+Параметры!$B$5)&gt;=1000,-1,0)),ROUND(G99*Параметры!$B$6,IF(G99*Параметры!$B$6&gt;=1000,-1,0)))))</f>
        <v>11400</v>
      </c>
      <c r="L99" s="16">
        <v>20</v>
      </c>
      <c r="M99" s="17">
        <f t="shared" si="12"/>
        <v>0.05</v>
      </c>
      <c r="N99" s="17">
        <f>IF(OR(L99="",L99=0),"",Параметры!$B$3/L99)</f>
        <v>0.4</v>
      </c>
      <c r="O99" s="15">
        <f>IF(L99="","",IFERROR(INDEX('Почасовка — ставки и план'!$D$5:$D$24,MATCH($D99,'Почасовка — ставки и план'!$A$5:$A$24,0)),""))</f>
        <v>550</v>
      </c>
      <c r="P99" s="15">
        <f>IF(L99="","",IFERROR(INDEX('Почасовка — ставки и план'!$E$5:$E$24,MATCH($D99,'Почасовка — ставки и план'!$A$5:$A$24,0)),""))</f>
        <v>660</v>
      </c>
      <c r="Q99" s="15">
        <f t="shared" si="13"/>
        <v>11000</v>
      </c>
      <c r="R99" s="13" t="str">
        <f>IF(D99="TEX","аренда техники — сделка/счёт",IF(OR(Q99="",H99="",H99=0),"—",IF(Q99&lt;H99*(1-Параметры!$B$7),"почасовка",IF(Q99&gt;H99*(1+Параметры!$B$7),"сделка","любой способ"))))</f>
        <v>сделка</v>
      </c>
      <c r="S99">
        <v>4.7642857142857098E-2</v>
      </c>
      <c r="T99">
        <v>4.7619047619047672E-2</v>
      </c>
    </row>
    <row r="100" spans="1:20" x14ac:dyDescent="0.25">
      <c r="A100" s="13" t="s">
        <v>250</v>
      </c>
      <c r="B100" s="13" t="s">
        <v>251</v>
      </c>
      <c r="C100" s="13" t="s">
        <v>55</v>
      </c>
      <c r="D100" s="13" t="s">
        <v>252</v>
      </c>
      <c r="E100" s="13" t="str">
        <f>IFERROR(INDEX('Почасовка — ставки и план'!$B$5:$B$24,MATCH(D100,'Почасовка — ставки и план'!$A$5:$A$24,0)),"Аренда техники / механизмы")</f>
        <v>Каменщик</v>
      </c>
      <c r="F100" s="14">
        <v>9600</v>
      </c>
      <c r="G100" s="14">
        <v>11400</v>
      </c>
      <c r="H100" s="15">
        <v>3600</v>
      </c>
      <c r="I100" s="15">
        <f>IF(OR(H100="",F100=""),"",MAX(H100,MIN(ROUND(H100*(1+Параметры!$B$5),IF(H100*(1+Параметры!$B$5)&gt;=1000,-1,0)),ROUND(F100*Параметры!$B$6,IF(F100*Параметры!$B$6&gt;=1000,-1,0)))))</f>
        <v>4140</v>
      </c>
      <c r="J100" s="15">
        <v>4140</v>
      </c>
      <c r="K100" s="15">
        <f>IF(OR(J100="",G100=""),"",MAX(J100,MIN(ROUND(J100*(1+Параметры!$B$5),IF(J100*(1+Параметры!$B$5)&gt;=1000,-1,0)),ROUND(G100*Параметры!$B$6,IF(G100*Параметры!$B$6&gt;=1000,-1,0)))))</f>
        <v>4760</v>
      </c>
      <c r="L100" s="16">
        <v>9</v>
      </c>
      <c r="M100" s="17">
        <f t="shared" si="12"/>
        <v>0.1111111111111111</v>
      </c>
      <c r="N100" s="17">
        <f>IF(OR(L100="",L100=0),"",Параметры!$B$3/L100)</f>
        <v>0.88888888888888884</v>
      </c>
      <c r="O100" s="15">
        <f>IF(L100="","",IFERROR(INDEX('Почасовка — ставки и план'!$D$5:$D$24,MATCH($D100,'Почасовка — ставки и план'!$A$5:$A$24,0)),""))</f>
        <v>800</v>
      </c>
      <c r="P100" s="15">
        <f>IF(L100="","",IFERROR(INDEX('Почасовка — ставки и план'!$E$5:$E$24,MATCH($D100,'Почасовка — ставки и план'!$A$5:$A$24,0)),""))</f>
        <v>950</v>
      </c>
      <c r="Q100" s="15">
        <f t="shared" si="13"/>
        <v>7200</v>
      </c>
      <c r="R100" s="13" t="str">
        <f>IF(D100="TEX","аренда техники — сделка/счёт",IF(OR(Q100="",H100="",H100=0),"—",IF(Q100&lt;H100*(1-Параметры!$B$7),"почасовка",IF(Q100&gt;H100*(1+Параметры!$B$7),"сделка","любой способ"))))</f>
        <v>сделка</v>
      </c>
      <c r="S100">
        <v>0.60000000000000009</v>
      </c>
      <c r="T100">
        <v>0.65217391304347827</v>
      </c>
    </row>
    <row r="101" spans="1:20" x14ac:dyDescent="0.25">
      <c r="A101" s="13" t="s">
        <v>253</v>
      </c>
      <c r="B101" s="13" t="s">
        <v>254</v>
      </c>
      <c r="C101" s="13" t="s">
        <v>72</v>
      </c>
      <c r="D101" s="13" t="s">
        <v>60</v>
      </c>
      <c r="E101" s="13" t="str">
        <f>IFERROR(INDEX('Почасовка — ставки и план'!$B$5:$B$24,MATCH(D101,'Почасовка — ставки и план'!$A$5:$A$24,0)),"Аренда техники / механизмы")</f>
        <v>Разнорабочий / демонтажник</v>
      </c>
      <c r="F101" s="14">
        <v>4000</v>
      </c>
      <c r="G101" s="14">
        <v>4600</v>
      </c>
      <c r="H101" s="15">
        <v>2400</v>
      </c>
      <c r="I101" s="15">
        <f>IF(OR(H101="",F101=""),"",MAX(H101,MIN(ROUND(H101*(1+Параметры!$B$5),IF(H101*(1+Параметры!$B$5)&gt;=1000,-1,0)),ROUND(F101*Параметры!$B$6,IF(F101*Параметры!$B$6&gt;=1000,-1,0)))))</f>
        <v>2760</v>
      </c>
      <c r="J101" s="15">
        <v>2760</v>
      </c>
      <c r="K101" s="15">
        <f>IF(OR(J101="",G101=""),"",MAX(J101,MIN(ROUND(J101*(1+Параметры!$B$5),IF(J101*(1+Параметры!$B$5)&gt;=1000,-1,0)),ROUND(G101*Параметры!$B$6,IF(G101*Параметры!$B$6&gt;=1000,-1,0)))))</f>
        <v>3170</v>
      </c>
      <c r="L101" s="16">
        <v>5</v>
      </c>
      <c r="M101" s="17">
        <f t="shared" si="12"/>
        <v>0.2</v>
      </c>
      <c r="N101" s="17">
        <f>IF(OR(L101="",L101=0),"",Параметры!$B$3/L101)</f>
        <v>1.6</v>
      </c>
      <c r="O101" s="15">
        <f>IF(L101="","",IFERROR(INDEX('Почасовка — ставки и план'!$D$5:$D$24,MATCH($D101,'Почасовка — ставки и план'!$A$5:$A$24,0)),""))</f>
        <v>550</v>
      </c>
      <c r="P101" s="15">
        <f>IF(L101="","",IFERROR(INDEX('Почасовка — ставки и план'!$E$5:$E$24,MATCH($D101,'Почасовка — ставки и план'!$A$5:$A$24,0)),""))</f>
        <v>660</v>
      </c>
      <c r="Q101" s="15">
        <f t="shared" si="13"/>
        <v>2750</v>
      </c>
      <c r="R101" s="13" t="str">
        <f>IF(D101="TEX","аренда техники — сделка/счёт",IF(OR(Q101="",H101="",H101=0),"—",IF(Q101&lt;H101*(1-Параметры!$B$7),"почасовка",IF(Q101&gt;H101*(1+Параметры!$B$7),"сделка","любой способ"))))</f>
        <v>сделка</v>
      </c>
      <c r="S101">
        <v>0</v>
      </c>
      <c r="T101">
        <v>0</v>
      </c>
    </row>
    <row r="102" spans="1:20" x14ac:dyDescent="0.25">
      <c r="A102" s="13" t="s">
        <v>255</v>
      </c>
      <c r="B102" s="13" t="s">
        <v>256</v>
      </c>
      <c r="C102" s="13" t="s">
        <v>72</v>
      </c>
      <c r="D102" s="13" t="s">
        <v>252</v>
      </c>
      <c r="E102" s="13" t="str">
        <f>IFERROR(INDEX('Почасовка — ставки и план'!$B$5:$B$24,MATCH(D102,'Почасовка — ставки и план'!$A$5:$A$24,0)),"Аренда техники / механизмы")</f>
        <v>Каменщик</v>
      </c>
      <c r="F102" s="14">
        <v>4267</v>
      </c>
      <c r="G102" s="14">
        <v>5067</v>
      </c>
      <c r="H102" s="15">
        <v>1800</v>
      </c>
      <c r="I102" s="15">
        <f>IF(OR(H102="",F102=""),"",MAX(H102,MIN(ROUND(H102*(1+Параметры!$B$5),IF(H102*(1+Параметры!$B$5)&gt;=1000,-1,0)),ROUND(F102*Параметры!$B$6,IF(F102*Параметры!$B$6&gt;=1000,-1,0)))))</f>
        <v>2070</v>
      </c>
      <c r="J102" s="15">
        <v>2070</v>
      </c>
      <c r="K102" s="15">
        <f>IF(OR(J102="",G102=""),"",MAX(J102,MIN(ROUND(J102*(1+Параметры!$B$5),IF(J102*(1+Параметры!$B$5)&gt;=1000,-1,0)),ROUND(G102*Параметры!$B$6,IF(G102*Параметры!$B$6&gt;=1000,-1,0)))))</f>
        <v>2380</v>
      </c>
      <c r="L102" s="16">
        <v>4</v>
      </c>
      <c r="M102" s="17">
        <f t="shared" si="12"/>
        <v>0.25</v>
      </c>
      <c r="N102" s="17">
        <f>IF(OR(L102="",L102=0),"",Параметры!$B$3/L102)</f>
        <v>2</v>
      </c>
      <c r="O102" s="15">
        <f>IF(L102="","",IFERROR(INDEX('Почасовка — ставки и план'!$D$5:$D$24,MATCH($D102,'Почасовка — ставки и план'!$A$5:$A$24,0)),""))</f>
        <v>800</v>
      </c>
      <c r="P102" s="15">
        <f>IF(L102="","",IFERROR(INDEX('Почасовка — ставки и план'!$E$5:$E$24,MATCH($D102,'Почасовка — ставки и план'!$A$5:$A$24,0)),""))</f>
        <v>950</v>
      </c>
      <c r="Q102" s="15">
        <f t="shared" si="13"/>
        <v>3200</v>
      </c>
      <c r="R102" s="13" t="str">
        <f>IF(D102="TEX","аренда техники — сделка/счёт",IF(OR(Q102="",H102="",H102=0),"—",IF(Q102&lt;H102*(1-Параметры!$B$7),"почасовка",IF(Q102&gt;H102*(1+Параметры!$B$7),"сделка","любой способ"))))</f>
        <v>сделка</v>
      </c>
      <c r="S102">
        <v>0.42233333333333323</v>
      </c>
      <c r="T102">
        <v>0.46869565217391301</v>
      </c>
    </row>
    <row r="103" spans="1:20" x14ac:dyDescent="0.25">
      <c r="A103" s="13" t="s">
        <v>257</v>
      </c>
      <c r="B103" s="13" t="s">
        <v>258</v>
      </c>
      <c r="C103" s="13" t="s">
        <v>72</v>
      </c>
      <c r="D103" s="13" t="s">
        <v>208</v>
      </c>
      <c r="E103" s="13" t="str">
        <f>IFERROR(INDEX('Почасовка — ставки и план'!$B$5:$B$24,MATCH(D103,'Почасовка — ставки и план'!$A$5:$A$24,0)),"Аренда техники / механизмы")</f>
        <v>Отделочник (штукатур, маляр, ГКЛ)</v>
      </c>
      <c r="F103" s="14">
        <v>800</v>
      </c>
      <c r="G103" s="14">
        <v>960</v>
      </c>
      <c r="H103" s="15">
        <v>360</v>
      </c>
      <c r="I103" s="15">
        <f>IF(OR(H103="",F103=""),"",MAX(H103,MIN(ROUND(H103*(1+Параметры!$B$5),IF(H103*(1+Параметры!$B$5)&gt;=1000,-1,0)),ROUND(F103*Параметры!$B$6,IF(F103*Параметры!$B$6&gt;=1000,-1,0)))))</f>
        <v>414</v>
      </c>
      <c r="J103" s="15">
        <v>414</v>
      </c>
      <c r="K103" s="15">
        <f>IF(OR(J103="",G103=""),"",MAX(J103,MIN(ROUND(J103*(1+Параметры!$B$5),IF(J103*(1+Параметры!$B$5)&gt;=1000,-1,0)),ROUND(G103*Параметры!$B$6,IF(G103*Параметры!$B$6&gt;=1000,-1,0)))))</f>
        <v>476</v>
      </c>
      <c r="L103" s="16">
        <v>0.8</v>
      </c>
      <c r="M103" s="17">
        <f t="shared" si="12"/>
        <v>1.25</v>
      </c>
      <c r="N103" s="17">
        <f>IF(OR(L103="",L103=0),"",Параметры!$B$3/L103)</f>
        <v>10</v>
      </c>
      <c r="O103" s="15">
        <f>IF(L103="","",IFERROR(INDEX('Почасовка — ставки и план'!$D$5:$D$24,MATCH($D103,'Почасовка — ставки и план'!$A$5:$A$24,0)),""))</f>
        <v>750</v>
      </c>
      <c r="P103" s="15">
        <f>IF(L103="","",IFERROR(INDEX('Почасовка — ставки и план'!$E$5:$E$24,MATCH($D103,'Почасовка — ставки и план'!$A$5:$A$24,0)),""))</f>
        <v>900</v>
      </c>
      <c r="Q103" s="15">
        <f t="shared" si="13"/>
        <v>600</v>
      </c>
      <c r="R103" s="13" t="str">
        <f>IF(D103="TEX","аренда техники — сделка/счёт",IF(OR(Q103="",H103="",H103=0),"—",IF(Q103&lt;H103*(1-Параметры!$B$7),"почасовка",IF(Q103&gt;H103*(1+Параметры!$B$7),"сделка","любой способ"))))</f>
        <v>сделка</v>
      </c>
      <c r="S103">
        <v>0.33333333333333331</v>
      </c>
      <c r="T103">
        <v>0.39130434782608692</v>
      </c>
    </row>
    <row r="104" spans="1:20" x14ac:dyDescent="0.25">
      <c r="A104" s="13" t="s">
        <v>259</v>
      </c>
      <c r="B104" s="13" t="s">
        <v>260</v>
      </c>
      <c r="C104" s="13" t="s">
        <v>72</v>
      </c>
      <c r="D104" s="13" t="s">
        <v>252</v>
      </c>
      <c r="E104" s="13" t="str">
        <f>IFERROR(INDEX('Почасовка — ставки и план'!$B$5:$B$24,MATCH(D104,'Почасовка — ставки и план'!$A$5:$A$24,0)),"Аренда техники / механизмы")</f>
        <v>Каменщик</v>
      </c>
      <c r="F104" s="14">
        <v>960</v>
      </c>
      <c r="G104" s="14">
        <v>1140</v>
      </c>
      <c r="H104" s="15">
        <v>300</v>
      </c>
      <c r="I104" s="15">
        <f>IF(OR(H104="",F104=""),"",MAX(H104,MIN(ROUND(H104*(1+Параметры!$B$5),IF(H104*(1+Параметры!$B$5)&gt;=1000,-1,0)),ROUND(F104*Параметры!$B$6,IF(F104*Параметры!$B$6&gt;=1000,-1,0)))))</f>
        <v>345</v>
      </c>
      <c r="J104" s="15">
        <v>345</v>
      </c>
      <c r="K104" s="15">
        <f>IF(OR(J104="",G104=""),"",MAX(J104,MIN(ROUND(J104*(1+Параметры!$B$5),IF(J104*(1+Параметры!$B$5)&gt;=1000,-1,0)),ROUND(G104*Параметры!$B$6,IF(G104*Параметры!$B$6&gt;=1000,-1,0)))))</f>
        <v>397</v>
      </c>
      <c r="L104" s="16">
        <v>0.9</v>
      </c>
      <c r="M104" s="17">
        <f t="shared" si="12"/>
        <v>1.1111111111111112</v>
      </c>
      <c r="N104" s="17">
        <f>IF(OR(L104="",L104=0),"",Параметры!$B$3/L104)</f>
        <v>8.8888888888888893</v>
      </c>
      <c r="O104" s="15">
        <f>IF(L104="","",IFERROR(INDEX('Почасовка — ставки и план'!$D$5:$D$24,MATCH($D104,'Почасовка — ставки и план'!$A$5:$A$24,0)),""))</f>
        <v>800</v>
      </c>
      <c r="P104" s="15">
        <f>IF(L104="","",IFERROR(INDEX('Почасовка — ставки и план'!$E$5:$E$24,MATCH($D104,'Почасовка — ставки и план'!$A$5:$A$24,0)),""))</f>
        <v>950</v>
      </c>
      <c r="Q104" s="15">
        <f t="shared" si="13"/>
        <v>720</v>
      </c>
      <c r="R104" s="13" t="str">
        <f>IF(D104="TEX","аренда техники — сделка/счёт",IF(OR(Q104="",H104="",H104=0),"—",IF(Q104&lt;H104*(1-Параметры!$B$7),"почасовка",IF(Q104&gt;H104*(1+Параметры!$B$7),"сделка","любой способ"))))</f>
        <v>сделка</v>
      </c>
      <c r="S104">
        <v>0.91999999999999993</v>
      </c>
      <c r="T104">
        <v>0.98260869565217401</v>
      </c>
    </row>
    <row r="105" spans="1:20" x14ac:dyDescent="0.25">
      <c r="A105" s="13" t="s">
        <v>261</v>
      </c>
      <c r="B105" s="13" t="s">
        <v>262</v>
      </c>
      <c r="C105" s="13" t="s">
        <v>55</v>
      </c>
      <c r="D105" s="13" t="s">
        <v>252</v>
      </c>
      <c r="E105" s="13" t="str">
        <f>IFERROR(INDEX('Почасовка — ставки и план'!$B$5:$B$24,MATCH(D105,'Почасовка — ставки и план'!$A$5:$A$24,0)),"Аренда техники / механизмы")</f>
        <v>Каменщик</v>
      </c>
      <c r="F105" s="14">
        <v>5867</v>
      </c>
      <c r="G105" s="14">
        <v>6967</v>
      </c>
      <c r="H105" s="15">
        <v>2100</v>
      </c>
      <c r="I105" s="15">
        <f>IF(OR(H105="",F105=""),"",MAX(H105,MIN(ROUND(H105*(1+Параметры!$B$5),IF(H105*(1+Параметры!$B$5)&gt;=1000,-1,0)),ROUND(F105*Параметры!$B$6,IF(F105*Параметры!$B$6&gt;=1000,-1,0)))))</f>
        <v>2420</v>
      </c>
      <c r="J105" s="15">
        <v>2415</v>
      </c>
      <c r="K105" s="15">
        <f>IF(OR(J105="",G105=""),"",MAX(J105,MIN(ROUND(J105*(1+Параметры!$B$5),IF(J105*(1+Параметры!$B$5)&gt;=1000,-1,0)),ROUND(G105*Параметры!$B$6,IF(G105*Параметры!$B$6&gt;=1000,-1,0)))))</f>
        <v>2780</v>
      </c>
      <c r="L105" s="16">
        <v>5.5</v>
      </c>
      <c r="M105" s="17">
        <f t="shared" si="12"/>
        <v>0.18181818181818182</v>
      </c>
      <c r="N105" s="17">
        <f>IF(OR(L105="",L105=0),"",Параметры!$B$3/L105)</f>
        <v>1.4545454545454546</v>
      </c>
      <c r="O105" s="15">
        <f>IF(L105="","",IFERROR(INDEX('Почасовка — ставки и план'!$D$5:$D$24,MATCH($D105,'Почасовка — ставки и план'!$A$5:$A$24,0)),""))</f>
        <v>800</v>
      </c>
      <c r="P105" s="15">
        <f>IF(L105="","",IFERROR(INDEX('Почасовка — ставки и план'!$E$5:$E$24,MATCH($D105,'Почасовка — ставки и план'!$A$5:$A$24,0)),""))</f>
        <v>950</v>
      </c>
      <c r="Q105" s="15">
        <f t="shared" si="13"/>
        <v>4400</v>
      </c>
      <c r="R105" s="13" t="str">
        <f>IF(D105="TEX","аренда техники — сделка/счёт",IF(OR(Q105="",H105="",H105=0),"—",IF(Q105&lt;H105*(1-Параметры!$B$7),"почасовка",IF(Q105&gt;H105*(1+Параметры!$B$7),"сделка","любой способ"))))</f>
        <v>сделка</v>
      </c>
      <c r="S105">
        <v>0.67628571428571438</v>
      </c>
      <c r="T105">
        <v>0.7309316770186336</v>
      </c>
    </row>
    <row r="106" spans="1:20" x14ac:dyDescent="0.25">
      <c r="A106" s="13" t="s">
        <v>263</v>
      </c>
      <c r="B106" s="13" t="s">
        <v>264</v>
      </c>
      <c r="C106" s="13" t="s">
        <v>55</v>
      </c>
      <c r="D106" s="13" t="s">
        <v>252</v>
      </c>
      <c r="E106" s="13" t="str">
        <f>IFERROR(INDEX('Почасовка — ставки и план'!$B$5:$B$24,MATCH(D106,'Почасовка — ставки и план'!$A$5:$A$24,0)),"Аренда техники / механизмы")</f>
        <v>Каменщик</v>
      </c>
      <c r="F106" s="14">
        <v>4267</v>
      </c>
      <c r="G106" s="14">
        <v>5067</v>
      </c>
      <c r="H106" s="15">
        <v>1500</v>
      </c>
      <c r="I106" s="15">
        <f>IF(OR(H106="",F106=""),"",MAX(H106,MIN(ROUND(H106*(1+Параметры!$B$5),IF(H106*(1+Параметры!$B$5)&gt;=1000,-1,0)),ROUND(F106*Параметры!$B$6,IF(F106*Параметры!$B$6&gt;=1000,-1,0)))))</f>
        <v>1730</v>
      </c>
      <c r="J106" s="15">
        <v>1725</v>
      </c>
      <c r="K106" s="15">
        <f>IF(OR(J106="",G106=""),"",MAX(J106,MIN(ROUND(J106*(1+Параметры!$B$5),IF(J106*(1+Параметры!$B$5)&gt;=1000,-1,0)),ROUND(G106*Параметры!$B$6,IF(G106*Параметры!$B$6&gt;=1000,-1,0)))))</f>
        <v>1980</v>
      </c>
      <c r="L106" s="16">
        <v>4</v>
      </c>
      <c r="M106" s="17">
        <f t="shared" si="12"/>
        <v>0.25</v>
      </c>
      <c r="N106" s="17">
        <f>IF(OR(L106="",L106=0),"",Параметры!$B$3/L106)</f>
        <v>2</v>
      </c>
      <c r="O106" s="15">
        <f>IF(L106="","",IFERROR(INDEX('Почасовка — ставки и план'!$D$5:$D$24,MATCH($D106,'Почасовка — ставки и план'!$A$5:$A$24,0)),""))</f>
        <v>800</v>
      </c>
      <c r="P106" s="15">
        <f>IF(L106="","",IFERROR(INDEX('Почасовка — ставки и план'!$E$5:$E$24,MATCH($D106,'Почасовка — ставки и план'!$A$5:$A$24,0)),""))</f>
        <v>950</v>
      </c>
      <c r="Q106" s="15">
        <f t="shared" si="13"/>
        <v>3200</v>
      </c>
      <c r="R106" s="13" t="str">
        <f>IF(D106="TEX","аренда техники — сделка/счёт",IF(OR(Q106="",H106="",H106=0),"—",IF(Q106&lt;H106*(1-Параметры!$B$7),"почасовка",IF(Q106&gt;H106*(1+Параметры!$B$7),"сделка","любой способ"))))</f>
        <v>сделка</v>
      </c>
      <c r="S106">
        <v>0.70680000000000009</v>
      </c>
      <c r="T106">
        <v>0.76243478260869568</v>
      </c>
    </row>
    <row r="107" spans="1:20" x14ac:dyDescent="0.25">
      <c r="A107" s="13" t="s">
        <v>265</v>
      </c>
      <c r="B107" s="13" t="s">
        <v>266</v>
      </c>
      <c r="C107" s="13" t="s">
        <v>72</v>
      </c>
      <c r="D107" s="13" t="s">
        <v>208</v>
      </c>
      <c r="E107" s="13" t="str">
        <f>IFERROR(INDEX('Почасовка — ставки и план'!$B$5:$B$24,MATCH(D107,'Почасовка — ставки и план'!$A$5:$A$24,0)),"Аренда техники / механизмы")</f>
        <v>Отделочник (штукатур, маляр, ГКЛ)</v>
      </c>
      <c r="F107" s="14">
        <v>300</v>
      </c>
      <c r="G107" s="14">
        <v>360</v>
      </c>
      <c r="H107" s="15">
        <v>170</v>
      </c>
      <c r="I107" s="15">
        <f>IF(OR(H107="",F107=""),"",MAX(H107,MIN(ROUND(H107*(1+Параметры!$B$5),IF(H107*(1+Параметры!$B$5)&gt;=1000,-1,0)),ROUND(F107*Параметры!$B$6,IF(F107*Параметры!$B$6&gt;=1000,-1,0)))))</f>
        <v>196</v>
      </c>
      <c r="J107" s="15">
        <v>195</v>
      </c>
      <c r="K107" s="15">
        <f>IF(OR(J107="",G107=""),"",MAX(J107,MIN(ROUND(J107*(1+Параметры!$B$5),IF(J107*(1+Параметры!$B$5)&gt;=1000,-1,0)),ROUND(G107*Параметры!$B$6,IF(G107*Параметры!$B$6&gt;=1000,-1,0)))))</f>
        <v>224</v>
      </c>
      <c r="L107" s="16">
        <v>0.3</v>
      </c>
      <c r="M107" s="17">
        <f t="shared" si="12"/>
        <v>3.3333333333333335</v>
      </c>
      <c r="N107" s="17">
        <f>IF(OR(L107="",L107=0),"",Параметры!$B$3/L107)</f>
        <v>26.666666666666668</v>
      </c>
      <c r="O107" s="15">
        <f>IF(L107="","",IFERROR(INDEX('Почасовка — ставки и план'!$D$5:$D$24,MATCH($D107,'Почасовка — ставки и план'!$A$5:$A$24,0)),""))</f>
        <v>750</v>
      </c>
      <c r="P107" s="15">
        <f>IF(L107="","",IFERROR(INDEX('Почасовка — ставки и план'!$E$5:$E$24,MATCH($D107,'Почасовка — ставки и план'!$A$5:$A$24,0)),""))</f>
        <v>900</v>
      </c>
      <c r="Q107" s="15">
        <f t="shared" si="13"/>
        <v>225</v>
      </c>
      <c r="R107" s="13" t="str">
        <f>IF(D107="TEX","аренда техники — сделка/счёт",IF(OR(Q107="",H107="",H107=0),"—",IF(Q107&lt;H107*(1-Параметры!$B$7),"почасовка",IF(Q107&gt;H107*(1+Параметры!$B$7),"сделка","любой способ"))))</f>
        <v>сделка</v>
      </c>
      <c r="S107">
        <v>7.1428571428571397E-2</v>
      </c>
      <c r="T107">
        <v>0.1180124223602483</v>
      </c>
    </row>
    <row r="108" spans="1:20" x14ac:dyDescent="0.25">
      <c r="A108" s="13" t="s">
        <v>267</v>
      </c>
      <c r="B108" s="13" t="s">
        <v>268</v>
      </c>
      <c r="C108" s="13" t="s">
        <v>72</v>
      </c>
      <c r="D108" s="13" t="s">
        <v>208</v>
      </c>
      <c r="E108" s="13" t="str">
        <f>IFERROR(INDEX('Почасовка — ставки и план'!$B$5:$B$24,MATCH(D108,'Почасовка — ставки и план'!$A$5:$A$24,0)),"Аренда техники / механизмы")</f>
        <v>Отделочник (штукатур, маляр, ГКЛ)</v>
      </c>
      <c r="F108" s="14">
        <v>100</v>
      </c>
      <c r="G108" s="14">
        <v>120</v>
      </c>
      <c r="H108" s="15">
        <v>55</v>
      </c>
      <c r="I108" s="15">
        <f>IF(OR(H108="",F108=""),"",MAX(H108,MIN(ROUND(H108*(1+Параметры!$B$5),IF(H108*(1+Параметры!$B$5)&gt;=1000,-1,0)),ROUND(F108*Параметры!$B$6,IF(F108*Параметры!$B$6&gt;=1000,-1,0)))))</f>
        <v>63</v>
      </c>
      <c r="J108" s="15">
        <v>63</v>
      </c>
      <c r="K108" s="15">
        <f>IF(OR(J108="",G108=""),"",MAX(J108,MIN(ROUND(J108*(1+Параметры!$B$5),IF(J108*(1+Параметры!$B$5)&gt;=1000,-1,0)),ROUND(G108*Параметры!$B$6,IF(G108*Параметры!$B$6&gt;=1000,-1,0)))))</f>
        <v>72</v>
      </c>
      <c r="L108" s="16">
        <v>0.1</v>
      </c>
      <c r="M108" s="17">
        <f t="shared" si="12"/>
        <v>10</v>
      </c>
      <c r="N108" s="17">
        <f>IF(OR(L108="",L108=0),"",Параметры!$B$3/L108)</f>
        <v>80</v>
      </c>
      <c r="O108" s="15">
        <f>IF(L108="","",IFERROR(INDEX('Почасовка — ставки и план'!$D$5:$D$24,MATCH($D108,'Почасовка — ставки и план'!$A$5:$A$24,0)),""))</f>
        <v>750</v>
      </c>
      <c r="P108" s="15">
        <f>IF(L108="","",IFERROR(INDEX('Почасовка — ставки и план'!$E$5:$E$24,MATCH($D108,'Почасовка — ставки и план'!$A$5:$A$24,0)),""))</f>
        <v>900</v>
      </c>
      <c r="Q108" s="15">
        <f t="shared" si="13"/>
        <v>75</v>
      </c>
      <c r="R108" s="13" t="str">
        <f>IF(D108="TEX","аренда техники — сделка/счёт",IF(OR(Q108="",H108="",H108=0),"—",IF(Q108&lt;H108*(1-Параметры!$B$7),"почасовка",IF(Q108&gt;H108*(1+Параметры!$B$7),"сделка","любой способ"))))</f>
        <v>сделка</v>
      </c>
      <c r="S108">
        <v>0.1111111111111112</v>
      </c>
      <c r="T108">
        <v>0.16504854368932029</v>
      </c>
    </row>
    <row r="109" spans="1:20" x14ac:dyDescent="0.25">
      <c r="A109" s="18" t="s">
        <v>269</v>
      </c>
      <c r="B109" s="13" t="s">
        <v>270</v>
      </c>
      <c r="C109" s="13" t="s">
        <v>72</v>
      </c>
      <c r="D109" s="13" t="s">
        <v>60</v>
      </c>
      <c r="E109" s="13" t="str">
        <f>IFERROR(INDEX('Почасовка — ставки и план'!$B$5:$B$24,MATCH(D109,'Почасовка — ставки и план'!$A$5:$A$24,0)),"Аренда техники / механизмы")</f>
        <v>Разнорабочий / демонтажник</v>
      </c>
      <c r="F109" s="14">
        <v>450</v>
      </c>
      <c r="G109" s="14">
        <v>528</v>
      </c>
      <c r="H109" s="15">
        <v>270</v>
      </c>
      <c r="I109" s="15">
        <f>IF(OR(H109="",F109=""),"",MAX(H109,MIN(ROUND(H109*(1+Параметры!$B$5),IF(H109*(1+Параметры!$B$5)&gt;=1000,-1,0)),ROUND(F109*Параметры!$B$6,IF(F109*Параметры!$B$6&gt;=1000,-1,0)))))</f>
        <v>311</v>
      </c>
      <c r="J109" s="15">
        <v>310</v>
      </c>
      <c r="K109" s="15">
        <f>IF(OR(J109="",G109=""),"",MAX(J109,MIN(ROUND(J109*(1+Параметры!$B$5),IF(J109*(1+Параметры!$B$5)&gt;=1000,-1,0)),ROUND(G109*Параметры!$B$6,IF(G109*Параметры!$B$6&gt;=1000,-1,0)))))</f>
        <v>357</v>
      </c>
      <c r="L109" s="16">
        <v>0.6</v>
      </c>
      <c r="M109" s="17">
        <f t="shared" si="12"/>
        <v>1.6666666666666667</v>
      </c>
      <c r="N109" s="17">
        <f>IF(OR(L109="",L109=0),"",Параметры!$B$3/L109)</f>
        <v>13.333333333333334</v>
      </c>
      <c r="O109" s="15">
        <f>IF(L109="","",IFERROR(INDEX('Почасовка — ставки и план'!$D$5:$D$24,MATCH($D109,'Почасовка — ставки и план'!$A$5:$A$24,0)),""))</f>
        <v>550</v>
      </c>
      <c r="P109" s="15">
        <f>IF(L109="","",IFERROR(INDEX('Почасовка — ставки и план'!$E$5:$E$24,MATCH($D109,'Почасовка — ставки и план'!$A$5:$A$24,0)),""))</f>
        <v>660</v>
      </c>
      <c r="Q109" s="15">
        <f t="shared" si="13"/>
        <v>330</v>
      </c>
      <c r="R109" s="13" t="str">
        <f>IF(D109="TEX","аренда техники — сделка/счёт",IF(OR(Q109="",H109="",H109=0),"—",IF(Q109&lt;H109*(1-Параметры!$B$7),"почасовка",IF(Q109&gt;H109*(1+Параметры!$B$7),"сделка","любой способ"))))</f>
        <v>сделка</v>
      </c>
      <c r="S109">
        <v>0</v>
      </c>
      <c r="T109">
        <v>1.930501930501927E-2</v>
      </c>
    </row>
    <row r="110" spans="1:20" x14ac:dyDescent="0.25">
      <c r="A110" s="18" t="s">
        <v>271</v>
      </c>
      <c r="B110" s="13" t="s">
        <v>272</v>
      </c>
      <c r="C110" s="13" t="s">
        <v>69</v>
      </c>
      <c r="D110" s="13" t="s">
        <v>273</v>
      </c>
      <c r="E110" s="13" t="str">
        <f>IFERROR(INDEX('Почасовка — ставки и план'!$B$5:$B$24,MATCH(D110,'Почасовка — ставки и план'!$A$5:$A$24,0)),"Аренда техники / механизмы")</f>
        <v>Электромонтажник</v>
      </c>
      <c r="F110" s="14">
        <v>300</v>
      </c>
      <c r="G110" s="14">
        <v>345</v>
      </c>
      <c r="H110" s="15">
        <v>180</v>
      </c>
      <c r="I110" s="15">
        <f>IF(OR(H110="",F110=""),"",MAX(H110,MIN(ROUND(H110*(1+Параметры!$B$5),IF(H110*(1+Параметры!$B$5)&gt;=1000,-1,0)),ROUND(F110*Параметры!$B$6,IF(F110*Параметры!$B$6&gt;=1000,-1,0)))))</f>
        <v>207</v>
      </c>
      <c r="J110" s="15">
        <v>207</v>
      </c>
      <c r="K110" s="15">
        <f>IF(OR(J110="",G110=""),"",MAX(J110,MIN(ROUND(J110*(1+Параметры!$B$5),IF(J110*(1+Параметры!$B$5)&gt;=1000,-1,0)),ROUND(G110*Параметры!$B$6,IF(G110*Параметры!$B$6&gt;=1000,-1,0)))))</f>
        <v>238</v>
      </c>
      <c r="L110" s="16">
        <v>0.25</v>
      </c>
      <c r="M110" s="17">
        <f t="shared" si="12"/>
        <v>4</v>
      </c>
      <c r="N110" s="17">
        <f>IF(OR(L110="",L110=0),"",Параметры!$B$3/L110)</f>
        <v>32</v>
      </c>
      <c r="O110" s="15">
        <f>IF(L110="","",IFERROR(INDEX('Почасовка — ставки и план'!$D$5:$D$24,MATCH($D110,'Почасовка — ставки и план'!$A$5:$A$24,0)),""))</f>
        <v>850</v>
      </c>
      <c r="P110" s="15">
        <f>IF(L110="","",IFERROR(INDEX('Почасовка — ставки и план'!$E$5:$E$24,MATCH($D110,'Почасовка — ставки и план'!$A$5:$A$24,0)),""))</f>
        <v>1020</v>
      </c>
      <c r="Q110" s="15">
        <f t="shared" si="13"/>
        <v>213</v>
      </c>
      <c r="R110" s="13" t="str">
        <f>IF(D110="TEX","аренда техники — сделка/счёт",IF(OR(Q110="",H110="",H110=0),"—",IF(Q110&lt;H110*(1-Параметры!$B$7),"почасовка",IF(Q110&gt;H110*(1+Параметры!$B$7),"сделка","любой способ"))))</f>
        <v>сделка</v>
      </c>
      <c r="S110">
        <v>0</v>
      </c>
      <c r="T110">
        <v>0</v>
      </c>
    </row>
    <row r="111" spans="1:20" x14ac:dyDescent="0.25">
      <c r="A111" s="18" t="s">
        <v>274</v>
      </c>
      <c r="B111" s="13" t="s">
        <v>275</v>
      </c>
      <c r="C111" s="13" t="s">
        <v>72</v>
      </c>
      <c r="D111" s="13" t="s">
        <v>276</v>
      </c>
      <c r="E111" s="13" t="str">
        <f>IFERROR(INDEX('Почасовка — ставки и план'!$B$5:$B$24,MATCH(D111,'Почасовка — ставки и план'!$A$5:$A$24,0)),"Аренда техники / механизмы")</f>
        <v>Монтажник дверей, окон, перегородок</v>
      </c>
      <c r="F111" s="14">
        <v>640</v>
      </c>
      <c r="G111" s="14">
        <v>760</v>
      </c>
      <c r="H111" s="15">
        <v>300</v>
      </c>
      <c r="I111" s="15">
        <f>IF(OR(H111="",F111=""),"",MAX(H111,MIN(ROUND(H111*(1+Параметры!$B$5),IF(H111*(1+Параметры!$B$5)&gt;=1000,-1,0)),ROUND(F111*Параметры!$B$6,IF(F111*Параметры!$B$6&gt;=1000,-1,0)))))</f>
        <v>345</v>
      </c>
      <c r="J111" s="15">
        <v>345</v>
      </c>
      <c r="K111" s="15">
        <f>IF(OR(J111="",G111=""),"",MAX(J111,MIN(ROUND(J111*(1+Параметры!$B$5),IF(J111*(1+Параметры!$B$5)&gt;=1000,-1,0)),ROUND(G111*Параметры!$B$6,IF(G111*Параметры!$B$6&gt;=1000,-1,0)))))</f>
        <v>397</v>
      </c>
      <c r="L111" s="16">
        <v>0.6</v>
      </c>
      <c r="M111" s="17">
        <f t="shared" si="12"/>
        <v>1.6666666666666667</v>
      </c>
      <c r="N111" s="17">
        <f>IF(OR(L111="",L111=0),"",Параметры!$B$3/L111)</f>
        <v>13.333333333333334</v>
      </c>
      <c r="O111" s="15">
        <f>IF(L111="","",IFERROR(INDEX('Почасовка — ставки и план'!$D$5:$D$24,MATCH($D111,'Почасовка — ставки и план'!$A$5:$A$24,0)),""))</f>
        <v>800</v>
      </c>
      <c r="P111" s="15">
        <f>IF(L111="","",IFERROR(INDEX('Почасовка — ставки и план'!$E$5:$E$24,MATCH($D111,'Почасовка — ставки и план'!$A$5:$A$24,0)),""))</f>
        <v>950</v>
      </c>
      <c r="Q111" s="15">
        <f t="shared" si="13"/>
        <v>480</v>
      </c>
      <c r="R111" s="13" t="str">
        <f>IF(D111="TEX","аренда техники — сделка/счёт",IF(OR(Q111="",H111="",H111=0),"—",IF(Q111&lt;H111*(1-Параметры!$B$7),"почасовка",IF(Q111&gt;H111*(1+Параметры!$B$7),"сделка","любой способ"))))</f>
        <v>сделка</v>
      </c>
      <c r="S111">
        <v>0.28000000000000003</v>
      </c>
      <c r="T111">
        <v>0.32173913043478253</v>
      </c>
    </row>
    <row r="112" spans="1:20" x14ac:dyDescent="0.25">
      <c r="A112" s="18" t="s">
        <v>277</v>
      </c>
      <c r="B112" s="13" t="s">
        <v>278</v>
      </c>
      <c r="C112" s="13" t="s">
        <v>72</v>
      </c>
      <c r="D112" s="13" t="s">
        <v>208</v>
      </c>
      <c r="E112" s="13" t="str">
        <f>IFERROR(INDEX('Почасовка — ставки и план'!$B$5:$B$24,MATCH(D112,'Почасовка — ставки и план'!$A$5:$A$24,0)),"Аренда техники / механизмы")</f>
        <v>Отделочник (штукатур, маляр, ГКЛ)</v>
      </c>
      <c r="F112" s="14">
        <v>351</v>
      </c>
      <c r="G112" s="14">
        <v>420</v>
      </c>
      <c r="H112" s="15">
        <v>150</v>
      </c>
      <c r="I112" s="15">
        <f>IF(OR(H112="",F112=""),"",MAX(H112,MIN(ROUND(H112*(1+Параметры!$B$5),IF(H112*(1+Параметры!$B$5)&gt;=1000,-1,0)),ROUND(F112*Параметры!$B$6,IF(F112*Параметры!$B$6&gt;=1000,-1,0)))))</f>
        <v>173</v>
      </c>
      <c r="J112" s="15">
        <v>172</v>
      </c>
      <c r="K112" s="15">
        <f>IF(OR(J112="",G112=""),"",MAX(J112,MIN(ROUND(J112*(1+Параметры!$B$5),IF(J112*(1+Параметры!$B$5)&gt;=1000,-1,0)),ROUND(G112*Параметры!$B$6,IF(G112*Параметры!$B$6&gt;=1000,-1,0)))))</f>
        <v>198</v>
      </c>
      <c r="L112" s="16">
        <v>0.35</v>
      </c>
      <c r="M112" s="17">
        <f t="shared" si="12"/>
        <v>2.8571428571428572</v>
      </c>
      <c r="N112" s="17">
        <f>IF(OR(L112="",L112=0),"",Параметры!$B$3/L112)</f>
        <v>22.857142857142858</v>
      </c>
      <c r="O112" s="15">
        <f>IF(L112="","",IFERROR(INDEX('Почасовка — ставки и план'!$D$5:$D$24,MATCH($D112,'Почасовка — ставки и план'!$A$5:$A$24,0)),""))</f>
        <v>750</v>
      </c>
      <c r="P112" s="15">
        <f>IF(L112="","",IFERROR(INDEX('Почасовка — ставки и план'!$E$5:$E$24,MATCH($D112,'Почасовка — ставки и план'!$A$5:$A$24,0)),""))</f>
        <v>900</v>
      </c>
      <c r="Q112" s="15">
        <f t="shared" si="13"/>
        <v>263</v>
      </c>
      <c r="R112" s="13" t="str">
        <f>IF(D112="TEX","аренда техники — сделка/счёт",IF(OR(Q112="",H112="",H112=0),"—",IF(Q112&lt;H112*(1-Параметры!$B$7),"почасовка",IF(Q112&gt;H112*(1+Параметры!$B$7),"сделка","любой способ"))))</f>
        <v>сделка</v>
      </c>
      <c r="S112">
        <v>0.40399999999999991</v>
      </c>
      <c r="T112">
        <v>0.45833333333333331</v>
      </c>
    </row>
    <row r="113" spans="1:20" x14ac:dyDescent="0.25">
      <c r="A113" s="11" t="s">
        <v>279</v>
      </c>
      <c r="B113" s="12"/>
      <c r="C113" s="12"/>
      <c r="D113" s="12"/>
      <c r="E113" s="12"/>
      <c r="F113" s="12"/>
      <c r="G113" s="12"/>
      <c r="H113" s="12"/>
      <c r="I113" s="12"/>
      <c r="J113" s="12"/>
      <c r="K113" s="12"/>
      <c r="L113" s="12"/>
      <c r="M113" s="12"/>
      <c r="N113" s="12"/>
      <c r="O113" s="12"/>
      <c r="P113" s="12"/>
      <c r="Q113" s="12"/>
      <c r="R113" s="12"/>
    </row>
    <row r="114" spans="1:20" x14ac:dyDescent="0.25">
      <c r="A114" s="13" t="s">
        <v>280</v>
      </c>
      <c r="B114" s="13" t="s">
        <v>281</v>
      </c>
      <c r="C114" s="13" t="s">
        <v>144</v>
      </c>
      <c r="D114" s="13" t="s">
        <v>64</v>
      </c>
      <c r="E114" s="13" t="str">
        <f>IFERROR(INDEX('Почасовка — ставки и план'!$B$5:$B$24,MATCH(D114,'Почасовка — ставки и план'!$A$5:$A$24,0)),"Аренда техники / механизмы")</f>
        <v>Сварщик / монтажник МК</v>
      </c>
      <c r="F114" s="14">
        <v>1800</v>
      </c>
      <c r="G114" s="14">
        <v>2160</v>
      </c>
      <c r="H114" s="15">
        <v>720</v>
      </c>
      <c r="I114" s="15">
        <f>IF(OR(H114="",F114=""),"",MAX(H114,MIN(ROUND(H114*(1+Параметры!$B$5),IF(H114*(1+Параметры!$B$5)&gt;=1000,-1,0)),ROUND(F114*Параметры!$B$6,IF(F114*Параметры!$B$6&gt;=1000,-1,0)))))</f>
        <v>828</v>
      </c>
      <c r="J114" s="15">
        <v>828</v>
      </c>
      <c r="K114" s="15">
        <f>IF(OR(J114="",G114=""),"",MAX(J114,MIN(ROUND(J114*(1+Параметры!$B$5),IF(J114*(1+Параметры!$B$5)&gt;=1000,-1,0)),ROUND(G114*Параметры!$B$6,IF(G114*Параметры!$B$6&gt;=1000,-1,0)))))</f>
        <v>952</v>
      </c>
      <c r="L114" s="16">
        <v>1.5</v>
      </c>
      <c r="M114" s="17">
        <f t="shared" ref="M114:M157" si="14">IF(OR(L114="",L114=0),"",1/L114)</f>
        <v>0.66666666666666663</v>
      </c>
      <c r="N114" s="17">
        <f>IF(OR(L114="",L114=0),"",Параметры!$B$3/L114)</f>
        <v>5.333333333333333</v>
      </c>
      <c r="O114" s="15">
        <f>IF(L114="","",IFERROR(INDEX('Почасовка — ставки и план'!$D$5:$D$24,MATCH($D114,'Почасовка — ставки и план'!$A$5:$A$24,0)),""))</f>
        <v>900</v>
      </c>
      <c r="P114" s="15">
        <f>IF(L114="","",IFERROR(INDEX('Почасовка — ставки и план'!$E$5:$E$24,MATCH($D114,'Почасовка — ставки и план'!$A$5:$A$24,0)),""))</f>
        <v>1080</v>
      </c>
      <c r="Q114" s="15">
        <f t="shared" ref="Q114:Q157" si="15">IF(OR(L114="",O114=""),"",ROUND(L114*O114,0))</f>
        <v>1350</v>
      </c>
      <c r="R114" s="13" t="str">
        <f>IF(D114="TEX","аренда техники — сделка/счёт",IF(OR(Q114="",H114="",H114=0),"—",IF(Q114&lt;H114*(1-Параметры!$B$7),"почасовка",IF(Q114&gt;H114*(1+Параметры!$B$7),"сделка","любой способ"))))</f>
        <v>сделка</v>
      </c>
      <c r="S114">
        <v>0.5</v>
      </c>
      <c r="T114">
        <v>0.56521739130434789</v>
      </c>
    </row>
    <row r="115" spans="1:20" x14ac:dyDescent="0.25">
      <c r="A115" s="13" t="s">
        <v>282</v>
      </c>
      <c r="B115" s="13" t="s">
        <v>283</v>
      </c>
      <c r="C115" s="13" t="s">
        <v>144</v>
      </c>
      <c r="D115" s="13" t="s">
        <v>64</v>
      </c>
      <c r="E115" s="13" t="str">
        <f>IFERROR(INDEX('Почасовка — ставки и план'!$B$5:$B$24,MATCH(D115,'Почасовка — ставки и план'!$A$5:$A$24,0)),"Аренда техники / механизмы")</f>
        <v>Сварщик / монтажник МК</v>
      </c>
      <c r="F115" s="14">
        <v>2400</v>
      </c>
      <c r="G115" s="14">
        <v>2880</v>
      </c>
      <c r="H115" s="15">
        <v>960</v>
      </c>
      <c r="I115" s="15">
        <f>IF(OR(H115="",F115=""),"",MAX(H115,MIN(ROUND(H115*(1+Параметры!$B$5),IF(H115*(1+Параметры!$B$5)&gt;=1000,-1,0)),ROUND(F115*Параметры!$B$6,IF(F115*Параметры!$B$6&gt;=1000,-1,0)))))</f>
        <v>1100</v>
      </c>
      <c r="J115" s="15">
        <v>1104</v>
      </c>
      <c r="K115" s="15">
        <f>IF(OR(J115="",G115=""),"",MAX(J115,MIN(ROUND(J115*(1+Параметры!$B$5),IF(J115*(1+Параметры!$B$5)&gt;=1000,-1,0)),ROUND(G115*Параметры!$B$6,IF(G115*Параметры!$B$6&gt;=1000,-1,0)))))</f>
        <v>1270</v>
      </c>
      <c r="L115" s="16">
        <v>2</v>
      </c>
      <c r="M115" s="17">
        <f t="shared" si="14"/>
        <v>0.5</v>
      </c>
      <c r="N115" s="17">
        <f>IF(OR(L115="",L115=0),"",Параметры!$B$3/L115)</f>
        <v>4</v>
      </c>
      <c r="O115" s="15">
        <f>IF(L115="","",IFERROR(INDEX('Почасовка — ставки и план'!$D$5:$D$24,MATCH($D115,'Почасовка — ставки и план'!$A$5:$A$24,0)),""))</f>
        <v>900</v>
      </c>
      <c r="P115" s="15">
        <f>IF(L115="","",IFERROR(INDEX('Почасовка — ставки и план'!$E$5:$E$24,MATCH($D115,'Почасовка — ставки и план'!$A$5:$A$24,0)),""))</f>
        <v>1080</v>
      </c>
      <c r="Q115" s="15">
        <f t="shared" si="15"/>
        <v>1800</v>
      </c>
      <c r="R115" s="13" t="str">
        <f>IF(D115="TEX","аренда техники — сделка/счёт",IF(OR(Q115="",H115="",H115=0),"—",IF(Q115&lt;H115*(1-Параметры!$B$7),"почасовка",IF(Q115&gt;H115*(1+Параметры!$B$7),"сделка","любой способ"))))</f>
        <v>сделка</v>
      </c>
      <c r="S115">
        <v>0.5</v>
      </c>
      <c r="T115">
        <v>0.56521739130434789</v>
      </c>
    </row>
    <row r="116" spans="1:20" x14ac:dyDescent="0.25">
      <c r="A116" s="13" t="s">
        <v>284</v>
      </c>
      <c r="B116" s="13" t="s">
        <v>285</v>
      </c>
      <c r="C116" s="13" t="s">
        <v>144</v>
      </c>
      <c r="D116" s="13" t="s">
        <v>64</v>
      </c>
      <c r="E116" s="13" t="str">
        <f>IFERROR(INDEX('Почасовка — ставки и план'!$B$5:$B$24,MATCH(D116,'Почасовка — ставки и план'!$A$5:$A$24,0)),"Аренда техники / механизмы")</f>
        <v>Сварщик / монтажник МК</v>
      </c>
      <c r="F116" s="14">
        <v>3000</v>
      </c>
      <c r="G116" s="14">
        <v>3600</v>
      </c>
      <c r="H116" s="15">
        <v>1200</v>
      </c>
      <c r="I116" s="15">
        <f>IF(OR(H116="",F116=""),"",MAX(H116,MIN(ROUND(H116*(1+Параметры!$B$5),IF(H116*(1+Параметры!$B$5)&gt;=1000,-1,0)),ROUND(F116*Параметры!$B$6,IF(F116*Параметры!$B$6&gt;=1000,-1,0)))))</f>
        <v>1380</v>
      </c>
      <c r="J116" s="15">
        <v>1380</v>
      </c>
      <c r="K116" s="15">
        <f>IF(OR(J116="",G116=""),"",MAX(J116,MIN(ROUND(J116*(1+Параметры!$B$5),IF(J116*(1+Параметры!$B$5)&gt;=1000,-1,0)),ROUND(G116*Параметры!$B$6,IF(G116*Параметры!$B$6&gt;=1000,-1,0)))))</f>
        <v>1590</v>
      </c>
      <c r="L116" s="16">
        <v>2.5</v>
      </c>
      <c r="M116" s="17">
        <f t="shared" si="14"/>
        <v>0.4</v>
      </c>
      <c r="N116" s="17">
        <f>IF(OR(L116="",L116=0),"",Параметры!$B$3/L116)</f>
        <v>3.2</v>
      </c>
      <c r="O116" s="15">
        <f>IF(L116="","",IFERROR(INDEX('Почасовка — ставки и план'!$D$5:$D$24,MATCH($D116,'Почасовка — ставки и план'!$A$5:$A$24,0)),""))</f>
        <v>900</v>
      </c>
      <c r="P116" s="15">
        <f>IF(L116="","",IFERROR(INDEX('Почасовка — ставки и план'!$E$5:$E$24,MATCH($D116,'Почасовка — ставки и план'!$A$5:$A$24,0)),""))</f>
        <v>1080</v>
      </c>
      <c r="Q116" s="15">
        <f t="shared" si="15"/>
        <v>2250</v>
      </c>
      <c r="R116" s="13" t="str">
        <f>IF(D116="TEX","аренда техники — сделка/счёт",IF(OR(Q116="",H116="",H116=0),"—",IF(Q116&lt;H116*(1-Параметры!$B$7),"почасовка",IF(Q116&gt;H116*(1+Параметры!$B$7),"сделка","любой способ"))))</f>
        <v>сделка</v>
      </c>
      <c r="S116">
        <v>0.5</v>
      </c>
      <c r="T116">
        <v>0.56521739130434789</v>
      </c>
    </row>
    <row r="117" spans="1:20" x14ac:dyDescent="0.25">
      <c r="A117" s="13" t="s">
        <v>286</v>
      </c>
      <c r="B117" s="13" t="s">
        <v>287</v>
      </c>
      <c r="C117" s="13" t="s">
        <v>144</v>
      </c>
      <c r="D117" s="13" t="s">
        <v>288</v>
      </c>
      <c r="E117" s="13" t="str">
        <f>IFERROR(INDEX('Почасовка — ставки и план'!$B$5:$B$24,MATCH(D117,'Почасовка — ставки и план'!$A$5:$A$24,0)),"Аренда техники / механизмы")</f>
        <v>Монтажник вентиляции</v>
      </c>
      <c r="F117" s="14">
        <v>22000</v>
      </c>
      <c r="G117" s="14">
        <v>25300</v>
      </c>
      <c r="H117" s="15">
        <v>13000</v>
      </c>
      <c r="I117" s="15">
        <f>IF(OR(H117="",F117=""),"",MAX(H117,MIN(ROUND(H117*(1+Параметры!$B$5),IF(H117*(1+Параметры!$B$5)&gt;=1000,-1,0)),ROUND(F117*Параметры!$B$6,IF(F117*Параметры!$B$6&gt;=1000,-1,0)))))</f>
        <v>14950</v>
      </c>
      <c r="J117" s="15">
        <v>14950</v>
      </c>
      <c r="K117" s="15">
        <f>IF(OR(J117="",G117=""),"",MAX(J117,MIN(ROUND(J117*(1+Параметры!$B$5),IF(J117*(1+Параметры!$B$5)&gt;=1000,-1,0)),ROUND(G117*Параметры!$B$6,IF(G117*Параметры!$B$6&gt;=1000,-1,0)))))</f>
        <v>17190</v>
      </c>
      <c r="L117" s="16">
        <v>16</v>
      </c>
      <c r="M117" s="17">
        <f t="shared" si="14"/>
        <v>6.25E-2</v>
      </c>
      <c r="N117" s="17">
        <f>IF(OR(L117="",L117=0),"",Параметры!$B$3/L117)</f>
        <v>0.5</v>
      </c>
      <c r="O117" s="15">
        <f>IF(L117="","",IFERROR(INDEX('Почасовка — ставки и план'!$D$5:$D$24,MATCH($D117,'Почасовка — ставки и план'!$A$5:$A$24,0)),""))</f>
        <v>850</v>
      </c>
      <c r="P117" s="15">
        <f>IF(L117="","",IFERROR(INDEX('Почасовка — ставки и план'!$E$5:$E$24,MATCH($D117,'Почасовка — ставки и план'!$A$5:$A$24,0)),""))</f>
        <v>1020</v>
      </c>
      <c r="Q117" s="15">
        <f t="shared" si="15"/>
        <v>13600</v>
      </c>
      <c r="R117" s="13" t="str">
        <f>IF(D117="TEX","аренда техники — сделка/счёт",IF(OR(Q117="",H117="",H117=0),"—",IF(Q117&lt;H117*(1-Параметры!$B$7),"почасовка",IF(Q117&gt;H117*(1+Параметры!$B$7),"сделка","любой способ"))))</f>
        <v>любой способ</v>
      </c>
      <c r="S117">
        <v>0</v>
      </c>
      <c r="T117">
        <v>0</v>
      </c>
    </row>
    <row r="118" spans="1:20" x14ac:dyDescent="0.25">
      <c r="A118" s="13" t="s">
        <v>289</v>
      </c>
      <c r="B118" s="13" t="s">
        <v>290</v>
      </c>
      <c r="C118" s="13" t="s">
        <v>144</v>
      </c>
      <c r="D118" s="13" t="s">
        <v>288</v>
      </c>
      <c r="E118" s="13" t="str">
        <f>IFERROR(INDEX('Почасовка — ставки и план'!$B$5:$B$24,MATCH(D118,'Почасовка — ставки и план'!$A$5:$A$24,0)),"Аренда техники / механизмы")</f>
        <v>Монтажник вентиляции</v>
      </c>
      <c r="F118" s="14">
        <v>6000</v>
      </c>
      <c r="G118" s="14">
        <v>6900</v>
      </c>
      <c r="H118" s="15">
        <v>3600</v>
      </c>
      <c r="I118" s="15">
        <f>IF(OR(H118="",F118=""),"",MAX(H118,MIN(ROUND(H118*(1+Параметры!$B$5),IF(H118*(1+Параметры!$B$5)&gt;=1000,-1,0)),ROUND(F118*Параметры!$B$6,IF(F118*Параметры!$B$6&gt;=1000,-1,0)))))</f>
        <v>4140</v>
      </c>
      <c r="J118" s="15">
        <v>4140</v>
      </c>
      <c r="K118" s="15">
        <f>IF(OR(J118="",G118=""),"",MAX(J118,MIN(ROUND(J118*(1+Параметры!$B$5),IF(J118*(1+Параметры!$B$5)&gt;=1000,-1,0)),ROUND(G118*Параметры!$B$6,IF(G118*Параметры!$B$6&gt;=1000,-1,0)))))</f>
        <v>4760</v>
      </c>
      <c r="L118" s="16">
        <v>5</v>
      </c>
      <c r="M118" s="17">
        <f t="shared" si="14"/>
        <v>0.2</v>
      </c>
      <c r="N118" s="17">
        <f>IF(OR(L118="",L118=0),"",Параметры!$B$3/L118)</f>
        <v>1.6</v>
      </c>
      <c r="O118" s="15">
        <f>IF(L118="","",IFERROR(INDEX('Почасовка — ставки и план'!$D$5:$D$24,MATCH($D118,'Почасовка — ставки и план'!$A$5:$A$24,0)),""))</f>
        <v>850</v>
      </c>
      <c r="P118" s="15">
        <f>IF(L118="","",IFERROR(INDEX('Почасовка — ставки и план'!$E$5:$E$24,MATCH($D118,'Почасовка — ставки и план'!$A$5:$A$24,0)),""))</f>
        <v>1020</v>
      </c>
      <c r="Q118" s="15">
        <f t="shared" si="15"/>
        <v>4250</v>
      </c>
      <c r="R118" s="13" t="str">
        <f>IF(D118="TEX","аренда техники — сделка/счёт",IF(OR(Q118="",H118="",H118=0),"—",IF(Q118&lt;H118*(1-Параметры!$B$7),"почасовка",IF(Q118&gt;H118*(1+Параметры!$B$7),"сделка","любой способ"))))</f>
        <v>сделка</v>
      </c>
      <c r="S118">
        <v>0</v>
      </c>
      <c r="T118">
        <v>0</v>
      </c>
    </row>
    <row r="119" spans="1:20" x14ac:dyDescent="0.25">
      <c r="A119" s="13" t="s">
        <v>291</v>
      </c>
      <c r="B119" s="13" t="s">
        <v>292</v>
      </c>
      <c r="C119" s="13" t="s">
        <v>144</v>
      </c>
      <c r="D119" s="13" t="s">
        <v>288</v>
      </c>
      <c r="E119" s="13" t="str">
        <f>IFERROR(INDEX('Почасовка — ставки и план'!$B$5:$B$24,MATCH(D119,'Почасовка — ставки и план'!$A$5:$A$24,0)),"Аренда техники / механизмы")</f>
        <v>Монтажник вентиляции</v>
      </c>
      <c r="F119" s="14">
        <v>11000</v>
      </c>
      <c r="G119" s="14">
        <v>12650</v>
      </c>
      <c r="H119" s="15">
        <v>6600</v>
      </c>
      <c r="I119" s="15">
        <f>IF(OR(H119="",F119=""),"",MAX(H119,MIN(ROUND(H119*(1+Параметры!$B$5),IF(H119*(1+Параметры!$B$5)&gt;=1000,-1,0)),ROUND(F119*Параметры!$B$6,IF(F119*Параметры!$B$6&gt;=1000,-1,0)))))</f>
        <v>7590</v>
      </c>
      <c r="J119" s="15">
        <v>7590</v>
      </c>
      <c r="K119" s="15">
        <f>IF(OR(J119="",G119=""),"",MAX(J119,MIN(ROUND(J119*(1+Параметры!$B$5),IF(J119*(1+Параметры!$B$5)&gt;=1000,-1,0)),ROUND(G119*Параметры!$B$6,IF(G119*Параметры!$B$6&gt;=1000,-1,0)))))</f>
        <v>8730</v>
      </c>
      <c r="L119" s="16">
        <v>9</v>
      </c>
      <c r="M119" s="17">
        <f t="shared" si="14"/>
        <v>0.1111111111111111</v>
      </c>
      <c r="N119" s="17">
        <f>IF(OR(L119="",L119=0),"",Параметры!$B$3/L119)</f>
        <v>0.88888888888888884</v>
      </c>
      <c r="O119" s="15">
        <f>IF(L119="","",IFERROR(INDEX('Почасовка — ставки и план'!$D$5:$D$24,MATCH($D119,'Почасовка — ставки и план'!$A$5:$A$24,0)),""))</f>
        <v>850</v>
      </c>
      <c r="P119" s="15">
        <f>IF(L119="","",IFERROR(INDEX('Почасовка — ставки и план'!$E$5:$E$24,MATCH($D119,'Почасовка — ставки и план'!$A$5:$A$24,0)),""))</f>
        <v>1020</v>
      </c>
      <c r="Q119" s="15">
        <f t="shared" si="15"/>
        <v>7650</v>
      </c>
      <c r="R119" s="13" t="str">
        <f>IF(D119="TEX","аренда техники — сделка/счёт",IF(OR(Q119="",H119="",H119=0),"—",IF(Q119&lt;H119*(1-Параметры!$B$7),"почасовка",IF(Q119&gt;H119*(1+Параметры!$B$7),"сделка","любой способ"))))</f>
        <v>сделка</v>
      </c>
      <c r="S119">
        <v>0</v>
      </c>
      <c r="T119">
        <v>0</v>
      </c>
    </row>
    <row r="120" spans="1:20" x14ac:dyDescent="0.25">
      <c r="A120" s="13" t="s">
        <v>293</v>
      </c>
      <c r="B120" s="13" t="s">
        <v>294</v>
      </c>
      <c r="C120" s="13" t="s">
        <v>144</v>
      </c>
      <c r="D120" s="13" t="s">
        <v>288</v>
      </c>
      <c r="E120" s="13" t="str">
        <f>IFERROR(INDEX('Почасовка — ставки и план'!$B$5:$B$24,MATCH(D120,'Почасовка — ставки и план'!$A$5:$A$24,0)),"Аренда техники / механизмы")</f>
        <v>Монтажник вентиляции</v>
      </c>
      <c r="F120" s="14">
        <v>32000</v>
      </c>
      <c r="G120" s="14">
        <v>36800</v>
      </c>
      <c r="H120" s="15">
        <v>19000</v>
      </c>
      <c r="I120" s="15">
        <f>IF(OR(H120="",F120=""),"",MAX(H120,MIN(ROUND(H120*(1+Параметры!$B$5),IF(H120*(1+Параметры!$B$5)&gt;=1000,-1,0)),ROUND(F120*Параметры!$B$6,IF(F120*Параметры!$B$6&gt;=1000,-1,0)))))</f>
        <v>21850</v>
      </c>
      <c r="J120" s="15">
        <v>21850</v>
      </c>
      <c r="K120" s="15">
        <f>IF(OR(J120="",G120=""),"",MAX(J120,MIN(ROUND(J120*(1+Параметры!$B$5),IF(J120*(1+Параметры!$B$5)&gt;=1000,-1,0)),ROUND(G120*Параметры!$B$6,IF(G120*Параметры!$B$6&gt;=1000,-1,0)))))</f>
        <v>25130</v>
      </c>
      <c r="L120" s="16">
        <v>24</v>
      </c>
      <c r="M120" s="17">
        <f t="shared" si="14"/>
        <v>4.1666666666666664E-2</v>
      </c>
      <c r="N120" s="17">
        <f>IF(OR(L120="",L120=0),"",Параметры!$B$3/L120)</f>
        <v>0.33333333333333331</v>
      </c>
      <c r="O120" s="15">
        <f>IF(L120="","",IFERROR(INDEX('Почасовка — ставки и план'!$D$5:$D$24,MATCH($D120,'Почасовка — ставки и план'!$A$5:$A$24,0)),""))</f>
        <v>850</v>
      </c>
      <c r="P120" s="15">
        <f>IF(L120="","",IFERROR(INDEX('Почасовка — ставки и план'!$E$5:$E$24,MATCH($D120,'Почасовка — ставки и план'!$A$5:$A$24,0)),""))</f>
        <v>1020</v>
      </c>
      <c r="Q120" s="15">
        <f t="shared" si="15"/>
        <v>20400</v>
      </c>
      <c r="R120" s="13" t="str">
        <f>IF(D120="TEX","аренда техники — сделка/счёт",IF(OR(Q120="",H120="",H120=0),"—",IF(Q120&lt;H120*(1-Параметры!$B$7),"почасовка",IF(Q120&gt;H120*(1+Параметры!$B$7),"сделка","любой способ"))))</f>
        <v>любой способ</v>
      </c>
      <c r="S120">
        <v>0</v>
      </c>
      <c r="T120">
        <v>0</v>
      </c>
    </row>
    <row r="121" spans="1:20" x14ac:dyDescent="0.25">
      <c r="A121" s="13" t="s">
        <v>295</v>
      </c>
      <c r="B121" s="13" t="s">
        <v>296</v>
      </c>
      <c r="C121" s="13" t="s">
        <v>144</v>
      </c>
      <c r="D121" s="13" t="s">
        <v>288</v>
      </c>
      <c r="E121" s="13" t="str">
        <f>IFERROR(INDEX('Почасовка — ставки и план'!$B$5:$B$24,MATCH(D121,'Почасовка — ставки и план'!$A$5:$A$24,0)),"Аренда техники / механизмы")</f>
        <v>Монтажник вентиляции</v>
      </c>
      <c r="F121" s="14">
        <v>227</v>
      </c>
      <c r="G121" s="14">
        <v>272</v>
      </c>
      <c r="H121" s="15">
        <v>120</v>
      </c>
      <c r="I121" s="15">
        <f>IF(OR(H121="",F121=""),"",MAX(H121,MIN(ROUND(H121*(1+Параметры!$B$5),IF(H121*(1+Параметры!$B$5)&gt;=1000,-1,0)),ROUND(F121*Параметры!$B$6,IF(F121*Параметры!$B$6&gt;=1000,-1,0)))))</f>
        <v>138</v>
      </c>
      <c r="J121" s="15">
        <v>138</v>
      </c>
      <c r="K121" s="15">
        <f>IF(OR(J121="",G121=""),"",MAX(J121,MIN(ROUND(J121*(1+Параметры!$B$5),IF(J121*(1+Параметры!$B$5)&gt;=1000,-1,0)),ROUND(G121*Параметры!$B$6,IF(G121*Параметры!$B$6&gt;=1000,-1,0)))))</f>
        <v>159</v>
      </c>
      <c r="L121" s="16">
        <v>0.2</v>
      </c>
      <c r="M121" s="17">
        <f t="shared" si="14"/>
        <v>5</v>
      </c>
      <c r="N121" s="17">
        <f>IF(OR(L121="",L121=0),"",Параметры!$B$3/L121)</f>
        <v>40</v>
      </c>
      <c r="O121" s="15">
        <f>IF(L121="","",IFERROR(INDEX('Почасовка — ставки и план'!$D$5:$D$24,MATCH($D121,'Почасовка — ставки и план'!$A$5:$A$24,0)),""))</f>
        <v>850</v>
      </c>
      <c r="P121" s="15">
        <f>IF(L121="","",IFERROR(INDEX('Почасовка — ставки и план'!$E$5:$E$24,MATCH($D121,'Почасовка — ставки и план'!$A$5:$A$24,0)),""))</f>
        <v>1020</v>
      </c>
      <c r="Q121" s="15">
        <f t="shared" si="15"/>
        <v>170</v>
      </c>
      <c r="R121" s="13" t="str">
        <f>IF(D121="TEX","аренда техники — сделка/счёт",IF(OR(Q121="",H121="",H121=0),"—",IF(Q121&lt;H121*(1-Параметры!$B$7),"почасовка",IF(Q121&gt;H121*(1+Параметры!$B$7),"сделка","любой способ"))))</f>
        <v>сделка</v>
      </c>
      <c r="S121">
        <v>0.13500000000000001</v>
      </c>
      <c r="T121">
        <v>0.182608695652174</v>
      </c>
    </row>
    <row r="122" spans="1:20" x14ac:dyDescent="0.25">
      <c r="A122" s="13" t="s">
        <v>297</v>
      </c>
      <c r="B122" s="13" t="s">
        <v>298</v>
      </c>
      <c r="C122" s="13" t="s">
        <v>144</v>
      </c>
      <c r="D122" s="13" t="s">
        <v>299</v>
      </c>
      <c r="E122" s="13" t="str">
        <f>IFERROR(INDEX('Почасовка — ставки и план'!$B$5:$B$24,MATCH(D122,'Почасовка — ставки и план'!$A$5:$A$24,0)),"Аренда техники / механизмы")</f>
        <v>Холодильщик / монтажник кондиционеров</v>
      </c>
      <c r="F122" s="14">
        <v>2880</v>
      </c>
      <c r="G122" s="14">
        <v>3456</v>
      </c>
      <c r="H122" s="15">
        <v>1700</v>
      </c>
      <c r="I122" s="15">
        <f>IF(OR(H122="",F122=""),"",MAX(H122,MIN(ROUND(H122*(1+Параметры!$B$5),IF(H122*(1+Параметры!$B$5)&gt;=1000,-1,0)),ROUND(F122*Параметры!$B$6,IF(F122*Параметры!$B$6&gt;=1000,-1,0)))))</f>
        <v>1960</v>
      </c>
      <c r="J122" s="15">
        <v>1955</v>
      </c>
      <c r="K122" s="15">
        <f>IF(OR(J122="",G122=""),"",MAX(J122,MIN(ROUND(J122*(1+Параметры!$B$5),IF(J122*(1+Параметры!$B$5)&gt;=1000,-1,0)),ROUND(G122*Параметры!$B$6,IF(G122*Параметры!$B$6&gt;=1000,-1,0)))))</f>
        <v>2250</v>
      </c>
      <c r="L122" s="16">
        <v>1.8</v>
      </c>
      <c r="M122" s="17">
        <f t="shared" si="14"/>
        <v>0.55555555555555558</v>
      </c>
      <c r="N122" s="17">
        <f>IF(OR(L122="",L122=0),"",Параметры!$B$3/L122)</f>
        <v>4.4444444444444446</v>
      </c>
      <c r="O122" s="15">
        <f>IF(L122="","",IFERROR(INDEX('Почасовка — ставки и план'!$D$5:$D$24,MATCH($D122,'Почасовка — ставки и план'!$A$5:$A$24,0)),""))</f>
        <v>1200</v>
      </c>
      <c r="P122" s="15">
        <f>IF(L122="","",IFERROR(INDEX('Почасовка — ставки и план'!$E$5:$E$24,MATCH($D122,'Почасовка — ставки и план'!$A$5:$A$24,0)),""))</f>
        <v>1440</v>
      </c>
      <c r="Q122" s="15">
        <f t="shared" si="15"/>
        <v>2160</v>
      </c>
      <c r="R122" s="13" t="str">
        <f>IF(D122="TEX","аренда техники — сделка/счёт",IF(OR(Q122="",H122="",H122=0),"—",IF(Q122&lt;H122*(1-Параметры!$B$7),"почасовка",IF(Q122&gt;H122*(1+Параметры!$B$7),"сделка","любой способ"))))</f>
        <v>сделка</v>
      </c>
      <c r="S122">
        <v>2.857142857142847E-2</v>
      </c>
      <c r="T122">
        <v>7.3291925465838403E-2</v>
      </c>
    </row>
    <row r="123" spans="1:20" x14ac:dyDescent="0.25">
      <c r="A123" s="13" t="s">
        <v>300</v>
      </c>
      <c r="B123" s="13" t="s">
        <v>301</v>
      </c>
      <c r="C123" s="13" t="s">
        <v>144</v>
      </c>
      <c r="D123" s="13" t="s">
        <v>299</v>
      </c>
      <c r="E123" s="13" t="str">
        <f>IFERROR(INDEX('Почасовка — ставки и план'!$B$5:$B$24,MATCH(D123,'Почасовка — ставки и план'!$A$5:$A$24,0)),"Аренда техники / механизмы")</f>
        <v>Холодильщик / монтажник кондиционеров</v>
      </c>
      <c r="F123" s="14">
        <v>2500</v>
      </c>
      <c r="G123" s="14">
        <v>2880</v>
      </c>
      <c r="H123" s="15">
        <v>1500</v>
      </c>
      <c r="I123" s="15">
        <f>IF(OR(H123="",F123=""),"",MAX(H123,MIN(ROUND(H123*(1+Параметры!$B$5),IF(H123*(1+Параметры!$B$5)&gt;=1000,-1,0)),ROUND(F123*Параметры!$B$6,IF(F123*Параметры!$B$6&gt;=1000,-1,0)))))</f>
        <v>1730</v>
      </c>
      <c r="J123" s="15">
        <v>1725</v>
      </c>
      <c r="K123" s="15">
        <f>IF(OR(J123="",G123=""),"",MAX(J123,MIN(ROUND(J123*(1+Параметры!$B$5),IF(J123*(1+Параметры!$B$5)&gt;=1000,-1,0)),ROUND(G123*Параметры!$B$6,IF(G123*Параметры!$B$6&gt;=1000,-1,0)))))</f>
        <v>1980</v>
      </c>
      <c r="L123" s="16">
        <v>1.5</v>
      </c>
      <c r="M123" s="17">
        <f t="shared" si="14"/>
        <v>0.66666666666666663</v>
      </c>
      <c r="N123" s="17">
        <f>IF(OR(L123="",L123=0),"",Параметры!$B$3/L123)</f>
        <v>5.333333333333333</v>
      </c>
      <c r="O123" s="15">
        <f>IF(L123="","",IFERROR(INDEX('Почасовка — ставки и план'!$D$5:$D$24,MATCH($D123,'Почасовка — ставки и план'!$A$5:$A$24,0)),""))</f>
        <v>1200</v>
      </c>
      <c r="P123" s="15">
        <f>IF(L123="","",IFERROR(INDEX('Почасовка — ставки и план'!$E$5:$E$24,MATCH($D123,'Почасовка — ставки и план'!$A$5:$A$24,0)),""))</f>
        <v>1440</v>
      </c>
      <c r="Q123" s="15">
        <f t="shared" si="15"/>
        <v>1800</v>
      </c>
      <c r="R123" s="13" t="str">
        <f>IF(D123="TEX","аренда техники — сделка/счёт",IF(OR(Q123="",H123="",H123=0),"—",IF(Q123&lt;H123*(1-Параметры!$B$7),"почасовка",IF(Q123&gt;H123*(1+Параметры!$B$7),"сделка","любой способ"))))</f>
        <v>сделка</v>
      </c>
      <c r="S123">
        <v>0</v>
      </c>
      <c r="T123">
        <v>1.739130434782687E-3</v>
      </c>
    </row>
    <row r="124" spans="1:20" x14ac:dyDescent="0.25">
      <c r="A124" s="13" t="s">
        <v>302</v>
      </c>
      <c r="B124" s="13" t="s">
        <v>303</v>
      </c>
      <c r="C124" s="13" t="s">
        <v>144</v>
      </c>
      <c r="D124" s="13" t="s">
        <v>299</v>
      </c>
      <c r="E124" s="13" t="str">
        <f>IFERROR(INDEX('Почасовка — ставки и план'!$B$5:$B$24,MATCH(D124,'Почасовка — ставки и план'!$A$5:$A$24,0)),"Аренда техники / механизмы")</f>
        <v>Холодильщик / монтажник кондиционеров</v>
      </c>
      <c r="F124" s="14">
        <v>3520</v>
      </c>
      <c r="G124" s="14">
        <v>4224</v>
      </c>
      <c r="H124" s="15">
        <v>2100</v>
      </c>
      <c r="I124" s="15">
        <f>IF(OR(H124="",F124=""),"",MAX(H124,MIN(ROUND(H124*(1+Параметры!$B$5),IF(H124*(1+Параметры!$B$5)&gt;=1000,-1,0)),ROUND(F124*Параметры!$B$6,IF(F124*Параметры!$B$6&gt;=1000,-1,0)))))</f>
        <v>2420</v>
      </c>
      <c r="J124" s="15">
        <v>2415</v>
      </c>
      <c r="K124" s="15">
        <f>IF(OR(J124="",G124=""),"",MAX(J124,MIN(ROUND(J124*(1+Параметры!$B$5),IF(J124*(1+Параметры!$B$5)&gt;=1000,-1,0)),ROUND(G124*Параметры!$B$6,IF(G124*Параметры!$B$6&gt;=1000,-1,0)))))</f>
        <v>2780</v>
      </c>
      <c r="L124" s="16">
        <v>2.2000000000000002</v>
      </c>
      <c r="M124" s="17">
        <f t="shared" si="14"/>
        <v>0.45454545454545453</v>
      </c>
      <c r="N124" s="17">
        <f>IF(OR(L124="",L124=0),"",Параметры!$B$3/L124)</f>
        <v>3.6363636363636362</v>
      </c>
      <c r="O124" s="15">
        <f>IF(L124="","",IFERROR(INDEX('Почасовка — ставки и план'!$D$5:$D$24,MATCH($D124,'Почасовка — ставки и план'!$A$5:$A$24,0)),""))</f>
        <v>1200</v>
      </c>
      <c r="P124" s="15">
        <f>IF(L124="","",IFERROR(INDEX('Почасовка — ставки и план'!$E$5:$E$24,MATCH($D124,'Почасовка — ставки и план'!$A$5:$A$24,0)),""))</f>
        <v>1440</v>
      </c>
      <c r="Q124" s="15">
        <f t="shared" si="15"/>
        <v>2640</v>
      </c>
      <c r="R124" s="13" t="str">
        <f>IF(D124="TEX","аренда техники — сделка/счёт",IF(OR(Q124="",H124="",H124=0),"—",IF(Q124&lt;H124*(1-Параметры!$B$7),"почасовка",IF(Q124&gt;H124*(1+Параметры!$B$7),"сделка","любой способ"))))</f>
        <v>сделка</v>
      </c>
      <c r="S124">
        <v>5.7142857142857828E-3</v>
      </c>
      <c r="T124">
        <v>4.9440993788819831E-2</v>
      </c>
    </row>
    <row r="125" spans="1:20" x14ac:dyDescent="0.25">
      <c r="A125" s="13" t="s">
        <v>304</v>
      </c>
      <c r="B125" s="13" t="s">
        <v>305</v>
      </c>
      <c r="C125" s="13" t="s">
        <v>144</v>
      </c>
      <c r="D125" s="13" t="s">
        <v>299</v>
      </c>
      <c r="E125" s="13" t="str">
        <f>IFERROR(INDEX('Почасовка — ставки и план'!$B$5:$B$24,MATCH(D125,'Почасовка — ставки и план'!$A$5:$A$24,0)),"Аренда техники / механизмы")</f>
        <v>Холодильщик / монтажник кондиционеров</v>
      </c>
      <c r="F125" s="14">
        <v>5000</v>
      </c>
      <c r="G125" s="14">
        <v>5760</v>
      </c>
      <c r="H125" s="15">
        <v>3000</v>
      </c>
      <c r="I125" s="15">
        <f>IF(OR(H125="",F125=""),"",MAX(H125,MIN(ROUND(H125*(1+Параметры!$B$5),IF(H125*(1+Параметры!$B$5)&gt;=1000,-1,0)),ROUND(F125*Параметры!$B$6,IF(F125*Параметры!$B$6&gt;=1000,-1,0)))))</f>
        <v>3450</v>
      </c>
      <c r="J125" s="15">
        <v>3450</v>
      </c>
      <c r="K125" s="15">
        <f>IF(OR(J125="",G125=""),"",MAX(J125,MIN(ROUND(J125*(1+Параметры!$B$5),IF(J125*(1+Параметры!$B$5)&gt;=1000,-1,0)),ROUND(G125*Параметры!$B$6,IF(G125*Параметры!$B$6&gt;=1000,-1,0)))))</f>
        <v>3970</v>
      </c>
      <c r="L125" s="16">
        <v>3</v>
      </c>
      <c r="M125" s="17">
        <f t="shared" si="14"/>
        <v>0.33333333333333331</v>
      </c>
      <c r="N125" s="17">
        <f>IF(OR(L125="",L125=0),"",Параметры!$B$3/L125)</f>
        <v>2.6666666666666665</v>
      </c>
      <c r="O125" s="15">
        <f>IF(L125="","",IFERROR(INDEX('Почасовка — ставки и план'!$D$5:$D$24,MATCH($D125,'Почасовка — ставки и план'!$A$5:$A$24,0)),""))</f>
        <v>1200</v>
      </c>
      <c r="P125" s="15">
        <f>IF(L125="","",IFERROR(INDEX('Почасовка — ставки и план'!$E$5:$E$24,MATCH($D125,'Почасовка — ставки и план'!$A$5:$A$24,0)),""))</f>
        <v>1440</v>
      </c>
      <c r="Q125" s="15">
        <f t="shared" si="15"/>
        <v>3600</v>
      </c>
      <c r="R125" s="13" t="str">
        <f>IF(D125="TEX","аренда техники — сделка/счёт",IF(OR(Q125="",H125="",H125=0),"—",IF(Q125&lt;H125*(1-Параметры!$B$7),"почасовка",IF(Q125&gt;H125*(1+Параметры!$B$7),"сделка","любой способ"))))</f>
        <v>сделка</v>
      </c>
      <c r="S125">
        <v>0</v>
      </c>
      <c r="T125">
        <v>1.739130434782687E-3</v>
      </c>
    </row>
    <row r="126" spans="1:20" x14ac:dyDescent="0.25">
      <c r="A126" s="13" t="s">
        <v>306</v>
      </c>
      <c r="B126" s="13" t="s">
        <v>307</v>
      </c>
      <c r="C126" s="13" t="s">
        <v>72</v>
      </c>
      <c r="D126" s="13" t="s">
        <v>288</v>
      </c>
      <c r="E126" s="13" t="str">
        <f>IFERROR(INDEX('Почасовка — ставки и план'!$B$5:$B$24,MATCH(D126,'Почасовка — ставки и план'!$A$5:$A$24,0)),"Аренда техники / механизмы")</f>
        <v>Монтажник вентиляции</v>
      </c>
      <c r="F126" s="14">
        <v>340</v>
      </c>
      <c r="G126" s="14">
        <v>408</v>
      </c>
      <c r="H126" s="15">
        <v>150</v>
      </c>
      <c r="I126" s="15">
        <f>IF(OR(H126="",F126=""),"",MAX(H126,MIN(ROUND(H126*(1+Параметры!$B$5),IF(H126*(1+Параметры!$B$5)&gt;=1000,-1,0)),ROUND(F126*Параметры!$B$6,IF(F126*Параметры!$B$6&gt;=1000,-1,0)))))</f>
        <v>173</v>
      </c>
      <c r="J126" s="15">
        <v>172</v>
      </c>
      <c r="K126" s="15">
        <f>IF(OR(J126="",G126=""),"",MAX(J126,MIN(ROUND(J126*(1+Параметры!$B$5),IF(J126*(1+Параметры!$B$5)&gt;=1000,-1,0)),ROUND(G126*Параметры!$B$6,IF(G126*Параметры!$B$6&gt;=1000,-1,0)))))</f>
        <v>198</v>
      </c>
      <c r="L126" s="16">
        <v>0.3</v>
      </c>
      <c r="M126" s="17">
        <f t="shared" si="14"/>
        <v>3.3333333333333335</v>
      </c>
      <c r="N126" s="17">
        <f>IF(OR(L126="",L126=0),"",Параметры!$B$3/L126)</f>
        <v>26.666666666666668</v>
      </c>
      <c r="O126" s="15">
        <f>IF(L126="","",IFERROR(INDEX('Почасовка — ставки и план'!$D$5:$D$24,MATCH($D126,'Почасовка — ставки и план'!$A$5:$A$24,0)),""))</f>
        <v>850</v>
      </c>
      <c r="P126" s="15">
        <f>IF(L126="","",IFERROR(INDEX('Почасовка — ставки и план'!$E$5:$E$24,MATCH($D126,'Почасовка — ставки и план'!$A$5:$A$24,0)),""))</f>
        <v>1020</v>
      </c>
      <c r="Q126" s="15">
        <f t="shared" si="15"/>
        <v>255</v>
      </c>
      <c r="R126" s="13" t="str">
        <f>IF(D126="TEX","аренда техники — сделка/счёт",IF(OR(Q126="",H126="",H126=0),"—",IF(Q126&lt;H126*(1-Параметры!$B$7),"почасовка",IF(Q126&gt;H126*(1+Параметры!$B$7),"сделка","любой способ"))))</f>
        <v>сделка</v>
      </c>
      <c r="S126">
        <v>0.3600000000000001</v>
      </c>
      <c r="T126">
        <v>0.41666666666666669</v>
      </c>
    </row>
    <row r="127" spans="1:20" x14ac:dyDescent="0.25">
      <c r="A127" s="13" t="s">
        <v>308</v>
      </c>
      <c r="B127" s="13" t="s">
        <v>309</v>
      </c>
      <c r="C127" s="13" t="s">
        <v>72</v>
      </c>
      <c r="D127" s="13" t="s">
        <v>288</v>
      </c>
      <c r="E127" s="13" t="str">
        <f>IFERROR(INDEX('Почасовка — ставки и план'!$B$5:$B$24,MATCH(D127,'Почасовка — ставки и план'!$A$5:$A$24,0)),"Аренда техники / механизмы")</f>
        <v>Монтажник вентиляции</v>
      </c>
      <c r="F127" s="14">
        <v>454</v>
      </c>
      <c r="G127" s="14">
        <v>544</v>
      </c>
      <c r="H127" s="15">
        <v>210</v>
      </c>
      <c r="I127" s="15">
        <f>IF(OR(H127="",F127=""),"",MAX(H127,MIN(ROUND(H127*(1+Параметры!$B$5),IF(H127*(1+Параметры!$B$5)&gt;=1000,-1,0)),ROUND(F127*Параметры!$B$6,IF(F127*Параметры!$B$6&gt;=1000,-1,0)))))</f>
        <v>242</v>
      </c>
      <c r="J127" s="15">
        <v>241</v>
      </c>
      <c r="K127" s="15">
        <f>IF(OR(J127="",G127=""),"",MAX(J127,MIN(ROUND(J127*(1+Параметры!$B$5),IF(J127*(1+Параметры!$B$5)&gt;=1000,-1,0)),ROUND(G127*Параметры!$B$6,IF(G127*Параметры!$B$6&gt;=1000,-1,0)))))</f>
        <v>277</v>
      </c>
      <c r="L127" s="16">
        <v>0.4</v>
      </c>
      <c r="M127" s="17">
        <f t="shared" si="14"/>
        <v>2.5</v>
      </c>
      <c r="N127" s="17">
        <f>IF(OR(L127="",L127=0),"",Параметры!$B$3/L127)</f>
        <v>20</v>
      </c>
      <c r="O127" s="15">
        <f>IF(L127="","",IFERROR(INDEX('Почасовка — ставки и план'!$D$5:$D$24,MATCH($D127,'Почасовка — ставки и план'!$A$5:$A$24,0)),""))</f>
        <v>850</v>
      </c>
      <c r="P127" s="15">
        <f>IF(L127="","",IFERROR(INDEX('Почасовка — ставки и план'!$E$5:$E$24,MATCH($D127,'Почасовка — ставки и план'!$A$5:$A$24,0)),""))</f>
        <v>1020</v>
      </c>
      <c r="Q127" s="15">
        <f t="shared" si="15"/>
        <v>340</v>
      </c>
      <c r="R127" s="13" t="str">
        <f>IF(D127="TEX","аренда техники — сделка/счёт",IF(OR(Q127="",H127="",H127=0),"—",IF(Q127&lt;H127*(1-Параметры!$B$7),"почасовка",IF(Q127&gt;H127*(1+Параметры!$B$7),"сделка","любой способ"))))</f>
        <v>сделка</v>
      </c>
      <c r="S127">
        <v>0.29714285714285721</v>
      </c>
      <c r="T127">
        <v>0.3532338308457712</v>
      </c>
    </row>
    <row r="128" spans="1:20" x14ac:dyDescent="0.25">
      <c r="A128" s="13" t="s">
        <v>310</v>
      </c>
      <c r="B128" s="13" t="s">
        <v>311</v>
      </c>
      <c r="C128" s="13" t="s">
        <v>144</v>
      </c>
      <c r="D128" s="13" t="s">
        <v>288</v>
      </c>
      <c r="E128" s="13" t="str">
        <f>IFERROR(INDEX('Почасовка — ставки и план'!$B$5:$B$24,MATCH(D128,'Почасовка — ставки и план'!$A$5:$A$24,0)),"Аренда техники / механизмы")</f>
        <v>Монтажник вентиляции</v>
      </c>
      <c r="F128" s="14">
        <v>3500</v>
      </c>
      <c r="G128" s="14">
        <v>4080</v>
      </c>
      <c r="H128" s="15">
        <v>2100</v>
      </c>
      <c r="I128" s="15">
        <f>IF(OR(H128="",F128=""),"",MAX(H128,MIN(ROUND(H128*(1+Параметры!$B$5),IF(H128*(1+Параметры!$B$5)&gt;=1000,-1,0)),ROUND(F128*Параметры!$B$6,IF(F128*Параметры!$B$6&gt;=1000,-1,0)))))</f>
        <v>2420</v>
      </c>
      <c r="J128" s="15">
        <v>2415</v>
      </c>
      <c r="K128" s="15">
        <f>IF(OR(J128="",G128=""),"",MAX(J128,MIN(ROUND(J128*(1+Параметры!$B$5),IF(J128*(1+Параметры!$B$5)&gt;=1000,-1,0)),ROUND(G128*Параметры!$B$6,IF(G128*Параметры!$B$6&gt;=1000,-1,0)))))</f>
        <v>2780</v>
      </c>
      <c r="L128" s="16">
        <v>3</v>
      </c>
      <c r="M128" s="17">
        <f t="shared" si="14"/>
        <v>0.33333333333333331</v>
      </c>
      <c r="N128" s="17">
        <f>IF(OR(L128="",L128=0),"",Параметры!$B$3/L128)</f>
        <v>2.6666666666666665</v>
      </c>
      <c r="O128" s="15">
        <f>IF(L128="","",IFERROR(INDEX('Почасовка — ставки и план'!$D$5:$D$24,MATCH($D128,'Почасовка — ставки и план'!$A$5:$A$24,0)),""))</f>
        <v>850</v>
      </c>
      <c r="P128" s="15">
        <f>IF(L128="","",IFERROR(INDEX('Почасовка — ставки и план'!$E$5:$E$24,MATCH($D128,'Почасовка — ставки и план'!$A$5:$A$24,0)),""))</f>
        <v>1020</v>
      </c>
      <c r="Q128" s="15">
        <f t="shared" si="15"/>
        <v>2550</v>
      </c>
      <c r="R128" s="13" t="str">
        <f>IF(D128="TEX","аренда техники — сделка/счёт",IF(OR(Q128="",H128="",H128=0),"—",IF(Q128&lt;H128*(1-Параметры!$B$7),"почасовка",IF(Q128&gt;H128*(1+Параметры!$B$7),"сделка","любой способ"))))</f>
        <v>сделка</v>
      </c>
      <c r="S128">
        <v>0</v>
      </c>
      <c r="T128">
        <v>1.366459627329197E-2</v>
      </c>
    </row>
    <row r="129" spans="1:20" x14ac:dyDescent="0.25">
      <c r="A129" s="13" t="s">
        <v>312</v>
      </c>
      <c r="B129" s="13" t="s">
        <v>313</v>
      </c>
      <c r="C129" s="13" t="s">
        <v>144</v>
      </c>
      <c r="D129" s="13" t="s">
        <v>299</v>
      </c>
      <c r="E129" s="13" t="str">
        <f>IFERROR(INDEX('Почасовка — ставки и план'!$B$5:$B$24,MATCH(D129,'Почасовка — ставки и план'!$A$5:$A$24,0)),"Аренда техники / механизмы")</f>
        <v>Холодильщик / монтажник кондиционеров</v>
      </c>
      <c r="F129" s="14">
        <v>800</v>
      </c>
      <c r="G129" s="14">
        <v>960</v>
      </c>
      <c r="H129" s="15">
        <v>360</v>
      </c>
      <c r="I129" s="15">
        <f>IF(OR(H129="",F129=""),"",MAX(H129,MIN(ROUND(H129*(1+Параметры!$B$5),IF(H129*(1+Параметры!$B$5)&gt;=1000,-1,0)),ROUND(F129*Параметры!$B$6,IF(F129*Параметры!$B$6&gt;=1000,-1,0)))))</f>
        <v>414</v>
      </c>
      <c r="J129" s="15">
        <v>414</v>
      </c>
      <c r="K129" s="15">
        <f>IF(OR(J129="",G129=""),"",MAX(J129,MIN(ROUND(J129*(1+Параметры!$B$5),IF(J129*(1+Параметры!$B$5)&gt;=1000,-1,0)),ROUND(G129*Параметры!$B$6,IF(G129*Параметры!$B$6&gt;=1000,-1,0)))))</f>
        <v>476</v>
      </c>
      <c r="L129" s="16">
        <v>0.5</v>
      </c>
      <c r="M129" s="17">
        <f t="shared" si="14"/>
        <v>2</v>
      </c>
      <c r="N129" s="17">
        <f>IF(OR(L129="",L129=0),"",Параметры!$B$3/L129)</f>
        <v>16</v>
      </c>
      <c r="O129" s="15">
        <f>IF(L129="","",IFERROR(INDEX('Почасовка — ставки и план'!$D$5:$D$24,MATCH($D129,'Почасовка — ставки и план'!$A$5:$A$24,0)),""))</f>
        <v>1200</v>
      </c>
      <c r="P129" s="15">
        <f>IF(L129="","",IFERROR(INDEX('Почасовка — ставки и план'!$E$5:$E$24,MATCH($D129,'Почасовка — ставки и план'!$A$5:$A$24,0)),""))</f>
        <v>1440</v>
      </c>
      <c r="Q129" s="15">
        <f t="shared" si="15"/>
        <v>600</v>
      </c>
      <c r="R129" s="13" t="str">
        <f>IF(D129="TEX","аренда техники — сделка/счёт",IF(OR(Q129="",H129="",H129=0),"—",IF(Q129&lt;H129*(1-Параметры!$B$7),"почасовка",IF(Q129&gt;H129*(1+Параметры!$B$7),"сделка","любой способ"))))</f>
        <v>сделка</v>
      </c>
      <c r="S129">
        <v>0.33333333333333331</v>
      </c>
      <c r="T129">
        <v>0.39130434782608692</v>
      </c>
    </row>
    <row r="130" spans="1:20" x14ac:dyDescent="0.25">
      <c r="A130" s="13" t="s">
        <v>314</v>
      </c>
      <c r="B130" s="13" t="s">
        <v>315</v>
      </c>
      <c r="C130" s="13" t="s">
        <v>144</v>
      </c>
      <c r="D130" s="13" t="s">
        <v>299</v>
      </c>
      <c r="E130" s="13" t="str">
        <f>IFERROR(INDEX('Почасовка — ставки и план'!$B$5:$B$24,MATCH(D130,'Почасовка — ставки и план'!$A$5:$A$24,0)),"Аренда техники / механизмы")</f>
        <v>Холодильщик / монтажник кондиционеров</v>
      </c>
      <c r="F130" s="14">
        <v>3500</v>
      </c>
      <c r="G130" s="14">
        <v>4025</v>
      </c>
      <c r="H130" s="15">
        <v>2100</v>
      </c>
      <c r="I130" s="15">
        <f>IF(OR(H130="",F130=""),"",MAX(H130,MIN(ROUND(H130*(1+Параметры!$B$5),IF(H130*(1+Параметры!$B$5)&gt;=1000,-1,0)),ROUND(F130*Параметры!$B$6,IF(F130*Параметры!$B$6&gt;=1000,-1,0)))))</f>
        <v>2420</v>
      </c>
      <c r="J130" s="15">
        <v>2415</v>
      </c>
      <c r="K130" s="15">
        <f>IF(OR(J130="",G130=""),"",MAX(J130,MIN(ROUND(J130*(1+Параметры!$B$5),IF(J130*(1+Параметры!$B$5)&gt;=1000,-1,0)),ROUND(G130*Параметры!$B$6,IF(G130*Параметры!$B$6&gt;=1000,-1,0)))))</f>
        <v>2780</v>
      </c>
      <c r="L130" s="16">
        <v>2</v>
      </c>
      <c r="M130" s="17">
        <f t="shared" si="14"/>
        <v>0.5</v>
      </c>
      <c r="N130" s="17">
        <f>IF(OR(L130="",L130=0),"",Параметры!$B$3/L130)</f>
        <v>4</v>
      </c>
      <c r="O130" s="15">
        <f>IF(L130="","",IFERROR(INDEX('Почасовка — ставки и план'!$D$5:$D$24,MATCH($D130,'Почасовка — ставки и план'!$A$5:$A$24,0)),""))</f>
        <v>1200</v>
      </c>
      <c r="P130" s="15">
        <f>IF(L130="","",IFERROR(INDEX('Почасовка — ставки и план'!$E$5:$E$24,MATCH($D130,'Почасовка — ставки и план'!$A$5:$A$24,0)),""))</f>
        <v>1440</v>
      </c>
      <c r="Q130" s="15">
        <f t="shared" si="15"/>
        <v>2400</v>
      </c>
      <c r="R130" s="13" t="str">
        <f>IF(D130="TEX","аренда техники — сделка/счёт",IF(OR(Q130="",H130="",H130=0),"—",IF(Q130&lt;H130*(1-Параметры!$B$7),"почасовка",IF(Q130&gt;H130*(1+Параметры!$B$7),"сделка","любой способ"))))</f>
        <v>сделка</v>
      </c>
      <c r="S130">
        <v>0</v>
      </c>
      <c r="T130">
        <v>0</v>
      </c>
    </row>
    <row r="131" spans="1:20" x14ac:dyDescent="0.25">
      <c r="A131" s="13" t="s">
        <v>316</v>
      </c>
      <c r="B131" s="13" t="s">
        <v>317</v>
      </c>
      <c r="C131" s="13" t="s">
        <v>144</v>
      </c>
      <c r="D131" s="13" t="s">
        <v>299</v>
      </c>
      <c r="E131" s="13" t="str">
        <f>IFERROR(INDEX('Почасовка — ставки и план'!$B$5:$B$24,MATCH(D131,'Почасовка — ставки и план'!$A$5:$A$24,0)),"Аренда техники / механизмы")</f>
        <v>Холодильщик / монтажник кондиционеров</v>
      </c>
      <c r="F131" s="14">
        <v>2500</v>
      </c>
      <c r="G131" s="14">
        <v>2880</v>
      </c>
      <c r="H131" s="15">
        <v>1500</v>
      </c>
      <c r="I131" s="15">
        <f>IF(OR(H131="",F131=""),"",MAX(H131,MIN(ROUND(H131*(1+Параметры!$B$5),IF(H131*(1+Параметры!$B$5)&gt;=1000,-1,0)),ROUND(F131*Параметры!$B$6,IF(F131*Параметры!$B$6&gt;=1000,-1,0)))))</f>
        <v>1730</v>
      </c>
      <c r="J131" s="15">
        <v>1725</v>
      </c>
      <c r="K131" s="15">
        <f>IF(OR(J131="",G131=""),"",MAX(J131,MIN(ROUND(J131*(1+Параметры!$B$5),IF(J131*(1+Параметры!$B$5)&gt;=1000,-1,0)),ROUND(G131*Параметры!$B$6,IF(G131*Параметры!$B$6&gt;=1000,-1,0)))))</f>
        <v>1980</v>
      </c>
      <c r="L131" s="16">
        <v>1.5</v>
      </c>
      <c r="M131" s="17">
        <f t="shared" si="14"/>
        <v>0.66666666666666663</v>
      </c>
      <c r="N131" s="17">
        <f>IF(OR(L131="",L131=0),"",Параметры!$B$3/L131)</f>
        <v>5.333333333333333</v>
      </c>
      <c r="O131" s="15">
        <f>IF(L131="","",IFERROR(INDEX('Почасовка — ставки и план'!$D$5:$D$24,MATCH($D131,'Почасовка — ставки и план'!$A$5:$A$24,0)),""))</f>
        <v>1200</v>
      </c>
      <c r="P131" s="15">
        <f>IF(L131="","",IFERROR(INDEX('Почасовка — ставки и план'!$E$5:$E$24,MATCH($D131,'Почасовка — ставки и план'!$A$5:$A$24,0)),""))</f>
        <v>1440</v>
      </c>
      <c r="Q131" s="15">
        <f t="shared" si="15"/>
        <v>1800</v>
      </c>
      <c r="R131" s="13" t="str">
        <f>IF(D131="TEX","аренда техники — сделка/счёт",IF(OR(Q131="",H131="",H131=0),"—",IF(Q131&lt;H131*(1-Параметры!$B$7),"почасовка",IF(Q131&gt;H131*(1+Параметры!$B$7),"сделка","любой способ"))))</f>
        <v>сделка</v>
      </c>
      <c r="S131">
        <v>0</v>
      </c>
      <c r="T131">
        <v>1.739130434782687E-3</v>
      </c>
    </row>
    <row r="132" spans="1:20" x14ac:dyDescent="0.25">
      <c r="A132" s="13" t="s">
        <v>318</v>
      </c>
      <c r="B132" s="13" t="s">
        <v>319</v>
      </c>
      <c r="C132" s="13" t="s">
        <v>144</v>
      </c>
      <c r="D132" s="13" t="s">
        <v>299</v>
      </c>
      <c r="E132" s="13" t="str">
        <f>IFERROR(INDEX('Почасовка — ставки и план'!$B$5:$B$24,MATCH(D132,'Почасовка — ставки и план'!$A$5:$A$24,0)),"Аренда техники / механизмы")</f>
        <v>Холодильщик / монтажник кондиционеров</v>
      </c>
      <c r="F132" s="14">
        <v>4000</v>
      </c>
      <c r="G132" s="14">
        <v>4800</v>
      </c>
      <c r="H132" s="15">
        <v>2300</v>
      </c>
      <c r="I132" s="15">
        <f>IF(OR(H132="",F132=""),"",MAX(H132,MIN(ROUND(H132*(1+Параметры!$B$5),IF(H132*(1+Параметры!$B$5)&gt;=1000,-1,0)),ROUND(F132*Параметры!$B$6,IF(F132*Параметры!$B$6&gt;=1000,-1,0)))))</f>
        <v>2650</v>
      </c>
      <c r="J132" s="15">
        <v>2645</v>
      </c>
      <c r="K132" s="15">
        <f>IF(OR(J132="",G132=""),"",MAX(J132,MIN(ROUND(J132*(1+Параметры!$B$5),IF(J132*(1+Параметры!$B$5)&gt;=1000,-1,0)),ROUND(G132*Параметры!$B$6,IF(G132*Параметры!$B$6&gt;=1000,-1,0)))))</f>
        <v>3040</v>
      </c>
      <c r="L132" s="16">
        <v>2.5</v>
      </c>
      <c r="M132" s="17">
        <f t="shared" si="14"/>
        <v>0.4</v>
      </c>
      <c r="N132" s="17">
        <f>IF(OR(L132="",L132=0),"",Параметры!$B$3/L132)</f>
        <v>3.2</v>
      </c>
      <c r="O132" s="15">
        <f>IF(L132="","",IFERROR(INDEX('Почасовка — ставки и план'!$D$5:$D$24,MATCH($D132,'Почасовка — ставки и план'!$A$5:$A$24,0)),""))</f>
        <v>1200</v>
      </c>
      <c r="P132" s="15">
        <f>IF(L132="","",IFERROR(INDEX('Почасовка — ставки и план'!$E$5:$E$24,MATCH($D132,'Почасовка — ставки и план'!$A$5:$A$24,0)),""))</f>
        <v>1440</v>
      </c>
      <c r="Q132" s="15">
        <f t="shared" si="15"/>
        <v>3000</v>
      </c>
      <c r="R132" s="13" t="str">
        <f>IF(D132="TEX","аренда техники — сделка/счёт",IF(OR(Q132="",H132="",H132=0),"—",IF(Q132&lt;H132*(1-Параметры!$B$7),"почасовка",IF(Q132&gt;H132*(1+Параметры!$B$7),"сделка","любой способ"))))</f>
        <v>сделка</v>
      </c>
      <c r="S132">
        <v>5.2631578947368363E-2</v>
      </c>
      <c r="T132">
        <v>9.8398169336384456E-2</v>
      </c>
    </row>
    <row r="133" spans="1:20" x14ac:dyDescent="0.25">
      <c r="A133" s="13" t="s">
        <v>320</v>
      </c>
      <c r="B133" s="13" t="s">
        <v>321</v>
      </c>
      <c r="C133" s="13" t="s">
        <v>144</v>
      </c>
      <c r="D133" s="13" t="s">
        <v>299</v>
      </c>
      <c r="E133" s="13" t="str">
        <f>IFERROR(INDEX('Почасовка — ставки и план'!$B$5:$B$24,MATCH(D133,'Почасовка — ставки и план'!$A$5:$A$24,0)),"Аренда техники / механизмы")</f>
        <v>Холодильщик / монтажник кондиционеров</v>
      </c>
      <c r="F133" s="14">
        <v>6400</v>
      </c>
      <c r="G133" s="14">
        <v>7680</v>
      </c>
      <c r="H133" s="15">
        <v>3600</v>
      </c>
      <c r="I133" s="15">
        <f>IF(OR(H133="",F133=""),"",MAX(H133,MIN(ROUND(H133*(1+Параметры!$B$5),IF(H133*(1+Параметры!$B$5)&gt;=1000,-1,0)),ROUND(F133*Параметры!$B$6,IF(F133*Параметры!$B$6&gt;=1000,-1,0)))))</f>
        <v>4140</v>
      </c>
      <c r="J133" s="15">
        <v>4140</v>
      </c>
      <c r="K133" s="15">
        <f>IF(OR(J133="",G133=""),"",MAX(J133,MIN(ROUND(J133*(1+Параметры!$B$5),IF(J133*(1+Параметры!$B$5)&gt;=1000,-1,0)),ROUND(G133*Параметры!$B$6,IF(G133*Параметры!$B$6&gt;=1000,-1,0)))))</f>
        <v>4760</v>
      </c>
      <c r="L133" s="16">
        <v>4</v>
      </c>
      <c r="M133" s="17">
        <f t="shared" si="14"/>
        <v>0.25</v>
      </c>
      <c r="N133" s="17">
        <f>IF(OR(L133="",L133=0),"",Параметры!$B$3/L133)</f>
        <v>2</v>
      </c>
      <c r="O133" s="15">
        <f>IF(L133="","",IFERROR(INDEX('Почасовка — ставки и план'!$D$5:$D$24,MATCH($D133,'Почасовка — ставки и план'!$A$5:$A$24,0)),""))</f>
        <v>1200</v>
      </c>
      <c r="P133" s="15">
        <f>IF(L133="","",IFERROR(INDEX('Почасовка — ставки и план'!$E$5:$E$24,MATCH($D133,'Почасовка — ставки и план'!$A$5:$A$24,0)),""))</f>
        <v>1440</v>
      </c>
      <c r="Q133" s="15">
        <f t="shared" si="15"/>
        <v>4800</v>
      </c>
      <c r="R133" s="13" t="str">
        <f>IF(D133="TEX","аренда техники — сделка/счёт",IF(OR(Q133="",H133="",H133=0),"—",IF(Q133&lt;H133*(1-Параметры!$B$7),"почасовка",IF(Q133&gt;H133*(1+Параметры!$B$7),"сделка","любой способ"))))</f>
        <v>сделка</v>
      </c>
      <c r="S133">
        <v>6.6666666666666652E-2</v>
      </c>
      <c r="T133">
        <v>0.11304347826086961</v>
      </c>
    </row>
    <row r="134" spans="1:20" x14ac:dyDescent="0.25">
      <c r="A134" s="13" t="s">
        <v>322</v>
      </c>
      <c r="B134" s="13" t="s">
        <v>323</v>
      </c>
      <c r="C134" s="13" t="s">
        <v>144</v>
      </c>
      <c r="D134" s="13" t="s">
        <v>299</v>
      </c>
      <c r="E134" s="13" t="str">
        <f>IFERROR(INDEX('Почасовка — ставки и план'!$B$5:$B$24,MATCH(D134,'Почасовка — ставки и план'!$A$5:$A$24,0)),"Аренда техники / механизмы")</f>
        <v>Холодильщик / монтажник кондиционеров</v>
      </c>
      <c r="F134" s="14">
        <v>640</v>
      </c>
      <c r="G134" s="14">
        <v>768</v>
      </c>
      <c r="H134" s="15">
        <v>300</v>
      </c>
      <c r="I134" s="15">
        <f>IF(OR(H134="",F134=""),"",MAX(H134,MIN(ROUND(H134*(1+Параметры!$B$5),IF(H134*(1+Параметры!$B$5)&gt;=1000,-1,0)),ROUND(F134*Параметры!$B$6,IF(F134*Параметры!$B$6&gt;=1000,-1,0)))))</f>
        <v>345</v>
      </c>
      <c r="J134" s="15">
        <v>345</v>
      </c>
      <c r="K134" s="15">
        <f>IF(OR(J134="",G134=""),"",MAX(J134,MIN(ROUND(J134*(1+Параметры!$B$5),IF(J134*(1+Параметры!$B$5)&gt;=1000,-1,0)),ROUND(G134*Параметры!$B$6,IF(G134*Параметры!$B$6&gt;=1000,-1,0)))))</f>
        <v>397</v>
      </c>
      <c r="L134" s="16">
        <v>0.4</v>
      </c>
      <c r="M134" s="17">
        <f t="shared" si="14"/>
        <v>2.5</v>
      </c>
      <c r="N134" s="17">
        <f>IF(OR(L134="",L134=0),"",Параметры!$B$3/L134)</f>
        <v>20</v>
      </c>
      <c r="O134" s="15">
        <f>IF(L134="","",IFERROR(INDEX('Почасовка — ставки и план'!$D$5:$D$24,MATCH($D134,'Почасовка — ставки и план'!$A$5:$A$24,0)),""))</f>
        <v>1200</v>
      </c>
      <c r="P134" s="15">
        <f>IF(L134="","",IFERROR(INDEX('Почасовка — ставки и план'!$E$5:$E$24,MATCH($D134,'Почасовка — ставки и план'!$A$5:$A$24,0)),""))</f>
        <v>1440</v>
      </c>
      <c r="Q134" s="15">
        <f t="shared" si="15"/>
        <v>480</v>
      </c>
      <c r="R134" s="13" t="str">
        <f>IF(D134="TEX","аренда техники — сделка/счёт",IF(OR(Q134="",H134="",H134=0),"—",IF(Q134&lt;H134*(1-Параметры!$B$7),"почасовка",IF(Q134&gt;H134*(1+Параметры!$B$7),"сделка","любой способ"))))</f>
        <v>сделка</v>
      </c>
      <c r="S134">
        <v>0.28000000000000003</v>
      </c>
      <c r="T134">
        <v>0.33565217391304358</v>
      </c>
    </row>
    <row r="135" spans="1:20" x14ac:dyDescent="0.25">
      <c r="A135" s="13" t="s">
        <v>324</v>
      </c>
      <c r="B135" s="13" t="s">
        <v>325</v>
      </c>
      <c r="C135" s="13" t="s">
        <v>144</v>
      </c>
      <c r="D135" s="13" t="s">
        <v>326</v>
      </c>
      <c r="E135" s="13" t="str">
        <f>IFERROR(INDEX('Почасовка — ставки и план'!$B$5:$B$24,MATCH(D135,'Почасовка — ставки и план'!$A$5:$A$24,0)),"Аренда техники / механизмы")</f>
        <v>Сантехник</v>
      </c>
      <c r="F135" s="14">
        <v>2834</v>
      </c>
      <c r="G135" s="14">
        <v>3400</v>
      </c>
      <c r="H135" s="15">
        <v>1500</v>
      </c>
      <c r="I135" s="15">
        <f>IF(OR(H135="",F135=""),"",MAX(H135,MIN(ROUND(H135*(1+Параметры!$B$5),IF(H135*(1+Параметры!$B$5)&gt;=1000,-1,0)),ROUND(F135*Параметры!$B$6,IF(F135*Параметры!$B$6&gt;=1000,-1,0)))))</f>
        <v>1730</v>
      </c>
      <c r="J135" s="15">
        <v>1725</v>
      </c>
      <c r="K135" s="15">
        <f>IF(OR(J135="",G135=""),"",MAX(J135,MIN(ROUND(J135*(1+Параметры!$B$5),IF(J135*(1+Параметры!$B$5)&gt;=1000,-1,0)),ROUND(G135*Параметры!$B$6,IF(G135*Параметры!$B$6&gt;=1000,-1,0)))))</f>
        <v>1980</v>
      </c>
      <c r="L135" s="16">
        <v>2.5</v>
      </c>
      <c r="M135" s="17">
        <f t="shared" si="14"/>
        <v>0.4</v>
      </c>
      <c r="N135" s="17">
        <f>IF(OR(L135="",L135=0),"",Параметры!$B$3/L135)</f>
        <v>3.2</v>
      </c>
      <c r="O135" s="15">
        <f>IF(L135="","",IFERROR(INDEX('Почасовка — ставки и план'!$D$5:$D$24,MATCH($D135,'Почасовка — ставки и план'!$A$5:$A$24,0)),""))</f>
        <v>850</v>
      </c>
      <c r="P135" s="15">
        <f>IF(L135="","",IFERROR(INDEX('Почасовка — ставки и план'!$E$5:$E$24,MATCH($D135,'Почасовка — ставки и план'!$A$5:$A$24,0)),""))</f>
        <v>1020</v>
      </c>
      <c r="Q135" s="15">
        <f t="shared" si="15"/>
        <v>2125</v>
      </c>
      <c r="R135" s="13" t="str">
        <f>IF(D135="TEX","аренда техники — сделка/счёт",IF(OR(Q135="",H135="",H135=0),"—",IF(Q135&lt;H135*(1-Параметры!$B$7),"почасовка",IF(Q135&gt;H135*(1+Параметры!$B$7),"сделка","любой способ"))))</f>
        <v>сделка</v>
      </c>
      <c r="S135">
        <v>0.13359999999999991</v>
      </c>
      <c r="T135">
        <v>0.182608695652174</v>
      </c>
    </row>
    <row r="136" spans="1:20" x14ac:dyDescent="0.25">
      <c r="A136" s="13" t="s">
        <v>327</v>
      </c>
      <c r="B136" s="13" t="s">
        <v>328</v>
      </c>
      <c r="C136" s="13" t="s">
        <v>144</v>
      </c>
      <c r="D136" s="13" t="s">
        <v>299</v>
      </c>
      <c r="E136" s="13" t="str">
        <f>IFERROR(INDEX('Почасовка — ставки и план'!$B$5:$B$24,MATCH(D136,'Почасовка — ставки и план'!$A$5:$A$24,0)),"Аренда техники / механизмы")</f>
        <v>Холодильщик / монтажник кондиционеров</v>
      </c>
      <c r="F136" s="14">
        <v>8000</v>
      </c>
      <c r="G136" s="14">
        <v>9600</v>
      </c>
      <c r="H136" s="15">
        <v>4700</v>
      </c>
      <c r="I136" s="15">
        <f>IF(OR(H136="",F136=""),"",MAX(H136,MIN(ROUND(H136*(1+Параметры!$B$5),IF(H136*(1+Параметры!$B$5)&gt;=1000,-1,0)),ROUND(F136*Параметры!$B$6,IF(F136*Параметры!$B$6&gt;=1000,-1,0)))))</f>
        <v>5410</v>
      </c>
      <c r="J136" s="15">
        <v>5405</v>
      </c>
      <c r="K136" s="15">
        <f>IF(OR(J136="",G136=""),"",MAX(J136,MIN(ROUND(J136*(1+Параметры!$B$5),IF(J136*(1+Параметры!$B$5)&gt;=1000,-1,0)),ROUND(G136*Параметры!$B$6,IF(G136*Параметры!$B$6&gt;=1000,-1,0)))))</f>
        <v>6220</v>
      </c>
      <c r="L136" s="16">
        <v>5</v>
      </c>
      <c r="M136" s="17">
        <f t="shared" si="14"/>
        <v>0.2</v>
      </c>
      <c r="N136" s="17">
        <f>IF(OR(L136="",L136=0),"",Параметры!$B$3/L136)</f>
        <v>1.6</v>
      </c>
      <c r="O136" s="15">
        <f>IF(L136="","",IFERROR(INDEX('Почасовка — ставки и план'!$D$5:$D$24,MATCH($D136,'Почасовка — ставки и план'!$A$5:$A$24,0)),""))</f>
        <v>1200</v>
      </c>
      <c r="P136" s="15">
        <f>IF(L136="","",IFERROR(INDEX('Почасовка — ставки и план'!$E$5:$E$24,MATCH($D136,'Почасовка — ставки и план'!$A$5:$A$24,0)),""))</f>
        <v>1440</v>
      </c>
      <c r="Q136" s="15">
        <f t="shared" si="15"/>
        <v>6000</v>
      </c>
      <c r="R136" s="13" t="str">
        <f>IF(D136="TEX","аренда техники — сделка/счёт",IF(OR(Q136="",H136="",H136=0),"—",IF(Q136&lt;H136*(1-Параметры!$B$7),"почасовка",IF(Q136&gt;H136*(1+Параметры!$B$7),"сделка","любой способ"))))</f>
        <v>сделка</v>
      </c>
      <c r="S136">
        <v>2.564102564102555E-2</v>
      </c>
      <c r="T136">
        <v>7.0234113712374535E-2</v>
      </c>
    </row>
    <row r="137" spans="1:20" x14ac:dyDescent="0.25">
      <c r="A137" s="13" t="s">
        <v>329</v>
      </c>
      <c r="B137" s="13" t="s">
        <v>330</v>
      </c>
      <c r="C137" s="13" t="s">
        <v>144</v>
      </c>
      <c r="D137" s="13" t="s">
        <v>299</v>
      </c>
      <c r="E137" s="13" t="str">
        <f>IFERROR(INDEX('Почасовка — ставки и план'!$B$5:$B$24,MATCH(D137,'Почасовка — ставки и план'!$A$5:$A$24,0)),"Аренда техники / механизмы")</f>
        <v>Холодильщик / монтажник кондиционеров</v>
      </c>
      <c r="F137" s="14">
        <v>9600</v>
      </c>
      <c r="G137" s="14">
        <v>11520</v>
      </c>
      <c r="H137" s="15">
        <v>5300</v>
      </c>
      <c r="I137" s="15">
        <f>IF(OR(H137="",F137=""),"",MAX(H137,MIN(ROUND(H137*(1+Параметры!$B$5),IF(H137*(1+Параметры!$B$5)&gt;=1000,-1,0)),ROUND(F137*Параметры!$B$6,IF(F137*Параметры!$B$6&gt;=1000,-1,0)))))</f>
        <v>6100</v>
      </c>
      <c r="J137" s="15">
        <v>6095</v>
      </c>
      <c r="K137" s="15">
        <f>IF(OR(J137="",G137=""),"",MAX(J137,MIN(ROUND(J137*(1+Параметры!$B$5),IF(J137*(1+Параметры!$B$5)&gt;=1000,-1,0)),ROUND(G137*Параметры!$B$6,IF(G137*Параметры!$B$6&gt;=1000,-1,0)))))</f>
        <v>7010</v>
      </c>
      <c r="L137" s="16">
        <v>6</v>
      </c>
      <c r="M137" s="17">
        <f t="shared" si="14"/>
        <v>0.16666666666666666</v>
      </c>
      <c r="N137" s="17">
        <f>IF(OR(L137="",L137=0),"",Параметры!$B$3/L137)</f>
        <v>1.3333333333333333</v>
      </c>
      <c r="O137" s="15">
        <f>IF(L137="","",IFERROR(INDEX('Почасовка — ставки и план'!$D$5:$D$24,MATCH($D137,'Почасовка — ставки и план'!$A$5:$A$24,0)),""))</f>
        <v>1200</v>
      </c>
      <c r="P137" s="15">
        <f>IF(L137="","",IFERROR(INDEX('Почасовка — ставки и план'!$E$5:$E$24,MATCH($D137,'Почасовка — ставки и план'!$A$5:$A$24,0)),""))</f>
        <v>1440</v>
      </c>
      <c r="Q137" s="15">
        <f t="shared" si="15"/>
        <v>7200</v>
      </c>
      <c r="R137" s="13" t="str">
        <f>IF(D137="TEX","аренда техники — сделка/счёт",IF(OR(Q137="",H137="",H137=0),"—",IF(Q137&lt;H137*(1-Параметры!$B$7),"почасовка",IF(Q137&gt;H137*(1+Параметры!$B$7),"сделка","любой способ"))))</f>
        <v>сделка</v>
      </c>
      <c r="S137">
        <v>9.0909090909090828E-2</v>
      </c>
      <c r="T137">
        <v>0.13833992094861669</v>
      </c>
    </row>
    <row r="138" spans="1:20" x14ac:dyDescent="0.25">
      <c r="A138" s="13" t="s">
        <v>331</v>
      </c>
      <c r="B138" s="13" t="s">
        <v>332</v>
      </c>
      <c r="C138" s="13" t="s">
        <v>144</v>
      </c>
      <c r="D138" s="13" t="s">
        <v>299</v>
      </c>
      <c r="E138" s="13" t="str">
        <f>IFERROR(INDEX('Почасовка — ставки и план'!$B$5:$B$24,MATCH(D138,'Почасовка — ставки и план'!$A$5:$A$24,0)),"Аренда техники / механизмы")</f>
        <v>Холодильщик / монтажник кондиционеров</v>
      </c>
      <c r="F138" s="14">
        <v>11200</v>
      </c>
      <c r="G138" s="14">
        <v>13440</v>
      </c>
      <c r="H138" s="15">
        <v>6200</v>
      </c>
      <c r="I138" s="15">
        <f>IF(OR(H138="",F138=""),"",MAX(H138,MIN(ROUND(H138*(1+Параметры!$B$5),IF(H138*(1+Параметры!$B$5)&gt;=1000,-1,0)),ROUND(F138*Параметры!$B$6,IF(F138*Параметры!$B$6&gt;=1000,-1,0)))))</f>
        <v>7130</v>
      </c>
      <c r="J138" s="15">
        <v>7130</v>
      </c>
      <c r="K138" s="15">
        <f>IF(OR(J138="",G138=""),"",MAX(J138,MIN(ROUND(J138*(1+Параметры!$B$5),IF(J138*(1+Параметры!$B$5)&gt;=1000,-1,0)),ROUND(G138*Параметры!$B$6,IF(G138*Параметры!$B$6&gt;=1000,-1,0)))))</f>
        <v>8200</v>
      </c>
      <c r="L138" s="16">
        <v>7</v>
      </c>
      <c r="M138" s="17">
        <f t="shared" si="14"/>
        <v>0.14285714285714285</v>
      </c>
      <c r="N138" s="17">
        <f>IF(OR(L138="",L138=0),"",Параметры!$B$3/L138)</f>
        <v>1.1428571428571428</v>
      </c>
      <c r="O138" s="15">
        <f>IF(L138="","",IFERROR(INDEX('Почасовка — ставки и план'!$D$5:$D$24,MATCH($D138,'Почасовка — ставки и план'!$A$5:$A$24,0)),""))</f>
        <v>1200</v>
      </c>
      <c r="P138" s="15">
        <f>IF(L138="","",IFERROR(INDEX('Почасовка — ставки и план'!$E$5:$E$24,MATCH($D138,'Почасовка — ставки и план'!$A$5:$A$24,0)),""))</f>
        <v>1440</v>
      </c>
      <c r="Q138" s="15">
        <f t="shared" si="15"/>
        <v>8400</v>
      </c>
      <c r="R138" s="13" t="str">
        <f>IF(D138="TEX","аренда техники — сделка/счёт",IF(OR(Q138="",H138="",H138=0),"—",IF(Q138&lt;H138*(1-Параметры!$B$7),"почасовка",IF(Q138&gt;H138*(1+Параметры!$B$7),"сделка","любой способ"))))</f>
        <v>сделка</v>
      </c>
      <c r="S138">
        <v>8.737864077669899E-2</v>
      </c>
      <c r="T138">
        <v>0.1346559729843817</v>
      </c>
    </row>
    <row r="139" spans="1:20" x14ac:dyDescent="0.25">
      <c r="A139" s="13" t="s">
        <v>333</v>
      </c>
      <c r="B139" s="13" t="s">
        <v>334</v>
      </c>
      <c r="C139" s="13" t="s">
        <v>144</v>
      </c>
      <c r="D139" s="13" t="s">
        <v>299</v>
      </c>
      <c r="E139" s="13" t="str">
        <f>IFERROR(INDEX('Почасовка — ставки и план'!$B$5:$B$24,MATCH(D139,'Почасовка — ставки и план'!$A$5:$A$24,0)),"Аренда техники / механизмы")</f>
        <v>Холодильщик / монтажник кондиционеров</v>
      </c>
      <c r="F139" s="14">
        <v>15000</v>
      </c>
      <c r="G139" s="14">
        <v>17280</v>
      </c>
      <c r="H139" s="15">
        <v>9000</v>
      </c>
      <c r="I139" s="15">
        <f>IF(OR(H139="",F139=""),"",MAX(H139,MIN(ROUND(H139*(1+Параметры!$B$5),IF(H139*(1+Параметры!$B$5)&gt;=1000,-1,0)),ROUND(F139*Параметры!$B$6,IF(F139*Параметры!$B$6&gt;=1000,-1,0)))))</f>
        <v>10350</v>
      </c>
      <c r="J139" s="15">
        <v>10350</v>
      </c>
      <c r="K139" s="15">
        <f>IF(OR(J139="",G139=""),"",MAX(J139,MIN(ROUND(J139*(1+Параметры!$B$5),IF(J139*(1+Параметры!$B$5)&gt;=1000,-1,0)),ROUND(G139*Параметры!$B$6,IF(G139*Параметры!$B$6&gt;=1000,-1,0)))))</f>
        <v>11900</v>
      </c>
      <c r="L139" s="16">
        <v>9</v>
      </c>
      <c r="M139" s="17">
        <f t="shared" si="14"/>
        <v>0.1111111111111111</v>
      </c>
      <c r="N139" s="17">
        <f>IF(OR(L139="",L139=0),"",Параметры!$B$3/L139)</f>
        <v>0.88888888888888884</v>
      </c>
      <c r="O139" s="15">
        <f>IF(L139="","",IFERROR(INDEX('Почасовка — ставки и план'!$D$5:$D$24,MATCH($D139,'Почасовка — ставки и план'!$A$5:$A$24,0)),""))</f>
        <v>1200</v>
      </c>
      <c r="P139" s="15">
        <f>IF(L139="","",IFERROR(INDEX('Почасовка — ставки и план'!$E$5:$E$24,MATCH($D139,'Почасовка — ставки и план'!$A$5:$A$24,0)),""))</f>
        <v>1440</v>
      </c>
      <c r="Q139" s="15">
        <f t="shared" si="15"/>
        <v>10800</v>
      </c>
      <c r="R139" s="13" t="str">
        <f>IF(D139="TEX","аренда техники — сделка/счёт",IF(OR(Q139="",H139="",H139=0),"—",IF(Q139&lt;H139*(1-Параметры!$B$7),"почасовка",IF(Q139&gt;H139*(1+Параметры!$B$7),"сделка","любой способ"))))</f>
        <v>сделка</v>
      </c>
      <c r="S139">
        <v>0</v>
      </c>
      <c r="T139">
        <v>1.739130434782687E-3</v>
      </c>
    </row>
    <row r="140" spans="1:20" x14ac:dyDescent="0.25">
      <c r="A140" s="13" t="s">
        <v>335</v>
      </c>
      <c r="B140" s="13" t="s">
        <v>336</v>
      </c>
      <c r="C140" s="13" t="s">
        <v>144</v>
      </c>
      <c r="D140" s="13" t="s">
        <v>299</v>
      </c>
      <c r="E140" s="13" t="str">
        <f>IFERROR(INDEX('Почасовка — ставки и план'!$B$5:$B$24,MATCH(D140,'Почасовка — ставки и план'!$A$5:$A$24,0)),"Аренда техники / механизмы")</f>
        <v>Холодильщик / монтажник кондиционеров</v>
      </c>
      <c r="F140" s="14">
        <v>7500</v>
      </c>
      <c r="G140" s="14">
        <v>8640</v>
      </c>
      <c r="H140" s="15">
        <v>4500</v>
      </c>
      <c r="I140" s="15">
        <f>IF(OR(H140="",F140=""),"",MAX(H140,MIN(ROUND(H140*(1+Параметры!$B$5),IF(H140*(1+Параметры!$B$5)&gt;=1000,-1,0)),ROUND(F140*Параметры!$B$6,IF(F140*Параметры!$B$6&gt;=1000,-1,0)))))</f>
        <v>5180</v>
      </c>
      <c r="J140" s="15">
        <v>5175</v>
      </c>
      <c r="K140" s="15">
        <f>IF(OR(J140="",G140=""),"",MAX(J140,MIN(ROUND(J140*(1+Параметры!$B$5),IF(J140*(1+Параметры!$B$5)&gt;=1000,-1,0)),ROUND(G140*Параметры!$B$6,IF(G140*Параметры!$B$6&gt;=1000,-1,0)))))</f>
        <v>5950</v>
      </c>
      <c r="L140" s="16">
        <v>4.5</v>
      </c>
      <c r="M140" s="17">
        <f t="shared" si="14"/>
        <v>0.22222222222222221</v>
      </c>
      <c r="N140" s="17">
        <f>IF(OR(L140="",L140=0),"",Параметры!$B$3/L140)</f>
        <v>1.7777777777777777</v>
      </c>
      <c r="O140" s="15">
        <f>IF(L140="","",IFERROR(INDEX('Почасовка — ставки и план'!$D$5:$D$24,MATCH($D140,'Почасовка — ставки и план'!$A$5:$A$24,0)),""))</f>
        <v>1200</v>
      </c>
      <c r="P140" s="15">
        <f>IF(L140="","",IFERROR(INDEX('Почасовка — ставки и план'!$E$5:$E$24,MATCH($D140,'Почасовка — ставки и план'!$A$5:$A$24,0)),""))</f>
        <v>1440</v>
      </c>
      <c r="Q140" s="15">
        <f t="shared" si="15"/>
        <v>5400</v>
      </c>
      <c r="R140" s="13" t="str">
        <f>IF(D140="TEX","аренда техники — сделка/счёт",IF(OR(Q140="",H140="",H140=0),"—",IF(Q140&lt;H140*(1-Параметры!$B$7),"почасовка",IF(Q140&gt;H140*(1+Параметры!$B$7),"сделка","любой способ"))))</f>
        <v>сделка</v>
      </c>
      <c r="S140">
        <v>0</v>
      </c>
      <c r="T140">
        <v>1.739130434782687E-3</v>
      </c>
    </row>
    <row r="141" spans="1:20" x14ac:dyDescent="0.25">
      <c r="A141" s="13" t="s">
        <v>337</v>
      </c>
      <c r="B141" s="13" t="s">
        <v>338</v>
      </c>
      <c r="C141" s="13" t="s">
        <v>144</v>
      </c>
      <c r="D141" s="13" t="s">
        <v>299</v>
      </c>
      <c r="E141" s="13" t="str">
        <f>IFERROR(INDEX('Почасовка — ставки и план'!$B$5:$B$24,MATCH(D141,'Почасовка — ставки и план'!$A$5:$A$24,0)),"Аренда техники / механизмы")</f>
        <v>Холодильщик / монтажник кондиционеров</v>
      </c>
      <c r="F141" s="14">
        <v>8800</v>
      </c>
      <c r="G141" s="14">
        <v>10560</v>
      </c>
      <c r="H141" s="15">
        <v>5100</v>
      </c>
      <c r="I141" s="15">
        <f>IF(OR(H141="",F141=""),"",MAX(H141,MIN(ROUND(H141*(1+Параметры!$B$5),IF(H141*(1+Параметры!$B$5)&gt;=1000,-1,0)),ROUND(F141*Параметры!$B$6,IF(F141*Параметры!$B$6&gt;=1000,-1,0)))))</f>
        <v>5870</v>
      </c>
      <c r="J141" s="15">
        <v>5865</v>
      </c>
      <c r="K141" s="15">
        <f>IF(OR(J141="",G141=""),"",MAX(J141,MIN(ROUND(J141*(1+Параметры!$B$5),IF(J141*(1+Параметры!$B$5)&gt;=1000,-1,0)),ROUND(G141*Параметры!$B$6,IF(G141*Параметры!$B$6&gt;=1000,-1,0)))))</f>
        <v>6740</v>
      </c>
      <c r="L141" s="16">
        <v>5.5</v>
      </c>
      <c r="M141" s="17">
        <f t="shared" si="14"/>
        <v>0.18181818181818182</v>
      </c>
      <c r="N141" s="17">
        <f>IF(OR(L141="",L141=0),"",Параметры!$B$3/L141)</f>
        <v>1.4545454545454546</v>
      </c>
      <c r="O141" s="15">
        <f>IF(L141="","",IFERROR(INDEX('Почасовка — ставки и план'!$D$5:$D$24,MATCH($D141,'Почасовка — ставки и план'!$A$5:$A$24,0)),""))</f>
        <v>1200</v>
      </c>
      <c r="P141" s="15">
        <f>IF(L141="","",IFERROR(INDEX('Почасовка — ставки и план'!$E$5:$E$24,MATCH($D141,'Почасовка — ставки и план'!$A$5:$A$24,0)),""))</f>
        <v>1440</v>
      </c>
      <c r="Q141" s="15">
        <f t="shared" si="15"/>
        <v>6600</v>
      </c>
      <c r="R141" s="13" t="str">
        <f>IF(D141="TEX","аренда техники — сделка/счёт",IF(OR(Q141="",H141="",H141=0),"—",IF(Q141&lt;H141*(1-Параметры!$B$7),"почасовка",IF(Q141&gt;H141*(1+Параметры!$B$7),"сделка","любой способ"))))</f>
        <v>сделка</v>
      </c>
      <c r="S141">
        <v>3.529411764705892E-2</v>
      </c>
      <c r="T141">
        <v>8.0306905370844062E-2</v>
      </c>
    </row>
    <row r="142" spans="1:20" x14ac:dyDescent="0.25">
      <c r="A142" s="13" t="s">
        <v>339</v>
      </c>
      <c r="B142" s="13" t="s">
        <v>340</v>
      </c>
      <c r="C142" s="13" t="s">
        <v>144</v>
      </c>
      <c r="D142" s="13" t="s">
        <v>299</v>
      </c>
      <c r="E142" s="13" t="str">
        <f>IFERROR(INDEX('Почасовка — ставки и план'!$B$5:$B$24,MATCH(D142,'Почасовка — ставки и план'!$A$5:$A$24,0)),"Аренда техники / механизмы")</f>
        <v>Холодильщик / монтажник кондиционеров</v>
      </c>
      <c r="F142" s="14">
        <v>10400</v>
      </c>
      <c r="G142" s="14">
        <v>12480</v>
      </c>
      <c r="H142" s="15">
        <v>6000</v>
      </c>
      <c r="I142" s="15">
        <f>IF(OR(H142="",F142=""),"",MAX(H142,MIN(ROUND(H142*(1+Параметры!$B$5),IF(H142*(1+Параметры!$B$5)&gt;=1000,-1,0)),ROUND(F142*Параметры!$B$6,IF(F142*Параметры!$B$6&gt;=1000,-1,0)))))</f>
        <v>6900</v>
      </c>
      <c r="J142" s="15">
        <v>6900</v>
      </c>
      <c r="K142" s="15">
        <f>IF(OR(J142="",G142=""),"",MAX(J142,MIN(ROUND(J142*(1+Параметры!$B$5),IF(J142*(1+Параметры!$B$5)&gt;=1000,-1,0)),ROUND(G142*Параметры!$B$6,IF(G142*Параметры!$B$6&gt;=1000,-1,0)))))</f>
        <v>7940</v>
      </c>
      <c r="L142" s="16">
        <v>6.5</v>
      </c>
      <c r="M142" s="17">
        <f t="shared" si="14"/>
        <v>0.15384615384615385</v>
      </c>
      <c r="N142" s="17">
        <f>IF(OR(L142="",L142=0),"",Параметры!$B$3/L142)</f>
        <v>1.2307692307692308</v>
      </c>
      <c r="O142" s="15">
        <f>IF(L142="","",IFERROR(INDEX('Почасовка — ставки и план'!$D$5:$D$24,MATCH($D142,'Почасовка — ставки и план'!$A$5:$A$24,0)),""))</f>
        <v>1200</v>
      </c>
      <c r="P142" s="15">
        <f>IF(L142="","",IFERROR(INDEX('Почасовка — ставки и план'!$E$5:$E$24,MATCH($D142,'Почасовка — ставки и план'!$A$5:$A$24,0)),""))</f>
        <v>1440</v>
      </c>
      <c r="Q142" s="15">
        <f t="shared" si="15"/>
        <v>7800</v>
      </c>
      <c r="R142" s="13" t="str">
        <f>IF(D142="TEX","аренда техники — сделка/счёт",IF(OR(Q142="",H142="",H142=0),"—",IF(Q142&lt;H142*(1-Параметры!$B$7),"почасовка",IF(Q142&gt;H142*(1+Параметры!$B$7),"сделка","любой способ"))))</f>
        <v>сделка</v>
      </c>
      <c r="S142">
        <v>4.0000000000000042E-2</v>
      </c>
      <c r="T142">
        <v>8.5217391304347911E-2</v>
      </c>
    </row>
    <row r="143" spans="1:20" x14ac:dyDescent="0.25">
      <c r="A143" s="13" t="s">
        <v>341</v>
      </c>
      <c r="B143" s="13" t="s">
        <v>342</v>
      </c>
      <c r="C143" s="13" t="s">
        <v>144</v>
      </c>
      <c r="D143" s="13" t="s">
        <v>299</v>
      </c>
      <c r="E143" s="13" t="str">
        <f>IFERROR(INDEX('Почасовка — ставки и план'!$B$5:$B$24,MATCH(D143,'Почасовка — ставки и план'!$A$5:$A$24,0)),"Аренда техники / механизмы")</f>
        <v>Холодильщик / монтажник кондиционеров</v>
      </c>
      <c r="F143" s="14">
        <v>14000</v>
      </c>
      <c r="G143" s="14">
        <v>16320</v>
      </c>
      <c r="H143" s="15">
        <v>8400</v>
      </c>
      <c r="I143" s="15">
        <f>IF(OR(H143="",F143=""),"",MAX(H143,MIN(ROUND(H143*(1+Параметры!$B$5),IF(H143*(1+Параметры!$B$5)&gt;=1000,-1,0)),ROUND(F143*Параметры!$B$6,IF(F143*Параметры!$B$6&gt;=1000,-1,0)))))</f>
        <v>9660</v>
      </c>
      <c r="J143" s="15">
        <v>9660</v>
      </c>
      <c r="K143" s="15">
        <f>IF(OR(J143="",G143=""),"",MAX(J143,MIN(ROUND(J143*(1+Параметры!$B$5),IF(J143*(1+Параметры!$B$5)&gt;=1000,-1,0)),ROUND(G143*Параметры!$B$6,IF(G143*Параметры!$B$6&gt;=1000,-1,0)))))</f>
        <v>11110</v>
      </c>
      <c r="L143" s="16">
        <v>8.5</v>
      </c>
      <c r="M143" s="17">
        <f t="shared" si="14"/>
        <v>0.11764705882352941</v>
      </c>
      <c r="N143" s="17">
        <f>IF(OR(L143="",L143=0),"",Параметры!$B$3/L143)</f>
        <v>0.94117647058823528</v>
      </c>
      <c r="O143" s="15">
        <f>IF(L143="","",IFERROR(INDEX('Почасовка — ставки и план'!$D$5:$D$24,MATCH($D143,'Почасовка — ставки и план'!$A$5:$A$24,0)),""))</f>
        <v>1200</v>
      </c>
      <c r="P143" s="15">
        <f>IF(L143="","",IFERROR(INDEX('Почасовка — ставки и план'!$E$5:$E$24,MATCH($D143,'Почасовка — ставки и план'!$A$5:$A$24,0)),""))</f>
        <v>1440</v>
      </c>
      <c r="Q143" s="15">
        <f t="shared" si="15"/>
        <v>10200</v>
      </c>
      <c r="R143" s="13" t="str">
        <f>IF(D143="TEX","аренда техники — сделка/счёт",IF(OR(Q143="",H143="",H143=0),"—",IF(Q143&lt;H143*(1-Параметры!$B$7),"почасовка",IF(Q143&gt;H143*(1+Параметры!$B$7),"сделка","любой способ"))))</f>
        <v>сделка</v>
      </c>
      <c r="S143">
        <v>0</v>
      </c>
      <c r="T143">
        <v>1.366459627329197E-2</v>
      </c>
    </row>
    <row r="144" spans="1:20" x14ac:dyDescent="0.25">
      <c r="A144" s="13" t="s">
        <v>343</v>
      </c>
      <c r="B144" s="13" t="s">
        <v>344</v>
      </c>
      <c r="C144" s="13" t="s">
        <v>144</v>
      </c>
      <c r="D144" s="13" t="s">
        <v>299</v>
      </c>
      <c r="E144" s="13" t="str">
        <f>IFERROR(INDEX('Почасовка — ставки и план'!$B$5:$B$24,MATCH(D144,'Почасовка — ставки и план'!$A$5:$A$24,0)),"Аренда техники / механизмы")</f>
        <v>Холодильщик / монтажник кондиционеров</v>
      </c>
      <c r="F144" s="14">
        <v>4000</v>
      </c>
      <c r="G144" s="14">
        <v>4800</v>
      </c>
      <c r="H144" s="15">
        <v>2400</v>
      </c>
      <c r="I144" s="15">
        <f>IF(OR(H144="",F144=""),"",MAX(H144,MIN(ROUND(H144*(1+Параметры!$B$5),IF(H144*(1+Параметры!$B$5)&gt;=1000,-1,0)),ROUND(F144*Параметры!$B$6,IF(F144*Параметры!$B$6&gt;=1000,-1,0)))))</f>
        <v>2760</v>
      </c>
      <c r="J144" s="15">
        <v>2760</v>
      </c>
      <c r="K144" s="15">
        <f>IF(OR(J144="",G144=""),"",MAX(J144,MIN(ROUND(J144*(1+Параметры!$B$5),IF(J144*(1+Параметры!$B$5)&gt;=1000,-1,0)),ROUND(G144*Параметры!$B$6,IF(G144*Параметры!$B$6&gt;=1000,-1,0)))))</f>
        <v>3170</v>
      </c>
      <c r="L144" s="16">
        <v>2.5</v>
      </c>
      <c r="M144" s="17">
        <f t="shared" si="14"/>
        <v>0.4</v>
      </c>
      <c r="N144" s="17">
        <f>IF(OR(L144="",L144=0),"",Параметры!$B$3/L144)</f>
        <v>3.2</v>
      </c>
      <c r="O144" s="15">
        <f>IF(L144="","",IFERROR(INDEX('Почасовка — ставки и план'!$D$5:$D$24,MATCH($D144,'Почасовка — ставки и план'!$A$5:$A$24,0)),""))</f>
        <v>1200</v>
      </c>
      <c r="P144" s="15">
        <f>IF(L144="","",IFERROR(INDEX('Почасовка — ставки и план'!$E$5:$E$24,MATCH($D144,'Почасовка — ставки и план'!$A$5:$A$24,0)),""))</f>
        <v>1440</v>
      </c>
      <c r="Q144" s="15">
        <f t="shared" si="15"/>
        <v>3000</v>
      </c>
      <c r="R144" s="13" t="str">
        <f>IF(D144="TEX","аренда техники — сделка/счёт",IF(OR(Q144="",H144="",H144=0),"—",IF(Q144&lt;H144*(1-Параметры!$B$7),"почасовка",IF(Q144&gt;H144*(1+Параметры!$B$7),"сделка","любой способ"))))</f>
        <v>сделка</v>
      </c>
      <c r="S144">
        <v>0</v>
      </c>
      <c r="T144">
        <v>4.3478260869565188E-2</v>
      </c>
    </row>
    <row r="145" spans="1:20" x14ac:dyDescent="0.25">
      <c r="A145" s="13" t="s">
        <v>345</v>
      </c>
      <c r="B145" s="13" t="s">
        <v>346</v>
      </c>
      <c r="C145" s="13" t="s">
        <v>144</v>
      </c>
      <c r="D145" s="13" t="s">
        <v>299</v>
      </c>
      <c r="E145" s="13" t="str">
        <f>IFERROR(INDEX('Почасовка — ставки и план'!$B$5:$B$24,MATCH(D145,'Почасовка — ставки и план'!$A$5:$A$24,0)),"Аренда техники / механизмы")</f>
        <v>Холодильщик / монтажник кондиционеров</v>
      </c>
      <c r="F145" s="14">
        <v>4800</v>
      </c>
      <c r="G145" s="14">
        <v>5760</v>
      </c>
      <c r="H145" s="15">
        <v>2800</v>
      </c>
      <c r="I145" s="15">
        <f>IF(OR(H145="",F145=""),"",MAX(H145,MIN(ROUND(H145*(1+Параметры!$B$5),IF(H145*(1+Параметры!$B$5)&gt;=1000,-1,0)),ROUND(F145*Параметры!$B$6,IF(F145*Параметры!$B$6&gt;=1000,-1,0)))))</f>
        <v>3220</v>
      </c>
      <c r="J145" s="15">
        <v>3220</v>
      </c>
      <c r="K145" s="15">
        <f>IF(OR(J145="",G145=""),"",MAX(J145,MIN(ROUND(J145*(1+Параметры!$B$5),IF(J145*(1+Параметры!$B$5)&gt;=1000,-1,0)),ROUND(G145*Параметры!$B$6,IF(G145*Параметры!$B$6&gt;=1000,-1,0)))))</f>
        <v>3700</v>
      </c>
      <c r="L145" s="16">
        <v>3</v>
      </c>
      <c r="M145" s="17">
        <f t="shared" si="14"/>
        <v>0.33333333333333331</v>
      </c>
      <c r="N145" s="17">
        <f>IF(OR(L145="",L145=0),"",Параметры!$B$3/L145)</f>
        <v>2.6666666666666665</v>
      </c>
      <c r="O145" s="15">
        <f>IF(L145="","",IFERROR(INDEX('Почасовка — ставки и план'!$D$5:$D$24,MATCH($D145,'Почасовка — ставки и план'!$A$5:$A$24,0)),""))</f>
        <v>1200</v>
      </c>
      <c r="P145" s="15">
        <f>IF(L145="","",IFERROR(INDEX('Почасовка — ставки и план'!$E$5:$E$24,MATCH($D145,'Почасовка — ставки и план'!$A$5:$A$24,0)),""))</f>
        <v>1440</v>
      </c>
      <c r="Q145" s="15">
        <f t="shared" si="15"/>
        <v>3600</v>
      </c>
      <c r="R145" s="13" t="str">
        <f>IF(D145="TEX","аренда техники — сделка/счёт",IF(OR(Q145="",H145="",H145=0),"—",IF(Q145&lt;H145*(1-Параметры!$B$7),"почасовка",IF(Q145&gt;H145*(1+Параметры!$B$7),"сделка","любой способ"))))</f>
        <v>сделка</v>
      </c>
      <c r="S145">
        <v>4.3478260869565188E-2</v>
      </c>
      <c r="T145">
        <v>8.8846880907372361E-2</v>
      </c>
    </row>
    <row r="146" spans="1:20" x14ac:dyDescent="0.25">
      <c r="A146" s="13" t="s">
        <v>347</v>
      </c>
      <c r="B146" s="13" t="s">
        <v>348</v>
      </c>
      <c r="C146" s="13" t="s">
        <v>144</v>
      </c>
      <c r="D146" s="13" t="s">
        <v>299</v>
      </c>
      <c r="E146" s="13" t="str">
        <f>IFERROR(INDEX('Почасовка — ставки и план'!$B$5:$B$24,MATCH(D146,'Почасовка — ставки и план'!$A$5:$A$24,0)),"Аренда техники / механизмы")</f>
        <v>Холодильщик / монтажник кондиционеров</v>
      </c>
      <c r="F146" s="14">
        <v>5600</v>
      </c>
      <c r="G146" s="14">
        <v>6720</v>
      </c>
      <c r="H146" s="15">
        <v>3300</v>
      </c>
      <c r="I146" s="15">
        <f>IF(OR(H146="",F146=""),"",MAX(H146,MIN(ROUND(H146*(1+Параметры!$B$5),IF(H146*(1+Параметры!$B$5)&gt;=1000,-1,0)),ROUND(F146*Параметры!$B$6,IF(F146*Параметры!$B$6&gt;=1000,-1,0)))))</f>
        <v>3800</v>
      </c>
      <c r="J146" s="15">
        <v>3795</v>
      </c>
      <c r="K146" s="15">
        <f>IF(OR(J146="",G146=""),"",MAX(J146,MIN(ROUND(J146*(1+Параметры!$B$5),IF(J146*(1+Параметры!$B$5)&gt;=1000,-1,0)),ROUND(G146*Параметры!$B$6,IF(G146*Параметры!$B$6&gt;=1000,-1,0)))))</f>
        <v>4360</v>
      </c>
      <c r="L146" s="16">
        <v>3.5</v>
      </c>
      <c r="M146" s="17">
        <f t="shared" si="14"/>
        <v>0.2857142857142857</v>
      </c>
      <c r="N146" s="17">
        <f>IF(OR(L146="",L146=0),"",Параметры!$B$3/L146)</f>
        <v>2.2857142857142856</v>
      </c>
      <c r="O146" s="15">
        <f>IF(L146="","",IFERROR(INDEX('Почасовка — ставки и план'!$D$5:$D$24,MATCH($D146,'Почасовка — ставки и план'!$A$5:$A$24,0)),""))</f>
        <v>1200</v>
      </c>
      <c r="P146" s="15">
        <f>IF(L146="","",IFERROR(INDEX('Почасовка — ставки и план'!$E$5:$E$24,MATCH($D146,'Почасовка — ставки и план'!$A$5:$A$24,0)),""))</f>
        <v>1440</v>
      </c>
      <c r="Q146" s="15">
        <f t="shared" si="15"/>
        <v>4200</v>
      </c>
      <c r="R146" s="13" t="str">
        <f>IF(D146="TEX","аренда техники — сделка/счёт",IF(OR(Q146="",H146="",H146=0),"—",IF(Q146&lt;H146*(1-Параметры!$B$7),"почасовка",IF(Q146&gt;H146*(1+Параметры!$B$7),"сделка","любой способ"))))</f>
        <v>сделка</v>
      </c>
      <c r="S146">
        <v>1.818181818181808E-2</v>
      </c>
      <c r="T146">
        <v>6.2450592885375578E-2</v>
      </c>
    </row>
    <row r="147" spans="1:20" x14ac:dyDescent="0.25">
      <c r="A147" s="13" t="s">
        <v>349</v>
      </c>
      <c r="B147" s="13" t="s">
        <v>350</v>
      </c>
      <c r="C147" s="13" t="s">
        <v>144</v>
      </c>
      <c r="D147" s="13" t="s">
        <v>299</v>
      </c>
      <c r="E147" s="13" t="str">
        <f>IFERROR(INDEX('Почасовка — ставки и план'!$B$5:$B$24,MATCH(D147,'Почасовка — ставки и план'!$A$5:$A$24,0)),"Аренда техники / механизмы")</f>
        <v>Холодильщик / монтажник кондиционеров</v>
      </c>
      <c r="F147" s="14">
        <v>7200</v>
      </c>
      <c r="G147" s="14">
        <v>8640</v>
      </c>
      <c r="H147" s="15">
        <v>4200</v>
      </c>
      <c r="I147" s="15">
        <f>IF(OR(H147="",F147=""),"",MAX(H147,MIN(ROUND(H147*(1+Параметры!$B$5),IF(H147*(1+Параметры!$B$5)&gt;=1000,-1,0)),ROUND(F147*Параметры!$B$6,IF(F147*Параметры!$B$6&gt;=1000,-1,0)))))</f>
        <v>4830</v>
      </c>
      <c r="J147" s="15">
        <v>4830</v>
      </c>
      <c r="K147" s="15">
        <f>IF(OR(J147="",G147=""),"",MAX(J147,MIN(ROUND(J147*(1+Параметры!$B$5),IF(J147*(1+Параметры!$B$5)&gt;=1000,-1,0)),ROUND(G147*Параметры!$B$6,IF(G147*Параметры!$B$6&gt;=1000,-1,0)))))</f>
        <v>5550</v>
      </c>
      <c r="L147" s="16">
        <v>4.5</v>
      </c>
      <c r="M147" s="17">
        <f t="shared" si="14"/>
        <v>0.22222222222222221</v>
      </c>
      <c r="N147" s="17">
        <f>IF(OR(L147="",L147=0),"",Параметры!$B$3/L147)</f>
        <v>1.7777777777777777</v>
      </c>
      <c r="O147" s="15">
        <f>IF(L147="","",IFERROR(INDEX('Почасовка — ставки и план'!$D$5:$D$24,MATCH($D147,'Почасовка — ставки и план'!$A$5:$A$24,0)),""))</f>
        <v>1200</v>
      </c>
      <c r="P147" s="15">
        <f>IF(L147="","",IFERROR(INDEX('Почасовка — ставки и план'!$E$5:$E$24,MATCH($D147,'Почасовка — ставки и план'!$A$5:$A$24,0)),""))</f>
        <v>1440</v>
      </c>
      <c r="Q147" s="15">
        <f t="shared" si="15"/>
        <v>5400</v>
      </c>
      <c r="R147" s="13" t="str">
        <f>IF(D147="TEX","аренда техники — сделка/счёт",IF(OR(Q147="",H147="",H147=0),"—",IF(Q147&lt;H147*(1-Параметры!$B$7),"почасовка",IF(Q147&gt;H147*(1+Параметры!$B$7),"сделка","любой способ"))))</f>
        <v>сделка</v>
      </c>
      <c r="S147">
        <v>2.857142857142847E-2</v>
      </c>
      <c r="T147">
        <v>7.3291925465838403E-2</v>
      </c>
    </row>
    <row r="148" spans="1:20" x14ac:dyDescent="0.25">
      <c r="A148" s="13" t="s">
        <v>351</v>
      </c>
      <c r="B148" s="13" t="s">
        <v>352</v>
      </c>
      <c r="C148" s="13" t="s">
        <v>144</v>
      </c>
      <c r="D148" s="13" t="s">
        <v>288</v>
      </c>
      <c r="E148" s="13" t="str">
        <f>IFERROR(INDEX('Почасовка — ставки и план'!$B$5:$B$24,MATCH(D148,'Почасовка — ставки и план'!$A$5:$A$24,0)),"Аренда техники / механизмы")</f>
        <v>Монтажник вентиляции</v>
      </c>
      <c r="F148" s="14">
        <v>4500</v>
      </c>
      <c r="G148" s="14">
        <v>5175</v>
      </c>
      <c r="H148" s="15">
        <v>2700</v>
      </c>
      <c r="I148" s="15">
        <f>IF(OR(H148="",F148=""),"",MAX(H148,MIN(ROUND(H148*(1+Параметры!$B$5),IF(H148*(1+Параметры!$B$5)&gt;=1000,-1,0)),ROUND(F148*Параметры!$B$6,IF(F148*Параметры!$B$6&gt;=1000,-1,0)))))</f>
        <v>3110</v>
      </c>
      <c r="J148" s="15">
        <v>3105</v>
      </c>
      <c r="K148" s="15">
        <f>IF(OR(J148="",G148=""),"",MAX(J148,MIN(ROUND(J148*(1+Параметры!$B$5),IF(J148*(1+Параметры!$B$5)&gt;=1000,-1,0)),ROUND(G148*Параметры!$B$6,IF(G148*Параметры!$B$6&gt;=1000,-1,0)))))</f>
        <v>3570</v>
      </c>
      <c r="L148" s="16">
        <v>3</v>
      </c>
      <c r="M148" s="17">
        <f t="shared" si="14"/>
        <v>0.33333333333333331</v>
      </c>
      <c r="N148" s="17">
        <f>IF(OR(L148="",L148=0),"",Параметры!$B$3/L148)</f>
        <v>2.6666666666666665</v>
      </c>
      <c r="O148" s="15">
        <f>IF(L148="","",IFERROR(INDEX('Почасовка — ставки и план'!$D$5:$D$24,MATCH($D148,'Почасовка — ставки и план'!$A$5:$A$24,0)),""))</f>
        <v>850</v>
      </c>
      <c r="P148" s="15">
        <f>IF(L148="","",IFERROR(INDEX('Почасовка — ставки и план'!$E$5:$E$24,MATCH($D148,'Почасовка — ставки и план'!$A$5:$A$24,0)),""))</f>
        <v>1020</v>
      </c>
      <c r="Q148" s="15">
        <f t="shared" si="15"/>
        <v>2550</v>
      </c>
      <c r="R148" s="13" t="str">
        <f>IF(D148="TEX","аренда техники — сделка/счёт",IF(OR(Q148="",H148="",H148=0),"—",IF(Q148&lt;H148*(1-Параметры!$B$7),"почасовка",IF(Q148&gt;H148*(1+Параметры!$B$7),"сделка","любой способ"))))</f>
        <v>любой способ</v>
      </c>
      <c r="S148">
        <v>0</v>
      </c>
      <c r="T148">
        <v>0</v>
      </c>
    </row>
    <row r="149" spans="1:20" x14ac:dyDescent="0.25">
      <c r="A149" s="13" t="s">
        <v>353</v>
      </c>
      <c r="B149" s="13" t="s">
        <v>354</v>
      </c>
      <c r="C149" s="13" t="s">
        <v>144</v>
      </c>
      <c r="D149" s="13" t="s">
        <v>288</v>
      </c>
      <c r="E149" s="13" t="str">
        <f>IFERROR(INDEX('Почасовка — ставки и план'!$B$5:$B$24,MATCH(D149,'Почасовка — ставки и план'!$A$5:$A$24,0)),"Аренда техники / механизмы")</f>
        <v>Монтажник вентиляции</v>
      </c>
      <c r="F149" s="14">
        <v>6000</v>
      </c>
      <c r="G149" s="14">
        <v>6900</v>
      </c>
      <c r="H149" s="15">
        <v>3600</v>
      </c>
      <c r="I149" s="15">
        <f>IF(OR(H149="",F149=""),"",MAX(H149,MIN(ROUND(H149*(1+Параметры!$B$5),IF(H149*(1+Параметры!$B$5)&gt;=1000,-1,0)),ROUND(F149*Параметры!$B$6,IF(F149*Параметры!$B$6&gt;=1000,-1,0)))))</f>
        <v>4140</v>
      </c>
      <c r="J149" s="15">
        <v>4140</v>
      </c>
      <c r="K149" s="15">
        <f>IF(OR(J149="",G149=""),"",MAX(J149,MIN(ROUND(J149*(1+Параметры!$B$5),IF(J149*(1+Параметры!$B$5)&gt;=1000,-1,0)),ROUND(G149*Параметры!$B$6,IF(G149*Параметры!$B$6&gt;=1000,-1,0)))))</f>
        <v>4760</v>
      </c>
      <c r="L149" s="16">
        <v>4</v>
      </c>
      <c r="M149" s="17">
        <f t="shared" si="14"/>
        <v>0.25</v>
      </c>
      <c r="N149" s="17">
        <f>IF(OR(L149="",L149=0),"",Параметры!$B$3/L149)</f>
        <v>2</v>
      </c>
      <c r="O149" s="15">
        <f>IF(L149="","",IFERROR(INDEX('Почасовка — ставки и план'!$D$5:$D$24,MATCH($D149,'Почасовка — ставки и план'!$A$5:$A$24,0)),""))</f>
        <v>850</v>
      </c>
      <c r="P149" s="15">
        <f>IF(L149="","",IFERROR(INDEX('Почасовка — ставки и план'!$E$5:$E$24,MATCH($D149,'Почасовка — ставки и план'!$A$5:$A$24,0)),""))</f>
        <v>1020</v>
      </c>
      <c r="Q149" s="15">
        <f t="shared" si="15"/>
        <v>3400</v>
      </c>
      <c r="R149" s="13" t="str">
        <f>IF(D149="TEX","аренда техники — сделка/счёт",IF(OR(Q149="",H149="",H149=0),"—",IF(Q149&lt;H149*(1-Параметры!$B$7),"почасовка",IF(Q149&gt;H149*(1+Параметры!$B$7),"сделка","любой способ"))))</f>
        <v>любой способ</v>
      </c>
      <c r="S149">
        <v>0</v>
      </c>
      <c r="T149">
        <v>0</v>
      </c>
    </row>
    <row r="150" spans="1:20" x14ac:dyDescent="0.25">
      <c r="A150" s="13" t="s">
        <v>355</v>
      </c>
      <c r="B150" s="13" t="s">
        <v>356</v>
      </c>
      <c r="C150" s="13" t="s">
        <v>144</v>
      </c>
      <c r="D150" s="13" t="s">
        <v>273</v>
      </c>
      <c r="E150" s="13" t="str">
        <f>IFERROR(INDEX('Почасовка — ставки и план'!$B$5:$B$24,MATCH(D150,'Почасовка — ставки и план'!$A$5:$A$24,0)),"Аренда техники / механизмы")</f>
        <v>Электромонтажник</v>
      </c>
      <c r="F150" s="14">
        <v>2000</v>
      </c>
      <c r="G150" s="14">
        <v>2300</v>
      </c>
      <c r="H150" s="15">
        <v>1200</v>
      </c>
      <c r="I150" s="15">
        <f>IF(OR(H150="",F150=""),"",MAX(H150,MIN(ROUND(H150*(1+Параметры!$B$5),IF(H150*(1+Параметры!$B$5)&gt;=1000,-1,0)),ROUND(F150*Параметры!$B$6,IF(F150*Параметры!$B$6&gt;=1000,-1,0)))))</f>
        <v>1380</v>
      </c>
      <c r="J150" s="15">
        <v>1380</v>
      </c>
      <c r="K150" s="15">
        <f>IF(OR(J150="",G150=""),"",MAX(J150,MIN(ROUND(J150*(1+Параметры!$B$5),IF(J150*(1+Параметры!$B$5)&gt;=1000,-1,0)),ROUND(G150*Параметры!$B$6,IF(G150*Параметры!$B$6&gt;=1000,-1,0)))))</f>
        <v>1590</v>
      </c>
      <c r="L150" s="16">
        <v>1.5</v>
      </c>
      <c r="M150" s="17">
        <f t="shared" si="14"/>
        <v>0.66666666666666663</v>
      </c>
      <c r="N150" s="17">
        <f>IF(OR(L150="",L150=0),"",Параметры!$B$3/L150)</f>
        <v>5.333333333333333</v>
      </c>
      <c r="O150" s="15">
        <f>IF(L150="","",IFERROR(INDEX('Почасовка — ставки и план'!$D$5:$D$24,MATCH($D150,'Почасовка — ставки и план'!$A$5:$A$24,0)),""))</f>
        <v>850</v>
      </c>
      <c r="P150" s="15">
        <f>IF(L150="","",IFERROR(INDEX('Почасовка — ставки и план'!$E$5:$E$24,MATCH($D150,'Почасовка — ставки и план'!$A$5:$A$24,0)),""))</f>
        <v>1020</v>
      </c>
      <c r="Q150" s="15">
        <f t="shared" si="15"/>
        <v>1275</v>
      </c>
      <c r="R150" s="13" t="str">
        <f>IF(D150="TEX","аренда техники — сделка/счёт",IF(OR(Q150="",H150="",H150=0),"—",IF(Q150&lt;H150*(1-Параметры!$B$7),"почасовка",IF(Q150&gt;H150*(1+Параметры!$B$7),"сделка","любой способ"))))</f>
        <v>любой способ</v>
      </c>
      <c r="S150">
        <v>0</v>
      </c>
      <c r="T150">
        <v>0</v>
      </c>
    </row>
    <row r="151" spans="1:20" x14ac:dyDescent="0.25">
      <c r="A151" s="13" t="s">
        <v>357</v>
      </c>
      <c r="B151" s="13" t="s">
        <v>358</v>
      </c>
      <c r="C151" s="13" t="s">
        <v>144</v>
      </c>
      <c r="D151" s="13" t="s">
        <v>273</v>
      </c>
      <c r="E151" s="13" t="str">
        <f>IFERROR(INDEX('Почасовка — ставки и план'!$B$5:$B$24,MATCH(D151,'Почасовка — ставки и план'!$A$5:$A$24,0)),"Аренда техники / механизмы")</f>
        <v>Электромонтажник</v>
      </c>
      <c r="F151" s="14">
        <v>3000</v>
      </c>
      <c r="G151" s="14">
        <v>3450</v>
      </c>
      <c r="H151" s="15">
        <v>1800</v>
      </c>
      <c r="I151" s="15">
        <f>IF(OR(H151="",F151=""),"",MAX(H151,MIN(ROUND(H151*(1+Параметры!$B$5),IF(H151*(1+Параметры!$B$5)&gt;=1000,-1,0)),ROUND(F151*Параметры!$B$6,IF(F151*Параметры!$B$6&gt;=1000,-1,0)))))</f>
        <v>2070</v>
      </c>
      <c r="J151" s="15">
        <v>2070</v>
      </c>
      <c r="K151" s="15">
        <f>IF(OR(J151="",G151=""),"",MAX(J151,MIN(ROUND(J151*(1+Параметры!$B$5),IF(J151*(1+Параметры!$B$5)&gt;=1000,-1,0)),ROUND(G151*Параметры!$B$6,IF(G151*Параметры!$B$6&gt;=1000,-1,0)))))</f>
        <v>2380</v>
      </c>
      <c r="L151" s="16">
        <v>2.5</v>
      </c>
      <c r="M151" s="17">
        <f t="shared" si="14"/>
        <v>0.4</v>
      </c>
      <c r="N151" s="17">
        <f>IF(OR(L151="",L151=0),"",Параметры!$B$3/L151)</f>
        <v>3.2</v>
      </c>
      <c r="O151" s="15">
        <f>IF(L151="","",IFERROR(INDEX('Почасовка — ставки и план'!$D$5:$D$24,MATCH($D151,'Почасовка — ставки и план'!$A$5:$A$24,0)),""))</f>
        <v>850</v>
      </c>
      <c r="P151" s="15">
        <f>IF(L151="","",IFERROR(INDEX('Почасовка — ставки и план'!$E$5:$E$24,MATCH($D151,'Почасовка — ставки и план'!$A$5:$A$24,0)),""))</f>
        <v>1020</v>
      </c>
      <c r="Q151" s="15">
        <f t="shared" si="15"/>
        <v>2125</v>
      </c>
      <c r="R151" s="13" t="str">
        <f>IF(D151="TEX","аренда техники — сделка/счёт",IF(OR(Q151="",H151="",H151=0),"—",IF(Q151&lt;H151*(1-Параметры!$B$7),"почасовка",IF(Q151&gt;H151*(1+Параметры!$B$7),"сделка","любой способ"))))</f>
        <v>сделка</v>
      </c>
      <c r="S151">
        <v>0</v>
      </c>
      <c r="T151">
        <v>0</v>
      </c>
    </row>
    <row r="152" spans="1:20" x14ac:dyDescent="0.25">
      <c r="A152" s="13" t="s">
        <v>359</v>
      </c>
      <c r="B152" s="13" t="s">
        <v>360</v>
      </c>
      <c r="C152" s="13" t="s">
        <v>69</v>
      </c>
      <c r="D152" s="13" t="s">
        <v>299</v>
      </c>
      <c r="E152" s="13" t="str">
        <f>IFERROR(INDEX('Почасовка — ставки и план'!$B$5:$B$24,MATCH(D152,'Почасовка — ставки и план'!$A$5:$A$24,0)),"Аренда техники / механизмы")</f>
        <v>Холодильщик / монтажник кондиционеров</v>
      </c>
      <c r="F152" s="14">
        <v>400</v>
      </c>
      <c r="G152" s="14">
        <v>480</v>
      </c>
      <c r="H152" s="15">
        <v>180</v>
      </c>
      <c r="I152" s="15">
        <f>IF(OR(H152="",F152=""),"",MAX(H152,MIN(ROUND(H152*(1+Параметры!$B$5),IF(H152*(1+Параметры!$B$5)&gt;=1000,-1,0)),ROUND(F152*Параметры!$B$6,IF(F152*Параметры!$B$6&gt;=1000,-1,0)))))</f>
        <v>207</v>
      </c>
      <c r="J152" s="15">
        <v>207</v>
      </c>
      <c r="K152" s="15">
        <f>IF(OR(J152="",G152=""),"",MAX(J152,MIN(ROUND(J152*(1+Параметры!$B$5),IF(J152*(1+Параметры!$B$5)&gt;=1000,-1,0)),ROUND(G152*Параметры!$B$6,IF(G152*Параметры!$B$6&gt;=1000,-1,0)))))</f>
        <v>238</v>
      </c>
      <c r="L152" s="16">
        <v>0.25</v>
      </c>
      <c r="M152" s="17">
        <f t="shared" si="14"/>
        <v>4</v>
      </c>
      <c r="N152" s="17">
        <f>IF(OR(L152="",L152=0),"",Параметры!$B$3/L152)</f>
        <v>32</v>
      </c>
      <c r="O152" s="15">
        <f>IF(L152="","",IFERROR(INDEX('Почасовка — ставки и план'!$D$5:$D$24,MATCH($D152,'Почасовка — ставки и план'!$A$5:$A$24,0)),""))</f>
        <v>1200</v>
      </c>
      <c r="P152" s="15">
        <f>IF(L152="","",IFERROR(INDEX('Почасовка — ставки и план'!$E$5:$E$24,MATCH($D152,'Почасовка — ставки и план'!$A$5:$A$24,0)),""))</f>
        <v>1440</v>
      </c>
      <c r="Q152" s="15">
        <f t="shared" si="15"/>
        <v>300</v>
      </c>
      <c r="R152" s="13" t="str">
        <f>IF(D152="TEX","аренда техники — сделка/счёт",IF(OR(Q152="",H152="",H152=0),"—",IF(Q152&lt;H152*(1-Параметры!$B$7),"почасовка",IF(Q152&gt;H152*(1+Параметры!$B$7),"сделка","любой способ"))))</f>
        <v>сделка</v>
      </c>
      <c r="S152">
        <v>0.33333333333333331</v>
      </c>
      <c r="T152">
        <v>0.39130434782608692</v>
      </c>
    </row>
    <row r="153" spans="1:20" x14ac:dyDescent="0.25">
      <c r="A153" s="18" t="s">
        <v>361</v>
      </c>
      <c r="B153" s="13" t="s">
        <v>362</v>
      </c>
      <c r="C153" s="13" t="s">
        <v>69</v>
      </c>
      <c r="D153" s="13" t="s">
        <v>288</v>
      </c>
      <c r="E153" s="13" t="str">
        <f>IFERROR(INDEX('Почасовка — ставки и план'!$B$5:$B$24,MATCH(D153,'Почасовка — ставки и план'!$A$5:$A$24,0)),"Аренда техники / механизмы")</f>
        <v>Монтажник вентиляции</v>
      </c>
      <c r="F153" s="14">
        <v>91</v>
      </c>
      <c r="G153" s="14">
        <v>110</v>
      </c>
      <c r="H153" s="15">
        <v>50</v>
      </c>
      <c r="I153" s="15">
        <f>IF(OR(H153="",F153=""),"",MAX(H153,MIN(ROUND(H153*(1+Параметры!$B$5),IF(H153*(1+Параметры!$B$5)&gt;=1000,-1,0)),ROUND(F153*Параметры!$B$6,IF(F153*Параметры!$B$6&gt;=1000,-1,0)))))</f>
        <v>58</v>
      </c>
      <c r="J153" s="15">
        <v>57.5</v>
      </c>
      <c r="K153" s="15">
        <f>IF(OR(J153="",G153=""),"",MAX(J153,MIN(ROUND(J153*(1+Параметры!$B$5),IF(J153*(1+Параметры!$B$5)&gt;=1000,-1,0)),ROUND(G153*Параметры!$B$6,IF(G153*Параметры!$B$6&gt;=1000,-1,0)))))</f>
        <v>66</v>
      </c>
      <c r="L153" s="16">
        <v>0.08</v>
      </c>
      <c r="M153" s="17">
        <f t="shared" si="14"/>
        <v>12.5</v>
      </c>
      <c r="N153" s="17">
        <f>IF(OR(L153="",L153=0),"",Параметры!$B$3/L153)</f>
        <v>100</v>
      </c>
      <c r="O153" s="15">
        <f>IF(L153="","",IFERROR(INDEX('Почасовка — ставки и план'!$D$5:$D$24,MATCH($D153,'Почасовка — ставки и план'!$A$5:$A$24,0)),""))</f>
        <v>850</v>
      </c>
      <c r="P153" s="15">
        <f>IF(L153="","",IFERROR(INDEX('Почасовка — ставки и план'!$E$5:$E$24,MATCH($D153,'Почасовка — ставки и план'!$A$5:$A$24,0)),""))</f>
        <v>1020</v>
      </c>
      <c r="Q153" s="15">
        <f t="shared" si="15"/>
        <v>68</v>
      </c>
      <c r="R153" s="13" t="str">
        <f>IF(D153="TEX","аренда техники — сделка/счёт",IF(OR(Q153="",H153="",H153=0),"—",IF(Q153&lt;H153*(1-Параметры!$B$7),"почасовка",IF(Q153&gt;H153*(1+Параметры!$B$7),"сделка","любой способ"))))</f>
        <v>сделка</v>
      </c>
      <c r="S153">
        <v>0.13750000000000001</v>
      </c>
      <c r="T153">
        <v>0.19565217391304349</v>
      </c>
    </row>
    <row r="154" spans="1:20" x14ac:dyDescent="0.25">
      <c r="A154" s="18" t="s">
        <v>363</v>
      </c>
      <c r="B154" s="13" t="s">
        <v>364</v>
      </c>
      <c r="C154" s="13" t="s">
        <v>69</v>
      </c>
      <c r="D154" s="13" t="s">
        <v>288</v>
      </c>
      <c r="E154" s="13" t="str">
        <f>IFERROR(INDEX('Почасовка — ставки и план'!$B$5:$B$24,MATCH(D154,'Почасовка — ставки и план'!$A$5:$A$24,0)),"Аренда техники / механизмы")</f>
        <v>Монтажник вентиляции</v>
      </c>
      <c r="F154" s="14">
        <v>227</v>
      </c>
      <c r="G154" s="14">
        <v>272</v>
      </c>
      <c r="H154" s="15">
        <v>110</v>
      </c>
      <c r="I154" s="15">
        <f>IF(OR(H154="",F154=""),"",MAX(H154,MIN(ROUND(H154*(1+Параметры!$B$5),IF(H154*(1+Параметры!$B$5)&gt;=1000,-1,0)),ROUND(F154*Параметры!$B$6,IF(F154*Параметры!$B$6&gt;=1000,-1,0)))))</f>
        <v>127</v>
      </c>
      <c r="J154" s="15">
        <v>126</v>
      </c>
      <c r="K154" s="15">
        <f>IF(OR(J154="",G154=""),"",MAX(J154,MIN(ROUND(J154*(1+Параметры!$B$5),IF(J154*(1+Параметры!$B$5)&gt;=1000,-1,0)),ROUND(G154*Параметры!$B$6,IF(G154*Параметры!$B$6&gt;=1000,-1,0)))))</f>
        <v>145</v>
      </c>
      <c r="L154" s="16">
        <v>0.2</v>
      </c>
      <c r="M154" s="17">
        <f t="shared" si="14"/>
        <v>5</v>
      </c>
      <c r="N154" s="17">
        <f>IF(OR(L154="",L154=0),"",Параметры!$B$3/L154)</f>
        <v>40</v>
      </c>
      <c r="O154" s="15">
        <f>IF(L154="","",IFERROR(INDEX('Почасовка — ставки и план'!$D$5:$D$24,MATCH($D154,'Почасовка — ставки и план'!$A$5:$A$24,0)),""))</f>
        <v>850</v>
      </c>
      <c r="P154" s="15">
        <f>IF(L154="","",IFERROR(INDEX('Почасовка — ставки и план'!$E$5:$E$24,MATCH($D154,'Почасовка — ставки и план'!$A$5:$A$24,0)),""))</f>
        <v>1020</v>
      </c>
      <c r="Q154" s="15">
        <f t="shared" si="15"/>
        <v>170</v>
      </c>
      <c r="R154" s="13" t="str">
        <f>IF(D154="TEX","аренда техники — сделка/счёт",IF(OR(Q154="",H154="",H154=0),"—",IF(Q154&lt;H154*(1-Параметры!$B$7),"почасовка",IF(Q154&gt;H154*(1+Параметры!$B$7),"сделка","любой способ"))))</f>
        <v>сделка</v>
      </c>
      <c r="S154">
        <v>0.26111111111111113</v>
      </c>
      <c r="T154">
        <v>0.31400966183574891</v>
      </c>
    </row>
    <row r="155" spans="1:20" x14ac:dyDescent="0.25">
      <c r="A155" s="18" t="s">
        <v>365</v>
      </c>
      <c r="B155" s="13" t="s">
        <v>366</v>
      </c>
      <c r="C155" s="13" t="s">
        <v>144</v>
      </c>
      <c r="D155" s="13" t="s">
        <v>299</v>
      </c>
      <c r="E155" s="13" t="str">
        <f>IFERROR(INDEX('Почасовка — ставки и план'!$B$5:$B$24,MATCH(D155,'Почасовка — ставки и план'!$A$5:$A$24,0)),"Аренда техники / механизмы")</f>
        <v>Холодильщик / монтажник кондиционеров</v>
      </c>
      <c r="F155" s="14">
        <v>2500</v>
      </c>
      <c r="G155" s="14">
        <v>2875</v>
      </c>
      <c r="H155" s="15">
        <v>1500</v>
      </c>
      <c r="I155" s="15">
        <f>IF(OR(H155="",F155=""),"",MAX(H155,MIN(ROUND(H155*(1+Параметры!$B$5),IF(H155*(1+Параметры!$B$5)&gt;=1000,-1,0)),ROUND(F155*Параметры!$B$6,IF(F155*Параметры!$B$6&gt;=1000,-1,0)))))</f>
        <v>1730</v>
      </c>
      <c r="J155" s="15">
        <v>1725</v>
      </c>
      <c r="K155" s="15">
        <f>IF(OR(J155="",G155=""),"",MAX(J155,MIN(ROUND(J155*(1+Параметры!$B$5),IF(J155*(1+Параметры!$B$5)&gt;=1000,-1,0)),ROUND(G155*Параметры!$B$6,IF(G155*Параметры!$B$6&gt;=1000,-1,0)))))</f>
        <v>1980</v>
      </c>
      <c r="L155" s="16">
        <v>1</v>
      </c>
      <c r="M155" s="17">
        <f t="shared" si="14"/>
        <v>1</v>
      </c>
      <c r="N155" s="17">
        <f>IF(OR(L155="",L155=0),"",Параметры!$B$3/L155)</f>
        <v>8</v>
      </c>
      <c r="O155" s="15">
        <f>IF(L155="","",IFERROR(INDEX('Почасовка — ставки и план'!$D$5:$D$24,MATCH($D155,'Почасовка — ставки и план'!$A$5:$A$24,0)),""))</f>
        <v>1200</v>
      </c>
      <c r="P155" s="15">
        <f>IF(L155="","",IFERROR(INDEX('Почасовка — ставки и план'!$E$5:$E$24,MATCH($D155,'Почасовка — ставки и план'!$A$5:$A$24,0)),""))</f>
        <v>1440</v>
      </c>
      <c r="Q155" s="15">
        <f t="shared" si="15"/>
        <v>1200</v>
      </c>
      <c r="R155" s="13" t="str">
        <f>IF(D155="TEX","аренда техники — сделка/счёт",IF(OR(Q155="",H155="",H155=0),"—",IF(Q155&lt;H155*(1-Параметры!$B$7),"почасовка",IF(Q155&gt;H155*(1+Параметры!$B$7),"сделка","любой способ"))))</f>
        <v>почасовка</v>
      </c>
      <c r="S155">
        <v>0</v>
      </c>
      <c r="T155">
        <v>0</v>
      </c>
    </row>
    <row r="156" spans="1:20" x14ac:dyDescent="0.25">
      <c r="A156" s="18" t="s">
        <v>367</v>
      </c>
      <c r="B156" s="13" t="s">
        <v>368</v>
      </c>
      <c r="C156" s="13" t="s">
        <v>144</v>
      </c>
      <c r="D156" s="13" t="s">
        <v>288</v>
      </c>
      <c r="E156" s="13" t="str">
        <f>IFERROR(INDEX('Почасовка — ставки и план'!$B$5:$B$24,MATCH(D156,'Почасовка — ставки и план'!$A$5:$A$24,0)),"Аренда техники / механизмы")</f>
        <v>Монтажник вентиляции</v>
      </c>
      <c r="F156" s="14">
        <v>3500</v>
      </c>
      <c r="G156" s="14">
        <v>4025</v>
      </c>
      <c r="H156" s="15">
        <v>2100</v>
      </c>
      <c r="I156" s="15">
        <f>IF(OR(H156="",F156=""),"",MAX(H156,MIN(ROUND(H156*(1+Параметры!$B$5),IF(H156*(1+Параметры!$B$5)&gt;=1000,-1,0)),ROUND(F156*Параметры!$B$6,IF(F156*Параметры!$B$6&gt;=1000,-1,0)))))</f>
        <v>2420</v>
      </c>
      <c r="J156" s="15">
        <v>2415</v>
      </c>
      <c r="K156" s="15">
        <f>IF(OR(J156="",G156=""),"",MAX(J156,MIN(ROUND(J156*(1+Параметры!$B$5),IF(J156*(1+Параметры!$B$5)&gt;=1000,-1,0)),ROUND(G156*Параметры!$B$6,IF(G156*Параметры!$B$6&gt;=1000,-1,0)))))</f>
        <v>2780</v>
      </c>
      <c r="L156" s="16">
        <v>2.5</v>
      </c>
      <c r="M156" s="17">
        <f t="shared" si="14"/>
        <v>0.4</v>
      </c>
      <c r="N156" s="17">
        <f>IF(OR(L156="",L156=0),"",Параметры!$B$3/L156)</f>
        <v>3.2</v>
      </c>
      <c r="O156" s="15">
        <f>IF(L156="","",IFERROR(INDEX('Почасовка — ставки и план'!$D$5:$D$24,MATCH($D156,'Почасовка — ставки и план'!$A$5:$A$24,0)),""))</f>
        <v>850</v>
      </c>
      <c r="P156" s="15">
        <f>IF(L156="","",IFERROR(INDEX('Почасовка — ставки и план'!$E$5:$E$24,MATCH($D156,'Почасовка — ставки и план'!$A$5:$A$24,0)),""))</f>
        <v>1020</v>
      </c>
      <c r="Q156" s="15">
        <f t="shared" si="15"/>
        <v>2125</v>
      </c>
      <c r="R156" s="13" t="str">
        <f>IF(D156="TEX","аренда техники — сделка/счёт",IF(OR(Q156="",H156="",H156=0),"—",IF(Q156&lt;H156*(1-Параметры!$B$7),"почасовка",IF(Q156&gt;H156*(1+Параметры!$B$7),"сделка","любой способ"))))</f>
        <v>любой способ</v>
      </c>
      <c r="S156">
        <v>0</v>
      </c>
      <c r="T156">
        <v>0</v>
      </c>
    </row>
    <row r="157" spans="1:20" x14ac:dyDescent="0.25">
      <c r="A157" s="18" t="s">
        <v>369</v>
      </c>
      <c r="B157" s="13" t="s">
        <v>370</v>
      </c>
      <c r="C157" s="13" t="s">
        <v>144</v>
      </c>
      <c r="D157" s="13" t="s">
        <v>288</v>
      </c>
      <c r="E157" s="13" t="str">
        <f>IFERROR(INDEX('Почасовка — ставки и план'!$B$5:$B$24,MATCH(D157,'Почасовка — ставки и план'!$A$5:$A$24,0)),"Аренда техники / механизмы")</f>
        <v>Монтажник вентиляции</v>
      </c>
      <c r="F157" s="14">
        <v>6000</v>
      </c>
      <c r="G157" s="14">
        <v>6900</v>
      </c>
      <c r="H157" s="15">
        <v>3600</v>
      </c>
      <c r="I157" s="15">
        <f>IF(OR(H157="",F157=""),"",MAX(H157,MIN(ROUND(H157*(1+Параметры!$B$5),IF(H157*(1+Параметры!$B$5)&gt;=1000,-1,0)),ROUND(F157*Параметры!$B$6,IF(F157*Параметры!$B$6&gt;=1000,-1,0)))))</f>
        <v>4140</v>
      </c>
      <c r="J157" s="15">
        <v>4140</v>
      </c>
      <c r="K157" s="15">
        <f>IF(OR(J157="",G157=""),"",MAX(J157,MIN(ROUND(J157*(1+Параметры!$B$5),IF(J157*(1+Параметры!$B$5)&gt;=1000,-1,0)),ROUND(G157*Параметры!$B$6,IF(G157*Параметры!$B$6&gt;=1000,-1,0)))))</f>
        <v>4760</v>
      </c>
      <c r="L157" s="16">
        <v>4</v>
      </c>
      <c r="M157" s="17">
        <f t="shared" si="14"/>
        <v>0.25</v>
      </c>
      <c r="N157" s="17">
        <f>IF(OR(L157="",L157=0),"",Параметры!$B$3/L157)</f>
        <v>2</v>
      </c>
      <c r="O157" s="15">
        <f>IF(L157="","",IFERROR(INDEX('Почасовка — ставки и план'!$D$5:$D$24,MATCH($D157,'Почасовка — ставки и план'!$A$5:$A$24,0)),""))</f>
        <v>850</v>
      </c>
      <c r="P157" s="15">
        <f>IF(L157="","",IFERROR(INDEX('Почасовка — ставки и план'!$E$5:$E$24,MATCH($D157,'Почасовка — ставки и план'!$A$5:$A$24,0)),""))</f>
        <v>1020</v>
      </c>
      <c r="Q157" s="15">
        <f t="shared" si="15"/>
        <v>3400</v>
      </c>
      <c r="R157" s="13" t="str">
        <f>IF(D157="TEX","аренда техники — сделка/счёт",IF(OR(Q157="",H157="",H157=0),"—",IF(Q157&lt;H157*(1-Параметры!$B$7),"почасовка",IF(Q157&gt;H157*(1+Параметры!$B$7),"сделка","любой способ"))))</f>
        <v>любой способ</v>
      </c>
      <c r="S157">
        <v>0</v>
      </c>
      <c r="T157">
        <v>0</v>
      </c>
    </row>
    <row r="158" spans="1:20" x14ac:dyDescent="0.25">
      <c r="A158" s="11" t="s">
        <v>371</v>
      </c>
      <c r="B158" s="12"/>
      <c r="C158" s="12"/>
      <c r="D158" s="12"/>
      <c r="E158" s="12"/>
      <c r="F158" s="12"/>
      <c r="G158" s="12"/>
      <c r="H158" s="12"/>
      <c r="I158" s="12"/>
      <c r="J158" s="12"/>
      <c r="K158" s="12"/>
      <c r="L158" s="12"/>
      <c r="M158" s="12"/>
      <c r="N158" s="12"/>
      <c r="O158" s="12"/>
      <c r="P158" s="12"/>
      <c r="Q158" s="12"/>
      <c r="R158" s="12"/>
    </row>
    <row r="159" spans="1:20" x14ac:dyDescent="0.25">
      <c r="A159" s="13" t="s">
        <v>372</v>
      </c>
      <c r="B159" s="13" t="s">
        <v>373</v>
      </c>
      <c r="C159" s="13" t="s">
        <v>144</v>
      </c>
      <c r="D159" s="13" t="s">
        <v>326</v>
      </c>
      <c r="E159" s="13" t="str">
        <f>IFERROR(INDEX('Почасовка — ставки и план'!$B$5:$B$24,MATCH(D159,'Почасовка — ставки и план'!$A$5:$A$24,0)),"Аренда техники / механизмы")</f>
        <v>Сантехник</v>
      </c>
      <c r="F159" s="14">
        <v>454</v>
      </c>
      <c r="G159" s="14">
        <v>544</v>
      </c>
      <c r="H159" s="15">
        <v>240</v>
      </c>
      <c r="I159" s="15">
        <f>IF(OR(H159="",F159=""),"",MAX(H159,MIN(ROUND(H159*(1+Параметры!$B$5),IF(H159*(1+Параметры!$B$5)&gt;=1000,-1,0)),ROUND(F159*Параметры!$B$6,IF(F159*Параметры!$B$6&gt;=1000,-1,0)))))</f>
        <v>276</v>
      </c>
      <c r="J159" s="15">
        <v>276</v>
      </c>
      <c r="K159" s="15">
        <f>IF(OR(J159="",G159=""),"",MAX(J159,MIN(ROUND(J159*(1+Параметры!$B$5),IF(J159*(1+Параметры!$B$5)&gt;=1000,-1,0)),ROUND(G159*Параметры!$B$6,IF(G159*Параметры!$B$6&gt;=1000,-1,0)))))</f>
        <v>317</v>
      </c>
      <c r="L159" s="16">
        <v>0.4</v>
      </c>
      <c r="M159" s="17">
        <f t="shared" ref="M159:M194" si="16">IF(OR(L159="",L159=0),"",1/L159)</f>
        <v>2.5</v>
      </c>
      <c r="N159" s="17">
        <f>IF(OR(L159="",L159=0),"",Параметры!$B$3/L159)</f>
        <v>20</v>
      </c>
      <c r="O159" s="15">
        <f>IF(L159="","",IFERROR(INDEX('Почасовка — ставки и план'!$D$5:$D$24,MATCH($D159,'Почасовка — ставки и план'!$A$5:$A$24,0)),""))</f>
        <v>850</v>
      </c>
      <c r="P159" s="15">
        <f>IF(L159="","",IFERROR(INDEX('Почасовка — ставки и план'!$E$5:$E$24,MATCH($D159,'Почасовка — ставки и план'!$A$5:$A$24,0)),""))</f>
        <v>1020</v>
      </c>
      <c r="Q159" s="15">
        <f t="shared" ref="Q159:Q194" si="17">IF(OR(L159="",O159=""),"",ROUND(L159*O159,0))</f>
        <v>340</v>
      </c>
      <c r="R159" s="13" t="str">
        <f>IF(D159="TEX","аренда техники — сделка/счёт",IF(OR(Q159="",H159="",H159=0),"—",IF(Q159&lt;H159*(1-Параметры!$B$7),"почасовка",IF(Q159&gt;H159*(1+Параметры!$B$7),"сделка","любой способ"))))</f>
        <v>сделка</v>
      </c>
      <c r="S159">
        <v>0.13500000000000001</v>
      </c>
      <c r="T159">
        <v>0.182608695652174</v>
      </c>
    </row>
    <row r="160" spans="1:20" x14ac:dyDescent="0.25">
      <c r="A160" s="13" t="s">
        <v>374</v>
      </c>
      <c r="B160" s="13" t="s">
        <v>375</v>
      </c>
      <c r="C160" s="13" t="s">
        <v>144</v>
      </c>
      <c r="D160" s="13" t="s">
        <v>326</v>
      </c>
      <c r="E160" s="13" t="str">
        <f>IFERROR(INDEX('Почасовка — ставки и план'!$B$5:$B$24,MATCH(D160,'Почасовка — ставки и план'!$A$5:$A$24,0)),"Аренда техники / механизмы")</f>
        <v>Сантехник</v>
      </c>
      <c r="F160" s="14">
        <v>794</v>
      </c>
      <c r="G160" s="14">
        <v>952</v>
      </c>
      <c r="H160" s="15">
        <v>420</v>
      </c>
      <c r="I160" s="15">
        <f>IF(OR(H160="",F160=""),"",MAX(H160,MIN(ROUND(H160*(1+Параметры!$B$5),IF(H160*(1+Параметры!$B$5)&gt;=1000,-1,0)),ROUND(F160*Параметры!$B$6,IF(F160*Параметры!$B$6&gt;=1000,-1,0)))))</f>
        <v>483</v>
      </c>
      <c r="J160" s="15">
        <v>483</v>
      </c>
      <c r="K160" s="15">
        <f>IF(OR(J160="",G160=""),"",MAX(J160,MIN(ROUND(J160*(1+Параметры!$B$5),IF(J160*(1+Параметры!$B$5)&gt;=1000,-1,0)),ROUND(G160*Параметры!$B$6,IF(G160*Параметры!$B$6&gt;=1000,-1,0)))))</f>
        <v>555</v>
      </c>
      <c r="L160" s="16">
        <v>0.7</v>
      </c>
      <c r="M160" s="17">
        <f t="shared" si="16"/>
        <v>1.4285714285714286</v>
      </c>
      <c r="N160" s="17">
        <f>IF(OR(L160="",L160=0),"",Параметры!$B$3/L160)</f>
        <v>11.428571428571429</v>
      </c>
      <c r="O160" s="15">
        <f>IF(L160="","",IFERROR(INDEX('Почасовка — ставки и план'!$D$5:$D$24,MATCH($D160,'Почасовка — ставки и план'!$A$5:$A$24,0)),""))</f>
        <v>850</v>
      </c>
      <c r="P160" s="15">
        <f>IF(L160="","",IFERROR(INDEX('Почасовка — ставки и план'!$E$5:$E$24,MATCH($D160,'Почасовка — ставки и план'!$A$5:$A$24,0)),""))</f>
        <v>1020</v>
      </c>
      <c r="Q160" s="15">
        <f t="shared" si="17"/>
        <v>595</v>
      </c>
      <c r="R160" s="13" t="str">
        <f>IF(D160="TEX","аренда техники — сделка/счёт",IF(OR(Q160="",H160="",H160=0),"—",IF(Q160&lt;H160*(1-Параметры!$B$7),"почасовка",IF(Q160&gt;H160*(1+Параметры!$B$7),"сделка","любой способ"))))</f>
        <v>сделка</v>
      </c>
      <c r="S160">
        <v>0.13428571428571431</v>
      </c>
      <c r="T160">
        <v>0.182608695652174</v>
      </c>
    </row>
    <row r="161" spans="1:20" x14ac:dyDescent="0.25">
      <c r="A161" s="13" t="s">
        <v>376</v>
      </c>
      <c r="B161" s="13" t="s">
        <v>377</v>
      </c>
      <c r="C161" s="13" t="s">
        <v>144</v>
      </c>
      <c r="D161" s="13" t="s">
        <v>326</v>
      </c>
      <c r="E161" s="13" t="str">
        <f>IFERROR(INDEX('Почасовка — ставки и план'!$B$5:$B$24,MATCH(D161,'Почасовка — ставки и план'!$A$5:$A$24,0)),"Аренда техники / механизмы")</f>
        <v>Сантехник</v>
      </c>
      <c r="F161" s="14">
        <v>2267</v>
      </c>
      <c r="G161" s="14">
        <v>2720</v>
      </c>
      <c r="H161" s="15">
        <v>900</v>
      </c>
      <c r="I161" s="15">
        <f>IF(OR(H161="",F161=""),"",MAX(H161,MIN(ROUND(H161*(1+Параметры!$B$5),IF(H161*(1+Параметры!$B$5)&gt;=1000,-1,0)),ROUND(F161*Параметры!$B$6,IF(F161*Параметры!$B$6&gt;=1000,-1,0)))))</f>
        <v>1040</v>
      </c>
      <c r="J161" s="15">
        <v>1035</v>
      </c>
      <c r="K161" s="15">
        <f>IF(OR(J161="",G161=""),"",MAX(J161,MIN(ROUND(J161*(1+Параметры!$B$5),IF(J161*(1+Параметры!$B$5)&gt;=1000,-1,0)),ROUND(G161*Параметры!$B$6,IF(G161*Параметры!$B$6&gt;=1000,-1,0)))))</f>
        <v>1190</v>
      </c>
      <c r="L161" s="16">
        <v>2</v>
      </c>
      <c r="M161" s="17">
        <f t="shared" si="16"/>
        <v>0.5</v>
      </c>
      <c r="N161" s="17">
        <f>IF(OR(L161="",L161=0),"",Параметры!$B$3/L161)</f>
        <v>4</v>
      </c>
      <c r="O161" s="15">
        <f>IF(L161="","",IFERROR(INDEX('Почасовка — ставки и план'!$D$5:$D$24,MATCH($D161,'Почасовка — ставки и план'!$A$5:$A$24,0)),""))</f>
        <v>850</v>
      </c>
      <c r="P161" s="15">
        <f>IF(L161="","",IFERROR(INDEX('Почасовка — ставки и план'!$E$5:$E$24,MATCH($D161,'Почасовка — ставки и план'!$A$5:$A$24,0)),""))</f>
        <v>1020</v>
      </c>
      <c r="Q161" s="15">
        <f t="shared" si="17"/>
        <v>1700</v>
      </c>
      <c r="R161" s="13" t="str">
        <f>IF(D161="TEX","аренда техники — сделка/счёт",IF(OR(Q161="",H161="",H161=0),"—",IF(Q161&lt;H161*(1-Параметры!$B$7),"почасовка",IF(Q161&gt;H161*(1+Параметры!$B$7),"сделка","любой способ"))))</f>
        <v>сделка</v>
      </c>
      <c r="S161">
        <v>0.51133333333333342</v>
      </c>
      <c r="T161">
        <v>0.57681159420289863</v>
      </c>
    </row>
    <row r="162" spans="1:20" x14ac:dyDescent="0.25">
      <c r="A162" s="13" t="s">
        <v>378</v>
      </c>
      <c r="B162" s="13" t="s">
        <v>379</v>
      </c>
      <c r="C162" s="13" t="s">
        <v>144</v>
      </c>
      <c r="D162" s="13" t="s">
        <v>326</v>
      </c>
      <c r="E162" s="13" t="str">
        <f>IFERROR(INDEX('Почасовка — ставки и план'!$B$5:$B$24,MATCH(D162,'Почасовка — ставки и план'!$A$5:$A$24,0)),"Аренда техники / механизмы")</f>
        <v>Сантехник</v>
      </c>
      <c r="F162" s="14">
        <v>680</v>
      </c>
      <c r="G162" s="14">
        <v>816</v>
      </c>
      <c r="H162" s="15">
        <v>360</v>
      </c>
      <c r="I162" s="15">
        <f>IF(OR(H162="",F162=""),"",MAX(H162,MIN(ROUND(H162*(1+Параметры!$B$5),IF(H162*(1+Параметры!$B$5)&gt;=1000,-1,0)),ROUND(F162*Параметры!$B$6,IF(F162*Параметры!$B$6&gt;=1000,-1,0)))))</f>
        <v>414</v>
      </c>
      <c r="J162" s="15">
        <v>414</v>
      </c>
      <c r="K162" s="15">
        <f>IF(OR(J162="",G162=""),"",MAX(J162,MIN(ROUND(J162*(1+Параметры!$B$5),IF(J162*(1+Параметры!$B$5)&gt;=1000,-1,0)),ROUND(G162*Параметры!$B$6,IF(G162*Параметры!$B$6&gt;=1000,-1,0)))))</f>
        <v>476</v>
      </c>
      <c r="L162" s="16">
        <v>0.6</v>
      </c>
      <c r="M162" s="17">
        <f t="shared" si="16"/>
        <v>1.6666666666666667</v>
      </c>
      <c r="N162" s="17">
        <f>IF(OR(L162="",L162=0),"",Параметры!$B$3/L162)</f>
        <v>13.333333333333334</v>
      </c>
      <c r="O162" s="15">
        <f>IF(L162="","",IFERROR(INDEX('Почасовка — ставки и план'!$D$5:$D$24,MATCH($D162,'Почасовка — ставки и план'!$A$5:$A$24,0)),""))</f>
        <v>850</v>
      </c>
      <c r="P162" s="15">
        <f>IF(L162="","",IFERROR(INDEX('Почасовка — ставки и план'!$E$5:$E$24,MATCH($D162,'Почасовка — ставки и план'!$A$5:$A$24,0)),""))</f>
        <v>1020</v>
      </c>
      <c r="Q162" s="15">
        <f t="shared" si="17"/>
        <v>510</v>
      </c>
      <c r="R162" s="13" t="str">
        <f>IF(D162="TEX","аренда техники — сделка/счёт",IF(OR(Q162="",H162="",H162=0),"—",IF(Q162&lt;H162*(1-Параметры!$B$7),"почасовка",IF(Q162&gt;H162*(1+Параметры!$B$7),"сделка","любой способ"))))</f>
        <v>сделка</v>
      </c>
      <c r="S162">
        <v>0.1333333333333333</v>
      </c>
      <c r="T162">
        <v>0.182608695652174</v>
      </c>
    </row>
    <row r="163" spans="1:20" x14ac:dyDescent="0.25">
      <c r="A163" s="13" t="s">
        <v>380</v>
      </c>
      <c r="B163" s="13" t="s">
        <v>381</v>
      </c>
      <c r="C163" s="13" t="s">
        <v>144</v>
      </c>
      <c r="D163" s="13" t="s">
        <v>326</v>
      </c>
      <c r="E163" s="13" t="str">
        <f>IFERROR(INDEX('Почасовка — ставки и план'!$B$5:$B$24,MATCH(D163,'Почасовка — ставки и план'!$A$5:$A$24,0)),"Аренда техники / механизмы")</f>
        <v>Сантехник</v>
      </c>
      <c r="F163" s="14">
        <v>1700</v>
      </c>
      <c r="G163" s="14">
        <v>2040</v>
      </c>
      <c r="H163" s="15">
        <v>720</v>
      </c>
      <c r="I163" s="15">
        <f>IF(OR(H163="",F163=""),"",MAX(H163,MIN(ROUND(H163*(1+Параметры!$B$5),IF(H163*(1+Параметры!$B$5)&gt;=1000,-1,0)),ROUND(F163*Параметры!$B$6,IF(F163*Параметры!$B$6&gt;=1000,-1,0)))))</f>
        <v>828</v>
      </c>
      <c r="J163" s="15">
        <v>828</v>
      </c>
      <c r="K163" s="15">
        <f>IF(OR(J163="",G163=""),"",MAX(J163,MIN(ROUND(J163*(1+Параметры!$B$5),IF(J163*(1+Параметры!$B$5)&gt;=1000,-1,0)),ROUND(G163*Параметры!$B$6,IF(G163*Параметры!$B$6&gt;=1000,-1,0)))))</f>
        <v>952</v>
      </c>
      <c r="L163" s="16">
        <v>1.5</v>
      </c>
      <c r="M163" s="17">
        <f t="shared" si="16"/>
        <v>0.66666666666666663</v>
      </c>
      <c r="N163" s="17">
        <f>IF(OR(L163="",L163=0),"",Параметры!$B$3/L163)</f>
        <v>5.333333333333333</v>
      </c>
      <c r="O163" s="15">
        <f>IF(L163="","",IFERROR(INDEX('Почасовка — ставки и план'!$D$5:$D$24,MATCH($D163,'Почасовка — ставки и план'!$A$5:$A$24,0)),""))</f>
        <v>850</v>
      </c>
      <c r="P163" s="15">
        <f>IF(L163="","",IFERROR(INDEX('Почасовка — ставки и план'!$E$5:$E$24,MATCH($D163,'Почасовка — ставки и план'!$A$5:$A$24,0)),""))</f>
        <v>1020</v>
      </c>
      <c r="Q163" s="15">
        <f t="shared" si="17"/>
        <v>1275</v>
      </c>
      <c r="R163" s="13" t="str">
        <f>IF(D163="TEX","аренда техники — сделка/счёт",IF(OR(Q163="",H163="",H163=0),"—",IF(Q163&lt;H163*(1-Параметры!$B$7),"почасовка",IF(Q163&gt;H163*(1+Параметры!$B$7),"сделка","любой способ"))))</f>
        <v>сделка</v>
      </c>
      <c r="S163">
        <v>0.41666666666666669</v>
      </c>
      <c r="T163">
        <v>0.47826086956521729</v>
      </c>
    </row>
    <row r="164" spans="1:20" x14ac:dyDescent="0.25">
      <c r="A164" s="13" t="s">
        <v>382</v>
      </c>
      <c r="B164" s="13" t="s">
        <v>383</v>
      </c>
      <c r="C164" s="13" t="s">
        <v>55</v>
      </c>
      <c r="D164" s="13" t="s">
        <v>162</v>
      </c>
      <c r="E164" s="13" t="str">
        <f>IFERROR(INDEX('Почасовка — ставки и план'!$B$5:$B$24,MATCH(D164,'Почасовка — ставки и план'!$A$5:$A$24,0)),"Аренда техники / механизмы")</f>
        <v>Бетонщик / арматурщик</v>
      </c>
      <c r="F164" s="14">
        <v>21334</v>
      </c>
      <c r="G164" s="14">
        <v>25334</v>
      </c>
      <c r="H164" s="15">
        <v>8400</v>
      </c>
      <c r="I164" s="15">
        <f>IF(OR(H164="",F164=""),"",MAX(H164,MIN(ROUND(H164*(1+Параметры!$B$5),IF(H164*(1+Параметры!$B$5)&gt;=1000,-1,0)),ROUND(F164*Параметры!$B$6,IF(F164*Параметры!$B$6&gt;=1000,-1,0)))))</f>
        <v>9660</v>
      </c>
      <c r="J164" s="15">
        <v>9660</v>
      </c>
      <c r="K164" s="15">
        <f>IF(OR(J164="",G164=""),"",MAX(J164,MIN(ROUND(J164*(1+Параметры!$B$5),IF(J164*(1+Параметры!$B$5)&gt;=1000,-1,0)),ROUND(G164*Параметры!$B$6,IF(G164*Параметры!$B$6&gt;=1000,-1,0)))))</f>
        <v>11110</v>
      </c>
      <c r="L164" s="16">
        <v>20</v>
      </c>
      <c r="M164" s="17">
        <f t="shared" si="16"/>
        <v>0.05</v>
      </c>
      <c r="N164" s="17">
        <f>IF(OR(L164="",L164=0),"",Параметры!$B$3/L164)</f>
        <v>0.4</v>
      </c>
      <c r="O164" s="15">
        <f>IF(L164="","",IFERROR(INDEX('Почасовка — ставки и план'!$D$5:$D$24,MATCH($D164,'Почасовка — ставки и план'!$A$5:$A$24,0)),""))</f>
        <v>800</v>
      </c>
      <c r="P164" s="15">
        <f>IF(L164="","",IFERROR(INDEX('Почасовка — ставки и план'!$E$5:$E$24,MATCH($D164,'Почасовка — ставки и план'!$A$5:$A$24,0)),""))</f>
        <v>950</v>
      </c>
      <c r="Q164" s="15">
        <f t="shared" si="17"/>
        <v>16000</v>
      </c>
      <c r="R164" s="13" t="str">
        <f>IF(D164="TEX","аренда техники — сделка/счёт",IF(OR(Q164="",H164="",H164=0),"—",IF(Q164&lt;H164*(1-Параметры!$B$7),"почасовка",IF(Q164&gt;H164*(1+Параметры!$B$7),"сделка","любой способ"))))</f>
        <v>сделка</v>
      </c>
      <c r="S164">
        <v>0.5238571428571428</v>
      </c>
      <c r="T164">
        <v>0.57354037267080749</v>
      </c>
    </row>
    <row r="165" spans="1:20" x14ac:dyDescent="0.25">
      <c r="A165" s="13" t="s">
        <v>384</v>
      </c>
      <c r="B165" s="13" t="s">
        <v>385</v>
      </c>
      <c r="C165" s="13" t="s">
        <v>144</v>
      </c>
      <c r="D165" s="13" t="s">
        <v>326</v>
      </c>
      <c r="E165" s="13" t="str">
        <f>IFERROR(INDEX('Почасовка — ставки и план'!$B$5:$B$24,MATCH(D165,'Почасовка — ставки и план'!$A$5:$A$24,0)),"Аренда техники / механизмы")</f>
        <v>Сантехник</v>
      </c>
      <c r="F165" s="14">
        <v>3500</v>
      </c>
      <c r="G165" s="14">
        <v>4080</v>
      </c>
      <c r="H165" s="15">
        <v>2100</v>
      </c>
      <c r="I165" s="15">
        <f>IF(OR(H165="",F165=""),"",MAX(H165,MIN(ROUND(H165*(1+Параметры!$B$5),IF(H165*(1+Параметры!$B$5)&gt;=1000,-1,0)),ROUND(F165*Параметры!$B$6,IF(F165*Параметры!$B$6&gt;=1000,-1,0)))))</f>
        <v>2420</v>
      </c>
      <c r="J165" s="15">
        <v>2415</v>
      </c>
      <c r="K165" s="15">
        <f>IF(OR(J165="",G165=""),"",MAX(J165,MIN(ROUND(J165*(1+Параметры!$B$5),IF(J165*(1+Параметры!$B$5)&gt;=1000,-1,0)),ROUND(G165*Параметры!$B$6,IF(G165*Параметры!$B$6&gt;=1000,-1,0)))))</f>
        <v>2780</v>
      </c>
      <c r="L165" s="16">
        <v>3</v>
      </c>
      <c r="M165" s="17">
        <f t="shared" si="16"/>
        <v>0.33333333333333331</v>
      </c>
      <c r="N165" s="17">
        <f>IF(OR(L165="",L165=0),"",Параметры!$B$3/L165)</f>
        <v>2.6666666666666665</v>
      </c>
      <c r="O165" s="15">
        <f>IF(L165="","",IFERROR(INDEX('Почасовка — ставки и план'!$D$5:$D$24,MATCH($D165,'Почасовка — ставки и план'!$A$5:$A$24,0)),""))</f>
        <v>850</v>
      </c>
      <c r="P165" s="15">
        <f>IF(L165="","",IFERROR(INDEX('Почасовка — ставки и план'!$E$5:$E$24,MATCH($D165,'Почасовка — ставки и план'!$A$5:$A$24,0)),""))</f>
        <v>1020</v>
      </c>
      <c r="Q165" s="15">
        <f t="shared" si="17"/>
        <v>2550</v>
      </c>
      <c r="R165" s="13" t="str">
        <f>IF(D165="TEX","аренда техники — сделка/счёт",IF(OR(Q165="",H165="",H165=0),"—",IF(Q165&lt;H165*(1-Параметры!$B$7),"почасовка",IF(Q165&gt;H165*(1+Параметры!$B$7),"сделка","любой способ"))))</f>
        <v>сделка</v>
      </c>
      <c r="S165">
        <v>0</v>
      </c>
      <c r="T165">
        <v>1.366459627329197E-2</v>
      </c>
    </row>
    <row r="166" spans="1:20" x14ac:dyDescent="0.25">
      <c r="A166" s="13" t="s">
        <v>386</v>
      </c>
      <c r="B166" s="13" t="s">
        <v>387</v>
      </c>
      <c r="C166" s="13" t="s">
        <v>144</v>
      </c>
      <c r="D166" s="13" t="s">
        <v>288</v>
      </c>
      <c r="E166" s="13" t="str">
        <f>IFERROR(INDEX('Почасовка — ставки и план'!$B$5:$B$24,MATCH(D166,'Почасовка — ставки и план'!$A$5:$A$24,0)),"Аренда техники / механизмы")</f>
        <v>Монтажник вентиляции</v>
      </c>
      <c r="F166" s="14">
        <v>3967</v>
      </c>
      <c r="G166" s="14">
        <v>4760</v>
      </c>
      <c r="H166" s="15">
        <v>2100</v>
      </c>
      <c r="I166" s="15">
        <f>IF(OR(H166="",F166=""),"",MAX(H166,MIN(ROUND(H166*(1+Параметры!$B$5),IF(H166*(1+Параметры!$B$5)&gt;=1000,-1,0)),ROUND(F166*Параметры!$B$6,IF(F166*Параметры!$B$6&gt;=1000,-1,0)))))</f>
        <v>2420</v>
      </c>
      <c r="J166" s="15">
        <v>2415</v>
      </c>
      <c r="K166" s="15">
        <f>IF(OR(J166="",G166=""),"",MAX(J166,MIN(ROUND(J166*(1+Параметры!$B$5),IF(J166*(1+Параметры!$B$5)&gt;=1000,-1,0)),ROUND(G166*Параметры!$B$6,IF(G166*Параметры!$B$6&gt;=1000,-1,0)))))</f>
        <v>2780</v>
      </c>
      <c r="L166" s="16">
        <v>3.5</v>
      </c>
      <c r="M166" s="17">
        <f t="shared" si="16"/>
        <v>0.2857142857142857</v>
      </c>
      <c r="N166" s="17">
        <f>IF(OR(L166="",L166=0),"",Параметры!$B$3/L166)</f>
        <v>2.2857142857142856</v>
      </c>
      <c r="O166" s="15">
        <f>IF(L166="","",IFERROR(INDEX('Почасовка — ставки и план'!$D$5:$D$24,MATCH($D166,'Почасовка — ставки и план'!$A$5:$A$24,0)),""))</f>
        <v>850</v>
      </c>
      <c r="P166" s="15">
        <f>IF(L166="","",IFERROR(INDEX('Почасовка — ставки и план'!$E$5:$E$24,MATCH($D166,'Почасовка — ставки и план'!$A$5:$A$24,0)),""))</f>
        <v>1020</v>
      </c>
      <c r="Q166" s="15">
        <f t="shared" si="17"/>
        <v>2975</v>
      </c>
      <c r="R166" s="13" t="str">
        <f>IF(D166="TEX","аренда техники — сделка/счёт",IF(OR(Q166="",H166="",H166=0),"—",IF(Q166&lt;H166*(1-Параметры!$B$7),"почасовка",IF(Q166&gt;H166*(1+Параметры!$B$7),"сделка","любой способ"))))</f>
        <v>сделка</v>
      </c>
      <c r="S166">
        <v>0.13342857142857151</v>
      </c>
      <c r="T166">
        <v>0.182608695652174</v>
      </c>
    </row>
    <row r="167" spans="1:20" x14ac:dyDescent="0.25">
      <c r="A167" s="13" t="s">
        <v>388</v>
      </c>
      <c r="B167" s="13" t="s">
        <v>389</v>
      </c>
      <c r="C167" s="13" t="s">
        <v>144</v>
      </c>
      <c r="D167" s="13" t="s">
        <v>326</v>
      </c>
      <c r="E167" s="13" t="str">
        <f>IFERROR(INDEX('Почасовка — ставки и план'!$B$5:$B$24,MATCH(D167,'Почасовка — ставки и план'!$A$5:$A$24,0)),"Аренда техники / механизмы")</f>
        <v>Сантехник</v>
      </c>
      <c r="F167" s="14">
        <v>2000</v>
      </c>
      <c r="G167" s="14">
        <v>2300</v>
      </c>
      <c r="H167" s="15">
        <v>1200</v>
      </c>
      <c r="I167" s="15">
        <f>IF(OR(H167="",F167=""),"",MAX(H167,MIN(ROUND(H167*(1+Параметры!$B$5),IF(H167*(1+Параметры!$B$5)&gt;=1000,-1,0)),ROUND(F167*Параметры!$B$6,IF(F167*Параметры!$B$6&gt;=1000,-1,0)))))</f>
        <v>1380</v>
      </c>
      <c r="J167" s="15">
        <v>1380</v>
      </c>
      <c r="K167" s="15">
        <f>IF(OR(J167="",G167=""),"",MAX(J167,MIN(ROUND(J167*(1+Параметры!$B$5),IF(J167*(1+Параметры!$B$5)&gt;=1000,-1,0)),ROUND(G167*Параметры!$B$6,IF(G167*Параметры!$B$6&gt;=1000,-1,0)))))</f>
        <v>1590</v>
      </c>
      <c r="L167" s="16">
        <v>1.5</v>
      </c>
      <c r="M167" s="17">
        <f t="shared" si="16"/>
        <v>0.66666666666666663</v>
      </c>
      <c r="N167" s="17">
        <f>IF(OR(L167="",L167=0),"",Параметры!$B$3/L167)</f>
        <v>5.333333333333333</v>
      </c>
      <c r="O167" s="15">
        <f>IF(L167="","",IFERROR(INDEX('Почасовка — ставки и план'!$D$5:$D$24,MATCH($D167,'Почасовка — ставки и план'!$A$5:$A$24,0)),""))</f>
        <v>850</v>
      </c>
      <c r="P167" s="15">
        <f>IF(L167="","",IFERROR(INDEX('Почасовка — ставки и план'!$E$5:$E$24,MATCH($D167,'Почасовка — ставки и план'!$A$5:$A$24,0)),""))</f>
        <v>1020</v>
      </c>
      <c r="Q167" s="15">
        <f t="shared" si="17"/>
        <v>1275</v>
      </c>
      <c r="R167" s="13" t="str">
        <f>IF(D167="TEX","аренда техники — сделка/счёт",IF(OR(Q167="",H167="",H167=0),"—",IF(Q167&lt;H167*(1-Параметры!$B$7),"почасовка",IF(Q167&gt;H167*(1+Параметры!$B$7),"сделка","любой способ"))))</f>
        <v>любой способ</v>
      </c>
      <c r="S167">
        <v>0</v>
      </c>
      <c r="T167">
        <v>0</v>
      </c>
    </row>
    <row r="168" spans="1:20" x14ac:dyDescent="0.25">
      <c r="A168" s="13" t="s">
        <v>390</v>
      </c>
      <c r="B168" s="13" t="s">
        <v>391</v>
      </c>
      <c r="C168" s="13" t="s">
        <v>144</v>
      </c>
      <c r="D168" s="13" t="s">
        <v>326</v>
      </c>
      <c r="E168" s="13" t="str">
        <f>IFERROR(INDEX('Почасовка — ставки и план'!$B$5:$B$24,MATCH(D168,'Почасовка — ставки и план'!$A$5:$A$24,0)),"Аренда техники / механизмы")</f>
        <v>Сантехник</v>
      </c>
      <c r="F168" s="14">
        <v>15000</v>
      </c>
      <c r="G168" s="14">
        <v>17250</v>
      </c>
      <c r="H168" s="15">
        <v>9000</v>
      </c>
      <c r="I168" s="15">
        <f>IF(OR(H168="",F168=""),"",MAX(H168,MIN(ROUND(H168*(1+Параметры!$B$5),IF(H168*(1+Параметры!$B$5)&gt;=1000,-1,0)),ROUND(F168*Параметры!$B$6,IF(F168*Параметры!$B$6&gt;=1000,-1,0)))))</f>
        <v>10350</v>
      </c>
      <c r="J168" s="15">
        <v>10350</v>
      </c>
      <c r="K168" s="15">
        <f>IF(OR(J168="",G168=""),"",MAX(J168,MIN(ROUND(J168*(1+Параметры!$B$5),IF(J168*(1+Параметры!$B$5)&gt;=1000,-1,0)),ROUND(G168*Параметры!$B$6,IF(G168*Параметры!$B$6&gt;=1000,-1,0)))))</f>
        <v>11900</v>
      </c>
      <c r="L168" s="16">
        <v>12</v>
      </c>
      <c r="M168" s="17">
        <f t="shared" si="16"/>
        <v>8.3333333333333329E-2</v>
      </c>
      <c r="N168" s="17">
        <f>IF(OR(L168="",L168=0),"",Параметры!$B$3/L168)</f>
        <v>0.66666666666666663</v>
      </c>
      <c r="O168" s="15">
        <f>IF(L168="","",IFERROR(INDEX('Почасовка — ставки и план'!$D$5:$D$24,MATCH($D168,'Почасовка — ставки и план'!$A$5:$A$24,0)),""))</f>
        <v>850</v>
      </c>
      <c r="P168" s="15">
        <f>IF(L168="","",IFERROR(INDEX('Почасовка — ставки и план'!$E$5:$E$24,MATCH($D168,'Почасовка — ставки и план'!$A$5:$A$24,0)),""))</f>
        <v>1020</v>
      </c>
      <c r="Q168" s="15">
        <f t="shared" si="17"/>
        <v>10200</v>
      </c>
      <c r="R168" s="13" t="str">
        <f>IF(D168="TEX","аренда техники — сделка/счёт",IF(OR(Q168="",H168="",H168=0),"—",IF(Q168&lt;H168*(1-Параметры!$B$7),"почасовка",IF(Q168&gt;H168*(1+Параметры!$B$7),"сделка","любой способ"))))</f>
        <v>сделка</v>
      </c>
      <c r="S168">
        <v>0</v>
      </c>
      <c r="T168">
        <v>0</v>
      </c>
    </row>
    <row r="169" spans="1:20" x14ac:dyDescent="0.25">
      <c r="A169" s="13" t="s">
        <v>392</v>
      </c>
      <c r="B169" s="13" t="s">
        <v>393</v>
      </c>
      <c r="C169" s="13" t="s">
        <v>144</v>
      </c>
      <c r="D169" s="13" t="s">
        <v>326</v>
      </c>
      <c r="E169" s="13" t="str">
        <f>IFERROR(INDEX('Почасовка — ставки и план'!$B$5:$B$24,MATCH(D169,'Почасовка — ставки и план'!$A$5:$A$24,0)),"Аренда техники / механизмы")</f>
        <v>Сантехник</v>
      </c>
      <c r="F169" s="14">
        <v>907</v>
      </c>
      <c r="G169" s="14">
        <v>1088</v>
      </c>
      <c r="H169" s="15">
        <v>540</v>
      </c>
      <c r="I169" s="15">
        <f>IF(OR(H169="",F169=""),"",MAX(H169,MIN(ROUND(H169*(1+Параметры!$B$5),IF(H169*(1+Параметры!$B$5)&gt;=1000,-1,0)),ROUND(F169*Параметры!$B$6,IF(F169*Параметры!$B$6&gt;=1000,-1,0)))))</f>
        <v>621</v>
      </c>
      <c r="J169" s="15">
        <v>621</v>
      </c>
      <c r="K169" s="15">
        <f>IF(OR(J169="",G169=""),"",MAX(J169,MIN(ROUND(J169*(1+Параметры!$B$5),IF(J169*(1+Параметры!$B$5)&gt;=1000,-1,0)),ROUND(G169*Параметры!$B$6,IF(G169*Параметры!$B$6&gt;=1000,-1,0)))))</f>
        <v>714</v>
      </c>
      <c r="L169" s="16">
        <v>0.8</v>
      </c>
      <c r="M169" s="17">
        <f t="shared" si="16"/>
        <v>1.25</v>
      </c>
      <c r="N169" s="17">
        <f>IF(OR(L169="",L169=0),"",Параметры!$B$3/L169)</f>
        <v>10</v>
      </c>
      <c r="O169" s="15">
        <f>IF(L169="","",IFERROR(INDEX('Почасовка — ставки и план'!$D$5:$D$24,MATCH($D169,'Почасовка — ставки и план'!$A$5:$A$24,0)),""))</f>
        <v>850</v>
      </c>
      <c r="P169" s="15">
        <f>IF(L169="","",IFERROR(INDEX('Почасовка — ставки и план'!$E$5:$E$24,MATCH($D169,'Почасовка — ставки и план'!$A$5:$A$24,0)),""))</f>
        <v>1020</v>
      </c>
      <c r="Q169" s="15">
        <f t="shared" si="17"/>
        <v>680</v>
      </c>
      <c r="R169" s="13" t="str">
        <f>IF(D169="TEX","аренда техники — сделка/счёт",IF(OR(Q169="",H169="",H169=0),"—",IF(Q169&lt;H169*(1-Параметры!$B$7),"почасовка",IF(Q169&gt;H169*(1+Параметры!$B$7),"сделка","любой способ"))))</f>
        <v>сделка</v>
      </c>
      <c r="S169">
        <v>7.7777777777778834E-3</v>
      </c>
      <c r="T169">
        <v>5.1207729468599077E-2</v>
      </c>
    </row>
    <row r="170" spans="1:20" x14ac:dyDescent="0.25">
      <c r="A170" s="13" t="s">
        <v>394</v>
      </c>
      <c r="B170" s="13" t="s">
        <v>395</v>
      </c>
      <c r="C170" s="13" t="s">
        <v>144</v>
      </c>
      <c r="D170" s="13" t="s">
        <v>326</v>
      </c>
      <c r="E170" s="13" t="str">
        <f>IFERROR(INDEX('Почасовка — ставки и план'!$B$5:$B$24,MATCH(D170,'Почасовка — ставки и план'!$A$5:$A$24,0)),"Аренда техники / механизмы")</f>
        <v>Сантехник</v>
      </c>
      <c r="F170" s="14">
        <v>454</v>
      </c>
      <c r="G170" s="14">
        <v>544</v>
      </c>
      <c r="H170" s="15">
        <v>270</v>
      </c>
      <c r="I170" s="15">
        <f>IF(OR(H170="",F170=""),"",MAX(H170,MIN(ROUND(H170*(1+Параметры!$B$5),IF(H170*(1+Параметры!$B$5)&gt;=1000,-1,0)),ROUND(F170*Параметры!$B$6,IF(F170*Параметры!$B$6&gt;=1000,-1,0)))))</f>
        <v>311</v>
      </c>
      <c r="J170" s="15">
        <v>310</v>
      </c>
      <c r="K170" s="15">
        <f>IF(OR(J170="",G170=""),"",MAX(J170,MIN(ROUND(J170*(1+Параметры!$B$5),IF(J170*(1+Параметры!$B$5)&gt;=1000,-1,0)),ROUND(G170*Параметры!$B$6,IF(G170*Параметры!$B$6&gt;=1000,-1,0)))))</f>
        <v>357</v>
      </c>
      <c r="L170" s="16">
        <v>0.4</v>
      </c>
      <c r="M170" s="17">
        <f t="shared" si="16"/>
        <v>2.5</v>
      </c>
      <c r="N170" s="17">
        <f>IF(OR(L170="",L170=0),"",Параметры!$B$3/L170)</f>
        <v>20</v>
      </c>
      <c r="O170" s="15">
        <f>IF(L170="","",IFERROR(INDEX('Почасовка — ставки и план'!$D$5:$D$24,MATCH($D170,'Почасовка — ставки и план'!$A$5:$A$24,0)),""))</f>
        <v>850</v>
      </c>
      <c r="P170" s="15">
        <f>IF(L170="","",IFERROR(INDEX('Почасовка — ставки и план'!$E$5:$E$24,MATCH($D170,'Почасовка — ставки и план'!$A$5:$A$24,0)),""))</f>
        <v>1020</v>
      </c>
      <c r="Q170" s="15">
        <f t="shared" si="17"/>
        <v>340</v>
      </c>
      <c r="R170" s="13" t="str">
        <f>IF(D170="TEX","аренда техники — сделка/счёт",IF(OR(Q170="",H170="",H170=0),"—",IF(Q170&lt;H170*(1-Параметры!$B$7),"почасовка",IF(Q170&gt;H170*(1+Параметры!$B$7),"сделка","любой способ"))))</f>
        <v>сделка</v>
      </c>
      <c r="S170">
        <v>8.8888888888889461E-3</v>
      </c>
      <c r="T170">
        <v>5.0193050193050093E-2</v>
      </c>
    </row>
    <row r="171" spans="1:20" x14ac:dyDescent="0.25">
      <c r="A171" s="13" t="s">
        <v>396</v>
      </c>
      <c r="B171" s="13" t="s">
        <v>397</v>
      </c>
      <c r="C171" s="13" t="s">
        <v>144</v>
      </c>
      <c r="D171" s="13" t="s">
        <v>326</v>
      </c>
      <c r="E171" s="13" t="str">
        <f>IFERROR(INDEX('Почасовка — ставки и план'!$B$5:$B$24,MATCH(D171,'Почасовка — ставки и план'!$A$5:$A$24,0)),"Аренда техники / механизмы")</f>
        <v>Сантехник</v>
      </c>
      <c r="F171" s="14">
        <v>1200</v>
      </c>
      <c r="G171" s="14">
        <v>1380</v>
      </c>
      <c r="H171" s="15">
        <v>720</v>
      </c>
      <c r="I171" s="15">
        <f>IF(OR(H171="",F171=""),"",MAX(H171,MIN(ROUND(H171*(1+Параметры!$B$5),IF(H171*(1+Параметры!$B$5)&gt;=1000,-1,0)),ROUND(F171*Параметры!$B$6,IF(F171*Параметры!$B$6&gt;=1000,-1,0)))))</f>
        <v>828</v>
      </c>
      <c r="J171" s="15">
        <v>828</v>
      </c>
      <c r="K171" s="15">
        <f>IF(OR(J171="",G171=""),"",MAX(J171,MIN(ROUND(J171*(1+Параметры!$B$5),IF(J171*(1+Параметры!$B$5)&gt;=1000,-1,0)),ROUND(G171*Параметры!$B$6,IF(G171*Параметры!$B$6&gt;=1000,-1,0)))))</f>
        <v>952</v>
      </c>
      <c r="L171" s="16">
        <v>1</v>
      </c>
      <c r="M171" s="17">
        <f t="shared" si="16"/>
        <v>1</v>
      </c>
      <c r="N171" s="17">
        <f>IF(OR(L171="",L171=0),"",Параметры!$B$3/L171)</f>
        <v>8</v>
      </c>
      <c r="O171" s="15">
        <f>IF(L171="","",IFERROR(INDEX('Почасовка — ставки и план'!$D$5:$D$24,MATCH($D171,'Почасовка — ставки и план'!$A$5:$A$24,0)),""))</f>
        <v>850</v>
      </c>
      <c r="P171" s="15">
        <f>IF(L171="","",IFERROR(INDEX('Почасовка — ставки и план'!$E$5:$E$24,MATCH($D171,'Почасовка — ставки и план'!$A$5:$A$24,0)),""))</f>
        <v>1020</v>
      </c>
      <c r="Q171" s="15">
        <f t="shared" si="17"/>
        <v>850</v>
      </c>
      <c r="R171" s="13" t="str">
        <f>IF(D171="TEX","аренда техники — сделка/счёт",IF(OR(Q171="",H171="",H171=0),"—",IF(Q171&lt;H171*(1-Параметры!$B$7),"почасовка",IF(Q171&gt;H171*(1+Параметры!$B$7),"сделка","любой способ"))))</f>
        <v>сделка</v>
      </c>
      <c r="S171">
        <v>0</v>
      </c>
      <c r="T171">
        <v>0</v>
      </c>
    </row>
    <row r="172" spans="1:20" x14ac:dyDescent="0.25">
      <c r="A172" s="13" t="s">
        <v>398</v>
      </c>
      <c r="B172" s="13" t="s">
        <v>399</v>
      </c>
      <c r="C172" s="13" t="s">
        <v>144</v>
      </c>
      <c r="D172" s="13" t="s">
        <v>326</v>
      </c>
      <c r="E172" s="13" t="str">
        <f>IFERROR(INDEX('Почасовка — ставки и план'!$B$5:$B$24,MATCH(D172,'Почасовка — ставки и план'!$A$5:$A$24,0)),"Аренда техники / механизмы")</f>
        <v>Сантехник</v>
      </c>
      <c r="F172" s="14">
        <v>2500</v>
      </c>
      <c r="G172" s="14">
        <v>2875</v>
      </c>
      <c r="H172" s="15">
        <v>1500</v>
      </c>
      <c r="I172" s="15">
        <f>IF(OR(H172="",F172=""),"",MAX(H172,MIN(ROUND(H172*(1+Параметры!$B$5),IF(H172*(1+Параметры!$B$5)&gt;=1000,-1,0)),ROUND(F172*Параметры!$B$6,IF(F172*Параметры!$B$6&gt;=1000,-1,0)))))</f>
        <v>1730</v>
      </c>
      <c r="J172" s="15">
        <v>1725</v>
      </c>
      <c r="K172" s="15">
        <f>IF(OR(J172="",G172=""),"",MAX(J172,MIN(ROUND(J172*(1+Параметры!$B$5),IF(J172*(1+Параметры!$B$5)&gt;=1000,-1,0)),ROUND(G172*Параметры!$B$6,IF(G172*Параметры!$B$6&gt;=1000,-1,0)))))</f>
        <v>1980</v>
      </c>
      <c r="L172" s="16">
        <v>2</v>
      </c>
      <c r="M172" s="17">
        <f t="shared" si="16"/>
        <v>0.5</v>
      </c>
      <c r="N172" s="17">
        <f>IF(OR(L172="",L172=0),"",Параметры!$B$3/L172)</f>
        <v>4</v>
      </c>
      <c r="O172" s="15">
        <f>IF(L172="","",IFERROR(INDEX('Почасовка — ставки и план'!$D$5:$D$24,MATCH($D172,'Почасовка — ставки и план'!$A$5:$A$24,0)),""))</f>
        <v>850</v>
      </c>
      <c r="P172" s="15">
        <f>IF(L172="","",IFERROR(INDEX('Почасовка — ставки и план'!$E$5:$E$24,MATCH($D172,'Почасовка — ставки и план'!$A$5:$A$24,0)),""))</f>
        <v>1020</v>
      </c>
      <c r="Q172" s="15">
        <f t="shared" si="17"/>
        <v>1700</v>
      </c>
      <c r="R172" s="13" t="str">
        <f>IF(D172="TEX","аренда техники — сделка/счёт",IF(OR(Q172="",H172="",H172=0),"—",IF(Q172&lt;H172*(1-Параметры!$B$7),"почасовка",IF(Q172&gt;H172*(1+Параметры!$B$7),"сделка","любой способ"))))</f>
        <v>сделка</v>
      </c>
      <c r="S172">
        <v>0</v>
      </c>
      <c r="T172">
        <v>0</v>
      </c>
    </row>
    <row r="173" spans="1:20" x14ac:dyDescent="0.25">
      <c r="A173" s="13" t="s">
        <v>400</v>
      </c>
      <c r="B173" s="13" t="s">
        <v>401</v>
      </c>
      <c r="C173" s="13" t="s">
        <v>144</v>
      </c>
      <c r="D173" s="13" t="s">
        <v>326</v>
      </c>
      <c r="E173" s="13" t="str">
        <f>IFERROR(INDEX('Почасовка — ставки и план'!$B$5:$B$24,MATCH(D173,'Почасовка — ставки и план'!$A$5:$A$24,0)),"Аренда техники / механизмы")</f>
        <v>Сантехник</v>
      </c>
      <c r="F173" s="14">
        <v>4534</v>
      </c>
      <c r="G173" s="14">
        <v>5440</v>
      </c>
      <c r="H173" s="15">
        <v>2700</v>
      </c>
      <c r="I173" s="15">
        <f>IF(OR(H173="",F173=""),"",MAX(H173,MIN(ROUND(H173*(1+Параметры!$B$5),IF(H173*(1+Параметры!$B$5)&gt;=1000,-1,0)),ROUND(F173*Параметры!$B$6,IF(F173*Параметры!$B$6&gt;=1000,-1,0)))))</f>
        <v>3110</v>
      </c>
      <c r="J173" s="15">
        <v>3105</v>
      </c>
      <c r="K173" s="15">
        <f>IF(OR(J173="",G173=""),"",MAX(J173,MIN(ROUND(J173*(1+Параметры!$B$5),IF(J173*(1+Параметры!$B$5)&gt;=1000,-1,0)),ROUND(G173*Параметры!$B$6,IF(G173*Параметры!$B$6&gt;=1000,-1,0)))))</f>
        <v>3570</v>
      </c>
      <c r="L173" s="16">
        <v>4</v>
      </c>
      <c r="M173" s="17">
        <f t="shared" si="16"/>
        <v>0.25</v>
      </c>
      <c r="N173" s="17">
        <f>IF(OR(L173="",L173=0),"",Параметры!$B$3/L173)</f>
        <v>2</v>
      </c>
      <c r="O173" s="15">
        <f>IF(L173="","",IFERROR(INDEX('Почасовка — ставки и план'!$D$5:$D$24,MATCH($D173,'Почасовка — ставки и план'!$A$5:$A$24,0)),""))</f>
        <v>850</v>
      </c>
      <c r="P173" s="15">
        <f>IF(L173="","",IFERROR(INDEX('Почасовка — ставки и план'!$E$5:$E$24,MATCH($D173,'Почасовка — ставки и план'!$A$5:$A$24,0)),""))</f>
        <v>1020</v>
      </c>
      <c r="Q173" s="15">
        <f t="shared" si="17"/>
        <v>3400</v>
      </c>
      <c r="R173" s="13" t="str">
        <f>IF(D173="TEX","аренда техники — сделка/счёт",IF(OR(Q173="",H173="",H173=0),"—",IF(Q173&lt;H173*(1-Параметры!$B$7),"почасовка",IF(Q173&gt;H173*(1+Параметры!$B$7),"сделка","любой способ"))))</f>
        <v>сделка</v>
      </c>
      <c r="S173">
        <v>7.5555555555555376E-3</v>
      </c>
      <c r="T173">
        <v>5.1207729468599077E-2</v>
      </c>
    </row>
    <row r="174" spans="1:20" x14ac:dyDescent="0.25">
      <c r="A174" s="13" t="s">
        <v>402</v>
      </c>
      <c r="B174" s="13" t="s">
        <v>403</v>
      </c>
      <c r="C174" s="13" t="s">
        <v>144</v>
      </c>
      <c r="D174" s="13" t="s">
        <v>326</v>
      </c>
      <c r="E174" s="13" t="str">
        <f>IFERROR(INDEX('Почасовка — ставки и план'!$B$5:$B$24,MATCH(D174,'Почасовка — ставки и план'!$A$5:$A$24,0)),"Аренда техники / механизмы")</f>
        <v>Сантехник</v>
      </c>
      <c r="F174" s="14">
        <v>1360</v>
      </c>
      <c r="G174" s="14">
        <v>1632</v>
      </c>
      <c r="H174" s="15">
        <v>720</v>
      </c>
      <c r="I174" s="15">
        <f>IF(OR(H174="",F174=""),"",MAX(H174,MIN(ROUND(H174*(1+Параметры!$B$5),IF(H174*(1+Параметры!$B$5)&gt;=1000,-1,0)),ROUND(F174*Параметры!$B$6,IF(F174*Параметры!$B$6&gt;=1000,-1,0)))))</f>
        <v>828</v>
      </c>
      <c r="J174" s="15">
        <v>828</v>
      </c>
      <c r="K174" s="15">
        <f>IF(OR(J174="",G174=""),"",MAX(J174,MIN(ROUND(J174*(1+Параметры!$B$5),IF(J174*(1+Параметры!$B$5)&gt;=1000,-1,0)),ROUND(G174*Параметры!$B$6,IF(G174*Параметры!$B$6&gt;=1000,-1,0)))))</f>
        <v>952</v>
      </c>
      <c r="L174" s="16">
        <v>1.2</v>
      </c>
      <c r="M174" s="17">
        <f t="shared" si="16"/>
        <v>0.83333333333333337</v>
      </c>
      <c r="N174" s="17">
        <f>IF(OR(L174="",L174=0),"",Параметры!$B$3/L174)</f>
        <v>6.666666666666667</v>
      </c>
      <c r="O174" s="15">
        <f>IF(L174="","",IFERROR(INDEX('Почасовка — ставки и план'!$D$5:$D$24,MATCH($D174,'Почасовка — ставки и план'!$A$5:$A$24,0)),""))</f>
        <v>850</v>
      </c>
      <c r="P174" s="15">
        <f>IF(L174="","",IFERROR(INDEX('Почасовка — ставки и план'!$E$5:$E$24,MATCH($D174,'Почасовка — ставки и план'!$A$5:$A$24,0)),""))</f>
        <v>1020</v>
      </c>
      <c r="Q174" s="15">
        <f t="shared" si="17"/>
        <v>1020</v>
      </c>
      <c r="R174" s="13" t="str">
        <f>IF(D174="TEX","аренда техники — сделка/счёт",IF(OR(Q174="",H174="",H174=0),"—",IF(Q174&lt;H174*(1-Параметры!$B$7),"почасовка",IF(Q174&gt;H174*(1+Параметры!$B$7),"сделка","любой способ"))))</f>
        <v>сделка</v>
      </c>
      <c r="S174">
        <v>0.1333333333333333</v>
      </c>
      <c r="T174">
        <v>0.182608695652174</v>
      </c>
    </row>
    <row r="175" spans="1:20" x14ac:dyDescent="0.25">
      <c r="A175" s="13" t="s">
        <v>404</v>
      </c>
      <c r="B175" s="13" t="s">
        <v>405</v>
      </c>
      <c r="C175" s="13" t="s">
        <v>144</v>
      </c>
      <c r="D175" s="13" t="s">
        <v>326</v>
      </c>
      <c r="E175" s="13" t="str">
        <f>IFERROR(INDEX('Почасовка — ставки и план'!$B$5:$B$24,MATCH(D175,'Почасовка — ставки и план'!$A$5:$A$24,0)),"Аренда техники / механизмы")</f>
        <v>Сантехник</v>
      </c>
      <c r="F175" s="14">
        <v>907</v>
      </c>
      <c r="G175" s="14">
        <v>1088</v>
      </c>
      <c r="H175" s="15">
        <v>480</v>
      </c>
      <c r="I175" s="15">
        <f>IF(OR(H175="",F175=""),"",MAX(H175,MIN(ROUND(H175*(1+Параметры!$B$5),IF(H175*(1+Параметры!$B$5)&gt;=1000,-1,0)),ROUND(F175*Параметры!$B$6,IF(F175*Параметры!$B$6&gt;=1000,-1,0)))))</f>
        <v>552</v>
      </c>
      <c r="J175" s="15">
        <v>552</v>
      </c>
      <c r="K175" s="15">
        <f>IF(OR(J175="",G175=""),"",MAX(J175,MIN(ROUND(J175*(1+Параметры!$B$5),IF(J175*(1+Параметры!$B$5)&gt;=1000,-1,0)),ROUND(G175*Параметры!$B$6,IF(G175*Параметры!$B$6&gt;=1000,-1,0)))))</f>
        <v>635</v>
      </c>
      <c r="L175" s="16">
        <v>0.8</v>
      </c>
      <c r="M175" s="17">
        <f t="shared" si="16"/>
        <v>1.25</v>
      </c>
      <c r="N175" s="17">
        <f>IF(OR(L175="",L175=0),"",Параметры!$B$3/L175)</f>
        <v>10</v>
      </c>
      <c r="O175" s="15">
        <f>IF(L175="","",IFERROR(INDEX('Почасовка — ставки и план'!$D$5:$D$24,MATCH($D175,'Почасовка — ставки и план'!$A$5:$A$24,0)),""))</f>
        <v>850</v>
      </c>
      <c r="P175" s="15">
        <f>IF(L175="","",IFERROR(INDEX('Почасовка — ставки и план'!$E$5:$E$24,MATCH($D175,'Почасовка — ставки и план'!$A$5:$A$24,0)),""))</f>
        <v>1020</v>
      </c>
      <c r="Q175" s="15">
        <f t="shared" si="17"/>
        <v>680</v>
      </c>
      <c r="R175" s="13" t="str">
        <f>IF(D175="TEX","аренда техники — сделка/счёт",IF(OR(Q175="",H175="",H175=0),"—",IF(Q175&lt;H175*(1-Параметры!$B$7),"почасовка",IF(Q175&gt;H175*(1+Параметры!$B$7),"сделка","любой способ"))))</f>
        <v>сделка</v>
      </c>
      <c r="S175">
        <v>0.13375000000000001</v>
      </c>
      <c r="T175">
        <v>0.182608695652174</v>
      </c>
    </row>
    <row r="176" spans="1:20" x14ac:dyDescent="0.25">
      <c r="A176" s="13" t="s">
        <v>406</v>
      </c>
      <c r="B176" s="13" t="s">
        <v>407</v>
      </c>
      <c r="C176" s="13" t="s">
        <v>144</v>
      </c>
      <c r="D176" s="13" t="s">
        <v>326</v>
      </c>
      <c r="E176" s="13" t="str">
        <f>IFERROR(INDEX('Почасовка — ставки и план'!$B$5:$B$24,MATCH(D176,'Почасовка — ставки и план'!$A$5:$A$24,0)),"Аренда техники / механизмы")</f>
        <v>Сантехник</v>
      </c>
      <c r="F176" s="14">
        <v>1700</v>
      </c>
      <c r="G176" s="14">
        <v>2040</v>
      </c>
      <c r="H176" s="15">
        <v>900</v>
      </c>
      <c r="I176" s="15">
        <f>IF(OR(H176="",F176=""),"",MAX(H176,MIN(ROUND(H176*(1+Параметры!$B$5),IF(H176*(1+Параметры!$B$5)&gt;=1000,-1,0)),ROUND(F176*Параметры!$B$6,IF(F176*Параметры!$B$6&gt;=1000,-1,0)))))</f>
        <v>1040</v>
      </c>
      <c r="J176" s="15">
        <v>1035</v>
      </c>
      <c r="K176" s="15">
        <f>IF(OR(J176="",G176=""),"",MAX(J176,MIN(ROUND(J176*(1+Параметры!$B$5),IF(J176*(1+Параметры!$B$5)&gt;=1000,-1,0)),ROUND(G176*Параметры!$B$6,IF(G176*Параметры!$B$6&gt;=1000,-1,0)))))</f>
        <v>1190</v>
      </c>
      <c r="L176" s="16">
        <v>1.5</v>
      </c>
      <c r="M176" s="17">
        <f t="shared" si="16"/>
        <v>0.66666666666666663</v>
      </c>
      <c r="N176" s="17">
        <f>IF(OR(L176="",L176=0),"",Параметры!$B$3/L176)</f>
        <v>5.333333333333333</v>
      </c>
      <c r="O176" s="15">
        <f>IF(L176="","",IFERROR(INDEX('Почасовка — ставки и план'!$D$5:$D$24,MATCH($D176,'Почасовка — ставки и план'!$A$5:$A$24,0)),""))</f>
        <v>850</v>
      </c>
      <c r="P176" s="15">
        <f>IF(L176="","",IFERROR(INDEX('Почасовка — ставки и план'!$E$5:$E$24,MATCH($D176,'Почасовка — ставки и план'!$A$5:$A$24,0)),""))</f>
        <v>1020</v>
      </c>
      <c r="Q176" s="15">
        <f t="shared" si="17"/>
        <v>1275</v>
      </c>
      <c r="R176" s="13" t="str">
        <f>IF(D176="TEX","аренда техники — сделка/счёт",IF(OR(Q176="",H176="",H176=0),"—",IF(Q176&lt;H176*(1-Параметры!$B$7),"почасовка",IF(Q176&gt;H176*(1+Параметры!$B$7),"сделка","любой способ"))))</f>
        <v>сделка</v>
      </c>
      <c r="S176">
        <v>0.1333333333333333</v>
      </c>
      <c r="T176">
        <v>0.182608695652174</v>
      </c>
    </row>
    <row r="177" spans="1:20" x14ac:dyDescent="0.25">
      <c r="A177" s="13" t="s">
        <v>408</v>
      </c>
      <c r="B177" s="13" t="s">
        <v>409</v>
      </c>
      <c r="C177" s="13" t="s">
        <v>144</v>
      </c>
      <c r="D177" s="13" t="s">
        <v>326</v>
      </c>
      <c r="E177" s="13" t="str">
        <f>IFERROR(INDEX('Почасовка — ставки и план'!$B$5:$B$24,MATCH(D177,'Почасовка — ставки и план'!$A$5:$A$24,0)),"Аренда техники / механизмы")</f>
        <v>Сантехник</v>
      </c>
      <c r="F177" s="14">
        <v>227</v>
      </c>
      <c r="G177" s="14">
        <v>272</v>
      </c>
      <c r="H177" s="15">
        <v>120</v>
      </c>
      <c r="I177" s="15">
        <f>IF(OR(H177="",F177=""),"",MAX(H177,MIN(ROUND(H177*(1+Параметры!$B$5),IF(H177*(1+Параметры!$B$5)&gt;=1000,-1,0)),ROUND(F177*Параметры!$B$6,IF(F177*Параметры!$B$6&gt;=1000,-1,0)))))</f>
        <v>138</v>
      </c>
      <c r="J177" s="15">
        <v>138</v>
      </c>
      <c r="K177" s="15">
        <f>IF(OR(J177="",G177=""),"",MAX(J177,MIN(ROUND(J177*(1+Параметры!$B$5),IF(J177*(1+Параметры!$B$5)&gt;=1000,-1,0)),ROUND(G177*Параметры!$B$6,IF(G177*Параметры!$B$6&gt;=1000,-1,0)))))</f>
        <v>159</v>
      </c>
      <c r="L177" s="16">
        <v>0.2</v>
      </c>
      <c r="M177" s="17">
        <f t="shared" si="16"/>
        <v>5</v>
      </c>
      <c r="N177" s="17">
        <f>IF(OR(L177="",L177=0),"",Параметры!$B$3/L177)</f>
        <v>40</v>
      </c>
      <c r="O177" s="15">
        <f>IF(L177="","",IFERROR(INDEX('Почасовка — ставки и план'!$D$5:$D$24,MATCH($D177,'Почасовка — ставки и план'!$A$5:$A$24,0)),""))</f>
        <v>850</v>
      </c>
      <c r="P177" s="15">
        <f>IF(L177="","",IFERROR(INDEX('Почасовка — ставки и план'!$E$5:$E$24,MATCH($D177,'Почасовка — ставки и план'!$A$5:$A$24,0)),""))</f>
        <v>1020</v>
      </c>
      <c r="Q177" s="15">
        <f t="shared" si="17"/>
        <v>170</v>
      </c>
      <c r="R177" s="13" t="str">
        <f>IF(D177="TEX","аренда техники — сделка/счёт",IF(OR(Q177="",H177="",H177=0),"—",IF(Q177&lt;H177*(1-Параметры!$B$7),"почасовка",IF(Q177&gt;H177*(1+Параметры!$B$7),"сделка","любой способ"))))</f>
        <v>сделка</v>
      </c>
      <c r="S177">
        <v>0.13500000000000001</v>
      </c>
      <c r="T177">
        <v>0.182608695652174</v>
      </c>
    </row>
    <row r="178" spans="1:20" x14ac:dyDescent="0.25">
      <c r="A178" s="13" t="s">
        <v>410</v>
      </c>
      <c r="B178" s="13" t="s">
        <v>411</v>
      </c>
      <c r="C178" s="13" t="s">
        <v>144</v>
      </c>
      <c r="D178" s="13" t="s">
        <v>326</v>
      </c>
      <c r="E178" s="13" t="str">
        <f>IFERROR(INDEX('Почасовка — ставки и план'!$B$5:$B$24,MATCH(D178,'Почасовка — ставки и план'!$A$5:$A$24,0)),"Аренда техники / механизмы")</f>
        <v>Сантехник</v>
      </c>
      <c r="F178" s="14">
        <v>794</v>
      </c>
      <c r="G178" s="14">
        <v>952</v>
      </c>
      <c r="H178" s="15">
        <v>360</v>
      </c>
      <c r="I178" s="15">
        <f>IF(OR(H178="",F178=""),"",MAX(H178,MIN(ROUND(H178*(1+Параметры!$B$5),IF(H178*(1+Параметры!$B$5)&gt;=1000,-1,0)),ROUND(F178*Параметры!$B$6,IF(F178*Параметры!$B$6&gt;=1000,-1,0)))))</f>
        <v>414</v>
      </c>
      <c r="J178" s="15">
        <v>414</v>
      </c>
      <c r="K178" s="15">
        <f>IF(OR(J178="",G178=""),"",MAX(J178,MIN(ROUND(J178*(1+Параметры!$B$5),IF(J178*(1+Параметры!$B$5)&gt;=1000,-1,0)),ROUND(G178*Параметры!$B$6,IF(G178*Параметры!$B$6&gt;=1000,-1,0)))))</f>
        <v>476</v>
      </c>
      <c r="L178" s="16">
        <v>0.7</v>
      </c>
      <c r="M178" s="17">
        <f t="shared" si="16"/>
        <v>1.4285714285714286</v>
      </c>
      <c r="N178" s="17">
        <f>IF(OR(L178="",L178=0),"",Параметры!$B$3/L178)</f>
        <v>11.428571428571429</v>
      </c>
      <c r="O178" s="15">
        <f>IF(L178="","",IFERROR(INDEX('Почасовка — ставки и план'!$D$5:$D$24,MATCH($D178,'Почасовка — ставки и план'!$A$5:$A$24,0)),""))</f>
        <v>850</v>
      </c>
      <c r="P178" s="15">
        <f>IF(L178="","",IFERROR(INDEX('Почасовка — ставки и план'!$E$5:$E$24,MATCH($D178,'Почасовка — ставки и план'!$A$5:$A$24,0)),""))</f>
        <v>1020</v>
      </c>
      <c r="Q178" s="15">
        <f t="shared" si="17"/>
        <v>595</v>
      </c>
      <c r="R178" s="13" t="str">
        <f>IF(D178="TEX","аренда техники — сделка/счёт",IF(OR(Q178="",H178="",H178=0),"—",IF(Q178&lt;H178*(1-Параметры!$B$7),"почасовка",IF(Q178&gt;H178*(1+Параметры!$B$7),"сделка","любой способ"))))</f>
        <v>сделка</v>
      </c>
      <c r="S178">
        <v>0.32333333333333331</v>
      </c>
      <c r="T178">
        <v>0.37971014492753619</v>
      </c>
    </row>
    <row r="179" spans="1:20" x14ac:dyDescent="0.25">
      <c r="A179" s="13" t="s">
        <v>412</v>
      </c>
      <c r="B179" s="13" t="s">
        <v>413</v>
      </c>
      <c r="C179" s="13" t="s">
        <v>144</v>
      </c>
      <c r="D179" s="13" t="s">
        <v>326</v>
      </c>
      <c r="E179" s="13" t="str">
        <f>IFERROR(INDEX('Почасовка — ставки и план'!$B$5:$B$24,MATCH(D179,'Почасовка — ставки и план'!$A$5:$A$24,0)),"Аренда техники / механизмы")</f>
        <v>Сантехник</v>
      </c>
      <c r="F179" s="14">
        <v>500</v>
      </c>
      <c r="G179" s="14">
        <v>575</v>
      </c>
      <c r="H179" s="15">
        <v>300</v>
      </c>
      <c r="I179" s="15">
        <f>IF(OR(H179="",F179=""),"",MAX(H179,MIN(ROUND(H179*(1+Параметры!$B$5),IF(H179*(1+Параметры!$B$5)&gt;=1000,-1,0)),ROUND(F179*Параметры!$B$6,IF(F179*Параметры!$B$6&gt;=1000,-1,0)))))</f>
        <v>345</v>
      </c>
      <c r="J179" s="15">
        <v>345</v>
      </c>
      <c r="K179" s="15">
        <f>IF(OR(J179="",G179=""),"",MAX(J179,MIN(ROUND(J179*(1+Параметры!$B$5),IF(J179*(1+Параметры!$B$5)&gt;=1000,-1,0)),ROUND(G179*Параметры!$B$6,IF(G179*Параметры!$B$6&gt;=1000,-1,0)))))</f>
        <v>397</v>
      </c>
      <c r="L179" s="16">
        <v>0.4</v>
      </c>
      <c r="M179" s="17">
        <f t="shared" si="16"/>
        <v>2.5</v>
      </c>
      <c r="N179" s="17">
        <f>IF(OR(L179="",L179=0),"",Параметры!$B$3/L179)</f>
        <v>20</v>
      </c>
      <c r="O179" s="15">
        <f>IF(L179="","",IFERROR(INDEX('Почасовка — ставки и план'!$D$5:$D$24,MATCH($D179,'Почасовка — ставки и план'!$A$5:$A$24,0)),""))</f>
        <v>850</v>
      </c>
      <c r="P179" s="15">
        <f>IF(L179="","",IFERROR(INDEX('Почасовка — ставки и план'!$E$5:$E$24,MATCH($D179,'Почасовка — ставки и план'!$A$5:$A$24,0)),""))</f>
        <v>1020</v>
      </c>
      <c r="Q179" s="15">
        <f t="shared" si="17"/>
        <v>340</v>
      </c>
      <c r="R179" s="13" t="str">
        <f>IF(D179="TEX","аренда техники — сделка/счёт",IF(OR(Q179="",H179="",H179=0),"—",IF(Q179&lt;H179*(1-Параметры!$B$7),"почасовка",IF(Q179&gt;H179*(1+Параметры!$B$7),"сделка","любой способ"))))</f>
        <v>сделка</v>
      </c>
      <c r="S179">
        <v>0</v>
      </c>
      <c r="T179">
        <v>0</v>
      </c>
    </row>
    <row r="180" spans="1:20" x14ac:dyDescent="0.25">
      <c r="A180" s="13" t="s">
        <v>414</v>
      </c>
      <c r="B180" s="13" t="s">
        <v>415</v>
      </c>
      <c r="C180" s="13" t="s">
        <v>144</v>
      </c>
      <c r="D180" s="13" t="s">
        <v>326</v>
      </c>
      <c r="E180" s="13" t="str">
        <f>IFERROR(INDEX('Почасовка — ставки и план'!$B$5:$B$24,MATCH(D180,'Почасовка — ставки и план'!$A$5:$A$24,0)),"Аренда техники / механизмы")</f>
        <v>Сантехник</v>
      </c>
      <c r="F180" s="14">
        <v>700</v>
      </c>
      <c r="G180" s="14">
        <v>816</v>
      </c>
      <c r="H180" s="15">
        <v>420</v>
      </c>
      <c r="I180" s="15">
        <f>IF(OR(H180="",F180=""),"",MAX(H180,MIN(ROUND(H180*(1+Параметры!$B$5),IF(H180*(1+Параметры!$B$5)&gt;=1000,-1,0)),ROUND(F180*Параметры!$B$6,IF(F180*Параметры!$B$6&gt;=1000,-1,0)))))</f>
        <v>483</v>
      </c>
      <c r="J180" s="15">
        <v>483</v>
      </c>
      <c r="K180" s="15">
        <f>IF(OR(J180="",G180=""),"",MAX(J180,MIN(ROUND(J180*(1+Параметры!$B$5),IF(J180*(1+Параметры!$B$5)&gt;=1000,-1,0)),ROUND(G180*Параметры!$B$6,IF(G180*Параметры!$B$6&gt;=1000,-1,0)))))</f>
        <v>555</v>
      </c>
      <c r="L180" s="16">
        <v>0.6</v>
      </c>
      <c r="M180" s="17">
        <f t="shared" si="16"/>
        <v>1.6666666666666667</v>
      </c>
      <c r="N180" s="17">
        <f>IF(OR(L180="",L180=0),"",Параметры!$B$3/L180)</f>
        <v>13.333333333333334</v>
      </c>
      <c r="O180" s="15">
        <f>IF(L180="","",IFERROR(INDEX('Почасовка — ставки и план'!$D$5:$D$24,MATCH($D180,'Почасовка — ставки и план'!$A$5:$A$24,0)),""))</f>
        <v>850</v>
      </c>
      <c r="P180" s="15">
        <f>IF(L180="","",IFERROR(INDEX('Почасовка — ставки и план'!$E$5:$E$24,MATCH($D180,'Почасовка — ставки и план'!$A$5:$A$24,0)),""))</f>
        <v>1020</v>
      </c>
      <c r="Q180" s="15">
        <f t="shared" si="17"/>
        <v>510</v>
      </c>
      <c r="R180" s="13" t="str">
        <f>IF(D180="TEX","аренда техники — сделка/счёт",IF(OR(Q180="",H180="",H180=0),"—",IF(Q180&lt;H180*(1-Параметры!$B$7),"почасовка",IF(Q180&gt;H180*(1+Параметры!$B$7),"сделка","любой способ"))))</f>
        <v>сделка</v>
      </c>
      <c r="S180">
        <v>0</v>
      </c>
      <c r="T180">
        <v>1.366459627329197E-2</v>
      </c>
    </row>
    <row r="181" spans="1:20" x14ac:dyDescent="0.25">
      <c r="A181" s="13" t="s">
        <v>416</v>
      </c>
      <c r="B181" s="13" t="s">
        <v>417</v>
      </c>
      <c r="C181" s="13" t="s">
        <v>144</v>
      </c>
      <c r="D181" s="13" t="s">
        <v>326</v>
      </c>
      <c r="E181" s="13" t="str">
        <f>IFERROR(INDEX('Почасовка — ставки и план'!$B$5:$B$24,MATCH(D181,'Почасовка — ставки и план'!$A$5:$A$24,0)),"Аренда техники / механизмы")</f>
        <v>Сантехник</v>
      </c>
      <c r="F181" s="14">
        <v>567</v>
      </c>
      <c r="G181" s="14">
        <v>680</v>
      </c>
      <c r="H181" s="15">
        <v>300</v>
      </c>
      <c r="I181" s="15">
        <f>IF(OR(H181="",F181=""),"",MAX(H181,MIN(ROUND(H181*(1+Параметры!$B$5),IF(H181*(1+Параметры!$B$5)&gt;=1000,-1,0)),ROUND(F181*Параметры!$B$6,IF(F181*Параметры!$B$6&gt;=1000,-1,0)))))</f>
        <v>345</v>
      </c>
      <c r="J181" s="15">
        <v>345</v>
      </c>
      <c r="K181" s="15">
        <f>IF(OR(J181="",G181=""),"",MAX(J181,MIN(ROUND(J181*(1+Параметры!$B$5),IF(J181*(1+Параметры!$B$5)&gt;=1000,-1,0)),ROUND(G181*Параметры!$B$6,IF(G181*Параметры!$B$6&gt;=1000,-1,0)))))</f>
        <v>397</v>
      </c>
      <c r="L181" s="16">
        <v>0.5</v>
      </c>
      <c r="M181" s="17">
        <f t="shared" si="16"/>
        <v>2</v>
      </c>
      <c r="N181" s="17">
        <f>IF(OR(L181="",L181=0),"",Параметры!$B$3/L181)</f>
        <v>16</v>
      </c>
      <c r="O181" s="15">
        <f>IF(L181="","",IFERROR(INDEX('Почасовка — ставки и план'!$D$5:$D$24,MATCH($D181,'Почасовка — ставки и план'!$A$5:$A$24,0)),""))</f>
        <v>850</v>
      </c>
      <c r="P181" s="15">
        <f>IF(L181="","",IFERROR(INDEX('Почасовка — ставки и план'!$E$5:$E$24,MATCH($D181,'Почасовка — ставки и план'!$A$5:$A$24,0)),""))</f>
        <v>1020</v>
      </c>
      <c r="Q181" s="15">
        <f t="shared" si="17"/>
        <v>425</v>
      </c>
      <c r="R181" s="13" t="str">
        <f>IF(D181="TEX","аренда техники — сделка/счёт",IF(OR(Q181="",H181="",H181=0),"—",IF(Q181&lt;H181*(1-Параметры!$B$7),"почасовка",IF(Q181&gt;H181*(1+Параметры!$B$7),"сделка","любой способ"))))</f>
        <v>сделка</v>
      </c>
      <c r="S181">
        <v>0.1339999999999999</v>
      </c>
      <c r="T181">
        <v>0.182608695652174</v>
      </c>
    </row>
    <row r="182" spans="1:20" x14ac:dyDescent="0.25">
      <c r="A182" s="13" t="s">
        <v>418</v>
      </c>
      <c r="B182" s="13" t="s">
        <v>419</v>
      </c>
      <c r="C182" s="13" t="s">
        <v>144</v>
      </c>
      <c r="D182" s="13" t="s">
        <v>288</v>
      </c>
      <c r="E182" s="13" t="str">
        <f>IFERROR(INDEX('Почасовка — ставки и план'!$B$5:$B$24,MATCH(D182,'Почасовка — ставки и план'!$A$5:$A$24,0)),"Аренда техники / механизмы")</f>
        <v>Монтажник вентиляции</v>
      </c>
      <c r="F182" s="14">
        <v>3500</v>
      </c>
      <c r="G182" s="14">
        <v>4080</v>
      </c>
      <c r="H182" s="15">
        <v>2100</v>
      </c>
      <c r="I182" s="15">
        <f>IF(OR(H182="",F182=""),"",MAX(H182,MIN(ROUND(H182*(1+Параметры!$B$5),IF(H182*(1+Параметры!$B$5)&gt;=1000,-1,0)),ROUND(F182*Параметры!$B$6,IF(F182*Параметры!$B$6&gt;=1000,-1,0)))))</f>
        <v>2420</v>
      </c>
      <c r="J182" s="15">
        <v>2415</v>
      </c>
      <c r="K182" s="15">
        <f>IF(OR(J182="",G182=""),"",MAX(J182,MIN(ROUND(J182*(1+Параметры!$B$5),IF(J182*(1+Параметры!$B$5)&gt;=1000,-1,0)),ROUND(G182*Параметры!$B$6,IF(G182*Параметры!$B$6&gt;=1000,-1,0)))))</f>
        <v>2780</v>
      </c>
      <c r="L182" s="16">
        <v>3</v>
      </c>
      <c r="M182" s="17">
        <f t="shared" si="16"/>
        <v>0.33333333333333331</v>
      </c>
      <c r="N182" s="17">
        <f>IF(OR(L182="",L182=0),"",Параметры!$B$3/L182)</f>
        <v>2.6666666666666665</v>
      </c>
      <c r="O182" s="15">
        <f>IF(L182="","",IFERROR(INDEX('Почасовка — ставки и план'!$D$5:$D$24,MATCH($D182,'Почасовка — ставки и план'!$A$5:$A$24,0)),""))</f>
        <v>850</v>
      </c>
      <c r="P182" s="15">
        <f>IF(L182="","",IFERROR(INDEX('Почасовка — ставки и план'!$E$5:$E$24,MATCH($D182,'Почасовка — ставки и план'!$A$5:$A$24,0)),""))</f>
        <v>1020</v>
      </c>
      <c r="Q182" s="15">
        <f t="shared" si="17"/>
        <v>2550</v>
      </c>
      <c r="R182" s="13" t="str">
        <f>IF(D182="TEX","аренда техники — сделка/счёт",IF(OR(Q182="",H182="",H182=0),"—",IF(Q182&lt;H182*(1-Параметры!$B$7),"почасовка",IF(Q182&gt;H182*(1+Параметры!$B$7),"сделка","любой способ"))))</f>
        <v>сделка</v>
      </c>
      <c r="S182">
        <v>0</v>
      </c>
      <c r="T182">
        <v>1.366459627329197E-2</v>
      </c>
    </row>
    <row r="183" spans="1:20" x14ac:dyDescent="0.25">
      <c r="A183" s="13" t="s">
        <v>420</v>
      </c>
      <c r="B183" s="13" t="s">
        <v>421</v>
      </c>
      <c r="C183" s="13" t="s">
        <v>144</v>
      </c>
      <c r="D183" s="13" t="s">
        <v>273</v>
      </c>
      <c r="E183" s="13" t="str">
        <f>IFERROR(INDEX('Почасовка — ставки и план'!$B$5:$B$24,MATCH(D183,'Почасовка — ставки и план'!$A$5:$A$24,0)),"Аренда техники / механизмы")</f>
        <v>Электромонтажник</v>
      </c>
      <c r="F183" s="14">
        <v>2500</v>
      </c>
      <c r="G183" s="14">
        <v>2875</v>
      </c>
      <c r="H183" s="15">
        <v>1500</v>
      </c>
      <c r="I183" s="15">
        <f>IF(OR(H183="",F183=""),"",MAX(H183,MIN(ROUND(H183*(1+Параметры!$B$5),IF(H183*(1+Параметры!$B$5)&gt;=1000,-1,0)),ROUND(F183*Параметры!$B$6,IF(F183*Параметры!$B$6&gt;=1000,-1,0)))))</f>
        <v>1730</v>
      </c>
      <c r="J183" s="15">
        <v>1725</v>
      </c>
      <c r="K183" s="15">
        <f>IF(OR(J183="",G183=""),"",MAX(J183,MIN(ROUND(J183*(1+Параметры!$B$5),IF(J183*(1+Параметры!$B$5)&gt;=1000,-1,0)),ROUND(G183*Параметры!$B$6,IF(G183*Параметры!$B$6&gt;=1000,-1,0)))))</f>
        <v>1980</v>
      </c>
      <c r="L183" s="16">
        <v>2</v>
      </c>
      <c r="M183" s="17">
        <f t="shared" si="16"/>
        <v>0.5</v>
      </c>
      <c r="N183" s="17">
        <f>IF(OR(L183="",L183=0),"",Параметры!$B$3/L183)</f>
        <v>4</v>
      </c>
      <c r="O183" s="15">
        <f>IF(L183="","",IFERROR(INDEX('Почасовка — ставки и план'!$D$5:$D$24,MATCH($D183,'Почасовка — ставки и план'!$A$5:$A$24,0)),""))</f>
        <v>850</v>
      </c>
      <c r="P183" s="15">
        <f>IF(L183="","",IFERROR(INDEX('Почасовка — ставки и план'!$E$5:$E$24,MATCH($D183,'Почасовка — ставки и план'!$A$5:$A$24,0)),""))</f>
        <v>1020</v>
      </c>
      <c r="Q183" s="15">
        <f t="shared" si="17"/>
        <v>1700</v>
      </c>
      <c r="R183" s="13" t="str">
        <f>IF(D183="TEX","аренда техники — сделка/счёт",IF(OR(Q183="",H183="",H183=0),"—",IF(Q183&lt;H183*(1-Параметры!$B$7),"почасовка",IF(Q183&gt;H183*(1+Параметры!$B$7),"сделка","любой способ"))))</f>
        <v>сделка</v>
      </c>
      <c r="S183">
        <v>0</v>
      </c>
      <c r="T183">
        <v>0</v>
      </c>
    </row>
    <row r="184" spans="1:20" x14ac:dyDescent="0.25">
      <c r="A184" s="13" t="s">
        <v>422</v>
      </c>
      <c r="B184" s="13" t="s">
        <v>423</v>
      </c>
      <c r="C184" s="13" t="s">
        <v>69</v>
      </c>
      <c r="D184" s="13" t="s">
        <v>326</v>
      </c>
      <c r="E184" s="13" t="str">
        <f>IFERROR(INDEX('Почасовка — ставки и план'!$B$5:$B$24,MATCH(D184,'Почасовка — ставки и план'!$A$5:$A$24,0)),"Аренда техники / механизмы")</f>
        <v>Сантехник</v>
      </c>
      <c r="F184" s="14">
        <v>511</v>
      </c>
      <c r="G184" s="14">
        <v>612</v>
      </c>
      <c r="H184" s="15">
        <v>210</v>
      </c>
      <c r="I184" s="15">
        <f>IF(OR(H184="",F184=""),"",MAX(H184,MIN(ROUND(H184*(1+Параметры!$B$5),IF(H184*(1+Параметры!$B$5)&gt;=1000,-1,0)),ROUND(F184*Параметры!$B$6,IF(F184*Параметры!$B$6&gt;=1000,-1,0)))))</f>
        <v>242</v>
      </c>
      <c r="J184" s="15">
        <v>241</v>
      </c>
      <c r="K184" s="15">
        <f>IF(OR(J184="",G184=""),"",MAX(J184,MIN(ROUND(J184*(1+Параметры!$B$5),IF(J184*(1+Параметры!$B$5)&gt;=1000,-1,0)),ROUND(G184*Параметры!$B$6,IF(G184*Параметры!$B$6&gt;=1000,-1,0)))))</f>
        <v>277</v>
      </c>
      <c r="L184" s="16">
        <v>0.45</v>
      </c>
      <c r="M184" s="17">
        <f t="shared" si="16"/>
        <v>2.2222222222222223</v>
      </c>
      <c r="N184" s="17">
        <f>IF(OR(L184="",L184=0),"",Параметры!$B$3/L184)</f>
        <v>17.777777777777779</v>
      </c>
      <c r="O184" s="15">
        <f>IF(L184="","",IFERROR(INDEX('Почасовка — ставки и план'!$D$5:$D$24,MATCH($D184,'Почасовка — ставки и план'!$A$5:$A$24,0)),""))</f>
        <v>850</v>
      </c>
      <c r="P184" s="15">
        <f>IF(L184="","",IFERROR(INDEX('Почасовка — ставки и план'!$E$5:$E$24,MATCH($D184,'Почасовка — ставки и план'!$A$5:$A$24,0)),""))</f>
        <v>1020</v>
      </c>
      <c r="Q184" s="15">
        <f t="shared" si="17"/>
        <v>383</v>
      </c>
      <c r="R184" s="13" t="str">
        <f>IF(D184="TEX","аренда техники — сделка/счёт",IF(OR(Q184="",H184="",H184=0),"—",IF(Q184&lt;H184*(1-Параметры!$B$7),"почасовка",IF(Q184&gt;H184*(1+Параметры!$B$7),"сделка","любой способ"))))</f>
        <v>сделка</v>
      </c>
      <c r="S184">
        <v>0.46</v>
      </c>
      <c r="T184">
        <v>0.52238805970149249</v>
      </c>
    </row>
    <row r="185" spans="1:20" x14ac:dyDescent="0.25">
      <c r="A185" s="13" t="s">
        <v>424</v>
      </c>
      <c r="B185" s="13" t="s">
        <v>425</v>
      </c>
      <c r="C185" s="13" t="s">
        <v>69</v>
      </c>
      <c r="D185" s="13" t="s">
        <v>326</v>
      </c>
      <c r="E185" s="13" t="str">
        <f>IFERROR(INDEX('Почасовка — ставки и план'!$B$5:$B$24,MATCH(D185,'Почасовка — ставки и план'!$A$5:$A$24,0)),"Аренда техники / механизмы")</f>
        <v>Сантехник</v>
      </c>
      <c r="F185" s="14">
        <v>171</v>
      </c>
      <c r="G185" s="14">
        <v>204</v>
      </c>
      <c r="H185" s="15">
        <v>90</v>
      </c>
      <c r="I185" s="15">
        <f>IF(OR(H185="",F185=""),"",MAX(H185,MIN(ROUND(H185*(1+Параметры!$B$5),IF(H185*(1+Параметры!$B$5)&gt;=1000,-1,0)),ROUND(F185*Параметры!$B$6,IF(F185*Параметры!$B$6&gt;=1000,-1,0)))))</f>
        <v>104</v>
      </c>
      <c r="J185" s="15">
        <v>103</v>
      </c>
      <c r="K185" s="15">
        <f>IF(OR(J185="",G185=""),"",MAX(J185,MIN(ROUND(J185*(1+Параметры!$B$5),IF(J185*(1+Параметры!$B$5)&gt;=1000,-1,0)),ROUND(G185*Параметры!$B$6,IF(G185*Параметры!$B$6&gt;=1000,-1,0)))))</f>
        <v>118</v>
      </c>
      <c r="L185" s="16">
        <v>0.15</v>
      </c>
      <c r="M185" s="17">
        <f t="shared" si="16"/>
        <v>6.666666666666667</v>
      </c>
      <c r="N185" s="17">
        <f>IF(OR(L185="",L185=0),"",Параметры!$B$3/L185)</f>
        <v>53.333333333333336</v>
      </c>
      <c r="O185" s="15">
        <f>IF(L185="","",IFERROR(INDEX('Почасовка — ставки и план'!$D$5:$D$24,MATCH($D185,'Почасовка — ставки и план'!$A$5:$A$24,0)),""))</f>
        <v>850</v>
      </c>
      <c r="P185" s="15">
        <f>IF(L185="","",IFERROR(INDEX('Почасовка — ставки и план'!$E$5:$E$24,MATCH($D185,'Почасовка — ставки и план'!$A$5:$A$24,0)),""))</f>
        <v>1020</v>
      </c>
      <c r="Q185" s="15">
        <f t="shared" si="17"/>
        <v>128</v>
      </c>
      <c r="R185" s="13" t="str">
        <f>IF(D185="TEX","аренда техники — сделка/счёт",IF(OR(Q185="",H185="",H185=0),"—",IF(Q185&lt;H185*(1-Параметры!$B$7),"почасовка",IF(Q185&gt;H185*(1+Параметры!$B$7),"сделка","любой способ"))))</f>
        <v>сделка</v>
      </c>
      <c r="S185">
        <v>0.1399999999999999</v>
      </c>
      <c r="T185">
        <v>0.18604651162790711</v>
      </c>
    </row>
    <row r="186" spans="1:20" x14ac:dyDescent="0.25">
      <c r="A186" s="13" t="s">
        <v>426</v>
      </c>
      <c r="B186" s="13" t="s">
        <v>427</v>
      </c>
      <c r="C186" s="13" t="s">
        <v>144</v>
      </c>
      <c r="D186" s="13" t="s">
        <v>326</v>
      </c>
      <c r="E186" s="13" t="str">
        <f>IFERROR(INDEX('Почасовка — ставки и план'!$B$5:$B$24,MATCH(D186,'Почасовка — ставки и план'!$A$5:$A$24,0)),"Аренда техники / механизмы")</f>
        <v>Сантехник</v>
      </c>
      <c r="F186" s="14">
        <v>5667</v>
      </c>
      <c r="G186" s="14">
        <v>6800</v>
      </c>
      <c r="H186" s="15">
        <v>2700</v>
      </c>
      <c r="I186" s="15">
        <f>IF(OR(H186="",F186=""),"",MAX(H186,MIN(ROUND(H186*(1+Параметры!$B$5),IF(H186*(1+Параметры!$B$5)&gt;=1000,-1,0)),ROUND(F186*Параметры!$B$6,IF(F186*Параметры!$B$6&gt;=1000,-1,0)))))</f>
        <v>3110</v>
      </c>
      <c r="J186" s="15">
        <v>3105</v>
      </c>
      <c r="K186" s="15">
        <f>IF(OR(J186="",G186=""),"",MAX(J186,MIN(ROUND(J186*(1+Параметры!$B$5),IF(J186*(1+Параметры!$B$5)&gt;=1000,-1,0)),ROUND(G186*Параметры!$B$6,IF(G186*Параметры!$B$6&gt;=1000,-1,0)))))</f>
        <v>3570</v>
      </c>
      <c r="L186" s="16">
        <v>5</v>
      </c>
      <c r="M186" s="17">
        <f t="shared" si="16"/>
        <v>0.2</v>
      </c>
      <c r="N186" s="17">
        <f>IF(OR(L186="",L186=0),"",Параметры!$B$3/L186)</f>
        <v>1.6</v>
      </c>
      <c r="O186" s="15">
        <f>IF(L186="","",IFERROR(INDEX('Почасовка — ставки и план'!$D$5:$D$24,MATCH($D186,'Почасовка — ставки и план'!$A$5:$A$24,0)),""))</f>
        <v>850</v>
      </c>
      <c r="P186" s="15">
        <f>IF(L186="","",IFERROR(INDEX('Почасовка — ставки и план'!$E$5:$E$24,MATCH($D186,'Почасовка — ставки и план'!$A$5:$A$24,0)),""))</f>
        <v>1020</v>
      </c>
      <c r="Q186" s="15">
        <f t="shared" si="17"/>
        <v>4250</v>
      </c>
      <c r="R186" s="13" t="str">
        <f>IF(D186="TEX","аренда техники — сделка/счёт",IF(OR(Q186="",H186="",H186=0),"—",IF(Q186&lt;H186*(1-Параметры!$B$7),"почасовка",IF(Q186&gt;H186*(1+Параметры!$B$7),"сделка","любой способ"))))</f>
        <v>сделка</v>
      </c>
      <c r="S186">
        <v>0.25933333333333342</v>
      </c>
      <c r="T186">
        <v>0.31400966183574891</v>
      </c>
    </row>
    <row r="187" spans="1:20" x14ac:dyDescent="0.25">
      <c r="A187" s="13" t="s">
        <v>428</v>
      </c>
      <c r="B187" s="13" t="s">
        <v>429</v>
      </c>
      <c r="C187" s="13" t="s">
        <v>144</v>
      </c>
      <c r="D187" s="13" t="s">
        <v>326</v>
      </c>
      <c r="E187" s="13" t="str">
        <f>IFERROR(INDEX('Почасовка — ставки и план'!$B$5:$B$24,MATCH(D187,'Почасовка — ставки и план'!$A$5:$A$24,0)),"Аренда техники / механизмы")</f>
        <v>Сантехник</v>
      </c>
      <c r="F187" s="14">
        <v>907</v>
      </c>
      <c r="G187" s="14">
        <v>1088</v>
      </c>
      <c r="H187" s="15">
        <v>480</v>
      </c>
      <c r="I187" s="15">
        <f>IF(OR(H187="",F187=""),"",MAX(H187,MIN(ROUND(H187*(1+Параметры!$B$5),IF(H187*(1+Параметры!$B$5)&gt;=1000,-1,0)),ROUND(F187*Параметры!$B$6,IF(F187*Параметры!$B$6&gt;=1000,-1,0)))))</f>
        <v>552</v>
      </c>
      <c r="J187" s="15">
        <v>552</v>
      </c>
      <c r="K187" s="15">
        <f>IF(OR(J187="",G187=""),"",MAX(J187,MIN(ROUND(J187*(1+Параметры!$B$5),IF(J187*(1+Параметры!$B$5)&gt;=1000,-1,0)),ROUND(G187*Параметры!$B$6,IF(G187*Параметры!$B$6&gt;=1000,-1,0)))))</f>
        <v>635</v>
      </c>
      <c r="L187" s="16">
        <v>0.8</v>
      </c>
      <c r="M187" s="17">
        <f t="shared" si="16"/>
        <v>1.25</v>
      </c>
      <c r="N187" s="17">
        <f>IF(OR(L187="",L187=0),"",Параметры!$B$3/L187)</f>
        <v>10</v>
      </c>
      <c r="O187" s="15">
        <f>IF(L187="","",IFERROR(INDEX('Почасовка — ставки и план'!$D$5:$D$24,MATCH($D187,'Почасовка — ставки и план'!$A$5:$A$24,0)),""))</f>
        <v>850</v>
      </c>
      <c r="P187" s="15">
        <f>IF(L187="","",IFERROR(INDEX('Почасовка — ставки и план'!$E$5:$E$24,MATCH($D187,'Почасовка — ставки и план'!$A$5:$A$24,0)),""))</f>
        <v>1020</v>
      </c>
      <c r="Q187" s="15">
        <f t="shared" si="17"/>
        <v>680</v>
      </c>
      <c r="R187" s="13" t="str">
        <f>IF(D187="TEX","аренда техники — сделка/счёт",IF(OR(Q187="",H187="",H187=0),"—",IF(Q187&lt;H187*(1-Параметры!$B$7),"почасовка",IF(Q187&gt;H187*(1+Параметры!$B$7),"сделка","любой способ"))))</f>
        <v>сделка</v>
      </c>
      <c r="S187">
        <v>0.13375000000000001</v>
      </c>
      <c r="T187">
        <v>0.182608695652174</v>
      </c>
    </row>
    <row r="188" spans="1:20" x14ac:dyDescent="0.25">
      <c r="A188" s="13" t="s">
        <v>430</v>
      </c>
      <c r="B188" s="13" t="s">
        <v>431</v>
      </c>
      <c r="C188" s="13" t="s">
        <v>144</v>
      </c>
      <c r="D188" s="13" t="s">
        <v>326</v>
      </c>
      <c r="E188" s="13" t="str">
        <f>IFERROR(INDEX('Почасовка — ставки и план'!$B$5:$B$24,MATCH(D188,'Почасовка — ставки и план'!$A$5:$A$24,0)),"Аренда техники / механизмы")</f>
        <v>Сантехник</v>
      </c>
      <c r="F188" s="14">
        <v>454</v>
      </c>
      <c r="G188" s="14">
        <v>544</v>
      </c>
      <c r="H188" s="15">
        <v>240</v>
      </c>
      <c r="I188" s="15">
        <f>IF(OR(H188="",F188=""),"",MAX(H188,MIN(ROUND(H188*(1+Параметры!$B$5),IF(H188*(1+Параметры!$B$5)&gt;=1000,-1,0)),ROUND(F188*Параметры!$B$6,IF(F188*Параметры!$B$6&gt;=1000,-1,0)))))</f>
        <v>276</v>
      </c>
      <c r="J188" s="15">
        <v>276</v>
      </c>
      <c r="K188" s="15">
        <f>IF(OR(J188="",G188=""),"",MAX(J188,MIN(ROUND(J188*(1+Параметры!$B$5),IF(J188*(1+Параметры!$B$5)&gt;=1000,-1,0)),ROUND(G188*Параметры!$B$6,IF(G188*Параметры!$B$6&gt;=1000,-1,0)))))</f>
        <v>317</v>
      </c>
      <c r="L188" s="16">
        <v>0.4</v>
      </c>
      <c r="M188" s="17">
        <f t="shared" si="16"/>
        <v>2.5</v>
      </c>
      <c r="N188" s="17">
        <f>IF(OR(L188="",L188=0),"",Параметры!$B$3/L188)</f>
        <v>20</v>
      </c>
      <c r="O188" s="15">
        <f>IF(L188="","",IFERROR(INDEX('Почасовка — ставки и план'!$D$5:$D$24,MATCH($D188,'Почасовка — ставки и план'!$A$5:$A$24,0)),""))</f>
        <v>850</v>
      </c>
      <c r="P188" s="15">
        <f>IF(L188="","",IFERROR(INDEX('Почасовка — ставки и план'!$E$5:$E$24,MATCH($D188,'Почасовка — ставки и план'!$A$5:$A$24,0)),""))</f>
        <v>1020</v>
      </c>
      <c r="Q188" s="15">
        <f t="shared" si="17"/>
        <v>340</v>
      </c>
      <c r="R188" s="13" t="str">
        <f>IF(D188="TEX","аренда техники — сделка/счёт",IF(OR(Q188="",H188="",H188=0),"—",IF(Q188&lt;H188*(1-Параметры!$B$7),"почасовка",IF(Q188&gt;H188*(1+Параметры!$B$7),"сделка","любой способ"))))</f>
        <v>сделка</v>
      </c>
      <c r="S188">
        <v>0.13500000000000001</v>
      </c>
      <c r="T188">
        <v>0.182608695652174</v>
      </c>
    </row>
    <row r="189" spans="1:20" x14ac:dyDescent="0.25">
      <c r="A189" s="13" t="s">
        <v>432</v>
      </c>
      <c r="B189" s="13" t="s">
        <v>433</v>
      </c>
      <c r="C189" s="13" t="s">
        <v>144</v>
      </c>
      <c r="D189" s="13" t="s">
        <v>326</v>
      </c>
      <c r="E189" s="13" t="str">
        <f>IFERROR(INDEX('Почасовка — ставки и план'!$B$5:$B$24,MATCH(D189,'Почасовка — ставки и план'!$A$5:$A$24,0)),"Аренда техники / механизмы")</f>
        <v>Сантехник</v>
      </c>
      <c r="F189" s="14">
        <v>907</v>
      </c>
      <c r="G189" s="14">
        <v>1088</v>
      </c>
      <c r="H189" s="15">
        <v>420</v>
      </c>
      <c r="I189" s="15">
        <f>IF(OR(H189="",F189=""),"",MAX(H189,MIN(ROUND(H189*(1+Параметры!$B$5),IF(H189*(1+Параметры!$B$5)&gt;=1000,-1,0)),ROUND(F189*Параметры!$B$6,IF(F189*Параметры!$B$6&gt;=1000,-1,0)))))</f>
        <v>483</v>
      </c>
      <c r="J189" s="15">
        <v>483</v>
      </c>
      <c r="K189" s="15">
        <f>IF(OR(J189="",G189=""),"",MAX(J189,MIN(ROUND(J189*(1+Параметры!$B$5),IF(J189*(1+Параметры!$B$5)&gt;=1000,-1,0)),ROUND(G189*Параметры!$B$6,IF(G189*Параметры!$B$6&gt;=1000,-1,0)))))</f>
        <v>555</v>
      </c>
      <c r="L189" s="16">
        <v>0.8</v>
      </c>
      <c r="M189" s="17">
        <f t="shared" si="16"/>
        <v>1.25</v>
      </c>
      <c r="N189" s="17">
        <f>IF(OR(L189="",L189=0),"",Параметры!$B$3/L189)</f>
        <v>10</v>
      </c>
      <c r="O189" s="15">
        <f>IF(L189="","",IFERROR(INDEX('Почасовка — ставки и план'!$D$5:$D$24,MATCH($D189,'Почасовка — ставки и план'!$A$5:$A$24,0)),""))</f>
        <v>850</v>
      </c>
      <c r="P189" s="15">
        <f>IF(L189="","",IFERROR(INDEX('Почасовка — ставки и план'!$E$5:$E$24,MATCH($D189,'Почасовка — ставки и план'!$A$5:$A$24,0)),""))</f>
        <v>1020</v>
      </c>
      <c r="Q189" s="15">
        <f t="shared" si="17"/>
        <v>680</v>
      </c>
      <c r="R189" s="13" t="str">
        <f>IF(D189="TEX","аренда техники — сделка/счёт",IF(OR(Q189="",H189="",H189=0),"—",IF(Q189&lt;H189*(1-Параметры!$B$7),"почасовка",IF(Q189&gt;H189*(1+Параметры!$B$7),"сделка","любой способ"))))</f>
        <v>сделка</v>
      </c>
      <c r="S189">
        <v>0.29571428571428582</v>
      </c>
      <c r="T189">
        <v>0.35155279503105602</v>
      </c>
    </row>
    <row r="190" spans="1:20" x14ac:dyDescent="0.25">
      <c r="A190" s="13" t="s">
        <v>434</v>
      </c>
      <c r="B190" s="13" t="s">
        <v>435</v>
      </c>
      <c r="C190" s="13" t="s">
        <v>144</v>
      </c>
      <c r="D190" s="13" t="s">
        <v>60</v>
      </c>
      <c r="E190" s="13" t="str">
        <f>IFERROR(INDEX('Почасовка — ставки и план'!$B$5:$B$24,MATCH(D190,'Почасовка — ставки и план'!$A$5:$A$24,0)),"Аренда техники / механизмы")</f>
        <v>Разнорабочий / демонтажник</v>
      </c>
      <c r="F190" s="14">
        <v>2500</v>
      </c>
      <c r="G190" s="14">
        <v>2875</v>
      </c>
      <c r="H190" s="15">
        <v>300</v>
      </c>
      <c r="I190" s="15">
        <f>IF(OR(H190="",F190=""),"",MAX(H190,MIN(ROUND(H190*(1+Параметры!$B$5),IF(H190*(1+Параметры!$B$5)&gt;=1000,-1,0)),ROUND(F190*Параметры!$B$6,IF(F190*Параметры!$B$6&gt;=1000,-1,0)))))</f>
        <v>345</v>
      </c>
      <c r="J190" s="15">
        <v>345</v>
      </c>
      <c r="K190" s="15">
        <f>IF(OR(J190="",G190=""),"",MAX(J190,MIN(ROUND(J190*(1+Параметры!$B$5),IF(J190*(1+Параметры!$B$5)&gt;=1000,-1,0)),ROUND(G190*Параметры!$B$6,IF(G190*Параметры!$B$6&gt;=1000,-1,0)))))</f>
        <v>397</v>
      </c>
      <c r="L190" s="16">
        <v>0.5</v>
      </c>
      <c r="M190" s="17">
        <f t="shared" si="16"/>
        <v>2</v>
      </c>
      <c r="N190" s="17">
        <f>IF(OR(L190="",L190=0),"",Параметры!$B$3/L190)</f>
        <v>16</v>
      </c>
      <c r="O190" s="15">
        <f>IF(L190="","",IFERROR(INDEX('Почасовка — ставки и план'!$D$5:$D$24,MATCH($D190,'Почасовка — ставки и план'!$A$5:$A$24,0)),""))</f>
        <v>550</v>
      </c>
      <c r="P190" s="15">
        <f>IF(L190="","",IFERROR(INDEX('Почасовка — ставки и план'!$E$5:$E$24,MATCH($D190,'Почасовка — ставки и план'!$A$5:$A$24,0)),""))</f>
        <v>660</v>
      </c>
      <c r="Q190" s="15">
        <f t="shared" si="17"/>
        <v>275</v>
      </c>
      <c r="R190" s="13" t="str">
        <f>IF(D190="TEX","аренда техники — сделка/счёт",IF(OR(Q190="",H190="",H190=0),"—",IF(Q190&lt;H190*(1-Параметры!$B$7),"почасовка",IF(Q190&gt;H190*(1+Параметры!$B$7),"сделка","любой способ"))))</f>
        <v>любой способ</v>
      </c>
      <c r="S190">
        <v>0</v>
      </c>
      <c r="T190">
        <v>0</v>
      </c>
    </row>
    <row r="191" spans="1:20" x14ac:dyDescent="0.25">
      <c r="A191" s="18" t="s">
        <v>436</v>
      </c>
      <c r="B191" s="13" t="s">
        <v>437</v>
      </c>
      <c r="C191" s="13" t="s">
        <v>144</v>
      </c>
      <c r="D191" s="13" t="s">
        <v>326</v>
      </c>
      <c r="E191" s="13" t="str">
        <f>IFERROR(INDEX('Почасовка — ставки и план'!$B$5:$B$24,MATCH(D191,'Почасовка — ставки и план'!$A$5:$A$24,0)),"Аренда техники / механизмы")</f>
        <v>Сантехник</v>
      </c>
      <c r="F191" s="14">
        <v>680</v>
      </c>
      <c r="G191" s="14">
        <v>816</v>
      </c>
      <c r="H191" s="15">
        <v>360</v>
      </c>
      <c r="I191" s="15">
        <f>IF(OR(H191="",F191=""),"",MAX(H191,MIN(ROUND(H191*(1+Параметры!$B$5),IF(H191*(1+Параметры!$B$5)&gt;=1000,-1,0)),ROUND(F191*Параметры!$B$6,IF(F191*Параметры!$B$6&gt;=1000,-1,0)))))</f>
        <v>414</v>
      </c>
      <c r="J191" s="15">
        <v>414</v>
      </c>
      <c r="K191" s="15">
        <f>IF(OR(J191="",G191=""),"",MAX(J191,MIN(ROUND(J191*(1+Параметры!$B$5),IF(J191*(1+Параметры!$B$5)&gt;=1000,-1,0)),ROUND(G191*Параметры!$B$6,IF(G191*Параметры!$B$6&gt;=1000,-1,0)))))</f>
        <v>476</v>
      </c>
      <c r="L191" s="16">
        <v>0.6</v>
      </c>
      <c r="M191" s="17">
        <f t="shared" si="16"/>
        <v>1.6666666666666667</v>
      </c>
      <c r="N191" s="17">
        <f>IF(OR(L191="",L191=0),"",Параметры!$B$3/L191)</f>
        <v>13.333333333333334</v>
      </c>
      <c r="O191" s="15">
        <f>IF(L191="","",IFERROR(INDEX('Почасовка — ставки и план'!$D$5:$D$24,MATCH($D191,'Почасовка — ставки и план'!$A$5:$A$24,0)),""))</f>
        <v>850</v>
      </c>
      <c r="P191" s="15">
        <f>IF(L191="","",IFERROR(INDEX('Почасовка — ставки и план'!$E$5:$E$24,MATCH($D191,'Почасовка — ставки и план'!$A$5:$A$24,0)),""))</f>
        <v>1020</v>
      </c>
      <c r="Q191" s="15">
        <f t="shared" si="17"/>
        <v>510</v>
      </c>
      <c r="R191" s="13" t="str">
        <f>IF(D191="TEX","аренда техники — сделка/счёт",IF(OR(Q191="",H191="",H191=0),"—",IF(Q191&lt;H191*(1-Параметры!$B$7),"почасовка",IF(Q191&gt;H191*(1+Параметры!$B$7),"сделка","любой способ"))))</f>
        <v>сделка</v>
      </c>
      <c r="S191">
        <v>0.1333333333333333</v>
      </c>
      <c r="T191">
        <v>0.182608695652174</v>
      </c>
    </row>
    <row r="192" spans="1:20" x14ac:dyDescent="0.25">
      <c r="A192" s="18" t="s">
        <v>438</v>
      </c>
      <c r="B192" s="13" t="s">
        <v>439</v>
      </c>
      <c r="C192" s="13" t="s">
        <v>144</v>
      </c>
      <c r="D192" s="13" t="s">
        <v>326</v>
      </c>
      <c r="E192" s="13" t="str">
        <f>IFERROR(INDEX('Почасовка — ставки и план'!$B$5:$B$24,MATCH(D192,'Почасовка — ставки и план'!$A$5:$A$24,0)),"Аренда техники / механизмы")</f>
        <v>Сантехник</v>
      </c>
      <c r="F192" s="14">
        <v>1500</v>
      </c>
      <c r="G192" s="14">
        <v>1725</v>
      </c>
      <c r="H192" s="15">
        <v>900</v>
      </c>
      <c r="I192" s="15">
        <f>IF(OR(H192="",F192=""),"",MAX(H192,MIN(ROUND(H192*(1+Параметры!$B$5),IF(H192*(1+Параметры!$B$5)&gt;=1000,-1,0)),ROUND(F192*Параметры!$B$6,IF(F192*Параметры!$B$6&gt;=1000,-1,0)))))</f>
        <v>1040</v>
      </c>
      <c r="J192" s="15">
        <v>1035</v>
      </c>
      <c r="K192" s="15">
        <f>IF(OR(J192="",G192=""),"",MAX(J192,MIN(ROUND(J192*(1+Параметры!$B$5),IF(J192*(1+Параметры!$B$5)&gt;=1000,-1,0)),ROUND(G192*Параметры!$B$6,IF(G192*Параметры!$B$6&gt;=1000,-1,0)))))</f>
        <v>1190</v>
      </c>
      <c r="L192" s="16">
        <v>1.2</v>
      </c>
      <c r="M192" s="17">
        <f t="shared" si="16"/>
        <v>0.83333333333333337</v>
      </c>
      <c r="N192" s="17">
        <f>IF(OR(L192="",L192=0),"",Параметры!$B$3/L192)</f>
        <v>6.666666666666667</v>
      </c>
      <c r="O192" s="15">
        <f>IF(L192="","",IFERROR(INDEX('Почасовка — ставки и план'!$D$5:$D$24,MATCH($D192,'Почасовка — ставки и план'!$A$5:$A$24,0)),""))</f>
        <v>850</v>
      </c>
      <c r="P192" s="15">
        <f>IF(L192="","",IFERROR(INDEX('Почасовка — ставки и план'!$E$5:$E$24,MATCH($D192,'Почасовка — ставки и план'!$A$5:$A$24,0)),""))</f>
        <v>1020</v>
      </c>
      <c r="Q192" s="15">
        <f t="shared" si="17"/>
        <v>1020</v>
      </c>
      <c r="R192" s="13" t="str">
        <f>IF(D192="TEX","аренда техники — сделка/счёт",IF(OR(Q192="",H192="",H192=0),"—",IF(Q192&lt;H192*(1-Параметры!$B$7),"почасовка",IF(Q192&gt;H192*(1+Параметры!$B$7),"сделка","любой способ"))))</f>
        <v>сделка</v>
      </c>
      <c r="S192">
        <v>0</v>
      </c>
      <c r="T192">
        <v>0</v>
      </c>
    </row>
    <row r="193" spans="1:20" x14ac:dyDescent="0.25">
      <c r="A193" s="18" t="s">
        <v>440</v>
      </c>
      <c r="B193" s="13" t="s">
        <v>441</v>
      </c>
      <c r="C193" s="13" t="s">
        <v>144</v>
      </c>
      <c r="D193" s="13" t="s">
        <v>326</v>
      </c>
      <c r="E193" s="13" t="str">
        <f>IFERROR(INDEX('Почасовка — ставки и план'!$B$5:$B$24,MATCH(D193,'Почасовка — ставки и план'!$A$5:$A$24,0)),"Аренда техники / механизмы")</f>
        <v>Сантехник</v>
      </c>
      <c r="F193" s="14">
        <v>700</v>
      </c>
      <c r="G193" s="14">
        <v>816</v>
      </c>
      <c r="H193" s="15">
        <v>420</v>
      </c>
      <c r="I193" s="15">
        <f>IF(OR(H193="",F193=""),"",MAX(H193,MIN(ROUND(H193*(1+Параметры!$B$5),IF(H193*(1+Параметры!$B$5)&gt;=1000,-1,0)),ROUND(F193*Параметры!$B$6,IF(F193*Параметры!$B$6&gt;=1000,-1,0)))))</f>
        <v>483</v>
      </c>
      <c r="J193" s="15">
        <v>483</v>
      </c>
      <c r="K193" s="15">
        <f>IF(OR(J193="",G193=""),"",MAX(J193,MIN(ROUND(J193*(1+Параметры!$B$5),IF(J193*(1+Параметры!$B$5)&gt;=1000,-1,0)),ROUND(G193*Параметры!$B$6,IF(G193*Параметры!$B$6&gt;=1000,-1,0)))))</f>
        <v>555</v>
      </c>
      <c r="L193" s="16">
        <v>0.6</v>
      </c>
      <c r="M193" s="17">
        <f t="shared" si="16"/>
        <v>1.6666666666666667</v>
      </c>
      <c r="N193" s="17">
        <f>IF(OR(L193="",L193=0),"",Параметры!$B$3/L193)</f>
        <v>13.333333333333334</v>
      </c>
      <c r="O193" s="15">
        <f>IF(L193="","",IFERROR(INDEX('Почасовка — ставки и план'!$D$5:$D$24,MATCH($D193,'Почасовка — ставки и план'!$A$5:$A$24,0)),""))</f>
        <v>850</v>
      </c>
      <c r="P193" s="15">
        <f>IF(L193="","",IFERROR(INDEX('Почасовка — ставки и план'!$E$5:$E$24,MATCH($D193,'Почасовка — ставки и план'!$A$5:$A$24,0)),""))</f>
        <v>1020</v>
      </c>
      <c r="Q193" s="15">
        <f t="shared" si="17"/>
        <v>510</v>
      </c>
      <c r="R193" s="13" t="str">
        <f>IF(D193="TEX","аренда техники — сделка/счёт",IF(OR(Q193="",H193="",H193=0),"—",IF(Q193&lt;H193*(1-Параметры!$B$7),"почасовка",IF(Q193&gt;H193*(1+Параметры!$B$7),"сделка","любой способ"))))</f>
        <v>сделка</v>
      </c>
      <c r="S193">
        <v>0</v>
      </c>
      <c r="T193">
        <v>1.366459627329197E-2</v>
      </c>
    </row>
    <row r="194" spans="1:20" x14ac:dyDescent="0.25">
      <c r="A194" s="18" t="s">
        <v>442</v>
      </c>
      <c r="B194" s="13" t="s">
        <v>443</v>
      </c>
      <c r="C194" s="13" t="s">
        <v>144</v>
      </c>
      <c r="D194" s="13" t="s">
        <v>326</v>
      </c>
      <c r="E194" s="13" t="str">
        <f>IFERROR(INDEX('Почасовка — ставки и план'!$B$5:$B$24,MATCH(D194,'Почасовка — ставки и план'!$A$5:$A$24,0)),"Аренда техники / механизмы")</f>
        <v>Сантехник</v>
      </c>
      <c r="F194" s="14">
        <v>1800</v>
      </c>
      <c r="G194" s="14">
        <v>2070</v>
      </c>
      <c r="H194" s="15">
        <v>1080</v>
      </c>
      <c r="I194" s="15">
        <f>IF(OR(H194="",F194=""),"",MAX(H194,MIN(ROUND(H194*(1+Параметры!$B$5),IF(H194*(1+Параметры!$B$5)&gt;=1000,-1,0)),ROUND(F194*Параметры!$B$6,IF(F194*Параметры!$B$6&gt;=1000,-1,0)))))</f>
        <v>1240</v>
      </c>
      <c r="J194" s="15">
        <v>1242</v>
      </c>
      <c r="K194" s="15">
        <f>IF(OR(J194="",G194=""),"",MAX(J194,MIN(ROUND(J194*(1+Параметры!$B$5),IF(J194*(1+Параметры!$B$5)&gt;=1000,-1,0)),ROUND(G194*Параметры!$B$6,IF(G194*Параметры!$B$6&gt;=1000,-1,0)))))</f>
        <v>1430</v>
      </c>
      <c r="L194" s="16">
        <v>1.5</v>
      </c>
      <c r="M194" s="17">
        <f t="shared" si="16"/>
        <v>0.66666666666666663</v>
      </c>
      <c r="N194" s="17">
        <f>IF(OR(L194="",L194=0),"",Параметры!$B$3/L194)</f>
        <v>5.333333333333333</v>
      </c>
      <c r="O194" s="15">
        <f>IF(L194="","",IFERROR(INDEX('Почасовка — ставки и план'!$D$5:$D$24,MATCH($D194,'Почасовка — ставки и план'!$A$5:$A$24,0)),""))</f>
        <v>850</v>
      </c>
      <c r="P194" s="15">
        <f>IF(L194="","",IFERROR(INDEX('Почасовка — ставки и план'!$E$5:$E$24,MATCH($D194,'Почасовка — ставки и план'!$A$5:$A$24,0)),""))</f>
        <v>1020</v>
      </c>
      <c r="Q194" s="15">
        <f t="shared" si="17"/>
        <v>1275</v>
      </c>
      <c r="R194" s="13" t="str">
        <f>IF(D194="TEX","аренда техники — сделка/счёт",IF(OR(Q194="",H194="",H194=0),"—",IF(Q194&lt;H194*(1-Параметры!$B$7),"почасовка",IF(Q194&gt;H194*(1+Параметры!$B$7),"сделка","любой способ"))))</f>
        <v>сделка</v>
      </c>
      <c r="S194">
        <v>0</v>
      </c>
      <c r="T194">
        <v>0</v>
      </c>
    </row>
    <row r="195" spans="1:20" x14ac:dyDescent="0.25">
      <c r="A195" s="11" t="s">
        <v>444</v>
      </c>
      <c r="B195" s="12"/>
      <c r="C195" s="12"/>
      <c r="D195" s="12"/>
      <c r="E195" s="12"/>
      <c r="F195" s="12"/>
      <c r="G195" s="12"/>
      <c r="H195" s="12"/>
      <c r="I195" s="12"/>
      <c r="J195" s="12"/>
      <c r="K195" s="12"/>
      <c r="L195" s="12"/>
      <c r="M195" s="12"/>
      <c r="N195" s="12"/>
      <c r="O195" s="12"/>
      <c r="P195" s="12"/>
      <c r="Q195" s="12"/>
      <c r="R195" s="12"/>
    </row>
    <row r="196" spans="1:20" x14ac:dyDescent="0.25">
      <c r="A196" s="13" t="s">
        <v>445</v>
      </c>
      <c r="B196" s="13" t="s">
        <v>446</v>
      </c>
      <c r="C196" s="13" t="s">
        <v>69</v>
      </c>
      <c r="D196" s="13" t="s">
        <v>273</v>
      </c>
      <c r="E196" s="13" t="str">
        <f>IFERROR(INDEX('Почасовка — ставки и план'!$B$5:$B$24,MATCH(D196,'Почасовка — ставки и план'!$A$5:$A$24,0)),"Аренда техники / механизмы")</f>
        <v>Электромонтажник</v>
      </c>
      <c r="F196" s="14">
        <v>454</v>
      </c>
      <c r="G196" s="14">
        <v>544</v>
      </c>
      <c r="H196" s="15">
        <v>210</v>
      </c>
      <c r="I196" s="15">
        <f>IF(OR(H196="",F196=""),"",MAX(H196,MIN(ROUND(H196*(1+Параметры!$B$5),IF(H196*(1+Параметры!$B$5)&gt;=1000,-1,0)),ROUND(F196*Параметры!$B$6,IF(F196*Параметры!$B$6&gt;=1000,-1,0)))))</f>
        <v>242</v>
      </c>
      <c r="J196" s="15">
        <v>241</v>
      </c>
      <c r="K196" s="15">
        <f>IF(OR(J196="",G196=""),"",MAX(J196,MIN(ROUND(J196*(1+Параметры!$B$5),IF(J196*(1+Параметры!$B$5)&gt;=1000,-1,0)),ROUND(G196*Параметры!$B$6,IF(G196*Параметры!$B$6&gt;=1000,-1,0)))))</f>
        <v>277</v>
      </c>
      <c r="L196" s="16">
        <v>0.4</v>
      </c>
      <c r="M196" s="17">
        <f t="shared" ref="M196:M216" si="18">IF(OR(L196="",L196=0),"",1/L196)</f>
        <v>2.5</v>
      </c>
      <c r="N196" s="17">
        <f>IF(OR(L196="",L196=0),"",Параметры!$B$3/L196)</f>
        <v>20</v>
      </c>
      <c r="O196" s="15">
        <f>IF(L196="","",IFERROR(INDEX('Почасовка — ставки и план'!$D$5:$D$24,MATCH($D196,'Почасовка — ставки и план'!$A$5:$A$24,0)),""))</f>
        <v>850</v>
      </c>
      <c r="P196" s="15">
        <f>IF(L196="","",IFERROR(INDEX('Почасовка — ставки и план'!$E$5:$E$24,MATCH($D196,'Почасовка — ставки и план'!$A$5:$A$24,0)),""))</f>
        <v>1020</v>
      </c>
      <c r="Q196" s="15">
        <f t="shared" ref="Q196:Q216" si="19">IF(OR(L196="",O196=""),"",ROUND(L196*O196,0))</f>
        <v>340</v>
      </c>
      <c r="R196" s="13" t="str">
        <f>IF(D196="TEX","аренда техники — сделка/счёт",IF(OR(Q196="",H196="",H196=0),"—",IF(Q196&lt;H196*(1-Параметры!$B$7),"почасовка",IF(Q196&gt;H196*(1+Параметры!$B$7),"сделка","любой способ"))))</f>
        <v>сделка</v>
      </c>
      <c r="S196">
        <v>0.29714285714285721</v>
      </c>
      <c r="T196">
        <v>0.3532338308457712</v>
      </c>
    </row>
    <row r="197" spans="1:20" x14ac:dyDescent="0.25">
      <c r="A197" s="13" t="s">
        <v>447</v>
      </c>
      <c r="B197" s="13" t="s">
        <v>448</v>
      </c>
      <c r="C197" s="13" t="s">
        <v>144</v>
      </c>
      <c r="D197" s="13" t="s">
        <v>273</v>
      </c>
      <c r="E197" s="13" t="str">
        <f>IFERROR(INDEX('Почасовка — ставки и план'!$B$5:$B$24,MATCH(D197,'Почасовка — ставки и план'!$A$5:$A$24,0)),"Аренда техники / механизмы")</f>
        <v>Электромонтажник</v>
      </c>
      <c r="F197" s="14">
        <v>227</v>
      </c>
      <c r="G197" s="14">
        <v>272</v>
      </c>
      <c r="H197" s="15">
        <v>120</v>
      </c>
      <c r="I197" s="15">
        <f>IF(OR(H197="",F197=""),"",MAX(H197,MIN(ROUND(H197*(1+Параметры!$B$5),IF(H197*(1+Параметры!$B$5)&gt;=1000,-1,0)),ROUND(F197*Параметры!$B$6,IF(F197*Параметры!$B$6&gt;=1000,-1,0)))))</f>
        <v>138</v>
      </c>
      <c r="J197" s="15">
        <v>138</v>
      </c>
      <c r="K197" s="15">
        <f>IF(OR(J197="",G197=""),"",MAX(J197,MIN(ROUND(J197*(1+Параметры!$B$5),IF(J197*(1+Параметры!$B$5)&gt;=1000,-1,0)),ROUND(G197*Параметры!$B$6,IF(G197*Параметры!$B$6&gt;=1000,-1,0)))))</f>
        <v>159</v>
      </c>
      <c r="L197" s="16">
        <v>0.2</v>
      </c>
      <c r="M197" s="17">
        <f t="shared" si="18"/>
        <v>5</v>
      </c>
      <c r="N197" s="17">
        <f>IF(OR(L197="",L197=0),"",Параметры!$B$3/L197)</f>
        <v>40</v>
      </c>
      <c r="O197" s="15">
        <f>IF(L197="","",IFERROR(INDEX('Почасовка — ставки и план'!$D$5:$D$24,MATCH($D197,'Почасовка — ставки и план'!$A$5:$A$24,0)),""))</f>
        <v>850</v>
      </c>
      <c r="P197" s="15">
        <f>IF(L197="","",IFERROR(INDEX('Почасовка — ставки и план'!$E$5:$E$24,MATCH($D197,'Почасовка — ставки и план'!$A$5:$A$24,0)),""))</f>
        <v>1020</v>
      </c>
      <c r="Q197" s="15">
        <f t="shared" si="19"/>
        <v>170</v>
      </c>
      <c r="R197" s="13" t="str">
        <f>IF(D197="TEX","аренда техники — сделка/счёт",IF(OR(Q197="",H197="",H197=0),"—",IF(Q197&lt;H197*(1-Параметры!$B$7),"почасовка",IF(Q197&gt;H197*(1+Параметры!$B$7),"сделка","любой способ"))))</f>
        <v>сделка</v>
      </c>
      <c r="S197">
        <v>0.13500000000000001</v>
      </c>
      <c r="T197">
        <v>0.182608695652174</v>
      </c>
    </row>
    <row r="198" spans="1:20" x14ac:dyDescent="0.25">
      <c r="A198" s="13" t="s">
        <v>449</v>
      </c>
      <c r="B198" s="13" t="s">
        <v>450</v>
      </c>
      <c r="C198" s="13" t="s">
        <v>144</v>
      </c>
      <c r="D198" s="13" t="s">
        <v>273</v>
      </c>
      <c r="E198" s="13" t="str">
        <f>IFERROR(INDEX('Почасовка — ставки и план'!$B$5:$B$24,MATCH(D198,'Почасовка — ставки и план'!$A$5:$A$24,0)),"Аренда техники / механизмы")</f>
        <v>Электромонтажник</v>
      </c>
      <c r="F198" s="14">
        <v>284</v>
      </c>
      <c r="G198" s="14">
        <v>340</v>
      </c>
      <c r="H198" s="15">
        <v>150</v>
      </c>
      <c r="I198" s="15">
        <f>IF(OR(H198="",F198=""),"",MAX(H198,MIN(ROUND(H198*(1+Параметры!$B$5),IF(H198*(1+Параметры!$B$5)&gt;=1000,-1,0)),ROUND(F198*Параметры!$B$6,IF(F198*Параметры!$B$6&gt;=1000,-1,0)))))</f>
        <v>173</v>
      </c>
      <c r="J198" s="15">
        <v>172</v>
      </c>
      <c r="K198" s="15">
        <f>IF(OR(J198="",G198=""),"",MAX(J198,MIN(ROUND(J198*(1+Параметры!$B$5),IF(J198*(1+Параметры!$B$5)&gt;=1000,-1,0)),ROUND(G198*Параметры!$B$6,IF(G198*Параметры!$B$6&gt;=1000,-1,0)))))</f>
        <v>198</v>
      </c>
      <c r="L198" s="16">
        <v>0.25</v>
      </c>
      <c r="M198" s="17">
        <f t="shared" si="18"/>
        <v>4</v>
      </c>
      <c r="N198" s="17">
        <f>IF(OR(L198="",L198=0),"",Параметры!$B$3/L198)</f>
        <v>32</v>
      </c>
      <c r="O198" s="15">
        <f>IF(L198="","",IFERROR(INDEX('Почасовка — ставки и план'!$D$5:$D$24,MATCH($D198,'Почасовка — ставки и план'!$A$5:$A$24,0)),""))</f>
        <v>850</v>
      </c>
      <c r="P198" s="15">
        <f>IF(L198="","",IFERROR(INDEX('Почасовка — ставки и план'!$E$5:$E$24,MATCH($D198,'Почасовка — ставки и план'!$A$5:$A$24,0)),""))</f>
        <v>1020</v>
      </c>
      <c r="Q198" s="15">
        <f t="shared" si="19"/>
        <v>213</v>
      </c>
      <c r="R198" s="13" t="str">
        <f>IF(D198="TEX","аренда техники — сделка/счёт",IF(OR(Q198="",H198="",H198=0),"—",IF(Q198&lt;H198*(1-Параметры!$B$7),"почасовка",IF(Q198&gt;H198*(1+Параметры!$B$7),"сделка","любой способ"))))</f>
        <v>сделка</v>
      </c>
      <c r="S198">
        <v>0.1359999999999999</v>
      </c>
      <c r="T198">
        <v>0.18055555555555561</v>
      </c>
    </row>
    <row r="199" spans="1:20" x14ac:dyDescent="0.25">
      <c r="A199" s="13" t="s">
        <v>451</v>
      </c>
      <c r="B199" s="13" t="s">
        <v>452</v>
      </c>
      <c r="C199" s="13" t="s">
        <v>144</v>
      </c>
      <c r="D199" s="13" t="s">
        <v>273</v>
      </c>
      <c r="E199" s="13" t="str">
        <f>IFERROR(INDEX('Почасовка — ставки и план'!$B$5:$B$24,MATCH(D199,'Почасовка — ставки и план'!$A$5:$A$24,0)),"Аренда техники / механизмы")</f>
        <v>Электромонтажник</v>
      </c>
      <c r="F199" s="14">
        <v>350</v>
      </c>
      <c r="G199" s="14">
        <v>408</v>
      </c>
      <c r="H199" s="15">
        <v>210</v>
      </c>
      <c r="I199" s="15">
        <f>IF(OR(H199="",F199=""),"",MAX(H199,MIN(ROUND(H199*(1+Параметры!$B$5),IF(H199*(1+Параметры!$B$5)&gt;=1000,-1,0)),ROUND(F199*Параметры!$B$6,IF(F199*Параметры!$B$6&gt;=1000,-1,0)))))</f>
        <v>242</v>
      </c>
      <c r="J199" s="15">
        <v>241</v>
      </c>
      <c r="K199" s="15">
        <f>IF(OR(J199="",G199=""),"",MAX(J199,MIN(ROUND(J199*(1+Параметры!$B$5),IF(J199*(1+Параметры!$B$5)&gt;=1000,-1,0)),ROUND(G199*Параметры!$B$6,IF(G199*Параметры!$B$6&gt;=1000,-1,0)))))</f>
        <v>277</v>
      </c>
      <c r="L199" s="16">
        <v>0.3</v>
      </c>
      <c r="M199" s="17">
        <f t="shared" si="18"/>
        <v>3.3333333333333335</v>
      </c>
      <c r="N199" s="17">
        <f>IF(OR(L199="",L199=0),"",Параметры!$B$3/L199)</f>
        <v>26.666666666666668</v>
      </c>
      <c r="O199" s="15">
        <f>IF(L199="","",IFERROR(INDEX('Почасовка — ставки и план'!$D$5:$D$24,MATCH($D199,'Почасовка — ставки и план'!$A$5:$A$24,0)),""))</f>
        <v>850</v>
      </c>
      <c r="P199" s="15">
        <f>IF(L199="","",IFERROR(INDEX('Почасовка — ставки и план'!$E$5:$E$24,MATCH($D199,'Почасовка — ставки и план'!$A$5:$A$24,0)),""))</f>
        <v>1020</v>
      </c>
      <c r="Q199" s="15">
        <f t="shared" si="19"/>
        <v>255</v>
      </c>
      <c r="R199" s="13" t="str">
        <f>IF(D199="TEX","аренда техники — сделка/счёт",IF(OR(Q199="",H199="",H199=0),"—",IF(Q199&lt;H199*(1-Параметры!$B$7),"почасовка",IF(Q199&gt;H199*(1+Параметры!$B$7),"сделка","любой способ"))))</f>
        <v>сделка</v>
      </c>
      <c r="S199">
        <v>0</v>
      </c>
      <c r="T199">
        <v>1.49253731343284E-2</v>
      </c>
    </row>
    <row r="200" spans="1:20" x14ac:dyDescent="0.25">
      <c r="A200" s="13" t="s">
        <v>453</v>
      </c>
      <c r="B200" s="13" t="s">
        <v>454</v>
      </c>
      <c r="C200" s="13" t="s">
        <v>144</v>
      </c>
      <c r="D200" s="13" t="s">
        <v>273</v>
      </c>
      <c r="E200" s="13" t="str">
        <f>IFERROR(INDEX('Почасовка — ставки и план'!$B$5:$B$24,MATCH(D200,'Почасовка — ставки и план'!$A$5:$A$24,0)),"Аренда техники / механизмы")</f>
        <v>Электромонтажник</v>
      </c>
      <c r="F200" s="14">
        <v>400</v>
      </c>
      <c r="G200" s="14">
        <v>476</v>
      </c>
      <c r="H200" s="15">
        <v>240</v>
      </c>
      <c r="I200" s="15">
        <f>IF(OR(H200="",F200=""),"",MAX(H200,MIN(ROUND(H200*(1+Параметры!$B$5),IF(H200*(1+Параметры!$B$5)&gt;=1000,-1,0)),ROUND(F200*Параметры!$B$6,IF(F200*Параметры!$B$6&gt;=1000,-1,0)))))</f>
        <v>276</v>
      </c>
      <c r="J200" s="15">
        <v>276</v>
      </c>
      <c r="K200" s="15">
        <f>IF(OR(J200="",G200=""),"",MAX(J200,MIN(ROUND(J200*(1+Параметры!$B$5),IF(J200*(1+Параметры!$B$5)&gt;=1000,-1,0)),ROUND(G200*Параметры!$B$6,IF(G200*Параметры!$B$6&gt;=1000,-1,0)))))</f>
        <v>317</v>
      </c>
      <c r="L200" s="16">
        <v>0.35</v>
      </c>
      <c r="M200" s="17">
        <f t="shared" si="18"/>
        <v>2.8571428571428572</v>
      </c>
      <c r="N200" s="17">
        <f>IF(OR(L200="",L200=0),"",Параметры!$B$3/L200)</f>
        <v>22.857142857142858</v>
      </c>
      <c r="O200" s="15">
        <f>IF(L200="","",IFERROR(INDEX('Почасовка — ставки и план'!$D$5:$D$24,MATCH($D200,'Почасовка — ставки и план'!$A$5:$A$24,0)),""))</f>
        <v>850</v>
      </c>
      <c r="P200" s="15">
        <f>IF(L200="","",IFERROR(INDEX('Почасовка — ставки и план'!$E$5:$E$24,MATCH($D200,'Почасовка — ставки и план'!$A$5:$A$24,0)),""))</f>
        <v>1020</v>
      </c>
      <c r="Q200" s="15">
        <f t="shared" si="19"/>
        <v>298</v>
      </c>
      <c r="R200" s="13" t="str">
        <f>IF(D200="TEX","аренда техники — сделка/счёт",IF(OR(Q200="",H200="",H200=0),"—",IF(Q200&lt;H200*(1-Параметры!$B$7),"почасовка",IF(Q200&gt;H200*(1+Параметры!$B$7),"сделка","любой способ"))))</f>
        <v>сделка</v>
      </c>
      <c r="S200">
        <v>0</v>
      </c>
      <c r="T200">
        <v>3.4782608695652202E-2</v>
      </c>
    </row>
    <row r="201" spans="1:20" x14ac:dyDescent="0.25">
      <c r="A201" s="13" t="s">
        <v>455</v>
      </c>
      <c r="B201" s="13" t="s">
        <v>456</v>
      </c>
      <c r="C201" s="13" t="s">
        <v>457</v>
      </c>
      <c r="D201" s="13" t="s">
        <v>273</v>
      </c>
      <c r="E201" s="13" t="str">
        <f>IFERROR(INDEX('Почасовка — ставки и план'!$B$5:$B$24,MATCH(D201,'Почасовка — ставки и план'!$A$5:$A$24,0)),"Аренда техники / механизмы")</f>
        <v>Электромонтажник</v>
      </c>
      <c r="F201" s="14">
        <v>136</v>
      </c>
      <c r="G201" s="14">
        <v>163</v>
      </c>
      <c r="H201" s="15">
        <v>70</v>
      </c>
      <c r="I201" s="15">
        <f>IF(OR(H201="",F201=""),"",MAX(H201,MIN(ROUND(H201*(1+Параметры!$B$5),IF(H201*(1+Параметры!$B$5)&gt;=1000,-1,0)),ROUND(F201*Параметры!$B$6,IF(F201*Параметры!$B$6&gt;=1000,-1,0)))))</f>
        <v>81</v>
      </c>
      <c r="J201" s="15">
        <v>80.5</v>
      </c>
      <c r="K201" s="15">
        <f>IF(OR(J201="",G201=""),"",MAX(J201,MIN(ROUND(J201*(1+Параметры!$B$5),IF(J201*(1+Параметры!$B$5)&gt;=1000,-1,0)),ROUND(G201*Параметры!$B$6,IF(G201*Параметры!$B$6&gt;=1000,-1,0)))))</f>
        <v>93</v>
      </c>
      <c r="L201" s="16">
        <v>0.12</v>
      </c>
      <c r="M201" s="17">
        <f t="shared" si="18"/>
        <v>8.3333333333333339</v>
      </c>
      <c r="N201" s="17">
        <f>IF(OR(L201="",L201=0),"",Параметры!$B$3/L201)</f>
        <v>66.666666666666671</v>
      </c>
      <c r="O201" s="15">
        <f>IF(L201="","",IFERROR(INDEX('Почасовка — ставки и план'!$D$5:$D$24,MATCH($D201,'Почасовка — ставки и план'!$A$5:$A$24,0)),""))</f>
        <v>850</v>
      </c>
      <c r="P201" s="15">
        <f>IF(L201="","",IFERROR(INDEX('Почасовка — ставки и план'!$E$5:$E$24,MATCH($D201,'Почасовка — ставки и план'!$A$5:$A$24,0)),""))</f>
        <v>1020</v>
      </c>
      <c r="Q201" s="15">
        <f t="shared" si="19"/>
        <v>102</v>
      </c>
      <c r="R201" s="13" t="str">
        <f>IF(D201="TEX","аренда техники — сделка/счёт",IF(OR(Q201="",H201="",H201=0),"—",IF(Q201&lt;H201*(1-Параметры!$B$7),"почасовка",IF(Q201&gt;H201*(1+Параметры!$B$7),"сделка","любой способ"))))</f>
        <v>сделка</v>
      </c>
      <c r="S201">
        <v>0.1333333333333333</v>
      </c>
      <c r="T201">
        <v>0.18115942028985499</v>
      </c>
    </row>
    <row r="202" spans="1:20" x14ac:dyDescent="0.25">
      <c r="A202" s="13" t="s">
        <v>458</v>
      </c>
      <c r="B202" s="13" t="s">
        <v>459</v>
      </c>
      <c r="C202" s="13" t="s">
        <v>69</v>
      </c>
      <c r="D202" s="13" t="s">
        <v>273</v>
      </c>
      <c r="E202" s="13" t="str">
        <f>IFERROR(INDEX('Почасовка — ставки и план'!$B$5:$B$24,MATCH(D202,'Почасовка — ставки и план'!$A$5:$A$24,0)),"Аренда техники / механизмы")</f>
        <v>Электромонтажник</v>
      </c>
      <c r="F202" s="14">
        <v>68</v>
      </c>
      <c r="G202" s="14">
        <v>82</v>
      </c>
      <c r="H202" s="15">
        <v>35</v>
      </c>
      <c r="I202" s="15">
        <f>IF(OR(H202="",F202=""),"",MAX(H202,MIN(ROUND(H202*(1+Параметры!$B$5),IF(H202*(1+Параметры!$B$5)&gt;=1000,-1,0)),ROUND(F202*Параметры!$B$6,IF(F202*Параметры!$B$6&gt;=1000,-1,0)))))</f>
        <v>40</v>
      </c>
      <c r="J202" s="15">
        <v>40</v>
      </c>
      <c r="K202" s="15">
        <f>IF(OR(J202="",G202=""),"",MAX(J202,MIN(ROUND(J202*(1+Параметры!$B$5),IF(J202*(1+Параметры!$B$5)&gt;=1000,-1,0)),ROUND(G202*Параметры!$B$6,IF(G202*Параметры!$B$6&gt;=1000,-1,0)))))</f>
        <v>46</v>
      </c>
      <c r="L202" s="16">
        <v>0.06</v>
      </c>
      <c r="M202" s="17">
        <f t="shared" si="18"/>
        <v>16.666666666666668</v>
      </c>
      <c r="N202" s="17">
        <f>IF(OR(L202="",L202=0),"",Параметры!$B$3/L202)</f>
        <v>133.33333333333334</v>
      </c>
      <c r="O202" s="15">
        <f>IF(L202="","",IFERROR(INDEX('Почасовка — ставки и план'!$D$5:$D$24,MATCH($D202,'Почасовка — ставки и план'!$A$5:$A$24,0)),""))</f>
        <v>850</v>
      </c>
      <c r="P202" s="15">
        <f>IF(L202="","",IFERROR(INDEX('Почасовка — ставки и план'!$E$5:$E$24,MATCH($D202,'Почасовка — ставки и план'!$A$5:$A$24,0)),""))</f>
        <v>1020</v>
      </c>
      <c r="Q202" s="15">
        <f t="shared" si="19"/>
        <v>51</v>
      </c>
      <c r="R202" s="13" t="str">
        <f>IF(D202="TEX","аренда техники — сделка/счёт",IF(OR(Q202="",H202="",H202=0),"—",IF(Q202&lt;H202*(1-Параметры!$B$7),"почасовка",IF(Q202&gt;H202*(1+Параметры!$B$7),"сделка","любой способ"))))</f>
        <v>сделка</v>
      </c>
      <c r="S202">
        <v>0.1333333333333333</v>
      </c>
      <c r="T202">
        <v>0.1884057971014492</v>
      </c>
    </row>
    <row r="203" spans="1:20" x14ac:dyDescent="0.25">
      <c r="A203" s="13" t="s">
        <v>460</v>
      </c>
      <c r="B203" s="13" t="s">
        <v>461</v>
      </c>
      <c r="C203" s="13" t="s">
        <v>69</v>
      </c>
      <c r="D203" s="13" t="s">
        <v>273</v>
      </c>
      <c r="E203" s="13" t="str">
        <f>IFERROR(INDEX('Почасовка — ставки и план'!$B$5:$B$24,MATCH(D203,'Почасовка — ставки и план'!$A$5:$A$24,0)),"Аренда техники / механизмы")</f>
        <v>Электромонтажник</v>
      </c>
      <c r="F203" s="14">
        <v>171</v>
      </c>
      <c r="G203" s="14">
        <v>204</v>
      </c>
      <c r="H203" s="15">
        <v>90</v>
      </c>
      <c r="I203" s="15">
        <f>IF(OR(H203="",F203=""),"",MAX(H203,MIN(ROUND(H203*(1+Параметры!$B$5),IF(H203*(1+Параметры!$B$5)&gt;=1000,-1,0)),ROUND(F203*Параметры!$B$6,IF(F203*Параметры!$B$6&gt;=1000,-1,0)))))</f>
        <v>104</v>
      </c>
      <c r="J203" s="15">
        <v>103</v>
      </c>
      <c r="K203" s="15">
        <f>IF(OR(J203="",G203=""),"",MAX(J203,MIN(ROUND(J203*(1+Параметры!$B$5),IF(J203*(1+Параметры!$B$5)&gt;=1000,-1,0)),ROUND(G203*Параметры!$B$6,IF(G203*Параметры!$B$6&gt;=1000,-1,0)))))</f>
        <v>118</v>
      </c>
      <c r="L203" s="16">
        <v>0.15</v>
      </c>
      <c r="M203" s="17">
        <f t="shared" si="18"/>
        <v>6.666666666666667</v>
      </c>
      <c r="N203" s="17">
        <f>IF(OR(L203="",L203=0),"",Параметры!$B$3/L203)</f>
        <v>53.333333333333336</v>
      </c>
      <c r="O203" s="15">
        <f>IF(L203="","",IFERROR(INDEX('Почасовка — ставки и план'!$D$5:$D$24,MATCH($D203,'Почасовка — ставки и план'!$A$5:$A$24,0)),""))</f>
        <v>850</v>
      </c>
      <c r="P203" s="15">
        <f>IF(L203="","",IFERROR(INDEX('Почасовка — ставки и план'!$E$5:$E$24,MATCH($D203,'Почасовка — ставки и план'!$A$5:$A$24,0)),""))</f>
        <v>1020</v>
      </c>
      <c r="Q203" s="15">
        <f t="shared" si="19"/>
        <v>128</v>
      </c>
      <c r="R203" s="13" t="str">
        <f>IF(D203="TEX","аренда техники — сделка/счёт",IF(OR(Q203="",H203="",H203=0),"—",IF(Q203&lt;H203*(1-Параметры!$B$7),"почасовка",IF(Q203&gt;H203*(1+Параметры!$B$7),"сделка","любой способ"))))</f>
        <v>сделка</v>
      </c>
      <c r="S203">
        <v>0.1399999999999999</v>
      </c>
      <c r="T203">
        <v>0.18604651162790711</v>
      </c>
    </row>
    <row r="204" spans="1:20" x14ac:dyDescent="0.25">
      <c r="A204" s="13" t="s">
        <v>462</v>
      </c>
      <c r="B204" s="13" t="s">
        <v>463</v>
      </c>
      <c r="C204" s="13" t="s">
        <v>144</v>
      </c>
      <c r="D204" s="13" t="s">
        <v>273</v>
      </c>
      <c r="E204" s="13" t="str">
        <f>IFERROR(INDEX('Почасовка — ставки и план'!$B$5:$B$24,MATCH(D204,'Почасовка — ставки и план'!$A$5:$A$24,0)),"Аренда техники / механизмы")</f>
        <v>Электромонтажник</v>
      </c>
      <c r="F204" s="14">
        <v>4534</v>
      </c>
      <c r="G204" s="14">
        <v>5440</v>
      </c>
      <c r="H204" s="15">
        <v>2100</v>
      </c>
      <c r="I204" s="15">
        <f>IF(OR(H204="",F204=""),"",MAX(H204,MIN(ROUND(H204*(1+Параметры!$B$5),IF(H204*(1+Параметры!$B$5)&gt;=1000,-1,0)),ROUND(F204*Параметры!$B$6,IF(F204*Параметры!$B$6&gt;=1000,-1,0)))))</f>
        <v>2420</v>
      </c>
      <c r="J204" s="15">
        <v>2415</v>
      </c>
      <c r="K204" s="15">
        <f>IF(OR(J204="",G204=""),"",MAX(J204,MIN(ROUND(J204*(1+Параметры!$B$5),IF(J204*(1+Параметры!$B$5)&gt;=1000,-1,0)),ROUND(G204*Параметры!$B$6,IF(G204*Параметры!$B$6&gt;=1000,-1,0)))))</f>
        <v>2780</v>
      </c>
      <c r="L204" s="16">
        <v>4</v>
      </c>
      <c r="M204" s="17">
        <f t="shared" si="18"/>
        <v>0.25</v>
      </c>
      <c r="N204" s="17">
        <f>IF(OR(L204="",L204=0),"",Параметры!$B$3/L204)</f>
        <v>2</v>
      </c>
      <c r="O204" s="15">
        <f>IF(L204="","",IFERROR(INDEX('Почасовка — ставки и план'!$D$5:$D$24,MATCH($D204,'Почасовка — ставки и план'!$A$5:$A$24,0)),""))</f>
        <v>850</v>
      </c>
      <c r="P204" s="15">
        <f>IF(L204="","",IFERROR(INDEX('Почасовка — ставки и план'!$E$5:$E$24,MATCH($D204,'Почасовка — ставки и план'!$A$5:$A$24,0)),""))</f>
        <v>1020</v>
      </c>
      <c r="Q204" s="15">
        <f t="shared" si="19"/>
        <v>3400</v>
      </c>
      <c r="R204" s="13" t="str">
        <f>IF(D204="TEX","аренда техники — сделка/счёт",IF(OR(Q204="",H204="",H204=0),"—",IF(Q204&lt;H204*(1-Параметры!$B$7),"почасовка",IF(Q204&gt;H204*(1+Параметры!$B$7),"сделка","любой способ"))))</f>
        <v>сделка</v>
      </c>
      <c r="S204">
        <v>0.29542857142857137</v>
      </c>
      <c r="T204">
        <v>0.35155279503105602</v>
      </c>
    </row>
    <row r="205" spans="1:20" x14ac:dyDescent="0.25">
      <c r="A205" s="13" t="s">
        <v>464</v>
      </c>
      <c r="B205" s="13" t="s">
        <v>465</v>
      </c>
      <c r="C205" s="13" t="s">
        <v>144</v>
      </c>
      <c r="D205" s="13" t="s">
        <v>273</v>
      </c>
      <c r="E205" s="13" t="str">
        <f>IFERROR(INDEX('Почасовка — ставки и план'!$B$5:$B$24,MATCH(D205,'Почасовка — ставки и план'!$A$5:$A$24,0)),"Аренда техники / механизмы")</f>
        <v>Электромонтажник</v>
      </c>
      <c r="F205" s="14">
        <v>15000</v>
      </c>
      <c r="G205" s="14">
        <v>17250</v>
      </c>
      <c r="H205" s="15">
        <v>9000</v>
      </c>
      <c r="I205" s="15">
        <f>IF(OR(H205="",F205=""),"",MAX(H205,MIN(ROUND(H205*(1+Параметры!$B$5),IF(H205*(1+Параметры!$B$5)&gt;=1000,-1,0)),ROUND(F205*Параметры!$B$6,IF(F205*Параметры!$B$6&gt;=1000,-1,0)))))</f>
        <v>10350</v>
      </c>
      <c r="J205" s="15">
        <v>10350</v>
      </c>
      <c r="K205" s="15">
        <f>IF(OR(J205="",G205=""),"",MAX(J205,MIN(ROUND(J205*(1+Параметры!$B$5),IF(J205*(1+Параметры!$B$5)&gt;=1000,-1,0)),ROUND(G205*Параметры!$B$6,IF(G205*Параметры!$B$6&gt;=1000,-1,0)))))</f>
        <v>11900</v>
      </c>
      <c r="L205" s="16">
        <v>12</v>
      </c>
      <c r="M205" s="17">
        <f t="shared" si="18"/>
        <v>8.3333333333333329E-2</v>
      </c>
      <c r="N205" s="17">
        <f>IF(OR(L205="",L205=0),"",Параметры!$B$3/L205)</f>
        <v>0.66666666666666663</v>
      </c>
      <c r="O205" s="15">
        <f>IF(L205="","",IFERROR(INDEX('Почасовка — ставки и план'!$D$5:$D$24,MATCH($D205,'Почасовка — ставки и план'!$A$5:$A$24,0)),""))</f>
        <v>850</v>
      </c>
      <c r="P205" s="15">
        <f>IF(L205="","",IFERROR(INDEX('Почасовка — ставки и план'!$E$5:$E$24,MATCH($D205,'Почасовка — ставки и план'!$A$5:$A$24,0)),""))</f>
        <v>1020</v>
      </c>
      <c r="Q205" s="15">
        <f t="shared" si="19"/>
        <v>10200</v>
      </c>
      <c r="R205" s="13" t="str">
        <f>IF(D205="TEX","аренда техники — сделка/счёт",IF(OR(Q205="",H205="",H205=0),"—",IF(Q205&lt;H205*(1-Параметры!$B$7),"почасовка",IF(Q205&gt;H205*(1+Параметры!$B$7),"сделка","любой способ"))))</f>
        <v>сделка</v>
      </c>
      <c r="S205">
        <v>0</v>
      </c>
      <c r="T205">
        <v>0</v>
      </c>
    </row>
    <row r="206" spans="1:20" x14ac:dyDescent="0.25">
      <c r="A206" s="13" t="s">
        <v>466</v>
      </c>
      <c r="B206" s="13" t="s">
        <v>467</v>
      </c>
      <c r="C206" s="13" t="s">
        <v>69</v>
      </c>
      <c r="D206" s="13" t="s">
        <v>273</v>
      </c>
      <c r="E206" s="13" t="str">
        <f>IFERROR(INDEX('Почасовка — ставки и план'!$B$5:$B$24,MATCH(D206,'Почасовка — ставки и план'!$A$5:$A$24,0)),"Аренда техники / механизмы")</f>
        <v>Электромонтажник</v>
      </c>
      <c r="F206" s="14">
        <v>91</v>
      </c>
      <c r="G206" s="14">
        <v>110</v>
      </c>
      <c r="H206" s="15">
        <v>50</v>
      </c>
      <c r="I206" s="15">
        <f>IF(OR(H206="",F206=""),"",MAX(H206,MIN(ROUND(H206*(1+Параметры!$B$5),IF(H206*(1+Параметры!$B$5)&gt;=1000,-1,0)),ROUND(F206*Параметры!$B$6,IF(F206*Параметры!$B$6&gt;=1000,-1,0)))))</f>
        <v>58</v>
      </c>
      <c r="J206" s="15">
        <v>57.5</v>
      </c>
      <c r="K206" s="15">
        <f>IF(OR(J206="",G206=""),"",MAX(J206,MIN(ROUND(J206*(1+Параметры!$B$5),IF(J206*(1+Параметры!$B$5)&gt;=1000,-1,0)),ROUND(G206*Параметры!$B$6,IF(G206*Параметры!$B$6&gt;=1000,-1,0)))))</f>
        <v>66</v>
      </c>
      <c r="L206" s="16">
        <v>0.08</v>
      </c>
      <c r="M206" s="17">
        <f t="shared" si="18"/>
        <v>12.5</v>
      </c>
      <c r="N206" s="17">
        <f>IF(OR(L206="",L206=0),"",Параметры!$B$3/L206)</f>
        <v>100</v>
      </c>
      <c r="O206" s="15">
        <f>IF(L206="","",IFERROR(INDEX('Почасовка — ставки и план'!$D$5:$D$24,MATCH($D206,'Почасовка — ставки и план'!$A$5:$A$24,0)),""))</f>
        <v>850</v>
      </c>
      <c r="P206" s="15">
        <f>IF(L206="","",IFERROR(INDEX('Почасовка — ставки и план'!$E$5:$E$24,MATCH($D206,'Почасовка — ставки и план'!$A$5:$A$24,0)),""))</f>
        <v>1020</v>
      </c>
      <c r="Q206" s="15">
        <f t="shared" si="19"/>
        <v>68</v>
      </c>
      <c r="R206" s="13" t="str">
        <f>IF(D206="TEX","аренда техники — сделка/счёт",IF(OR(Q206="",H206="",H206=0),"—",IF(Q206&lt;H206*(1-Параметры!$B$7),"почасовка",IF(Q206&gt;H206*(1+Параметры!$B$7),"сделка","любой способ"))))</f>
        <v>сделка</v>
      </c>
      <c r="S206">
        <v>0.13750000000000001</v>
      </c>
      <c r="T206">
        <v>0.19565217391304349</v>
      </c>
    </row>
    <row r="207" spans="1:20" x14ac:dyDescent="0.25">
      <c r="A207" s="13" t="s">
        <v>468</v>
      </c>
      <c r="B207" s="13" t="s">
        <v>469</v>
      </c>
      <c r="C207" s="13" t="s">
        <v>144</v>
      </c>
      <c r="D207" s="13" t="s">
        <v>273</v>
      </c>
      <c r="E207" s="13" t="str">
        <f>IFERROR(INDEX('Почасовка — ставки и план'!$B$5:$B$24,MATCH(D207,'Почасовка — ставки и план'!$A$5:$A$24,0)),"Аренда техники / механизмы")</f>
        <v>Электромонтажник</v>
      </c>
      <c r="F207" s="14">
        <v>454</v>
      </c>
      <c r="G207" s="14">
        <v>544</v>
      </c>
      <c r="H207" s="15">
        <v>240</v>
      </c>
      <c r="I207" s="15">
        <f>IF(OR(H207="",F207=""),"",MAX(H207,MIN(ROUND(H207*(1+Параметры!$B$5),IF(H207*(1+Параметры!$B$5)&gt;=1000,-1,0)),ROUND(F207*Параметры!$B$6,IF(F207*Параметры!$B$6&gt;=1000,-1,0)))))</f>
        <v>276</v>
      </c>
      <c r="J207" s="15">
        <v>276</v>
      </c>
      <c r="K207" s="15">
        <f>IF(OR(J207="",G207=""),"",MAX(J207,MIN(ROUND(J207*(1+Параметры!$B$5),IF(J207*(1+Параметры!$B$5)&gt;=1000,-1,0)),ROUND(G207*Параметры!$B$6,IF(G207*Параметры!$B$6&gt;=1000,-1,0)))))</f>
        <v>317</v>
      </c>
      <c r="L207" s="16">
        <v>0.4</v>
      </c>
      <c r="M207" s="17">
        <f t="shared" si="18"/>
        <v>2.5</v>
      </c>
      <c r="N207" s="17">
        <f>IF(OR(L207="",L207=0),"",Параметры!$B$3/L207)</f>
        <v>20</v>
      </c>
      <c r="O207" s="15">
        <f>IF(L207="","",IFERROR(INDEX('Почасовка — ставки и план'!$D$5:$D$24,MATCH($D207,'Почасовка — ставки и план'!$A$5:$A$24,0)),""))</f>
        <v>850</v>
      </c>
      <c r="P207" s="15">
        <f>IF(L207="","",IFERROR(INDEX('Почасовка — ставки и план'!$E$5:$E$24,MATCH($D207,'Почасовка — ставки и план'!$A$5:$A$24,0)),""))</f>
        <v>1020</v>
      </c>
      <c r="Q207" s="15">
        <f t="shared" si="19"/>
        <v>340</v>
      </c>
      <c r="R207" s="13" t="str">
        <f>IF(D207="TEX","аренда техники — сделка/счёт",IF(OR(Q207="",H207="",H207=0),"—",IF(Q207&lt;H207*(1-Параметры!$B$7),"почасовка",IF(Q207&gt;H207*(1+Параметры!$B$7),"сделка","любой способ"))))</f>
        <v>сделка</v>
      </c>
      <c r="S207">
        <v>0.13500000000000001</v>
      </c>
      <c r="T207">
        <v>0.182608695652174</v>
      </c>
    </row>
    <row r="208" spans="1:20" x14ac:dyDescent="0.25">
      <c r="A208" s="13" t="s">
        <v>470</v>
      </c>
      <c r="B208" s="13" t="s">
        <v>471</v>
      </c>
      <c r="C208" s="13" t="s">
        <v>457</v>
      </c>
      <c r="D208" s="13" t="s">
        <v>273</v>
      </c>
      <c r="E208" s="13" t="str">
        <f>IFERROR(INDEX('Почасовка — ставки и план'!$B$5:$B$24,MATCH(D208,'Почасовка — ставки и план'!$A$5:$A$24,0)),"Аренда техники / механизмы")</f>
        <v>Электромонтажник</v>
      </c>
      <c r="F208" s="14">
        <v>340</v>
      </c>
      <c r="G208" s="14">
        <v>408</v>
      </c>
      <c r="H208" s="15">
        <v>180</v>
      </c>
      <c r="I208" s="15">
        <f>IF(OR(H208="",F208=""),"",MAX(H208,MIN(ROUND(H208*(1+Параметры!$B$5),IF(H208*(1+Параметры!$B$5)&gt;=1000,-1,0)),ROUND(F208*Параметры!$B$6,IF(F208*Параметры!$B$6&gt;=1000,-1,0)))))</f>
        <v>207</v>
      </c>
      <c r="J208" s="15">
        <v>207</v>
      </c>
      <c r="K208" s="15">
        <f>IF(OR(J208="",G208=""),"",MAX(J208,MIN(ROUND(J208*(1+Параметры!$B$5),IF(J208*(1+Параметры!$B$5)&gt;=1000,-1,0)),ROUND(G208*Параметры!$B$6,IF(G208*Параметры!$B$6&gt;=1000,-1,0)))))</f>
        <v>238</v>
      </c>
      <c r="L208" s="16">
        <v>0.3</v>
      </c>
      <c r="M208" s="17">
        <f t="shared" si="18"/>
        <v>3.3333333333333335</v>
      </c>
      <c r="N208" s="17">
        <f>IF(OR(L208="",L208=0),"",Параметры!$B$3/L208)</f>
        <v>26.666666666666668</v>
      </c>
      <c r="O208" s="15">
        <f>IF(L208="","",IFERROR(INDEX('Почасовка — ставки и план'!$D$5:$D$24,MATCH($D208,'Почасовка — ставки и план'!$A$5:$A$24,0)),""))</f>
        <v>850</v>
      </c>
      <c r="P208" s="15">
        <f>IF(L208="","",IFERROR(INDEX('Почасовка — ставки и план'!$E$5:$E$24,MATCH($D208,'Почасовка — ставки и план'!$A$5:$A$24,0)),""))</f>
        <v>1020</v>
      </c>
      <c r="Q208" s="15">
        <f t="shared" si="19"/>
        <v>255</v>
      </c>
      <c r="R208" s="13" t="str">
        <f>IF(D208="TEX","аренда техники — сделка/счёт",IF(OR(Q208="",H208="",H208=0),"—",IF(Q208&lt;H208*(1-Параметры!$B$7),"почасовка",IF(Q208&gt;H208*(1+Параметры!$B$7),"сделка","любой способ"))))</f>
        <v>сделка</v>
      </c>
      <c r="S208">
        <v>0.1333333333333333</v>
      </c>
      <c r="T208">
        <v>0.182608695652174</v>
      </c>
    </row>
    <row r="209" spans="1:20" x14ac:dyDescent="0.25">
      <c r="A209" s="13" t="s">
        <v>472</v>
      </c>
      <c r="B209" s="13" t="s">
        <v>473</v>
      </c>
      <c r="C209" s="13" t="s">
        <v>69</v>
      </c>
      <c r="D209" s="13" t="s">
        <v>273</v>
      </c>
      <c r="E209" s="13" t="str">
        <f>IFERROR(INDEX('Почасовка — ставки и план'!$B$5:$B$24,MATCH(D209,'Почасовка — ставки и план'!$A$5:$A$24,0)),"Аренда техники / механизмы")</f>
        <v>Электромонтажник</v>
      </c>
      <c r="F209" s="14">
        <v>68</v>
      </c>
      <c r="G209" s="14">
        <v>82</v>
      </c>
      <c r="H209" s="15">
        <v>35</v>
      </c>
      <c r="I209" s="15">
        <f>IF(OR(H209="",F209=""),"",MAX(H209,MIN(ROUND(H209*(1+Параметры!$B$5),IF(H209*(1+Параметры!$B$5)&gt;=1000,-1,0)),ROUND(F209*Параметры!$B$6,IF(F209*Параметры!$B$6&gt;=1000,-1,0)))))</f>
        <v>40</v>
      </c>
      <c r="J209" s="15">
        <v>40</v>
      </c>
      <c r="K209" s="15">
        <f>IF(OR(J209="",G209=""),"",MAX(J209,MIN(ROUND(J209*(1+Параметры!$B$5),IF(J209*(1+Параметры!$B$5)&gt;=1000,-1,0)),ROUND(G209*Параметры!$B$6,IF(G209*Параметры!$B$6&gt;=1000,-1,0)))))</f>
        <v>46</v>
      </c>
      <c r="L209" s="16">
        <v>0.06</v>
      </c>
      <c r="M209" s="17">
        <f t="shared" si="18"/>
        <v>16.666666666666668</v>
      </c>
      <c r="N209" s="17">
        <f>IF(OR(L209="",L209=0),"",Параметры!$B$3/L209)</f>
        <v>133.33333333333334</v>
      </c>
      <c r="O209" s="15">
        <f>IF(L209="","",IFERROR(INDEX('Почасовка — ставки и план'!$D$5:$D$24,MATCH($D209,'Почасовка — ставки и план'!$A$5:$A$24,0)),""))</f>
        <v>850</v>
      </c>
      <c r="P209" s="15">
        <f>IF(L209="","",IFERROR(INDEX('Почасовка — ставки и план'!$E$5:$E$24,MATCH($D209,'Почасовка — ставки и план'!$A$5:$A$24,0)),""))</f>
        <v>1020</v>
      </c>
      <c r="Q209" s="15">
        <f t="shared" si="19"/>
        <v>51</v>
      </c>
      <c r="R209" s="13" t="str">
        <f>IF(D209="TEX","аренда техники — сделка/счёт",IF(OR(Q209="",H209="",H209=0),"—",IF(Q209&lt;H209*(1-Параметры!$B$7),"почасовка",IF(Q209&gt;H209*(1+Параметры!$B$7),"сделка","любой способ"))))</f>
        <v>сделка</v>
      </c>
      <c r="S209">
        <v>0.1333333333333333</v>
      </c>
      <c r="T209">
        <v>0.1884057971014492</v>
      </c>
    </row>
    <row r="210" spans="1:20" x14ac:dyDescent="0.25">
      <c r="A210" s="13" t="s">
        <v>474</v>
      </c>
      <c r="B210" s="13" t="s">
        <v>475</v>
      </c>
      <c r="C210" s="13" t="s">
        <v>144</v>
      </c>
      <c r="D210" s="13" t="s">
        <v>273</v>
      </c>
      <c r="E210" s="13" t="str">
        <f>IFERROR(INDEX('Почасовка — ставки и план'!$B$5:$B$24,MATCH(D210,'Почасовка — ставки и план'!$A$5:$A$24,0)),"Аренда техники / механизмы")</f>
        <v>Электромонтажник</v>
      </c>
      <c r="F210" s="14">
        <v>3967</v>
      </c>
      <c r="G210" s="14">
        <v>4760</v>
      </c>
      <c r="H210" s="15">
        <v>1800</v>
      </c>
      <c r="I210" s="15">
        <f>IF(OR(H210="",F210=""),"",MAX(H210,MIN(ROUND(H210*(1+Параметры!$B$5),IF(H210*(1+Параметры!$B$5)&gt;=1000,-1,0)),ROUND(F210*Параметры!$B$6,IF(F210*Параметры!$B$6&gt;=1000,-1,0)))))</f>
        <v>2070</v>
      </c>
      <c r="J210" s="15">
        <v>2070</v>
      </c>
      <c r="K210" s="15">
        <f>IF(OR(J210="",G210=""),"",MAX(J210,MIN(ROUND(J210*(1+Параметры!$B$5),IF(J210*(1+Параметры!$B$5)&gt;=1000,-1,0)),ROUND(G210*Параметры!$B$6,IF(G210*Параметры!$B$6&gt;=1000,-1,0)))))</f>
        <v>2380</v>
      </c>
      <c r="L210" s="16">
        <v>3.5</v>
      </c>
      <c r="M210" s="17">
        <f t="shared" si="18"/>
        <v>0.2857142857142857</v>
      </c>
      <c r="N210" s="17">
        <f>IF(OR(L210="",L210=0),"",Параметры!$B$3/L210)</f>
        <v>2.2857142857142856</v>
      </c>
      <c r="O210" s="15">
        <f>IF(L210="","",IFERROR(INDEX('Почасовка — ставки и план'!$D$5:$D$24,MATCH($D210,'Почасовка — ставки и план'!$A$5:$A$24,0)),""))</f>
        <v>850</v>
      </c>
      <c r="P210" s="15">
        <f>IF(L210="","",IFERROR(INDEX('Почасовка — ставки и план'!$E$5:$E$24,MATCH($D210,'Почасовка — ставки и план'!$A$5:$A$24,0)),""))</f>
        <v>1020</v>
      </c>
      <c r="Q210" s="15">
        <f t="shared" si="19"/>
        <v>2975</v>
      </c>
      <c r="R210" s="13" t="str">
        <f>IF(D210="TEX","аренда техники — сделка/счёт",IF(OR(Q210="",H210="",H210=0),"—",IF(Q210&lt;H210*(1-Параметры!$B$7),"почасовка",IF(Q210&gt;H210*(1+Параметры!$B$7),"сделка","любой способ"))))</f>
        <v>сделка</v>
      </c>
      <c r="S210">
        <v>0.32233333333333342</v>
      </c>
      <c r="T210">
        <v>0.37971014492753619</v>
      </c>
    </row>
    <row r="211" spans="1:20" x14ac:dyDescent="0.25">
      <c r="A211" s="13" t="s">
        <v>476</v>
      </c>
      <c r="B211" s="13" t="s">
        <v>477</v>
      </c>
      <c r="C211" s="13" t="s">
        <v>457</v>
      </c>
      <c r="D211" s="13" t="s">
        <v>273</v>
      </c>
      <c r="E211" s="13" t="str">
        <f>IFERROR(INDEX('Почасовка — ставки и план'!$B$5:$B$24,MATCH(D211,'Почасовка — ставки и план'!$A$5:$A$24,0)),"Аренда техники / механизмы")</f>
        <v>Электромонтажник</v>
      </c>
      <c r="F211" s="14">
        <v>600</v>
      </c>
      <c r="G211" s="14">
        <v>690</v>
      </c>
      <c r="H211" s="15">
        <v>360</v>
      </c>
      <c r="I211" s="15">
        <f>IF(OR(H211="",F211=""),"",MAX(H211,MIN(ROUND(H211*(1+Параметры!$B$5),IF(H211*(1+Параметры!$B$5)&gt;=1000,-1,0)),ROUND(F211*Параметры!$B$6,IF(F211*Параметры!$B$6&gt;=1000,-1,0)))))</f>
        <v>414</v>
      </c>
      <c r="J211" s="15">
        <v>414</v>
      </c>
      <c r="K211" s="15">
        <f>IF(OR(J211="",G211=""),"",MAX(J211,MIN(ROUND(J211*(1+Параметры!$B$5),IF(J211*(1+Параметры!$B$5)&gt;=1000,-1,0)),ROUND(G211*Параметры!$B$6,IF(G211*Параметры!$B$6&gt;=1000,-1,0)))))</f>
        <v>476</v>
      </c>
      <c r="L211" s="16">
        <v>0.5</v>
      </c>
      <c r="M211" s="17">
        <f t="shared" si="18"/>
        <v>2</v>
      </c>
      <c r="N211" s="17">
        <f>IF(OR(L211="",L211=0),"",Параметры!$B$3/L211)</f>
        <v>16</v>
      </c>
      <c r="O211" s="15">
        <f>IF(L211="","",IFERROR(INDEX('Почасовка — ставки и план'!$D$5:$D$24,MATCH($D211,'Почасовка — ставки и план'!$A$5:$A$24,0)),""))</f>
        <v>850</v>
      </c>
      <c r="P211" s="15">
        <f>IF(L211="","",IFERROR(INDEX('Почасовка — ставки и план'!$E$5:$E$24,MATCH($D211,'Почасовка — ставки и план'!$A$5:$A$24,0)),""))</f>
        <v>1020</v>
      </c>
      <c r="Q211" s="15">
        <f t="shared" si="19"/>
        <v>425</v>
      </c>
      <c r="R211" s="13" t="str">
        <f>IF(D211="TEX","аренда техники — сделка/счёт",IF(OR(Q211="",H211="",H211=0),"—",IF(Q211&lt;H211*(1-Параметры!$B$7),"почасовка",IF(Q211&gt;H211*(1+Параметры!$B$7),"сделка","любой способ"))))</f>
        <v>сделка</v>
      </c>
      <c r="S211">
        <v>0</v>
      </c>
      <c r="T211">
        <v>0</v>
      </c>
    </row>
    <row r="212" spans="1:20" x14ac:dyDescent="0.25">
      <c r="A212" s="13" t="s">
        <v>478</v>
      </c>
      <c r="B212" s="13" t="s">
        <v>479</v>
      </c>
      <c r="C212" s="13" t="s">
        <v>457</v>
      </c>
      <c r="D212" s="13" t="s">
        <v>273</v>
      </c>
      <c r="E212" s="13" t="str">
        <f>IFERROR(INDEX('Почасовка — ставки и план'!$B$5:$B$24,MATCH(D212,'Почасовка — ставки и план'!$A$5:$A$24,0)),"Аренда техники / механизмы")</f>
        <v>Электромонтажник</v>
      </c>
      <c r="F212" s="14">
        <v>2267</v>
      </c>
      <c r="G212" s="14">
        <v>2720</v>
      </c>
      <c r="H212" s="15">
        <v>1200</v>
      </c>
      <c r="I212" s="15">
        <f>IF(OR(H212="",F212=""),"",MAX(H212,MIN(ROUND(H212*(1+Параметры!$B$5),IF(H212*(1+Параметры!$B$5)&gt;=1000,-1,0)),ROUND(F212*Параметры!$B$6,IF(F212*Параметры!$B$6&gt;=1000,-1,0)))))</f>
        <v>1380</v>
      </c>
      <c r="J212" s="15">
        <v>1380</v>
      </c>
      <c r="K212" s="15">
        <f>IF(OR(J212="",G212=""),"",MAX(J212,MIN(ROUND(J212*(1+Параметры!$B$5),IF(J212*(1+Параметры!$B$5)&gt;=1000,-1,0)),ROUND(G212*Параметры!$B$6,IF(G212*Параметры!$B$6&gt;=1000,-1,0)))))</f>
        <v>1590</v>
      </c>
      <c r="L212" s="16">
        <v>2</v>
      </c>
      <c r="M212" s="17">
        <f t="shared" si="18"/>
        <v>0.5</v>
      </c>
      <c r="N212" s="17">
        <f>IF(OR(L212="",L212=0),"",Параметры!$B$3/L212)</f>
        <v>4</v>
      </c>
      <c r="O212" s="15">
        <f>IF(L212="","",IFERROR(INDEX('Почасовка — ставки и план'!$D$5:$D$24,MATCH($D212,'Почасовка — ставки и план'!$A$5:$A$24,0)),""))</f>
        <v>850</v>
      </c>
      <c r="P212" s="15">
        <f>IF(L212="","",IFERROR(INDEX('Почасовка — ставки и план'!$E$5:$E$24,MATCH($D212,'Почасовка — ставки и план'!$A$5:$A$24,0)),""))</f>
        <v>1020</v>
      </c>
      <c r="Q212" s="15">
        <f t="shared" si="19"/>
        <v>1700</v>
      </c>
      <c r="R212" s="13" t="str">
        <f>IF(D212="TEX","аренда техники — сделка/счёт",IF(OR(Q212="",H212="",H212=0),"—",IF(Q212&lt;H212*(1-Параметры!$B$7),"почасовка",IF(Q212&gt;H212*(1+Параметры!$B$7),"сделка","любой способ"))))</f>
        <v>сделка</v>
      </c>
      <c r="S212">
        <v>0.13350000000000001</v>
      </c>
      <c r="T212">
        <v>0.182608695652174</v>
      </c>
    </row>
    <row r="213" spans="1:20" x14ac:dyDescent="0.25">
      <c r="A213" s="18" t="s">
        <v>480</v>
      </c>
      <c r="B213" s="13" t="s">
        <v>481</v>
      </c>
      <c r="C213" s="13" t="s">
        <v>69</v>
      </c>
      <c r="D213" s="13" t="s">
        <v>273</v>
      </c>
      <c r="E213" s="13" t="str">
        <f>IFERROR(INDEX('Почасовка — ставки и план'!$B$5:$B$24,MATCH(D213,'Почасовка — ставки и план'!$A$5:$A$24,0)),"Аренда техники / механизмы")</f>
        <v>Электромонтажник</v>
      </c>
      <c r="F213" s="14">
        <v>58</v>
      </c>
      <c r="G213" s="14">
        <v>68</v>
      </c>
      <c r="H213" s="15">
        <v>30</v>
      </c>
      <c r="I213" s="15">
        <f>IF(OR(H213="",F213=""),"",MAX(H213,MIN(ROUND(H213*(1+Параметры!$B$5),IF(H213*(1+Параметры!$B$5)&gt;=1000,-1,0)),ROUND(F213*Параметры!$B$6,IF(F213*Параметры!$B$6&gt;=1000,-1,0)))))</f>
        <v>35</v>
      </c>
      <c r="J213" s="15">
        <v>34.5</v>
      </c>
      <c r="K213" s="15">
        <f>IF(OR(J213="",G213=""),"",MAX(J213,MIN(ROUND(J213*(1+Параметры!$B$5),IF(J213*(1+Параметры!$B$5)&gt;=1000,-1,0)),ROUND(G213*Параметры!$B$6,IF(G213*Параметры!$B$6&gt;=1000,-1,0)))))</f>
        <v>40</v>
      </c>
      <c r="L213" s="16">
        <v>0.05</v>
      </c>
      <c r="M213" s="17">
        <f t="shared" si="18"/>
        <v>20</v>
      </c>
      <c r="N213" s="17">
        <f>IF(OR(L213="",L213=0),"",Параметры!$B$3/L213)</f>
        <v>160</v>
      </c>
      <c r="O213" s="15">
        <f>IF(L213="","",IFERROR(INDEX('Почасовка — ставки и план'!$D$5:$D$24,MATCH($D213,'Почасовка — ставки и план'!$A$5:$A$24,0)),""))</f>
        <v>850</v>
      </c>
      <c r="P213" s="15">
        <f>IF(L213="","",IFERROR(INDEX('Почасовка — ставки и план'!$E$5:$E$24,MATCH($D213,'Почасовка — ставки и план'!$A$5:$A$24,0)),""))</f>
        <v>1020</v>
      </c>
      <c r="Q213" s="15">
        <f t="shared" si="19"/>
        <v>43</v>
      </c>
      <c r="R213" s="13" t="str">
        <f>IF(D213="TEX","аренда техники — сделка/счёт",IF(OR(Q213="",H213="",H213=0),"—",IF(Q213&lt;H213*(1-Параметры!$B$7),"почасовка",IF(Q213&gt;H213*(1+Параметры!$B$7),"сделка","любой способ"))))</f>
        <v>сделка</v>
      </c>
      <c r="S213">
        <v>0.15999999999999989</v>
      </c>
      <c r="T213">
        <v>0.182608695652174</v>
      </c>
    </row>
    <row r="214" spans="1:20" x14ac:dyDescent="0.25">
      <c r="A214" s="18" t="s">
        <v>482</v>
      </c>
      <c r="B214" s="13" t="s">
        <v>483</v>
      </c>
      <c r="C214" s="13" t="s">
        <v>144</v>
      </c>
      <c r="D214" s="13" t="s">
        <v>273</v>
      </c>
      <c r="E214" s="13" t="str">
        <f>IFERROR(INDEX('Почасовка — ставки и план'!$B$5:$B$24,MATCH(D214,'Почасовка — ставки и план'!$A$5:$A$24,0)),"Аренда техники / механизмы")</f>
        <v>Электромонтажник</v>
      </c>
      <c r="F214" s="14">
        <v>907</v>
      </c>
      <c r="G214" s="14">
        <v>1088</v>
      </c>
      <c r="H214" s="15">
        <v>540</v>
      </c>
      <c r="I214" s="15">
        <f>IF(OR(H214="",F214=""),"",MAX(H214,MIN(ROUND(H214*(1+Параметры!$B$5),IF(H214*(1+Параметры!$B$5)&gt;=1000,-1,0)),ROUND(F214*Параметры!$B$6,IF(F214*Параметры!$B$6&gt;=1000,-1,0)))))</f>
        <v>621</v>
      </c>
      <c r="J214" s="15">
        <v>621</v>
      </c>
      <c r="K214" s="15">
        <f>IF(OR(J214="",G214=""),"",MAX(J214,MIN(ROUND(J214*(1+Параметры!$B$5),IF(J214*(1+Параметры!$B$5)&gt;=1000,-1,0)),ROUND(G214*Параметры!$B$6,IF(G214*Параметры!$B$6&gt;=1000,-1,0)))))</f>
        <v>714</v>
      </c>
      <c r="L214" s="16">
        <v>0.8</v>
      </c>
      <c r="M214" s="17">
        <f t="shared" si="18"/>
        <v>1.25</v>
      </c>
      <c r="N214" s="17">
        <f>IF(OR(L214="",L214=0),"",Параметры!$B$3/L214)</f>
        <v>10</v>
      </c>
      <c r="O214" s="15">
        <f>IF(L214="","",IFERROR(INDEX('Почасовка — ставки и план'!$D$5:$D$24,MATCH($D214,'Почасовка — ставки и план'!$A$5:$A$24,0)),""))</f>
        <v>850</v>
      </c>
      <c r="P214" s="15">
        <f>IF(L214="","",IFERROR(INDEX('Почасовка — ставки и план'!$E$5:$E$24,MATCH($D214,'Почасовка — ставки и план'!$A$5:$A$24,0)),""))</f>
        <v>1020</v>
      </c>
      <c r="Q214" s="15">
        <f t="shared" si="19"/>
        <v>680</v>
      </c>
      <c r="R214" s="13" t="str">
        <f>IF(D214="TEX","аренда техники — сделка/счёт",IF(OR(Q214="",H214="",H214=0),"—",IF(Q214&lt;H214*(1-Параметры!$B$7),"почасовка",IF(Q214&gt;H214*(1+Параметры!$B$7),"сделка","любой способ"))))</f>
        <v>сделка</v>
      </c>
      <c r="S214">
        <v>7.7777777777778834E-3</v>
      </c>
      <c r="T214">
        <v>5.1207729468599077E-2</v>
      </c>
    </row>
    <row r="215" spans="1:20" x14ac:dyDescent="0.25">
      <c r="A215" s="18" t="s">
        <v>484</v>
      </c>
      <c r="B215" s="13" t="s">
        <v>485</v>
      </c>
      <c r="C215" s="13" t="s">
        <v>144</v>
      </c>
      <c r="D215" s="13" t="s">
        <v>273</v>
      </c>
      <c r="E215" s="13" t="str">
        <f>IFERROR(INDEX('Почасовка — ставки и план'!$B$5:$B$24,MATCH(D215,'Почасовка — ставки и план'!$A$5:$A$24,0)),"Аренда техники / механизмы")</f>
        <v>Электромонтажник</v>
      </c>
      <c r="F215" s="14">
        <v>171</v>
      </c>
      <c r="G215" s="14">
        <v>204</v>
      </c>
      <c r="H215" s="15">
        <v>90</v>
      </c>
      <c r="I215" s="15">
        <f>IF(OR(H215="",F215=""),"",MAX(H215,MIN(ROUND(H215*(1+Параметры!$B$5),IF(H215*(1+Параметры!$B$5)&gt;=1000,-1,0)),ROUND(F215*Параметры!$B$6,IF(F215*Параметры!$B$6&gt;=1000,-1,0)))))</f>
        <v>104</v>
      </c>
      <c r="J215" s="15">
        <v>103</v>
      </c>
      <c r="K215" s="15">
        <f>IF(OR(J215="",G215=""),"",MAX(J215,MIN(ROUND(J215*(1+Параметры!$B$5),IF(J215*(1+Параметры!$B$5)&gt;=1000,-1,0)),ROUND(G215*Параметры!$B$6,IF(G215*Параметры!$B$6&gt;=1000,-1,0)))))</f>
        <v>118</v>
      </c>
      <c r="L215" s="16">
        <v>0.15</v>
      </c>
      <c r="M215" s="17">
        <f t="shared" si="18"/>
        <v>6.666666666666667</v>
      </c>
      <c r="N215" s="17">
        <f>IF(OR(L215="",L215=0),"",Параметры!$B$3/L215)</f>
        <v>53.333333333333336</v>
      </c>
      <c r="O215" s="15">
        <f>IF(L215="","",IFERROR(INDEX('Почасовка — ставки и план'!$D$5:$D$24,MATCH($D215,'Почасовка — ставки и план'!$A$5:$A$24,0)),""))</f>
        <v>850</v>
      </c>
      <c r="P215" s="15">
        <f>IF(L215="","",IFERROR(INDEX('Почасовка — ставки и план'!$E$5:$E$24,MATCH($D215,'Почасовка — ставки и план'!$A$5:$A$24,0)),""))</f>
        <v>1020</v>
      </c>
      <c r="Q215" s="15">
        <f t="shared" si="19"/>
        <v>128</v>
      </c>
      <c r="R215" s="13" t="str">
        <f>IF(D215="TEX","аренда техники — сделка/счёт",IF(OR(Q215="",H215="",H215=0),"—",IF(Q215&lt;H215*(1-Параметры!$B$7),"почасовка",IF(Q215&gt;H215*(1+Параметры!$B$7),"сделка","любой способ"))))</f>
        <v>сделка</v>
      </c>
      <c r="S215">
        <v>0.1399999999999999</v>
      </c>
      <c r="T215">
        <v>0.18604651162790711</v>
      </c>
    </row>
    <row r="216" spans="1:20" x14ac:dyDescent="0.25">
      <c r="A216" s="18" t="s">
        <v>486</v>
      </c>
      <c r="B216" s="13" t="s">
        <v>487</v>
      </c>
      <c r="C216" s="13" t="s">
        <v>144</v>
      </c>
      <c r="D216" s="13" t="s">
        <v>273</v>
      </c>
      <c r="E216" s="13" t="str">
        <f>IFERROR(INDEX('Почасовка — ставки и план'!$B$5:$B$24,MATCH(D216,'Почасовка — ставки и план'!$A$5:$A$24,0)),"Аренда техники / механизмы")</f>
        <v>Электромонтажник</v>
      </c>
      <c r="F216" s="14">
        <v>171</v>
      </c>
      <c r="G216" s="14">
        <v>204</v>
      </c>
      <c r="H216" s="15">
        <v>90</v>
      </c>
      <c r="I216" s="15">
        <f>IF(OR(H216="",F216=""),"",MAX(H216,MIN(ROUND(H216*(1+Параметры!$B$5),IF(H216*(1+Параметры!$B$5)&gt;=1000,-1,0)),ROUND(F216*Параметры!$B$6,IF(F216*Параметры!$B$6&gt;=1000,-1,0)))))</f>
        <v>104</v>
      </c>
      <c r="J216" s="15">
        <v>103</v>
      </c>
      <c r="K216" s="15">
        <f>IF(OR(J216="",G216=""),"",MAX(J216,MIN(ROUND(J216*(1+Параметры!$B$5),IF(J216*(1+Параметры!$B$5)&gt;=1000,-1,0)),ROUND(G216*Параметры!$B$6,IF(G216*Параметры!$B$6&gt;=1000,-1,0)))))</f>
        <v>118</v>
      </c>
      <c r="L216" s="16">
        <v>0.15</v>
      </c>
      <c r="M216" s="17">
        <f t="shared" si="18"/>
        <v>6.666666666666667</v>
      </c>
      <c r="N216" s="17">
        <f>IF(OR(L216="",L216=0),"",Параметры!$B$3/L216)</f>
        <v>53.333333333333336</v>
      </c>
      <c r="O216" s="15">
        <f>IF(L216="","",IFERROR(INDEX('Почасовка — ставки и план'!$D$5:$D$24,MATCH($D216,'Почасовка — ставки и план'!$A$5:$A$24,0)),""))</f>
        <v>850</v>
      </c>
      <c r="P216" s="15">
        <f>IF(L216="","",IFERROR(INDEX('Почасовка — ставки и план'!$E$5:$E$24,MATCH($D216,'Почасовка — ставки и план'!$A$5:$A$24,0)),""))</f>
        <v>1020</v>
      </c>
      <c r="Q216" s="15">
        <f t="shared" si="19"/>
        <v>128</v>
      </c>
      <c r="R216" s="13" t="str">
        <f>IF(D216="TEX","аренда техники — сделка/счёт",IF(OR(Q216="",H216="",H216=0),"—",IF(Q216&lt;H216*(1-Параметры!$B$7),"почасовка",IF(Q216&gt;H216*(1+Параметры!$B$7),"сделка","любой способ"))))</f>
        <v>сделка</v>
      </c>
      <c r="S216">
        <v>0.1399999999999999</v>
      </c>
      <c r="T216">
        <v>0.18604651162790711</v>
      </c>
    </row>
    <row r="217" spans="1:20" x14ac:dyDescent="0.25">
      <c r="A217" s="11" t="s">
        <v>488</v>
      </c>
      <c r="B217" s="12"/>
      <c r="C217" s="12"/>
      <c r="D217" s="12"/>
      <c r="E217" s="12"/>
      <c r="F217" s="12"/>
      <c r="G217" s="12"/>
      <c r="H217" s="12"/>
      <c r="I217" s="12"/>
      <c r="J217" s="12"/>
      <c r="K217" s="12"/>
      <c r="L217" s="12"/>
      <c r="M217" s="12"/>
      <c r="N217" s="12"/>
      <c r="O217" s="12"/>
      <c r="P217" s="12"/>
      <c r="Q217" s="12"/>
      <c r="R217" s="12"/>
    </row>
    <row r="218" spans="1:20" x14ac:dyDescent="0.25">
      <c r="A218" s="13" t="s">
        <v>489</v>
      </c>
      <c r="B218" s="13" t="s">
        <v>490</v>
      </c>
      <c r="C218" s="13" t="s">
        <v>144</v>
      </c>
      <c r="D218" s="13" t="s">
        <v>276</v>
      </c>
      <c r="E218" s="13" t="str">
        <f>IFERROR(INDEX('Почасовка — ставки и план'!$B$5:$B$24,MATCH(D218,'Почасовка — ставки и план'!$A$5:$A$24,0)),"Аренда техники / механизмы")</f>
        <v>Монтажник дверей, окон, перегородок</v>
      </c>
      <c r="F218" s="14">
        <v>1200</v>
      </c>
      <c r="G218" s="14">
        <v>1380</v>
      </c>
      <c r="H218" s="15">
        <v>700</v>
      </c>
      <c r="I218" s="15">
        <f>IF(OR(H218="",F218=""),"",MAX(H218,MIN(ROUND(H218*(1+Параметры!$B$5),IF(H218*(1+Параметры!$B$5)&gt;=1000,-1,0)),ROUND(F218*Параметры!$B$6,IF(F218*Параметры!$B$6&gt;=1000,-1,0)))))</f>
        <v>805</v>
      </c>
      <c r="J218" s="15">
        <v>805</v>
      </c>
      <c r="K218" s="15">
        <f>IF(OR(J218="",G218=""),"",MAX(J218,MIN(ROUND(J218*(1+Параметры!$B$5),IF(J218*(1+Параметры!$B$5)&gt;=1000,-1,0)),ROUND(G218*Параметры!$B$6,IF(G218*Параметры!$B$6&gt;=1000,-1,0)))))</f>
        <v>926</v>
      </c>
      <c r="L218" s="16">
        <v>0.5</v>
      </c>
      <c r="M218" s="17">
        <f t="shared" ref="M218:M247" si="20">IF(OR(L218="",L218=0),"",1/L218)</f>
        <v>2</v>
      </c>
      <c r="N218" s="17">
        <f>IF(OR(L218="",L218=0),"",Параметры!$B$3/L218)</f>
        <v>16</v>
      </c>
      <c r="O218" s="15">
        <f>IF(L218="","",IFERROR(INDEX('Почасовка — ставки и план'!$D$5:$D$24,MATCH($D218,'Почасовка — ставки и план'!$A$5:$A$24,0)),""))</f>
        <v>800</v>
      </c>
      <c r="P218" s="15">
        <f>IF(L218="","",IFERROR(INDEX('Почасовка — ставки и план'!$E$5:$E$24,MATCH($D218,'Почасовка — ставки и план'!$A$5:$A$24,0)),""))</f>
        <v>950</v>
      </c>
      <c r="Q218" s="15">
        <f t="shared" ref="Q218:Q247" si="21">IF(OR(L218="",O218=""),"",ROUND(L218*O218,0))</f>
        <v>400</v>
      </c>
      <c r="R218" s="13" t="str">
        <f>IF(D218="TEX","аренда техники — сделка/счёт",IF(OR(Q218="",H218="",H218=0),"—",IF(Q218&lt;H218*(1-Параметры!$B$7),"почасовка",IF(Q218&gt;H218*(1+Параметры!$B$7),"сделка","любой способ"))))</f>
        <v>почасовка</v>
      </c>
      <c r="S218">
        <v>0</v>
      </c>
      <c r="T218">
        <v>0</v>
      </c>
    </row>
    <row r="219" spans="1:20" x14ac:dyDescent="0.25">
      <c r="A219" s="13" t="s">
        <v>491</v>
      </c>
      <c r="B219" s="13" t="s">
        <v>492</v>
      </c>
      <c r="C219" s="13" t="s">
        <v>72</v>
      </c>
      <c r="D219" s="13" t="s">
        <v>276</v>
      </c>
      <c r="E219" s="13" t="str">
        <f>IFERROR(INDEX('Почасовка — ставки и план'!$B$5:$B$24,MATCH(D219,'Почасовка — ставки и план'!$A$5:$A$24,0)),"Аренда техники / механизмы")</f>
        <v>Монтажник дверей, окон, перегородок</v>
      </c>
      <c r="F219" s="14">
        <v>854</v>
      </c>
      <c r="G219" s="14">
        <v>1014</v>
      </c>
      <c r="H219" s="15">
        <v>420</v>
      </c>
      <c r="I219" s="15">
        <f>IF(OR(H219="",F219=""),"",MAX(H219,MIN(ROUND(H219*(1+Параметры!$B$5),IF(H219*(1+Параметры!$B$5)&gt;=1000,-1,0)),ROUND(F219*Параметры!$B$6,IF(F219*Параметры!$B$6&gt;=1000,-1,0)))))</f>
        <v>483</v>
      </c>
      <c r="J219" s="15">
        <v>483</v>
      </c>
      <c r="K219" s="15">
        <f>IF(OR(J219="",G219=""),"",MAX(J219,MIN(ROUND(J219*(1+Параметры!$B$5),IF(J219*(1+Параметры!$B$5)&gt;=1000,-1,0)),ROUND(G219*Параметры!$B$6,IF(G219*Параметры!$B$6&gt;=1000,-1,0)))))</f>
        <v>555</v>
      </c>
      <c r="L219" s="16">
        <v>0.8</v>
      </c>
      <c r="M219" s="17">
        <f t="shared" si="20"/>
        <v>1.25</v>
      </c>
      <c r="N219" s="17">
        <f>IF(OR(L219="",L219=0),"",Параметры!$B$3/L219)</f>
        <v>10</v>
      </c>
      <c r="O219" s="15">
        <f>IF(L219="","",IFERROR(INDEX('Почасовка — ставки и план'!$D$5:$D$24,MATCH($D219,'Почасовка — ставки и план'!$A$5:$A$24,0)),""))</f>
        <v>800</v>
      </c>
      <c r="P219" s="15">
        <f>IF(L219="","",IFERROR(INDEX('Почасовка — ставки и план'!$E$5:$E$24,MATCH($D219,'Почасовка — ставки и план'!$A$5:$A$24,0)),""))</f>
        <v>950</v>
      </c>
      <c r="Q219" s="15">
        <f t="shared" si="21"/>
        <v>640</v>
      </c>
      <c r="R219" s="13" t="str">
        <f>IF(D219="TEX","аренда техники — сделка/счёт",IF(OR(Q219="",H219="",H219=0),"—",IF(Q219&lt;H219*(1-Параметры!$B$7),"почасовка",IF(Q219&gt;H219*(1+Параметры!$B$7),"сделка","любой способ"))))</f>
        <v>сделка</v>
      </c>
      <c r="S219">
        <v>0.22</v>
      </c>
      <c r="T219">
        <v>0.25962732919254661</v>
      </c>
    </row>
    <row r="220" spans="1:20" x14ac:dyDescent="0.25">
      <c r="A220" s="13" t="s">
        <v>493</v>
      </c>
      <c r="B220" s="13" t="s">
        <v>494</v>
      </c>
      <c r="C220" s="13" t="s">
        <v>72</v>
      </c>
      <c r="D220" s="13" t="s">
        <v>276</v>
      </c>
      <c r="E220" s="13" t="str">
        <f>IFERROR(INDEX('Почасовка — ставки и план'!$B$5:$B$24,MATCH(D220,'Почасовка — ставки и план'!$A$5:$A$24,0)),"Аренда техники / механизмы")</f>
        <v>Монтажник дверей, окон, перегородок</v>
      </c>
      <c r="F220" s="14">
        <v>640</v>
      </c>
      <c r="G220" s="14">
        <v>760</v>
      </c>
      <c r="H220" s="15">
        <v>300</v>
      </c>
      <c r="I220" s="15">
        <f>IF(OR(H220="",F220=""),"",MAX(H220,MIN(ROUND(H220*(1+Параметры!$B$5),IF(H220*(1+Параметры!$B$5)&gt;=1000,-1,0)),ROUND(F220*Параметры!$B$6,IF(F220*Параметры!$B$6&gt;=1000,-1,0)))))</f>
        <v>345</v>
      </c>
      <c r="J220" s="15">
        <v>345</v>
      </c>
      <c r="K220" s="15">
        <f>IF(OR(J220="",G220=""),"",MAX(J220,MIN(ROUND(J220*(1+Параметры!$B$5),IF(J220*(1+Параметры!$B$5)&gt;=1000,-1,0)),ROUND(G220*Параметры!$B$6,IF(G220*Параметры!$B$6&gt;=1000,-1,0)))))</f>
        <v>397</v>
      </c>
      <c r="L220" s="16">
        <v>0.6</v>
      </c>
      <c r="M220" s="17">
        <f t="shared" si="20"/>
        <v>1.6666666666666667</v>
      </c>
      <c r="N220" s="17">
        <f>IF(OR(L220="",L220=0),"",Параметры!$B$3/L220)</f>
        <v>13.333333333333334</v>
      </c>
      <c r="O220" s="15">
        <f>IF(L220="","",IFERROR(INDEX('Почасовка — ставки и план'!$D$5:$D$24,MATCH($D220,'Почасовка — ставки и план'!$A$5:$A$24,0)),""))</f>
        <v>800</v>
      </c>
      <c r="P220" s="15">
        <f>IF(L220="","",IFERROR(INDEX('Почасовка — ставки и план'!$E$5:$E$24,MATCH($D220,'Почасовка — ставки и план'!$A$5:$A$24,0)),""))</f>
        <v>950</v>
      </c>
      <c r="Q220" s="15">
        <f t="shared" si="21"/>
        <v>480</v>
      </c>
      <c r="R220" s="13" t="str">
        <f>IF(D220="TEX","аренда техники — сделка/счёт",IF(OR(Q220="",H220="",H220=0),"—",IF(Q220&lt;H220*(1-Параметры!$B$7),"почасовка",IF(Q220&gt;H220*(1+Параметры!$B$7),"сделка","любой способ"))))</f>
        <v>сделка</v>
      </c>
      <c r="S220">
        <v>0.28000000000000003</v>
      </c>
      <c r="T220">
        <v>0.32173913043478253</v>
      </c>
    </row>
    <row r="221" spans="1:20" x14ac:dyDescent="0.25">
      <c r="A221" s="13" t="s">
        <v>495</v>
      </c>
      <c r="B221" s="13" t="s">
        <v>496</v>
      </c>
      <c r="C221" s="13" t="s">
        <v>72</v>
      </c>
      <c r="D221" s="13" t="s">
        <v>276</v>
      </c>
      <c r="E221" s="13" t="str">
        <f>IFERROR(INDEX('Почасовка — ставки и план'!$B$5:$B$24,MATCH(D221,'Почасовка — ставки и план'!$A$5:$A$24,0)),"Аренда техники / механизмы")</f>
        <v>Монтажник дверей, окон, перегородок</v>
      </c>
      <c r="F221" s="14">
        <v>1067</v>
      </c>
      <c r="G221" s="14">
        <v>1267</v>
      </c>
      <c r="H221" s="15">
        <v>480</v>
      </c>
      <c r="I221" s="15">
        <f>IF(OR(H221="",F221=""),"",MAX(H221,MIN(ROUND(H221*(1+Параметры!$B$5),IF(H221*(1+Параметры!$B$5)&gt;=1000,-1,0)),ROUND(F221*Параметры!$B$6,IF(F221*Параметры!$B$6&gt;=1000,-1,0)))))</f>
        <v>552</v>
      </c>
      <c r="J221" s="15">
        <v>552</v>
      </c>
      <c r="K221" s="15">
        <f>IF(OR(J221="",G221=""),"",MAX(J221,MIN(ROUND(J221*(1+Параметры!$B$5),IF(J221*(1+Параметры!$B$5)&gt;=1000,-1,0)),ROUND(G221*Параметры!$B$6,IF(G221*Параметры!$B$6&gt;=1000,-1,0)))))</f>
        <v>635</v>
      </c>
      <c r="L221" s="16">
        <v>1</v>
      </c>
      <c r="M221" s="17">
        <f t="shared" si="20"/>
        <v>1</v>
      </c>
      <c r="N221" s="17">
        <f>IF(OR(L221="",L221=0),"",Параметры!$B$3/L221)</f>
        <v>8</v>
      </c>
      <c r="O221" s="15">
        <f>IF(L221="","",IFERROR(INDEX('Почасовка — ставки и план'!$D$5:$D$24,MATCH($D221,'Почасовка — ставки и план'!$A$5:$A$24,0)),""))</f>
        <v>800</v>
      </c>
      <c r="P221" s="15">
        <f>IF(L221="","",IFERROR(INDEX('Почасовка — ставки и план'!$E$5:$E$24,MATCH($D221,'Почасовка — ставки и план'!$A$5:$A$24,0)),""))</f>
        <v>950</v>
      </c>
      <c r="Q221" s="15">
        <f t="shared" si="21"/>
        <v>800</v>
      </c>
      <c r="R221" s="13" t="str">
        <f>IF(D221="TEX","аренда техники — сделка/счёт",IF(OR(Q221="",H221="",H221=0),"—",IF(Q221&lt;H221*(1-Параметры!$B$7),"почасовка",IF(Q221&gt;H221*(1+Параметры!$B$7),"сделка","любой способ"))))</f>
        <v>сделка</v>
      </c>
      <c r="S221">
        <v>0.33374999999999999</v>
      </c>
      <c r="T221">
        <v>0.37717391304347841</v>
      </c>
    </row>
    <row r="222" spans="1:20" x14ac:dyDescent="0.25">
      <c r="A222" s="13" t="s">
        <v>497</v>
      </c>
      <c r="B222" s="13" t="s">
        <v>498</v>
      </c>
      <c r="C222" s="13" t="s">
        <v>144</v>
      </c>
      <c r="D222" s="13" t="s">
        <v>276</v>
      </c>
      <c r="E222" s="13" t="str">
        <f>IFERROR(INDEX('Почасовка — ставки и план'!$B$5:$B$24,MATCH(D222,'Почасовка — ставки и план'!$A$5:$A$24,0)),"Аренда техники / механизмы")</f>
        <v>Монтажник дверей, окон, перегородок</v>
      </c>
      <c r="F222" s="14">
        <v>2667</v>
      </c>
      <c r="G222" s="14">
        <v>3167</v>
      </c>
      <c r="H222" s="15">
        <v>1500</v>
      </c>
      <c r="I222" s="15">
        <f>IF(OR(H222="",F222=""),"",MAX(H222,MIN(ROUND(H222*(1+Параметры!$B$5),IF(H222*(1+Параметры!$B$5)&gt;=1000,-1,0)),ROUND(F222*Параметры!$B$6,IF(F222*Параметры!$B$6&gt;=1000,-1,0)))))</f>
        <v>1730</v>
      </c>
      <c r="J222" s="15">
        <v>1725</v>
      </c>
      <c r="K222" s="15">
        <f>IF(OR(J222="",G222=""),"",MAX(J222,MIN(ROUND(J222*(1+Параметры!$B$5),IF(J222*(1+Параметры!$B$5)&gt;=1000,-1,0)),ROUND(G222*Параметры!$B$6,IF(G222*Параметры!$B$6&gt;=1000,-1,0)))))</f>
        <v>1980</v>
      </c>
      <c r="L222" s="16">
        <v>2.5</v>
      </c>
      <c r="M222" s="17">
        <f t="shared" si="20"/>
        <v>0.4</v>
      </c>
      <c r="N222" s="17">
        <f>IF(OR(L222="",L222=0),"",Параметры!$B$3/L222)</f>
        <v>3.2</v>
      </c>
      <c r="O222" s="15">
        <f>IF(L222="","",IFERROR(INDEX('Почасовка — ставки и план'!$D$5:$D$24,MATCH($D222,'Почасовка — ставки и план'!$A$5:$A$24,0)),""))</f>
        <v>800</v>
      </c>
      <c r="P222" s="15">
        <f>IF(L222="","",IFERROR(INDEX('Почасовка — ставки и план'!$E$5:$E$24,MATCH($D222,'Почасовка — ставки и план'!$A$5:$A$24,0)),""))</f>
        <v>950</v>
      </c>
      <c r="Q222" s="15">
        <f t="shared" si="21"/>
        <v>2000</v>
      </c>
      <c r="R222" s="13" t="str">
        <f>IF(D222="TEX","аренда техники — сделка/счёт",IF(OR(Q222="",H222="",H222=0),"—",IF(Q222&lt;H222*(1-Параметры!$B$7),"почасовка",IF(Q222&gt;H222*(1+Параметры!$B$7),"сделка","любой способ"))))</f>
        <v>сделка</v>
      </c>
      <c r="S222">
        <v>6.6799999999999971E-2</v>
      </c>
      <c r="T222">
        <v>0.1015652173913044</v>
      </c>
    </row>
    <row r="223" spans="1:20" x14ac:dyDescent="0.25">
      <c r="A223" s="13" t="s">
        <v>499</v>
      </c>
      <c r="B223" s="13" t="s">
        <v>500</v>
      </c>
      <c r="C223" s="13" t="s">
        <v>144</v>
      </c>
      <c r="D223" s="13" t="s">
        <v>276</v>
      </c>
      <c r="E223" s="13" t="str">
        <f>IFERROR(INDEX('Почасовка — ставки и план'!$B$5:$B$24,MATCH(D223,'Почасовка — ставки и план'!$A$5:$A$24,0)),"Аренда техники / механизмы")</f>
        <v>Монтажник дверей, окон, перегородок</v>
      </c>
      <c r="F223" s="14">
        <v>1600</v>
      </c>
      <c r="G223" s="14">
        <v>1900</v>
      </c>
      <c r="H223" s="15">
        <v>900</v>
      </c>
      <c r="I223" s="15">
        <f>IF(OR(H223="",F223=""),"",MAX(H223,MIN(ROUND(H223*(1+Параметры!$B$5),IF(H223*(1+Параметры!$B$5)&gt;=1000,-1,0)),ROUND(F223*Параметры!$B$6,IF(F223*Параметры!$B$6&gt;=1000,-1,0)))))</f>
        <v>1040</v>
      </c>
      <c r="J223" s="15">
        <v>1035</v>
      </c>
      <c r="K223" s="15">
        <f>IF(OR(J223="",G223=""),"",MAX(J223,MIN(ROUND(J223*(1+Параметры!$B$5),IF(J223*(1+Параметры!$B$5)&gt;=1000,-1,0)),ROUND(G223*Параметры!$B$6,IF(G223*Параметры!$B$6&gt;=1000,-1,0)))))</f>
        <v>1190</v>
      </c>
      <c r="L223" s="16">
        <v>1.5</v>
      </c>
      <c r="M223" s="17">
        <f t="shared" si="20"/>
        <v>0.66666666666666663</v>
      </c>
      <c r="N223" s="17">
        <f>IF(OR(L223="",L223=0),"",Параметры!$B$3/L223)</f>
        <v>5.333333333333333</v>
      </c>
      <c r="O223" s="15">
        <f>IF(L223="","",IFERROR(INDEX('Почасовка — ставки и план'!$D$5:$D$24,MATCH($D223,'Почасовка — ставки и план'!$A$5:$A$24,0)),""))</f>
        <v>800</v>
      </c>
      <c r="P223" s="15">
        <f>IF(L223="","",IFERROR(INDEX('Почасовка — ставки и план'!$E$5:$E$24,MATCH($D223,'Почасовка — ставки и план'!$A$5:$A$24,0)),""))</f>
        <v>950</v>
      </c>
      <c r="Q223" s="15">
        <f t="shared" si="21"/>
        <v>1200</v>
      </c>
      <c r="R223" s="13" t="str">
        <f>IF(D223="TEX","аренда техники — сделка/счёт",IF(OR(Q223="",H223="",H223=0),"—",IF(Q223&lt;H223*(1-Параметры!$B$7),"почасовка",IF(Q223&gt;H223*(1+Параметры!$B$7),"сделка","любой способ"))))</f>
        <v>сделка</v>
      </c>
      <c r="S223">
        <v>6.6666666666666652E-2</v>
      </c>
      <c r="T223">
        <v>0.10144927536231881</v>
      </c>
    </row>
    <row r="224" spans="1:20" x14ac:dyDescent="0.25">
      <c r="A224" s="13" t="s">
        <v>501</v>
      </c>
      <c r="B224" s="13" t="s">
        <v>502</v>
      </c>
      <c r="C224" s="13" t="s">
        <v>144</v>
      </c>
      <c r="D224" s="13" t="s">
        <v>276</v>
      </c>
      <c r="E224" s="13" t="str">
        <f>IFERROR(INDEX('Почасовка — ставки и план'!$B$5:$B$24,MATCH(D224,'Почасовка — ставки и план'!$A$5:$A$24,0)),"Аренда техники / механизмы")</f>
        <v>Монтажник дверей, окон, перегородок</v>
      </c>
      <c r="F224" s="14">
        <v>1280</v>
      </c>
      <c r="G224" s="14">
        <v>1520</v>
      </c>
      <c r="H224" s="15">
        <v>720</v>
      </c>
      <c r="I224" s="15">
        <f>IF(OR(H224="",F224=""),"",MAX(H224,MIN(ROUND(H224*(1+Параметры!$B$5),IF(H224*(1+Параметры!$B$5)&gt;=1000,-1,0)),ROUND(F224*Параметры!$B$6,IF(F224*Параметры!$B$6&gt;=1000,-1,0)))))</f>
        <v>828</v>
      </c>
      <c r="J224" s="15">
        <v>828</v>
      </c>
      <c r="K224" s="15">
        <f>IF(OR(J224="",G224=""),"",MAX(J224,MIN(ROUND(J224*(1+Параметры!$B$5),IF(J224*(1+Параметры!$B$5)&gt;=1000,-1,0)),ROUND(G224*Параметры!$B$6,IF(G224*Параметры!$B$6&gt;=1000,-1,0)))))</f>
        <v>952</v>
      </c>
      <c r="L224" s="16">
        <v>1.2</v>
      </c>
      <c r="M224" s="17">
        <f t="shared" si="20"/>
        <v>0.83333333333333337</v>
      </c>
      <c r="N224" s="17">
        <f>IF(OR(L224="",L224=0),"",Параметры!$B$3/L224)</f>
        <v>6.666666666666667</v>
      </c>
      <c r="O224" s="15">
        <f>IF(L224="","",IFERROR(INDEX('Почасовка — ставки и план'!$D$5:$D$24,MATCH($D224,'Почасовка — ставки и план'!$A$5:$A$24,0)),""))</f>
        <v>800</v>
      </c>
      <c r="P224" s="15">
        <f>IF(L224="","",IFERROR(INDEX('Почасовка — ставки и план'!$E$5:$E$24,MATCH($D224,'Почасовка — ставки и план'!$A$5:$A$24,0)),""))</f>
        <v>950</v>
      </c>
      <c r="Q224" s="15">
        <f t="shared" si="21"/>
        <v>960</v>
      </c>
      <c r="R224" s="13" t="str">
        <f>IF(D224="TEX","аренда техники — сделка/счёт",IF(OR(Q224="",H224="",H224=0),"—",IF(Q224&lt;H224*(1-Параметры!$B$7),"почасовка",IF(Q224&gt;H224*(1+Параметры!$B$7),"сделка","любой способ"))))</f>
        <v>сделка</v>
      </c>
      <c r="S224">
        <v>6.6666666666666652E-2</v>
      </c>
      <c r="T224">
        <v>0.10144927536231881</v>
      </c>
    </row>
    <row r="225" spans="1:20" x14ac:dyDescent="0.25">
      <c r="A225" s="13" t="s">
        <v>503</v>
      </c>
      <c r="B225" s="13" t="s">
        <v>504</v>
      </c>
      <c r="C225" s="13" t="s">
        <v>144</v>
      </c>
      <c r="D225" s="13" t="s">
        <v>276</v>
      </c>
      <c r="E225" s="13" t="str">
        <f>IFERROR(INDEX('Почасовка — ставки и план'!$B$5:$B$24,MATCH(D225,'Почасовка — ставки и план'!$A$5:$A$24,0)),"Аренда техники / механизмы")</f>
        <v>Монтажник дверей, окон, перегородок</v>
      </c>
      <c r="F225" s="14">
        <v>854</v>
      </c>
      <c r="G225" s="14">
        <v>1014</v>
      </c>
      <c r="H225" s="15">
        <v>480</v>
      </c>
      <c r="I225" s="15">
        <f>IF(OR(H225="",F225=""),"",MAX(H225,MIN(ROUND(H225*(1+Параметры!$B$5),IF(H225*(1+Параметры!$B$5)&gt;=1000,-1,0)),ROUND(F225*Параметры!$B$6,IF(F225*Параметры!$B$6&gt;=1000,-1,0)))))</f>
        <v>552</v>
      </c>
      <c r="J225" s="15">
        <v>552</v>
      </c>
      <c r="K225" s="15">
        <f>IF(OR(J225="",G225=""),"",MAX(J225,MIN(ROUND(J225*(1+Параметры!$B$5),IF(J225*(1+Параметры!$B$5)&gt;=1000,-1,0)),ROUND(G225*Параметры!$B$6,IF(G225*Параметры!$B$6&gt;=1000,-1,0)))))</f>
        <v>635</v>
      </c>
      <c r="L225" s="16">
        <v>0.8</v>
      </c>
      <c r="M225" s="17">
        <f t="shared" si="20"/>
        <v>1.25</v>
      </c>
      <c r="N225" s="17">
        <f>IF(OR(L225="",L225=0),"",Параметры!$B$3/L225)</f>
        <v>10</v>
      </c>
      <c r="O225" s="15">
        <f>IF(L225="","",IFERROR(INDEX('Почасовка — ставки и план'!$D$5:$D$24,MATCH($D225,'Почасовка — ставки и план'!$A$5:$A$24,0)),""))</f>
        <v>800</v>
      </c>
      <c r="P225" s="15">
        <f>IF(L225="","",IFERROR(INDEX('Почасовка — ставки и план'!$E$5:$E$24,MATCH($D225,'Почасовка — ставки и план'!$A$5:$A$24,0)),""))</f>
        <v>950</v>
      </c>
      <c r="Q225" s="15">
        <f t="shared" si="21"/>
        <v>640</v>
      </c>
      <c r="R225" s="13" t="str">
        <f>IF(D225="TEX","аренда техники — сделка/счёт",IF(OR(Q225="",H225="",H225=0),"—",IF(Q225&lt;H225*(1-Параметры!$B$7),"почасовка",IF(Q225&gt;H225*(1+Параметры!$B$7),"сделка","любой способ"))))</f>
        <v>сделка</v>
      </c>
      <c r="S225">
        <v>6.7499999999999893E-2</v>
      </c>
      <c r="T225">
        <v>0.1021739130434782</v>
      </c>
    </row>
    <row r="226" spans="1:20" x14ac:dyDescent="0.25">
      <c r="A226" s="13" t="s">
        <v>505</v>
      </c>
      <c r="B226" s="13" t="s">
        <v>506</v>
      </c>
      <c r="C226" s="13" t="s">
        <v>144</v>
      </c>
      <c r="D226" s="13" t="s">
        <v>276</v>
      </c>
      <c r="E226" s="13" t="str">
        <f>IFERROR(INDEX('Почасовка — ставки и план'!$B$5:$B$24,MATCH(D226,'Почасовка — ставки и план'!$A$5:$A$24,0)),"Аренда техники / механизмы")</f>
        <v>Монтажник дверей, окон, перегородок</v>
      </c>
      <c r="F226" s="14">
        <v>400</v>
      </c>
      <c r="G226" s="14">
        <v>460</v>
      </c>
      <c r="H226" s="15">
        <v>240</v>
      </c>
      <c r="I226" s="15">
        <f>IF(OR(H226="",F226=""),"",MAX(H226,MIN(ROUND(H226*(1+Параметры!$B$5),IF(H226*(1+Параметры!$B$5)&gt;=1000,-1,0)),ROUND(F226*Параметры!$B$6,IF(F226*Параметры!$B$6&gt;=1000,-1,0)))))</f>
        <v>276</v>
      </c>
      <c r="J226" s="15">
        <v>276</v>
      </c>
      <c r="K226" s="15">
        <f>IF(OR(J226="",G226=""),"",MAX(J226,MIN(ROUND(J226*(1+Параметры!$B$5),IF(J226*(1+Параметры!$B$5)&gt;=1000,-1,0)),ROUND(G226*Параметры!$B$6,IF(G226*Параметры!$B$6&gt;=1000,-1,0)))))</f>
        <v>317</v>
      </c>
      <c r="L226" s="16">
        <v>0.3</v>
      </c>
      <c r="M226" s="17">
        <f t="shared" si="20"/>
        <v>3.3333333333333335</v>
      </c>
      <c r="N226" s="17">
        <f>IF(OR(L226="",L226=0),"",Параметры!$B$3/L226)</f>
        <v>26.666666666666668</v>
      </c>
      <c r="O226" s="15">
        <f>IF(L226="","",IFERROR(INDEX('Почасовка — ставки и план'!$D$5:$D$24,MATCH($D226,'Почасовка — ставки и план'!$A$5:$A$24,0)),""))</f>
        <v>800</v>
      </c>
      <c r="P226" s="15">
        <f>IF(L226="","",IFERROR(INDEX('Почасовка — ставки и план'!$E$5:$E$24,MATCH($D226,'Почасовка — ставки и план'!$A$5:$A$24,0)),""))</f>
        <v>950</v>
      </c>
      <c r="Q226" s="15">
        <f t="shared" si="21"/>
        <v>240</v>
      </c>
      <c r="R226" s="13" t="str">
        <f>IF(D226="TEX","аренда техники — сделка/счёт",IF(OR(Q226="",H226="",H226=0),"—",IF(Q226&lt;H226*(1-Параметры!$B$7),"почасовка",IF(Q226&gt;H226*(1+Параметры!$B$7),"сделка","любой способ"))))</f>
        <v>любой способ</v>
      </c>
      <c r="S226">
        <v>0</v>
      </c>
      <c r="T226">
        <v>0</v>
      </c>
    </row>
    <row r="227" spans="1:20" x14ac:dyDescent="0.25">
      <c r="A227" s="13" t="s">
        <v>507</v>
      </c>
      <c r="B227" s="13" t="s">
        <v>508</v>
      </c>
      <c r="C227" s="13" t="s">
        <v>144</v>
      </c>
      <c r="D227" s="13" t="s">
        <v>276</v>
      </c>
      <c r="E227" s="13" t="str">
        <f>IFERROR(INDEX('Почасовка — ставки и план'!$B$5:$B$24,MATCH(D227,'Почасовка — ставки и план'!$A$5:$A$24,0)),"Аренда техники / механизмы")</f>
        <v>Монтажник дверей, окон, перегородок</v>
      </c>
      <c r="F227" s="14">
        <v>200</v>
      </c>
      <c r="G227" s="14">
        <v>230</v>
      </c>
      <c r="H227" s="15">
        <v>120</v>
      </c>
      <c r="I227" s="15">
        <f>IF(OR(H227="",F227=""),"",MAX(H227,MIN(ROUND(H227*(1+Параметры!$B$5),IF(H227*(1+Параметры!$B$5)&gt;=1000,-1,0)),ROUND(F227*Параметры!$B$6,IF(F227*Параметры!$B$6&gt;=1000,-1,0)))))</f>
        <v>138</v>
      </c>
      <c r="J227" s="15">
        <v>138</v>
      </c>
      <c r="K227" s="15">
        <f>IF(OR(J227="",G227=""),"",MAX(J227,MIN(ROUND(J227*(1+Параметры!$B$5),IF(J227*(1+Параметры!$B$5)&gt;=1000,-1,0)),ROUND(G227*Параметры!$B$6,IF(G227*Параметры!$B$6&gt;=1000,-1,0)))))</f>
        <v>159</v>
      </c>
      <c r="L227" s="16">
        <v>0.15</v>
      </c>
      <c r="M227" s="17">
        <f t="shared" si="20"/>
        <v>6.666666666666667</v>
      </c>
      <c r="N227" s="17">
        <f>IF(OR(L227="",L227=0),"",Параметры!$B$3/L227)</f>
        <v>53.333333333333336</v>
      </c>
      <c r="O227" s="15">
        <f>IF(L227="","",IFERROR(INDEX('Почасовка — ставки и план'!$D$5:$D$24,MATCH($D227,'Почасовка — ставки и план'!$A$5:$A$24,0)),""))</f>
        <v>800</v>
      </c>
      <c r="P227" s="15">
        <f>IF(L227="","",IFERROR(INDEX('Почасовка — ставки и план'!$E$5:$E$24,MATCH($D227,'Почасовка — ставки и план'!$A$5:$A$24,0)),""))</f>
        <v>950</v>
      </c>
      <c r="Q227" s="15">
        <f t="shared" si="21"/>
        <v>120</v>
      </c>
      <c r="R227" s="13" t="str">
        <f>IF(D227="TEX","аренда техники — сделка/счёт",IF(OR(Q227="",H227="",H227=0),"—",IF(Q227&lt;H227*(1-Параметры!$B$7),"почасовка",IF(Q227&gt;H227*(1+Параметры!$B$7),"сделка","любой способ"))))</f>
        <v>любой способ</v>
      </c>
      <c r="S227">
        <v>0</v>
      </c>
      <c r="T227">
        <v>0</v>
      </c>
    </row>
    <row r="228" spans="1:20" x14ac:dyDescent="0.25">
      <c r="A228" s="13" t="s">
        <v>509</v>
      </c>
      <c r="B228" s="13" t="s">
        <v>510</v>
      </c>
      <c r="C228" s="13" t="s">
        <v>144</v>
      </c>
      <c r="D228" s="13" t="s">
        <v>276</v>
      </c>
      <c r="E228" s="13" t="str">
        <f>IFERROR(INDEX('Почасовка — ставки и план'!$B$5:$B$24,MATCH(D228,'Почасовка — ставки и план'!$A$5:$A$24,0)),"Аренда техники / механизмы")</f>
        <v>Монтажник дверей, окон, перегородок</v>
      </c>
      <c r="F228" s="14">
        <v>500</v>
      </c>
      <c r="G228" s="14">
        <v>575</v>
      </c>
      <c r="H228" s="15">
        <v>300</v>
      </c>
      <c r="I228" s="15">
        <f>IF(OR(H228="",F228=""),"",MAX(H228,MIN(ROUND(H228*(1+Параметры!$B$5),IF(H228*(1+Параметры!$B$5)&gt;=1000,-1,0)),ROUND(F228*Параметры!$B$6,IF(F228*Параметры!$B$6&gt;=1000,-1,0)))))</f>
        <v>345</v>
      </c>
      <c r="J228" s="15">
        <v>345</v>
      </c>
      <c r="K228" s="15">
        <f>IF(OR(J228="",G228=""),"",MAX(J228,MIN(ROUND(J228*(1+Параметры!$B$5),IF(J228*(1+Параметры!$B$5)&gt;=1000,-1,0)),ROUND(G228*Параметры!$B$6,IF(G228*Параметры!$B$6&gt;=1000,-1,0)))))</f>
        <v>397</v>
      </c>
      <c r="L228" s="16">
        <v>0.4</v>
      </c>
      <c r="M228" s="17">
        <f t="shared" si="20"/>
        <v>2.5</v>
      </c>
      <c r="N228" s="17">
        <f>IF(OR(L228="",L228=0),"",Параметры!$B$3/L228)</f>
        <v>20</v>
      </c>
      <c r="O228" s="15">
        <f>IF(L228="","",IFERROR(INDEX('Почасовка — ставки и план'!$D$5:$D$24,MATCH($D228,'Почасовка — ставки и план'!$A$5:$A$24,0)),""))</f>
        <v>800</v>
      </c>
      <c r="P228" s="15">
        <f>IF(L228="","",IFERROR(INDEX('Почасовка — ставки и план'!$E$5:$E$24,MATCH($D228,'Почасовка — ставки и план'!$A$5:$A$24,0)),""))</f>
        <v>950</v>
      </c>
      <c r="Q228" s="15">
        <f t="shared" si="21"/>
        <v>320</v>
      </c>
      <c r="R228" s="13" t="str">
        <f>IF(D228="TEX","аренда техники — сделка/счёт",IF(OR(Q228="",H228="",H228=0),"—",IF(Q228&lt;H228*(1-Параметры!$B$7),"почасовка",IF(Q228&gt;H228*(1+Параметры!$B$7),"сделка","любой способ"))))</f>
        <v>любой способ</v>
      </c>
      <c r="S228">
        <v>0</v>
      </c>
      <c r="T228">
        <v>0</v>
      </c>
    </row>
    <row r="229" spans="1:20" x14ac:dyDescent="0.25">
      <c r="A229" s="13" t="s">
        <v>511</v>
      </c>
      <c r="B229" s="13" t="s">
        <v>512</v>
      </c>
      <c r="C229" s="13" t="s">
        <v>72</v>
      </c>
      <c r="D229" s="13" t="s">
        <v>276</v>
      </c>
      <c r="E229" s="13" t="str">
        <f>IFERROR(INDEX('Почасовка — ставки и план'!$B$5:$B$24,MATCH(D229,'Почасовка — ставки и план'!$A$5:$A$24,0)),"Аренда техники / механизмы")</f>
        <v>Монтажник дверей, окон, перегородок</v>
      </c>
      <c r="F229" s="14">
        <v>640</v>
      </c>
      <c r="G229" s="14">
        <v>760</v>
      </c>
      <c r="H229" s="15">
        <v>300</v>
      </c>
      <c r="I229" s="15">
        <f>IF(OR(H229="",F229=""),"",MAX(H229,MIN(ROUND(H229*(1+Параметры!$B$5),IF(H229*(1+Параметры!$B$5)&gt;=1000,-1,0)),ROUND(F229*Параметры!$B$6,IF(F229*Параметры!$B$6&gt;=1000,-1,0)))))</f>
        <v>345</v>
      </c>
      <c r="J229" s="15">
        <v>345</v>
      </c>
      <c r="K229" s="15">
        <f>IF(OR(J229="",G229=""),"",MAX(J229,MIN(ROUND(J229*(1+Параметры!$B$5),IF(J229*(1+Параметры!$B$5)&gt;=1000,-1,0)),ROUND(G229*Параметры!$B$6,IF(G229*Параметры!$B$6&gt;=1000,-1,0)))))</f>
        <v>397</v>
      </c>
      <c r="L229" s="16">
        <v>0.6</v>
      </c>
      <c r="M229" s="17">
        <f t="shared" si="20"/>
        <v>1.6666666666666667</v>
      </c>
      <c r="N229" s="17">
        <f>IF(OR(L229="",L229=0),"",Параметры!$B$3/L229)</f>
        <v>13.333333333333334</v>
      </c>
      <c r="O229" s="15">
        <f>IF(L229="","",IFERROR(INDEX('Почасовка — ставки и план'!$D$5:$D$24,MATCH($D229,'Почасовка — ставки и план'!$A$5:$A$24,0)),""))</f>
        <v>800</v>
      </c>
      <c r="P229" s="15">
        <f>IF(L229="","",IFERROR(INDEX('Почасовка — ставки и план'!$E$5:$E$24,MATCH($D229,'Почасовка — ставки и план'!$A$5:$A$24,0)),""))</f>
        <v>950</v>
      </c>
      <c r="Q229" s="15">
        <f t="shared" si="21"/>
        <v>480</v>
      </c>
      <c r="R229" s="13" t="str">
        <f>IF(D229="TEX","аренда техники — сделка/счёт",IF(OR(Q229="",H229="",H229=0),"—",IF(Q229&lt;H229*(1-Параметры!$B$7),"почасовка",IF(Q229&gt;H229*(1+Параметры!$B$7),"сделка","любой способ"))))</f>
        <v>сделка</v>
      </c>
      <c r="S229">
        <v>0.28000000000000003</v>
      </c>
      <c r="T229">
        <v>0.32173913043478253</v>
      </c>
    </row>
    <row r="230" spans="1:20" x14ac:dyDescent="0.25">
      <c r="A230" s="13" t="s">
        <v>513</v>
      </c>
      <c r="B230" s="13" t="s">
        <v>514</v>
      </c>
      <c r="C230" s="13" t="s">
        <v>144</v>
      </c>
      <c r="D230" s="13" t="s">
        <v>276</v>
      </c>
      <c r="E230" s="13" t="str">
        <f>IFERROR(INDEX('Почасовка — ставки и план'!$B$5:$B$24,MATCH(D230,'Почасовка — ставки и план'!$A$5:$A$24,0)),"Аренда техники / механизмы")</f>
        <v>Монтажник дверей, окон, перегородок</v>
      </c>
      <c r="F230" s="14">
        <v>1494</v>
      </c>
      <c r="G230" s="14">
        <v>1774</v>
      </c>
      <c r="H230" s="15">
        <v>720</v>
      </c>
      <c r="I230" s="15">
        <f>IF(OR(H230="",F230=""),"",MAX(H230,MIN(ROUND(H230*(1+Параметры!$B$5),IF(H230*(1+Параметры!$B$5)&gt;=1000,-1,0)),ROUND(F230*Параметры!$B$6,IF(F230*Параметры!$B$6&gt;=1000,-1,0)))))</f>
        <v>828</v>
      </c>
      <c r="J230" s="15">
        <v>828</v>
      </c>
      <c r="K230" s="15">
        <f>IF(OR(J230="",G230=""),"",MAX(J230,MIN(ROUND(J230*(1+Параметры!$B$5),IF(J230*(1+Параметры!$B$5)&gt;=1000,-1,0)),ROUND(G230*Параметры!$B$6,IF(G230*Параметры!$B$6&gt;=1000,-1,0)))))</f>
        <v>952</v>
      </c>
      <c r="L230" s="16">
        <v>1.4</v>
      </c>
      <c r="M230" s="17">
        <f t="shared" si="20"/>
        <v>0.7142857142857143</v>
      </c>
      <c r="N230" s="17">
        <f>IF(OR(L230="",L230=0),"",Параметры!$B$3/L230)</f>
        <v>5.7142857142857144</v>
      </c>
      <c r="O230" s="15">
        <f>IF(L230="","",IFERROR(INDEX('Почасовка — ставки и план'!$D$5:$D$24,MATCH($D230,'Почасовка — ставки и план'!$A$5:$A$24,0)),""))</f>
        <v>800</v>
      </c>
      <c r="P230" s="15">
        <f>IF(L230="","",IFERROR(INDEX('Почасовка — ставки и план'!$E$5:$E$24,MATCH($D230,'Почасовка — ставки и план'!$A$5:$A$24,0)),""))</f>
        <v>950</v>
      </c>
      <c r="Q230" s="15">
        <f t="shared" si="21"/>
        <v>1120</v>
      </c>
      <c r="R230" s="13" t="str">
        <f>IF(D230="TEX","аренда техники — сделка/счёт",IF(OR(Q230="",H230="",H230=0),"—",IF(Q230&lt;H230*(1-Параметры!$B$7),"почасовка",IF(Q230&gt;H230*(1+Параметры!$B$7),"сделка","любой способ"))))</f>
        <v>сделка</v>
      </c>
      <c r="S230">
        <v>0.24500000000000011</v>
      </c>
      <c r="T230">
        <v>0.28550724637681157</v>
      </c>
    </row>
    <row r="231" spans="1:20" x14ac:dyDescent="0.25">
      <c r="A231" s="13" t="s">
        <v>515</v>
      </c>
      <c r="B231" s="13" t="s">
        <v>516</v>
      </c>
      <c r="C231" s="13" t="s">
        <v>144</v>
      </c>
      <c r="D231" s="13" t="s">
        <v>276</v>
      </c>
      <c r="E231" s="13" t="str">
        <f>IFERROR(INDEX('Почасовка — ставки и план'!$B$5:$B$24,MATCH(D231,'Почасовка — ставки и план'!$A$5:$A$24,0)),"Аренда техники / механизмы")</f>
        <v>Монтажник дверей, окон, перегородок</v>
      </c>
      <c r="F231" s="14">
        <v>1280</v>
      </c>
      <c r="G231" s="14">
        <v>1520</v>
      </c>
      <c r="H231" s="15">
        <v>720</v>
      </c>
      <c r="I231" s="15">
        <f>IF(OR(H231="",F231=""),"",MAX(H231,MIN(ROUND(H231*(1+Параметры!$B$5),IF(H231*(1+Параметры!$B$5)&gt;=1000,-1,0)),ROUND(F231*Параметры!$B$6,IF(F231*Параметры!$B$6&gt;=1000,-1,0)))))</f>
        <v>828</v>
      </c>
      <c r="J231" s="15">
        <v>828</v>
      </c>
      <c r="K231" s="15">
        <f>IF(OR(J231="",G231=""),"",MAX(J231,MIN(ROUND(J231*(1+Параметры!$B$5),IF(J231*(1+Параметры!$B$5)&gt;=1000,-1,0)),ROUND(G231*Параметры!$B$6,IF(G231*Параметры!$B$6&gt;=1000,-1,0)))))</f>
        <v>952</v>
      </c>
      <c r="L231" s="16">
        <v>1.2</v>
      </c>
      <c r="M231" s="17">
        <f t="shared" si="20"/>
        <v>0.83333333333333337</v>
      </c>
      <c r="N231" s="17">
        <f>IF(OR(L231="",L231=0),"",Параметры!$B$3/L231)</f>
        <v>6.666666666666667</v>
      </c>
      <c r="O231" s="15">
        <f>IF(L231="","",IFERROR(INDEX('Почасовка — ставки и план'!$D$5:$D$24,MATCH($D231,'Почасовка — ставки и план'!$A$5:$A$24,0)),""))</f>
        <v>800</v>
      </c>
      <c r="P231" s="15">
        <f>IF(L231="","",IFERROR(INDEX('Почасовка — ставки и план'!$E$5:$E$24,MATCH($D231,'Почасовка — ставки и план'!$A$5:$A$24,0)),""))</f>
        <v>950</v>
      </c>
      <c r="Q231" s="15">
        <f t="shared" si="21"/>
        <v>960</v>
      </c>
      <c r="R231" s="13" t="str">
        <f>IF(D231="TEX","аренда техники — сделка/счёт",IF(OR(Q231="",H231="",H231=0),"—",IF(Q231&lt;H231*(1-Параметры!$B$7),"почасовка",IF(Q231&gt;H231*(1+Параметры!$B$7),"сделка","любой способ"))))</f>
        <v>сделка</v>
      </c>
      <c r="S231">
        <v>6.6666666666666652E-2</v>
      </c>
      <c r="T231">
        <v>0.10144927536231881</v>
      </c>
    </row>
    <row r="232" spans="1:20" x14ac:dyDescent="0.25">
      <c r="A232" s="13" t="s">
        <v>517</v>
      </c>
      <c r="B232" s="13" t="s">
        <v>518</v>
      </c>
      <c r="C232" s="13" t="s">
        <v>144</v>
      </c>
      <c r="D232" s="13" t="s">
        <v>276</v>
      </c>
      <c r="E232" s="13" t="str">
        <f>IFERROR(INDEX('Почасовка — ставки и план'!$B$5:$B$24,MATCH(D232,'Почасовка — ставки и план'!$A$5:$A$24,0)),"Аренда техники / механизмы")</f>
        <v>Монтажник дверей, окон, перегородок</v>
      </c>
      <c r="F232" s="14">
        <v>160</v>
      </c>
      <c r="G232" s="14">
        <v>191</v>
      </c>
      <c r="H232" s="15">
        <v>90</v>
      </c>
      <c r="I232" s="15">
        <f>IF(OR(H232="",F232=""),"",MAX(H232,MIN(ROUND(H232*(1+Параметры!$B$5),IF(H232*(1+Параметры!$B$5)&gt;=1000,-1,0)),ROUND(F232*Параметры!$B$6,IF(F232*Параметры!$B$6&gt;=1000,-1,0)))))</f>
        <v>104</v>
      </c>
      <c r="J232" s="15">
        <v>103</v>
      </c>
      <c r="K232" s="15">
        <f>IF(OR(J232="",G232=""),"",MAX(J232,MIN(ROUND(J232*(1+Параметры!$B$5),IF(J232*(1+Параметры!$B$5)&gt;=1000,-1,0)),ROUND(G232*Параметры!$B$6,IF(G232*Параметры!$B$6&gt;=1000,-1,0)))))</f>
        <v>118</v>
      </c>
      <c r="L232" s="16">
        <v>0.15</v>
      </c>
      <c r="M232" s="17">
        <f t="shared" si="20"/>
        <v>6.666666666666667</v>
      </c>
      <c r="N232" s="17">
        <f>IF(OR(L232="",L232=0),"",Параметры!$B$3/L232)</f>
        <v>53.333333333333336</v>
      </c>
      <c r="O232" s="15">
        <f>IF(L232="","",IFERROR(INDEX('Почасовка — ставки и план'!$D$5:$D$24,MATCH($D232,'Почасовка — ставки и план'!$A$5:$A$24,0)),""))</f>
        <v>800</v>
      </c>
      <c r="P232" s="15">
        <f>IF(L232="","",IFERROR(INDEX('Почасовка — ставки и план'!$E$5:$E$24,MATCH($D232,'Почасовка — ставки и план'!$A$5:$A$24,0)),""))</f>
        <v>950</v>
      </c>
      <c r="Q232" s="15">
        <f t="shared" si="21"/>
        <v>120</v>
      </c>
      <c r="R232" s="13" t="str">
        <f>IF(D232="TEX","аренда техники — сделка/счёт",IF(OR(Q232="",H232="",H232=0),"—",IF(Q232&lt;H232*(1-Параметры!$B$7),"почасовка",IF(Q232&gt;H232*(1+Параметры!$B$7),"сделка","любой способ"))))</f>
        <v>сделка</v>
      </c>
      <c r="S232">
        <v>6.6666666666666652E-2</v>
      </c>
      <c r="T232">
        <v>0.1104651162790697</v>
      </c>
    </row>
    <row r="233" spans="1:20" x14ac:dyDescent="0.25">
      <c r="A233" s="13" t="s">
        <v>519</v>
      </c>
      <c r="B233" s="13" t="s">
        <v>520</v>
      </c>
      <c r="C233" s="13" t="s">
        <v>144</v>
      </c>
      <c r="D233" s="13" t="s">
        <v>276</v>
      </c>
      <c r="E233" s="13" t="str">
        <f>IFERROR(INDEX('Почасовка — ставки и план'!$B$5:$B$24,MATCH(D233,'Почасовка — ставки и план'!$A$5:$A$24,0)),"Аренда техники / механизмы")</f>
        <v>Монтажник дверей, окон, перегородок</v>
      </c>
      <c r="F233" s="14">
        <v>600</v>
      </c>
      <c r="G233" s="14">
        <v>690</v>
      </c>
      <c r="H233" s="15">
        <v>360</v>
      </c>
      <c r="I233" s="15">
        <f>IF(OR(H233="",F233=""),"",MAX(H233,MIN(ROUND(H233*(1+Параметры!$B$5),IF(H233*(1+Параметры!$B$5)&gt;=1000,-1,0)),ROUND(F233*Параметры!$B$6,IF(F233*Параметры!$B$6&gt;=1000,-1,0)))))</f>
        <v>414</v>
      </c>
      <c r="J233" s="15">
        <v>414</v>
      </c>
      <c r="K233" s="15">
        <f>IF(OR(J233="",G233=""),"",MAX(J233,MIN(ROUND(J233*(1+Параметры!$B$5),IF(J233*(1+Параметры!$B$5)&gt;=1000,-1,0)),ROUND(G233*Параметры!$B$6,IF(G233*Параметры!$B$6&gt;=1000,-1,0)))))</f>
        <v>476</v>
      </c>
      <c r="L233" s="16">
        <v>0.5</v>
      </c>
      <c r="M233" s="17">
        <f t="shared" si="20"/>
        <v>2</v>
      </c>
      <c r="N233" s="17">
        <f>IF(OR(L233="",L233=0),"",Параметры!$B$3/L233)</f>
        <v>16</v>
      </c>
      <c r="O233" s="15">
        <f>IF(L233="","",IFERROR(INDEX('Почасовка — ставки и план'!$D$5:$D$24,MATCH($D233,'Почасовка — ставки и план'!$A$5:$A$24,0)),""))</f>
        <v>800</v>
      </c>
      <c r="P233" s="15">
        <f>IF(L233="","",IFERROR(INDEX('Почасовка — ставки и план'!$E$5:$E$24,MATCH($D233,'Почасовка — ставки и план'!$A$5:$A$24,0)),""))</f>
        <v>950</v>
      </c>
      <c r="Q233" s="15">
        <f t="shared" si="21"/>
        <v>400</v>
      </c>
      <c r="R233" s="13" t="str">
        <f>IF(D233="TEX","аренда техники — сделка/счёт",IF(OR(Q233="",H233="",H233=0),"—",IF(Q233&lt;H233*(1-Параметры!$B$7),"почасовка",IF(Q233&gt;H233*(1+Параметры!$B$7),"сделка","любой способ"))))</f>
        <v>сделка</v>
      </c>
      <c r="S233">
        <v>0</v>
      </c>
      <c r="T233">
        <v>0</v>
      </c>
    </row>
    <row r="234" spans="1:20" x14ac:dyDescent="0.25">
      <c r="A234" s="13" t="s">
        <v>521</v>
      </c>
      <c r="B234" s="13" t="s">
        <v>522</v>
      </c>
      <c r="C234" s="13" t="s">
        <v>144</v>
      </c>
      <c r="D234" s="13" t="s">
        <v>276</v>
      </c>
      <c r="E234" s="13" t="str">
        <f>IFERROR(INDEX('Почасовка — ставки и план'!$B$5:$B$24,MATCH(D234,'Почасовка — ставки и план'!$A$5:$A$24,0)),"Аренда техники / механизмы")</f>
        <v>Монтажник дверей, окон, перегородок</v>
      </c>
      <c r="F234" s="14">
        <v>250</v>
      </c>
      <c r="G234" s="14">
        <v>288</v>
      </c>
      <c r="H234" s="15">
        <v>150</v>
      </c>
      <c r="I234" s="15">
        <f>IF(OR(H234="",F234=""),"",MAX(H234,MIN(ROUND(H234*(1+Параметры!$B$5),IF(H234*(1+Параметры!$B$5)&gt;=1000,-1,0)),ROUND(F234*Параметры!$B$6,IF(F234*Параметры!$B$6&gt;=1000,-1,0)))))</f>
        <v>173</v>
      </c>
      <c r="J234" s="15">
        <v>172</v>
      </c>
      <c r="K234" s="15">
        <f>IF(OR(J234="",G234=""),"",MAX(J234,MIN(ROUND(J234*(1+Параметры!$B$5),IF(J234*(1+Параметры!$B$5)&gt;=1000,-1,0)),ROUND(G234*Параметры!$B$6,IF(G234*Параметры!$B$6&gt;=1000,-1,0)))))</f>
        <v>198</v>
      </c>
      <c r="L234" s="16">
        <v>0.2</v>
      </c>
      <c r="M234" s="17">
        <f t="shared" si="20"/>
        <v>5</v>
      </c>
      <c r="N234" s="17">
        <f>IF(OR(L234="",L234=0),"",Параметры!$B$3/L234)</f>
        <v>40</v>
      </c>
      <c r="O234" s="15">
        <f>IF(L234="","",IFERROR(INDEX('Почасовка — ставки и план'!$D$5:$D$24,MATCH($D234,'Почасовка — ставки и план'!$A$5:$A$24,0)),""))</f>
        <v>800</v>
      </c>
      <c r="P234" s="15">
        <f>IF(L234="","",IFERROR(INDEX('Почасовка — ставки и план'!$E$5:$E$24,MATCH($D234,'Почасовка — ставки и план'!$A$5:$A$24,0)),""))</f>
        <v>950</v>
      </c>
      <c r="Q234" s="15">
        <f t="shared" si="21"/>
        <v>160</v>
      </c>
      <c r="R234" s="13" t="str">
        <f>IF(D234="TEX","аренда техники — сделка/счёт",IF(OR(Q234="",H234="",H234=0),"—",IF(Q234&lt;H234*(1-Параметры!$B$7),"почасовка",IF(Q234&gt;H234*(1+Параметры!$B$7),"сделка","любой способ"))))</f>
        <v>любой способ</v>
      </c>
      <c r="S234">
        <v>0</v>
      </c>
      <c r="T234">
        <v>0</v>
      </c>
    </row>
    <row r="235" spans="1:20" x14ac:dyDescent="0.25">
      <c r="A235" s="13" t="s">
        <v>523</v>
      </c>
      <c r="B235" s="13" t="s">
        <v>524</v>
      </c>
      <c r="C235" s="13" t="s">
        <v>72</v>
      </c>
      <c r="D235" s="13" t="s">
        <v>60</v>
      </c>
      <c r="E235" s="13" t="str">
        <f>IFERROR(INDEX('Почасовка — ставки и план'!$B$5:$B$24,MATCH(D235,'Почасовка — ставки и план'!$A$5:$A$24,0)),"Аренда техники / механизмы")</f>
        <v>Разнорабочий / демонтажник</v>
      </c>
      <c r="F235" s="14">
        <v>1500</v>
      </c>
      <c r="G235" s="14">
        <v>1760</v>
      </c>
      <c r="H235" s="15">
        <v>900</v>
      </c>
      <c r="I235" s="15">
        <f>IF(OR(H235="",F235=""),"",MAX(H235,MIN(ROUND(H235*(1+Параметры!$B$5),IF(H235*(1+Параметры!$B$5)&gt;=1000,-1,0)),ROUND(F235*Параметры!$B$6,IF(F235*Параметры!$B$6&gt;=1000,-1,0)))))</f>
        <v>1040</v>
      </c>
      <c r="J235" s="15">
        <v>1035</v>
      </c>
      <c r="K235" s="15">
        <f>IF(OR(J235="",G235=""),"",MAX(J235,MIN(ROUND(J235*(1+Параметры!$B$5),IF(J235*(1+Параметры!$B$5)&gt;=1000,-1,0)),ROUND(G235*Параметры!$B$6,IF(G235*Параметры!$B$6&gt;=1000,-1,0)))))</f>
        <v>1190</v>
      </c>
      <c r="L235" s="16">
        <v>2</v>
      </c>
      <c r="M235" s="17">
        <f t="shared" si="20"/>
        <v>0.5</v>
      </c>
      <c r="N235" s="17">
        <f>IF(OR(L235="",L235=0),"",Параметры!$B$3/L235)</f>
        <v>4</v>
      </c>
      <c r="O235" s="15">
        <f>IF(L235="","",IFERROR(INDEX('Почасовка — ставки и план'!$D$5:$D$24,MATCH($D235,'Почасовка — ставки и план'!$A$5:$A$24,0)),""))</f>
        <v>550</v>
      </c>
      <c r="P235" s="15">
        <f>IF(L235="","",IFERROR(INDEX('Почасовка — ставки и план'!$E$5:$E$24,MATCH($D235,'Почасовка — ставки и план'!$A$5:$A$24,0)),""))</f>
        <v>660</v>
      </c>
      <c r="Q235" s="15">
        <f t="shared" si="21"/>
        <v>1100</v>
      </c>
      <c r="R235" s="13" t="str">
        <f>IF(D235="TEX","аренда техники — сделка/счёт",IF(OR(Q235="",H235="",H235=0),"—",IF(Q235&lt;H235*(1-Параметры!$B$7),"почасовка",IF(Q235&gt;H235*(1+Параметры!$B$7),"сделка","любой способ"))))</f>
        <v>сделка</v>
      </c>
      <c r="S235">
        <v>0</v>
      </c>
      <c r="T235">
        <v>2.0289855072463722E-2</v>
      </c>
    </row>
    <row r="236" spans="1:20" x14ac:dyDescent="0.25">
      <c r="A236" s="13" t="s">
        <v>525</v>
      </c>
      <c r="B236" s="13" t="s">
        <v>526</v>
      </c>
      <c r="C236" s="13" t="s">
        <v>72</v>
      </c>
      <c r="D236" s="13" t="s">
        <v>276</v>
      </c>
      <c r="E236" s="13" t="str">
        <f>IFERROR(INDEX('Почасовка — ставки и план'!$B$5:$B$24,MATCH(D236,'Почасовка — ставки и план'!$A$5:$A$24,0)),"Аренда техники / механизмы")</f>
        <v>Монтажник дверей, окон, перегородок</v>
      </c>
      <c r="F236" s="14">
        <v>747</v>
      </c>
      <c r="G236" s="14">
        <v>887</v>
      </c>
      <c r="H236" s="15">
        <v>360</v>
      </c>
      <c r="I236" s="15">
        <f>IF(OR(H236="",F236=""),"",MAX(H236,MIN(ROUND(H236*(1+Параметры!$B$5),IF(H236*(1+Параметры!$B$5)&gt;=1000,-1,0)),ROUND(F236*Параметры!$B$6,IF(F236*Параметры!$B$6&gt;=1000,-1,0)))))</f>
        <v>414</v>
      </c>
      <c r="J236" s="15">
        <v>414</v>
      </c>
      <c r="K236" s="15">
        <f>IF(OR(J236="",G236=""),"",MAX(J236,MIN(ROUND(J236*(1+Параметры!$B$5),IF(J236*(1+Параметры!$B$5)&gt;=1000,-1,0)),ROUND(G236*Параметры!$B$6,IF(G236*Параметры!$B$6&gt;=1000,-1,0)))))</f>
        <v>476</v>
      </c>
      <c r="L236" s="16">
        <v>0.7</v>
      </c>
      <c r="M236" s="17">
        <f t="shared" si="20"/>
        <v>1.4285714285714286</v>
      </c>
      <c r="N236" s="17">
        <f>IF(OR(L236="",L236=0),"",Параметры!$B$3/L236)</f>
        <v>11.428571428571429</v>
      </c>
      <c r="O236" s="15">
        <f>IF(L236="","",IFERROR(INDEX('Почасовка — ставки и план'!$D$5:$D$24,MATCH($D236,'Почасовка — ставки и план'!$A$5:$A$24,0)),""))</f>
        <v>800</v>
      </c>
      <c r="P236" s="15">
        <f>IF(L236="","",IFERROR(INDEX('Почасовка — ставки и план'!$E$5:$E$24,MATCH($D236,'Почасовка — ставки и план'!$A$5:$A$24,0)),""))</f>
        <v>950</v>
      </c>
      <c r="Q236" s="15">
        <f t="shared" si="21"/>
        <v>560</v>
      </c>
      <c r="R236" s="13" t="str">
        <f>IF(D236="TEX","аренда техники — сделка/счёт",IF(OR(Q236="",H236="",H236=0),"—",IF(Q236&lt;H236*(1-Параметры!$B$7),"почасовка",IF(Q236&gt;H236*(1+Параметры!$B$7),"сделка","любой способ"))))</f>
        <v>сделка</v>
      </c>
      <c r="S236">
        <v>0.24500000000000011</v>
      </c>
      <c r="T236">
        <v>0.28550724637681157</v>
      </c>
    </row>
    <row r="237" spans="1:20" x14ac:dyDescent="0.25">
      <c r="A237" s="13" t="s">
        <v>527</v>
      </c>
      <c r="B237" s="13" t="s">
        <v>528</v>
      </c>
      <c r="C237" s="13" t="s">
        <v>72</v>
      </c>
      <c r="D237" s="13" t="s">
        <v>276</v>
      </c>
      <c r="E237" s="13" t="str">
        <f>IFERROR(INDEX('Почасовка — ставки и план'!$B$5:$B$24,MATCH(D237,'Почасовка — ставки и план'!$A$5:$A$24,0)),"Аренда техники / механизмы")</f>
        <v>Монтажник дверей, окон, перегородок</v>
      </c>
      <c r="F237" s="14">
        <v>427</v>
      </c>
      <c r="G237" s="14">
        <v>507</v>
      </c>
      <c r="H237" s="15">
        <v>240</v>
      </c>
      <c r="I237" s="15">
        <f>IF(OR(H237="",F237=""),"",MAX(H237,MIN(ROUND(H237*(1+Параметры!$B$5),IF(H237*(1+Параметры!$B$5)&gt;=1000,-1,0)),ROUND(F237*Параметры!$B$6,IF(F237*Параметры!$B$6&gt;=1000,-1,0)))))</f>
        <v>276</v>
      </c>
      <c r="J237" s="15">
        <v>276</v>
      </c>
      <c r="K237" s="15">
        <f>IF(OR(J237="",G237=""),"",MAX(J237,MIN(ROUND(J237*(1+Параметры!$B$5),IF(J237*(1+Параметры!$B$5)&gt;=1000,-1,0)),ROUND(G237*Параметры!$B$6,IF(G237*Параметры!$B$6&gt;=1000,-1,0)))))</f>
        <v>317</v>
      </c>
      <c r="L237" s="16">
        <v>0.4</v>
      </c>
      <c r="M237" s="17">
        <f t="shared" si="20"/>
        <v>2.5</v>
      </c>
      <c r="N237" s="17">
        <f>IF(OR(L237="",L237=0),"",Параметры!$B$3/L237)</f>
        <v>20</v>
      </c>
      <c r="O237" s="15">
        <f>IF(L237="","",IFERROR(INDEX('Почасовка — ставки и план'!$D$5:$D$24,MATCH($D237,'Почасовка — ставки и план'!$A$5:$A$24,0)),""))</f>
        <v>800</v>
      </c>
      <c r="P237" s="15">
        <f>IF(L237="","",IFERROR(INDEX('Почасовка — ставки и план'!$E$5:$E$24,MATCH($D237,'Почасовка — ставки и план'!$A$5:$A$24,0)),""))</f>
        <v>950</v>
      </c>
      <c r="Q237" s="15">
        <f t="shared" si="21"/>
        <v>320</v>
      </c>
      <c r="R237" s="13" t="str">
        <f>IF(D237="TEX","аренда техники — сделка/счёт",IF(OR(Q237="",H237="",H237=0),"—",IF(Q237&lt;H237*(1-Параметры!$B$7),"почасовка",IF(Q237&gt;H237*(1+Параметры!$B$7),"сделка","любой способ"))))</f>
        <v>сделка</v>
      </c>
      <c r="S237">
        <v>6.7499999999999893E-2</v>
      </c>
      <c r="T237">
        <v>0.1021739130434782</v>
      </c>
    </row>
    <row r="238" spans="1:20" x14ac:dyDescent="0.25">
      <c r="A238" s="13" t="s">
        <v>529</v>
      </c>
      <c r="B238" s="13" t="s">
        <v>530</v>
      </c>
      <c r="C238" s="13" t="s">
        <v>144</v>
      </c>
      <c r="D238" s="13" t="s">
        <v>276</v>
      </c>
      <c r="E238" s="13" t="str">
        <f>IFERROR(INDEX('Почасовка — ставки и план'!$B$5:$B$24,MATCH(D238,'Почасовка — ставки и план'!$A$5:$A$24,0)),"Аренда техники / механизмы")</f>
        <v>Монтажник дверей, окон, перегородок</v>
      </c>
      <c r="F238" s="14">
        <v>800</v>
      </c>
      <c r="G238" s="14">
        <v>920</v>
      </c>
      <c r="H238" s="15">
        <v>480</v>
      </c>
      <c r="I238" s="15">
        <f>IF(OR(H238="",F238=""),"",MAX(H238,MIN(ROUND(H238*(1+Параметры!$B$5),IF(H238*(1+Параметры!$B$5)&gt;=1000,-1,0)),ROUND(F238*Параметры!$B$6,IF(F238*Параметры!$B$6&gt;=1000,-1,0)))))</f>
        <v>552</v>
      </c>
      <c r="J238" s="15">
        <v>552</v>
      </c>
      <c r="K238" s="15">
        <f>IF(OR(J238="",G238=""),"",MAX(J238,MIN(ROUND(J238*(1+Параметры!$B$5),IF(J238*(1+Параметры!$B$5)&gt;=1000,-1,0)),ROUND(G238*Параметры!$B$6,IF(G238*Параметры!$B$6&gt;=1000,-1,0)))))</f>
        <v>635</v>
      </c>
      <c r="L238" s="16">
        <v>0.7</v>
      </c>
      <c r="M238" s="17">
        <f t="shared" si="20"/>
        <v>1.4285714285714286</v>
      </c>
      <c r="N238" s="17">
        <f>IF(OR(L238="",L238=0),"",Параметры!$B$3/L238)</f>
        <v>11.428571428571429</v>
      </c>
      <c r="O238" s="15">
        <f>IF(L238="","",IFERROR(INDEX('Почасовка — ставки и план'!$D$5:$D$24,MATCH($D238,'Почасовка — ставки и план'!$A$5:$A$24,0)),""))</f>
        <v>800</v>
      </c>
      <c r="P238" s="15">
        <f>IF(L238="","",IFERROR(INDEX('Почасовка — ставки и план'!$E$5:$E$24,MATCH($D238,'Почасовка — ставки и план'!$A$5:$A$24,0)),""))</f>
        <v>950</v>
      </c>
      <c r="Q238" s="15">
        <f t="shared" si="21"/>
        <v>560</v>
      </c>
      <c r="R238" s="13" t="str">
        <f>IF(D238="TEX","аренда техники — сделка/счёт",IF(OR(Q238="",H238="",H238=0),"—",IF(Q238&lt;H238*(1-Параметры!$B$7),"почасовка",IF(Q238&gt;H238*(1+Параметры!$B$7),"сделка","любой способ"))))</f>
        <v>сделка</v>
      </c>
      <c r="S238">
        <v>0</v>
      </c>
      <c r="T238">
        <v>0</v>
      </c>
    </row>
    <row r="239" spans="1:20" x14ac:dyDescent="0.25">
      <c r="A239" s="13" t="s">
        <v>531</v>
      </c>
      <c r="B239" s="13" t="s">
        <v>532</v>
      </c>
      <c r="C239" s="13" t="s">
        <v>72</v>
      </c>
      <c r="D239" s="13" t="s">
        <v>276</v>
      </c>
      <c r="E239" s="13" t="str">
        <f>IFERROR(INDEX('Почасовка — ставки и план'!$B$5:$B$24,MATCH(D239,'Почасовка — ставки и план'!$A$5:$A$24,0)),"Аренда техники / механизмы")</f>
        <v>Монтажник дверей, окон, перегородок</v>
      </c>
      <c r="F239" s="14">
        <v>854</v>
      </c>
      <c r="G239" s="14">
        <v>1014</v>
      </c>
      <c r="H239" s="15">
        <v>420</v>
      </c>
      <c r="I239" s="15">
        <f>IF(OR(H239="",F239=""),"",MAX(H239,MIN(ROUND(H239*(1+Параметры!$B$5),IF(H239*(1+Параметры!$B$5)&gt;=1000,-1,0)),ROUND(F239*Параметры!$B$6,IF(F239*Параметры!$B$6&gt;=1000,-1,0)))))</f>
        <v>483</v>
      </c>
      <c r="J239" s="15">
        <v>483</v>
      </c>
      <c r="K239" s="15">
        <f>IF(OR(J239="",G239=""),"",MAX(J239,MIN(ROUND(J239*(1+Параметры!$B$5),IF(J239*(1+Параметры!$B$5)&gt;=1000,-1,0)),ROUND(G239*Параметры!$B$6,IF(G239*Параметры!$B$6&gt;=1000,-1,0)))))</f>
        <v>555</v>
      </c>
      <c r="L239" s="16">
        <v>0.8</v>
      </c>
      <c r="M239" s="17">
        <f t="shared" si="20"/>
        <v>1.25</v>
      </c>
      <c r="N239" s="17">
        <f>IF(OR(L239="",L239=0),"",Параметры!$B$3/L239)</f>
        <v>10</v>
      </c>
      <c r="O239" s="15">
        <f>IF(L239="","",IFERROR(INDEX('Почасовка — ставки и план'!$D$5:$D$24,MATCH($D239,'Почасовка — ставки и план'!$A$5:$A$24,0)),""))</f>
        <v>800</v>
      </c>
      <c r="P239" s="15">
        <f>IF(L239="","",IFERROR(INDEX('Почасовка — ставки и план'!$E$5:$E$24,MATCH($D239,'Почасовка — ставки и план'!$A$5:$A$24,0)),""))</f>
        <v>950</v>
      </c>
      <c r="Q239" s="15">
        <f t="shared" si="21"/>
        <v>640</v>
      </c>
      <c r="R239" s="13" t="str">
        <f>IF(D239="TEX","аренда техники — сделка/счёт",IF(OR(Q239="",H239="",H239=0),"—",IF(Q239&lt;H239*(1-Параметры!$B$7),"почасовка",IF(Q239&gt;H239*(1+Параметры!$B$7),"сделка","любой способ"))))</f>
        <v>сделка</v>
      </c>
      <c r="S239">
        <v>0.22</v>
      </c>
      <c r="T239">
        <v>0.25962732919254661</v>
      </c>
    </row>
    <row r="240" spans="1:20" x14ac:dyDescent="0.25">
      <c r="A240" s="13" t="s">
        <v>533</v>
      </c>
      <c r="B240" s="13" t="s">
        <v>534</v>
      </c>
      <c r="C240" s="13" t="s">
        <v>72</v>
      </c>
      <c r="D240" s="13" t="s">
        <v>276</v>
      </c>
      <c r="E240" s="13" t="str">
        <f>IFERROR(INDEX('Почасовка — ставки и план'!$B$5:$B$24,MATCH(D240,'Почасовка — ставки и план'!$A$5:$A$24,0)),"Аренда техники / механизмы")</f>
        <v>Монтажник дверей, окон, перегородок</v>
      </c>
      <c r="F240" s="14">
        <v>534</v>
      </c>
      <c r="G240" s="14">
        <v>634</v>
      </c>
      <c r="H240" s="15">
        <v>270</v>
      </c>
      <c r="I240" s="15">
        <f>IF(OR(H240="",F240=""),"",MAX(H240,MIN(ROUND(H240*(1+Параметры!$B$5),IF(H240*(1+Параметры!$B$5)&gt;=1000,-1,0)),ROUND(F240*Параметры!$B$6,IF(F240*Параметры!$B$6&gt;=1000,-1,0)))))</f>
        <v>311</v>
      </c>
      <c r="J240" s="15">
        <v>310</v>
      </c>
      <c r="K240" s="15">
        <f>IF(OR(J240="",G240=""),"",MAX(J240,MIN(ROUND(J240*(1+Параметры!$B$5),IF(J240*(1+Параметры!$B$5)&gt;=1000,-1,0)),ROUND(G240*Параметры!$B$6,IF(G240*Параметры!$B$6&gt;=1000,-1,0)))))</f>
        <v>357</v>
      </c>
      <c r="L240" s="16">
        <v>0.5</v>
      </c>
      <c r="M240" s="17">
        <f t="shared" si="20"/>
        <v>2</v>
      </c>
      <c r="N240" s="17">
        <f>IF(OR(L240="",L240=0),"",Параметры!$B$3/L240)</f>
        <v>16</v>
      </c>
      <c r="O240" s="15">
        <f>IF(L240="","",IFERROR(INDEX('Почасовка — ставки и план'!$D$5:$D$24,MATCH($D240,'Почасовка — ставки и план'!$A$5:$A$24,0)),""))</f>
        <v>800</v>
      </c>
      <c r="P240" s="15">
        <f>IF(L240="","",IFERROR(INDEX('Почасовка — ставки и план'!$E$5:$E$24,MATCH($D240,'Почасовка — ставки и план'!$A$5:$A$24,0)),""))</f>
        <v>950</v>
      </c>
      <c r="Q240" s="15">
        <f t="shared" si="21"/>
        <v>400</v>
      </c>
      <c r="R240" s="13" t="str">
        <f>IF(D240="TEX","аренда техники — сделка/счёт",IF(OR(Q240="",H240="",H240=0),"—",IF(Q240&lt;H240*(1-Параметры!$B$7),"почасовка",IF(Q240&gt;H240*(1+Параметры!$B$7),"сделка","любой способ"))))</f>
        <v>сделка</v>
      </c>
      <c r="S240">
        <v>0.18666666666666679</v>
      </c>
      <c r="T240">
        <v>0.22393822393822391</v>
      </c>
    </row>
    <row r="241" spans="1:20" x14ac:dyDescent="0.25">
      <c r="A241" s="13" t="s">
        <v>535</v>
      </c>
      <c r="B241" s="13" t="s">
        <v>536</v>
      </c>
      <c r="C241" s="13" t="s">
        <v>72</v>
      </c>
      <c r="D241" s="13" t="s">
        <v>276</v>
      </c>
      <c r="E241" s="13" t="str">
        <f>IFERROR(INDEX('Почасовка — ставки и план'!$B$5:$B$24,MATCH(D241,'Почасовка — ставки и план'!$A$5:$A$24,0)),"Аренда техники / механизмы")</f>
        <v>Монтажник дверей, окон, перегородок</v>
      </c>
      <c r="F241" s="14">
        <v>427</v>
      </c>
      <c r="G241" s="14">
        <v>507</v>
      </c>
      <c r="H241" s="15">
        <v>210</v>
      </c>
      <c r="I241" s="15">
        <f>IF(OR(H241="",F241=""),"",MAX(H241,MIN(ROUND(H241*(1+Параметры!$B$5),IF(H241*(1+Параметры!$B$5)&gt;=1000,-1,0)),ROUND(F241*Параметры!$B$6,IF(F241*Параметры!$B$6&gt;=1000,-1,0)))))</f>
        <v>242</v>
      </c>
      <c r="J241" s="15">
        <v>241</v>
      </c>
      <c r="K241" s="15">
        <f>IF(OR(J241="",G241=""),"",MAX(J241,MIN(ROUND(J241*(1+Параметры!$B$5),IF(J241*(1+Параметры!$B$5)&gt;=1000,-1,0)),ROUND(G241*Параметры!$B$6,IF(G241*Параметры!$B$6&gt;=1000,-1,0)))))</f>
        <v>277</v>
      </c>
      <c r="L241" s="16">
        <v>0.4</v>
      </c>
      <c r="M241" s="17">
        <f t="shared" si="20"/>
        <v>2.5</v>
      </c>
      <c r="N241" s="17">
        <f>IF(OR(L241="",L241=0),"",Параметры!$B$3/L241)</f>
        <v>20</v>
      </c>
      <c r="O241" s="15">
        <f>IF(L241="","",IFERROR(INDEX('Почасовка — ставки и план'!$D$5:$D$24,MATCH($D241,'Почасовка — ставки и план'!$A$5:$A$24,0)),""))</f>
        <v>800</v>
      </c>
      <c r="P241" s="15">
        <f>IF(L241="","",IFERROR(INDEX('Почасовка — ставки и план'!$E$5:$E$24,MATCH($D241,'Почасовка — ставки и план'!$A$5:$A$24,0)),""))</f>
        <v>950</v>
      </c>
      <c r="Q241" s="15">
        <f t="shared" si="21"/>
        <v>320</v>
      </c>
      <c r="R241" s="13" t="str">
        <f>IF(D241="TEX","аренда техники — сделка/счёт",IF(OR(Q241="",H241="",H241=0),"—",IF(Q241&lt;H241*(1-Параметры!$B$7),"почасовка",IF(Q241&gt;H241*(1+Параметры!$B$7),"сделка","любой способ"))))</f>
        <v>сделка</v>
      </c>
      <c r="S241">
        <v>0.22</v>
      </c>
      <c r="T241">
        <v>0.26119402985074619</v>
      </c>
    </row>
    <row r="242" spans="1:20" x14ac:dyDescent="0.25">
      <c r="A242" s="13" t="s">
        <v>537</v>
      </c>
      <c r="B242" s="13" t="s">
        <v>538</v>
      </c>
      <c r="C242" s="13" t="s">
        <v>144</v>
      </c>
      <c r="D242" s="13" t="s">
        <v>276</v>
      </c>
      <c r="E242" s="13" t="str">
        <f>IFERROR(INDEX('Почасовка — ставки и план'!$B$5:$B$24,MATCH(D242,'Почасовка — ставки и план'!$A$5:$A$24,0)),"Аренда техники / механизмы")</f>
        <v>Монтажник дверей, окон, перегородок</v>
      </c>
      <c r="F242" s="14">
        <v>2500</v>
      </c>
      <c r="G242" s="14">
        <v>2875</v>
      </c>
      <c r="H242" s="15">
        <v>1500</v>
      </c>
      <c r="I242" s="15">
        <f>IF(OR(H242="",F242=""),"",MAX(H242,MIN(ROUND(H242*(1+Параметры!$B$5),IF(H242*(1+Параметры!$B$5)&gt;=1000,-1,0)),ROUND(F242*Параметры!$B$6,IF(F242*Параметры!$B$6&gt;=1000,-1,0)))))</f>
        <v>1730</v>
      </c>
      <c r="J242" s="15">
        <v>1725</v>
      </c>
      <c r="K242" s="15">
        <f>IF(OR(J242="",G242=""),"",MAX(J242,MIN(ROUND(J242*(1+Параметры!$B$5),IF(J242*(1+Параметры!$B$5)&gt;=1000,-1,0)),ROUND(G242*Параметры!$B$6,IF(G242*Параметры!$B$6&gt;=1000,-1,0)))))</f>
        <v>1980</v>
      </c>
      <c r="L242" s="16">
        <v>2</v>
      </c>
      <c r="M242" s="17">
        <f t="shared" si="20"/>
        <v>0.5</v>
      </c>
      <c r="N242" s="17">
        <f>IF(OR(L242="",L242=0),"",Параметры!$B$3/L242)</f>
        <v>4</v>
      </c>
      <c r="O242" s="15">
        <f>IF(L242="","",IFERROR(INDEX('Почасовка — ставки и план'!$D$5:$D$24,MATCH($D242,'Почасовка — ставки и план'!$A$5:$A$24,0)),""))</f>
        <v>800</v>
      </c>
      <c r="P242" s="15">
        <f>IF(L242="","",IFERROR(INDEX('Почасовка — ставки и план'!$E$5:$E$24,MATCH($D242,'Почасовка — ставки и план'!$A$5:$A$24,0)),""))</f>
        <v>950</v>
      </c>
      <c r="Q242" s="15">
        <f t="shared" si="21"/>
        <v>1600</v>
      </c>
      <c r="R242" s="13" t="str">
        <f>IF(D242="TEX","аренда техники — сделка/счёт",IF(OR(Q242="",H242="",H242=0),"—",IF(Q242&lt;H242*(1-Параметры!$B$7),"почасовка",IF(Q242&gt;H242*(1+Параметры!$B$7),"сделка","любой способ"))))</f>
        <v>любой способ</v>
      </c>
      <c r="S242">
        <v>0</v>
      </c>
      <c r="T242">
        <v>0</v>
      </c>
    </row>
    <row r="243" spans="1:20" x14ac:dyDescent="0.25">
      <c r="A243" s="13" t="s">
        <v>539</v>
      </c>
      <c r="B243" s="13" t="s">
        <v>540</v>
      </c>
      <c r="C243" s="13" t="s">
        <v>72</v>
      </c>
      <c r="D243" s="13" t="s">
        <v>208</v>
      </c>
      <c r="E243" s="13" t="str">
        <f>IFERROR(INDEX('Почасовка — ставки и план'!$B$5:$B$24,MATCH(D243,'Почасовка — ставки и план'!$A$5:$A$24,0)),"Аренда техники / механизмы")</f>
        <v>Отделочник (штукатур, маляр, ГКЛ)</v>
      </c>
      <c r="F243" s="14">
        <v>300</v>
      </c>
      <c r="G243" s="14">
        <v>360</v>
      </c>
      <c r="H243" s="15">
        <v>150</v>
      </c>
      <c r="I243" s="15">
        <f>IF(OR(H243="",F243=""),"",MAX(H243,MIN(ROUND(H243*(1+Параметры!$B$5),IF(H243*(1+Параметры!$B$5)&gt;=1000,-1,0)),ROUND(F243*Параметры!$B$6,IF(F243*Параметры!$B$6&gt;=1000,-1,0)))))</f>
        <v>173</v>
      </c>
      <c r="J243" s="15">
        <v>172</v>
      </c>
      <c r="K243" s="15">
        <f>IF(OR(J243="",G243=""),"",MAX(J243,MIN(ROUND(J243*(1+Параметры!$B$5),IF(J243*(1+Параметры!$B$5)&gt;=1000,-1,0)),ROUND(G243*Параметры!$B$6,IF(G243*Параметры!$B$6&gt;=1000,-1,0)))))</f>
        <v>198</v>
      </c>
      <c r="L243" s="16">
        <v>0.3</v>
      </c>
      <c r="M243" s="17">
        <f t="shared" si="20"/>
        <v>3.3333333333333335</v>
      </c>
      <c r="N243" s="17">
        <f>IF(OR(L243="",L243=0),"",Параметры!$B$3/L243)</f>
        <v>26.666666666666668</v>
      </c>
      <c r="O243" s="15">
        <f>IF(L243="","",IFERROR(INDEX('Почасовка — ставки и план'!$D$5:$D$24,MATCH($D243,'Почасовка — ставки и план'!$A$5:$A$24,0)),""))</f>
        <v>750</v>
      </c>
      <c r="P243" s="15">
        <f>IF(L243="","",IFERROR(INDEX('Почасовка — ставки и план'!$E$5:$E$24,MATCH($D243,'Почасовка — ставки и план'!$A$5:$A$24,0)),""))</f>
        <v>900</v>
      </c>
      <c r="Q243" s="15">
        <f t="shared" si="21"/>
        <v>225</v>
      </c>
      <c r="R243" s="13" t="str">
        <f>IF(D243="TEX","аренда техники — сделка/счёт",IF(OR(Q243="",H243="",H243=0),"—",IF(Q243&lt;H243*(1-Параметры!$B$7),"почасовка",IF(Q243&gt;H243*(1+Параметры!$B$7),"сделка","любой способ"))))</f>
        <v>сделка</v>
      </c>
      <c r="S243">
        <v>0.2</v>
      </c>
      <c r="T243">
        <v>0.25</v>
      </c>
    </row>
    <row r="244" spans="1:20" x14ac:dyDescent="0.25">
      <c r="A244" s="13" t="s">
        <v>541</v>
      </c>
      <c r="B244" s="13" t="s">
        <v>542</v>
      </c>
      <c r="C244" s="13" t="s">
        <v>69</v>
      </c>
      <c r="D244" s="13" t="s">
        <v>276</v>
      </c>
      <c r="E244" s="13" t="str">
        <f>IFERROR(INDEX('Почасовка — ставки и план'!$B$5:$B$24,MATCH(D244,'Почасовка — ставки и план'!$A$5:$A$24,0)),"Аренда техники / механизмы")</f>
        <v>Монтажник дверей, окон, перегородок</v>
      </c>
      <c r="F244" s="14">
        <v>54</v>
      </c>
      <c r="G244" s="14">
        <v>64</v>
      </c>
      <c r="H244" s="15">
        <v>25</v>
      </c>
      <c r="I244" s="15">
        <f>IF(OR(H244="",F244=""),"",MAX(H244,MIN(ROUND(H244*(1+Параметры!$B$5),IF(H244*(1+Параметры!$B$5)&gt;=1000,-1,0)),ROUND(F244*Параметры!$B$6,IF(F244*Параметры!$B$6&gt;=1000,-1,0)))))</f>
        <v>29</v>
      </c>
      <c r="J244" s="15">
        <v>28.5</v>
      </c>
      <c r="K244" s="15">
        <f>IF(OR(J244="",G244=""),"",MAX(J244,MIN(ROUND(J244*(1+Параметры!$B$5),IF(J244*(1+Параметры!$B$5)&gt;=1000,-1,0)),ROUND(G244*Параметры!$B$6,IF(G244*Параметры!$B$6&gt;=1000,-1,0)))))</f>
        <v>33</v>
      </c>
      <c r="L244" s="16">
        <v>0.05</v>
      </c>
      <c r="M244" s="17">
        <f t="shared" si="20"/>
        <v>20</v>
      </c>
      <c r="N244" s="17">
        <f>IF(OR(L244="",L244=0),"",Параметры!$B$3/L244)</f>
        <v>160</v>
      </c>
      <c r="O244" s="15">
        <f>IF(L244="","",IFERROR(INDEX('Почасовка — ставки и план'!$D$5:$D$24,MATCH($D244,'Почасовка — ставки и план'!$A$5:$A$24,0)),""))</f>
        <v>800</v>
      </c>
      <c r="P244" s="15">
        <f>IF(L244="","",IFERROR(INDEX('Почасовка — ставки и план'!$E$5:$E$24,MATCH($D244,'Почасовка — ставки и план'!$A$5:$A$24,0)),""))</f>
        <v>950</v>
      </c>
      <c r="Q244" s="15">
        <f t="shared" si="21"/>
        <v>40</v>
      </c>
      <c r="R244" s="13" t="str">
        <f>IF(D244="TEX","аренда техники — сделка/счёт",IF(OR(Q244="",H244="",H244=0),"—",IF(Q244&lt;H244*(1-Параметры!$B$7),"почасовка",IF(Q244&gt;H244*(1+Параметры!$B$7),"сделка","любой способ"))))</f>
        <v>сделка</v>
      </c>
      <c r="S244">
        <v>0.35000000000000009</v>
      </c>
      <c r="T244">
        <v>0.39130434782608692</v>
      </c>
    </row>
    <row r="245" spans="1:20" x14ac:dyDescent="0.25">
      <c r="A245" s="18" t="s">
        <v>543</v>
      </c>
      <c r="B245" s="13" t="s">
        <v>544</v>
      </c>
      <c r="C245" s="13" t="s">
        <v>144</v>
      </c>
      <c r="D245" s="13" t="s">
        <v>545</v>
      </c>
      <c r="E245" s="13" t="str">
        <f>IFERROR(INDEX('Почасовка — ставки и план'!$B$5:$B$24,MATCH(D245,'Почасовка — ставки и план'!$A$5:$A$24,0)),"Аренда техники / механизмы")</f>
        <v>Сервисный инженер ворот и автоматики</v>
      </c>
      <c r="F245" s="14">
        <v>9600</v>
      </c>
      <c r="G245" s="14">
        <v>11520</v>
      </c>
      <c r="H245" s="15">
        <v>4800</v>
      </c>
      <c r="I245" s="15">
        <f>IF(OR(H245="",F245=""),"",MAX(H245,MIN(ROUND(H245*(1+Параметры!$B$5),IF(H245*(1+Параметры!$B$5)&gt;=1000,-1,0)),ROUND(F245*Параметры!$B$6,IF(F245*Параметры!$B$6&gt;=1000,-1,0)))))</f>
        <v>5520</v>
      </c>
      <c r="J245" s="15">
        <v>5520</v>
      </c>
      <c r="K245" s="15">
        <f>IF(OR(J245="",G245=""),"",MAX(J245,MIN(ROUND(J245*(1+Параметры!$B$5),IF(J245*(1+Параметры!$B$5)&gt;=1000,-1,0)),ROUND(G245*Параметры!$B$6,IF(G245*Параметры!$B$6&gt;=1000,-1,0)))))</f>
        <v>6350</v>
      </c>
      <c r="L245" s="16">
        <v>6</v>
      </c>
      <c r="M245" s="17">
        <f t="shared" si="20"/>
        <v>0.16666666666666666</v>
      </c>
      <c r="N245" s="17">
        <f>IF(OR(L245="",L245=0),"",Параметры!$B$3/L245)</f>
        <v>1.3333333333333333</v>
      </c>
      <c r="O245" s="15">
        <f>IF(L245="","",IFERROR(INDEX('Почасовка — ставки и план'!$D$5:$D$24,MATCH($D245,'Почасовка — ставки и план'!$A$5:$A$24,0)),""))</f>
        <v>1200</v>
      </c>
      <c r="P245" s="15">
        <f>IF(L245="","",IFERROR(INDEX('Почасовка — ставки и план'!$E$5:$E$24,MATCH($D245,'Почасовка — ставки и план'!$A$5:$A$24,0)),""))</f>
        <v>1440</v>
      </c>
      <c r="Q245" s="15">
        <f t="shared" si="21"/>
        <v>7200</v>
      </c>
      <c r="R245" s="13" t="str">
        <f>IF(D245="TEX","аренда техники — сделка/счёт",IF(OR(Q245="",H245="",H245=0),"—",IF(Q245&lt;H245*(1-Параметры!$B$7),"почасовка",IF(Q245&gt;H245*(1+Параметры!$B$7),"сделка","любой способ"))))</f>
        <v>сделка</v>
      </c>
      <c r="S245">
        <v>0.2</v>
      </c>
      <c r="T245">
        <v>0.25217391304347841</v>
      </c>
    </row>
    <row r="246" spans="1:20" x14ac:dyDescent="0.25">
      <c r="A246" s="18" t="s">
        <v>546</v>
      </c>
      <c r="B246" s="13" t="s">
        <v>547</v>
      </c>
      <c r="C246" s="13" t="s">
        <v>144</v>
      </c>
      <c r="D246" s="13" t="s">
        <v>276</v>
      </c>
      <c r="E246" s="13" t="str">
        <f>IFERROR(INDEX('Почасовка — ставки и план'!$B$5:$B$24,MATCH(D246,'Почасовка — ставки и план'!$A$5:$A$24,0)),"Аренда техники / механизмы")</f>
        <v>Монтажник дверей, окон, перегородок</v>
      </c>
      <c r="F246" s="14">
        <v>2134</v>
      </c>
      <c r="G246" s="14">
        <v>2534</v>
      </c>
      <c r="H246" s="15">
        <v>1200</v>
      </c>
      <c r="I246" s="15">
        <f>IF(OR(H246="",F246=""),"",MAX(H246,MIN(ROUND(H246*(1+Параметры!$B$5),IF(H246*(1+Параметры!$B$5)&gt;=1000,-1,0)),ROUND(F246*Параметры!$B$6,IF(F246*Параметры!$B$6&gt;=1000,-1,0)))))</f>
        <v>1380</v>
      </c>
      <c r="J246" s="15">
        <v>1380</v>
      </c>
      <c r="K246" s="15">
        <f>IF(OR(J246="",G246=""),"",MAX(J246,MIN(ROUND(J246*(1+Параметры!$B$5),IF(J246*(1+Параметры!$B$5)&gt;=1000,-1,0)),ROUND(G246*Параметры!$B$6,IF(G246*Параметры!$B$6&gt;=1000,-1,0)))))</f>
        <v>1590</v>
      </c>
      <c r="L246" s="16">
        <v>2</v>
      </c>
      <c r="M246" s="17">
        <f t="shared" si="20"/>
        <v>0.5</v>
      </c>
      <c r="N246" s="17">
        <f>IF(OR(L246="",L246=0),"",Параметры!$B$3/L246)</f>
        <v>4</v>
      </c>
      <c r="O246" s="15">
        <f>IF(L246="","",IFERROR(INDEX('Почасовка — ставки и план'!$D$5:$D$24,MATCH($D246,'Почасовка — ставки и план'!$A$5:$A$24,0)),""))</f>
        <v>800</v>
      </c>
      <c r="P246" s="15">
        <f>IF(L246="","",IFERROR(INDEX('Почасовка — ставки и план'!$E$5:$E$24,MATCH($D246,'Почасовка — ставки и план'!$A$5:$A$24,0)),""))</f>
        <v>950</v>
      </c>
      <c r="Q246" s="15">
        <f t="shared" si="21"/>
        <v>1600</v>
      </c>
      <c r="R246" s="13" t="str">
        <f>IF(D246="TEX","аренда техники — сделка/счёт",IF(OR(Q246="",H246="",H246=0),"—",IF(Q246&lt;H246*(1-Параметры!$B$7),"почасовка",IF(Q246&gt;H246*(1+Параметры!$B$7),"сделка","любой способ"))))</f>
        <v>сделка</v>
      </c>
      <c r="S246">
        <v>6.6999999999999948E-2</v>
      </c>
      <c r="T246">
        <v>0.1017391304347826</v>
      </c>
    </row>
    <row r="247" spans="1:20" x14ac:dyDescent="0.25">
      <c r="A247" s="18" t="s">
        <v>548</v>
      </c>
      <c r="B247" s="13" t="s">
        <v>549</v>
      </c>
      <c r="C247" s="13" t="s">
        <v>69</v>
      </c>
      <c r="D247" s="13" t="s">
        <v>276</v>
      </c>
      <c r="E247" s="13" t="str">
        <f>IFERROR(INDEX('Почасовка — ставки и план'!$B$5:$B$24,MATCH(D247,'Почасовка — ставки и план'!$A$5:$A$24,0)),"Аренда техники / механизмы")</f>
        <v>Монтажник дверей, окон, перегородок</v>
      </c>
      <c r="F247" s="14">
        <v>160</v>
      </c>
      <c r="G247" s="14">
        <v>191</v>
      </c>
      <c r="H247" s="15">
        <v>90</v>
      </c>
      <c r="I247" s="15">
        <f>IF(OR(H247="",F247=""),"",MAX(H247,MIN(ROUND(H247*(1+Параметры!$B$5),IF(H247*(1+Параметры!$B$5)&gt;=1000,-1,0)),ROUND(F247*Параметры!$B$6,IF(F247*Параметры!$B$6&gt;=1000,-1,0)))))</f>
        <v>104</v>
      </c>
      <c r="J247" s="15">
        <v>103</v>
      </c>
      <c r="K247" s="15">
        <f>IF(OR(J247="",G247=""),"",MAX(J247,MIN(ROUND(J247*(1+Параметры!$B$5),IF(J247*(1+Параметры!$B$5)&gt;=1000,-1,0)),ROUND(G247*Параметры!$B$6,IF(G247*Параметры!$B$6&gt;=1000,-1,0)))))</f>
        <v>118</v>
      </c>
      <c r="L247" s="16">
        <v>0.15</v>
      </c>
      <c r="M247" s="17">
        <f t="shared" si="20"/>
        <v>6.666666666666667</v>
      </c>
      <c r="N247" s="17">
        <f>IF(OR(L247="",L247=0),"",Параметры!$B$3/L247)</f>
        <v>53.333333333333336</v>
      </c>
      <c r="O247" s="15">
        <f>IF(L247="","",IFERROR(INDEX('Почасовка — ставки и план'!$D$5:$D$24,MATCH($D247,'Почасовка — ставки и план'!$A$5:$A$24,0)),""))</f>
        <v>800</v>
      </c>
      <c r="P247" s="15">
        <f>IF(L247="","",IFERROR(INDEX('Почасовка — ставки и план'!$E$5:$E$24,MATCH($D247,'Почасовка — ставки и план'!$A$5:$A$24,0)),""))</f>
        <v>950</v>
      </c>
      <c r="Q247" s="15">
        <f t="shared" si="21"/>
        <v>120</v>
      </c>
      <c r="R247" s="13" t="str">
        <f>IF(D247="TEX","аренда техники — сделка/счёт",IF(OR(Q247="",H247="",H247=0),"—",IF(Q247&lt;H247*(1-Параметры!$B$7),"почасовка",IF(Q247&gt;H247*(1+Параметры!$B$7),"сделка","любой способ"))))</f>
        <v>сделка</v>
      </c>
      <c r="S247">
        <v>6.6666666666666652E-2</v>
      </c>
      <c r="T247">
        <v>0.1104651162790697</v>
      </c>
    </row>
    <row r="248" spans="1:20" x14ac:dyDescent="0.25">
      <c r="A248" s="11" t="s">
        <v>550</v>
      </c>
      <c r="B248" s="12"/>
      <c r="C248" s="12"/>
      <c r="D248" s="12"/>
      <c r="E248" s="12"/>
      <c r="F248" s="12"/>
      <c r="G248" s="12"/>
      <c r="H248" s="12"/>
      <c r="I248" s="12"/>
      <c r="J248" s="12"/>
      <c r="K248" s="12"/>
      <c r="L248" s="12"/>
      <c r="M248" s="12"/>
      <c r="N248" s="12"/>
      <c r="O248" s="12"/>
      <c r="P248" s="12"/>
      <c r="Q248" s="12"/>
      <c r="R248" s="12"/>
    </row>
    <row r="249" spans="1:20" x14ac:dyDescent="0.25">
      <c r="A249" s="13" t="s">
        <v>551</v>
      </c>
      <c r="B249" s="13" t="s">
        <v>490</v>
      </c>
      <c r="C249" s="13" t="s">
        <v>144</v>
      </c>
      <c r="D249" s="13" t="s">
        <v>545</v>
      </c>
      <c r="E249" s="13" t="str">
        <f>IFERROR(INDEX('Почасовка — ставки и план'!$B$5:$B$24,MATCH(D249,'Почасовка — ставки и план'!$A$5:$A$24,0)),"Аренда техники / механизмы")</f>
        <v>Сервисный инженер ворот и автоматики</v>
      </c>
      <c r="F249" s="14">
        <v>1200</v>
      </c>
      <c r="G249" s="14">
        <v>1380</v>
      </c>
      <c r="H249" s="15">
        <v>700</v>
      </c>
      <c r="I249" s="15">
        <f>IF(OR(H249="",F249=""),"",MAX(H249,MIN(ROUND(H249*(1+Параметры!$B$5),IF(H249*(1+Параметры!$B$5)&gt;=1000,-1,0)),ROUND(F249*Параметры!$B$6,IF(F249*Параметры!$B$6&gt;=1000,-1,0)))))</f>
        <v>805</v>
      </c>
      <c r="J249" s="15">
        <v>805</v>
      </c>
      <c r="K249" s="15">
        <f>IF(OR(J249="",G249=""),"",MAX(J249,MIN(ROUND(J249*(1+Параметры!$B$5),IF(J249*(1+Параметры!$B$5)&gt;=1000,-1,0)),ROUND(G249*Параметры!$B$6,IF(G249*Параметры!$B$6&gt;=1000,-1,0)))))</f>
        <v>926</v>
      </c>
      <c r="L249" s="16">
        <v>0.5</v>
      </c>
      <c r="M249" s="17">
        <f t="shared" ref="M249:M280" si="22">IF(OR(L249="",L249=0),"",1/L249)</f>
        <v>2</v>
      </c>
      <c r="N249" s="17">
        <f>IF(OR(L249="",L249=0),"",Параметры!$B$3/L249)</f>
        <v>16</v>
      </c>
      <c r="O249" s="15">
        <f>IF(L249="","",IFERROR(INDEX('Почасовка — ставки и план'!$D$5:$D$24,MATCH($D249,'Почасовка — ставки и план'!$A$5:$A$24,0)),""))</f>
        <v>1200</v>
      </c>
      <c r="P249" s="15">
        <f>IF(L249="","",IFERROR(INDEX('Почасовка — ставки и план'!$E$5:$E$24,MATCH($D249,'Почасовка — ставки и план'!$A$5:$A$24,0)),""))</f>
        <v>1440</v>
      </c>
      <c r="Q249" s="15">
        <f t="shared" ref="Q249:Q280" si="23">IF(OR(L249="",O249=""),"",ROUND(L249*O249,0))</f>
        <v>600</v>
      </c>
      <c r="R249" s="13" t="str">
        <f>IF(D249="TEX","аренда техники — сделка/счёт",IF(OR(Q249="",H249="",H249=0),"—",IF(Q249&lt;H249*(1-Параметры!$B$7),"почасовка",IF(Q249&gt;H249*(1+Параметры!$B$7),"сделка","любой способ"))))</f>
        <v>почасовка</v>
      </c>
      <c r="S249">
        <v>0</v>
      </c>
      <c r="T249">
        <v>0</v>
      </c>
    </row>
    <row r="250" spans="1:20" x14ac:dyDescent="0.25">
      <c r="A250" s="13" t="s">
        <v>552</v>
      </c>
      <c r="B250" s="13" t="s">
        <v>553</v>
      </c>
      <c r="C250" s="13" t="s">
        <v>69</v>
      </c>
      <c r="D250" s="13" t="s">
        <v>545</v>
      </c>
      <c r="E250" s="13" t="str">
        <f>IFERROR(INDEX('Почасовка — ставки и план'!$B$5:$B$24,MATCH(D250,'Почасовка — ставки и план'!$A$5:$A$24,0)),"Аренда техники / механизмы")</f>
        <v>Сервисный инженер ворот и автоматики</v>
      </c>
      <c r="F250" s="14">
        <v>480</v>
      </c>
      <c r="G250" s="14">
        <v>576</v>
      </c>
      <c r="H250" s="15">
        <v>240</v>
      </c>
      <c r="I250" s="15">
        <f>IF(OR(H250="",F250=""),"",MAX(H250,MIN(ROUND(H250*(1+Параметры!$B$5),IF(H250*(1+Параметры!$B$5)&gt;=1000,-1,0)),ROUND(F250*Параметры!$B$6,IF(F250*Параметры!$B$6&gt;=1000,-1,0)))))</f>
        <v>276</v>
      </c>
      <c r="J250" s="15">
        <v>276</v>
      </c>
      <c r="K250" s="15">
        <f>IF(OR(J250="",G250=""),"",MAX(J250,MIN(ROUND(J250*(1+Параметры!$B$5),IF(J250*(1+Параметры!$B$5)&gt;=1000,-1,0)),ROUND(G250*Параметры!$B$6,IF(G250*Параметры!$B$6&gt;=1000,-1,0)))))</f>
        <v>317</v>
      </c>
      <c r="L250" s="16">
        <v>0.3</v>
      </c>
      <c r="M250" s="17">
        <f t="shared" si="22"/>
        <v>3.3333333333333335</v>
      </c>
      <c r="N250" s="17">
        <f>IF(OR(L250="",L250=0),"",Параметры!$B$3/L250)</f>
        <v>26.666666666666668</v>
      </c>
      <c r="O250" s="15">
        <f>IF(L250="","",IFERROR(INDEX('Почасовка — ставки и план'!$D$5:$D$24,MATCH($D250,'Почасовка — ставки и план'!$A$5:$A$24,0)),""))</f>
        <v>1200</v>
      </c>
      <c r="P250" s="15">
        <f>IF(L250="","",IFERROR(INDEX('Почасовка — ставки и план'!$E$5:$E$24,MATCH($D250,'Почасовка — ставки и план'!$A$5:$A$24,0)),""))</f>
        <v>1440</v>
      </c>
      <c r="Q250" s="15">
        <f t="shared" si="23"/>
        <v>360</v>
      </c>
      <c r="R250" s="13" t="str">
        <f>IF(D250="TEX","аренда техники — сделка/счёт",IF(OR(Q250="",H250="",H250=0),"—",IF(Q250&lt;H250*(1-Параметры!$B$7),"почасовка",IF(Q250&gt;H250*(1+Параметры!$B$7),"сделка","любой способ"))))</f>
        <v>сделка</v>
      </c>
      <c r="S250">
        <v>0.2</v>
      </c>
      <c r="T250">
        <v>0.25217391304347841</v>
      </c>
    </row>
    <row r="251" spans="1:20" x14ac:dyDescent="0.25">
      <c r="A251" s="13" t="s">
        <v>554</v>
      </c>
      <c r="B251" s="13" t="s">
        <v>555</v>
      </c>
      <c r="C251" s="13" t="s">
        <v>144</v>
      </c>
      <c r="D251" s="13" t="s">
        <v>545</v>
      </c>
      <c r="E251" s="13" t="str">
        <f>IFERROR(INDEX('Почасовка — ставки и план'!$B$5:$B$24,MATCH(D251,'Почасовка — ставки и план'!$A$5:$A$24,0)),"Аренда техники / механизмы")</f>
        <v>Сервисный инженер ворот и автоматики</v>
      </c>
      <c r="F251" s="14">
        <v>960</v>
      </c>
      <c r="G251" s="14">
        <v>1152</v>
      </c>
      <c r="H251" s="15">
        <v>480</v>
      </c>
      <c r="I251" s="15">
        <f>IF(OR(H251="",F251=""),"",MAX(H251,MIN(ROUND(H251*(1+Параметры!$B$5),IF(H251*(1+Параметры!$B$5)&gt;=1000,-1,0)),ROUND(F251*Параметры!$B$6,IF(F251*Параметры!$B$6&gt;=1000,-1,0)))))</f>
        <v>552</v>
      </c>
      <c r="J251" s="15">
        <v>552</v>
      </c>
      <c r="K251" s="15">
        <f>IF(OR(J251="",G251=""),"",MAX(J251,MIN(ROUND(J251*(1+Параметры!$B$5),IF(J251*(1+Параметры!$B$5)&gt;=1000,-1,0)),ROUND(G251*Параметры!$B$6,IF(G251*Параметры!$B$6&gt;=1000,-1,0)))))</f>
        <v>635</v>
      </c>
      <c r="L251" s="16">
        <v>0.6</v>
      </c>
      <c r="M251" s="17">
        <f t="shared" si="22"/>
        <v>1.6666666666666667</v>
      </c>
      <c r="N251" s="17">
        <f>IF(OR(L251="",L251=0),"",Параметры!$B$3/L251)</f>
        <v>13.333333333333334</v>
      </c>
      <c r="O251" s="15">
        <f>IF(L251="","",IFERROR(INDEX('Почасовка — ставки и план'!$D$5:$D$24,MATCH($D251,'Почасовка — ставки и план'!$A$5:$A$24,0)),""))</f>
        <v>1200</v>
      </c>
      <c r="P251" s="15">
        <f>IF(L251="","",IFERROR(INDEX('Почасовка — ставки и план'!$E$5:$E$24,MATCH($D251,'Почасовка — ставки и план'!$A$5:$A$24,0)),""))</f>
        <v>1440</v>
      </c>
      <c r="Q251" s="15">
        <f t="shared" si="23"/>
        <v>720</v>
      </c>
      <c r="R251" s="13" t="str">
        <f>IF(D251="TEX","аренда техники — сделка/счёт",IF(OR(Q251="",H251="",H251=0),"—",IF(Q251&lt;H251*(1-Параметры!$B$7),"почасовка",IF(Q251&gt;H251*(1+Параметры!$B$7),"сделка","любой способ"))))</f>
        <v>сделка</v>
      </c>
      <c r="S251">
        <v>0.2</v>
      </c>
      <c r="T251">
        <v>0.25217391304347841</v>
      </c>
    </row>
    <row r="252" spans="1:20" x14ac:dyDescent="0.25">
      <c r="A252" s="13" t="s">
        <v>556</v>
      </c>
      <c r="B252" s="13" t="s">
        <v>557</v>
      </c>
      <c r="C252" s="13" t="s">
        <v>144</v>
      </c>
      <c r="D252" s="13" t="s">
        <v>545</v>
      </c>
      <c r="E252" s="13" t="str">
        <f>IFERROR(INDEX('Почасовка — ставки и план'!$B$5:$B$24,MATCH(D252,'Почасовка — ставки и план'!$A$5:$A$24,0)),"Аренда техники / механизмы")</f>
        <v>Сервисный инженер ворот и автоматики</v>
      </c>
      <c r="F252" s="14">
        <v>1920</v>
      </c>
      <c r="G252" s="14">
        <v>2304</v>
      </c>
      <c r="H252" s="15">
        <v>900</v>
      </c>
      <c r="I252" s="15">
        <f>IF(OR(H252="",F252=""),"",MAX(H252,MIN(ROUND(H252*(1+Параметры!$B$5),IF(H252*(1+Параметры!$B$5)&gt;=1000,-1,0)),ROUND(F252*Параметры!$B$6,IF(F252*Параметры!$B$6&gt;=1000,-1,0)))))</f>
        <v>1040</v>
      </c>
      <c r="J252" s="15">
        <v>1035</v>
      </c>
      <c r="K252" s="15">
        <f>IF(OR(J252="",G252=""),"",MAX(J252,MIN(ROUND(J252*(1+Параметры!$B$5),IF(J252*(1+Параметры!$B$5)&gt;=1000,-1,0)),ROUND(G252*Параметры!$B$6,IF(G252*Параметры!$B$6&gt;=1000,-1,0)))))</f>
        <v>1190</v>
      </c>
      <c r="L252" s="16">
        <v>1.2</v>
      </c>
      <c r="M252" s="17">
        <f t="shared" si="22"/>
        <v>0.83333333333333337</v>
      </c>
      <c r="N252" s="17">
        <f>IF(OR(L252="",L252=0),"",Параметры!$B$3/L252)</f>
        <v>6.666666666666667</v>
      </c>
      <c r="O252" s="15">
        <f>IF(L252="","",IFERROR(INDEX('Почасовка — ставки и план'!$D$5:$D$24,MATCH($D252,'Почасовка — ставки и план'!$A$5:$A$24,0)),""))</f>
        <v>1200</v>
      </c>
      <c r="P252" s="15">
        <f>IF(L252="","",IFERROR(INDEX('Почасовка — ставки и план'!$E$5:$E$24,MATCH($D252,'Почасовка — ставки и план'!$A$5:$A$24,0)),""))</f>
        <v>1440</v>
      </c>
      <c r="Q252" s="15">
        <f t="shared" si="23"/>
        <v>1440</v>
      </c>
      <c r="R252" s="13" t="str">
        <f>IF(D252="TEX","аренда техники — сделка/счёт",IF(OR(Q252="",H252="",H252=0),"—",IF(Q252&lt;H252*(1-Параметры!$B$7),"почасовка",IF(Q252&gt;H252*(1+Параметры!$B$7),"сделка","любой способ"))))</f>
        <v>сделка</v>
      </c>
      <c r="S252">
        <v>0.28000000000000003</v>
      </c>
      <c r="T252">
        <v>0.33565217391304358</v>
      </c>
    </row>
    <row r="253" spans="1:20" x14ac:dyDescent="0.25">
      <c r="A253" s="13" t="s">
        <v>558</v>
      </c>
      <c r="B253" s="13" t="s">
        <v>559</v>
      </c>
      <c r="C253" s="13" t="s">
        <v>144</v>
      </c>
      <c r="D253" s="13" t="s">
        <v>545</v>
      </c>
      <c r="E253" s="13" t="str">
        <f>IFERROR(INDEX('Почасовка — ставки и план'!$B$5:$B$24,MATCH(D253,'Почасовка — ставки и план'!$A$5:$A$24,0)),"Аренда техники / механизмы")</f>
        <v>Сервисный инженер ворот и автоматики</v>
      </c>
      <c r="F253" s="14">
        <v>1600</v>
      </c>
      <c r="G253" s="14">
        <v>1920</v>
      </c>
      <c r="H253" s="15">
        <v>900</v>
      </c>
      <c r="I253" s="15">
        <f>IF(OR(H253="",F253=""),"",MAX(H253,MIN(ROUND(H253*(1+Параметры!$B$5),IF(H253*(1+Параметры!$B$5)&gt;=1000,-1,0)),ROUND(F253*Параметры!$B$6,IF(F253*Параметры!$B$6&gt;=1000,-1,0)))))</f>
        <v>1040</v>
      </c>
      <c r="J253" s="15">
        <v>1035</v>
      </c>
      <c r="K253" s="15">
        <f>IF(OR(J253="",G253=""),"",MAX(J253,MIN(ROUND(J253*(1+Параметры!$B$5),IF(J253*(1+Параметры!$B$5)&gt;=1000,-1,0)),ROUND(G253*Параметры!$B$6,IF(G253*Параметры!$B$6&gt;=1000,-1,0)))))</f>
        <v>1190</v>
      </c>
      <c r="L253" s="16">
        <v>1</v>
      </c>
      <c r="M253" s="17">
        <f t="shared" si="22"/>
        <v>1</v>
      </c>
      <c r="N253" s="17">
        <f>IF(OR(L253="",L253=0),"",Параметры!$B$3/L253)</f>
        <v>8</v>
      </c>
      <c r="O253" s="15">
        <f>IF(L253="","",IFERROR(INDEX('Почасовка — ставки и план'!$D$5:$D$24,MATCH($D253,'Почасовка — ставки и план'!$A$5:$A$24,0)),""))</f>
        <v>1200</v>
      </c>
      <c r="P253" s="15">
        <f>IF(L253="","",IFERROR(INDEX('Почасовка — ставки и план'!$E$5:$E$24,MATCH($D253,'Почасовка — ставки и план'!$A$5:$A$24,0)),""))</f>
        <v>1440</v>
      </c>
      <c r="Q253" s="15">
        <f t="shared" si="23"/>
        <v>1200</v>
      </c>
      <c r="R253" s="13" t="str">
        <f>IF(D253="TEX","аренда техники — сделка/счёт",IF(OR(Q253="",H253="",H253=0),"—",IF(Q253&lt;H253*(1-Параметры!$B$7),"почасовка",IF(Q253&gt;H253*(1+Параметры!$B$7),"сделка","любой способ"))))</f>
        <v>сделка</v>
      </c>
      <c r="S253">
        <v>6.6666666666666652E-2</v>
      </c>
      <c r="T253">
        <v>0.11304347826086961</v>
      </c>
    </row>
    <row r="254" spans="1:20" x14ac:dyDescent="0.25">
      <c r="A254" s="13" t="s">
        <v>560</v>
      </c>
      <c r="B254" s="13" t="s">
        <v>561</v>
      </c>
      <c r="C254" s="13" t="s">
        <v>144</v>
      </c>
      <c r="D254" s="13" t="s">
        <v>545</v>
      </c>
      <c r="E254" s="13" t="str">
        <f>IFERROR(INDEX('Почасовка — ставки и план'!$B$5:$B$24,MATCH(D254,'Почасовка — ставки и план'!$A$5:$A$24,0)),"Аренда техники / механизмы")</f>
        <v>Сервисный инженер ворот и автоматики</v>
      </c>
      <c r="F254" s="14">
        <v>128</v>
      </c>
      <c r="G254" s="14">
        <v>154</v>
      </c>
      <c r="H254" s="15">
        <v>50</v>
      </c>
      <c r="I254" s="15">
        <f>IF(OR(H254="",F254=""),"",MAX(H254,MIN(ROUND(H254*(1+Параметры!$B$5),IF(H254*(1+Параметры!$B$5)&gt;=1000,-1,0)),ROUND(F254*Параметры!$B$6,IF(F254*Параметры!$B$6&gt;=1000,-1,0)))))</f>
        <v>58</v>
      </c>
      <c r="J254" s="15">
        <v>57.5</v>
      </c>
      <c r="K254" s="15">
        <f>IF(OR(J254="",G254=""),"",MAX(J254,MIN(ROUND(J254*(1+Параметры!$B$5),IF(J254*(1+Параметры!$B$5)&gt;=1000,-1,0)),ROUND(G254*Параметры!$B$6,IF(G254*Параметры!$B$6&gt;=1000,-1,0)))))</f>
        <v>66</v>
      </c>
      <c r="L254" s="16">
        <v>0.08</v>
      </c>
      <c r="M254" s="17">
        <f t="shared" si="22"/>
        <v>12.5</v>
      </c>
      <c r="N254" s="17">
        <f>IF(OR(L254="",L254=0),"",Параметры!$B$3/L254)</f>
        <v>100</v>
      </c>
      <c r="O254" s="15">
        <f>IF(L254="","",IFERROR(INDEX('Почасовка — ставки и план'!$D$5:$D$24,MATCH($D254,'Почасовка — ставки и план'!$A$5:$A$24,0)),""))</f>
        <v>1200</v>
      </c>
      <c r="P254" s="15">
        <f>IF(L254="","",IFERROR(INDEX('Почасовка — ставки и план'!$E$5:$E$24,MATCH($D254,'Почасовка — ставки и план'!$A$5:$A$24,0)),""))</f>
        <v>1440</v>
      </c>
      <c r="Q254" s="15">
        <f t="shared" si="23"/>
        <v>96</v>
      </c>
      <c r="R254" s="13" t="str">
        <f>IF(D254="TEX","аренда техники — сделка/счёт",IF(OR(Q254="",H254="",H254=0),"—",IF(Q254&lt;H254*(1-Параметры!$B$7),"почасовка",IF(Q254&gt;H254*(1+Параметры!$B$7),"сделка","любой способ"))))</f>
        <v>сделка</v>
      </c>
      <c r="S254">
        <v>0.60000000000000009</v>
      </c>
      <c r="T254">
        <v>0.67391304347826098</v>
      </c>
    </row>
    <row r="255" spans="1:20" x14ac:dyDescent="0.25">
      <c r="A255" s="13" t="s">
        <v>562</v>
      </c>
      <c r="B255" s="13" t="s">
        <v>563</v>
      </c>
      <c r="C255" s="13" t="s">
        <v>144</v>
      </c>
      <c r="D255" s="13" t="s">
        <v>545</v>
      </c>
      <c r="E255" s="13" t="str">
        <f>IFERROR(INDEX('Почасовка — ставки и план'!$B$5:$B$24,MATCH(D255,'Почасовка — ставки и план'!$A$5:$A$24,0)),"Аренда техники / механизмы")</f>
        <v>Сервисный инженер ворот и автоматики</v>
      </c>
      <c r="F255" s="14">
        <v>480</v>
      </c>
      <c r="G255" s="14">
        <v>576</v>
      </c>
      <c r="H255" s="15">
        <v>240</v>
      </c>
      <c r="I255" s="15">
        <f>IF(OR(H255="",F255=""),"",MAX(H255,MIN(ROUND(H255*(1+Параметры!$B$5),IF(H255*(1+Параметры!$B$5)&gt;=1000,-1,0)),ROUND(F255*Параметры!$B$6,IF(F255*Параметры!$B$6&gt;=1000,-1,0)))))</f>
        <v>276</v>
      </c>
      <c r="J255" s="15">
        <v>276</v>
      </c>
      <c r="K255" s="15">
        <f>IF(OR(J255="",G255=""),"",MAX(J255,MIN(ROUND(J255*(1+Параметры!$B$5),IF(J255*(1+Параметры!$B$5)&gt;=1000,-1,0)),ROUND(G255*Параметры!$B$6,IF(G255*Параметры!$B$6&gt;=1000,-1,0)))))</f>
        <v>317</v>
      </c>
      <c r="L255" s="16">
        <v>0.3</v>
      </c>
      <c r="M255" s="17">
        <f t="shared" si="22"/>
        <v>3.3333333333333335</v>
      </c>
      <c r="N255" s="17">
        <f>IF(OR(L255="",L255=0),"",Параметры!$B$3/L255)</f>
        <v>26.666666666666668</v>
      </c>
      <c r="O255" s="15">
        <f>IF(L255="","",IFERROR(INDEX('Почасовка — ставки и план'!$D$5:$D$24,MATCH($D255,'Почасовка — ставки и план'!$A$5:$A$24,0)),""))</f>
        <v>1200</v>
      </c>
      <c r="P255" s="15">
        <f>IF(L255="","",IFERROR(INDEX('Почасовка — ставки и план'!$E$5:$E$24,MATCH($D255,'Почасовка — ставки и план'!$A$5:$A$24,0)),""))</f>
        <v>1440</v>
      </c>
      <c r="Q255" s="15">
        <f t="shared" si="23"/>
        <v>360</v>
      </c>
      <c r="R255" s="13" t="str">
        <f>IF(D255="TEX","аренда техники — сделка/счёт",IF(OR(Q255="",H255="",H255=0),"—",IF(Q255&lt;H255*(1-Параметры!$B$7),"почасовка",IF(Q255&gt;H255*(1+Параметры!$B$7),"сделка","любой способ"))))</f>
        <v>сделка</v>
      </c>
      <c r="S255">
        <v>0.2</v>
      </c>
      <c r="T255">
        <v>0.25217391304347841</v>
      </c>
    </row>
    <row r="256" spans="1:20" x14ac:dyDescent="0.25">
      <c r="A256" s="13" t="s">
        <v>564</v>
      </c>
      <c r="B256" s="13" t="s">
        <v>565</v>
      </c>
      <c r="C256" s="13" t="s">
        <v>144</v>
      </c>
      <c r="D256" s="13" t="s">
        <v>545</v>
      </c>
      <c r="E256" s="13" t="str">
        <f>IFERROR(INDEX('Почасовка — ставки и план'!$B$5:$B$24,MATCH(D256,'Почасовка — ставки и план'!$A$5:$A$24,0)),"Аренда техники / механизмы")</f>
        <v>Сервисный инженер ворот и автоматики</v>
      </c>
      <c r="F256" s="14">
        <v>800</v>
      </c>
      <c r="G256" s="14">
        <v>960</v>
      </c>
      <c r="H256" s="15">
        <v>420</v>
      </c>
      <c r="I256" s="15">
        <f>IF(OR(H256="",F256=""),"",MAX(H256,MIN(ROUND(H256*(1+Параметры!$B$5),IF(H256*(1+Параметры!$B$5)&gt;=1000,-1,0)),ROUND(F256*Параметры!$B$6,IF(F256*Параметры!$B$6&gt;=1000,-1,0)))))</f>
        <v>483</v>
      </c>
      <c r="J256" s="15">
        <v>483</v>
      </c>
      <c r="K256" s="15">
        <f>IF(OR(J256="",G256=""),"",MAX(J256,MIN(ROUND(J256*(1+Параметры!$B$5),IF(J256*(1+Параметры!$B$5)&gt;=1000,-1,0)),ROUND(G256*Параметры!$B$6,IF(G256*Параметры!$B$6&gt;=1000,-1,0)))))</f>
        <v>555</v>
      </c>
      <c r="L256" s="16">
        <v>0.5</v>
      </c>
      <c r="M256" s="17">
        <f t="shared" si="22"/>
        <v>2</v>
      </c>
      <c r="N256" s="17">
        <f>IF(OR(L256="",L256=0),"",Параметры!$B$3/L256)</f>
        <v>16</v>
      </c>
      <c r="O256" s="15">
        <f>IF(L256="","",IFERROR(INDEX('Почасовка — ставки и план'!$D$5:$D$24,MATCH($D256,'Почасовка — ставки и план'!$A$5:$A$24,0)),""))</f>
        <v>1200</v>
      </c>
      <c r="P256" s="15">
        <f>IF(L256="","",IFERROR(INDEX('Почасовка — ставки и план'!$E$5:$E$24,MATCH($D256,'Почасовка — ставки и план'!$A$5:$A$24,0)),""))</f>
        <v>1440</v>
      </c>
      <c r="Q256" s="15">
        <f t="shared" si="23"/>
        <v>600</v>
      </c>
      <c r="R256" s="13" t="str">
        <f>IF(D256="TEX","аренда техники — сделка/счёт",IF(OR(Q256="",H256="",H256=0),"—",IF(Q256&lt;H256*(1-Параметры!$B$7),"почасовка",IF(Q256&gt;H256*(1+Параметры!$B$7),"сделка","любой способ"))))</f>
        <v>сделка</v>
      </c>
      <c r="S256">
        <v>0.14285714285714279</v>
      </c>
      <c r="T256">
        <v>0.19254658385093171</v>
      </c>
    </row>
    <row r="257" spans="1:20" x14ac:dyDescent="0.25">
      <c r="A257" s="13" t="s">
        <v>566</v>
      </c>
      <c r="B257" s="13" t="s">
        <v>567</v>
      </c>
      <c r="C257" s="13" t="s">
        <v>144</v>
      </c>
      <c r="D257" s="13" t="s">
        <v>545</v>
      </c>
      <c r="E257" s="13" t="str">
        <f>IFERROR(INDEX('Почасовка — ставки и план'!$B$5:$B$24,MATCH(D257,'Почасовка — ставки и план'!$A$5:$A$24,0)),"Аренда техники / механизмы")</f>
        <v>Сервисный инженер ворот и автоматики</v>
      </c>
      <c r="F257" s="14">
        <v>960</v>
      </c>
      <c r="G257" s="14">
        <v>1152</v>
      </c>
      <c r="H257" s="15">
        <v>510</v>
      </c>
      <c r="I257" s="15">
        <f>IF(OR(H257="",F257=""),"",MAX(H257,MIN(ROUND(H257*(1+Параметры!$B$5),IF(H257*(1+Параметры!$B$5)&gt;=1000,-1,0)),ROUND(F257*Параметры!$B$6,IF(F257*Параметры!$B$6&gt;=1000,-1,0)))))</f>
        <v>587</v>
      </c>
      <c r="J257" s="15">
        <v>586</v>
      </c>
      <c r="K257" s="15">
        <f>IF(OR(J257="",G257=""),"",MAX(J257,MIN(ROUND(J257*(1+Параметры!$B$5),IF(J257*(1+Параметры!$B$5)&gt;=1000,-1,0)),ROUND(G257*Параметры!$B$6,IF(G257*Параметры!$B$6&gt;=1000,-1,0)))))</f>
        <v>674</v>
      </c>
      <c r="L257" s="16">
        <v>0.6</v>
      </c>
      <c r="M257" s="17">
        <f t="shared" si="22"/>
        <v>1.6666666666666667</v>
      </c>
      <c r="N257" s="17">
        <f>IF(OR(L257="",L257=0),"",Параметры!$B$3/L257)</f>
        <v>13.333333333333334</v>
      </c>
      <c r="O257" s="15">
        <f>IF(L257="","",IFERROR(INDEX('Почасовка — ставки и план'!$D$5:$D$24,MATCH($D257,'Почасовка — ставки и план'!$A$5:$A$24,0)),""))</f>
        <v>1200</v>
      </c>
      <c r="P257" s="15">
        <f>IF(L257="","",IFERROR(INDEX('Почасовка — ставки и план'!$E$5:$E$24,MATCH($D257,'Почасовка — ставки и план'!$A$5:$A$24,0)),""))</f>
        <v>1440</v>
      </c>
      <c r="Q257" s="15">
        <f t="shared" si="23"/>
        <v>720</v>
      </c>
      <c r="R257" s="13" t="str">
        <f>IF(D257="TEX","аренда техники — сделка/счёт",IF(OR(Q257="",H257="",H257=0),"—",IF(Q257&lt;H257*(1-Параметры!$B$7),"почасовка",IF(Q257&gt;H257*(1+Параметры!$B$7),"сделка","любой способ"))))</f>
        <v>сделка</v>
      </c>
      <c r="S257">
        <v>0.12941176470588231</v>
      </c>
      <c r="T257">
        <v>0.17911975435005109</v>
      </c>
    </row>
    <row r="258" spans="1:20" x14ac:dyDescent="0.25">
      <c r="A258" s="13" t="s">
        <v>568</v>
      </c>
      <c r="B258" s="13" t="s">
        <v>569</v>
      </c>
      <c r="C258" s="13" t="s">
        <v>144</v>
      </c>
      <c r="D258" s="13" t="s">
        <v>545</v>
      </c>
      <c r="E258" s="13" t="str">
        <f>IFERROR(INDEX('Почасовка — ставки и план'!$B$5:$B$24,MATCH(D258,'Почасовка — ставки и план'!$A$5:$A$24,0)),"Аренда техники / механизмы")</f>
        <v>Сервисный инженер ворот и автоматики</v>
      </c>
      <c r="F258" s="14">
        <v>1280</v>
      </c>
      <c r="G258" s="14">
        <v>1536</v>
      </c>
      <c r="H258" s="15">
        <v>660</v>
      </c>
      <c r="I258" s="15">
        <f>IF(OR(H258="",F258=""),"",MAX(H258,MIN(ROUND(H258*(1+Параметры!$B$5),IF(H258*(1+Параметры!$B$5)&gt;=1000,-1,0)),ROUND(F258*Параметры!$B$6,IF(F258*Параметры!$B$6&gt;=1000,-1,0)))))</f>
        <v>759</v>
      </c>
      <c r="J258" s="15">
        <v>759</v>
      </c>
      <c r="K258" s="15">
        <f>IF(OR(J258="",G258=""),"",MAX(J258,MIN(ROUND(J258*(1+Параметры!$B$5),IF(J258*(1+Параметры!$B$5)&gt;=1000,-1,0)),ROUND(G258*Параметры!$B$6,IF(G258*Параметры!$B$6&gt;=1000,-1,0)))))</f>
        <v>873</v>
      </c>
      <c r="L258" s="16">
        <v>0.8</v>
      </c>
      <c r="M258" s="17">
        <f t="shared" si="22"/>
        <v>1.25</v>
      </c>
      <c r="N258" s="17">
        <f>IF(OR(L258="",L258=0),"",Параметры!$B$3/L258)</f>
        <v>10</v>
      </c>
      <c r="O258" s="15">
        <f>IF(L258="","",IFERROR(INDEX('Почасовка — ставки и план'!$D$5:$D$24,MATCH($D258,'Почасовка — ставки и план'!$A$5:$A$24,0)),""))</f>
        <v>1200</v>
      </c>
      <c r="P258" s="15">
        <f>IF(L258="","",IFERROR(INDEX('Почасовка — ставки и план'!$E$5:$E$24,MATCH($D258,'Почасовка — ставки и план'!$A$5:$A$24,0)),""))</f>
        <v>1440</v>
      </c>
      <c r="Q258" s="15">
        <f t="shared" si="23"/>
        <v>960</v>
      </c>
      <c r="R258" s="13" t="str">
        <f>IF(D258="TEX","аренда техники — сделка/счёт",IF(OR(Q258="",H258="",H258=0),"—",IF(Q258&lt;H258*(1-Параметры!$B$7),"почасовка",IF(Q258&gt;H258*(1+Параметры!$B$7),"сделка","любой способ"))))</f>
        <v>сделка</v>
      </c>
      <c r="S258">
        <v>0.16363636363636361</v>
      </c>
      <c r="T258">
        <v>0.2142292490118578</v>
      </c>
    </row>
    <row r="259" spans="1:20" x14ac:dyDescent="0.25">
      <c r="A259" s="13" t="s">
        <v>570</v>
      </c>
      <c r="B259" s="13" t="s">
        <v>571</v>
      </c>
      <c r="C259" s="13" t="s">
        <v>144</v>
      </c>
      <c r="D259" s="13" t="s">
        <v>545</v>
      </c>
      <c r="E259" s="13" t="str">
        <f>IFERROR(INDEX('Почасовка — ставки и план'!$B$5:$B$24,MATCH(D259,'Почасовка — ставки и план'!$A$5:$A$24,0)),"Аренда техники / механизмы")</f>
        <v>Сервисный инженер ворот и автоматики</v>
      </c>
      <c r="F259" s="14">
        <v>800</v>
      </c>
      <c r="G259" s="14">
        <v>960</v>
      </c>
      <c r="H259" s="15">
        <v>360</v>
      </c>
      <c r="I259" s="15">
        <f>IF(OR(H259="",F259=""),"",MAX(H259,MIN(ROUND(H259*(1+Параметры!$B$5),IF(H259*(1+Параметры!$B$5)&gt;=1000,-1,0)),ROUND(F259*Параметры!$B$6,IF(F259*Параметры!$B$6&gt;=1000,-1,0)))))</f>
        <v>414</v>
      </c>
      <c r="J259" s="15">
        <v>414</v>
      </c>
      <c r="K259" s="15">
        <f>IF(OR(J259="",G259=""),"",MAX(J259,MIN(ROUND(J259*(1+Параметры!$B$5),IF(J259*(1+Параметры!$B$5)&gt;=1000,-1,0)),ROUND(G259*Параметры!$B$6,IF(G259*Параметры!$B$6&gt;=1000,-1,0)))))</f>
        <v>476</v>
      </c>
      <c r="L259" s="16">
        <v>0.5</v>
      </c>
      <c r="M259" s="17">
        <f t="shared" si="22"/>
        <v>2</v>
      </c>
      <c r="N259" s="17">
        <f>IF(OR(L259="",L259=0),"",Параметры!$B$3/L259)</f>
        <v>16</v>
      </c>
      <c r="O259" s="15">
        <f>IF(L259="","",IFERROR(INDEX('Почасовка — ставки и план'!$D$5:$D$24,MATCH($D259,'Почасовка — ставки и план'!$A$5:$A$24,0)),""))</f>
        <v>1200</v>
      </c>
      <c r="P259" s="15">
        <f>IF(L259="","",IFERROR(INDEX('Почасовка — ставки и план'!$E$5:$E$24,MATCH($D259,'Почасовка — ставки и план'!$A$5:$A$24,0)),""))</f>
        <v>1440</v>
      </c>
      <c r="Q259" s="15">
        <f t="shared" si="23"/>
        <v>600</v>
      </c>
      <c r="R259" s="13" t="str">
        <f>IF(D259="TEX","аренда техники — сделка/счёт",IF(OR(Q259="",H259="",H259=0),"—",IF(Q259&lt;H259*(1-Параметры!$B$7),"почасовка",IF(Q259&gt;H259*(1+Параметры!$B$7),"сделка","любой способ"))))</f>
        <v>сделка</v>
      </c>
      <c r="S259">
        <v>0.33333333333333331</v>
      </c>
      <c r="T259">
        <v>0.39130434782608692</v>
      </c>
    </row>
    <row r="260" spans="1:20" x14ac:dyDescent="0.25">
      <c r="A260" s="13" t="s">
        <v>572</v>
      </c>
      <c r="B260" s="13" t="s">
        <v>573</v>
      </c>
      <c r="C260" s="13" t="s">
        <v>144</v>
      </c>
      <c r="D260" s="13" t="s">
        <v>545</v>
      </c>
      <c r="E260" s="13" t="str">
        <f>IFERROR(INDEX('Почасовка — ставки и план'!$B$5:$B$24,MATCH(D260,'Почасовка — ставки и план'!$A$5:$A$24,0)),"Аренда техники / механизмы")</f>
        <v>Сервисный инженер ворот и автоматики</v>
      </c>
      <c r="F260" s="14">
        <v>640</v>
      </c>
      <c r="G260" s="14">
        <v>768</v>
      </c>
      <c r="H260" s="15">
        <v>300</v>
      </c>
      <c r="I260" s="15">
        <f>IF(OR(H260="",F260=""),"",MAX(H260,MIN(ROUND(H260*(1+Параметры!$B$5),IF(H260*(1+Параметры!$B$5)&gt;=1000,-1,0)),ROUND(F260*Параметры!$B$6,IF(F260*Параметры!$B$6&gt;=1000,-1,0)))))</f>
        <v>345</v>
      </c>
      <c r="J260" s="15">
        <v>345</v>
      </c>
      <c r="K260" s="15">
        <f>IF(OR(J260="",G260=""),"",MAX(J260,MIN(ROUND(J260*(1+Параметры!$B$5),IF(J260*(1+Параметры!$B$5)&gt;=1000,-1,0)),ROUND(G260*Параметры!$B$6,IF(G260*Параметры!$B$6&gt;=1000,-1,0)))))</f>
        <v>397</v>
      </c>
      <c r="L260" s="16">
        <v>0.4</v>
      </c>
      <c r="M260" s="17">
        <f t="shared" si="22"/>
        <v>2.5</v>
      </c>
      <c r="N260" s="17">
        <f>IF(OR(L260="",L260=0),"",Параметры!$B$3/L260)</f>
        <v>20</v>
      </c>
      <c r="O260" s="15">
        <f>IF(L260="","",IFERROR(INDEX('Почасовка — ставки и план'!$D$5:$D$24,MATCH($D260,'Почасовка — ставки и план'!$A$5:$A$24,0)),""))</f>
        <v>1200</v>
      </c>
      <c r="P260" s="15">
        <f>IF(L260="","",IFERROR(INDEX('Почасовка — ставки и план'!$E$5:$E$24,MATCH($D260,'Почасовка — ставки и план'!$A$5:$A$24,0)),""))</f>
        <v>1440</v>
      </c>
      <c r="Q260" s="15">
        <f t="shared" si="23"/>
        <v>480</v>
      </c>
      <c r="R260" s="13" t="str">
        <f>IF(D260="TEX","аренда техники — сделка/счёт",IF(OR(Q260="",H260="",H260=0),"—",IF(Q260&lt;H260*(1-Параметры!$B$7),"почасовка",IF(Q260&gt;H260*(1+Параметры!$B$7),"сделка","любой способ"))))</f>
        <v>сделка</v>
      </c>
      <c r="S260">
        <v>0.28000000000000003</v>
      </c>
      <c r="T260">
        <v>0.33565217391304358</v>
      </c>
    </row>
    <row r="261" spans="1:20" x14ac:dyDescent="0.25">
      <c r="A261" s="13" t="s">
        <v>574</v>
      </c>
      <c r="B261" s="13" t="s">
        <v>575</v>
      </c>
      <c r="C261" s="13" t="s">
        <v>144</v>
      </c>
      <c r="D261" s="13" t="s">
        <v>545</v>
      </c>
      <c r="E261" s="13" t="str">
        <f>IFERROR(INDEX('Почасовка — ставки и план'!$B$5:$B$24,MATCH(D261,'Почасовка — ставки и план'!$A$5:$A$24,0)),"Аренда техники / механизмы")</f>
        <v>Сервисный инженер ворот и автоматики</v>
      </c>
      <c r="F261" s="14">
        <v>240</v>
      </c>
      <c r="G261" s="14">
        <v>288</v>
      </c>
      <c r="H261" s="15">
        <v>120</v>
      </c>
      <c r="I261" s="15">
        <f>IF(OR(H261="",F261=""),"",MAX(H261,MIN(ROUND(H261*(1+Параметры!$B$5),IF(H261*(1+Параметры!$B$5)&gt;=1000,-1,0)),ROUND(F261*Параметры!$B$6,IF(F261*Параметры!$B$6&gt;=1000,-1,0)))))</f>
        <v>138</v>
      </c>
      <c r="J261" s="15">
        <v>138</v>
      </c>
      <c r="K261" s="15">
        <f>IF(OR(J261="",G261=""),"",MAX(J261,MIN(ROUND(J261*(1+Параметры!$B$5),IF(J261*(1+Параметры!$B$5)&gt;=1000,-1,0)),ROUND(G261*Параметры!$B$6,IF(G261*Параметры!$B$6&gt;=1000,-1,0)))))</f>
        <v>159</v>
      </c>
      <c r="L261" s="16">
        <v>0.15</v>
      </c>
      <c r="M261" s="17">
        <f t="shared" si="22"/>
        <v>6.666666666666667</v>
      </c>
      <c r="N261" s="17">
        <f>IF(OR(L261="",L261=0),"",Параметры!$B$3/L261)</f>
        <v>53.333333333333336</v>
      </c>
      <c r="O261" s="15">
        <f>IF(L261="","",IFERROR(INDEX('Почасовка — ставки и план'!$D$5:$D$24,MATCH($D261,'Почасовка — ставки и план'!$A$5:$A$24,0)),""))</f>
        <v>1200</v>
      </c>
      <c r="P261" s="15">
        <f>IF(L261="","",IFERROR(INDEX('Почасовка — ставки и план'!$E$5:$E$24,MATCH($D261,'Почасовка — ставки и план'!$A$5:$A$24,0)),""))</f>
        <v>1440</v>
      </c>
      <c r="Q261" s="15">
        <f t="shared" si="23"/>
        <v>180</v>
      </c>
      <c r="R261" s="13" t="str">
        <f>IF(D261="TEX","аренда техники — сделка/счёт",IF(OR(Q261="",H261="",H261=0),"—",IF(Q261&lt;H261*(1-Параметры!$B$7),"почасовка",IF(Q261&gt;H261*(1+Параметры!$B$7),"сделка","любой способ"))))</f>
        <v>сделка</v>
      </c>
      <c r="S261">
        <v>0.2</v>
      </c>
      <c r="T261">
        <v>0.25217391304347841</v>
      </c>
    </row>
    <row r="262" spans="1:20" x14ac:dyDescent="0.25">
      <c r="A262" s="13" t="s">
        <v>576</v>
      </c>
      <c r="B262" s="13" t="s">
        <v>577</v>
      </c>
      <c r="C262" s="13" t="s">
        <v>144</v>
      </c>
      <c r="D262" s="13" t="s">
        <v>545</v>
      </c>
      <c r="E262" s="13" t="str">
        <f>IFERROR(INDEX('Почасовка — ставки и план'!$B$5:$B$24,MATCH(D262,'Почасовка — ставки и план'!$A$5:$A$24,0)),"Аренда техники / механизмы")</f>
        <v>Сервисный инженер ворот и автоматики</v>
      </c>
      <c r="F262" s="14">
        <v>4800</v>
      </c>
      <c r="G262" s="14">
        <v>5760</v>
      </c>
      <c r="H262" s="15">
        <v>2100</v>
      </c>
      <c r="I262" s="15">
        <f>IF(OR(H262="",F262=""),"",MAX(H262,MIN(ROUND(H262*(1+Параметры!$B$5),IF(H262*(1+Параметры!$B$5)&gt;=1000,-1,0)),ROUND(F262*Параметры!$B$6,IF(F262*Параметры!$B$6&gt;=1000,-1,0)))))</f>
        <v>2420</v>
      </c>
      <c r="J262" s="15">
        <v>2415</v>
      </c>
      <c r="K262" s="15">
        <f>IF(OR(J262="",G262=""),"",MAX(J262,MIN(ROUND(J262*(1+Параметры!$B$5),IF(J262*(1+Параметры!$B$5)&gt;=1000,-1,0)),ROUND(G262*Параметры!$B$6,IF(G262*Параметры!$B$6&gt;=1000,-1,0)))))</f>
        <v>2780</v>
      </c>
      <c r="L262" s="16">
        <v>3</v>
      </c>
      <c r="M262" s="17">
        <f t="shared" si="22"/>
        <v>0.33333333333333331</v>
      </c>
      <c r="N262" s="17">
        <f>IF(OR(L262="",L262=0),"",Параметры!$B$3/L262)</f>
        <v>2.6666666666666665</v>
      </c>
      <c r="O262" s="15">
        <f>IF(L262="","",IFERROR(INDEX('Почасовка — ставки и план'!$D$5:$D$24,MATCH($D262,'Почасовка — ставки и план'!$A$5:$A$24,0)),""))</f>
        <v>1200</v>
      </c>
      <c r="P262" s="15">
        <f>IF(L262="","",IFERROR(INDEX('Почасовка — ставки и план'!$E$5:$E$24,MATCH($D262,'Почасовка — ставки и план'!$A$5:$A$24,0)),""))</f>
        <v>1440</v>
      </c>
      <c r="Q262" s="15">
        <f t="shared" si="23"/>
        <v>3600</v>
      </c>
      <c r="R262" s="13" t="str">
        <f>IF(D262="TEX","аренда техники — сделка/счёт",IF(OR(Q262="",H262="",H262=0),"—",IF(Q262&lt;H262*(1-Параметры!$B$7),"почасовка",IF(Q262&gt;H262*(1+Параметры!$B$7),"сделка","любой способ"))))</f>
        <v>сделка</v>
      </c>
      <c r="S262">
        <v>0.37142857142857139</v>
      </c>
      <c r="T262">
        <v>0.43105590062111809</v>
      </c>
    </row>
    <row r="263" spans="1:20" x14ac:dyDescent="0.25">
      <c r="A263" s="13" t="s">
        <v>578</v>
      </c>
      <c r="B263" s="13" t="s">
        <v>579</v>
      </c>
      <c r="C263" s="13" t="s">
        <v>144</v>
      </c>
      <c r="D263" s="13" t="s">
        <v>545</v>
      </c>
      <c r="E263" s="13" t="str">
        <f>IFERROR(INDEX('Почасовка — ставки и план'!$B$5:$B$24,MATCH(D263,'Почасовка — ставки и план'!$A$5:$A$24,0)),"Аренда техники / механизмы")</f>
        <v>Сервисный инженер ворот и автоматики</v>
      </c>
      <c r="F263" s="14">
        <v>4800</v>
      </c>
      <c r="G263" s="14">
        <v>5760</v>
      </c>
      <c r="H263" s="15">
        <v>2100</v>
      </c>
      <c r="I263" s="15">
        <f>IF(OR(H263="",F263=""),"",MAX(H263,MIN(ROUND(H263*(1+Параметры!$B$5),IF(H263*(1+Параметры!$B$5)&gt;=1000,-1,0)),ROUND(F263*Параметры!$B$6,IF(F263*Параметры!$B$6&gt;=1000,-1,0)))))</f>
        <v>2420</v>
      </c>
      <c r="J263" s="15">
        <v>2415</v>
      </c>
      <c r="K263" s="15">
        <f>IF(OR(J263="",G263=""),"",MAX(J263,MIN(ROUND(J263*(1+Параметры!$B$5),IF(J263*(1+Параметры!$B$5)&gt;=1000,-1,0)),ROUND(G263*Параметры!$B$6,IF(G263*Параметры!$B$6&gt;=1000,-1,0)))))</f>
        <v>2780</v>
      </c>
      <c r="L263" s="16">
        <v>3</v>
      </c>
      <c r="M263" s="17">
        <f t="shared" si="22"/>
        <v>0.33333333333333331</v>
      </c>
      <c r="N263" s="17">
        <f>IF(OR(L263="",L263=0),"",Параметры!$B$3/L263)</f>
        <v>2.6666666666666665</v>
      </c>
      <c r="O263" s="15">
        <f>IF(L263="","",IFERROR(INDEX('Почасовка — ставки и план'!$D$5:$D$24,MATCH($D263,'Почасовка — ставки и план'!$A$5:$A$24,0)),""))</f>
        <v>1200</v>
      </c>
      <c r="P263" s="15">
        <f>IF(L263="","",IFERROR(INDEX('Почасовка — ставки и план'!$E$5:$E$24,MATCH($D263,'Почасовка — ставки и план'!$A$5:$A$24,0)),""))</f>
        <v>1440</v>
      </c>
      <c r="Q263" s="15">
        <f t="shared" si="23"/>
        <v>3600</v>
      </c>
      <c r="R263" s="13" t="str">
        <f>IF(D263="TEX","аренда техники — сделка/счёт",IF(OR(Q263="",H263="",H263=0),"—",IF(Q263&lt;H263*(1-Параметры!$B$7),"почасовка",IF(Q263&gt;H263*(1+Параметры!$B$7),"сделка","любой способ"))))</f>
        <v>сделка</v>
      </c>
      <c r="S263">
        <v>0.37142857142857139</v>
      </c>
      <c r="T263">
        <v>0.43105590062111809</v>
      </c>
    </row>
    <row r="264" spans="1:20" x14ac:dyDescent="0.25">
      <c r="A264" s="13" t="s">
        <v>580</v>
      </c>
      <c r="B264" s="13" t="s">
        <v>581</v>
      </c>
      <c r="C264" s="13" t="s">
        <v>144</v>
      </c>
      <c r="D264" s="13" t="s">
        <v>545</v>
      </c>
      <c r="E264" s="13" t="str">
        <f>IFERROR(INDEX('Почасовка — ставки и план'!$B$5:$B$24,MATCH(D264,'Почасовка — ставки и план'!$A$5:$A$24,0)),"Аренда техники / механизмы")</f>
        <v>Сервисный инженер ворот и автоматики</v>
      </c>
      <c r="F264" s="14">
        <v>4800</v>
      </c>
      <c r="G264" s="14">
        <v>5760</v>
      </c>
      <c r="H264" s="15">
        <v>2100</v>
      </c>
      <c r="I264" s="15">
        <f>IF(OR(H264="",F264=""),"",MAX(H264,MIN(ROUND(H264*(1+Параметры!$B$5),IF(H264*(1+Параметры!$B$5)&gt;=1000,-1,0)),ROUND(F264*Параметры!$B$6,IF(F264*Параметры!$B$6&gt;=1000,-1,0)))))</f>
        <v>2420</v>
      </c>
      <c r="J264" s="15">
        <v>2415</v>
      </c>
      <c r="K264" s="15">
        <f>IF(OR(J264="",G264=""),"",MAX(J264,MIN(ROUND(J264*(1+Параметры!$B$5),IF(J264*(1+Параметры!$B$5)&gt;=1000,-1,0)),ROUND(G264*Параметры!$B$6,IF(G264*Параметры!$B$6&gt;=1000,-1,0)))))</f>
        <v>2780</v>
      </c>
      <c r="L264" s="16">
        <v>3</v>
      </c>
      <c r="M264" s="17">
        <f t="shared" si="22"/>
        <v>0.33333333333333331</v>
      </c>
      <c r="N264" s="17">
        <f>IF(OR(L264="",L264=0),"",Параметры!$B$3/L264)</f>
        <v>2.6666666666666665</v>
      </c>
      <c r="O264" s="15">
        <f>IF(L264="","",IFERROR(INDEX('Почасовка — ставки и план'!$D$5:$D$24,MATCH($D264,'Почасовка — ставки и план'!$A$5:$A$24,0)),""))</f>
        <v>1200</v>
      </c>
      <c r="P264" s="15">
        <f>IF(L264="","",IFERROR(INDEX('Почасовка — ставки и план'!$E$5:$E$24,MATCH($D264,'Почасовка — ставки и план'!$A$5:$A$24,0)),""))</f>
        <v>1440</v>
      </c>
      <c r="Q264" s="15">
        <f t="shared" si="23"/>
        <v>3600</v>
      </c>
      <c r="R264" s="13" t="str">
        <f>IF(D264="TEX","аренда техники — сделка/счёт",IF(OR(Q264="",H264="",H264=0),"—",IF(Q264&lt;H264*(1-Параметры!$B$7),"почасовка",IF(Q264&gt;H264*(1+Параметры!$B$7),"сделка","любой способ"))))</f>
        <v>сделка</v>
      </c>
      <c r="S264">
        <v>0.37142857142857139</v>
      </c>
      <c r="T264">
        <v>0.43105590062111809</v>
      </c>
    </row>
    <row r="265" spans="1:20" x14ac:dyDescent="0.25">
      <c r="A265" s="13" t="s">
        <v>582</v>
      </c>
      <c r="B265" s="13" t="s">
        <v>583</v>
      </c>
      <c r="C265" s="13" t="s">
        <v>144</v>
      </c>
      <c r="D265" s="13" t="s">
        <v>545</v>
      </c>
      <c r="E265" s="13" t="str">
        <f>IFERROR(INDEX('Почасовка — ставки и план'!$B$5:$B$24,MATCH(D265,'Почасовка — ставки и план'!$A$5:$A$24,0)),"Аренда техники / механизмы")</f>
        <v>Сервисный инженер ворот и автоматики</v>
      </c>
      <c r="F265" s="14">
        <v>4000</v>
      </c>
      <c r="G265" s="14">
        <v>4800</v>
      </c>
      <c r="H265" s="15">
        <v>1800</v>
      </c>
      <c r="I265" s="15">
        <f>IF(OR(H265="",F265=""),"",MAX(H265,MIN(ROUND(H265*(1+Параметры!$B$5),IF(H265*(1+Параметры!$B$5)&gt;=1000,-1,0)),ROUND(F265*Параметры!$B$6,IF(F265*Параметры!$B$6&gt;=1000,-1,0)))))</f>
        <v>2070</v>
      </c>
      <c r="J265" s="15">
        <v>2070</v>
      </c>
      <c r="K265" s="15">
        <f>IF(OR(J265="",G265=""),"",MAX(J265,MIN(ROUND(J265*(1+Параметры!$B$5),IF(J265*(1+Параметры!$B$5)&gt;=1000,-1,0)),ROUND(G265*Параметры!$B$6,IF(G265*Параметры!$B$6&gt;=1000,-1,0)))))</f>
        <v>2380</v>
      </c>
      <c r="L265" s="16">
        <v>2.5</v>
      </c>
      <c r="M265" s="17">
        <f t="shared" si="22"/>
        <v>0.4</v>
      </c>
      <c r="N265" s="17">
        <f>IF(OR(L265="",L265=0),"",Параметры!$B$3/L265)</f>
        <v>3.2</v>
      </c>
      <c r="O265" s="15">
        <f>IF(L265="","",IFERROR(INDEX('Почасовка — ставки и план'!$D$5:$D$24,MATCH($D265,'Почасовка — ставки и план'!$A$5:$A$24,0)),""))</f>
        <v>1200</v>
      </c>
      <c r="P265" s="15">
        <f>IF(L265="","",IFERROR(INDEX('Почасовка — ставки и план'!$E$5:$E$24,MATCH($D265,'Почасовка — ставки и план'!$A$5:$A$24,0)),""))</f>
        <v>1440</v>
      </c>
      <c r="Q265" s="15">
        <f t="shared" si="23"/>
        <v>3000</v>
      </c>
      <c r="R265" s="13" t="str">
        <f>IF(D265="TEX","аренда техники — сделка/счёт",IF(OR(Q265="",H265="",H265=0),"—",IF(Q265&lt;H265*(1-Параметры!$B$7),"почасовка",IF(Q265&gt;H265*(1+Параметры!$B$7),"сделка","любой способ"))))</f>
        <v>сделка</v>
      </c>
      <c r="S265">
        <v>0.33333333333333331</v>
      </c>
      <c r="T265">
        <v>0.39130434782608692</v>
      </c>
    </row>
    <row r="266" spans="1:20" x14ac:dyDescent="0.25">
      <c r="A266" s="13" t="s">
        <v>584</v>
      </c>
      <c r="B266" s="13" t="s">
        <v>585</v>
      </c>
      <c r="C266" s="13" t="s">
        <v>144</v>
      </c>
      <c r="D266" s="13" t="s">
        <v>545</v>
      </c>
      <c r="E266" s="13" t="str">
        <f>IFERROR(INDEX('Почасовка — ставки и план'!$B$5:$B$24,MATCH(D266,'Почасовка — ставки и план'!$A$5:$A$24,0)),"Аренда техники / механизмы")</f>
        <v>Сервисный инженер ворот и автоматики</v>
      </c>
      <c r="F266" s="14">
        <v>3200</v>
      </c>
      <c r="G266" s="14">
        <v>3840</v>
      </c>
      <c r="H266" s="15">
        <v>1500</v>
      </c>
      <c r="I266" s="15">
        <f>IF(OR(H266="",F266=""),"",MAX(H266,MIN(ROUND(H266*(1+Параметры!$B$5),IF(H266*(1+Параметры!$B$5)&gt;=1000,-1,0)),ROUND(F266*Параметры!$B$6,IF(F266*Параметры!$B$6&gt;=1000,-1,0)))))</f>
        <v>1730</v>
      </c>
      <c r="J266" s="15">
        <v>1725</v>
      </c>
      <c r="K266" s="15">
        <f>IF(OR(J266="",G266=""),"",MAX(J266,MIN(ROUND(J266*(1+Параметры!$B$5),IF(J266*(1+Параметры!$B$5)&gt;=1000,-1,0)),ROUND(G266*Параметры!$B$6,IF(G266*Параметры!$B$6&gt;=1000,-1,0)))))</f>
        <v>1980</v>
      </c>
      <c r="L266" s="16">
        <v>2</v>
      </c>
      <c r="M266" s="17">
        <f t="shared" si="22"/>
        <v>0.5</v>
      </c>
      <c r="N266" s="17">
        <f>IF(OR(L266="",L266=0),"",Параметры!$B$3/L266)</f>
        <v>4</v>
      </c>
      <c r="O266" s="15">
        <f>IF(L266="","",IFERROR(INDEX('Почасовка — ставки и план'!$D$5:$D$24,MATCH($D266,'Почасовка — ставки и план'!$A$5:$A$24,0)),""))</f>
        <v>1200</v>
      </c>
      <c r="P266" s="15">
        <f>IF(L266="","",IFERROR(INDEX('Почасовка — ставки и план'!$E$5:$E$24,MATCH($D266,'Почасовка — ставки и план'!$A$5:$A$24,0)),""))</f>
        <v>1440</v>
      </c>
      <c r="Q266" s="15">
        <f t="shared" si="23"/>
        <v>2400</v>
      </c>
      <c r="R266" s="13" t="str">
        <f>IF(D266="TEX","аренда техники — сделка/счёт",IF(OR(Q266="",H266="",H266=0),"—",IF(Q266&lt;H266*(1-Параметры!$B$7),"почасовка",IF(Q266&gt;H266*(1+Параметры!$B$7),"сделка","любой способ"))))</f>
        <v>сделка</v>
      </c>
      <c r="S266">
        <v>0.28000000000000003</v>
      </c>
      <c r="T266">
        <v>0.33565217391304358</v>
      </c>
    </row>
    <row r="267" spans="1:20" x14ac:dyDescent="0.25">
      <c r="A267" s="13" t="s">
        <v>586</v>
      </c>
      <c r="B267" s="13" t="s">
        <v>587</v>
      </c>
      <c r="C267" s="13" t="s">
        <v>69</v>
      </c>
      <c r="D267" s="13" t="s">
        <v>545</v>
      </c>
      <c r="E267" s="13" t="str">
        <f>IFERROR(INDEX('Почасовка — ставки и план'!$B$5:$B$24,MATCH(D267,'Почасовка — ставки и план'!$A$5:$A$24,0)),"Аренда техники / механизмы")</f>
        <v>Сервисный инженер ворот и автоматики</v>
      </c>
      <c r="F267" s="14">
        <v>160</v>
      </c>
      <c r="G267" s="14">
        <v>192</v>
      </c>
      <c r="H267" s="15">
        <v>70</v>
      </c>
      <c r="I267" s="15">
        <f>IF(OR(H267="",F267=""),"",MAX(H267,MIN(ROUND(H267*(1+Параметры!$B$5),IF(H267*(1+Параметры!$B$5)&gt;=1000,-1,0)),ROUND(F267*Параметры!$B$6,IF(F267*Параметры!$B$6&gt;=1000,-1,0)))))</f>
        <v>81</v>
      </c>
      <c r="J267" s="15">
        <v>80.5</v>
      </c>
      <c r="K267" s="15">
        <f>IF(OR(J267="",G267=""),"",MAX(J267,MIN(ROUND(J267*(1+Параметры!$B$5),IF(J267*(1+Параметры!$B$5)&gt;=1000,-1,0)),ROUND(G267*Параметры!$B$6,IF(G267*Параметры!$B$6&gt;=1000,-1,0)))))</f>
        <v>93</v>
      </c>
      <c r="L267" s="16">
        <v>0.1</v>
      </c>
      <c r="M267" s="17">
        <f t="shared" si="22"/>
        <v>10</v>
      </c>
      <c r="N267" s="17">
        <f>IF(OR(L267="",L267=0),"",Параметры!$B$3/L267)</f>
        <v>80</v>
      </c>
      <c r="O267" s="15">
        <f>IF(L267="","",IFERROR(INDEX('Почасовка — ставки и план'!$D$5:$D$24,MATCH($D267,'Почасовка — ставки и план'!$A$5:$A$24,0)),""))</f>
        <v>1200</v>
      </c>
      <c r="P267" s="15">
        <f>IF(L267="","",IFERROR(INDEX('Почасовка — ставки и план'!$E$5:$E$24,MATCH($D267,'Почасовка — ставки и план'!$A$5:$A$24,0)),""))</f>
        <v>1440</v>
      </c>
      <c r="Q267" s="15">
        <f t="shared" si="23"/>
        <v>120</v>
      </c>
      <c r="R267" s="13" t="str">
        <f>IF(D267="TEX","аренда техники — сделка/счёт",IF(OR(Q267="",H267="",H267=0),"—",IF(Q267&lt;H267*(1-Параметры!$B$7),"почасовка",IF(Q267&gt;H267*(1+Параметры!$B$7),"сделка","любой способ"))))</f>
        <v>сделка</v>
      </c>
      <c r="S267">
        <v>0.33333333333333331</v>
      </c>
      <c r="T267">
        <v>0.39130434782608692</v>
      </c>
    </row>
    <row r="268" spans="1:20" x14ac:dyDescent="0.25">
      <c r="A268" s="13" t="s">
        <v>588</v>
      </c>
      <c r="B268" s="13" t="s">
        <v>589</v>
      </c>
      <c r="C268" s="13" t="s">
        <v>144</v>
      </c>
      <c r="D268" s="13" t="s">
        <v>545</v>
      </c>
      <c r="E268" s="13" t="str">
        <f>IFERROR(INDEX('Почасовка — ставки и план'!$B$5:$B$24,MATCH(D268,'Почасовка — ставки и план'!$A$5:$A$24,0)),"Аренда техники / механизмы")</f>
        <v>Сервисный инженер ворот и автоматики</v>
      </c>
      <c r="F268" s="14">
        <v>640</v>
      </c>
      <c r="G268" s="14">
        <v>768</v>
      </c>
      <c r="H268" s="15">
        <v>300</v>
      </c>
      <c r="I268" s="15">
        <f>IF(OR(H268="",F268=""),"",MAX(H268,MIN(ROUND(H268*(1+Параметры!$B$5),IF(H268*(1+Параметры!$B$5)&gt;=1000,-1,0)),ROUND(F268*Параметры!$B$6,IF(F268*Параметры!$B$6&gt;=1000,-1,0)))))</f>
        <v>345</v>
      </c>
      <c r="J268" s="15">
        <v>345</v>
      </c>
      <c r="K268" s="15">
        <f>IF(OR(J268="",G268=""),"",MAX(J268,MIN(ROUND(J268*(1+Параметры!$B$5),IF(J268*(1+Параметры!$B$5)&gt;=1000,-1,0)),ROUND(G268*Параметры!$B$6,IF(G268*Параметры!$B$6&gt;=1000,-1,0)))))</f>
        <v>397</v>
      </c>
      <c r="L268" s="16">
        <v>0.4</v>
      </c>
      <c r="M268" s="17">
        <f t="shared" si="22"/>
        <v>2.5</v>
      </c>
      <c r="N268" s="17">
        <f>IF(OR(L268="",L268=0),"",Параметры!$B$3/L268)</f>
        <v>20</v>
      </c>
      <c r="O268" s="15">
        <f>IF(L268="","",IFERROR(INDEX('Почасовка — ставки и план'!$D$5:$D$24,MATCH($D268,'Почасовка — ставки и план'!$A$5:$A$24,0)),""))</f>
        <v>1200</v>
      </c>
      <c r="P268" s="15">
        <f>IF(L268="","",IFERROR(INDEX('Почасовка — ставки и план'!$E$5:$E$24,MATCH($D268,'Почасовка — ставки и план'!$A$5:$A$24,0)),""))</f>
        <v>1440</v>
      </c>
      <c r="Q268" s="15">
        <f t="shared" si="23"/>
        <v>480</v>
      </c>
      <c r="R268" s="13" t="str">
        <f>IF(D268="TEX","аренда техники — сделка/счёт",IF(OR(Q268="",H268="",H268=0),"—",IF(Q268&lt;H268*(1-Параметры!$B$7),"почасовка",IF(Q268&gt;H268*(1+Параметры!$B$7),"сделка","любой способ"))))</f>
        <v>сделка</v>
      </c>
      <c r="S268">
        <v>0.28000000000000003</v>
      </c>
      <c r="T268">
        <v>0.33565217391304358</v>
      </c>
    </row>
    <row r="269" spans="1:20" x14ac:dyDescent="0.25">
      <c r="A269" s="13" t="s">
        <v>590</v>
      </c>
      <c r="B269" s="13" t="s">
        <v>591</v>
      </c>
      <c r="C269" s="13" t="s">
        <v>144</v>
      </c>
      <c r="D269" s="13" t="s">
        <v>545</v>
      </c>
      <c r="E269" s="13" t="str">
        <f>IFERROR(INDEX('Почасовка — ставки и план'!$B$5:$B$24,MATCH(D269,'Почасовка — ставки и план'!$A$5:$A$24,0)),"Аренда техники / механизмы")</f>
        <v>Сервисный инженер ворот и автоматики</v>
      </c>
      <c r="F269" s="14">
        <v>800</v>
      </c>
      <c r="G269" s="14">
        <v>960</v>
      </c>
      <c r="H269" s="15">
        <v>360</v>
      </c>
      <c r="I269" s="15">
        <f>IF(OR(H269="",F269=""),"",MAX(H269,MIN(ROUND(H269*(1+Параметры!$B$5),IF(H269*(1+Параметры!$B$5)&gt;=1000,-1,0)),ROUND(F269*Параметры!$B$6,IF(F269*Параметры!$B$6&gt;=1000,-1,0)))))</f>
        <v>414</v>
      </c>
      <c r="J269" s="15">
        <v>414</v>
      </c>
      <c r="K269" s="15">
        <f>IF(OR(J269="",G269=""),"",MAX(J269,MIN(ROUND(J269*(1+Параметры!$B$5),IF(J269*(1+Параметры!$B$5)&gt;=1000,-1,0)),ROUND(G269*Параметры!$B$6,IF(G269*Параметры!$B$6&gt;=1000,-1,0)))))</f>
        <v>476</v>
      </c>
      <c r="L269" s="16">
        <v>0.5</v>
      </c>
      <c r="M269" s="17">
        <f t="shared" si="22"/>
        <v>2</v>
      </c>
      <c r="N269" s="17">
        <f>IF(OR(L269="",L269=0),"",Параметры!$B$3/L269)</f>
        <v>16</v>
      </c>
      <c r="O269" s="15">
        <f>IF(L269="","",IFERROR(INDEX('Почасовка — ставки и план'!$D$5:$D$24,MATCH($D269,'Почасовка — ставки и план'!$A$5:$A$24,0)),""))</f>
        <v>1200</v>
      </c>
      <c r="P269" s="15">
        <f>IF(L269="","",IFERROR(INDEX('Почасовка — ставки и план'!$E$5:$E$24,MATCH($D269,'Почасовка — ставки и план'!$A$5:$A$24,0)),""))</f>
        <v>1440</v>
      </c>
      <c r="Q269" s="15">
        <f t="shared" si="23"/>
        <v>600</v>
      </c>
      <c r="R269" s="13" t="str">
        <f>IF(D269="TEX","аренда техники — сделка/счёт",IF(OR(Q269="",H269="",H269=0),"—",IF(Q269&lt;H269*(1-Параметры!$B$7),"почасовка",IF(Q269&gt;H269*(1+Параметры!$B$7),"сделка","любой способ"))))</f>
        <v>сделка</v>
      </c>
      <c r="S269">
        <v>0.33333333333333331</v>
      </c>
      <c r="T269">
        <v>0.39130434782608692</v>
      </c>
    </row>
    <row r="270" spans="1:20" x14ac:dyDescent="0.25">
      <c r="A270" s="13" t="s">
        <v>592</v>
      </c>
      <c r="B270" s="13" t="s">
        <v>593</v>
      </c>
      <c r="C270" s="13" t="s">
        <v>144</v>
      </c>
      <c r="D270" s="13" t="s">
        <v>545</v>
      </c>
      <c r="E270" s="13" t="str">
        <f>IFERROR(INDEX('Почасовка — ставки и план'!$B$5:$B$24,MATCH(D270,'Почасовка — ставки и план'!$A$5:$A$24,0)),"Аренда техники / механизмы")</f>
        <v>Сервисный инженер ворот и автоматики</v>
      </c>
      <c r="F270" s="14">
        <v>800</v>
      </c>
      <c r="G270" s="14">
        <v>960</v>
      </c>
      <c r="H270" s="15">
        <v>360</v>
      </c>
      <c r="I270" s="15">
        <f>IF(OR(H270="",F270=""),"",MAX(H270,MIN(ROUND(H270*(1+Параметры!$B$5),IF(H270*(1+Параметры!$B$5)&gt;=1000,-1,0)),ROUND(F270*Параметры!$B$6,IF(F270*Параметры!$B$6&gt;=1000,-1,0)))))</f>
        <v>414</v>
      </c>
      <c r="J270" s="15">
        <v>414</v>
      </c>
      <c r="K270" s="15">
        <f>IF(OR(J270="",G270=""),"",MAX(J270,MIN(ROUND(J270*(1+Параметры!$B$5),IF(J270*(1+Параметры!$B$5)&gt;=1000,-1,0)),ROUND(G270*Параметры!$B$6,IF(G270*Параметры!$B$6&gt;=1000,-1,0)))))</f>
        <v>476</v>
      </c>
      <c r="L270" s="16">
        <v>0.5</v>
      </c>
      <c r="M270" s="17">
        <f t="shared" si="22"/>
        <v>2</v>
      </c>
      <c r="N270" s="17">
        <f>IF(OR(L270="",L270=0),"",Параметры!$B$3/L270)</f>
        <v>16</v>
      </c>
      <c r="O270" s="15">
        <f>IF(L270="","",IFERROR(INDEX('Почасовка — ставки и план'!$D$5:$D$24,MATCH($D270,'Почасовка — ставки и план'!$A$5:$A$24,0)),""))</f>
        <v>1200</v>
      </c>
      <c r="P270" s="15">
        <f>IF(L270="","",IFERROR(INDEX('Почасовка — ставки и план'!$E$5:$E$24,MATCH($D270,'Почасовка — ставки и план'!$A$5:$A$24,0)),""))</f>
        <v>1440</v>
      </c>
      <c r="Q270" s="15">
        <f t="shared" si="23"/>
        <v>600</v>
      </c>
      <c r="R270" s="13" t="str">
        <f>IF(D270="TEX","аренда техники — сделка/счёт",IF(OR(Q270="",H270="",H270=0),"—",IF(Q270&lt;H270*(1-Параметры!$B$7),"почасовка",IF(Q270&gt;H270*(1+Параметры!$B$7),"сделка","любой способ"))))</f>
        <v>сделка</v>
      </c>
      <c r="S270">
        <v>0.33333333333333331</v>
      </c>
      <c r="T270">
        <v>0.39130434782608692</v>
      </c>
    </row>
    <row r="271" spans="1:20" x14ac:dyDescent="0.25">
      <c r="A271" s="13" t="s">
        <v>594</v>
      </c>
      <c r="B271" s="13" t="s">
        <v>595</v>
      </c>
      <c r="C271" s="13" t="s">
        <v>72</v>
      </c>
      <c r="D271" s="13" t="s">
        <v>545</v>
      </c>
      <c r="E271" s="13" t="str">
        <f>IFERROR(INDEX('Почасовка — ставки и план'!$B$5:$B$24,MATCH(D271,'Почасовка — ставки и план'!$A$5:$A$24,0)),"Аренда техники / механизмы")</f>
        <v>Сервисный инженер ворот и автоматики</v>
      </c>
      <c r="F271" s="14">
        <v>1280</v>
      </c>
      <c r="G271" s="14">
        <v>1536</v>
      </c>
      <c r="H271" s="15">
        <v>420</v>
      </c>
      <c r="I271" s="15">
        <f>IF(OR(H271="",F271=""),"",MAX(H271,MIN(ROUND(H271*(1+Параметры!$B$5),IF(H271*(1+Параметры!$B$5)&gt;=1000,-1,0)),ROUND(F271*Параметры!$B$6,IF(F271*Параметры!$B$6&gt;=1000,-1,0)))))</f>
        <v>483</v>
      </c>
      <c r="J271" s="15">
        <v>483</v>
      </c>
      <c r="K271" s="15">
        <f>IF(OR(J271="",G271=""),"",MAX(J271,MIN(ROUND(J271*(1+Параметры!$B$5),IF(J271*(1+Параметры!$B$5)&gt;=1000,-1,0)),ROUND(G271*Параметры!$B$6,IF(G271*Параметры!$B$6&gt;=1000,-1,0)))))</f>
        <v>555</v>
      </c>
      <c r="L271" s="16">
        <v>0.8</v>
      </c>
      <c r="M271" s="17">
        <f t="shared" si="22"/>
        <v>1.25</v>
      </c>
      <c r="N271" s="17">
        <f>IF(OR(L271="",L271=0),"",Параметры!$B$3/L271)</f>
        <v>10</v>
      </c>
      <c r="O271" s="15">
        <f>IF(L271="","",IFERROR(INDEX('Почасовка — ставки и план'!$D$5:$D$24,MATCH($D271,'Почасовка — ставки и план'!$A$5:$A$24,0)),""))</f>
        <v>1200</v>
      </c>
      <c r="P271" s="15">
        <f>IF(L271="","",IFERROR(INDEX('Почасовка — ставки и план'!$E$5:$E$24,MATCH($D271,'Почасовка — ставки и план'!$A$5:$A$24,0)),""))</f>
        <v>1440</v>
      </c>
      <c r="Q271" s="15">
        <f t="shared" si="23"/>
        <v>960</v>
      </c>
      <c r="R271" s="13" t="str">
        <f>IF(D271="TEX","аренда техники — сделка/счёт",IF(OR(Q271="",H271="",H271=0),"—",IF(Q271&lt;H271*(1-Параметры!$B$7),"почасовка",IF(Q271&gt;H271*(1+Параметры!$B$7),"сделка","любой способ"))))</f>
        <v>сделка</v>
      </c>
      <c r="S271">
        <v>0.82857142857142851</v>
      </c>
      <c r="T271">
        <v>0.90807453416149064</v>
      </c>
    </row>
    <row r="272" spans="1:20" x14ac:dyDescent="0.25">
      <c r="A272" s="13" t="s">
        <v>596</v>
      </c>
      <c r="B272" s="13" t="s">
        <v>597</v>
      </c>
      <c r="C272" s="13" t="s">
        <v>144</v>
      </c>
      <c r="D272" s="13" t="s">
        <v>545</v>
      </c>
      <c r="E272" s="13" t="str">
        <f>IFERROR(INDEX('Почасовка — ставки и план'!$B$5:$B$24,MATCH(D272,'Почасовка — ставки и план'!$A$5:$A$24,0)),"Аренда техники / механизмы")</f>
        <v>Сервисный инженер ворот и автоматики</v>
      </c>
      <c r="F272" s="14">
        <v>800</v>
      </c>
      <c r="G272" s="14">
        <v>960</v>
      </c>
      <c r="H272" s="15">
        <v>360</v>
      </c>
      <c r="I272" s="15">
        <f>IF(OR(H272="",F272=""),"",MAX(H272,MIN(ROUND(H272*(1+Параметры!$B$5),IF(H272*(1+Параметры!$B$5)&gt;=1000,-1,0)),ROUND(F272*Параметры!$B$6,IF(F272*Параметры!$B$6&gt;=1000,-1,0)))))</f>
        <v>414</v>
      </c>
      <c r="J272" s="15">
        <v>414</v>
      </c>
      <c r="K272" s="15">
        <f>IF(OR(J272="",G272=""),"",MAX(J272,MIN(ROUND(J272*(1+Параметры!$B$5),IF(J272*(1+Параметры!$B$5)&gt;=1000,-1,0)),ROUND(G272*Параметры!$B$6,IF(G272*Параметры!$B$6&gt;=1000,-1,0)))))</f>
        <v>476</v>
      </c>
      <c r="L272" s="16">
        <v>0.5</v>
      </c>
      <c r="M272" s="17">
        <f t="shared" si="22"/>
        <v>2</v>
      </c>
      <c r="N272" s="17">
        <f>IF(OR(L272="",L272=0),"",Параметры!$B$3/L272)</f>
        <v>16</v>
      </c>
      <c r="O272" s="15">
        <f>IF(L272="","",IFERROR(INDEX('Почасовка — ставки и план'!$D$5:$D$24,MATCH($D272,'Почасовка — ставки и план'!$A$5:$A$24,0)),""))</f>
        <v>1200</v>
      </c>
      <c r="P272" s="15">
        <f>IF(L272="","",IFERROR(INDEX('Почасовка — ставки и план'!$E$5:$E$24,MATCH($D272,'Почасовка — ставки и план'!$A$5:$A$24,0)),""))</f>
        <v>1440</v>
      </c>
      <c r="Q272" s="15">
        <f t="shared" si="23"/>
        <v>600</v>
      </c>
      <c r="R272" s="13" t="str">
        <f>IF(D272="TEX","аренда техники — сделка/счёт",IF(OR(Q272="",H272="",H272=0),"—",IF(Q272&lt;H272*(1-Параметры!$B$7),"почасовка",IF(Q272&gt;H272*(1+Параметры!$B$7),"сделка","любой способ"))))</f>
        <v>сделка</v>
      </c>
      <c r="S272">
        <v>0.33333333333333331</v>
      </c>
      <c r="T272">
        <v>0.39130434782608692</v>
      </c>
    </row>
    <row r="273" spans="1:20" x14ac:dyDescent="0.25">
      <c r="A273" s="13" t="s">
        <v>598</v>
      </c>
      <c r="B273" s="13" t="s">
        <v>599</v>
      </c>
      <c r="C273" s="13" t="s">
        <v>144</v>
      </c>
      <c r="D273" s="13" t="s">
        <v>545</v>
      </c>
      <c r="E273" s="13" t="str">
        <f>IFERROR(INDEX('Почасовка — ставки и план'!$B$5:$B$24,MATCH(D273,'Почасовка — ставки и план'!$A$5:$A$24,0)),"Аренда техники / механизмы")</f>
        <v>Сервисный инженер ворот и автоматики</v>
      </c>
      <c r="F273" s="14">
        <v>1280</v>
      </c>
      <c r="G273" s="14">
        <v>1536</v>
      </c>
      <c r="H273" s="15">
        <v>540</v>
      </c>
      <c r="I273" s="15">
        <f>IF(OR(H273="",F273=""),"",MAX(H273,MIN(ROUND(H273*(1+Параметры!$B$5),IF(H273*(1+Параметры!$B$5)&gt;=1000,-1,0)),ROUND(F273*Параметры!$B$6,IF(F273*Параметры!$B$6&gt;=1000,-1,0)))))</f>
        <v>621</v>
      </c>
      <c r="J273" s="15">
        <v>621</v>
      </c>
      <c r="K273" s="15">
        <f>IF(OR(J273="",G273=""),"",MAX(J273,MIN(ROUND(J273*(1+Параметры!$B$5),IF(J273*(1+Параметры!$B$5)&gt;=1000,-1,0)),ROUND(G273*Параметры!$B$6,IF(G273*Параметры!$B$6&gt;=1000,-1,0)))))</f>
        <v>714</v>
      </c>
      <c r="L273" s="16">
        <v>0.8</v>
      </c>
      <c r="M273" s="17">
        <f t="shared" si="22"/>
        <v>1.25</v>
      </c>
      <c r="N273" s="17">
        <f>IF(OR(L273="",L273=0),"",Параметры!$B$3/L273)</f>
        <v>10</v>
      </c>
      <c r="O273" s="15">
        <f>IF(L273="","",IFERROR(INDEX('Почасовка — ставки и план'!$D$5:$D$24,MATCH($D273,'Почасовка — ставки и план'!$A$5:$A$24,0)),""))</f>
        <v>1200</v>
      </c>
      <c r="P273" s="15">
        <f>IF(L273="","",IFERROR(INDEX('Почасовка — ставки и план'!$E$5:$E$24,MATCH($D273,'Почасовка — ставки и план'!$A$5:$A$24,0)),""))</f>
        <v>1440</v>
      </c>
      <c r="Q273" s="15">
        <f t="shared" si="23"/>
        <v>960</v>
      </c>
      <c r="R273" s="13" t="str">
        <f>IF(D273="TEX","аренда техники — сделка/счёт",IF(OR(Q273="",H273="",H273=0),"—",IF(Q273&lt;H273*(1-Параметры!$B$7),"почасовка",IF(Q273&gt;H273*(1+Параметры!$B$7),"сделка","любой способ"))))</f>
        <v>сделка</v>
      </c>
      <c r="S273">
        <v>0.42222222222222228</v>
      </c>
      <c r="T273">
        <v>0.48405797101449283</v>
      </c>
    </row>
    <row r="274" spans="1:20" x14ac:dyDescent="0.25">
      <c r="A274" s="13" t="s">
        <v>600</v>
      </c>
      <c r="B274" s="13" t="s">
        <v>601</v>
      </c>
      <c r="C274" s="13" t="s">
        <v>144</v>
      </c>
      <c r="D274" s="13" t="s">
        <v>545</v>
      </c>
      <c r="E274" s="13" t="str">
        <f>IFERROR(INDEX('Почасовка — ставки и план'!$B$5:$B$24,MATCH(D274,'Почасовка — ставки и план'!$A$5:$A$24,0)),"Аренда техники / механизмы")</f>
        <v>Сервисный инженер ворот и автоматики</v>
      </c>
      <c r="F274" s="14">
        <v>480</v>
      </c>
      <c r="G274" s="14">
        <v>576</v>
      </c>
      <c r="H274" s="15">
        <v>210</v>
      </c>
      <c r="I274" s="15">
        <f>IF(OR(H274="",F274=""),"",MAX(H274,MIN(ROUND(H274*(1+Параметры!$B$5),IF(H274*(1+Параметры!$B$5)&gt;=1000,-1,0)),ROUND(F274*Параметры!$B$6,IF(F274*Параметры!$B$6&gt;=1000,-1,0)))))</f>
        <v>242</v>
      </c>
      <c r="J274" s="15">
        <v>241</v>
      </c>
      <c r="K274" s="15">
        <f>IF(OR(J274="",G274=""),"",MAX(J274,MIN(ROUND(J274*(1+Параметры!$B$5),IF(J274*(1+Параметры!$B$5)&gt;=1000,-1,0)),ROUND(G274*Параметры!$B$6,IF(G274*Параметры!$B$6&gt;=1000,-1,0)))))</f>
        <v>277</v>
      </c>
      <c r="L274" s="16">
        <v>0.3</v>
      </c>
      <c r="M274" s="17">
        <f t="shared" si="22"/>
        <v>3.3333333333333335</v>
      </c>
      <c r="N274" s="17">
        <f>IF(OR(L274="",L274=0),"",Параметры!$B$3/L274)</f>
        <v>26.666666666666668</v>
      </c>
      <c r="O274" s="15">
        <f>IF(L274="","",IFERROR(INDEX('Почасовка — ставки и план'!$D$5:$D$24,MATCH($D274,'Почасовка — ставки и план'!$A$5:$A$24,0)),""))</f>
        <v>1200</v>
      </c>
      <c r="P274" s="15">
        <f>IF(L274="","",IFERROR(INDEX('Почасовка — ставки и план'!$E$5:$E$24,MATCH($D274,'Почасовка — ставки и план'!$A$5:$A$24,0)),""))</f>
        <v>1440</v>
      </c>
      <c r="Q274" s="15">
        <f t="shared" si="23"/>
        <v>360</v>
      </c>
      <c r="R274" s="13" t="str">
        <f>IF(D274="TEX","аренда техники — сделка/счёт",IF(OR(Q274="",H274="",H274=0),"—",IF(Q274&lt;H274*(1-Параметры!$B$7),"почасовка",IF(Q274&gt;H274*(1+Параметры!$B$7),"сделка","любой способ"))))</f>
        <v>сделка</v>
      </c>
      <c r="S274">
        <v>0.37142857142857139</v>
      </c>
      <c r="T274">
        <v>0.43283582089552231</v>
      </c>
    </row>
    <row r="275" spans="1:20" x14ac:dyDescent="0.25">
      <c r="A275" s="13" t="s">
        <v>602</v>
      </c>
      <c r="B275" s="13" t="s">
        <v>603</v>
      </c>
      <c r="C275" s="13" t="s">
        <v>144</v>
      </c>
      <c r="D275" s="13" t="s">
        <v>545</v>
      </c>
      <c r="E275" s="13" t="str">
        <f>IFERROR(INDEX('Почасовка — ставки и план'!$B$5:$B$24,MATCH(D275,'Почасовка — ставки и план'!$A$5:$A$24,0)),"Аренда техники / механизмы")</f>
        <v>Сервисный инженер ворот и автоматики</v>
      </c>
      <c r="F275" s="14">
        <v>2400</v>
      </c>
      <c r="G275" s="14">
        <v>2880</v>
      </c>
      <c r="H275" s="15">
        <v>1200</v>
      </c>
      <c r="I275" s="15">
        <f>IF(OR(H275="",F275=""),"",MAX(H275,MIN(ROUND(H275*(1+Параметры!$B$5),IF(H275*(1+Параметры!$B$5)&gt;=1000,-1,0)),ROUND(F275*Параметры!$B$6,IF(F275*Параметры!$B$6&gt;=1000,-1,0)))))</f>
        <v>1380</v>
      </c>
      <c r="J275" s="15">
        <v>1380</v>
      </c>
      <c r="K275" s="15">
        <f>IF(OR(J275="",G275=""),"",MAX(J275,MIN(ROUND(J275*(1+Параметры!$B$5),IF(J275*(1+Параметры!$B$5)&gt;=1000,-1,0)),ROUND(G275*Параметры!$B$6,IF(G275*Параметры!$B$6&gt;=1000,-1,0)))))</f>
        <v>1590</v>
      </c>
      <c r="L275" s="16">
        <v>1.5</v>
      </c>
      <c r="M275" s="17">
        <f t="shared" si="22"/>
        <v>0.66666666666666663</v>
      </c>
      <c r="N275" s="17">
        <f>IF(OR(L275="",L275=0),"",Параметры!$B$3/L275)</f>
        <v>5.333333333333333</v>
      </c>
      <c r="O275" s="15">
        <f>IF(L275="","",IFERROR(INDEX('Почасовка — ставки и план'!$D$5:$D$24,MATCH($D275,'Почасовка — ставки и план'!$A$5:$A$24,0)),""))</f>
        <v>1200</v>
      </c>
      <c r="P275" s="15">
        <f>IF(L275="","",IFERROR(INDEX('Почасовка — ставки и план'!$E$5:$E$24,MATCH($D275,'Почасовка — ставки и план'!$A$5:$A$24,0)),""))</f>
        <v>1440</v>
      </c>
      <c r="Q275" s="15">
        <f t="shared" si="23"/>
        <v>1800</v>
      </c>
      <c r="R275" s="13" t="str">
        <f>IF(D275="TEX","аренда техники — сделка/счёт",IF(OR(Q275="",H275="",H275=0),"—",IF(Q275&lt;H275*(1-Параметры!$B$7),"почасовка",IF(Q275&gt;H275*(1+Параметры!$B$7),"сделка","любой способ"))))</f>
        <v>сделка</v>
      </c>
      <c r="S275">
        <v>0.2</v>
      </c>
      <c r="T275">
        <v>0.25217391304347841</v>
      </c>
    </row>
    <row r="276" spans="1:20" x14ac:dyDescent="0.25">
      <c r="A276" s="13" t="s">
        <v>604</v>
      </c>
      <c r="B276" s="13" t="s">
        <v>605</v>
      </c>
      <c r="C276" s="13" t="s">
        <v>144</v>
      </c>
      <c r="D276" s="13" t="s">
        <v>545</v>
      </c>
      <c r="E276" s="13" t="str">
        <f>IFERROR(INDEX('Почасовка — ставки и план'!$B$5:$B$24,MATCH(D276,'Почасовка — ставки и план'!$A$5:$A$24,0)),"Аренда техники / механизмы")</f>
        <v>Сервисный инженер ворот и автоматики</v>
      </c>
      <c r="F276" s="14">
        <v>800</v>
      </c>
      <c r="G276" s="14">
        <v>960</v>
      </c>
      <c r="H276" s="15">
        <v>360</v>
      </c>
      <c r="I276" s="15">
        <f>IF(OR(H276="",F276=""),"",MAX(H276,MIN(ROUND(H276*(1+Параметры!$B$5),IF(H276*(1+Параметры!$B$5)&gt;=1000,-1,0)),ROUND(F276*Параметры!$B$6,IF(F276*Параметры!$B$6&gt;=1000,-1,0)))))</f>
        <v>414</v>
      </c>
      <c r="J276" s="15">
        <v>414</v>
      </c>
      <c r="K276" s="15">
        <f>IF(OR(J276="",G276=""),"",MAX(J276,MIN(ROUND(J276*(1+Параметры!$B$5),IF(J276*(1+Параметры!$B$5)&gt;=1000,-1,0)),ROUND(G276*Параметры!$B$6,IF(G276*Параметры!$B$6&gt;=1000,-1,0)))))</f>
        <v>476</v>
      </c>
      <c r="L276" s="16">
        <v>0.5</v>
      </c>
      <c r="M276" s="17">
        <f t="shared" si="22"/>
        <v>2</v>
      </c>
      <c r="N276" s="17">
        <f>IF(OR(L276="",L276=0),"",Параметры!$B$3/L276)</f>
        <v>16</v>
      </c>
      <c r="O276" s="15">
        <f>IF(L276="","",IFERROR(INDEX('Почасовка — ставки и план'!$D$5:$D$24,MATCH($D276,'Почасовка — ставки и план'!$A$5:$A$24,0)),""))</f>
        <v>1200</v>
      </c>
      <c r="P276" s="15">
        <f>IF(L276="","",IFERROR(INDEX('Почасовка — ставки и план'!$E$5:$E$24,MATCH($D276,'Почасовка — ставки и план'!$A$5:$A$24,0)),""))</f>
        <v>1440</v>
      </c>
      <c r="Q276" s="15">
        <f t="shared" si="23"/>
        <v>600</v>
      </c>
      <c r="R276" s="13" t="str">
        <f>IF(D276="TEX","аренда техники — сделка/счёт",IF(OR(Q276="",H276="",H276=0),"—",IF(Q276&lt;H276*(1-Параметры!$B$7),"почасовка",IF(Q276&gt;H276*(1+Параметры!$B$7),"сделка","любой способ"))))</f>
        <v>сделка</v>
      </c>
      <c r="S276">
        <v>0.33333333333333331</v>
      </c>
      <c r="T276">
        <v>0.39130434782608692</v>
      </c>
    </row>
    <row r="277" spans="1:20" x14ac:dyDescent="0.25">
      <c r="A277" s="13" t="s">
        <v>606</v>
      </c>
      <c r="B277" s="13" t="s">
        <v>607</v>
      </c>
      <c r="C277" s="13" t="s">
        <v>144</v>
      </c>
      <c r="D277" s="13" t="s">
        <v>545</v>
      </c>
      <c r="E277" s="13" t="str">
        <f>IFERROR(INDEX('Почасовка — ставки и план'!$B$5:$B$24,MATCH(D277,'Почасовка — ставки и план'!$A$5:$A$24,0)),"Аренда техники / механизмы")</f>
        <v>Сервисный инженер ворот и автоматики</v>
      </c>
      <c r="F277" s="14">
        <v>480</v>
      </c>
      <c r="G277" s="14">
        <v>576</v>
      </c>
      <c r="H277" s="15">
        <v>240</v>
      </c>
      <c r="I277" s="15">
        <f>IF(OR(H277="",F277=""),"",MAX(H277,MIN(ROUND(H277*(1+Параметры!$B$5),IF(H277*(1+Параметры!$B$5)&gt;=1000,-1,0)),ROUND(F277*Параметры!$B$6,IF(F277*Параметры!$B$6&gt;=1000,-1,0)))))</f>
        <v>276</v>
      </c>
      <c r="J277" s="15">
        <v>276</v>
      </c>
      <c r="K277" s="15">
        <f>IF(OR(J277="",G277=""),"",MAX(J277,MIN(ROUND(J277*(1+Параметры!$B$5),IF(J277*(1+Параметры!$B$5)&gt;=1000,-1,0)),ROUND(G277*Параметры!$B$6,IF(G277*Параметры!$B$6&gt;=1000,-1,0)))))</f>
        <v>317</v>
      </c>
      <c r="L277" s="16">
        <v>0.3</v>
      </c>
      <c r="M277" s="17">
        <f t="shared" si="22"/>
        <v>3.3333333333333335</v>
      </c>
      <c r="N277" s="17">
        <f>IF(OR(L277="",L277=0),"",Параметры!$B$3/L277)</f>
        <v>26.666666666666668</v>
      </c>
      <c r="O277" s="15">
        <f>IF(L277="","",IFERROR(INDEX('Почасовка — ставки и план'!$D$5:$D$24,MATCH($D277,'Почасовка — ставки и план'!$A$5:$A$24,0)),""))</f>
        <v>1200</v>
      </c>
      <c r="P277" s="15">
        <f>IF(L277="","",IFERROR(INDEX('Почасовка — ставки и план'!$E$5:$E$24,MATCH($D277,'Почасовка — ставки и план'!$A$5:$A$24,0)),""))</f>
        <v>1440</v>
      </c>
      <c r="Q277" s="15">
        <f t="shared" si="23"/>
        <v>360</v>
      </c>
      <c r="R277" s="13" t="str">
        <f>IF(D277="TEX","аренда техники — сделка/счёт",IF(OR(Q277="",H277="",H277=0),"—",IF(Q277&lt;H277*(1-Параметры!$B$7),"почасовка",IF(Q277&gt;H277*(1+Параметры!$B$7),"сделка","любой способ"))))</f>
        <v>сделка</v>
      </c>
      <c r="S277">
        <v>0.2</v>
      </c>
      <c r="T277">
        <v>0.25217391304347841</v>
      </c>
    </row>
    <row r="278" spans="1:20" x14ac:dyDescent="0.25">
      <c r="A278" s="13" t="s">
        <v>608</v>
      </c>
      <c r="B278" s="13" t="s">
        <v>609</v>
      </c>
      <c r="C278" s="13" t="s">
        <v>144</v>
      </c>
      <c r="D278" s="13" t="s">
        <v>545</v>
      </c>
      <c r="E278" s="13" t="str">
        <f>IFERROR(INDEX('Почасовка — ставки и план'!$B$5:$B$24,MATCH(D278,'Почасовка — ставки и план'!$A$5:$A$24,0)),"Аренда техники / механизмы")</f>
        <v>Сервисный инженер ворот и автоматики</v>
      </c>
      <c r="F278" s="14">
        <v>800</v>
      </c>
      <c r="G278" s="14">
        <v>960</v>
      </c>
      <c r="H278" s="15">
        <v>360</v>
      </c>
      <c r="I278" s="15">
        <f>IF(OR(H278="",F278=""),"",MAX(H278,MIN(ROUND(H278*(1+Параметры!$B$5),IF(H278*(1+Параметры!$B$5)&gt;=1000,-1,0)),ROUND(F278*Параметры!$B$6,IF(F278*Параметры!$B$6&gt;=1000,-1,0)))))</f>
        <v>414</v>
      </c>
      <c r="J278" s="15">
        <v>414</v>
      </c>
      <c r="K278" s="15">
        <f>IF(OR(J278="",G278=""),"",MAX(J278,MIN(ROUND(J278*(1+Параметры!$B$5),IF(J278*(1+Параметры!$B$5)&gt;=1000,-1,0)),ROUND(G278*Параметры!$B$6,IF(G278*Параметры!$B$6&gt;=1000,-1,0)))))</f>
        <v>476</v>
      </c>
      <c r="L278" s="16">
        <v>0.5</v>
      </c>
      <c r="M278" s="17">
        <f t="shared" si="22"/>
        <v>2</v>
      </c>
      <c r="N278" s="17">
        <f>IF(OR(L278="",L278=0),"",Параметры!$B$3/L278)</f>
        <v>16</v>
      </c>
      <c r="O278" s="15">
        <f>IF(L278="","",IFERROR(INDEX('Почасовка — ставки и план'!$D$5:$D$24,MATCH($D278,'Почасовка — ставки и план'!$A$5:$A$24,0)),""))</f>
        <v>1200</v>
      </c>
      <c r="P278" s="15">
        <f>IF(L278="","",IFERROR(INDEX('Почасовка — ставки и план'!$E$5:$E$24,MATCH($D278,'Почасовка — ставки и план'!$A$5:$A$24,0)),""))</f>
        <v>1440</v>
      </c>
      <c r="Q278" s="15">
        <f t="shared" si="23"/>
        <v>600</v>
      </c>
      <c r="R278" s="13" t="str">
        <f>IF(D278="TEX","аренда техники — сделка/счёт",IF(OR(Q278="",H278="",H278=0),"—",IF(Q278&lt;H278*(1-Параметры!$B$7),"почасовка",IF(Q278&gt;H278*(1+Параметры!$B$7),"сделка","любой способ"))))</f>
        <v>сделка</v>
      </c>
      <c r="S278">
        <v>0.33333333333333331</v>
      </c>
      <c r="T278">
        <v>0.39130434782608692</v>
      </c>
    </row>
    <row r="279" spans="1:20" x14ac:dyDescent="0.25">
      <c r="A279" s="13" t="s">
        <v>610</v>
      </c>
      <c r="B279" s="13" t="s">
        <v>611</v>
      </c>
      <c r="C279" s="13" t="s">
        <v>144</v>
      </c>
      <c r="D279" s="13" t="s">
        <v>545</v>
      </c>
      <c r="E279" s="13" t="str">
        <f>IFERROR(INDEX('Почасовка — ставки и план'!$B$5:$B$24,MATCH(D279,'Почасовка — ставки и план'!$A$5:$A$24,0)),"Аренда техники / механизмы")</f>
        <v>Сервисный инженер ворот и автоматики</v>
      </c>
      <c r="F279" s="14">
        <v>400</v>
      </c>
      <c r="G279" s="14">
        <v>480</v>
      </c>
      <c r="H279" s="15">
        <v>180</v>
      </c>
      <c r="I279" s="15">
        <f>IF(OR(H279="",F279=""),"",MAX(H279,MIN(ROUND(H279*(1+Параметры!$B$5),IF(H279*(1+Параметры!$B$5)&gt;=1000,-1,0)),ROUND(F279*Параметры!$B$6,IF(F279*Параметры!$B$6&gt;=1000,-1,0)))))</f>
        <v>207</v>
      </c>
      <c r="J279" s="15">
        <v>207</v>
      </c>
      <c r="K279" s="15">
        <f>IF(OR(J279="",G279=""),"",MAX(J279,MIN(ROUND(J279*(1+Параметры!$B$5),IF(J279*(1+Параметры!$B$5)&gt;=1000,-1,0)),ROUND(G279*Параметры!$B$6,IF(G279*Параметры!$B$6&gt;=1000,-1,0)))))</f>
        <v>238</v>
      </c>
      <c r="L279" s="16">
        <v>0.25</v>
      </c>
      <c r="M279" s="17">
        <f t="shared" si="22"/>
        <v>4</v>
      </c>
      <c r="N279" s="17">
        <f>IF(OR(L279="",L279=0),"",Параметры!$B$3/L279)</f>
        <v>32</v>
      </c>
      <c r="O279" s="15">
        <f>IF(L279="","",IFERROR(INDEX('Почасовка — ставки и план'!$D$5:$D$24,MATCH($D279,'Почасовка — ставки и план'!$A$5:$A$24,0)),""))</f>
        <v>1200</v>
      </c>
      <c r="P279" s="15">
        <f>IF(L279="","",IFERROR(INDEX('Почасовка — ставки и план'!$E$5:$E$24,MATCH($D279,'Почасовка — ставки и план'!$A$5:$A$24,0)),""))</f>
        <v>1440</v>
      </c>
      <c r="Q279" s="15">
        <f t="shared" si="23"/>
        <v>300</v>
      </c>
      <c r="R279" s="13" t="str">
        <f>IF(D279="TEX","аренда техники — сделка/счёт",IF(OR(Q279="",H279="",H279=0),"—",IF(Q279&lt;H279*(1-Параметры!$B$7),"почасовка",IF(Q279&gt;H279*(1+Параметры!$B$7),"сделка","любой способ"))))</f>
        <v>сделка</v>
      </c>
      <c r="S279">
        <v>0.33333333333333331</v>
      </c>
      <c r="T279">
        <v>0.39130434782608692</v>
      </c>
    </row>
    <row r="280" spans="1:20" x14ac:dyDescent="0.25">
      <c r="A280" s="13" t="s">
        <v>612</v>
      </c>
      <c r="B280" s="13" t="s">
        <v>613</v>
      </c>
      <c r="C280" s="13" t="s">
        <v>144</v>
      </c>
      <c r="D280" s="13" t="s">
        <v>545</v>
      </c>
      <c r="E280" s="13" t="str">
        <f>IFERROR(INDEX('Почасовка — ставки и план'!$B$5:$B$24,MATCH(D280,'Почасовка — ставки и план'!$A$5:$A$24,0)),"Аренда техники / механизмы")</f>
        <v>Сервисный инженер ворот и автоматики</v>
      </c>
      <c r="F280" s="14">
        <v>480</v>
      </c>
      <c r="G280" s="14">
        <v>576</v>
      </c>
      <c r="H280" s="15">
        <v>240</v>
      </c>
      <c r="I280" s="15">
        <f>IF(OR(H280="",F280=""),"",MAX(H280,MIN(ROUND(H280*(1+Параметры!$B$5),IF(H280*(1+Параметры!$B$5)&gt;=1000,-1,0)),ROUND(F280*Параметры!$B$6,IF(F280*Параметры!$B$6&gt;=1000,-1,0)))))</f>
        <v>276</v>
      </c>
      <c r="J280" s="15">
        <v>276</v>
      </c>
      <c r="K280" s="15">
        <f>IF(OR(J280="",G280=""),"",MAX(J280,MIN(ROUND(J280*(1+Параметры!$B$5),IF(J280*(1+Параметры!$B$5)&gt;=1000,-1,0)),ROUND(G280*Параметры!$B$6,IF(G280*Параметры!$B$6&gt;=1000,-1,0)))))</f>
        <v>317</v>
      </c>
      <c r="L280" s="16">
        <v>0.3</v>
      </c>
      <c r="M280" s="17">
        <f t="shared" si="22"/>
        <v>3.3333333333333335</v>
      </c>
      <c r="N280" s="17">
        <f>IF(OR(L280="",L280=0),"",Параметры!$B$3/L280)</f>
        <v>26.666666666666668</v>
      </c>
      <c r="O280" s="15">
        <f>IF(L280="","",IFERROR(INDEX('Почасовка — ставки и план'!$D$5:$D$24,MATCH($D280,'Почасовка — ставки и план'!$A$5:$A$24,0)),""))</f>
        <v>1200</v>
      </c>
      <c r="P280" s="15">
        <f>IF(L280="","",IFERROR(INDEX('Почасовка — ставки и план'!$E$5:$E$24,MATCH($D280,'Почасовка — ставки и план'!$A$5:$A$24,0)),""))</f>
        <v>1440</v>
      </c>
      <c r="Q280" s="15">
        <f t="shared" si="23"/>
        <v>360</v>
      </c>
      <c r="R280" s="13" t="str">
        <f>IF(D280="TEX","аренда техники — сделка/счёт",IF(OR(Q280="",H280="",H280=0),"—",IF(Q280&lt;H280*(1-Параметры!$B$7),"почасовка",IF(Q280&gt;H280*(1+Параметры!$B$7),"сделка","любой способ"))))</f>
        <v>сделка</v>
      </c>
      <c r="S280">
        <v>0.2</v>
      </c>
      <c r="T280">
        <v>0.25217391304347841</v>
      </c>
    </row>
    <row r="281" spans="1:20" x14ac:dyDescent="0.25">
      <c r="A281" s="13" t="s">
        <v>614</v>
      </c>
      <c r="B281" s="13" t="s">
        <v>615</v>
      </c>
      <c r="C281" s="13" t="s">
        <v>144</v>
      </c>
      <c r="D281" s="13" t="s">
        <v>545</v>
      </c>
      <c r="E281" s="13" t="str">
        <f>IFERROR(INDEX('Почасовка — ставки и план'!$B$5:$B$24,MATCH(D281,'Почасовка — ставки и план'!$A$5:$A$24,0)),"Аренда техники / механизмы")</f>
        <v>Сервисный инженер ворот и автоматики</v>
      </c>
      <c r="F281" s="14">
        <v>1280</v>
      </c>
      <c r="G281" s="14">
        <v>1536</v>
      </c>
      <c r="H281" s="15">
        <v>600</v>
      </c>
      <c r="I281" s="15">
        <f>IF(OR(H281="",F281=""),"",MAX(H281,MIN(ROUND(H281*(1+Параметры!$B$5),IF(H281*(1+Параметры!$B$5)&gt;=1000,-1,0)),ROUND(F281*Параметры!$B$6,IF(F281*Параметры!$B$6&gt;=1000,-1,0)))))</f>
        <v>690</v>
      </c>
      <c r="J281" s="15">
        <v>690</v>
      </c>
      <c r="K281" s="15">
        <f>IF(OR(J281="",G281=""),"",MAX(J281,MIN(ROUND(J281*(1+Параметры!$B$5),IF(J281*(1+Параметры!$B$5)&gt;=1000,-1,0)),ROUND(G281*Параметры!$B$6,IF(G281*Параметры!$B$6&gt;=1000,-1,0)))))</f>
        <v>794</v>
      </c>
      <c r="L281" s="16">
        <v>0.8</v>
      </c>
      <c r="M281" s="17">
        <f t="shared" ref="M281:M312" si="24">IF(OR(L281="",L281=0),"",1/L281)</f>
        <v>1.25</v>
      </c>
      <c r="N281" s="17">
        <f>IF(OR(L281="",L281=0),"",Параметры!$B$3/L281)</f>
        <v>10</v>
      </c>
      <c r="O281" s="15">
        <f>IF(L281="","",IFERROR(INDEX('Почасовка — ставки и план'!$D$5:$D$24,MATCH($D281,'Почасовка — ставки и план'!$A$5:$A$24,0)),""))</f>
        <v>1200</v>
      </c>
      <c r="P281" s="15">
        <f>IF(L281="","",IFERROR(INDEX('Почасовка — ставки и план'!$E$5:$E$24,MATCH($D281,'Почасовка — ставки и план'!$A$5:$A$24,0)),""))</f>
        <v>1440</v>
      </c>
      <c r="Q281" s="15">
        <f t="shared" ref="Q281:Q312" si="25">IF(OR(L281="",O281=""),"",ROUND(L281*O281,0))</f>
        <v>960</v>
      </c>
      <c r="R281" s="13" t="str">
        <f>IF(D281="TEX","аренда техники — сделка/счёт",IF(OR(Q281="",H281="",H281=0),"—",IF(Q281&lt;H281*(1-Параметры!$B$7),"почасовка",IF(Q281&gt;H281*(1+Параметры!$B$7),"сделка","любой способ"))))</f>
        <v>сделка</v>
      </c>
      <c r="S281">
        <v>0.28000000000000003</v>
      </c>
      <c r="T281">
        <v>0.33565217391304358</v>
      </c>
    </row>
    <row r="282" spans="1:20" x14ac:dyDescent="0.25">
      <c r="A282" s="13" t="s">
        <v>616</v>
      </c>
      <c r="B282" s="13" t="s">
        <v>617</v>
      </c>
      <c r="C282" s="13" t="s">
        <v>144</v>
      </c>
      <c r="D282" s="13" t="s">
        <v>545</v>
      </c>
      <c r="E282" s="13" t="str">
        <f>IFERROR(INDEX('Почасовка — ставки и план'!$B$5:$B$24,MATCH(D282,'Почасовка — ставки и план'!$A$5:$A$24,0)),"Аренда техники / механизмы")</f>
        <v>Сервисный инженер ворот и автоматики</v>
      </c>
      <c r="F282" s="14">
        <v>960</v>
      </c>
      <c r="G282" s="14">
        <v>1152</v>
      </c>
      <c r="H282" s="15">
        <v>480</v>
      </c>
      <c r="I282" s="15">
        <f>IF(OR(H282="",F282=""),"",MAX(H282,MIN(ROUND(H282*(1+Параметры!$B$5),IF(H282*(1+Параметры!$B$5)&gt;=1000,-1,0)),ROUND(F282*Параметры!$B$6,IF(F282*Параметры!$B$6&gt;=1000,-1,0)))))</f>
        <v>552</v>
      </c>
      <c r="J282" s="15">
        <v>552</v>
      </c>
      <c r="K282" s="15">
        <f>IF(OR(J282="",G282=""),"",MAX(J282,MIN(ROUND(J282*(1+Параметры!$B$5),IF(J282*(1+Параметры!$B$5)&gt;=1000,-1,0)),ROUND(G282*Параметры!$B$6,IF(G282*Параметры!$B$6&gt;=1000,-1,0)))))</f>
        <v>635</v>
      </c>
      <c r="L282" s="16">
        <v>0.6</v>
      </c>
      <c r="M282" s="17">
        <f t="shared" si="24"/>
        <v>1.6666666666666667</v>
      </c>
      <c r="N282" s="17">
        <f>IF(OR(L282="",L282=0),"",Параметры!$B$3/L282)</f>
        <v>13.333333333333334</v>
      </c>
      <c r="O282" s="15">
        <f>IF(L282="","",IFERROR(INDEX('Почасовка — ставки и план'!$D$5:$D$24,MATCH($D282,'Почасовка — ставки и план'!$A$5:$A$24,0)),""))</f>
        <v>1200</v>
      </c>
      <c r="P282" s="15">
        <f>IF(L282="","",IFERROR(INDEX('Почасовка — ставки и план'!$E$5:$E$24,MATCH($D282,'Почасовка — ставки и план'!$A$5:$A$24,0)),""))</f>
        <v>1440</v>
      </c>
      <c r="Q282" s="15">
        <f t="shared" si="25"/>
        <v>720</v>
      </c>
      <c r="R282" s="13" t="str">
        <f>IF(D282="TEX","аренда техники — сделка/счёт",IF(OR(Q282="",H282="",H282=0),"—",IF(Q282&lt;H282*(1-Параметры!$B$7),"почасовка",IF(Q282&gt;H282*(1+Параметры!$B$7),"сделка","любой способ"))))</f>
        <v>сделка</v>
      </c>
      <c r="S282">
        <v>0.2</v>
      </c>
      <c r="T282">
        <v>0.25217391304347841</v>
      </c>
    </row>
    <row r="283" spans="1:20" x14ac:dyDescent="0.25">
      <c r="A283" s="13" t="s">
        <v>618</v>
      </c>
      <c r="B283" s="13" t="s">
        <v>619</v>
      </c>
      <c r="C283" s="13" t="s">
        <v>144</v>
      </c>
      <c r="D283" s="13" t="s">
        <v>545</v>
      </c>
      <c r="E283" s="13" t="str">
        <f>IFERROR(INDEX('Почасовка — ставки и план'!$B$5:$B$24,MATCH(D283,'Почасовка — ставки и план'!$A$5:$A$24,0)),"Аренда техники / механизмы")</f>
        <v>Сервисный инженер ворот и автоматики</v>
      </c>
      <c r="F283" s="14">
        <v>3200</v>
      </c>
      <c r="G283" s="14">
        <v>3840</v>
      </c>
      <c r="H283" s="15">
        <v>1500</v>
      </c>
      <c r="I283" s="15">
        <f>IF(OR(H283="",F283=""),"",MAX(H283,MIN(ROUND(H283*(1+Параметры!$B$5),IF(H283*(1+Параметры!$B$5)&gt;=1000,-1,0)),ROUND(F283*Параметры!$B$6,IF(F283*Параметры!$B$6&gt;=1000,-1,0)))))</f>
        <v>1730</v>
      </c>
      <c r="J283" s="15">
        <v>1725</v>
      </c>
      <c r="K283" s="15">
        <f>IF(OR(J283="",G283=""),"",MAX(J283,MIN(ROUND(J283*(1+Параметры!$B$5),IF(J283*(1+Параметры!$B$5)&gt;=1000,-1,0)),ROUND(G283*Параметры!$B$6,IF(G283*Параметры!$B$6&gt;=1000,-1,0)))))</f>
        <v>1980</v>
      </c>
      <c r="L283" s="16">
        <v>2</v>
      </c>
      <c r="M283" s="17">
        <f t="shared" si="24"/>
        <v>0.5</v>
      </c>
      <c r="N283" s="17">
        <f>IF(OR(L283="",L283=0),"",Параметры!$B$3/L283)</f>
        <v>4</v>
      </c>
      <c r="O283" s="15">
        <f>IF(L283="","",IFERROR(INDEX('Почасовка — ставки и план'!$D$5:$D$24,MATCH($D283,'Почасовка — ставки и план'!$A$5:$A$24,0)),""))</f>
        <v>1200</v>
      </c>
      <c r="P283" s="15">
        <f>IF(L283="","",IFERROR(INDEX('Почасовка — ставки и план'!$E$5:$E$24,MATCH($D283,'Почасовка — ставки и план'!$A$5:$A$24,0)),""))</f>
        <v>1440</v>
      </c>
      <c r="Q283" s="15">
        <f t="shared" si="25"/>
        <v>2400</v>
      </c>
      <c r="R283" s="13" t="str">
        <f>IF(D283="TEX","аренда техники — сделка/счёт",IF(OR(Q283="",H283="",H283=0),"—",IF(Q283&lt;H283*(1-Параметры!$B$7),"почасовка",IF(Q283&gt;H283*(1+Параметры!$B$7),"сделка","любой способ"))))</f>
        <v>сделка</v>
      </c>
      <c r="S283">
        <v>0.28000000000000003</v>
      </c>
      <c r="T283">
        <v>0.33565217391304358</v>
      </c>
    </row>
    <row r="284" spans="1:20" x14ac:dyDescent="0.25">
      <c r="A284" s="13" t="s">
        <v>620</v>
      </c>
      <c r="B284" s="13" t="s">
        <v>621</v>
      </c>
      <c r="C284" s="13" t="s">
        <v>144</v>
      </c>
      <c r="D284" s="13" t="s">
        <v>545</v>
      </c>
      <c r="E284" s="13" t="str">
        <f>IFERROR(INDEX('Почасовка — ставки и план'!$B$5:$B$24,MATCH(D284,'Почасовка — ставки и план'!$A$5:$A$24,0)),"Аренда техники / механизмы")</f>
        <v>Сервисный инженер ворот и автоматики</v>
      </c>
      <c r="F284" s="14">
        <v>800</v>
      </c>
      <c r="G284" s="14">
        <v>960</v>
      </c>
      <c r="H284" s="15">
        <v>420</v>
      </c>
      <c r="I284" s="15">
        <f>IF(OR(H284="",F284=""),"",MAX(H284,MIN(ROUND(H284*(1+Параметры!$B$5),IF(H284*(1+Параметры!$B$5)&gt;=1000,-1,0)),ROUND(F284*Параметры!$B$6,IF(F284*Параметры!$B$6&gt;=1000,-1,0)))))</f>
        <v>483</v>
      </c>
      <c r="J284" s="15">
        <v>483</v>
      </c>
      <c r="K284" s="15">
        <f>IF(OR(J284="",G284=""),"",MAX(J284,MIN(ROUND(J284*(1+Параметры!$B$5),IF(J284*(1+Параметры!$B$5)&gt;=1000,-1,0)),ROUND(G284*Параметры!$B$6,IF(G284*Параметры!$B$6&gt;=1000,-1,0)))))</f>
        <v>555</v>
      </c>
      <c r="L284" s="16">
        <v>0.5</v>
      </c>
      <c r="M284" s="17">
        <f t="shared" si="24"/>
        <v>2</v>
      </c>
      <c r="N284" s="17">
        <f>IF(OR(L284="",L284=0),"",Параметры!$B$3/L284)</f>
        <v>16</v>
      </c>
      <c r="O284" s="15">
        <f>IF(L284="","",IFERROR(INDEX('Почасовка — ставки и план'!$D$5:$D$24,MATCH($D284,'Почасовка — ставки и план'!$A$5:$A$24,0)),""))</f>
        <v>1200</v>
      </c>
      <c r="P284" s="15">
        <f>IF(L284="","",IFERROR(INDEX('Почасовка — ставки и план'!$E$5:$E$24,MATCH($D284,'Почасовка — ставки и план'!$A$5:$A$24,0)),""))</f>
        <v>1440</v>
      </c>
      <c r="Q284" s="15">
        <f t="shared" si="25"/>
        <v>600</v>
      </c>
      <c r="R284" s="13" t="str">
        <f>IF(D284="TEX","аренда техники — сделка/счёт",IF(OR(Q284="",H284="",H284=0),"—",IF(Q284&lt;H284*(1-Параметры!$B$7),"почасовка",IF(Q284&gt;H284*(1+Параметры!$B$7),"сделка","любой способ"))))</f>
        <v>сделка</v>
      </c>
      <c r="S284">
        <v>0.14285714285714279</v>
      </c>
      <c r="T284">
        <v>0.19254658385093171</v>
      </c>
    </row>
    <row r="285" spans="1:20" x14ac:dyDescent="0.25">
      <c r="A285" s="13" t="s">
        <v>622</v>
      </c>
      <c r="B285" s="13" t="s">
        <v>623</v>
      </c>
      <c r="C285" s="13" t="s">
        <v>144</v>
      </c>
      <c r="D285" s="13" t="s">
        <v>545</v>
      </c>
      <c r="E285" s="13" t="str">
        <f>IFERROR(INDEX('Почасовка — ставки и план'!$B$5:$B$24,MATCH(D285,'Почасовка — ставки и план'!$A$5:$A$24,0)),"Аренда техники / механизмы")</f>
        <v>Сервисный инженер ворот и автоматики</v>
      </c>
      <c r="F285" s="14">
        <v>1600</v>
      </c>
      <c r="G285" s="14">
        <v>1920</v>
      </c>
      <c r="H285" s="15">
        <v>780</v>
      </c>
      <c r="I285" s="15">
        <f>IF(OR(H285="",F285=""),"",MAX(H285,MIN(ROUND(H285*(1+Параметры!$B$5),IF(H285*(1+Параметры!$B$5)&gt;=1000,-1,0)),ROUND(F285*Параметры!$B$6,IF(F285*Параметры!$B$6&gt;=1000,-1,0)))))</f>
        <v>897</v>
      </c>
      <c r="J285" s="15">
        <v>897</v>
      </c>
      <c r="K285" s="15">
        <f>IF(OR(J285="",G285=""),"",MAX(J285,MIN(ROUND(J285*(1+Параметры!$B$5),IF(J285*(1+Параметры!$B$5)&gt;=1000,-1,0)),ROUND(G285*Параметры!$B$6,IF(G285*Параметры!$B$6&gt;=1000,-1,0)))))</f>
        <v>1030</v>
      </c>
      <c r="L285" s="16">
        <v>1</v>
      </c>
      <c r="M285" s="17">
        <f t="shared" si="24"/>
        <v>1</v>
      </c>
      <c r="N285" s="17">
        <f>IF(OR(L285="",L285=0),"",Параметры!$B$3/L285)</f>
        <v>8</v>
      </c>
      <c r="O285" s="15">
        <f>IF(L285="","",IFERROR(INDEX('Почасовка — ставки и план'!$D$5:$D$24,MATCH($D285,'Почасовка — ставки и план'!$A$5:$A$24,0)),""))</f>
        <v>1200</v>
      </c>
      <c r="P285" s="15">
        <f>IF(L285="","",IFERROR(INDEX('Почасовка — ставки и план'!$E$5:$E$24,MATCH($D285,'Почасовка — ставки и план'!$A$5:$A$24,0)),""))</f>
        <v>1440</v>
      </c>
      <c r="Q285" s="15">
        <f t="shared" si="25"/>
        <v>1200</v>
      </c>
      <c r="R285" s="13" t="str">
        <f>IF(D285="TEX","аренда техники — сделка/счёт",IF(OR(Q285="",H285="",H285=0),"—",IF(Q285&lt;H285*(1-Параметры!$B$7),"почасовка",IF(Q285&gt;H285*(1+Параметры!$B$7),"сделка","любой способ"))))</f>
        <v>сделка</v>
      </c>
      <c r="S285">
        <v>0.23076923076923081</v>
      </c>
      <c r="T285">
        <v>0.28428093645484948</v>
      </c>
    </row>
    <row r="286" spans="1:20" x14ac:dyDescent="0.25">
      <c r="A286" s="13" t="s">
        <v>624</v>
      </c>
      <c r="B286" s="13" t="s">
        <v>625</v>
      </c>
      <c r="C286" s="13" t="s">
        <v>144</v>
      </c>
      <c r="D286" s="13" t="s">
        <v>545</v>
      </c>
      <c r="E286" s="13" t="str">
        <f>IFERROR(INDEX('Почасовка — ставки и план'!$B$5:$B$24,MATCH(D286,'Почасовка — ставки и план'!$A$5:$A$24,0)),"Аренда техники / механизмы")</f>
        <v>Сервисный инженер ворот и автоматики</v>
      </c>
      <c r="F286" s="14">
        <v>1600</v>
      </c>
      <c r="G286" s="14">
        <v>1920</v>
      </c>
      <c r="H286" s="15">
        <v>780</v>
      </c>
      <c r="I286" s="15">
        <f>IF(OR(H286="",F286=""),"",MAX(H286,MIN(ROUND(H286*(1+Параметры!$B$5),IF(H286*(1+Параметры!$B$5)&gt;=1000,-1,0)),ROUND(F286*Параметры!$B$6,IF(F286*Параметры!$B$6&gt;=1000,-1,0)))))</f>
        <v>897</v>
      </c>
      <c r="J286" s="15">
        <v>897</v>
      </c>
      <c r="K286" s="15">
        <f>IF(OR(J286="",G286=""),"",MAX(J286,MIN(ROUND(J286*(1+Параметры!$B$5),IF(J286*(1+Параметры!$B$5)&gt;=1000,-1,0)),ROUND(G286*Параметры!$B$6,IF(G286*Параметры!$B$6&gt;=1000,-1,0)))))</f>
        <v>1030</v>
      </c>
      <c r="L286" s="16">
        <v>1</v>
      </c>
      <c r="M286" s="17">
        <f t="shared" si="24"/>
        <v>1</v>
      </c>
      <c r="N286" s="17">
        <f>IF(OR(L286="",L286=0),"",Параметры!$B$3/L286)</f>
        <v>8</v>
      </c>
      <c r="O286" s="15">
        <f>IF(L286="","",IFERROR(INDEX('Почасовка — ставки и план'!$D$5:$D$24,MATCH($D286,'Почасовка — ставки и план'!$A$5:$A$24,0)),""))</f>
        <v>1200</v>
      </c>
      <c r="P286" s="15">
        <f>IF(L286="","",IFERROR(INDEX('Почасовка — ставки и план'!$E$5:$E$24,MATCH($D286,'Почасовка — ставки и план'!$A$5:$A$24,0)),""))</f>
        <v>1440</v>
      </c>
      <c r="Q286" s="15">
        <f t="shared" si="25"/>
        <v>1200</v>
      </c>
      <c r="R286" s="13" t="str">
        <f>IF(D286="TEX","аренда техники — сделка/счёт",IF(OR(Q286="",H286="",H286=0),"—",IF(Q286&lt;H286*(1-Параметры!$B$7),"почасовка",IF(Q286&gt;H286*(1+Параметры!$B$7),"сделка","любой способ"))))</f>
        <v>сделка</v>
      </c>
      <c r="S286">
        <v>0.23076923076923081</v>
      </c>
      <c r="T286">
        <v>0.28428093645484948</v>
      </c>
    </row>
    <row r="287" spans="1:20" x14ac:dyDescent="0.25">
      <c r="A287" s="13" t="s">
        <v>626</v>
      </c>
      <c r="B287" s="13" t="s">
        <v>627</v>
      </c>
      <c r="C287" s="13" t="s">
        <v>144</v>
      </c>
      <c r="D287" s="13" t="s">
        <v>545</v>
      </c>
      <c r="E287" s="13" t="str">
        <f>IFERROR(INDEX('Почасовка — ставки и план'!$B$5:$B$24,MATCH(D287,'Почасовка — ставки и план'!$A$5:$A$24,0)),"Аренда техники / механизмы")</f>
        <v>Сервисный инженер ворот и автоматики</v>
      </c>
      <c r="F287" s="14">
        <v>960</v>
      </c>
      <c r="G287" s="14">
        <v>1152</v>
      </c>
      <c r="H287" s="15">
        <v>420</v>
      </c>
      <c r="I287" s="15">
        <f>IF(OR(H287="",F287=""),"",MAX(H287,MIN(ROUND(H287*(1+Параметры!$B$5),IF(H287*(1+Параметры!$B$5)&gt;=1000,-1,0)),ROUND(F287*Параметры!$B$6,IF(F287*Параметры!$B$6&gt;=1000,-1,0)))))</f>
        <v>483</v>
      </c>
      <c r="J287" s="15">
        <v>483</v>
      </c>
      <c r="K287" s="15">
        <f>IF(OR(J287="",G287=""),"",MAX(J287,MIN(ROUND(J287*(1+Параметры!$B$5),IF(J287*(1+Параметры!$B$5)&gt;=1000,-1,0)),ROUND(G287*Параметры!$B$6,IF(G287*Параметры!$B$6&gt;=1000,-1,0)))))</f>
        <v>555</v>
      </c>
      <c r="L287" s="16">
        <v>0.6</v>
      </c>
      <c r="M287" s="17">
        <f t="shared" si="24"/>
        <v>1.6666666666666667</v>
      </c>
      <c r="N287" s="17">
        <f>IF(OR(L287="",L287=0),"",Параметры!$B$3/L287)</f>
        <v>13.333333333333334</v>
      </c>
      <c r="O287" s="15">
        <f>IF(L287="","",IFERROR(INDEX('Почасовка — ставки и план'!$D$5:$D$24,MATCH($D287,'Почасовка — ставки и план'!$A$5:$A$24,0)),""))</f>
        <v>1200</v>
      </c>
      <c r="P287" s="15">
        <f>IF(L287="","",IFERROR(INDEX('Почасовка — ставки и план'!$E$5:$E$24,MATCH($D287,'Почасовка — ставки и план'!$A$5:$A$24,0)),""))</f>
        <v>1440</v>
      </c>
      <c r="Q287" s="15">
        <f t="shared" si="25"/>
        <v>720</v>
      </c>
      <c r="R287" s="13" t="str">
        <f>IF(D287="TEX","аренда техники — сделка/счёт",IF(OR(Q287="",H287="",H287=0),"—",IF(Q287&lt;H287*(1-Параметры!$B$7),"почасовка",IF(Q287&gt;H287*(1+Параметры!$B$7),"сделка","любой способ"))))</f>
        <v>сделка</v>
      </c>
      <c r="S287">
        <v>0.37142857142857139</v>
      </c>
      <c r="T287">
        <v>0.43105590062111809</v>
      </c>
    </row>
    <row r="288" spans="1:20" x14ac:dyDescent="0.25">
      <c r="A288" s="13" t="s">
        <v>628</v>
      </c>
      <c r="B288" s="13" t="s">
        <v>629</v>
      </c>
      <c r="C288" s="13" t="s">
        <v>144</v>
      </c>
      <c r="D288" s="13" t="s">
        <v>545</v>
      </c>
      <c r="E288" s="13" t="str">
        <f>IFERROR(INDEX('Почасовка — ставки и план'!$B$5:$B$24,MATCH(D288,'Почасовка — ставки и план'!$A$5:$A$24,0)),"Аренда техники / механизмы")</f>
        <v>Сервисный инженер ворот и автоматики</v>
      </c>
      <c r="F288" s="14">
        <v>640</v>
      </c>
      <c r="G288" s="14">
        <v>768</v>
      </c>
      <c r="H288" s="15">
        <v>300</v>
      </c>
      <c r="I288" s="15">
        <f>IF(OR(H288="",F288=""),"",MAX(H288,MIN(ROUND(H288*(1+Параметры!$B$5),IF(H288*(1+Параметры!$B$5)&gt;=1000,-1,0)),ROUND(F288*Параметры!$B$6,IF(F288*Параметры!$B$6&gt;=1000,-1,0)))))</f>
        <v>345</v>
      </c>
      <c r="J288" s="15">
        <v>345</v>
      </c>
      <c r="K288" s="15">
        <f>IF(OR(J288="",G288=""),"",MAX(J288,MIN(ROUND(J288*(1+Параметры!$B$5),IF(J288*(1+Параметры!$B$5)&gt;=1000,-1,0)),ROUND(G288*Параметры!$B$6,IF(G288*Параметры!$B$6&gt;=1000,-1,0)))))</f>
        <v>397</v>
      </c>
      <c r="L288" s="16">
        <v>0.4</v>
      </c>
      <c r="M288" s="17">
        <f t="shared" si="24"/>
        <v>2.5</v>
      </c>
      <c r="N288" s="17">
        <f>IF(OR(L288="",L288=0),"",Параметры!$B$3/L288)</f>
        <v>20</v>
      </c>
      <c r="O288" s="15">
        <f>IF(L288="","",IFERROR(INDEX('Почасовка — ставки и план'!$D$5:$D$24,MATCH($D288,'Почасовка — ставки и план'!$A$5:$A$24,0)),""))</f>
        <v>1200</v>
      </c>
      <c r="P288" s="15">
        <f>IF(L288="","",IFERROR(INDEX('Почасовка — ставки и план'!$E$5:$E$24,MATCH($D288,'Почасовка — ставки и план'!$A$5:$A$24,0)),""))</f>
        <v>1440</v>
      </c>
      <c r="Q288" s="15">
        <f t="shared" si="25"/>
        <v>480</v>
      </c>
      <c r="R288" s="13" t="str">
        <f>IF(D288="TEX","аренда техники — сделка/счёт",IF(OR(Q288="",H288="",H288=0),"—",IF(Q288&lt;H288*(1-Параметры!$B$7),"почасовка",IF(Q288&gt;H288*(1+Параметры!$B$7),"сделка","любой способ"))))</f>
        <v>сделка</v>
      </c>
      <c r="S288">
        <v>0.28000000000000003</v>
      </c>
      <c r="T288">
        <v>0.33565217391304358</v>
      </c>
    </row>
    <row r="289" spans="1:20" x14ac:dyDescent="0.25">
      <c r="A289" s="13" t="s">
        <v>630</v>
      </c>
      <c r="B289" s="13" t="s">
        <v>631</v>
      </c>
      <c r="C289" s="13" t="s">
        <v>144</v>
      </c>
      <c r="D289" s="13" t="s">
        <v>545</v>
      </c>
      <c r="E289" s="13" t="str">
        <f>IFERROR(INDEX('Почасовка — ставки и план'!$B$5:$B$24,MATCH(D289,'Почасовка — ставки и план'!$A$5:$A$24,0)),"Аренда техники / механизмы")</f>
        <v>Сервисный инженер ворот и автоматики</v>
      </c>
      <c r="F289" s="14">
        <v>800</v>
      </c>
      <c r="G289" s="14">
        <v>960</v>
      </c>
      <c r="H289" s="15">
        <v>360</v>
      </c>
      <c r="I289" s="15">
        <f>IF(OR(H289="",F289=""),"",MAX(H289,MIN(ROUND(H289*(1+Параметры!$B$5),IF(H289*(1+Параметры!$B$5)&gt;=1000,-1,0)),ROUND(F289*Параметры!$B$6,IF(F289*Параметры!$B$6&gt;=1000,-1,0)))))</f>
        <v>414</v>
      </c>
      <c r="J289" s="15">
        <v>414</v>
      </c>
      <c r="K289" s="15">
        <f>IF(OR(J289="",G289=""),"",MAX(J289,MIN(ROUND(J289*(1+Параметры!$B$5),IF(J289*(1+Параметры!$B$5)&gt;=1000,-1,0)),ROUND(G289*Параметры!$B$6,IF(G289*Параметры!$B$6&gt;=1000,-1,0)))))</f>
        <v>476</v>
      </c>
      <c r="L289" s="16">
        <v>0.5</v>
      </c>
      <c r="M289" s="17">
        <f t="shared" si="24"/>
        <v>2</v>
      </c>
      <c r="N289" s="17">
        <f>IF(OR(L289="",L289=0),"",Параметры!$B$3/L289)</f>
        <v>16</v>
      </c>
      <c r="O289" s="15">
        <f>IF(L289="","",IFERROR(INDEX('Почасовка — ставки и план'!$D$5:$D$24,MATCH($D289,'Почасовка — ставки и план'!$A$5:$A$24,0)),""))</f>
        <v>1200</v>
      </c>
      <c r="P289" s="15">
        <f>IF(L289="","",IFERROR(INDEX('Почасовка — ставки и план'!$E$5:$E$24,MATCH($D289,'Почасовка — ставки и план'!$A$5:$A$24,0)),""))</f>
        <v>1440</v>
      </c>
      <c r="Q289" s="15">
        <f t="shared" si="25"/>
        <v>600</v>
      </c>
      <c r="R289" s="13" t="str">
        <f>IF(D289="TEX","аренда техники — сделка/счёт",IF(OR(Q289="",H289="",H289=0),"—",IF(Q289&lt;H289*(1-Параметры!$B$7),"почасовка",IF(Q289&gt;H289*(1+Параметры!$B$7),"сделка","любой способ"))))</f>
        <v>сделка</v>
      </c>
      <c r="S289">
        <v>0.33333333333333331</v>
      </c>
      <c r="T289">
        <v>0.39130434782608692</v>
      </c>
    </row>
    <row r="290" spans="1:20" x14ac:dyDescent="0.25">
      <c r="A290" s="13" t="s">
        <v>632</v>
      </c>
      <c r="B290" s="13" t="s">
        <v>633</v>
      </c>
      <c r="C290" s="13" t="s">
        <v>144</v>
      </c>
      <c r="D290" s="13" t="s">
        <v>545</v>
      </c>
      <c r="E290" s="13" t="str">
        <f>IFERROR(INDEX('Почасовка — ставки и план'!$B$5:$B$24,MATCH(D290,'Почасовка — ставки и план'!$A$5:$A$24,0)),"Аренда техники / механизмы")</f>
        <v>Сервисный инженер ворот и автоматики</v>
      </c>
      <c r="F290" s="14">
        <v>1280</v>
      </c>
      <c r="G290" s="14">
        <v>1536</v>
      </c>
      <c r="H290" s="15">
        <v>540</v>
      </c>
      <c r="I290" s="15">
        <f>IF(OR(H290="",F290=""),"",MAX(H290,MIN(ROUND(H290*(1+Параметры!$B$5),IF(H290*(1+Параметры!$B$5)&gt;=1000,-1,0)),ROUND(F290*Параметры!$B$6,IF(F290*Параметры!$B$6&gt;=1000,-1,0)))))</f>
        <v>621</v>
      </c>
      <c r="J290" s="15">
        <v>621</v>
      </c>
      <c r="K290" s="15">
        <f>IF(OR(J290="",G290=""),"",MAX(J290,MIN(ROUND(J290*(1+Параметры!$B$5),IF(J290*(1+Параметры!$B$5)&gt;=1000,-1,0)),ROUND(G290*Параметры!$B$6,IF(G290*Параметры!$B$6&gt;=1000,-1,0)))))</f>
        <v>714</v>
      </c>
      <c r="L290" s="16">
        <v>0.8</v>
      </c>
      <c r="M290" s="17">
        <f t="shared" si="24"/>
        <v>1.25</v>
      </c>
      <c r="N290" s="17">
        <f>IF(OR(L290="",L290=0),"",Параметры!$B$3/L290)</f>
        <v>10</v>
      </c>
      <c r="O290" s="15">
        <f>IF(L290="","",IFERROR(INDEX('Почасовка — ставки и план'!$D$5:$D$24,MATCH($D290,'Почасовка — ставки и план'!$A$5:$A$24,0)),""))</f>
        <v>1200</v>
      </c>
      <c r="P290" s="15">
        <f>IF(L290="","",IFERROR(INDEX('Почасовка — ставки и план'!$E$5:$E$24,MATCH($D290,'Почасовка — ставки и план'!$A$5:$A$24,0)),""))</f>
        <v>1440</v>
      </c>
      <c r="Q290" s="15">
        <f t="shared" si="25"/>
        <v>960</v>
      </c>
      <c r="R290" s="13" t="str">
        <f>IF(D290="TEX","аренда техники — сделка/счёт",IF(OR(Q290="",H290="",H290=0),"—",IF(Q290&lt;H290*(1-Параметры!$B$7),"почасовка",IF(Q290&gt;H290*(1+Параметры!$B$7),"сделка","любой способ"))))</f>
        <v>сделка</v>
      </c>
      <c r="S290">
        <v>0.42222222222222228</v>
      </c>
      <c r="T290">
        <v>0.48405797101449283</v>
      </c>
    </row>
    <row r="291" spans="1:20" x14ac:dyDescent="0.25">
      <c r="A291" s="13" t="s">
        <v>634</v>
      </c>
      <c r="B291" s="13" t="s">
        <v>635</v>
      </c>
      <c r="C291" s="13" t="s">
        <v>144</v>
      </c>
      <c r="D291" s="13" t="s">
        <v>545</v>
      </c>
      <c r="E291" s="13" t="str">
        <f>IFERROR(INDEX('Почасовка — ставки и план'!$B$5:$B$24,MATCH(D291,'Почасовка — ставки и план'!$A$5:$A$24,0)),"Аренда техники / механизмы")</f>
        <v>Сервисный инженер ворот и автоматики</v>
      </c>
      <c r="F291" s="14">
        <v>800</v>
      </c>
      <c r="G291" s="14">
        <v>960</v>
      </c>
      <c r="H291" s="15">
        <v>360</v>
      </c>
      <c r="I291" s="15">
        <f>IF(OR(H291="",F291=""),"",MAX(H291,MIN(ROUND(H291*(1+Параметры!$B$5),IF(H291*(1+Параметры!$B$5)&gt;=1000,-1,0)),ROUND(F291*Параметры!$B$6,IF(F291*Параметры!$B$6&gt;=1000,-1,0)))))</f>
        <v>414</v>
      </c>
      <c r="J291" s="15">
        <v>414</v>
      </c>
      <c r="K291" s="15">
        <f>IF(OR(J291="",G291=""),"",MAX(J291,MIN(ROUND(J291*(1+Параметры!$B$5),IF(J291*(1+Параметры!$B$5)&gt;=1000,-1,0)),ROUND(G291*Параметры!$B$6,IF(G291*Параметры!$B$6&gt;=1000,-1,0)))))</f>
        <v>476</v>
      </c>
      <c r="L291" s="16">
        <v>0.5</v>
      </c>
      <c r="M291" s="17">
        <f t="shared" si="24"/>
        <v>2</v>
      </c>
      <c r="N291" s="17">
        <f>IF(OR(L291="",L291=0),"",Параметры!$B$3/L291)</f>
        <v>16</v>
      </c>
      <c r="O291" s="15">
        <f>IF(L291="","",IFERROR(INDEX('Почасовка — ставки и план'!$D$5:$D$24,MATCH($D291,'Почасовка — ставки и план'!$A$5:$A$24,0)),""))</f>
        <v>1200</v>
      </c>
      <c r="P291" s="15">
        <f>IF(L291="","",IFERROR(INDEX('Почасовка — ставки и план'!$E$5:$E$24,MATCH($D291,'Почасовка — ставки и план'!$A$5:$A$24,0)),""))</f>
        <v>1440</v>
      </c>
      <c r="Q291" s="15">
        <f t="shared" si="25"/>
        <v>600</v>
      </c>
      <c r="R291" s="13" t="str">
        <f>IF(D291="TEX","аренда техники — сделка/счёт",IF(OR(Q291="",H291="",H291=0),"—",IF(Q291&lt;H291*(1-Параметры!$B$7),"почасовка",IF(Q291&gt;H291*(1+Параметры!$B$7),"сделка","любой способ"))))</f>
        <v>сделка</v>
      </c>
      <c r="S291">
        <v>0.33333333333333331</v>
      </c>
      <c r="T291">
        <v>0.39130434782608692</v>
      </c>
    </row>
    <row r="292" spans="1:20" x14ac:dyDescent="0.25">
      <c r="A292" s="13" t="s">
        <v>636</v>
      </c>
      <c r="B292" s="13" t="s">
        <v>637</v>
      </c>
      <c r="C292" s="13" t="s">
        <v>144</v>
      </c>
      <c r="D292" s="13" t="s">
        <v>545</v>
      </c>
      <c r="E292" s="13" t="str">
        <f>IFERROR(INDEX('Почасовка — ставки и план'!$B$5:$B$24,MATCH(D292,'Почасовка — ставки и план'!$A$5:$A$24,0)),"Аренда техники / механизмы")</f>
        <v>Сервисный инженер ворот и автоматики</v>
      </c>
      <c r="F292" s="14">
        <v>1920</v>
      </c>
      <c r="G292" s="14">
        <v>2304</v>
      </c>
      <c r="H292" s="15">
        <v>900</v>
      </c>
      <c r="I292" s="15">
        <f>IF(OR(H292="",F292=""),"",MAX(H292,MIN(ROUND(H292*(1+Параметры!$B$5),IF(H292*(1+Параметры!$B$5)&gt;=1000,-1,0)),ROUND(F292*Параметры!$B$6,IF(F292*Параметры!$B$6&gt;=1000,-1,0)))))</f>
        <v>1040</v>
      </c>
      <c r="J292" s="15">
        <v>1035</v>
      </c>
      <c r="K292" s="15">
        <f>IF(OR(J292="",G292=""),"",MAX(J292,MIN(ROUND(J292*(1+Параметры!$B$5),IF(J292*(1+Параметры!$B$5)&gt;=1000,-1,0)),ROUND(G292*Параметры!$B$6,IF(G292*Параметры!$B$6&gt;=1000,-1,0)))))</f>
        <v>1190</v>
      </c>
      <c r="L292" s="16">
        <v>1.2</v>
      </c>
      <c r="M292" s="17">
        <f t="shared" si="24"/>
        <v>0.83333333333333337</v>
      </c>
      <c r="N292" s="17">
        <f>IF(OR(L292="",L292=0),"",Параметры!$B$3/L292)</f>
        <v>6.666666666666667</v>
      </c>
      <c r="O292" s="15">
        <f>IF(L292="","",IFERROR(INDEX('Почасовка — ставки и план'!$D$5:$D$24,MATCH($D292,'Почасовка — ставки и план'!$A$5:$A$24,0)),""))</f>
        <v>1200</v>
      </c>
      <c r="P292" s="15">
        <f>IF(L292="","",IFERROR(INDEX('Почасовка — ставки и план'!$E$5:$E$24,MATCH($D292,'Почасовка — ставки и план'!$A$5:$A$24,0)),""))</f>
        <v>1440</v>
      </c>
      <c r="Q292" s="15">
        <f t="shared" si="25"/>
        <v>1440</v>
      </c>
      <c r="R292" s="13" t="str">
        <f>IF(D292="TEX","аренда техники — сделка/счёт",IF(OR(Q292="",H292="",H292=0),"—",IF(Q292&lt;H292*(1-Параметры!$B$7),"почасовка",IF(Q292&gt;H292*(1+Параметры!$B$7),"сделка","любой способ"))))</f>
        <v>сделка</v>
      </c>
      <c r="S292">
        <v>0.28000000000000003</v>
      </c>
      <c r="T292">
        <v>0.33565217391304358</v>
      </c>
    </row>
    <row r="293" spans="1:20" x14ac:dyDescent="0.25">
      <c r="A293" s="13" t="s">
        <v>638</v>
      </c>
      <c r="B293" s="13" t="s">
        <v>639</v>
      </c>
      <c r="C293" s="13" t="s">
        <v>144</v>
      </c>
      <c r="D293" s="13" t="s">
        <v>545</v>
      </c>
      <c r="E293" s="13" t="str">
        <f>IFERROR(INDEX('Почасовка — ставки и план'!$B$5:$B$24,MATCH(D293,'Почасовка — ставки и план'!$A$5:$A$24,0)),"Аренда техники / механизмы")</f>
        <v>Сервисный инженер ворот и автоматики</v>
      </c>
      <c r="F293" s="14">
        <v>240</v>
      </c>
      <c r="G293" s="14">
        <v>288</v>
      </c>
      <c r="H293" s="15">
        <v>120</v>
      </c>
      <c r="I293" s="15">
        <f>IF(OR(H293="",F293=""),"",MAX(H293,MIN(ROUND(H293*(1+Параметры!$B$5),IF(H293*(1+Параметры!$B$5)&gt;=1000,-1,0)),ROUND(F293*Параметры!$B$6,IF(F293*Параметры!$B$6&gt;=1000,-1,0)))))</f>
        <v>138</v>
      </c>
      <c r="J293" s="15">
        <v>138</v>
      </c>
      <c r="K293" s="15">
        <f>IF(OR(J293="",G293=""),"",MAX(J293,MIN(ROUND(J293*(1+Параметры!$B$5),IF(J293*(1+Параметры!$B$5)&gt;=1000,-1,0)),ROUND(G293*Параметры!$B$6,IF(G293*Параметры!$B$6&gt;=1000,-1,0)))))</f>
        <v>159</v>
      </c>
      <c r="L293" s="16">
        <v>0.15</v>
      </c>
      <c r="M293" s="17">
        <f t="shared" si="24"/>
        <v>6.666666666666667</v>
      </c>
      <c r="N293" s="17">
        <f>IF(OR(L293="",L293=0),"",Параметры!$B$3/L293)</f>
        <v>53.333333333333336</v>
      </c>
      <c r="O293" s="15">
        <f>IF(L293="","",IFERROR(INDEX('Почасовка — ставки и план'!$D$5:$D$24,MATCH($D293,'Почасовка — ставки и план'!$A$5:$A$24,0)),""))</f>
        <v>1200</v>
      </c>
      <c r="P293" s="15">
        <f>IF(L293="","",IFERROR(INDEX('Почасовка — ставки и план'!$E$5:$E$24,MATCH($D293,'Почасовка — ставки и план'!$A$5:$A$24,0)),""))</f>
        <v>1440</v>
      </c>
      <c r="Q293" s="15">
        <f t="shared" si="25"/>
        <v>180</v>
      </c>
      <c r="R293" s="13" t="str">
        <f>IF(D293="TEX","аренда техники — сделка/счёт",IF(OR(Q293="",H293="",H293=0),"—",IF(Q293&lt;H293*(1-Параметры!$B$7),"почасовка",IF(Q293&gt;H293*(1+Параметры!$B$7),"сделка","любой способ"))))</f>
        <v>сделка</v>
      </c>
      <c r="S293">
        <v>0.2</v>
      </c>
      <c r="T293">
        <v>0.25217391304347841</v>
      </c>
    </row>
    <row r="294" spans="1:20" x14ac:dyDescent="0.25">
      <c r="A294" s="13" t="s">
        <v>640</v>
      </c>
      <c r="B294" s="13" t="s">
        <v>641</v>
      </c>
      <c r="C294" s="13" t="s">
        <v>144</v>
      </c>
      <c r="D294" s="13" t="s">
        <v>545</v>
      </c>
      <c r="E294" s="13" t="str">
        <f>IFERROR(INDEX('Почасовка — ставки и план'!$B$5:$B$24,MATCH(D294,'Почасовка — ставки и план'!$A$5:$A$24,0)),"Аренда техники / механизмы")</f>
        <v>Сервисный инженер ворот и автоматики</v>
      </c>
      <c r="F294" s="14">
        <v>960</v>
      </c>
      <c r="G294" s="14">
        <v>1152</v>
      </c>
      <c r="H294" s="15">
        <v>480</v>
      </c>
      <c r="I294" s="15">
        <f>IF(OR(H294="",F294=""),"",MAX(H294,MIN(ROUND(H294*(1+Параметры!$B$5),IF(H294*(1+Параметры!$B$5)&gt;=1000,-1,0)),ROUND(F294*Параметры!$B$6,IF(F294*Параметры!$B$6&gt;=1000,-1,0)))))</f>
        <v>552</v>
      </c>
      <c r="J294" s="15">
        <v>552</v>
      </c>
      <c r="K294" s="15">
        <f>IF(OR(J294="",G294=""),"",MAX(J294,MIN(ROUND(J294*(1+Параметры!$B$5),IF(J294*(1+Параметры!$B$5)&gt;=1000,-1,0)),ROUND(G294*Параметры!$B$6,IF(G294*Параметры!$B$6&gt;=1000,-1,0)))))</f>
        <v>635</v>
      </c>
      <c r="L294" s="16">
        <v>0.6</v>
      </c>
      <c r="M294" s="17">
        <f t="shared" si="24"/>
        <v>1.6666666666666667</v>
      </c>
      <c r="N294" s="17">
        <f>IF(OR(L294="",L294=0),"",Параметры!$B$3/L294)</f>
        <v>13.333333333333334</v>
      </c>
      <c r="O294" s="15">
        <f>IF(L294="","",IFERROR(INDEX('Почасовка — ставки и план'!$D$5:$D$24,MATCH($D294,'Почасовка — ставки и план'!$A$5:$A$24,0)),""))</f>
        <v>1200</v>
      </c>
      <c r="P294" s="15">
        <f>IF(L294="","",IFERROR(INDEX('Почасовка — ставки и план'!$E$5:$E$24,MATCH($D294,'Почасовка — ставки и план'!$A$5:$A$24,0)),""))</f>
        <v>1440</v>
      </c>
      <c r="Q294" s="15">
        <f t="shared" si="25"/>
        <v>720</v>
      </c>
      <c r="R294" s="13" t="str">
        <f>IF(D294="TEX","аренда техники — сделка/счёт",IF(OR(Q294="",H294="",H294=0),"—",IF(Q294&lt;H294*(1-Параметры!$B$7),"почасовка",IF(Q294&gt;H294*(1+Параметры!$B$7),"сделка","любой способ"))))</f>
        <v>сделка</v>
      </c>
      <c r="S294">
        <v>0.2</v>
      </c>
      <c r="T294">
        <v>0.25217391304347841</v>
      </c>
    </row>
    <row r="295" spans="1:20" x14ac:dyDescent="0.25">
      <c r="A295" s="13" t="s">
        <v>642</v>
      </c>
      <c r="B295" s="13" t="s">
        <v>643</v>
      </c>
      <c r="C295" s="13" t="s">
        <v>144</v>
      </c>
      <c r="D295" s="13" t="s">
        <v>545</v>
      </c>
      <c r="E295" s="13" t="str">
        <f>IFERROR(INDEX('Почасовка — ставки и план'!$B$5:$B$24,MATCH(D295,'Почасовка — ставки и план'!$A$5:$A$24,0)),"Аренда техники / механизмы")</f>
        <v>Сервисный инженер ворот и автоматики</v>
      </c>
      <c r="F295" s="14">
        <v>960</v>
      </c>
      <c r="G295" s="14">
        <v>1152</v>
      </c>
      <c r="H295" s="15">
        <v>480</v>
      </c>
      <c r="I295" s="15">
        <f>IF(OR(H295="",F295=""),"",MAX(H295,MIN(ROUND(H295*(1+Параметры!$B$5),IF(H295*(1+Параметры!$B$5)&gt;=1000,-1,0)),ROUND(F295*Параметры!$B$6,IF(F295*Параметры!$B$6&gt;=1000,-1,0)))))</f>
        <v>552</v>
      </c>
      <c r="J295" s="15">
        <v>552</v>
      </c>
      <c r="K295" s="15">
        <f>IF(OR(J295="",G295=""),"",MAX(J295,MIN(ROUND(J295*(1+Параметры!$B$5),IF(J295*(1+Параметры!$B$5)&gt;=1000,-1,0)),ROUND(G295*Параметры!$B$6,IF(G295*Параметры!$B$6&gt;=1000,-1,0)))))</f>
        <v>635</v>
      </c>
      <c r="L295" s="16">
        <v>0.6</v>
      </c>
      <c r="M295" s="17">
        <f t="shared" si="24"/>
        <v>1.6666666666666667</v>
      </c>
      <c r="N295" s="17">
        <f>IF(OR(L295="",L295=0),"",Параметры!$B$3/L295)</f>
        <v>13.333333333333334</v>
      </c>
      <c r="O295" s="15">
        <f>IF(L295="","",IFERROR(INDEX('Почасовка — ставки и план'!$D$5:$D$24,MATCH($D295,'Почасовка — ставки и план'!$A$5:$A$24,0)),""))</f>
        <v>1200</v>
      </c>
      <c r="P295" s="15">
        <f>IF(L295="","",IFERROR(INDEX('Почасовка — ставки и план'!$E$5:$E$24,MATCH($D295,'Почасовка — ставки и план'!$A$5:$A$24,0)),""))</f>
        <v>1440</v>
      </c>
      <c r="Q295" s="15">
        <f t="shared" si="25"/>
        <v>720</v>
      </c>
      <c r="R295" s="13" t="str">
        <f>IF(D295="TEX","аренда техники — сделка/счёт",IF(OR(Q295="",H295="",H295=0),"—",IF(Q295&lt;H295*(1-Параметры!$B$7),"почасовка",IF(Q295&gt;H295*(1+Параметры!$B$7),"сделка","любой способ"))))</f>
        <v>сделка</v>
      </c>
      <c r="S295">
        <v>0.2</v>
      </c>
      <c r="T295">
        <v>0.25217391304347841</v>
      </c>
    </row>
    <row r="296" spans="1:20" x14ac:dyDescent="0.25">
      <c r="A296" s="13" t="s">
        <v>644</v>
      </c>
      <c r="B296" s="13" t="s">
        <v>645</v>
      </c>
      <c r="C296" s="13" t="s">
        <v>144</v>
      </c>
      <c r="D296" s="13" t="s">
        <v>545</v>
      </c>
      <c r="E296" s="13" t="str">
        <f>IFERROR(INDEX('Почасовка — ставки и план'!$B$5:$B$24,MATCH(D296,'Почасовка — ставки и план'!$A$5:$A$24,0)),"Аренда техники / механизмы")</f>
        <v>Сервисный инженер ворот и автоматики</v>
      </c>
      <c r="F296" s="14">
        <v>1280</v>
      </c>
      <c r="G296" s="14">
        <v>1536</v>
      </c>
      <c r="H296" s="15">
        <v>540</v>
      </c>
      <c r="I296" s="15">
        <f>IF(OR(H296="",F296=""),"",MAX(H296,MIN(ROUND(H296*(1+Параметры!$B$5),IF(H296*(1+Параметры!$B$5)&gt;=1000,-1,0)),ROUND(F296*Параметры!$B$6,IF(F296*Параметры!$B$6&gt;=1000,-1,0)))))</f>
        <v>621</v>
      </c>
      <c r="J296" s="15">
        <v>621</v>
      </c>
      <c r="K296" s="15">
        <f>IF(OR(J296="",G296=""),"",MAX(J296,MIN(ROUND(J296*(1+Параметры!$B$5),IF(J296*(1+Параметры!$B$5)&gt;=1000,-1,0)),ROUND(G296*Параметры!$B$6,IF(G296*Параметры!$B$6&gt;=1000,-1,0)))))</f>
        <v>714</v>
      </c>
      <c r="L296" s="16">
        <v>0.8</v>
      </c>
      <c r="M296" s="17">
        <f t="shared" si="24"/>
        <v>1.25</v>
      </c>
      <c r="N296" s="17">
        <f>IF(OR(L296="",L296=0),"",Параметры!$B$3/L296)</f>
        <v>10</v>
      </c>
      <c r="O296" s="15">
        <f>IF(L296="","",IFERROR(INDEX('Почасовка — ставки и план'!$D$5:$D$24,MATCH($D296,'Почасовка — ставки и план'!$A$5:$A$24,0)),""))</f>
        <v>1200</v>
      </c>
      <c r="P296" s="15">
        <f>IF(L296="","",IFERROR(INDEX('Почасовка — ставки и план'!$E$5:$E$24,MATCH($D296,'Почасовка — ставки и план'!$A$5:$A$24,0)),""))</f>
        <v>1440</v>
      </c>
      <c r="Q296" s="15">
        <f t="shared" si="25"/>
        <v>960</v>
      </c>
      <c r="R296" s="13" t="str">
        <f>IF(D296="TEX","аренда техники — сделка/счёт",IF(OR(Q296="",H296="",H296=0),"—",IF(Q296&lt;H296*(1-Параметры!$B$7),"почасовка",IF(Q296&gt;H296*(1+Параметры!$B$7),"сделка","любой способ"))))</f>
        <v>сделка</v>
      </c>
      <c r="S296">
        <v>0.42222222222222228</v>
      </c>
      <c r="T296">
        <v>0.48405797101449283</v>
      </c>
    </row>
    <row r="297" spans="1:20" x14ac:dyDescent="0.25">
      <c r="A297" s="13" t="s">
        <v>646</v>
      </c>
      <c r="B297" s="13" t="s">
        <v>647</v>
      </c>
      <c r="C297" s="13" t="s">
        <v>144</v>
      </c>
      <c r="D297" s="13" t="s">
        <v>545</v>
      </c>
      <c r="E297" s="13" t="str">
        <f>IFERROR(INDEX('Почасовка — ставки и план'!$B$5:$B$24,MATCH(D297,'Почасовка — ставки и план'!$A$5:$A$24,0)),"Аренда техники / механизмы")</f>
        <v>Сервисный инженер ворот и автоматики</v>
      </c>
      <c r="F297" s="14">
        <v>800</v>
      </c>
      <c r="G297" s="14">
        <v>960</v>
      </c>
      <c r="H297" s="15">
        <v>360</v>
      </c>
      <c r="I297" s="15">
        <f>IF(OR(H297="",F297=""),"",MAX(H297,MIN(ROUND(H297*(1+Параметры!$B$5),IF(H297*(1+Параметры!$B$5)&gt;=1000,-1,0)),ROUND(F297*Параметры!$B$6,IF(F297*Параметры!$B$6&gt;=1000,-1,0)))))</f>
        <v>414</v>
      </c>
      <c r="J297" s="15">
        <v>414</v>
      </c>
      <c r="K297" s="15">
        <f>IF(OR(J297="",G297=""),"",MAX(J297,MIN(ROUND(J297*(1+Параметры!$B$5),IF(J297*(1+Параметры!$B$5)&gt;=1000,-1,0)),ROUND(G297*Параметры!$B$6,IF(G297*Параметры!$B$6&gt;=1000,-1,0)))))</f>
        <v>476</v>
      </c>
      <c r="L297" s="16">
        <v>0.5</v>
      </c>
      <c r="M297" s="17">
        <f t="shared" si="24"/>
        <v>2</v>
      </c>
      <c r="N297" s="17">
        <f>IF(OR(L297="",L297=0),"",Параметры!$B$3/L297)</f>
        <v>16</v>
      </c>
      <c r="O297" s="15">
        <f>IF(L297="","",IFERROR(INDEX('Почасовка — ставки и план'!$D$5:$D$24,MATCH($D297,'Почасовка — ставки и план'!$A$5:$A$24,0)),""))</f>
        <v>1200</v>
      </c>
      <c r="P297" s="15">
        <f>IF(L297="","",IFERROR(INDEX('Почасовка — ставки и план'!$E$5:$E$24,MATCH($D297,'Почасовка — ставки и план'!$A$5:$A$24,0)),""))</f>
        <v>1440</v>
      </c>
      <c r="Q297" s="15">
        <f t="shared" si="25"/>
        <v>600</v>
      </c>
      <c r="R297" s="13" t="str">
        <f>IF(D297="TEX","аренда техники — сделка/счёт",IF(OR(Q297="",H297="",H297=0),"—",IF(Q297&lt;H297*(1-Параметры!$B$7),"почасовка",IF(Q297&gt;H297*(1+Параметры!$B$7),"сделка","любой способ"))))</f>
        <v>сделка</v>
      </c>
      <c r="S297">
        <v>0.33333333333333331</v>
      </c>
      <c r="T297">
        <v>0.39130434782608692</v>
      </c>
    </row>
    <row r="298" spans="1:20" x14ac:dyDescent="0.25">
      <c r="A298" s="13" t="s">
        <v>648</v>
      </c>
      <c r="B298" s="13" t="s">
        <v>649</v>
      </c>
      <c r="C298" s="13" t="s">
        <v>144</v>
      </c>
      <c r="D298" s="13" t="s">
        <v>545</v>
      </c>
      <c r="E298" s="13" t="str">
        <f>IFERROR(INDEX('Почасовка — ставки и план'!$B$5:$B$24,MATCH(D298,'Почасовка — ставки и план'!$A$5:$A$24,0)),"Аренда техники / механизмы")</f>
        <v>Сервисный инженер ворот и автоматики</v>
      </c>
      <c r="F298" s="14">
        <v>128</v>
      </c>
      <c r="G298" s="14">
        <v>154</v>
      </c>
      <c r="H298" s="15">
        <v>60</v>
      </c>
      <c r="I298" s="15">
        <f>IF(OR(H298="",F298=""),"",MAX(H298,MIN(ROUND(H298*(1+Параметры!$B$5),IF(H298*(1+Параметры!$B$5)&gt;=1000,-1,0)),ROUND(F298*Параметры!$B$6,IF(F298*Параметры!$B$6&gt;=1000,-1,0)))))</f>
        <v>69</v>
      </c>
      <c r="J298" s="15">
        <v>69</v>
      </c>
      <c r="K298" s="15">
        <f>IF(OR(J298="",G298=""),"",MAX(J298,MIN(ROUND(J298*(1+Параметры!$B$5),IF(J298*(1+Параметры!$B$5)&gt;=1000,-1,0)),ROUND(G298*Параметры!$B$6,IF(G298*Параметры!$B$6&gt;=1000,-1,0)))))</f>
        <v>79</v>
      </c>
      <c r="L298" s="16">
        <v>0.08</v>
      </c>
      <c r="M298" s="17">
        <f t="shared" si="24"/>
        <v>12.5</v>
      </c>
      <c r="N298" s="17">
        <f>IF(OR(L298="",L298=0),"",Параметры!$B$3/L298)</f>
        <v>100</v>
      </c>
      <c r="O298" s="15">
        <f>IF(L298="","",IFERROR(INDEX('Почасовка — ставки и план'!$D$5:$D$24,MATCH($D298,'Почасовка — ставки и план'!$A$5:$A$24,0)),""))</f>
        <v>1200</v>
      </c>
      <c r="P298" s="15">
        <f>IF(L298="","",IFERROR(INDEX('Почасовка — ставки и план'!$E$5:$E$24,MATCH($D298,'Почасовка — ставки и план'!$A$5:$A$24,0)),""))</f>
        <v>1440</v>
      </c>
      <c r="Q298" s="15">
        <f t="shared" si="25"/>
        <v>96</v>
      </c>
      <c r="R298" s="13" t="str">
        <f>IF(D298="TEX","аренда техники — сделка/счёт",IF(OR(Q298="",H298="",H298=0),"—",IF(Q298&lt;H298*(1-Параметры!$B$7),"почасовка",IF(Q298&gt;H298*(1+Параметры!$B$7),"сделка","любой способ"))))</f>
        <v>сделка</v>
      </c>
      <c r="S298">
        <v>0.28000000000000003</v>
      </c>
      <c r="T298">
        <v>0.33913043478260868</v>
      </c>
    </row>
    <row r="299" spans="1:20" x14ac:dyDescent="0.25">
      <c r="A299" s="13" t="s">
        <v>650</v>
      </c>
      <c r="B299" s="13" t="s">
        <v>651</v>
      </c>
      <c r="C299" s="13" t="s">
        <v>144</v>
      </c>
      <c r="D299" s="13" t="s">
        <v>545</v>
      </c>
      <c r="E299" s="13" t="str">
        <f>IFERROR(INDEX('Почасовка — ставки и план'!$B$5:$B$24,MATCH(D299,'Почасовка — ставки и план'!$A$5:$A$24,0)),"Аренда техники / механизмы")</f>
        <v>Сервисный инженер ворот и автоматики</v>
      </c>
      <c r="F299" s="14">
        <v>320</v>
      </c>
      <c r="G299" s="14">
        <v>384</v>
      </c>
      <c r="H299" s="15">
        <v>150</v>
      </c>
      <c r="I299" s="15">
        <f>IF(OR(H299="",F299=""),"",MAX(H299,MIN(ROUND(H299*(1+Параметры!$B$5),IF(H299*(1+Параметры!$B$5)&gt;=1000,-1,0)),ROUND(F299*Параметры!$B$6,IF(F299*Параметры!$B$6&gt;=1000,-1,0)))))</f>
        <v>173</v>
      </c>
      <c r="J299" s="15">
        <v>172</v>
      </c>
      <c r="K299" s="15">
        <f>IF(OR(J299="",G299=""),"",MAX(J299,MIN(ROUND(J299*(1+Параметры!$B$5),IF(J299*(1+Параметры!$B$5)&gt;=1000,-1,0)),ROUND(G299*Параметры!$B$6,IF(G299*Параметры!$B$6&gt;=1000,-1,0)))))</f>
        <v>198</v>
      </c>
      <c r="L299" s="16">
        <v>0.2</v>
      </c>
      <c r="M299" s="17">
        <f t="shared" si="24"/>
        <v>5</v>
      </c>
      <c r="N299" s="17">
        <f>IF(OR(L299="",L299=0),"",Параметры!$B$3/L299)</f>
        <v>40</v>
      </c>
      <c r="O299" s="15">
        <f>IF(L299="","",IFERROR(INDEX('Почасовка — ставки и план'!$D$5:$D$24,MATCH($D299,'Почасовка — ставки и план'!$A$5:$A$24,0)),""))</f>
        <v>1200</v>
      </c>
      <c r="P299" s="15">
        <f>IF(L299="","",IFERROR(INDEX('Почасовка — ставки и план'!$E$5:$E$24,MATCH($D299,'Почасовка — ставки и план'!$A$5:$A$24,0)),""))</f>
        <v>1440</v>
      </c>
      <c r="Q299" s="15">
        <f t="shared" si="25"/>
        <v>240</v>
      </c>
      <c r="R299" s="13" t="str">
        <f>IF(D299="TEX","аренда техники — сделка/счёт",IF(OR(Q299="",H299="",H299=0),"—",IF(Q299&lt;H299*(1-Параметры!$B$7),"почасовка",IF(Q299&gt;H299*(1+Параметры!$B$7),"сделка","любой способ"))))</f>
        <v>сделка</v>
      </c>
      <c r="S299">
        <v>0.28000000000000003</v>
      </c>
      <c r="T299">
        <v>0.33333333333333331</v>
      </c>
    </row>
    <row r="300" spans="1:20" x14ac:dyDescent="0.25">
      <c r="A300" s="13" t="s">
        <v>652</v>
      </c>
      <c r="B300" s="13" t="s">
        <v>653</v>
      </c>
      <c r="C300" s="13" t="s">
        <v>144</v>
      </c>
      <c r="D300" s="13" t="s">
        <v>545</v>
      </c>
      <c r="E300" s="13" t="str">
        <f>IFERROR(INDEX('Почасовка — ставки и план'!$B$5:$B$24,MATCH(D300,'Почасовка — ставки и план'!$A$5:$A$24,0)),"Аренда техники / механизмы")</f>
        <v>Сервисный инженер ворот и автоматики</v>
      </c>
      <c r="F300" s="14">
        <v>640</v>
      </c>
      <c r="G300" s="14">
        <v>768</v>
      </c>
      <c r="H300" s="15">
        <v>300</v>
      </c>
      <c r="I300" s="15">
        <f>IF(OR(H300="",F300=""),"",MAX(H300,MIN(ROUND(H300*(1+Параметры!$B$5),IF(H300*(1+Параметры!$B$5)&gt;=1000,-1,0)),ROUND(F300*Параметры!$B$6,IF(F300*Параметры!$B$6&gt;=1000,-1,0)))))</f>
        <v>345</v>
      </c>
      <c r="J300" s="15">
        <v>345</v>
      </c>
      <c r="K300" s="15">
        <f>IF(OR(J300="",G300=""),"",MAX(J300,MIN(ROUND(J300*(1+Параметры!$B$5),IF(J300*(1+Параметры!$B$5)&gt;=1000,-1,0)),ROUND(G300*Параметры!$B$6,IF(G300*Параметры!$B$6&gt;=1000,-1,0)))))</f>
        <v>397</v>
      </c>
      <c r="L300" s="16">
        <v>0.4</v>
      </c>
      <c r="M300" s="17">
        <f t="shared" si="24"/>
        <v>2.5</v>
      </c>
      <c r="N300" s="17">
        <f>IF(OR(L300="",L300=0),"",Параметры!$B$3/L300)</f>
        <v>20</v>
      </c>
      <c r="O300" s="15">
        <f>IF(L300="","",IFERROR(INDEX('Почасовка — ставки и план'!$D$5:$D$24,MATCH($D300,'Почасовка — ставки и план'!$A$5:$A$24,0)),""))</f>
        <v>1200</v>
      </c>
      <c r="P300" s="15">
        <f>IF(L300="","",IFERROR(INDEX('Почасовка — ставки и план'!$E$5:$E$24,MATCH($D300,'Почасовка — ставки и план'!$A$5:$A$24,0)),""))</f>
        <v>1440</v>
      </c>
      <c r="Q300" s="15">
        <f t="shared" si="25"/>
        <v>480</v>
      </c>
      <c r="R300" s="13" t="str">
        <f>IF(D300="TEX","аренда техники — сделка/счёт",IF(OR(Q300="",H300="",H300=0),"—",IF(Q300&lt;H300*(1-Параметры!$B$7),"почасовка",IF(Q300&gt;H300*(1+Параметры!$B$7),"сделка","любой способ"))))</f>
        <v>сделка</v>
      </c>
      <c r="S300">
        <v>0.28000000000000003</v>
      </c>
      <c r="T300">
        <v>0.33565217391304358</v>
      </c>
    </row>
    <row r="301" spans="1:20" x14ac:dyDescent="0.25">
      <c r="A301" s="13" t="s">
        <v>654</v>
      </c>
      <c r="B301" s="13" t="s">
        <v>655</v>
      </c>
      <c r="C301" s="13" t="s">
        <v>144</v>
      </c>
      <c r="D301" s="13" t="s">
        <v>545</v>
      </c>
      <c r="E301" s="13" t="str">
        <f>IFERROR(INDEX('Почасовка — ставки и план'!$B$5:$B$24,MATCH(D301,'Почасовка — ставки и план'!$A$5:$A$24,0)),"Аренда техники / механизмы")</f>
        <v>Сервисный инженер ворот и автоматики</v>
      </c>
      <c r="F301" s="14">
        <v>1600</v>
      </c>
      <c r="G301" s="14">
        <v>1920</v>
      </c>
      <c r="H301" s="15">
        <v>780</v>
      </c>
      <c r="I301" s="15">
        <f>IF(OR(H301="",F301=""),"",MAX(H301,MIN(ROUND(H301*(1+Параметры!$B$5),IF(H301*(1+Параметры!$B$5)&gt;=1000,-1,0)),ROUND(F301*Параметры!$B$6,IF(F301*Параметры!$B$6&gt;=1000,-1,0)))))</f>
        <v>897</v>
      </c>
      <c r="J301" s="15">
        <v>897</v>
      </c>
      <c r="K301" s="15">
        <f>IF(OR(J301="",G301=""),"",MAX(J301,MIN(ROUND(J301*(1+Параметры!$B$5),IF(J301*(1+Параметры!$B$5)&gt;=1000,-1,0)),ROUND(G301*Параметры!$B$6,IF(G301*Параметры!$B$6&gt;=1000,-1,0)))))</f>
        <v>1030</v>
      </c>
      <c r="L301" s="16">
        <v>1</v>
      </c>
      <c r="M301" s="17">
        <f t="shared" si="24"/>
        <v>1</v>
      </c>
      <c r="N301" s="17">
        <f>IF(OR(L301="",L301=0),"",Параметры!$B$3/L301)</f>
        <v>8</v>
      </c>
      <c r="O301" s="15">
        <f>IF(L301="","",IFERROR(INDEX('Почасовка — ставки и план'!$D$5:$D$24,MATCH($D301,'Почасовка — ставки и план'!$A$5:$A$24,0)),""))</f>
        <v>1200</v>
      </c>
      <c r="P301" s="15">
        <f>IF(L301="","",IFERROR(INDEX('Почасовка — ставки и план'!$E$5:$E$24,MATCH($D301,'Почасовка — ставки и план'!$A$5:$A$24,0)),""))</f>
        <v>1440</v>
      </c>
      <c r="Q301" s="15">
        <f t="shared" si="25"/>
        <v>1200</v>
      </c>
      <c r="R301" s="13" t="str">
        <f>IF(D301="TEX","аренда техники — сделка/счёт",IF(OR(Q301="",H301="",H301=0),"—",IF(Q301&lt;H301*(1-Параметры!$B$7),"почасовка",IF(Q301&gt;H301*(1+Параметры!$B$7),"сделка","любой способ"))))</f>
        <v>сделка</v>
      </c>
      <c r="S301">
        <v>0.23076923076923081</v>
      </c>
      <c r="T301">
        <v>0.28428093645484948</v>
      </c>
    </row>
    <row r="302" spans="1:20" x14ac:dyDescent="0.25">
      <c r="A302" s="13" t="s">
        <v>656</v>
      </c>
      <c r="B302" s="13" t="s">
        <v>657</v>
      </c>
      <c r="C302" s="13" t="s">
        <v>72</v>
      </c>
      <c r="D302" s="13" t="s">
        <v>64</v>
      </c>
      <c r="E302" s="13" t="str">
        <f>IFERROR(INDEX('Почасовка — ставки и план'!$B$5:$B$24,MATCH(D302,'Почасовка — ставки и план'!$A$5:$A$24,0)),"Аренда техники / механизмы")</f>
        <v>Сварщик / монтажник МК</v>
      </c>
      <c r="F302" s="14">
        <v>240</v>
      </c>
      <c r="G302" s="14">
        <v>288</v>
      </c>
      <c r="H302" s="15">
        <v>120</v>
      </c>
      <c r="I302" s="15">
        <f>IF(OR(H302="",F302=""),"",MAX(H302,MIN(ROUND(H302*(1+Параметры!$B$5),IF(H302*(1+Параметры!$B$5)&gt;=1000,-1,0)),ROUND(F302*Параметры!$B$6,IF(F302*Параметры!$B$6&gt;=1000,-1,0)))))</f>
        <v>138</v>
      </c>
      <c r="J302" s="15">
        <v>138</v>
      </c>
      <c r="K302" s="15">
        <f>IF(OR(J302="",G302=""),"",MAX(J302,MIN(ROUND(J302*(1+Параметры!$B$5),IF(J302*(1+Параметры!$B$5)&gt;=1000,-1,0)),ROUND(G302*Параметры!$B$6,IF(G302*Параметры!$B$6&gt;=1000,-1,0)))))</f>
        <v>159</v>
      </c>
      <c r="L302" s="16">
        <v>0.2</v>
      </c>
      <c r="M302" s="17">
        <f t="shared" si="24"/>
        <v>5</v>
      </c>
      <c r="N302" s="17">
        <f>IF(OR(L302="",L302=0),"",Параметры!$B$3/L302)</f>
        <v>40</v>
      </c>
      <c r="O302" s="15">
        <f>IF(L302="","",IFERROR(INDEX('Почасовка — ставки и план'!$D$5:$D$24,MATCH($D302,'Почасовка — ставки и план'!$A$5:$A$24,0)),""))</f>
        <v>900</v>
      </c>
      <c r="P302" s="15">
        <f>IF(L302="","",IFERROR(INDEX('Почасовка — ставки и план'!$E$5:$E$24,MATCH($D302,'Почасовка — ставки и план'!$A$5:$A$24,0)),""))</f>
        <v>1080</v>
      </c>
      <c r="Q302" s="15">
        <f t="shared" si="25"/>
        <v>180</v>
      </c>
      <c r="R302" s="13" t="str">
        <f>IF(D302="TEX","аренда техники — сделка/счёт",IF(OR(Q302="",H302="",H302=0),"—",IF(Q302&lt;H302*(1-Параметры!$B$7),"почасовка",IF(Q302&gt;H302*(1+Параметры!$B$7),"сделка","любой способ"))))</f>
        <v>сделка</v>
      </c>
      <c r="S302">
        <v>0.2</v>
      </c>
      <c r="T302">
        <v>0.25217391304347841</v>
      </c>
    </row>
    <row r="303" spans="1:20" x14ac:dyDescent="0.25">
      <c r="A303" s="13" t="s">
        <v>658</v>
      </c>
      <c r="B303" s="13" t="s">
        <v>659</v>
      </c>
      <c r="C303" s="13" t="s">
        <v>144</v>
      </c>
      <c r="D303" s="13" t="s">
        <v>545</v>
      </c>
      <c r="E303" s="13" t="str">
        <f>IFERROR(INDEX('Почасовка — ставки и план'!$B$5:$B$24,MATCH(D303,'Почасовка — ставки и план'!$A$5:$A$24,0)),"Аренда техники / механизмы")</f>
        <v>Сервисный инженер ворот и автоматики</v>
      </c>
      <c r="F303" s="14">
        <v>400</v>
      </c>
      <c r="G303" s="14">
        <v>480</v>
      </c>
      <c r="H303" s="15">
        <v>180</v>
      </c>
      <c r="I303" s="15">
        <f>IF(OR(H303="",F303=""),"",MAX(H303,MIN(ROUND(H303*(1+Параметры!$B$5),IF(H303*(1+Параметры!$B$5)&gt;=1000,-1,0)),ROUND(F303*Параметры!$B$6,IF(F303*Параметры!$B$6&gt;=1000,-1,0)))))</f>
        <v>207</v>
      </c>
      <c r="J303" s="15">
        <v>207</v>
      </c>
      <c r="K303" s="15">
        <f>IF(OR(J303="",G303=""),"",MAX(J303,MIN(ROUND(J303*(1+Параметры!$B$5),IF(J303*(1+Параметры!$B$5)&gt;=1000,-1,0)),ROUND(G303*Параметры!$B$6,IF(G303*Параметры!$B$6&gt;=1000,-1,0)))))</f>
        <v>238</v>
      </c>
      <c r="L303" s="16">
        <v>0.25</v>
      </c>
      <c r="M303" s="17">
        <f t="shared" si="24"/>
        <v>4</v>
      </c>
      <c r="N303" s="17">
        <f>IF(OR(L303="",L303=0),"",Параметры!$B$3/L303)</f>
        <v>32</v>
      </c>
      <c r="O303" s="15">
        <f>IF(L303="","",IFERROR(INDEX('Почасовка — ставки и план'!$D$5:$D$24,MATCH($D303,'Почасовка — ставки и план'!$A$5:$A$24,0)),""))</f>
        <v>1200</v>
      </c>
      <c r="P303" s="15">
        <f>IF(L303="","",IFERROR(INDEX('Почасовка — ставки и план'!$E$5:$E$24,MATCH($D303,'Почасовка — ставки и план'!$A$5:$A$24,0)),""))</f>
        <v>1440</v>
      </c>
      <c r="Q303" s="15">
        <f t="shared" si="25"/>
        <v>300</v>
      </c>
      <c r="R303" s="13" t="str">
        <f>IF(D303="TEX","аренда техники — сделка/счёт",IF(OR(Q303="",H303="",H303=0),"—",IF(Q303&lt;H303*(1-Параметры!$B$7),"почасовка",IF(Q303&gt;H303*(1+Параметры!$B$7),"сделка","любой способ"))))</f>
        <v>сделка</v>
      </c>
      <c r="S303">
        <v>0.33333333333333331</v>
      </c>
      <c r="T303">
        <v>0.39130434782608692</v>
      </c>
    </row>
    <row r="304" spans="1:20" x14ac:dyDescent="0.25">
      <c r="A304" s="13" t="s">
        <v>660</v>
      </c>
      <c r="B304" s="13" t="s">
        <v>661</v>
      </c>
      <c r="C304" s="13" t="s">
        <v>144</v>
      </c>
      <c r="D304" s="13" t="s">
        <v>545</v>
      </c>
      <c r="E304" s="13" t="str">
        <f>IFERROR(INDEX('Почасовка — ставки и план'!$B$5:$B$24,MATCH(D304,'Почасовка — ставки и план'!$A$5:$A$24,0)),"Аренда техники / механизмы")</f>
        <v>Сервисный инженер ворот и автоматики</v>
      </c>
      <c r="F304" s="14">
        <v>800</v>
      </c>
      <c r="G304" s="14">
        <v>960</v>
      </c>
      <c r="H304" s="15">
        <v>360</v>
      </c>
      <c r="I304" s="15">
        <f>IF(OR(H304="",F304=""),"",MAX(H304,MIN(ROUND(H304*(1+Параметры!$B$5),IF(H304*(1+Параметры!$B$5)&gt;=1000,-1,0)),ROUND(F304*Параметры!$B$6,IF(F304*Параметры!$B$6&gt;=1000,-1,0)))))</f>
        <v>414</v>
      </c>
      <c r="J304" s="15">
        <v>414</v>
      </c>
      <c r="K304" s="15">
        <f>IF(OR(J304="",G304=""),"",MAX(J304,MIN(ROUND(J304*(1+Параметры!$B$5),IF(J304*(1+Параметры!$B$5)&gt;=1000,-1,0)),ROUND(G304*Параметры!$B$6,IF(G304*Параметры!$B$6&gt;=1000,-1,0)))))</f>
        <v>476</v>
      </c>
      <c r="L304" s="16">
        <v>0.5</v>
      </c>
      <c r="M304" s="17">
        <f t="shared" si="24"/>
        <v>2</v>
      </c>
      <c r="N304" s="17">
        <f>IF(OR(L304="",L304=0),"",Параметры!$B$3/L304)</f>
        <v>16</v>
      </c>
      <c r="O304" s="15">
        <f>IF(L304="","",IFERROR(INDEX('Почасовка — ставки и план'!$D$5:$D$24,MATCH($D304,'Почасовка — ставки и план'!$A$5:$A$24,0)),""))</f>
        <v>1200</v>
      </c>
      <c r="P304" s="15">
        <f>IF(L304="","",IFERROR(INDEX('Почасовка — ставки и план'!$E$5:$E$24,MATCH($D304,'Почасовка — ставки и план'!$A$5:$A$24,0)),""))</f>
        <v>1440</v>
      </c>
      <c r="Q304" s="15">
        <f t="shared" si="25"/>
        <v>600</v>
      </c>
      <c r="R304" s="13" t="str">
        <f>IF(D304="TEX","аренда техники — сделка/счёт",IF(OR(Q304="",H304="",H304=0),"—",IF(Q304&lt;H304*(1-Параметры!$B$7),"почасовка",IF(Q304&gt;H304*(1+Параметры!$B$7),"сделка","любой способ"))))</f>
        <v>сделка</v>
      </c>
      <c r="S304">
        <v>0.33333333333333331</v>
      </c>
      <c r="T304">
        <v>0.39130434782608692</v>
      </c>
    </row>
    <row r="305" spans="1:20" x14ac:dyDescent="0.25">
      <c r="A305" s="13" t="s">
        <v>662</v>
      </c>
      <c r="B305" s="13" t="s">
        <v>663</v>
      </c>
      <c r="C305" s="13" t="s">
        <v>144</v>
      </c>
      <c r="D305" s="13" t="s">
        <v>545</v>
      </c>
      <c r="E305" s="13" t="str">
        <f>IFERROR(INDEX('Почасовка — ставки и план'!$B$5:$B$24,MATCH(D305,'Почасовка — ставки и план'!$A$5:$A$24,0)),"Аренда техники / механизмы")</f>
        <v>Сервисный инженер ворот и автоматики</v>
      </c>
      <c r="F305" s="14">
        <v>128</v>
      </c>
      <c r="G305" s="14">
        <v>154</v>
      </c>
      <c r="H305" s="15">
        <v>60</v>
      </c>
      <c r="I305" s="15">
        <f>IF(OR(H305="",F305=""),"",MAX(H305,MIN(ROUND(H305*(1+Параметры!$B$5),IF(H305*(1+Параметры!$B$5)&gt;=1000,-1,0)),ROUND(F305*Параметры!$B$6,IF(F305*Параметры!$B$6&gt;=1000,-1,0)))))</f>
        <v>69</v>
      </c>
      <c r="J305" s="15">
        <v>69</v>
      </c>
      <c r="K305" s="15">
        <f>IF(OR(J305="",G305=""),"",MAX(J305,MIN(ROUND(J305*(1+Параметры!$B$5),IF(J305*(1+Параметры!$B$5)&gt;=1000,-1,0)),ROUND(G305*Параметры!$B$6,IF(G305*Параметры!$B$6&gt;=1000,-1,0)))))</f>
        <v>79</v>
      </c>
      <c r="L305" s="16">
        <v>0.08</v>
      </c>
      <c r="M305" s="17">
        <f t="shared" si="24"/>
        <v>12.5</v>
      </c>
      <c r="N305" s="17">
        <f>IF(OR(L305="",L305=0),"",Параметры!$B$3/L305)</f>
        <v>100</v>
      </c>
      <c r="O305" s="15">
        <f>IF(L305="","",IFERROR(INDEX('Почасовка — ставки и план'!$D$5:$D$24,MATCH($D305,'Почасовка — ставки и план'!$A$5:$A$24,0)),""))</f>
        <v>1200</v>
      </c>
      <c r="P305" s="15">
        <f>IF(L305="","",IFERROR(INDEX('Почасовка — ставки и план'!$E$5:$E$24,MATCH($D305,'Почасовка — ставки и план'!$A$5:$A$24,0)),""))</f>
        <v>1440</v>
      </c>
      <c r="Q305" s="15">
        <f t="shared" si="25"/>
        <v>96</v>
      </c>
      <c r="R305" s="13" t="str">
        <f>IF(D305="TEX","аренда техники — сделка/счёт",IF(OR(Q305="",H305="",H305=0),"—",IF(Q305&lt;H305*(1-Параметры!$B$7),"почасовка",IF(Q305&gt;H305*(1+Параметры!$B$7),"сделка","любой способ"))))</f>
        <v>сделка</v>
      </c>
      <c r="S305">
        <v>0.28000000000000003</v>
      </c>
      <c r="T305">
        <v>0.33913043478260868</v>
      </c>
    </row>
    <row r="306" spans="1:20" x14ac:dyDescent="0.25">
      <c r="A306" s="13" t="s">
        <v>664</v>
      </c>
      <c r="B306" s="13" t="s">
        <v>665</v>
      </c>
      <c r="C306" s="13" t="s">
        <v>144</v>
      </c>
      <c r="D306" s="13" t="s">
        <v>545</v>
      </c>
      <c r="E306" s="13" t="str">
        <f>IFERROR(INDEX('Почасовка — ставки и план'!$B$5:$B$24,MATCH(D306,'Почасовка — ставки и план'!$A$5:$A$24,0)),"Аренда техники / механизмы")</f>
        <v>Сервисный инженер ворот и автоматики</v>
      </c>
      <c r="F306" s="14">
        <v>2400</v>
      </c>
      <c r="G306" s="14">
        <v>2880</v>
      </c>
      <c r="H306" s="15">
        <v>1200</v>
      </c>
      <c r="I306" s="15">
        <f>IF(OR(H306="",F306=""),"",MAX(H306,MIN(ROUND(H306*(1+Параметры!$B$5),IF(H306*(1+Параметры!$B$5)&gt;=1000,-1,0)),ROUND(F306*Параметры!$B$6,IF(F306*Параметры!$B$6&gt;=1000,-1,0)))))</f>
        <v>1380</v>
      </c>
      <c r="J306" s="15">
        <v>1380</v>
      </c>
      <c r="K306" s="15">
        <f>IF(OR(J306="",G306=""),"",MAX(J306,MIN(ROUND(J306*(1+Параметры!$B$5),IF(J306*(1+Параметры!$B$5)&gt;=1000,-1,0)),ROUND(G306*Параметры!$B$6,IF(G306*Параметры!$B$6&gt;=1000,-1,0)))))</f>
        <v>1590</v>
      </c>
      <c r="L306" s="16">
        <v>1.5</v>
      </c>
      <c r="M306" s="17">
        <f t="shared" si="24"/>
        <v>0.66666666666666663</v>
      </c>
      <c r="N306" s="17">
        <f>IF(OR(L306="",L306=0),"",Параметры!$B$3/L306)</f>
        <v>5.333333333333333</v>
      </c>
      <c r="O306" s="15">
        <f>IF(L306="","",IFERROR(INDEX('Почасовка — ставки и план'!$D$5:$D$24,MATCH($D306,'Почасовка — ставки и план'!$A$5:$A$24,0)),""))</f>
        <v>1200</v>
      </c>
      <c r="P306" s="15">
        <f>IF(L306="","",IFERROR(INDEX('Почасовка — ставки и план'!$E$5:$E$24,MATCH($D306,'Почасовка — ставки и план'!$A$5:$A$24,0)),""))</f>
        <v>1440</v>
      </c>
      <c r="Q306" s="15">
        <f t="shared" si="25"/>
        <v>1800</v>
      </c>
      <c r="R306" s="13" t="str">
        <f>IF(D306="TEX","аренда техники — сделка/счёт",IF(OR(Q306="",H306="",H306=0),"—",IF(Q306&lt;H306*(1-Параметры!$B$7),"почасовка",IF(Q306&gt;H306*(1+Параметры!$B$7),"сделка","любой способ"))))</f>
        <v>сделка</v>
      </c>
      <c r="S306">
        <v>0.2</v>
      </c>
      <c r="T306">
        <v>0.25217391304347841</v>
      </c>
    </row>
    <row r="307" spans="1:20" x14ac:dyDescent="0.25">
      <c r="A307" s="13" t="s">
        <v>666</v>
      </c>
      <c r="B307" s="13" t="s">
        <v>667</v>
      </c>
      <c r="C307" s="13" t="s">
        <v>144</v>
      </c>
      <c r="D307" s="13" t="s">
        <v>545</v>
      </c>
      <c r="E307" s="13" t="str">
        <f>IFERROR(INDEX('Почасовка — ставки и план'!$B$5:$B$24,MATCH(D307,'Почасовка — ставки и план'!$A$5:$A$24,0)),"Аренда техники / механизмы")</f>
        <v>Сервисный инженер ворот и автоматики</v>
      </c>
      <c r="F307" s="14">
        <v>960</v>
      </c>
      <c r="G307" s="14">
        <v>1152</v>
      </c>
      <c r="H307" s="15">
        <v>420</v>
      </c>
      <c r="I307" s="15">
        <f>IF(OR(H307="",F307=""),"",MAX(H307,MIN(ROUND(H307*(1+Параметры!$B$5),IF(H307*(1+Параметры!$B$5)&gt;=1000,-1,0)),ROUND(F307*Параметры!$B$6,IF(F307*Параметры!$B$6&gt;=1000,-1,0)))))</f>
        <v>483</v>
      </c>
      <c r="J307" s="15">
        <v>483</v>
      </c>
      <c r="K307" s="15">
        <f>IF(OR(J307="",G307=""),"",MAX(J307,MIN(ROUND(J307*(1+Параметры!$B$5),IF(J307*(1+Параметры!$B$5)&gt;=1000,-1,0)),ROUND(G307*Параметры!$B$6,IF(G307*Параметры!$B$6&gt;=1000,-1,0)))))</f>
        <v>555</v>
      </c>
      <c r="L307" s="16">
        <v>0.6</v>
      </c>
      <c r="M307" s="17">
        <f t="shared" si="24"/>
        <v>1.6666666666666667</v>
      </c>
      <c r="N307" s="17">
        <f>IF(OR(L307="",L307=0),"",Параметры!$B$3/L307)</f>
        <v>13.333333333333334</v>
      </c>
      <c r="O307" s="15">
        <f>IF(L307="","",IFERROR(INDEX('Почасовка — ставки и план'!$D$5:$D$24,MATCH($D307,'Почасовка — ставки и план'!$A$5:$A$24,0)),""))</f>
        <v>1200</v>
      </c>
      <c r="P307" s="15">
        <f>IF(L307="","",IFERROR(INDEX('Почасовка — ставки и план'!$E$5:$E$24,MATCH($D307,'Почасовка — ставки и план'!$A$5:$A$24,0)),""))</f>
        <v>1440</v>
      </c>
      <c r="Q307" s="15">
        <f t="shared" si="25"/>
        <v>720</v>
      </c>
      <c r="R307" s="13" t="str">
        <f>IF(D307="TEX","аренда техники — сделка/счёт",IF(OR(Q307="",H307="",H307=0),"—",IF(Q307&lt;H307*(1-Параметры!$B$7),"почасовка",IF(Q307&gt;H307*(1+Параметры!$B$7),"сделка","любой способ"))))</f>
        <v>сделка</v>
      </c>
      <c r="S307">
        <v>0.37142857142857139</v>
      </c>
      <c r="T307">
        <v>0.43105590062111809</v>
      </c>
    </row>
    <row r="308" spans="1:20" x14ac:dyDescent="0.25">
      <c r="A308" s="13" t="s">
        <v>668</v>
      </c>
      <c r="B308" s="13" t="s">
        <v>669</v>
      </c>
      <c r="C308" s="13" t="s">
        <v>144</v>
      </c>
      <c r="D308" s="13" t="s">
        <v>545</v>
      </c>
      <c r="E308" s="13" t="str">
        <f>IFERROR(INDEX('Почасовка — ставки и план'!$B$5:$B$24,MATCH(D308,'Почасовка — ставки и план'!$A$5:$A$24,0)),"Аренда техники / механизмы")</f>
        <v>Сервисный инженер ворот и автоматики</v>
      </c>
      <c r="F308" s="14">
        <v>1280</v>
      </c>
      <c r="G308" s="14">
        <v>1536</v>
      </c>
      <c r="H308" s="15">
        <v>540</v>
      </c>
      <c r="I308" s="15">
        <f>IF(OR(H308="",F308=""),"",MAX(H308,MIN(ROUND(H308*(1+Параметры!$B$5),IF(H308*(1+Параметры!$B$5)&gt;=1000,-1,0)),ROUND(F308*Параметры!$B$6,IF(F308*Параметры!$B$6&gt;=1000,-1,0)))))</f>
        <v>621</v>
      </c>
      <c r="J308" s="15">
        <v>621</v>
      </c>
      <c r="K308" s="15">
        <f>IF(OR(J308="",G308=""),"",MAX(J308,MIN(ROUND(J308*(1+Параметры!$B$5),IF(J308*(1+Параметры!$B$5)&gt;=1000,-1,0)),ROUND(G308*Параметры!$B$6,IF(G308*Параметры!$B$6&gt;=1000,-1,0)))))</f>
        <v>714</v>
      </c>
      <c r="L308" s="16">
        <v>0.8</v>
      </c>
      <c r="M308" s="17">
        <f t="shared" si="24"/>
        <v>1.25</v>
      </c>
      <c r="N308" s="17">
        <f>IF(OR(L308="",L308=0),"",Параметры!$B$3/L308)</f>
        <v>10</v>
      </c>
      <c r="O308" s="15">
        <f>IF(L308="","",IFERROR(INDEX('Почасовка — ставки и план'!$D$5:$D$24,MATCH($D308,'Почасовка — ставки и план'!$A$5:$A$24,0)),""))</f>
        <v>1200</v>
      </c>
      <c r="P308" s="15">
        <f>IF(L308="","",IFERROR(INDEX('Почасовка — ставки и план'!$E$5:$E$24,MATCH($D308,'Почасовка — ставки и план'!$A$5:$A$24,0)),""))</f>
        <v>1440</v>
      </c>
      <c r="Q308" s="15">
        <f t="shared" si="25"/>
        <v>960</v>
      </c>
      <c r="R308" s="13" t="str">
        <f>IF(D308="TEX","аренда техники — сделка/счёт",IF(OR(Q308="",H308="",H308=0),"—",IF(Q308&lt;H308*(1-Параметры!$B$7),"почасовка",IF(Q308&gt;H308*(1+Параметры!$B$7),"сделка","любой способ"))))</f>
        <v>сделка</v>
      </c>
      <c r="S308">
        <v>0.42222222222222228</v>
      </c>
      <c r="T308">
        <v>0.48405797101449283</v>
      </c>
    </row>
    <row r="309" spans="1:20" x14ac:dyDescent="0.25">
      <c r="A309" s="13" t="s">
        <v>670</v>
      </c>
      <c r="B309" s="13" t="s">
        <v>671</v>
      </c>
      <c r="C309" s="13" t="s">
        <v>672</v>
      </c>
      <c r="D309" s="13" t="s">
        <v>545</v>
      </c>
      <c r="E309" s="13" t="str">
        <f>IFERROR(INDEX('Почасовка — ставки и план'!$B$5:$B$24,MATCH(D309,'Почасовка — ставки и план'!$A$5:$A$24,0)),"Аренда техники / механизмы")</f>
        <v>Сервисный инженер ворот и автоматики</v>
      </c>
      <c r="F309" s="14">
        <v>1600</v>
      </c>
      <c r="G309" s="14">
        <v>1920</v>
      </c>
      <c r="H309" s="15">
        <v>780</v>
      </c>
      <c r="I309" s="15">
        <f>IF(OR(H309="",F309=""),"",MAX(H309,MIN(ROUND(H309*(1+Параметры!$B$5),IF(H309*(1+Параметры!$B$5)&gt;=1000,-1,0)),ROUND(F309*Параметры!$B$6,IF(F309*Параметры!$B$6&gt;=1000,-1,0)))))</f>
        <v>897</v>
      </c>
      <c r="J309" s="15">
        <v>897</v>
      </c>
      <c r="K309" s="15">
        <f>IF(OR(J309="",G309=""),"",MAX(J309,MIN(ROUND(J309*(1+Параметры!$B$5),IF(J309*(1+Параметры!$B$5)&gt;=1000,-1,0)),ROUND(G309*Параметры!$B$6,IF(G309*Параметры!$B$6&gt;=1000,-1,0)))))</f>
        <v>1030</v>
      </c>
      <c r="L309" s="16">
        <v>1</v>
      </c>
      <c r="M309" s="17">
        <f t="shared" si="24"/>
        <v>1</v>
      </c>
      <c r="N309" s="17">
        <f>IF(OR(L309="",L309=0),"",Параметры!$B$3/L309)</f>
        <v>8</v>
      </c>
      <c r="O309" s="15">
        <f>IF(L309="","",IFERROR(INDEX('Почасовка — ставки и план'!$D$5:$D$24,MATCH($D309,'Почасовка — ставки и план'!$A$5:$A$24,0)),""))</f>
        <v>1200</v>
      </c>
      <c r="P309" s="15">
        <f>IF(L309="","",IFERROR(INDEX('Почасовка — ставки и план'!$E$5:$E$24,MATCH($D309,'Почасовка — ставки и план'!$A$5:$A$24,0)),""))</f>
        <v>1440</v>
      </c>
      <c r="Q309" s="15">
        <f t="shared" si="25"/>
        <v>1200</v>
      </c>
      <c r="R309" s="13" t="str">
        <f>IF(D309="TEX","аренда техники — сделка/счёт",IF(OR(Q309="",H309="",H309=0),"—",IF(Q309&lt;H309*(1-Параметры!$B$7),"почасовка",IF(Q309&gt;H309*(1+Параметры!$B$7),"сделка","любой способ"))))</f>
        <v>сделка</v>
      </c>
      <c r="S309">
        <v>0.23076923076923081</v>
      </c>
      <c r="T309">
        <v>0.28428093645484948</v>
      </c>
    </row>
    <row r="310" spans="1:20" x14ac:dyDescent="0.25">
      <c r="A310" s="13" t="s">
        <v>673</v>
      </c>
      <c r="B310" s="13" t="s">
        <v>674</v>
      </c>
      <c r="C310" s="13" t="s">
        <v>144</v>
      </c>
      <c r="D310" s="13" t="s">
        <v>545</v>
      </c>
      <c r="E310" s="13" t="str">
        <f>IFERROR(INDEX('Почасовка — ставки и план'!$B$5:$B$24,MATCH(D310,'Почасовка — ставки и план'!$A$5:$A$24,0)),"Аренда техники / механизмы")</f>
        <v>Сервисный инженер ворот и автоматики</v>
      </c>
      <c r="F310" s="14">
        <v>480</v>
      </c>
      <c r="G310" s="14">
        <v>576</v>
      </c>
      <c r="H310" s="15">
        <v>210</v>
      </c>
      <c r="I310" s="15">
        <f>IF(OR(H310="",F310=""),"",MAX(H310,MIN(ROUND(H310*(1+Параметры!$B$5),IF(H310*(1+Параметры!$B$5)&gt;=1000,-1,0)),ROUND(F310*Параметры!$B$6,IF(F310*Параметры!$B$6&gt;=1000,-1,0)))))</f>
        <v>242</v>
      </c>
      <c r="J310" s="15">
        <v>241</v>
      </c>
      <c r="K310" s="15">
        <f>IF(OR(J310="",G310=""),"",MAX(J310,MIN(ROUND(J310*(1+Параметры!$B$5),IF(J310*(1+Параметры!$B$5)&gt;=1000,-1,0)),ROUND(G310*Параметры!$B$6,IF(G310*Параметры!$B$6&gt;=1000,-1,0)))))</f>
        <v>277</v>
      </c>
      <c r="L310" s="16">
        <v>0.3</v>
      </c>
      <c r="M310" s="17">
        <f t="shared" si="24"/>
        <v>3.3333333333333335</v>
      </c>
      <c r="N310" s="17">
        <f>IF(OR(L310="",L310=0),"",Параметры!$B$3/L310)</f>
        <v>26.666666666666668</v>
      </c>
      <c r="O310" s="15">
        <f>IF(L310="","",IFERROR(INDEX('Почасовка — ставки и план'!$D$5:$D$24,MATCH($D310,'Почасовка — ставки и план'!$A$5:$A$24,0)),""))</f>
        <v>1200</v>
      </c>
      <c r="P310" s="15">
        <f>IF(L310="","",IFERROR(INDEX('Почасовка — ставки и план'!$E$5:$E$24,MATCH($D310,'Почасовка — ставки и план'!$A$5:$A$24,0)),""))</f>
        <v>1440</v>
      </c>
      <c r="Q310" s="15">
        <f t="shared" si="25"/>
        <v>360</v>
      </c>
      <c r="R310" s="13" t="str">
        <f>IF(D310="TEX","аренда техники — сделка/счёт",IF(OR(Q310="",H310="",H310=0),"—",IF(Q310&lt;H310*(1-Параметры!$B$7),"почасовка",IF(Q310&gt;H310*(1+Параметры!$B$7),"сделка","любой способ"))))</f>
        <v>сделка</v>
      </c>
      <c r="S310">
        <v>0.37142857142857139</v>
      </c>
      <c r="T310">
        <v>0.43283582089552231</v>
      </c>
    </row>
    <row r="311" spans="1:20" x14ac:dyDescent="0.25">
      <c r="A311" s="13" t="s">
        <v>675</v>
      </c>
      <c r="B311" s="13" t="s">
        <v>676</v>
      </c>
      <c r="C311" s="13" t="s">
        <v>144</v>
      </c>
      <c r="D311" s="13" t="s">
        <v>545</v>
      </c>
      <c r="E311" s="13" t="str">
        <f>IFERROR(INDEX('Почасовка — ставки и план'!$B$5:$B$24,MATCH(D311,'Почасовка — ставки и план'!$A$5:$A$24,0)),"Аренда техники / механизмы")</f>
        <v>Сервисный инженер ворот и автоматики</v>
      </c>
      <c r="F311" s="14">
        <v>3200</v>
      </c>
      <c r="G311" s="14">
        <v>3840</v>
      </c>
      <c r="H311" s="15">
        <v>1800</v>
      </c>
      <c r="I311" s="15">
        <f>IF(OR(H311="",F311=""),"",MAX(H311,MIN(ROUND(H311*(1+Параметры!$B$5),IF(H311*(1+Параметры!$B$5)&gt;=1000,-1,0)),ROUND(F311*Параметры!$B$6,IF(F311*Параметры!$B$6&gt;=1000,-1,0)))))</f>
        <v>2070</v>
      </c>
      <c r="J311" s="15">
        <v>2070</v>
      </c>
      <c r="K311" s="15">
        <f>IF(OR(J311="",G311=""),"",MAX(J311,MIN(ROUND(J311*(1+Параметры!$B$5),IF(J311*(1+Параметры!$B$5)&gt;=1000,-1,0)),ROUND(G311*Параметры!$B$6,IF(G311*Параметры!$B$6&gt;=1000,-1,0)))))</f>
        <v>2380</v>
      </c>
      <c r="L311" s="16">
        <v>2</v>
      </c>
      <c r="M311" s="17">
        <f t="shared" si="24"/>
        <v>0.5</v>
      </c>
      <c r="N311" s="17">
        <f>IF(OR(L311="",L311=0),"",Параметры!$B$3/L311)</f>
        <v>4</v>
      </c>
      <c r="O311" s="15">
        <f>IF(L311="","",IFERROR(INDEX('Почасовка — ставки и план'!$D$5:$D$24,MATCH($D311,'Почасовка — ставки и план'!$A$5:$A$24,0)),""))</f>
        <v>1200</v>
      </c>
      <c r="P311" s="15">
        <f>IF(L311="","",IFERROR(INDEX('Почасовка — ставки и план'!$E$5:$E$24,MATCH($D311,'Почасовка — ставки и план'!$A$5:$A$24,0)),""))</f>
        <v>1440</v>
      </c>
      <c r="Q311" s="15">
        <f t="shared" si="25"/>
        <v>2400</v>
      </c>
      <c r="R311" s="13" t="str">
        <f>IF(D311="TEX","аренда техники — сделка/счёт",IF(OR(Q311="",H311="",H311=0),"—",IF(Q311&lt;H311*(1-Параметры!$B$7),"почасовка",IF(Q311&gt;H311*(1+Параметры!$B$7),"сделка","любой способ"))))</f>
        <v>сделка</v>
      </c>
      <c r="S311">
        <v>6.6666666666666652E-2</v>
      </c>
      <c r="T311">
        <v>0.11304347826086961</v>
      </c>
    </row>
    <row r="312" spans="1:20" x14ac:dyDescent="0.25">
      <c r="A312" s="13" t="s">
        <v>677</v>
      </c>
      <c r="B312" s="13" t="s">
        <v>678</v>
      </c>
      <c r="C312" s="13" t="s">
        <v>144</v>
      </c>
      <c r="D312" s="13" t="s">
        <v>545</v>
      </c>
      <c r="E312" s="13" t="str">
        <f>IFERROR(INDEX('Почасовка — ставки и план'!$B$5:$B$24,MATCH(D312,'Почасовка — ставки и план'!$A$5:$A$24,0)),"Аренда техники / механизмы")</f>
        <v>Сервисный инженер ворот и автоматики</v>
      </c>
      <c r="F312" s="14">
        <v>960</v>
      </c>
      <c r="G312" s="14">
        <v>1152</v>
      </c>
      <c r="H312" s="15">
        <v>420</v>
      </c>
      <c r="I312" s="15">
        <f>IF(OR(H312="",F312=""),"",MAX(H312,MIN(ROUND(H312*(1+Параметры!$B$5),IF(H312*(1+Параметры!$B$5)&gt;=1000,-1,0)),ROUND(F312*Параметры!$B$6,IF(F312*Параметры!$B$6&gt;=1000,-1,0)))))</f>
        <v>483</v>
      </c>
      <c r="J312" s="15">
        <v>483</v>
      </c>
      <c r="K312" s="15">
        <f>IF(OR(J312="",G312=""),"",MAX(J312,MIN(ROUND(J312*(1+Параметры!$B$5),IF(J312*(1+Параметры!$B$5)&gt;=1000,-1,0)),ROUND(G312*Параметры!$B$6,IF(G312*Параметры!$B$6&gt;=1000,-1,0)))))</f>
        <v>555</v>
      </c>
      <c r="L312" s="16">
        <v>0.6</v>
      </c>
      <c r="M312" s="17">
        <f t="shared" si="24"/>
        <v>1.6666666666666667</v>
      </c>
      <c r="N312" s="17">
        <f>IF(OR(L312="",L312=0),"",Параметры!$B$3/L312)</f>
        <v>13.333333333333334</v>
      </c>
      <c r="O312" s="15">
        <f>IF(L312="","",IFERROR(INDEX('Почасовка — ставки и план'!$D$5:$D$24,MATCH($D312,'Почасовка — ставки и план'!$A$5:$A$24,0)),""))</f>
        <v>1200</v>
      </c>
      <c r="P312" s="15">
        <f>IF(L312="","",IFERROR(INDEX('Почасовка — ставки и план'!$E$5:$E$24,MATCH($D312,'Почасовка — ставки и план'!$A$5:$A$24,0)),""))</f>
        <v>1440</v>
      </c>
      <c r="Q312" s="15">
        <f t="shared" si="25"/>
        <v>720</v>
      </c>
      <c r="R312" s="13" t="str">
        <f>IF(D312="TEX","аренда техники — сделка/счёт",IF(OR(Q312="",H312="",H312=0),"—",IF(Q312&lt;H312*(1-Параметры!$B$7),"почасовка",IF(Q312&gt;H312*(1+Параметры!$B$7),"сделка","любой способ"))))</f>
        <v>сделка</v>
      </c>
      <c r="S312">
        <v>0.37142857142857139</v>
      </c>
      <c r="T312">
        <v>0.43105590062111809</v>
      </c>
    </row>
    <row r="313" spans="1:20" x14ac:dyDescent="0.25">
      <c r="A313" s="13" t="s">
        <v>679</v>
      </c>
      <c r="B313" s="13" t="s">
        <v>680</v>
      </c>
      <c r="C313" s="13" t="s">
        <v>144</v>
      </c>
      <c r="D313" s="13" t="s">
        <v>545</v>
      </c>
      <c r="E313" s="13" t="str">
        <f>IFERROR(INDEX('Почасовка — ставки и план'!$B$5:$B$24,MATCH(D313,'Почасовка — ставки и план'!$A$5:$A$24,0)),"Аренда техники / механизмы")</f>
        <v>Сервисный инженер ворот и автоматики</v>
      </c>
      <c r="F313" s="14">
        <v>400</v>
      </c>
      <c r="G313" s="14">
        <v>480</v>
      </c>
      <c r="H313" s="15">
        <v>180</v>
      </c>
      <c r="I313" s="15">
        <f>IF(OR(H313="",F313=""),"",MAX(H313,MIN(ROUND(H313*(1+Параметры!$B$5),IF(H313*(1+Параметры!$B$5)&gt;=1000,-1,0)),ROUND(F313*Параметры!$B$6,IF(F313*Параметры!$B$6&gt;=1000,-1,0)))))</f>
        <v>207</v>
      </c>
      <c r="J313" s="15">
        <v>207</v>
      </c>
      <c r="K313" s="15">
        <f>IF(OR(J313="",G313=""),"",MAX(J313,MIN(ROUND(J313*(1+Параметры!$B$5),IF(J313*(1+Параметры!$B$5)&gt;=1000,-1,0)),ROUND(G313*Параметры!$B$6,IF(G313*Параметры!$B$6&gt;=1000,-1,0)))))</f>
        <v>238</v>
      </c>
      <c r="L313" s="16">
        <v>0.25</v>
      </c>
      <c r="M313" s="17">
        <f t="shared" ref="M313:M344" si="26">IF(OR(L313="",L313=0),"",1/L313)</f>
        <v>4</v>
      </c>
      <c r="N313" s="17">
        <f>IF(OR(L313="",L313=0),"",Параметры!$B$3/L313)</f>
        <v>32</v>
      </c>
      <c r="O313" s="15">
        <f>IF(L313="","",IFERROR(INDEX('Почасовка — ставки и план'!$D$5:$D$24,MATCH($D313,'Почасовка — ставки и план'!$A$5:$A$24,0)),""))</f>
        <v>1200</v>
      </c>
      <c r="P313" s="15">
        <f>IF(L313="","",IFERROR(INDEX('Почасовка — ставки и план'!$E$5:$E$24,MATCH($D313,'Почасовка — ставки и план'!$A$5:$A$24,0)),""))</f>
        <v>1440</v>
      </c>
      <c r="Q313" s="15">
        <f t="shared" ref="Q313:Q344" si="27">IF(OR(L313="",O313=""),"",ROUND(L313*O313,0))</f>
        <v>300</v>
      </c>
      <c r="R313" s="13" t="str">
        <f>IF(D313="TEX","аренда техники — сделка/счёт",IF(OR(Q313="",H313="",H313=0),"—",IF(Q313&lt;H313*(1-Параметры!$B$7),"почасовка",IF(Q313&gt;H313*(1+Параметры!$B$7),"сделка","любой способ"))))</f>
        <v>сделка</v>
      </c>
      <c r="S313">
        <v>0.33333333333333331</v>
      </c>
      <c r="T313">
        <v>0.39130434782608692</v>
      </c>
    </row>
    <row r="314" spans="1:20" x14ac:dyDescent="0.25">
      <c r="A314" s="13" t="s">
        <v>681</v>
      </c>
      <c r="B314" s="13" t="s">
        <v>682</v>
      </c>
      <c r="C314" s="13" t="s">
        <v>144</v>
      </c>
      <c r="D314" s="13" t="s">
        <v>545</v>
      </c>
      <c r="E314" s="13" t="str">
        <f>IFERROR(INDEX('Почасовка — ставки и план'!$B$5:$B$24,MATCH(D314,'Почасовка — ставки и план'!$A$5:$A$24,0)),"Аренда техники / механизмы")</f>
        <v>Сервисный инженер ворот и автоматики</v>
      </c>
      <c r="F314" s="14">
        <v>2400</v>
      </c>
      <c r="G314" s="14">
        <v>2880</v>
      </c>
      <c r="H314" s="15">
        <v>1080</v>
      </c>
      <c r="I314" s="15">
        <f>IF(OR(H314="",F314=""),"",MAX(H314,MIN(ROUND(H314*(1+Параметры!$B$5),IF(H314*(1+Параметры!$B$5)&gt;=1000,-1,0)),ROUND(F314*Параметры!$B$6,IF(F314*Параметры!$B$6&gt;=1000,-1,0)))))</f>
        <v>1240</v>
      </c>
      <c r="J314" s="15">
        <v>1242</v>
      </c>
      <c r="K314" s="15">
        <f>IF(OR(J314="",G314=""),"",MAX(J314,MIN(ROUND(J314*(1+Параметры!$B$5),IF(J314*(1+Параметры!$B$5)&gt;=1000,-1,0)),ROUND(G314*Параметры!$B$6,IF(G314*Параметры!$B$6&gt;=1000,-1,0)))))</f>
        <v>1430</v>
      </c>
      <c r="L314" s="16">
        <v>1.5</v>
      </c>
      <c r="M314" s="17">
        <f t="shared" si="26"/>
        <v>0.66666666666666663</v>
      </c>
      <c r="N314" s="17">
        <f>IF(OR(L314="",L314=0),"",Параметры!$B$3/L314)</f>
        <v>5.333333333333333</v>
      </c>
      <c r="O314" s="15">
        <f>IF(L314="","",IFERROR(INDEX('Почасовка — ставки и план'!$D$5:$D$24,MATCH($D314,'Почасовка — ставки и план'!$A$5:$A$24,0)),""))</f>
        <v>1200</v>
      </c>
      <c r="P314" s="15">
        <f>IF(L314="","",IFERROR(INDEX('Почасовка — ставки и план'!$E$5:$E$24,MATCH($D314,'Почасовка — ставки и план'!$A$5:$A$24,0)),""))</f>
        <v>1440</v>
      </c>
      <c r="Q314" s="15">
        <f t="shared" si="27"/>
        <v>1800</v>
      </c>
      <c r="R314" s="13" t="str">
        <f>IF(D314="TEX","аренда техники — сделка/счёт",IF(OR(Q314="",H314="",H314=0),"—",IF(Q314&lt;H314*(1-Параметры!$B$7),"почасовка",IF(Q314&gt;H314*(1+Параметры!$B$7),"сделка","любой способ"))))</f>
        <v>сделка</v>
      </c>
      <c r="S314">
        <v>0.33333333333333331</v>
      </c>
      <c r="T314">
        <v>0.39130434782608692</v>
      </c>
    </row>
    <row r="315" spans="1:20" x14ac:dyDescent="0.25">
      <c r="A315" s="13" t="s">
        <v>683</v>
      </c>
      <c r="B315" s="13" t="s">
        <v>684</v>
      </c>
      <c r="C315" s="13" t="s">
        <v>144</v>
      </c>
      <c r="D315" s="13" t="s">
        <v>545</v>
      </c>
      <c r="E315" s="13" t="str">
        <f>IFERROR(INDEX('Почасовка — ставки и план'!$B$5:$B$24,MATCH(D315,'Почасовка — ставки и план'!$A$5:$A$24,0)),"Аренда техники / механизмы")</f>
        <v>Сервисный инженер ворот и автоматики</v>
      </c>
      <c r="F315" s="14">
        <v>4000</v>
      </c>
      <c r="G315" s="14">
        <v>4800</v>
      </c>
      <c r="H315" s="15">
        <v>1800</v>
      </c>
      <c r="I315" s="15">
        <f>IF(OR(H315="",F315=""),"",MAX(H315,MIN(ROUND(H315*(1+Параметры!$B$5),IF(H315*(1+Параметры!$B$5)&gt;=1000,-1,0)),ROUND(F315*Параметры!$B$6,IF(F315*Параметры!$B$6&gt;=1000,-1,0)))))</f>
        <v>2070</v>
      </c>
      <c r="J315" s="15">
        <v>2070</v>
      </c>
      <c r="K315" s="15">
        <f>IF(OR(J315="",G315=""),"",MAX(J315,MIN(ROUND(J315*(1+Параметры!$B$5),IF(J315*(1+Параметры!$B$5)&gt;=1000,-1,0)),ROUND(G315*Параметры!$B$6,IF(G315*Параметры!$B$6&gt;=1000,-1,0)))))</f>
        <v>2380</v>
      </c>
      <c r="L315" s="16">
        <v>2.5</v>
      </c>
      <c r="M315" s="17">
        <f t="shared" si="26"/>
        <v>0.4</v>
      </c>
      <c r="N315" s="17">
        <f>IF(OR(L315="",L315=0),"",Параметры!$B$3/L315)</f>
        <v>3.2</v>
      </c>
      <c r="O315" s="15">
        <f>IF(L315="","",IFERROR(INDEX('Почасовка — ставки и план'!$D$5:$D$24,MATCH($D315,'Почасовка — ставки и план'!$A$5:$A$24,0)),""))</f>
        <v>1200</v>
      </c>
      <c r="P315" s="15">
        <f>IF(L315="","",IFERROR(INDEX('Почасовка — ставки и план'!$E$5:$E$24,MATCH($D315,'Почасовка — ставки и план'!$A$5:$A$24,0)),""))</f>
        <v>1440</v>
      </c>
      <c r="Q315" s="15">
        <f t="shared" si="27"/>
        <v>3000</v>
      </c>
      <c r="R315" s="13" t="str">
        <f>IF(D315="TEX","аренда техники — сделка/счёт",IF(OR(Q315="",H315="",H315=0),"—",IF(Q315&lt;H315*(1-Параметры!$B$7),"почасовка",IF(Q315&gt;H315*(1+Параметры!$B$7),"сделка","любой способ"))))</f>
        <v>сделка</v>
      </c>
      <c r="S315">
        <v>0.33333333333333331</v>
      </c>
      <c r="T315">
        <v>0.39130434782608692</v>
      </c>
    </row>
    <row r="316" spans="1:20" x14ac:dyDescent="0.25">
      <c r="A316" s="13" t="s">
        <v>685</v>
      </c>
      <c r="B316" s="13" t="s">
        <v>686</v>
      </c>
      <c r="C316" s="13" t="s">
        <v>144</v>
      </c>
      <c r="D316" s="13" t="s">
        <v>545</v>
      </c>
      <c r="E316" s="13" t="str">
        <f>IFERROR(INDEX('Почасовка — ставки и план'!$B$5:$B$24,MATCH(D316,'Почасовка — ставки и план'!$A$5:$A$24,0)),"Аренда техники / механизмы")</f>
        <v>Сервисный инженер ворот и автоматики</v>
      </c>
      <c r="F316" s="14">
        <v>1920</v>
      </c>
      <c r="G316" s="14">
        <v>2304</v>
      </c>
      <c r="H316" s="15">
        <v>900</v>
      </c>
      <c r="I316" s="15">
        <f>IF(OR(H316="",F316=""),"",MAX(H316,MIN(ROUND(H316*(1+Параметры!$B$5),IF(H316*(1+Параметры!$B$5)&gt;=1000,-1,0)),ROUND(F316*Параметры!$B$6,IF(F316*Параметры!$B$6&gt;=1000,-1,0)))))</f>
        <v>1040</v>
      </c>
      <c r="J316" s="15">
        <v>1035</v>
      </c>
      <c r="K316" s="15">
        <f>IF(OR(J316="",G316=""),"",MAX(J316,MIN(ROUND(J316*(1+Параметры!$B$5),IF(J316*(1+Параметры!$B$5)&gt;=1000,-1,0)),ROUND(G316*Параметры!$B$6,IF(G316*Параметры!$B$6&gt;=1000,-1,0)))))</f>
        <v>1190</v>
      </c>
      <c r="L316" s="16">
        <v>1.2</v>
      </c>
      <c r="M316" s="17">
        <f t="shared" si="26"/>
        <v>0.83333333333333337</v>
      </c>
      <c r="N316" s="17">
        <f>IF(OR(L316="",L316=0),"",Параметры!$B$3/L316)</f>
        <v>6.666666666666667</v>
      </c>
      <c r="O316" s="15">
        <f>IF(L316="","",IFERROR(INDEX('Почасовка — ставки и план'!$D$5:$D$24,MATCH($D316,'Почасовка — ставки и план'!$A$5:$A$24,0)),""))</f>
        <v>1200</v>
      </c>
      <c r="P316" s="15">
        <f>IF(L316="","",IFERROR(INDEX('Почасовка — ставки и план'!$E$5:$E$24,MATCH($D316,'Почасовка — ставки и план'!$A$5:$A$24,0)),""))</f>
        <v>1440</v>
      </c>
      <c r="Q316" s="15">
        <f t="shared" si="27"/>
        <v>1440</v>
      </c>
      <c r="R316" s="13" t="str">
        <f>IF(D316="TEX","аренда техники — сделка/счёт",IF(OR(Q316="",H316="",H316=0),"—",IF(Q316&lt;H316*(1-Параметры!$B$7),"почасовка",IF(Q316&gt;H316*(1+Параметры!$B$7),"сделка","любой способ"))))</f>
        <v>сделка</v>
      </c>
      <c r="S316">
        <v>0.28000000000000003</v>
      </c>
      <c r="T316">
        <v>0.33565217391304358</v>
      </c>
    </row>
    <row r="317" spans="1:20" x14ac:dyDescent="0.25">
      <c r="A317" s="13" t="s">
        <v>687</v>
      </c>
      <c r="B317" s="13" t="s">
        <v>688</v>
      </c>
      <c r="C317" s="13" t="s">
        <v>144</v>
      </c>
      <c r="D317" s="13" t="s">
        <v>545</v>
      </c>
      <c r="E317" s="13" t="str">
        <f>IFERROR(INDEX('Почасовка — ставки и план'!$B$5:$B$24,MATCH(D317,'Почасовка — ставки и план'!$A$5:$A$24,0)),"Аренда техники / механизмы")</f>
        <v>Сервисный инженер ворот и автоматики</v>
      </c>
      <c r="F317" s="14">
        <v>1280</v>
      </c>
      <c r="G317" s="14">
        <v>1536</v>
      </c>
      <c r="H317" s="15">
        <v>600</v>
      </c>
      <c r="I317" s="15">
        <f>IF(OR(H317="",F317=""),"",MAX(H317,MIN(ROUND(H317*(1+Параметры!$B$5),IF(H317*(1+Параметры!$B$5)&gt;=1000,-1,0)),ROUND(F317*Параметры!$B$6,IF(F317*Параметры!$B$6&gt;=1000,-1,0)))))</f>
        <v>690</v>
      </c>
      <c r="J317" s="15">
        <v>690</v>
      </c>
      <c r="K317" s="15">
        <f>IF(OR(J317="",G317=""),"",MAX(J317,MIN(ROUND(J317*(1+Параметры!$B$5),IF(J317*(1+Параметры!$B$5)&gt;=1000,-1,0)),ROUND(G317*Параметры!$B$6,IF(G317*Параметры!$B$6&gt;=1000,-1,0)))))</f>
        <v>794</v>
      </c>
      <c r="L317" s="16">
        <v>0.8</v>
      </c>
      <c r="M317" s="17">
        <f t="shared" si="26"/>
        <v>1.25</v>
      </c>
      <c r="N317" s="17">
        <f>IF(OR(L317="",L317=0),"",Параметры!$B$3/L317)</f>
        <v>10</v>
      </c>
      <c r="O317" s="15">
        <f>IF(L317="","",IFERROR(INDEX('Почасовка — ставки и план'!$D$5:$D$24,MATCH($D317,'Почасовка — ставки и план'!$A$5:$A$24,0)),""))</f>
        <v>1200</v>
      </c>
      <c r="P317" s="15">
        <f>IF(L317="","",IFERROR(INDEX('Почасовка — ставки и план'!$E$5:$E$24,MATCH($D317,'Почасовка — ставки и план'!$A$5:$A$24,0)),""))</f>
        <v>1440</v>
      </c>
      <c r="Q317" s="15">
        <f t="shared" si="27"/>
        <v>960</v>
      </c>
      <c r="R317" s="13" t="str">
        <f>IF(D317="TEX","аренда техники — сделка/счёт",IF(OR(Q317="",H317="",H317=0),"—",IF(Q317&lt;H317*(1-Параметры!$B$7),"почасовка",IF(Q317&gt;H317*(1+Параметры!$B$7),"сделка","любой способ"))))</f>
        <v>сделка</v>
      </c>
      <c r="S317">
        <v>0.28000000000000003</v>
      </c>
      <c r="T317">
        <v>0.33565217391304358</v>
      </c>
    </row>
    <row r="318" spans="1:20" x14ac:dyDescent="0.25">
      <c r="A318" s="13" t="s">
        <v>689</v>
      </c>
      <c r="B318" s="13" t="s">
        <v>690</v>
      </c>
      <c r="C318" s="13" t="s">
        <v>144</v>
      </c>
      <c r="D318" s="13" t="s">
        <v>545</v>
      </c>
      <c r="E318" s="13" t="str">
        <f>IFERROR(INDEX('Почасовка — ставки и план'!$B$5:$B$24,MATCH(D318,'Почасовка — ставки и план'!$A$5:$A$24,0)),"Аренда техники / механизмы")</f>
        <v>Сервисный инженер ворот и автоматики</v>
      </c>
      <c r="F318" s="14">
        <v>4000</v>
      </c>
      <c r="G318" s="14">
        <v>4800</v>
      </c>
      <c r="H318" s="15">
        <v>1800</v>
      </c>
      <c r="I318" s="15">
        <f>IF(OR(H318="",F318=""),"",MAX(H318,MIN(ROUND(H318*(1+Параметры!$B$5),IF(H318*(1+Параметры!$B$5)&gt;=1000,-1,0)),ROUND(F318*Параметры!$B$6,IF(F318*Параметры!$B$6&gt;=1000,-1,0)))))</f>
        <v>2070</v>
      </c>
      <c r="J318" s="15">
        <v>2070</v>
      </c>
      <c r="K318" s="15">
        <f>IF(OR(J318="",G318=""),"",MAX(J318,MIN(ROUND(J318*(1+Параметры!$B$5),IF(J318*(1+Параметры!$B$5)&gt;=1000,-1,0)),ROUND(G318*Параметры!$B$6,IF(G318*Параметры!$B$6&gt;=1000,-1,0)))))</f>
        <v>2380</v>
      </c>
      <c r="L318" s="16">
        <v>2.5</v>
      </c>
      <c r="M318" s="17">
        <f t="shared" si="26"/>
        <v>0.4</v>
      </c>
      <c r="N318" s="17">
        <f>IF(OR(L318="",L318=0),"",Параметры!$B$3/L318)</f>
        <v>3.2</v>
      </c>
      <c r="O318" s="15">
        <f>IF(L318="","",IFERROR(INDEX('Почасовка — ставки и план'!$D$5:$D$24,MATCH($D318,'Почасовка — ставки и план'!$A$5:$A$24,0)),""))</f>
        <v>1200</v>
      </c>
      <c r="P318" s="15">
        <f>IF(L318="","",IFERROR(INDEX('Почасовка — ставки и план'!$E$5:$E$24,MATCH($D318,'Почасовка — ставки и план'!$A$5:$A$24,0)),""))</f>
        <v>1440</v>
      </c>
      <c r="Q318" s="15">
        <f t="shared" si="27"/>
        <v>3000</v>
      </c>
      <c r="R318" s="13" t="str">
        <f>IF(D318="TEX","аренда техники — сделка/счёт",IF(OR(Q318="",H318="",H318=0),"—",IF(Q318&lt;H318*(1-Параметры!$B$7),"почасовка",IF(Q318&gt;H318*(1+Параметры!$B$7),"сделка","любой способ"))))</f>
        <v>сделка</v>
      </c>
      <c r="S318">
        <v>0.33333333333333331</v>
      </c>
      <c r="T318">
        <v>0.39130434782608692</v>
      </c>
    </row>
    <row r="319" spans="1:20" x14ac:dyDescent="0.25">
      <c r="A319" s="13" t="s">
        <v>691</v>
      </c>
      <c r="B319" s="13" t="s">
        <v>692</v>
      </c>
      <c r="C319" s="13" t="s">
        <v>144</v>
      </c>
      <c r="D319" s="13" t="s">
        <v>545</v>
      </c>
      <c r="E319" s="13" t="str">
        <f>IFERROR(INDEX('Почасовка — ставки и план'!$B$5:$B$24,MATCH(D319,'Почасовка — ставки и план'!$A$5:$A$24,0)),"Аренда техники / механизмы")</f>
        <v>Сервисный инженер ворот и автоматики</v>
      </c>
      <c r="F319" s="14">
        <v>1920</v>
      </c>
      <c r="G319" s="14">
        <v>2304</v>
      </c>
      <c r="H319" s="15">
        <v>900</v>
      </c>
      <c r="I319" s="15">
        <f>IF(OR(H319="",F319=""),"",MAX(H319,MIN(ROUND(H319*(1+Параметры!$B$5),IF(H319*(1+Параметры!$B$5)&gt;=1000,-1,0)),ROUND(F319*Параметры!$B$6,IF(F319*Параметры!$B$6&gt;=1000,-1,0)))))</f>
        <v>1040</v>
      </c>
      <c r="J319" s="15">
        <v>1035</v>
      </c>
      <c r="K319" s="15">
        <f>IF(OR(J319="",G319=""),"",MAX(J319,MIN(ROUND(J319*(1+Параметры!$B$5),IF(J319*(1+Параметры!$B$5)&gt;=1000,-1,0)),ROUND(G319*Параметры!$B$6,IF(G319*Параметры!$B$6&gt;=1000,-1,0)))))</f>
        <v>1190</v>
      </c>
      <c r="L319" s="16">
        <v>1.2</v>
      </c>
      <c r="M319" s="17">
        <f t="shared" si="26"/>
        <v>0.83333333333333337</v>
      </c>
      <c r="N319" s="17">
        <f>IF(OR(L319="",L319=0),"",Параметры!$B$3/L319)</f>
        <v>6.666666666666667</v>
      </c>
      <c r="O319" s="15">
        <f>IF(L319="","",IFERROR(INDEX('Почасовка — ставки и план'!$D$5:$D$24,MATCH($D319,'Почасовка — ставки и план'!$A$5:$A$24,0)),""))</f>
        <v>1200</v>
      </c>
      <c r="P319" s="15">
        <f>IF(L319="","",IFERROR(INDEX('Почасовка — ставки и план'!$E$5:$E$24,MATCH($D319,'Почасовка — ставки и план'!$A$5:$A$24,0)),""))</f>
        <v>1440</v>
      </c>
      <c r="Q319" s="15">
        <f t="shared" si="27"/>
        <v>1440</v>
      </c>
      <c r="R319" s="13" t="str">
        <f>IF(D319="TEX","аренда техники — сделка/счёт",IF(OR(Q319="",H319="",H319=0),"—",IF(Q319&lt;H319*(1-Параметры!$B$7),"почасовка",IF(Q319&gt;H319*(1+Параметры!$B$7),"сделка","любой способ"))))</f>
        <v>сделка</v>
      </c>
      <c r="S319">
        <v>0.28000000000000003</v>
      </c>
      <c r="T319">
        <v>0.33565217391304358</v>
      </c>
    </row>
    <row r="320" spans="1:20" x14ac:dyDescent="0.25">
      <c r="A320" s="13" t="s">
        <v>693</v>
      </c>
      <c r="B320" s="13" t="s">
        <v>694</v>
      </c>
      <c r="C320" s="13" t="s">
        <v>144</v>
      </c>
      <c r="D320" s="13" t="s">
        <v>545</v>
      </c>
      <c r="E320" s="13" t="str">
        <f>IFERROR(INDEX('Почасовка — ставки и план'!$B$5:$B$24,MATCH(D320,'Почасовка — ставки и план'!$A$5:$A$24,0)),"Аренда техники / механизмы")</f>
        <v>Сервисный инженер ворот и автоматики</v>
      </c>
      <c r="F320" s="14">
        <v>960</v>
      </c>
      <c r="G320" s="14">
        <v>1152</v>
      </c>
      <c r="H320" s="15">
        <v>480</v>
      </c>
      <c r="I320" s="15">
        <f>IF(OR(H320="",F320=""),"",MAX(H320,MIN(ROUND(H320*(1+Параметры!$B$5),IF(H320*(1+Параметры!$B$5)&gt;=1000,-1,0)),ROUND(F320*Параметры!$B$6,IF(F320*Параметры!$B$6&gt;=1000,-1,0)))))</f>
        <v>552</v>
      </c>
      <c r="J320" s="15">
        <v>552</v>
      </c>
      <c r="K320" s="15">
        <f>IF(OR(J320="",G320=""),"",MAX(J320,MIN(ROUND(J320*(1+Параметры!$B$5),IF(J320*(1+Параметры!$B$5)&gt;=1000,-1,0)),ROUND(G320*Параметры!$B$6,IF(G320*Параметры!$B$6&gt;=1000,-1,0)))))</f>
        <v>635</v>
      </c>
      <c r="L320" s="16">
        <v>0.6</v>
      </c>
      <c r="M320" s="17">
        <f t="shared" si="26"/>
        <v>1.6666666666666667</v>
      </c>
      <c r="N320" s="17">
        <f>IF(OR(L320="",L320=0),"",Параметры!$B$3/L320)</f>
        <v>13.333333333333334</v>
      </c>
      <c r="O320" s="15">
        <f>IF(L320="","",IFERROR(INDEX('Почасовка — ставки и план'!$D$5:$D$24,MATCH($D320,'Почасовка — ставки и план'!$A$5:$A$24,0)),""))</f>
        <v>1200</v>
      </c>
      <c r="P320" s="15">
        <f>IF(L320="","",IFERROR(INDEX('Почасовка — ставки и план'!$E$5:$E$24,MATCH($D320,'Почасовка — ставки и план'!$A$5:$A$24,0)),""))</f>
        <v>1440</v>
      </c>
      <c r="Q320" s="15">
        <f t="shared" si="27"/>
        <v>720</v>
      </c>
      <c r="R320" s="13" t="str">
        <f>IF(D320="TEX","аренда техники — сделка/счёт",IF(OR(Q320="",H320="",H320=0),"—",IF(Q320&lt;H320*(1-Параметры!$B$7),"почасовка",IF(Q320&gt;H320*(1+Параметры!$B$7),"сделка","любой способ"))))</f>
        <v>сделка</v>
      </c>
      <c r="S320">
        <v>0.2</v>
      </c>
      <c r="T320">
        <v>0.25217391304347841</v>
      </c>
    </row>
    <row r="321" spans="1:20" x14ac:dyDescent="0.25">
      <c r="A321" s="13" t="s">
        <v>695</v>
      </c>
      <c r="B321" s="13" t="s">
        <v>696</v>
      </c>
      <c r="C321" s="13" t="s">
        <v>144</v>
      </c>
      <c r="D321" s="13" t="s">
        <v>545</v>
      </c>
      <c r="E321" s="13" t="str">
        <f>IFERROR(INDEX('Почасовка — ставки и план'!$B$5:$B$24,MATCH(D321,'Почасовка — ставки и план'!$A$5:$A$24,0)),"Аренда техники / механизмы")</f>
        <v>Сервисный инженер ворот и автоматики</v>
      </c>
      <c r="F321" s="14">
        <v>640</v>
      </c>
      <c r="G321" s="14">
        <v>768</v>
      </c>
      <c r="H321" s="15">
        <v>300</v>
      </c>
      <c r="I321" s="15">
        <f>IF(OR(H321="",F321=""),"",MAX(H321,MIN(ROUND(H321*(1+Параметры!$B$5),IF(H321*(1+Параметры!$B$5)&gt;=1000,-1,0)),ROUND(F321*Параметры!$B$6,IF(F321*Параметры!$B$6&gt;=1000,-1,0)))))</f>
        <v>345</v>
      </c>
      <c r="J321" s="15">
        <v>345</v>
      </c>
      <c r="K321" s="15">
        <f>IF(OR(J321="",G321=""),"",MAX(J321,MIN(ROUND(J321*(1+Параметры!$B$5),IF(J321*(1+Параметры!$B$5)&gt;=1000,-1,0)),ROUND(G321*Параметры!$B$6,IF(G321*Параметры!$B$6&gt;=1000,-1,0)))))</f>
        <v>397</v>
      </c>
      <c r="L321" s="16">
        <v>0.4</v>
      </c>
      <c r="M321" s="17">
        <f t="shared" si="26"/>
        <v>2.5</v>
      </c>
      <c r="N321" s="17">
        <f>IF(OR(L321="",L321=0),"",Параметры!$B$3/L321)</f>
        <v>20</v>
      </c>
      <c r="O321" s="15">
        <f>IF(L321="","",IFERROR(INDEX('Почасовка — ставки и план'!$D$5:$D$24,MATCH($D321,'Почасовка — ставки и план'!$A$5:$A$24,0)),""))</f>
        <v>1200</v>
      </c>
      <c r="P321" s="15">
        <f>IF(L321="","",IFERROR(INDEX('Почасовка — ставки и план'!$E$5:$E$24,MATCH($D321,'Почасовка — ставки и план'!$A$5:$A$24,0)),""))</f>
        <v>1440</v>
      </c>
      <c r="Q321" s="15">
        <f t="shared" si="27"/>
        <v>480</v>
      </c>
      <c r="R321" s="13" t="str">
        <f>IF(D321="TEX","аренда техники — сделка/счёт",IF(OR(Q321="",H321="",H321=0),"—",IF(Q321&lt;H321*(1-Параметры!$B$7),"почасовка",IF(Q321&gt;H321*(1+Параметры!$B$7),"сделка","любой способ"))))</f>
        <v>сделка</v>
      </c>
      <c r="S321">
        <v>0.28000000000000003</v>
      </c>
      <c r="T321">
        <v>0.33565217391304358</v>
      </c>
    </row>
    <row r="322" spans="1:20" x14ac:dyDescent="0.25">
      <c r="A322" s="13" t="s">
        <v>697</v>
      </c>
      <c r="B322" s="13" t="s">
        <v>698</v>
      </c>
      <c r="C322" s="13" t="s">
        <v>144</v>
      </c>
      <c r="D322" s="13" t="s">
        <v>545</v>
      </c>
      <c r="E322" s="13" t="str">
        <f>IFERROR(INDEX('Почасовка — ставки и план'!$B$5:$B$24,MATCH(D322,'Почасовка — ставки и план'!$A$5:$A$24,0)),"Аренда техники / механизмы")</f>
        <v>Сервисный инженер ворот и автоматики</v>
      </c>
      <c r="F322" s="14">
        <v>240</v>
      </c>
      <c r="G322" s="14">
        <v>288</v>
      </c>
      <c r="H322" s="15">
        <v>120</v>
      </c>
      <c r="I322" s="15">
        <f>IF(OR(H322="",F322=""),"",MAX(H322,MIN(ROUND(H322*(1+Параметры!$B$5),IF(H322*(1+Параметры!$B$5)&gt;=1000,-1,0)),ROUND(F322*Параметры!$B$6,IF(F322*Параметры!$B$6&gt;=1000,-1,0)))))</f>
        <v>138</v>
      </c>
      <c r="J322" s="15">
        <v>138</v>
      </c>
      <c r="K322" s="15">
        <f>IF(OR(J322="",G322=""),"",MAX(J322,MIN(ROUND(J322*(1+Параметры!$B$5),IF(J322*(1+Параметры!$B$5)&gt;=1000,-1,0)),ROUND(G322*Параметры!$B$6,IF(G322*Параметры!$B$6&gt;=1000,-1,0)))))</f>
        <v>159</v>
      </c>
      <c r="L322" s="16">
        <v>0.15</v>
      </c>
      <c r="M322" s="17">
        <f t="shared" si="26"/>
        <v>6.666666666666667</v>
      </c>
      <c r="N322" s="17">
        <f>IF(OR(L322="",L322=0),"",Параметры!$B$3/L322)</f>
        <v>53.333333333333336</v>
      </c>
      <c r="O322" s="15">
        <f>IF(L322="","",IFERROR(INDEX('Почасовка — ставки и план'!$D$5:$D$24,MATCH($D322,'Почасовка — ставки и план'!$A$5:$A$24,0)),""))</f>
        <v>1200</v>
      </c>
      <c r="P322" s="15">
        <f>IF(L322="","",IFERROR(INDEX('Почасовка — ставки и план'!$E$5:$E$24,MATCH($D322,'Почасовка — ставки и план'!$A$5:$A$24,0)),""))</f>
        <v>1440</v>
      </c>
      <c r="Q322" s="15">
        <f t="shared" si="27"/>
        <v>180</v>
      </c>
      <c r="R322" s="13" t="str">
        <f>IF(D322="TEX","аренда техники — сделка/счёт",IF(OR(Q322="",H322="",H322=0),"—",IF(Q322&lt;H322*(1-Параметры!$B$7),"почасовка",IF(Q322&gt;H322*(1+Параметры!$B$7),"сделка","любой способ"))))</f>
        <v>сделка</v>
      </c>
      <c r="S322">
        <v>0.2</v>
      </c>
      <c r="T322">
        <v>0.25217391304347841</v>
      </c>
    </row>
    <row r="323" spans="1:20" x14ac:dyDescent="0.25">
      <c r="A323" s="13" t="s">
        <v>699</v>
      </c>
      <c r="B323" s="13" t="s">
        <v>700</v>
      </c>
      <c r="C323" s="13" t="s">
        <v>72</v>
      </c>
      <c r="D323" s="13" t="s">
        <v>545</v>
      </c>
      <c r="E323" s="13" t="str">
        <f>IFERROR(INDEX('Почасовка — ставки и план'!$B$5:$B$24,MATCH(D323,'Почасовка — ставки и план'!$A$5:$A$24,0)),"Аренда техники / механизмы")</f>
        <v>Сервисный инженер ворот и автоматики</v>
      </c>
      <c r="F323" s="14">
        <v>960</v>
      </c>
      <c r="G323" s="14">
        <v>1152</v>
      </c>
      <c r="H323" s="15">
        <v>360</v>
      </c>
      <c r="I323" s="15">
        <f>IF(OR(H323="",F323=""),"",MAX(H323,MIN(ROUND(H323*(1+Параметры!$B$5),IF(H323*(1+Параметры!$B$5)&gt;=1000,-1,0)),ROUND(F323*Параметры!$B$6,IF(F323*Параметры!$B$6&gt;=1000,-1,0)))))</f>
        <v>414</v>
      </c>
      <c r="J323" s="15">
        <v>414</v>
      </c>
      <c r="K323" s="15">
        <f>IF(OR(J323="",G323=""),"",MAX(J323,MIN(ROUND(J323*(1+Параметры!$B$5),IF(J323*(1+Параметры!$B$5)&gt;=1000,-1,0)),ROUND(G323*Параметры!$B$6,IF(G323*Параметры!$B$6&gt;=1000,-1,0)))))</f>
        <v>476</v>
      </c>
      <c r="L323" s="16">
        <v>0.6</v>
      </c>
      <c r="M323" s="17">
        <f t="shared" si="26"/>
        <v>1.6666666666666667</v>
      </c>
      <c r="N323" s="17">
        <f>IF(OR(L323="",L323=0),"",Параметры!$B$3/L323)</f>
        <v>13.333333333333334</v>
      </c>
      <c r="O323" s="15">
        <f>IF(L323="","",IFERROR(INDEX('Почасовка — ставки и план'!$D$5:$D$24,MATCH($D323,'Почасовка — ставки и план'!$A$5:$A$24,0)),""))</f>
        <v>1200</v>
      </c>
      <c r="P323" s="15">
        <f>IF(L323="","",IFERROR(INDEX('Почасовка — ставки и план'!$E$5:$E$24,MATCH($D323,'Почасовка — ставки и план'!$A$5:$A$24,0)),""))</f>
        <v>1440</v>
      </c>
      <c r="Q323" s="15">
        <f t="shared" si="27"/>
        <v>720</v>
      </c>
      <c r="R323" s="13" t="str">
        <f>IF(D323="TEX","аренда техники — сделка/счёт",IF(OR(Q323="",H323="",H323=0),"—",IF(Q323&lt;H323*(1-Параметры!$B$7),"почасовка",IF(Q323&gt;H323*(1+Параметры!$B$7),"сделка","любой способ"))))</f>
        <v>сделка</v>
      </c>
      <c r="S323">
        <v>0.60000000000000009</v>
      </c>
      <c r="T323">
        <v>0.66956521739130426</v>
      </c>
    </row>
    <row r="324" spans="1:20" x14ac:dyDescent="0.25">
      <c r="A324" s="13" t="s">
        <v>701</v>
      </c>
      <c r="B324" s="13" t="s">
        <v>702</v>
      </c>
      <c r="C324" s="13" t="s">
        <v>144</v>
      </c>
      <c r="D324" s="13" t="s">
        <v>545</v>
      </c>
      <c r="E324" s="13" t="str">
        <f>IFERROR(INDEX('Почасовка — ставки и план'!$B$5:$B$24,MATCH(D324,'Почасовка — ставки и план'!$A$5:$A$24,0)),"Аренда техники / механизмы")</f>
        <v>Сервисный инженер ворот и автоматики</v>
      </c>
      <c r="F324" s="14">
        <v>240</v>
      </c>
      <c r="G324" s="14">
        <v>288</v>
      </c>
      <c r="H324" s="15">
        <v>120</v>
      </c>
      <c r="I324" s="15">
        <f>IF(OR(H324="",F324=""),"",MAX(H324,MIN(ROUND(H324*(1+Параметры!$B$5),IF(H324*(1+Параметры!$B$5)&gt;=1000,-1,0)),ROUND(F324*Параметры!$B$6,IF(F324*Параметры!$B$6&gt;=1000,-1,0)))))</f>
        <v>138</v>
      </c>
      <c r="J324" s="15">
        <v>138</v>
      </c>
      <c r="K324" s="15">
        <f>IF(OR(J324="",G324=""),"",MAX(J324,MIN(ROUND(J324*(1+Параметры!$B$5),IF(J324*(1+Параметры!$B$5)&gt;=1000,-1,0)),ROUND(G324*Параметры!$B$6,IF(G324*Параметры!$B$6&gt;=1000,-1,0)))))</f>
        <v>159</v>
      </c>
      <c r="L324" s="16">
        <v>0.15</v>
      </c>
      <c r="M324" s="17">
        <f t="shared" si="26"/>
        <v>6.666666666666667</v>
      </c>
      <c r="N324" s="17">
        <f>IF(OR(L324="",L324=0),"",Параметры!$B$3/L324)</f>
        <v>53.333333333333336</v>
      </c>
      <c r="O324" s="15">
        <f>IF(L324="","",IFERROR(INDEX('Почасовка — ставки и план'!$D$5:$D$24,MATCH($D324,'Почасовка — ставки и план'!$A$5:$A$24,0)),""))</f>
        <v>1200</v>
      </c>
      <c r="P324" s="15">
        <f>IF(L324="","",IFERROR(INDEX('Почасовка — ставки и план'!$E$5:$E$24,MATCH($D324,'Почасовка — ставки и план'!$A$5:$A$24,0)),""))</f>
        <v>1440</v>
      </c>
      <c r="Q324" s="15">
        <f t="shared" si="27"/>
        <v>180</v>
      </c>
      <c r="R324" s="13" t="str">
        <f>IF(D324="TEX","аренда техники — сделка/счёт",IF(OR(Q324="",H324="",H324=0),"—",IF(Q324&lt;H324*(1-Параметры!$B$7),"почасовка",IF(Q324&gt;H324*(1+Параметры!$B$7),"сделка","любой способ"))))</f>
        <v>сделка</v>
      </c>
      <c r="S324">
        <v>0.2</v>
      </c>
      <c r="T324">
        <v>0.25217391304347841</v>
      </c>
    </row>
    <row r="325" spans="1:20" x14ac:dyDescent="0.25">
      <c r="A325" s="13" t="s">
        <v>703</v>
      </c>
      <c r="B325" s="13" t="s">
        <v>704</v>
      </c>
      <c r="C325" s="13" t="s">
        <v>144</v>
      </c>
      <c r="D325" s="13" t="s">
        <v>545</v>
      </c>
      <c r="E325" s="13" t="str">
        <f>IFERROR(INDEX('Почасовка — ставки и план'!$B$5:$B$24,MATCH(D325,'Почасовка — ставки и план'!$A$5:$A$24,0)),"Аренда техники / механизмы")</f>
        <v>Сервисный инженер ворот и автоматики</v>
      </c>
      <c r="F325" s="14">
        <v>240</v>
      </c>
      <c r="G325" s="14">
        <v>288</v>
      </c>
      <c r="H325" s="15">
        <v>120</v>
      </c>
      <c r="I325" s="15">
        <f>IF(OR(H325="",F325=""),"",MAX(H325,MIN(ROUND(H325*(1+Параметры!$B$5),IF(H325*(1+Параметры!$B$5)&gt;=1000,-1,0)),ROUND(F325*Параметры!$B$6,IF(F325*Параметры!$B$6&gt;=1000,-1,0)))))</f>
        <v>138</v>
      </c>
      <c r="J325" s="15">
        <v>138</v>
      </c>
      <c r="K325" s="15">
        <f>IF(OR(J325="",G325=""),"",MAX(J325,MIN(ROUND(J325*(1+Параметры!$B$5),IF(J325*(1+Параметры!$B$5)&gt;=1000,-1,0)),ROUND(G325*Параметры!$B$6,IF(G325*Параметры!$B$6&gt;=1000,-1,0)))))</f>
        <v>159</v>
      </c>
      <c r="L325" s="16">
        <v>0.15</v>
      </c>
      <c r="M325" s="17">
        <f t="shared" si="26"/>
        <v>6.666666666666667</v>
      </c>
      <c r="N325" s="17">
        <f>IF(OR(L325="",L325=0),"",Параметры!$B$3/L325)</f>
        <v>53.333333333333336</v>
      </c>
      <c r="O325" s="15">
        <f>IF(L325="","",IFERROR(INDEX('Почасовка — ставки и план'!$D$5:$D$24,MATCH($D325,'Почасовка — ставки и план'!$A$5:$A$24,0)),""))</f>
        <v>1200</v>
      </c>
      <c r="P325" s="15">
        <f>IF(L325="","",IFERROR(INDEX('Почасовка — ставки и план'!$E$5:$E$24,MATCH($D325,'Почасовка — ставки и план'!$A$5:$A$24,0)),""))</f>
        <v>1440</v>
      </c>
      <c r="Q325" s="15">
        <f t="shared" si="27"/>
        <v>180</v>
      </c>
      <c r="R325" s="13" t="str">
        <f>IF(D325="TEX","аренда техники — сделка/счёт",IF(OR(Q325="",H325="",H325=0),"—",IF(Q325&lt;H325*(1-Параметры!$B$7),"почасовка",IF(Q325&gt;H325*(1+Параметры!$B$7),"сделка","любой способ"))))</f>
        <v>сделка</v>
      </c>
      <c r="S325">
        <v>0.2</v>
      </c>
      <c r="T325">
        <v>0.25217391304347841</v>
      </c>
    </row>
    <row r="326" spans="1:20" x14ac:dyDescent="0.25">
      <c r="A326" s="13" t="s">
        <v>705</v>
      </c>
      <c r="B326" s="13" t="s">
        <v>706</v>
      </c>
      <c r="C326" s="13" t="s">
        <v>144</v>
      </c>
      <c r="D326" s="13" t="s">
        <v>545</v>
      </c>
      <c r="E326" s="13" t="str">
        <f>IFERROR(INDEX('Почасовка — ставки и план'!$B$5:$B$24,MATCH(D326,'Почасовка — ставки и план'!$A$5:$A$24,0)),"Аренда техники / механизмы")</f>
        <v>Сервисный инженер ворот и автоматики</v>
      </c>
      <c r="F326" s="14">
        <v>240</v>
      </c>
      <c r="G326" s="14">
        <v>288</v>
      </c>
      <c r="H326" s="15">
        <v>120</v>
      </c>
      <c r="I326" s="15">
        <f>IF(OR(H326="",F326=""),"",MAX(H326,MIN(ROUND(H326*(1+Параметры!$B$5),IF(H326*(1+Параметры!$B$5)&gt;=1000,-1,0)),ROUND(F326*Параметры!$B$6,IF(F326*Параметры!$B$6&gt;=1000,-1,0)))))</f>
        <v>138</v>
      </c>
      <c r="J326" s="15">
        <v>138</v>
      </c>
      <c r="K326" s="15">
        <f>IF(OR(J326="",G326=""),"",MAX(J326,MIN(ROUND(J326*(1+Параметры!$B$5),IF(J326*(1+Параметры!$B$5)&gt;=1000,-1,0)),ROUND(G326*Параметры!$B$6,IF(G326*Параметры!$B$6&gt;=1000,-1,0)))))</f>
        <v>159</v>
      </c>
      <c r="L326" s="16">
        <v>0.15</v>
      </c>
      <c r="M326" s="17">
        <f t="shared" si="26"/>
        <v>6.666666666666667</v>
      </c>
      <c r="N326" s="17">
        <f>IF(OR(L326="",L326=0),"",Параметры!$B$3/L326)</f>
        <v>53.333333333333336</v>
      </c>
      <c r="O326" s="15">
        <f>IF(L326="","",IFERROR(INDEX('Почасовка — ставки и план'!$D$5:$D$24,MATCH($D326,'Почасовка — ставки и план'!$A$5:$A$24,0)),""))</f>
        <v>1200</v>
      </c>
      <c r="P326" s="15">
        <f>IF(L326="","",IFERROR(INDEX('Почасовка — ставки и план'!$E$5:$E$24,MATCH($D326,'Почасовка — ставки и план'!$A$5:$A$24,0)),""))</f>
        <v>1440</v>
      </c>
      <c r="Q326" s="15">
        <f t="shared" si="27"/>
        <v>180</v>
      </c>
      <c r="R326" s="13" t="str">
        <f>IF(D326="TEX","аренда техники — сделка/счёт",IF(OR(Q326="",H326="",H326=0),"—",IF(Q326&lt;H326*(1-Параметры!$B$7),"почасовка",IF(Q326&gt;H326*(1+Параметры!$B$7),"сделка","любой способ"))))</f>
        <v>сделка</v>
      </c>
      <c r="S326">
        <v>0.2</v>
      </c>
      <c r="T326">
        <v>0.25217391304347841</v>
      </c>
    </row>
    <row r="327" spans="1:20" x14ac:dyDescent="0.25">
      <c r="A327" s="13" t="s">
        <v>707</v>
      </c>
      <c r="B327" s="13" t="s">
        <v>708</v>
      </c>
      <c r="C327" s="13" t="s">
        <v>144</v>
      </c>
      <c r="D327" s="13" t="s">
        <v>545</v>
      </c>
      <c r="E327" s="13" t="str">
        <f>IFERROR(INDEX('Почасовка — ставки и план'!$B$5:$B$24,MATCH(D327,'Почасовка — ставки и план'!$A$5:$A$24,0)),"Аренда техники / механизмы")</f>
        <v>Сервисный инженер ворот и автоматики</v>
      </c>
      <c r="F327" s="14">
        <v>1920</v>
      </c>
      <c r="G327" s="14">
        <v>2304</v>
      </c>
      <c r="H327" s="15">
        <v>900</v>
      </c>
      <c r="I327" s="15">
        <f>IF(OR(H327="",F327=""),"",MAX(H327,MIN(ROUND(H327*(1+Параметры!$B$5),IF(H327*(1+Параметры!$B$5)&gt;=1000,-1,0)),ROUND(F327*Параметры!$B$6,IF(F327*Параметры!$B$6&gt;=1000,-1,0)))))</f>
        <v>1040</v>
      </c>
      <c r="J327" s="15">
        <v>1035</v>
      </c>
      <c r="K327" s="15">
        <f>IF(OR(J327="",G327=""),"",MAX(J327,MIN(ROUND(J327*(1+Параметры!$B$5),IF(J327*(1+Параметры!$B$5)&gt;=1000,-1,0)),ROUND(G327*Параметры!$B$6,IF(G327*Параметры!$B$6&gt;=1000,-1,0)))))</f>
        <v>1190</v>
      </c>
      <c r="L327" s="16">
        <v>1.2</v>
      </c>
      <c r="M327" s="17">
        <f t="shared" si="26"/>
        <v>0.83333333333333337</v>
      </c>
      <c r="N327" s="17">
        <f>IF(OR(L327="",L327=0),"",Параметры!$B$3/L327)</f>
        <v>6.666666666666667</v>
      </c>
      <c r="O327" s="15">
        <f>IF(L327="","",IFERROR(INDEX('Почасовка — ставки и план'!$D$5:$D$24,MATCH($D327,'Почасовка — ставки и план'!$A$5:$A$24,0)),""))</f>
        <v>1200</v>
      </c>
      <c r="P327" s="15">
        <f>IF(L327="","",IFERROR(INDEX('Почасовка — ставки и план'!$E$5:$E$24,MATCH($D327,'Почасовка — ставки и план'!$A$5:$A$24,0)),""))</f>
        <v>1440</v>
      </c>
      <c r="Q327" s="15">
        <f t="shared" si="27"/>
        <v>1440</v>
      </c>
      <c r="R327" s="13" t="str">
        <f>IF(D327="TEX","аренда техники — сделка/счёт",IF(OR(Q327="",H327="",H327=0),"—",IF(Q327&lt;H327*(1-Параметры!$B$7),"почасовка",IF(Q327&gt;H327*(1+Параметры!$B$7),"сделка","любой способ"))))</f>
        <v>сделка</v>
      </c>
      <c r="S327">
        <v>0.28000000000000003</v>
      </c>
      <c r="T327">
        <v>0.33565217391304358</v>
      </c>
    </row>
    <row r="328" spans="1:20" x14ac:dyDescent="0.25">
      <c r="A328" s="13" t="s">
        <v>709</v>
      </c>
      <c r="B328" s="13" t="s">
        <v>710</v>
      </c>
      <c r="C328" s="13" t="s">
        <v>144</v>
      </c>
      <c r="D328" s="13" t="s">
        <v>545</v>
      </c>
      <c r="E328" s="13" t="str">
        <f>IFERROR(INDEX('Почасовка — ставки и план'!$B$5:$B$24,MATCH(D328,'Почасовка — ставки и план'!$A$5:$A$24,0)),"Аренда техники / механизмы")</f>
        <v>Сервисный инженер ворот и автоматики</v>
      </c>
      <c r="F328" s="14">
        <v>2880</v>
      </c>
      <c r="G328" s="14">
        <v>3456</v>
      </c>
      <c r="H328" s="15">
        <v>1500</v>
      </c>
      <c r="I328" s="15">
        <f>IF(OR(H328="",F328=""),"",MAX(H328,MIN(ROUND(H328*(1+Параметры!$B$5),IF(H328*(1+Параметры!$B$5)&gt;=1000,-1,0)),ROUND(F328*Параметры!$B$6,IF(F328*Параметры!$B$6&gt;=1000,-1,0)))))</f>
        <v>1730</v>
      </c>
      <c r="J328" s="15">
        <v>1725</v>
      </c>
      <c r="K328" s="15">
        <f>IF(OR(J328="",G328=""),"",MAX(J328,MIN(ROUND(J328*(1+Параметры!$B$5),IF(J328*(1+Параметры!$B$5)&gt;=1000,-1,0)),ROUND(G328*Параметры!$B$6,IF(G328*Параметры!$B$6&gt;=1000,-1,0)))))</f>
        <v>1980</v>
      </c>
      <c r="L328" s="16">
        <v>1.8</v>
      </c>
      <c r="M328" s="17">
        <f t="shared" si="26"/>
        <v>0.55555555555555558</v>
      </c>
      <c r="N328" s="17">
        <f>IF(OR(L328="",L328=0),"",Параметры!$B$3/L328)</f>
        <v>4.4444444444444446</v>
      </c>
      <c r="O328" s="15">
        <f>IF(L328="","",IFERROR(INDEX('Почасовка — ставки и план'!$D$5:$D$24,MATCH($D328,'Почасовка — ставки и план'!$A$5:$A$24,0)),""))</f>
        <v>1200</v>
      </c>
      <c r="P328" s="15">
        <f>IF(L328="","",IFERROR(INDEX('Почасовка — ставки и план'!$E$5:$E$24,MATCH($D328,'Почасовка — ставки и план'!$A$5:$A$24,0)),""))</f>
        <v>1440</v>
      </c>
      <c r="Q328" s="15">
        <f t="shared" si="27"/>
        <v>2160</v>
      </c>
      <c r="R328" s="13" t="str">
        <f>IF(D328="TEX","аренда техники — сделка/счёт",IF(OR(Q328="",H328="",H328=0),"—",IF(Q328&lt;H328*(1-Параметры!$B$7),"почасовка",IF(Q328&gt;H328*(1+Параметры!$B$7),"сделка","любой способ"))))</f>
        <v>сделка</v>
      </c>
      <c r="S328">
        <v>0.15199999999999991</v>
      </c>
      <c r="T328">
        <v>0.20208695652173911</v>
      </c>
    </row>
    <row r="329" spans="1:20" x14ac:dyDescent="0.25">
      <c r="A329" s="13" t="s">
        <v>711</v>
      </c>
      <c r="B329" s="13" t="s">
        <v>712</v>
      </c>
      <c r="C329" s="13" t="s">
        <v>144</v>
      </c>
      <c r="D329" s="13" t="s">
        <v>545</v>
      </c>
      <c r="E329" s="13" t="str">
        <f>IFERROR(INDEX('Почасовка — ставки и план'!$B$5:$B$24,MATCH(D329,'Почасовка — ставки и план'!$A$5:$A$24,0)),"Аренда техники / механизмы")</f>
        <v>Сервисный инженер ворот и автоматики</v>
      </c>
      <c r="F329" s="14">
        <v>960</v>
      </c>
      <c r="G329" s="14">
        <v>1152</v>
      </c>
      <c r="H329" s="15">
        <v>480</v>
      </c>
      <c r="I329" s="15">
        <f>IF(OR(H329="",F329=""),"",MAX(H329,MIN(ROUND(H329*(1+Параметры!$B$5),IF(H329*(1+Параметры!$B$5)&gt;=1000,-1,0)),ROUND(F329*Параметры!$B$6,IF(F329*Параметры!$B$6&gt;=1000,-1,0)))))</f>
        <v>552</v>
      </c>
      <c r="J329" s="15">
        <v>552</v>
      </c>
      <c r="K329" s="15">
        <f>IF(OR(J329="",G329=""),"",MAX(J329,MIN(ROUND(J329*(1+Параметры!$B$5),IF(J329*(1+Параметры!$B$5)&gt;=1000,-1,0)),ROUND(G329*Параметры!$B$6,IF(G329*Параметры!$B$6&gt;=1000,-1,0)))))</f>
        <v>635</v>
      </c>
      <c r="L329" s="16">
        <v>0.6</v>
      </c>
      <c r="M329" s="17">
        <f t="shared" si="26"/>
        <v>1.6666666666666667</v>
      </c>
      <c r="N329" s="17">
        <f>IF(OR(L329="",L329=0),"",Параметры!$B$3/L329)</f>
        <v>13.333333333333334</v>
      </c>
      <c r="O329" s="15">
        <f>IF(L329="","",IFERROR(INDEX('Почасовка — ставки и план'!$D$5:$D$24,MATCH($D329,'Почасовка — ставки и план'!$A$5:$A$24,0)),""))</f>
        <v>1200</v>
      </c>
      <c r="P329" s="15">
        <f>IF(L329="","",IFERROR(INDEX('Почасовка — ставки и план'!$E$5:$E$24,MATCH($D329,'Почасовка — ставки и план'!$A$5:$A$24,0)),""))</f>
        <v>1440</v>
      </c>
      <c r="Q329" s="15">
        <f t="shared" si="27"/>
        <v>720</v>
      </c>
      <c r="R329" s="13" t="str">
        <f>IF(D329="TEX","аренда техники — сделка/счёт",IF(OR(Q329="",H329="",H329=0),"—",IF(Q329&lt;H329*(1-Параметры!$B$7),"почасовка",IF(Q329&gt;H329*(1+Параметры!$B$7),"сделка","любой способ"))))</f>
        <v>сделка</v>
      </c>
      <c r="S329">
        <v>0.2</v>
      </c>
      <c r="T329">
        <v>0.25217391304347841</v>
      </c>
    </row>
    <row r="330" spans="1:20" x14ac:dyDescent="0.25">
      <c r="A330" s="13" t="s">
        <v>713</v>
      </c>
      <c r="B330" s="13" t="s">
        <v>714</v>
      </c>
      <c r="C330" s="13" t="s">
        <v>144</v>
      </c>
      <c r="D330" s="13" t="s">
        <v>545</v>
      </c>
      <c r="E330" s="13" t="str">
        <f>IFERROR(INDEX('Почасовка — ставки и план'!$B$5:$B$24,MATCH(D330,'Почасовка — ставки и план'!$A$5:$A$24,0)),"Аренда техники / механизмы")</f>
        <v>Сервисный инженер ворот и автоматики</v>
      </c>
      <c r="F330" s="14">
        <v>800</v>
      </c>
      <c r="G330" s="14">
        <v>960</v>
      </c>
      <c r="H330" s="15">
        <v>360</v>
      </c>
      <c r="I330" s="15">
        <f>IF(OR(H330="",F330=""),"",MAX(H330,MIN(ROUND(H330*(1+Параметры!$B$5),IF(H330*(1+Параметры!$B$5)&gt;=1000,-1,0)),ROUND(F330*Параметры!$B$6,IF(F330*Параметры!$B$6&gt;=1000,-1,0)))))</f>
        <v>414</v>
      </c>
      <c r="J330" s="15">
        <v>414</v>
      </c>
      <c r="K330" s="15">
        <f>IF(OR(J330="",G330=""),"",MAX(J330,MIN(ROUND(J330*(1+Параметры!$B$5),IF(J330*(1+Параметры!$B$5)&gt;=1000,-1,0)),ROUND(G330*Параметры!$B$6,IF(G330*Параметры!$B$6&gt;=1000,-1,0)))))</f>
        <v>476</v>
      </c>
      <c r="L330" s="16">
        <v>0.5</v>
      </c>
      <c r="M330" s="17">
        <f t="shared" si="26"/>
        <v>2</v>
      </c>
      <c r="N330" s="17">
        <f>IF(OR(L330="",L330=0),"",Параметры!$B$3/L330)</f>
        <v>16</v>
      </c>
      <c r="O330" s="15">
        <f>IF(L330="","",IFERROR(INDEX('Почасовка — ставки и план'!$D$5:$D$24,MATCH($D330,'Почасовка — ставки и план'!$A$5:$A$24,0)),""))</f>
        <v>1200</v>
      </c>
      <c r="P330" s="15">
        <f>IF(L330="","",IFERROR(INDEX('Почасовка — ставки и план'!$E$5:$E$24,MATCH($D330,'Почасовка — ставки и план'!$A$5:$A$24,0)),""))</f>
        <v>1440</v>
      </c>
      <c r="Q330" s="15">
        <f t="shared" si="27"/>
        <v>600</v>
      </c>
      <c r="R330" s="13" t="str">
        <f>IF(D330="TEX","аренда техники — сделка/счёт",IF(OR(Q330="",H330="",H330=0),"—",IF(Q330&lt;H330*(1-Параметры!$B$7),"почасовка",IF(Q330&gt;H330*(1+Параметры!$B$7),"сделка","любой способ"))))</f>
        <v>сделка</v>
      </c>
      <c r="S330">
        <v>0.33333333333333331</v>
      </c>
      <c r="T330">
        <v>0.39130434782608692</v>
      </c>
    </row>
    <row r="331" spans="1:20" x14ac:dyDescent="0.25">
      <c r="A331" s="13" t="s">
        <v>715</v>
      </c>
      <c r="B331" s="13" t="s">
        <v>716</v>
      </c>
      <c r="C331" s="13" t="s">
        <v>144</v>
      </c>
      <c r="D331" s="13" t="s">
        <v>64</v>
      </c>
      <c r="E331" s="13" t="str">
        <f>IFERROR(INDEX('Почасовка — ставки и план'!$B$5:$B$24,MATCH(D331,'Почасовка — ставки и план'!$A$5:$A$24,0)),"Аренда техники / механизмы")</f>
        <v>Сварщик / монтажник МК</v>
      </c>
      <c r="F331" s="14">
        <v>600</v>
      </c>
      <c r="G331" s="14">
        <v>720</v>
      </c>
      <c r="H331" s="15">
        <v>300</v>
      </c>
      <c r="I331" s="15">
        <f>IF(OR(H331="",F331=""),"",MAX(H331,MIN(ROUND(H331*(1+Параметры!$B$5),IF(H331*(1+Параметры!$B$5)&gt;=1000,-1,0)),ROUND(F331*Параметры!$B$6,IF(F331*Параметры!$B$6&gt;=1000,-1,0)))))</f>
        <v>345</v>
      </c>
      <c r="J331" s="15">
        <v>345</v>
      </c>
      <c r="K331" s="15">
        <f>IF(OR(J331="",G331=""),"",MAX(J331,MIN(ROUND(J331*(1+Параметры!$B$5),IF(J331*(1+Параметры!$B$5)&gt;=1000,-1,0)),ROUND(G331*Параметры!$B$6,IF(G331*Параметры!$B$6&gt;=1000,-1,0)))))</f>
        <v>397</v>
      </c>
      <c r="L331" s="16">
        <v>0.5</v>
      </c>
      <c r="M331" s="17">
        <f t="shared" si="26"/>
        <v>2</v>
      </c>
      <c r="N331" s="17">
        <f>IF(OR(L331="",L331=0),"",Параметры!$B$3/L331)</f>
        <v>16</v>
      </c>
      <c r="O331" s="15">
        <f>IF(L331="","",IFERROR(INDEX('Почасовка — ставки и план'!$D$5:$D$24,MATCH($D331,'Почасовка — ставки и план'!$A$5:$A$24,0)),""))</f>
        <v>900</v>
      </c>
      <c r="P331" s="15">
        <f>IF(L331="","",IFERROR(INDEX('Почасовка — ставки и план'!$E$5:$E$24,MATCH($D331,'Почасовка — ставки и план'!$A$5:$A$24,0)),""))</f>
        <v>1080</v>
      </c>
      <c r="Q331" s="15">
        <f t="shared" si="27"/>
        <v>450</v>
      </c>
      <c r="R331" s="13" t="str">
        <f>IF(D331="TEX","аренда техники — сделка/счёт",IF(OR(Q331="",H331="",H331=0),"—",IF(Q331&lt;H331*(1-Параметры!$B$7),"почасовка",IF(Q331&gt;H331*(1+Параметры!$B$7),"сделка","любой способ"))))</f>
        <v>сделка</v>
      </c>
      <c r="S331">
        <v>0.2</v>
      </c>
      <c r="T331">
        <v>0.25217391304347841</v>
      </c>
    </row>
    <row r="332" spans="1:20" x14ac:dyDescent="0.25">
      <c r="A332" s="13" t="s">
        <v>717</v>
      </c>
      <c r="B332" s="13" t="s">
        <v>718</v>
      </c>
      <c r="C332" s="13" t="s">
        <v>144</v>
      </c>
      <c r="D332" s="13" t="s">
        <v>545</v>
      </c>
      <c r="E332" s="13" t="str">
        <f>IFERROR(INDEX('Почасовка — ставки и план'!$B$5:$B$24,MATCH(D332,'Почасовка — ставки и план'!$A$5:$A$24,0)),"Аренда техники / механизмы")</f>
        <v>Сервисный инженер ворот и автоматики</v>
      </c>
      <c r="F332" s="14">
        <v>240</v>
      </c>
      <c r="G332" s="14">
        <v>288</v>
      </c>
      <c r="H332" s="15">
        <v>120</v>
      </c>
      <c r="I332" s="15">
        <f>IF(OR(H332="",F332=""),"",MAX(H332,MIN(ROUND(H332*(1+Параметры!$B$5),IF(H332*(1+Параметры!$B$5)&gt;=1000,-1,0)),ROUND(F332*Параметры!$B$6,IF(F332*Параметры!$B$6&gt;=1000,-1,0)))))</f>
        <v>138</v>
      </c>
      <c r="J332" s="15">
        <v>138</v>
      </c>
      <c r="K332" s="15">
        <f>IF(OR(J332="",G332=""),"",MAX(J332,MIN(ROUND(J332*(1+Параметры!$B$5),IF(J332*(1+Параметры!$B$5)&gt;=1000,-1,0)),ROUND(G332*Параметры!$B$6,IF(G332*Параметры!$B$6&gt;=1000,-1,0)))))</f>
        <v>159</v>
      </c>
      <c r="L332" s="16">
        <v>0.15</v>
      </c>
      <c r="M332" s="17">
        <f t="shared" si="26"/>
        <v>6.666666666666667</v>
      </c>
      <c r="N332" s="17">
        <f>IF(OR(L332="",L332=0),"",Параметры!$B$3/L332)</f>
        <v>53.333333333333336</v>
      </c>
      <c r="O332" s="15">
        <f>IF(L332="","",IFERROR(INDEX('Почасовка — ставки и план'!$D$5:$D$24,MATCH($D332,'Почасовка — ставки и план'!$A$5:$A$24,0)),""))</f>
        <v>1200</v>
      </c>
      <c r="P332" s="15">
        <f>IF(L332="","",IFERROR(INDEX('Почасовка — ставки и план'!$E$5:$E$24,MATCH($D332,'Почасовка — ставки и план'!$A$5:$A$24,0)),""))</f>
        <v>1440</v>
      </c>
      <c r="Q332" s="15">
        <f t="shared" si="27"/>
        <v>180</v>
      </c>
      <c r="R332" s="13" t="str">
        <f>IF(D332="TEX","аренда техники — сделка/счёт",IF(OR(Q332="",H332="",H332=0),"—",IF(Q332&lt;H332*(1-Параметры!$B$7),"почасовка",IF(Q332&gt;H332*(1+Параметры!$B$7),"сделка","любой способ"))))</f>
        <v>сделка</v>
      </c>
      <c r="S332">
        <v>0.2</v>
      </c>
      <c r="T332">
        <v>0.25217391304347841</v>
      </c>
    </row>
    <row r="333" spans="1:20" x14ac:dyDescent="0.25">
      <c r="A333" s="13" t="s">
        <v>719</v>
      </c>
      <c r="B333" s="13" t="s">
        <v>720</v>
      </c>
      <c r="C333" s="13" t="s">
        <v>144</v>
      </c>
      <c r="D333" s="13" t="s">
        <v>545</v>
      </c>
      <c r="E333" s="13" t="str">
        <f>IFERROR(INDEX('Почасовка — ставки и план'!$B$5:$B$24,MATCH(D333,'Почасовка — ставки и план'!$A$5:$A$24,0)),"Аренда техники / механизмы")</f>
        <v>Сервисный инженер ворот и автоматики</v>
      </c>
      <c r="F333" s="14">
        <v>960</v>
      </c>
      <c r="G333" s="14">
        <v>1152</v>
      </c>
      <c r="H333" s="15">
        <v>480</v>
      </c>
      <c r="I333" s="15">
        <f>IF(OR(H333="",F333=""),"",MAX(H333,MIN(ROUND(H333*(1+Параметры!$B$5),IF(H333*(1+Параметры!$B$5)&gt;=1000,-1,0)),ROUND(F333*Параметры!$B$6,IF(F333*Параметры!$B$6&gt;=1000,-1,0)))))</f>
        <v>552</v>
      </c>
      <c r="J333" s="15">
        <v>552</v>
      </c>
      <c r="K333" s="15">
        <f>IF(OR(J333="",G333=""),"",MAX(J333,MIN(ROUND(J333*(1+Параметры!$B$5),IF(J333*(1+Параметры!$B$5)&gt;=1000,-1,0)),ROUND(G333*Параметры!$B$6,IF(G333*Параметры!$B$6&gt;=1000,-1,0)))))</f>
        <v>635</v>
      </c>
      <c r="L333" s="16">
        <v>0.6</v>
      </c>
      <c r="M333" s="17">
        <f t="shared" si="26"/>
        <v>1.6666666666666667</v>
      </c>
      <c r="N333" s="17">
        <f>IF(OR(L333="",L333=0),"",Параметры!$B$3/L333)</f>
        <v>13.333333333333334</v>
      </c>
      <c r="O333" s="15">
        <f>IF(L333="","",IFERROR(INDEX('Почасовка — ставки и план'!$D$5:$D$24,MATCH($D333,'Почасовка — ставки и план'!$A$5:$A$24,0)),""))</f>
        <v>1200</v>
      </c>
      <c r="P333" s="15">
        <f>IF(L333="","",IFERROR(INDEX('Почасовка — ставки и план'!$E$5:$E$24,MATCH($D333,'Почасовка — ставки и план'!$A$5:$A$24,0)),""))</f>
        <v>1440</v>
      </c>
      <c r="Q333" s="15">
        <f t="shared" si="27"/>
        <v>720</v>
      </c>
      <c r="R333" s="13" t="str">
        <f>IF(D333="TEX","аренда техники — сделка/счёт",IF(OR(Q333="",H333="",H333=0),"—",IF(Q333&lt;H333*(1-Параметры!$B$7),"почасовка",IF(Q333&gt;H333*(1+Параметры!$B$7),"сделка","любой способ"))))</f>
        <v>сделка</v>
      </c>
      <c r="S333">
        <v>0.2</v>
      </c>
      <c r="T333">
        <v>0.25217391304347841</v>
      </c>
    </row>
    <row r="334" spans="1:20" x14ac:dyDescent="0.25">
      <c r="A334" s="13" t="s">
        <v>721</v>
      </c>
      <c r="B334" s="13" t="s">
        <v>722</v>
      </c>
      <c r="C334" s="13" t="s">
        <v>144</v>
      </c>
      <c r="D334" s="13" t="s">
        <v>545</v>
      </c>
      <c r="E334" s="13" t="str">
        <f>IFERROR(INDEX('Почасовка — ставки и план'!$B$5:$B$24,MATCH(D334,'Почасовка — ставки и план'!$A$5:$A$24,0)),"Аренда техники / механизмы")</f>
        <v>Сервисный инженер ворот и автоматики</v>
      </c>
      <c r="F334" s="14">
        <v>1600</v>
      </c>
      <c r="G334" s="14">
        <v>1920</v>
      </c>
      <c r="H334" s="15">
        <v>780</v>
      </c>
      <c r="I334" s="15">
        <f>IF(OR(H334="",F334=""),"",MAX(H334,MIN(ROUND(H334*(1+Параметры!$B$5),IF(H334*(1+Параметры!$B$5)&gt;=1000,-1,0)),ROUND(F334*Параметры!$B$6,IF(F334*Параметры!$B$6&gt;=1000,-1,0)))))</f>
        <v>897</v>
      </c>
      <c r="J334" s="15">
        <v>897</v>
      </c>
      <c r="K334" s="15">
        <f>IF(OR(J334="",G334=""),"",MAX(J334,MIN(ROUND(J334*(1+Параметры!$B$5),IF(J334*(1+Параметры!$B$5)&gt;=1000,-1,0)),ROUND(G334*Параметры!$B$6,IF(G334*Параметры!$B$6&gt;=1000,-1,0)))))</f>
        <v>1030</v>
      </c>
      <c r="L334" s="16">
        <v>1</v>
      </c>
      <c r="M334" s="17">
        <f t="shared" si="26"/>
        <v>1</v>
      </c>
      <c r="N334" s="17">
        <f>IF(OR(L334="",L334=0),"",Параметры!$B$3/L334)</f>
        <v>8</v>
      </c>
      <c r="O334" s="15">
        <f>IF(L334="","",IFERROR(INDEX('Почасовка — ставки и план'!$D$5:$D$24,MATCH($D334,'Почасовка — ставки и план'!$A$5:$A$24,0)),""))</f>
        <v>1200</v>
      </c>
      <c r="P334" s="15">
        <f>IF(L334="","",IFERROR(INDEX('Почасовка — ставки и план'!$E$5:$E$24,MATCH($D334,'Почасовка — ставки и план'!$A$5:$A$24,0)),""))</f>
        <v>1440</v>
      </c>
      <c r="Q334" s="15">
        <f t="shared" si="27"/>
        <v>1200</v>
      </c>
      <c r="R334" s="13" t="str">
        <f>IF(D334="TEX","аренда техники — сделка/счёт",IF(OR(Q334="",H334="",H334=0),"—",IF(Q334&lt;H334*(1-Параметры!$B$7),"почасовка",IF(Q334&gt;H334*(1+Параметры!$B$7),"сделка","любой способ"))))</f>
        <v>сделка</v>
      </c>
      <c r="S334">
        <v>0.23076923076923081</v>
      </c>
      <c r="T334">
        <v>0.28428093645484948</v>
      </c>
    </row>
    <row r="335" spans="1:20" x14ac:dyDescent="0.25">
      <c r="A335" s="13" t="s">
        <v>723</v>
      </c>
      <c r="B335" s="13" t="s">
        <v>724</v>
      </c>
      <c r="C335" s="13" t="s">
        <v>144</v>
      </c>
      <c r="D335" s="13" t="s">
        <v>545</v>
      </c>
      <c r="E335" s="13" t="str">
        <f>IFERROR(INDEX('Почасовка — ставки и план'!$B$5:$B$24,MATCH(D335,'Почасовка — ставки и план'!$A$5:$A$24,0)),"Аренда техники / механизмы")</f>
        <v>Сервисный инженер ворот и автоматики</v>
      </c>
      <c r="F335" s="14">
        <v>640</v>
      </c>
      <c r="G335" s="14">
        <v>768</v>
      </c>
      <c r="H335" s="15">
        <v>300</v>
      </c>
      <c r="I335" s="15">
        <f>IF(OR(H335="",F335=""),"",MAX(H335,MIN(ROUND(H335*(1+Параметры!$B$5),IF(H335*(1+Параметры!$B$5)&gt;=1000,-1,0)),ROUND(F335*Параметры!$B$6,IF(F335*Параметры!$B$6&gt;=1000,-1,0)))))</f>
        <v>345</v>
      </c>
      <c r="J335" s="15">
        <v>345</v>
      </c>
      <c r="K335" s="15">
        <f>IF(OR(J335="",G335=""),"",MAX(J335,MIN(ROUND(J335*(1+Параметры!$B$5),IF(J335*(1+Параметры!$B$5)&gt;=1000,-1,0)),ROUND(G335*Параметры!$B$6,IF(G335*Параметры!$B$6&gt;=1000,-1,0)))))</f>
        <v>397</v>
      </c>
      <c r="L335" s="16">
        <v>0.4</v>
      </c>
      <c r="M335" s="17">
        <f t="shared" si="26"/>
        <v>2.5</v>
      </c>
      <c r="N335" s="17">
        <f>IF(OR(L335="",L335=0),"",Параметры!$B$3/L335)</f>
        <v>20</v>
      </c>
      <c r="O335" s="15">
        <f>IF(L335="","",IFERROR(INDEX('Почасовка — ставки и план'!$D$5:$D$24,MATCH($D335,'Почасовка — ставки и план'!$A$5:$A$24,0)),""))</f>
        <v>1200</v>
      </c>
      <c r="P335" s="15">
        <f>IF(L335="","",IFERROR(INDEX('Почасовка — ставки и план'!$E$5:$E$24,MATCH($D335,'Почасовка — ставки и план'!$A$5:$A$24,0)),""))</f>
        <v>1440</v>
      </c>
      <c r="Q335" s="15">
        <f t="shared" si="27"/>
        <v>480</v>
      </c>
      <c r="R335" s="13" t="str">
        <f>IF(D335="TEX","аренда техники — сделка/счёт",IF(OR(Q335="",H335="",H335=0),"—",IF(Q335&lt;H335*(1-Параметры!$B$7),"почасовка",IF(Q335&gt;H335*(1+Параметры!$B$7),"сделка","любой способ"))))</f>
        <v>сделка</v>
      </c>
      <c r="S335">
        <v>0.28000000000000003</v>
      </c>
      <c r="T335">
        <v>0.33565217391304358</v>
      </c>
    </row>
    <row r="336" spans="1:20" x14ac:dyDescent="0.25">
      <c r="A336" s="13" t="s">
        <v>725</v>
      </c>
      <c r="B336" s="13" t="s">
        <v>726</v>
      </c>
      <c r="C336" s="13" t="s">
        <v>144</v>
      </c>
      <c r="D336" s="13" t="s">
        <v>545</v>
      </c>
      <c r="E336" s="13" t="str">
        <f>IFERROR(INDEX('Почасовка — ставки и план'!$B$5:$B$24,MATCH(D336,'Почасовка — ставки и план'!$A$5:$A$24,0)),"Аренда техники / механизмы")</f>
        <v>Сервисный инженер ворот и автоматики</v>
      </c>
      <c r="F336" s="14">
        <v>640</v>
      </c>
      <c r="G336" s="14">
        <v>768</v>
      </c>
      <c r="H336" s="15">
        <v>300</v>
      </c>
      <c r="I336" s="15">
        <f>IF(OR(H336="",F336=""),"",MAX(H336,MIN(ROUND(H336*(1+Параметры!$B$5),IF(H336*(1+Параметры!$B$5)&gt;=1000,-1,0)),ROUND(F336*Параметры!$B$6,IF(F336*Параметры!$B$6&gt;=1000,-1,0)))))</f>
        <v>345</v>
      </c>
      <c r="J336" s="15">
        <v>345</v>
      </c>
      <c r="K336" s="15">
        <f>IF(OR(J336="",G336=""),"",MAX(J336,MIN(ROUND(J336*(1+Параметры!$B$5),IF(J336*(1+Параметры!$B$5)&gt;=1000,-1,0)),ROUND(G336*Параметры!$B$6,IF(G336*Параметры!$B$6&gt;=1000,-1,0)))))</f>
        <v>397</v>
      </c>
      <c r="L336" s="16">
        <v>0.4</v>
      </c>
      <c r="M336" s="17">
        <f t="shared" si="26"/>
        <v>2.5</v>
      </c>
      <c r="N336" s="17">
        <f>IF(OR(L336="",L336=0),"",Параметры!$B$3/L336)</f>
        <v>20</v>
      </c>
      <c r="O336" s="15">
        <f>IF(L336="","",IFERROR(INDEX('Почасовка — ставки и план'!$D$5:$D$24,MATCH($D336,'Почасовка — ставки и план'!$A$5:$A$24,0)),""))</f>
        <v>1200</v>
      </c>
      <c r="P336" s="15">
        <f>IF(L336="","",IFERROR(INDEX('Почасовка — ставки и план'!$E$5:$E$24,MATCH($D336,'Почасовка — ставки и план'!$A$5:$A$24,0)),""))</f>
        <v>1440</v>
      </c>
      <c r="Q336" s="15">
        <f t="shared" si="27"/>
        <v>480</v>
      </c>
      <c r="R336" s="13" t="str">
        <f>IF(D336="TEX","аренда техники — сделка/счёт",IF(OR(Q336="",H336="",H336=0),"—",IF(Q336&lt;H336*(1-Параметры!$B$7),"почасовка",IF(Q336&gt;H336*(1+Параметры!$B$7),"сделка","любой способ"))))</f>
        <v>сделка</v>
      </c>
      <c r="S336">
        <v>0.28000000000000003</v>
      </c>
      <c r="T336">
        <v>0.33565217391304358</v>
      </c>
    </row>
    <row r="337" spans="1:20" x14ac:dyDescent="0.25">
      <c r="A337" s="13" t="s">
        <v>727</v>
      </c>
      <c r="B337" s="13" t="s">
        <v>728</v>
      </c>
      <c r="C337" s="13" t="s">
        <v>144</v>
      </c>
      <c r="D337" s="13" t="s">
        <v>545</v>
      </c>
      <c r="E337" s="13" t="str">
        <f>IFERROR(INDEX('Почасовка — ставки и план'!$B$5:$B$24,MATCH(D337,'Почасовка — ставки и план'!$A$5:$A$24,0)),"Аренда техники / механизмы")</f>
        <v>Сервисный инженер ворот и автоматики</v>
      </c>
      <c r="F337" s="14">
        <v>640</v>
      </c>
      <c r="G337" s="14">
        <v>768</v>
      </c>
      <c r="H337" s="15">
        <v>300</v>
      </c>
      <c r="I337" s="15">
        <f>IF(OR(H337="",F337=""),"",MAX(H337,MIN(ROUND(H337*(1+Параметры!$B$5),IF(H337*(1+Параметры!$B$5)&gt;=1000,-1,0)),ROUND(F337*Параметры!$B$6,IF(F337*Параметры!$B$6&gt;=1000,-1,0)))))</f>
        <v>345</v>
      </c>
      <c r="J337" s="15">
        <v>345</v>
      </c>
      <c r="K337" s="15">
        <f>IF(OR(J337="",G337=""),"",MAX(J337,MIN(ROUND(J337*(1+Параметры!$B$5),IF(J337*(1+Параметры!$B$5)&gt;=1000,-1,0)),ROUND(G337*Параметры!$B$6,IF(G337*Параметры!$B$6&gt;=1000,-1,0)))))</f>
        <v>397</v>
      </c>
      <c r="L337" s="16">
        <v>0.4</v>
      </c>
      <c r="M337" s="17">
        <f t="shared" si="26"/>
        <v>2.5</v>
      </c>
      <c r="N337" s="17">
        <f>IF(OR(L337="",L337=0),"",Параметры!$B$3/L337)</f>
        <v>20</v>
      </c>
      <c r="O337" s="15">
        <f>IF(L337="","",IFERROR(INDEX('Почасовка — ставки и план'!$D$5:$D$24,MATCH($D337,'Почасовка — ставки и план'!$A$5:$A$24,0)),""))</f>
        <v>1200</v>
      </c>
      <c r="P337" s="15">
        <f>IF(L337="","",IFERROR(INDEX('Почасовка — ставки и план'!$E$5:$E$24,MATCH($D337,'Почасовка — ставки и план'!$A$5:$A$24,0)),""))</f>
        <v>1440</v>
      </c>
      <c r="Q337" s="15">
        <f t="shared" si="27"/>
        <v>480</v>
      </c>
      <c r="R337" s="13" t="str">
        <f>IF(D337="TEX","аренда техники — сделка/счёт",IF(OR(Q337="",H337="",H337=0),"—",IF(Q337&lt;H337*(1-Параметры!$B$7),"почасовка",IF(Q337&gt;H337*(1+Параметры!$B$7),"сделка","любой способ"))))</f>
        <v>сделка</v>
      </c>
      <c r="S337">
        <v>0.28000000000000003</v>
      </c>
      <c r="T337">
        <v>0.33565217391304358</v>
      </c>
    </row>
    <row r="338" spans="1:20" x14ac:dyDescent="0.25">
      <c r="A338" s="13" t="s">
        <v>729</v>
      </c>
      <c r="B338" s="13" t="s">
        <v>730</v>
      </c>
      <c r="C338" s="13" t="s">
        <v>144</v>
      </c>
      <c r="D338" s="13" t="s">
        <v>545</v>
      </c>
      <c r="E338" s="13" t="str">
        <f>IFERROR(INDEX('Почасовка — ставки и план'!$B$5:$B$24,MATCH(D338,'Почасовка — ставки и план'!$A$5:$A$24,0)),"Аренда техники / механизмы")</f>
        <v>Сервисный инженер ворот и автоматики</v>
      </c>
      <c r="F338" s="14">
        <v>1600</v>
      </c>
      <c r="G338" s="14">
        <v>1920</v>
      </c>
      <c r="H338" s="15">
        <v>780</v>
      </c>
      <c r="I338" s="15">
        <f>IF(OR(H338="",F338=""),"",MAX(H338,MIN(ROUND(H338*(1+Параметры!$B$5),IF(H338*(1+Параметры!$B$5)&gt;=1000,-1,0)),ROUND(F338*Параметры!$B$6,IF(F338*Параметры!$B$6&gt;=1000,-1,0)))))</f>
        <v>897</v>
      </c>
      <c r="J338" s="15">
        <v>897</v>
      </c>
      <c r="K338" s="15">
        <f>IF(OR(J338="",G338=""),"",MAX(J338,MIN(ROUND(J338*(1+Параметры!$B$5),IF(J338*(1+Параметры!$B$5)&gt;=1000,-1,0)),ROUND(G338*Параметры!$B$6,IF(G338*Параметры!$B$6&gt;=1000,-1,0)))))</f>
        <v>1030</v>
      </c>
      <c r="L338" s="16">
        <v>1</v>
      </c>
      <c r="M338" s="17">
        <f t="shared" si="26"/>
        <v>1</v>
      </c>
      <c r="N338" s="17">
        <f>IF(OR(L338="",L338=0),"",Параметры!$B$3/L338)</f>
        <v>8</v>
      </c>
      <c r="O338" s="15">
        <f>IF(L338="","",IFERROR(INDEX('Почасовка — ставки и план'!$D$5:$D$24,MATCH($D338,'Почасовка — ставки и план'!$A$5:$A$24,0)),""))</f>
        <v>1200</v>
      </c>
      <c r="P338" s="15">
        <f>IF(L338="","",IFERROR(INDEX('Почасовка — ставки и план'!$E$5:$E$24,MATCH($D338,'Почасовка — ставки и план'!$A$5:$A$24,0)),""))</f>
        <v>1440</v>
      </c>
      <c r="Q338" s="15">
        <f t="shared" si="27"/>
        <v>1200</v>
      </c>
      <c r="R338" s="13" t="str">
        <f>IF(D338="TEX","аренда техники — сделка/счёт",IF(OR(Q338="",H338="",H338=0),"—",IF(Q338&lt;H338*(1-Параметры!$B$7),"почасовка",IF(Q338&gt;H338*(1+Параметры!$B$7),"сделка","любой способ"))))</f>
        <v>сделка</v>
      </c>
      <c r="S338">
        <v>0.23076923076923081</v>
      </c>
      <c r="T338">
        <v>0.28428093645484948</v>
      </c>
    </row>
    <row r="339" spans="1:20" x14ac:dyDescent="0.25">
      <c r="A339" s="13" t="s">
        <v>731</v>
      </c>
      <c r="B339" s="13" t="s">
        <v>732</v>
      </c>
      <c r="C339" s="13" t="s">
        <v>144</v>
      </c>
      <c r="D339" s="13" t="s">
        <v>545</v>
      </c>
      <c r="E339" s="13" t="str">
        <f>IFERROR(INDEX('Почасовка — ставки и план'!$B$5:$B$24,MATCH(D339,'Почасовка — ставки и план'!$A$5:$A$24,0)),"Аренда техники / механизмы")</f>
        <v>Сервисный инженер ворот и автоматики</v>
      </c>
      <c r="F339" s="14">
        <v>1600</v>
      </c>
      <c r="G339" s="14">
        <v>1920</v>
      </c>
      <c r="H339" s="15">
        <v>780</v>
      </c>
      <c r="I339" s="15">
        <f>IF(OR(H339="",F339=""),"",MAX(H339,MIN(ROUND(H339*(1+Параметры!$B$5),IF(H339*(1+Параметры!$B$5)&gt;=1000,-1,0)),ROUND(F339*Параметры!$B$6,IF(F339*Параметры!$B$6&gt;=1000,-1,0)))))</f>
        <v>897</v>
      </c>
      <c r="J339" s="15">
        <v>897</v>
      </c>
      <c r="K339" s="15">
        <f>IF(OR(J339="",G339=""),"",MAX(J339,MIN(ROUND(J339*(1+Параметры!$B$5),IF(J339*(1+Параметры!$B$5)&gt;=1000,-1,0)),ROUND(G339*Параметры!$B$6,IF(G339*Параметры!$B$6&gt;=1000,-1,0)))))</f>
        <v>1030</v>
      </c>
      <c r="L339" s="16">
        <v>1</v>
      </c>
      <c r="M339" s="17">
        <f t="shared" si="26"/>
        <v>1</v>
      </c>
      <c r="N339" s="17">
        <f>IF(OR(L339="",L339=0),"",Параметры!$B$3/L339)</f>
        <v>8</v>
      </c>
      <c r="O339" s="15">
        <f>IF(L339="","",IFERROR(INDEX('Почасовка — ставки и план'!$D$5:$D$24,MATCH($D339,'Почасовка — ставки и план'!$A$5:$A$24,0)),""))</f>
        <v>1200</v>
      </c>
      <c r="P339" s="15">
        <f>IF(L339="","",IFERROR(INDEX('Почасовка — ставки и план'!$E$5:$E$24,MATCH($D339,'Почасовка — ставки и план'!$A$5:$A$24,0)),""))</f>
        <v>1440</v>
      </c>
      <c r="Q339" s="15">
        <f t="shared" si="27"/>
        <v>1200</v>
      </c>
      <c r="R339" s="13" t="str">
        <f>IF(D339="TEX","аренда техники — сделка/счёт",IF(OR(Q339="",H339="",H339=0),"—",IF(Q339&lt;H339*(1-Параметры!$B$7),"почасовка",IF(Q339&gt;H339*(1+Параметры!$B$7),"сделка","любой способ"))))</f>
        <v>сделка</v>
      </c>
      <c r="S339">
        <v>0.23076923076923081</v>
      </c>
      <c r="T339">
        <v>0.28428093645484948</v>
      </c>
    </row>
    <row r="340" spans="1:20" x14ac:dyDescent="0.25">
      <c r="A340" s="13" t="s">
        <v>733</v>
      </c>
      <c r="B340" s="13" t="s">
        <v>734</v>
      </c>
      <c r="C340" s="13" t="s">
        <v>144</v>
      </c>
      <c r="D340" s="13" t="s">
        <v>545</v>
      </c>
      <c r="E340" s="13" t="str">
        <f>IFERROR(INDEX('Почасовка — ставки и план'!$B$5:$B$24,MATCH(D340,'Почасовка — ставки и план'!$A$5:$A$24,0)),"Аренда техники / механизмы")</f>
        <v>Сервисный инженер ворот и автоматики</v>
      </c>
      <c r="F340" s="14">
        <v>240</v>
      </c>
      <c r="G340" s="14">
        <v>288</v>
      </c>
      <c r="H340" s="15">
        <v>120</v>
      </c>
      <c r="I340" s="15">
        <f>IF(OR(H340="",F340=""),"",MAX(H340,MIN(ROUND(H340*(1+Параметры!$B$5),IF(H340*(1+Параметры!$B$5)&gt;=1000,-1,0)),ROUND(F340*Параметры!$B$6,IF(F340*Параметры!$B$6&gt;=1000,-1,0)))))</f>
        <v>138</v>
      </c>
      <c r="J340" s="15">
        <v>138</v>
      </c>
      <c r="K340" s="15">
        <f>IF(OR(J340="",G340=""),"",MAX(J340,MIN(ROUND(J340*(1+Параметры!$B$5),IF(J340*(1+Параметры!$B$5)&gt;=1000,-1,0)),ROUND(G340*Параметры!$B$6,IF(G340*Параметры!$B$6&gt;=1000,-1,0)))))</f>
        <v>159</v>
      </c>
      <c r="L340" s="16">
        <v>0.15</v>
      </c>
      <c r="M340" s="17">
        <f t="shared" si="26"/>
        <v>6.666666666666667</v>
      </c>
      <c r="N340" s="17">
        <f>IF(OR(L340="",L340=0),"",Параметры!$B$3/L340)</f>
        <v>53.333333333333336</v>
      </c>
      <c r="O340" s="15">
        <f>IF(L340="","",IFERROR(INDEX('Почасовка — ставки и план'!$D$5:$D$24,MATCH($D340,'Почасовка — ставки и план'!$A$5:$A$24,0)),""))</f>
        <v>1200</v>
      </c>
      <c r="P340" s="15">
        <f>IF(L340="","",IFERROR(INDEX('Почасовка — ставки и план'!$E$5:$E$24,MATCH($D340,'Почасовка — ставки и план'!$A$5:$A$24,0)),""))</f>
        <v>1440</v>
      </c>
      <c r="Q340" s="15">
        <f t="shared" si="27"/>
        <v>180</v>
      </c>
      <c r="R340" s="13" t="str">
        <f>IF(D340="TEX","аренда техники — сделка/счёт",IF(OR(Q340="",H340="",H340=0),"—",IF(Q340&lt;H340*(1-Параметры!$B$7),"почасовка",IF(Q340&gt;H340*(1+Параметры!$B$7),"сделка","любой способ"))))</f>
        <v>сделка</v>
      </c>
      <c r="S340">
        <v>0.2</v>
      </c>
      <c r="T340">
        <v>0.25217391304347841</v>
      </c>
    </row>
    <row r="341" spans="1:20" x14ac:dyDescent="0.25">
      <c r="A341" s="13" t="s">
        <v>735</v>
      </c>
      <c r="B341" s="13" t="s">
        <v>736</v>
      </c>
      <c r="C341" s="13" t="s">
        <v>72</v>
      </c>
      <c r="D341" s="13" t="s">
        <v>545</v>
      </c>
      <c r="E341" s="13" t="str">
        <f>IFERROR(INDEX('Почасовка — ставки и план'!$B$5:$B$24,MATCH(D341,'Почасовка — ставки и план'!$A$5:$A$24,0)),"Аренда техники / механизмы")</f>
        <v>Сервисный инженер ворот и автоматики</v>
      </c>
      <c r="F341" s="14">
        <v>1280</v>
      </c>
      <c r="G341" s="14">
        <v>1536</v>
      </c>
      <c r="H341" s="15">
        <v>540</v>
      </c>
      <c r="I341" s="15">
        <f>IF(OR(H341="",F341=""),"",MAX(H341,MIN(ROUND(H341*(1+Параметры!$B$5),IF(H341*(1+Параметры!$B$5)&gt;=1000,-1,0)),ROUND(F341*Параметры!$B$6,IF(F341*Параметры!$B$6&gt;=1000,-1,0)))))</f>
        <v>621</v>
      </c>
      <c r="J341" s="15">
        <v>621</v>
      </c>
      <c r="K341" s="15">
        <f>IF(OR(J341="",G341=""),"",MAX(J341,MIN(ROUND(J341*(1+Параметры!$B$5),IF(J341*(1+Параметры!$B$5)&gt;=1000,-1,0)),ROUND(G341*Параметры!$B$6,IF(G341*Параметры!$B$6&gt;=1000,-1,0)))))</f>
        <v>714</v>
      </c>
      <c r="L341" s="16">
        <v>0.8</v>
      </c>
      <c r="M341" s="17">
        <f t="shared" si="26"/>
        <v>1.25</v>
      </c>
      <c r="N341" s="17">
        <f>IF(OR(L341="",L341=0),"",Параметры!$B$3/L341)</f>
        <v>10</v>
      </c>
      <c r="O341" s="15">
        <f>IF(L341="","",IFERROR(INDEX('Почасовка — ставки и план'!$D$5:$D$24,MATCH($D341,'Почасовка — ставки и план'!$A$5:$A$24,0)),""))</f>
        <v>1200</v>
      </c>
      <c r="P341" s="15">
        <f>IF(L341="","",IFERROR(INDEX('Почасовка — ставки и план'!$E$5:$E$24,MATCH($D341,'Почасовка — ставки и план'!$A$5:$A$24,0)),""))</f>
        <v>1440</v>
      </c>
      <c r="Q341" s="15">
        <f t="shared" si="27"/>
        <v>960</v>
      </c>
      <c r="R341" s="13" t="str">
        <f>IF(D341="TEX","аренда техники — сделка/счёт",IF(OR(Q341="",H341="",H341=0),"—",IF(Q341&lt;H341*(1-Параметры!$B$7),"почасовка",IF(Q341&gt;H341*(1+Параметры!$B$7),"сделка","любой способ"))))</f>
        <v>сделка</v>
      </c>
      <c r="S341">
        <v>0.42222222222222228</v>
      </c>
      <c r="T341">
        <v>0.48405797101449283</v>
      </c>
    </row>
    <row r="342" spans="1:20" x14ac:dyDescent="0.25">
      <c r="A342" s="13" t="s">
        <v>737</v>
      </c>
      <c r="B342" s="13" t="s">
        <v>738</v>
      </c>
      <c r="C342" s="13" t="s">
        <v>144</v>
      </c>
      <c r="D342" s="13" t="s">
        <v>545</v>
      </c>
      <c r="E342" s="13" t="str">
        <f>IFERROR(INDEX('Почасовка — ставки и план'!$B$5:$B$24,MATCH(D342,'Почасовка — ставки и план'!$A$5:$A$24,0)),"Аренда техники / механизмы")</f>
        <v>Сервисный инженер ворот и автоматики</v>
      </c>
      <c r="F342" s="14">
        <v>480</v>
      </c>
      <c r="G342" s="14">
        <v>576</v>
      </c>
      <c r="H342" s="15">
        <v>240</v>
      </c>
      <c r="I342" s="15">
        <f>IF(OR(H342="",F342=""),"",MAX(H342,MIN(ROUND(H342*(1+Параметры!$B$5),IF(H342*(1+Параметры!$B$5)&gt;=1000,-1,0)),ROUND(F342*Параметры!$B$6,IF(F342*Параметры!$B$6&gt;=1000,-1,0)))))</f>
        <v>276</v>
      </c>
      <c r="J342" s="15">
        <v>276</v>
      </c>
      <c r="K342" s="15">
        <f>IF(OR(J342="",G342=""),"",MAX(J342,MIN(ROUND(J342*(1+Параметры!$B$5),IF(J342*(1+Параметры!$B$5)&gt;=1000,-1,0)),ROUND(G342*Параметры!$B$6,IF(G342*Параметры!$B$6&gt;=1000,-1,0)))))</f>
        <v>317</v>
      </c>
      <c r="L342" s="16">
        <v>0.3</v>
      </c>
      <c r="M342" s="17">
        <f t="shared" si="26"/>
        <v>3.3333333333333335</v>
      </c>
      <c r="N342" s="17">
        <f>IF(OR(L342="",L342=0),"",Параметры!$B$3/L342)</f>
        <v>26.666666666666668</v>
      </c>
      <c r="O342" s="15">
        <f>IF(L342="","",IFERROR(INDEX('Почасовка — ставки и план'!$D$5:$D$24,MATCH($D342,'Почасовка — ставки и план'!$A$5:$A$24,0)),""))</f>
        <v>1200</v>
      </c>
      <c r="P342" s="15">
        <f>IF(L342="","",IFERROR(INDEX('Почасовка — ставки и план'!$E$5:$E$24,MATCH($D342,'Почасовка — ставки и план'!$A$5:$A$24,0)),""))</f>
        <v>1440</v>
      </c>
      <c r="Q342" s="15">
        <f t="shared" si="27"/>
        <v>360</v>
      </c>
      <c r="R342" s="13" t="str">
        <f>IF(D342="TEX","аренда техники — сделка/счёт",IF(OR(Q342="",H342="",H342=0),"—",IF(Q342&lt;H342*(1-Параметры!$B$7),"почасовка",IF(Q342&gt;H342*(1+Параметры!$B$7),"сделка","любой способ"))))</f>
        <v>сделка</v>
      </c>
      <c r="S342">
        <v>0.2</v>
      </c>
      <c r="T342">
        <v>0.25217391304347841</v>
      </c>
    </row>
    <row r="343" spans="1:20" x14ac:dyDescent="0.25">
      <c r="A343" s="13" t="s">
        <v>739</v>
      </c>
      <c r="B343" s="13" t="s">
        <v>740</v>
      </c>
      <c r="C343" s="13" t="s">
        <v>144</v>
      </c>
      <c r="D343" s="13" t="s">
        <v>545</v>
      </c>
      <c r="E343" s="13" t="str">
        <f>IFERROR(INDEX('Почасовка — ставки и план'!$B$5:$B$24,MATCH(D343,'Почасовка — ставки и план'!$A$5:$A$24,0)),"Аренда техники / механизмы")</f>
        <v>Сервисный инженер ворот и автоматики</v>
      </c>
      <c r="F343" s="14">
        <v>640</v>
      </c>
      <c r="G343" s="14">
        <v>768</v>
      </c>
      <c r="H343" s="15">
        <v>300</v>
      </c>
      <c r="I343" s="15">
        <f>IF(OR(H343="",F343=""),"",MAX(H343,MIN(ROUND(H343*(1+Параметры!$B$5),IF(H343*(1+Параметры!$B$5)&gt;=1000,-1,0)),ROUND(F343*Параметры!$B$6,IF(F343*Параметры!$B$6&gt;=1000,-1,0)))))</f>
        <v>345</v>
      </c>
      <c r="J343" s="15">
        <v>345</v>
      </c>
      <c r="K343" s="15">
        <f>IF(OR(J343="",G343=""),"",MAX(J343,MIN(ROUND(J343*(1+Параметры!$B$5),IF(J343*(1+Параметры!$B$5)&gt;=1000,-1,0)),ROUND(G343*Параметры!$B$6,IF(G343*Параметры!$B$6&gt;=1000,-1,0)))))</f>
        <v>397</v>
      </c>
      <c r="L343" s="16">
        <v>0.4</v>
      </c>
      <c r="M343" s="17">
        <f t="shared" si="26"/>
        <v>2.5</v>
      </c>
      <c r="N343" s="17">
        <f>IF(OR(L343="",L343=0),"",Параметры!$B$3/L343)</f>
        <v>20</v>
      </c>
      <c r="O343" s="15">
        <f>IF(L343="","",IFERROR(INDEX('Почасовка — ставки и план'!$D$5:$D$24,MATCH($D343,'Почасовка — ставки и план'!$A$5:$A$24,0)),""))</f>
        <v>1200</v>
      </c>
      <c r="P343" s="15">
        <f>IF(L343="","",IFERROR(INDEX('Почасовка — ставки и план'!$E$5:$E$24,MATCH($D343,'Почасовка — ставки и план'!$A$5:$A$24,0)),""))</f>
        <v>1440</v>
      </c>
      <c r="Q343" s="15">
        <f t="shared" si="27"/>
        <v>480</v>
      </c>
      <c r="R343" s="13" t="str">
        <f>IF(D343="TEX","аренда техники — сделка/счёт",IF(OR(Q343="",H343="",H343=0),"—",IF(Q343&lt;H343*(1-Параметры!$B$7),"почасовка",IF(Q343&gt;H343*(1+Параметры!$B$7),"сделка","любой способ"))))</f>
        <v>сделка</v>
      </c>
      <c r="S343">
        <v>0.28000000000000003</v>
      </c>
      <c r="T343">
        <v>0.33565217391304358</v>
      </c>
    </row>
    <row r="344" spans="1:20" x14ac:dyDescent="0.25">
      <c r="A344" s="13" t="s">
        <v>741</v>
      </c>
      <c r="B344" s="13" t="s">
        <v>742</v>
      </c>
      <c r="C344" s="13" t="s">
        <v>144</v>
      </c>
      <c r="D344" s="13" t="s">
        <v>545</v>
      </c>
      <c r="E344" s="13" t="str">
        <f>IFERROR(INDEX('Почасовка — ставки и план'!$B$5:$B$24,MATCH(D344,'Почасовка — ставки и план'!$A$5:$A$24,0)),"Аренда техники / механизмы")</f>
        <v>Сервисный инженер ворот и автоматики</v>
      </c>
      <c r="F344" s="14">
        <v>2400</v>
      </c>
      <c r="G344" s="14">
        <v>2880</v>
      </c>
      <c r="H344" s="15">
        <v>1200</v>
      </c>
      <c r="I344" s="15">
        <f>IF(OR(H344="",F344=""),"",MAX(H344,MIN(ROUND(H344*(1+Параметры!$B$5),IF(H344*(1+Параметры!$B$5)&gt;=1000,-1,0)),ROUND(F344*Параметры!$B$6,IF(F344*Параметры!$B$6&gt;=1000,-1,0)))))</f>
        <v>1380</v>
      </c>
      <c r="J344" s="15">
        <v>1380</v>
      </c>
      <c r="K344" s="15">
        <f>IF(OR(J344="",G344=""),"",MAX(J344,MIN(ROUND(J344*(1+Параметры!$B$5),IF(J344*(1+Параметры!$B$5)&gt;=1000,-1,0)),ROUND(G344*Параметры!$B$6,IF(G344*Параметры!$B$6&gt;=1000,-1,0)))))</f>
        <v>1590</v>
      </c>
      <c r="L344" s="16">
        <v>1.5</v>
      </c>
      <c r="M344" s="17">
        <f t="shared" si="26"/>
        <v>0.66666666666666663</v>
      </c>
      <c r="N344" s="17">
        <f>IF(OR(L344="",L344=0),"",Параметры!$B$3/L344)</f>
        <v>5.333333333333333</v>
      </c>
      <c r="O344" s="15">
        <f>IF(L344="","",IFERROR(INDEX('Почасовка — ставки и план'!$D$5:$D$24,MATCH($D344,'Почасовка — ставки и план'!$A$5:$A$24,0)),""))</f>
        <v>1200</v>
      </c>
      <c r="P344" s="15">
        <f>IF(L344="","",IFERROR(INDEX('Почасовка — ставки и план'!$E$5:$E$24,MATCH($D344,'Почасовка — ставки и план'!$A$5:$A$24,0)),""))</f>
        <v>1440</v>
      </c>
      <c r="Q344" s="15">
        <f t="shared" si="27"/>
        <v>1800</v>
      </c>
      <c r="R344" s="13" t="str">
        <f>IF(D344="TEX","аренда техники — сделка/счёт",IF(OR(Q344="",H344="",H344=0),"—",IF(Q344&lt;H344*(1-Параметры!$B$7),"почасовка",IF(Q344&gt;H344*(1+Параметры!$B$7),"сделка","любой способ"))))</f>
        <v>сделка</v>
      </c>
      <c r="S344">
        <v>0.2</v>
      </c>
      <c r="T344">
        <v>0.25217391304347841</v>
      </c>
    </row>
    <row r="345" spans="1:20" x14ac:dyDescent="0.25">
      <c r="A345" s="13" t="s">
        <v>743</v>
      </c>
      <c r="B345" s="13" t="s">
        <v>744</v>
      </c>
      <c r="C345" s="13" t="s">
        <v>144</v>
      </c>
      <c r="D345" s="13" t="s">
        <v>545</v>
      </c>
      <c r="E345" s="13" t="str">
        <f>IFERROR(INDEX('Почасовка — ставки и план'!$B$5:$B$24,MATCH(D345,'Почасовка — ставки и план'!$A$5:$A$24,0)),"Аренда техники / механизмы")</f>
        <v>Сервисный инженер ворот и автоматики</v>
      </c>
      <c r="F345" s="14">
        <v>8000</v>
      </c>
      <c r="G345" s="14">
        <v>9600</v>
      </c>
      <c r="H345" s="15">
        <v>4200</v>
      </c>
      <c r="I345" s="15">
        <f>IF(OR(H345="",F345=""),"",MAX(H345,MIN(ROUND(H345*(1+Параметры!$B$5),IF(H345*(1+Параметры!$B$5)&gt;=1000,-1,0)),ROUND(F345*Параметры!$B$6,IF(F345*Параметры!$B$6&gt;=1000,-1,0)))))</f>
        <v>4830</v>
      </c>
      <c r="J345" s="15">
        <v>4830</v>
      </c>
      <c r="K345" s="15">
        <f>IF(OR(J345="",G345=""),"",MAX(J345,MIN(ROUND(J345*(1+Параметры!$B$5),IF(J345*(1+Параметры!$B$5)&gt;=1000,-1,0)),ROUND(G345*Параметры!$B$6,IF(G345*Параметры!$B$6&gt;=1000,-1,0)))))</f>
        <v>5550</v>
      </c>
      <c r="L345" s="16">
        <v>5</v>
      </c>
      <c r="M345" s="17">
        <f t="shared" ref="M345:M376" si="28">IF(OR(L345="",L345=0),"",1/L345)</f>
        <v>0.2</v>
      </c>
      <c r="N345" s="17">
        <f>IF(OR(L345="",L345=0),"",Параметры!$B$3/L345)</f>
        <v>1.6</v>
      </c>
      <c r="O345" s="15">
        <f>IF(L345="","",IFERROR(INDEX('Почасовка — ставки и план'!$D$5:$D$24,MATCH($D345,'Почасовка — ставки и план'!$A$5:$A$24,0)),""))</f>
        <v>1200</v>
      </c>
      <c r="P345" s="15">
        <f>IF(L345="","",IFERROR(INDEX('Почасовка — ставки и план'!$E$5:$E$24,MATCH($D345,'Почасовка — ставки и план'!$A$5:$A$24,0)),""))</f>
        <v>1440</v>
      </c>
      <c r="Q345" s="15">
        <f t="shared" ref="Q345:Q350" si="29">IF(OR(L345="",O345=""),"",ROUND(L345*O345,0))</f>
        <v>6000</v>
      </c>
      <c r="R345" s="13" t="str">
        <f>IF(D345="TEX","аренда техники — сделка/счёт",IF(OR(Q345="",H345="",H345=0),"—",IF(Q345&lt;H345*(1-Параметры!$B$7),"почасовка",IF(Q345&gt;H345*(1+Параметры!$B$7),"сделка","любой способ"))))</f>
        <v>сделка</v>
      </c>
      <c r="S345">
        <v>0.14285714285714279</v>
      </c>
      <c r="T345">
        <v>0.19254658385093171</v>
      </c>
    </row>
    <row r="346" spans="1:20" x14ac:dyDescent="0.25">
      <c r="A346" s="18" t="s">
        <v>745</v>
      </c>
      <c r="B346" s="13" t="s">
        <v>746</v>
      </c>
      <c r="C346" s="13" t="s">
        <v>144</v>
      </c>
      <c r="D346" s="13" t="s">
        <v>747</v>
      </c>
      <c r="E346" s="13" t="str">
        <f>IFERROR(INDEX('Почасовка — ставки и план'!$B$5:$B$24,MATCH(D346,'Почасовка — ставки и план'!$A$5:$A$24,0)),"Аренда техники / механизмы")</f>
        <v>Механик ПС / подъёмников / прессов / доков</v>
      </c>
      <c r="F346" s="14">
        <v>20000</v>
      </c>
      <c r="G346" s="14">
        <v>24000</v>
      </c>
      <c r="H346" s="15">
        <v>9000</v>
      </c>
      <c r="I346" s="15">
        <f>IF(OR(H346="",F346=""),"",MAX(H346,MIN(ROUND(H346*(1+Параметры!$B$5),IF(H346*(1+Параметры!$B$5)&gt;=1000,-1,0)),ROUND(F346*Параметры!$B$6,IF(F346*Параметры!$B$6&gt;=1000,-1,0)))))</f>
        <v>10350</v>
      </c>
      <c r="J346" s="15">
        <v>10350</v>
      </c>
      <c r="K346" s="15">
        <f>IF(OR(J346="",G346=""),"",MAX(J346,MIN(ROUND(J346*(1+Параметры!$B$5),IF(J346*(1+Параметры!$B$5)&gt;=1000,-1,0)),ROUND(G346*Параметры!$B$6,IF(G346*Параметры!$B$6&gt;=1000,-1,0)))))</f>
        <v>11900</v>
      </c>
      <c r="L346" s="16">
        <v>10</v>
      </c>
      <c r="M346" s="17">
        <f t="shared" si="28"/>
        <v>0.1</v>
      </c>
      <c r="N346" s="17">
        <f>IF(OR(L346="",L346=0),"",Параметры!$B$3/L346)</f>
        <v>0.8</v>
      </c>
      <c r="O346" s="15">
        <f>IF(L346="","",IFERROR(INDEX('Почасовка — ставки и план'!$D$5:$D$24,MATCH($D346,'Почасовка — ставки и план'!$A$5:$A$24,0)),""))</f>
        <v>1500</v>
      </c>
      <c r="P346" s="15">
        <f>IF(L346="","",IFERROR(INDEX('Почасовка — ставки и план'!$E$5:$E$24,MATCH($D346,'Почасовка — ставки и план'!$A$5:$A$24,0)),""))</f>
        <v>1800</v>
      </c>
      <c r="Q346" s="15">
        <f t="shared" si="29"/>
        <v>15000</v>
      </c>
      <c r="R346" s="13" t="str">
        <f>IF(D346="TEX","аренда техники — сделка/счёт",IF(OR(Q346="",H346="",H346=0),"—",IF(Q346&lt;H346*(1-Параметры!$B$7),"почасовка",IF(Q346&gt;H346*(1+Параметры!$B$7),"сделка","любой способ"))))</f>
        <v>сделка</v>
      </c>
      <c r="S346">
        <v>0.33333333333333331</v>
      </c>
      <c r="T346">
        <v>0.39130434782608692</v>
      </c>
    </row>
    <row r="347" spans="1:20" x14ac:dyDescent="0.25">
      <c r="A347" s="18" t="s">
        <v>748</v>
      </c>
      <c r="B347" s="13" t="s">
        <v>749</v>
      </c>
      <c r="C347" s="13" t="s">
        <v>144</v>
      </c>
      <c r="D347" s="13" t="s">
        <v>545</v>
      </c>
      <c r="E347" s="13" t="str">
        <f>IFERROR(INDEX('Почасовка — ставки и план'!$B$5:$B$24,MATCH(D347,'Почасовка — ставки и план'!$A$5:$A$24,0)),"Аренда техники / механизмы")</f>
        <v>Сервисный инженер ворот и автоматики</v>
      </c>
      <c r="F347" s="14">
        <v>6400</v>
      </c>
      <c r="G347" s="14">
        <v>7680</v>
      </c>
      <c r="H347" s="15">
        <v>3000</v>
      </c>
      <c r="I347" s="15">
        <f>IF(OR(H347="",F347=""),"",MAX(H347,MIN(ROUND(H347*(1+Параметры!$B$5),IF(H347*(1+Параметры!$B$5)&gt;=1000,-1,0)),ROUND(F347*Параметры!$B$6,IF(F347*Параметры!$B$6&gt;=1000,-1,0)))))</f>
        <v>3450</v>
      </c>
      <c r="J347" s="15">
        <v>3450</v>
      </c>
      <c r="K347" s="15">
        <f>IF(OR(J347="",G347=""),"",MAX(J347,MIN(ROUND(J347*(1+Параметры!$B$5),IF(J347*(1+Параметры!$B$5)&gt;=1000,-1,0)),ROUND(G347*Параметры!$B$6,IF(G347*Параметры!$B$6&gt;=1000,-1,0)))))</f>
        <v>3970</v>
      </c>
      <c r="L347" s="16">
        <v>4</v>
      </c>
      <c r="M347" s="17">
        <f t="shared" si="28"/>
        <v>0.25</v>
      </c>
      <c r="N347" s="17">
        <f>IF(OR(L347="",L347=0),"",Параметры!$B$3/L347)</f>
        <v>2</v>
      </c>
      <c r="O347" s="15">
        <f>IF(L347="","",IFERROR(INDEX('Почасовка — ставки и план'!$D$5:$D$24,MATCH($D347,'Почасовка — ставки и план'!$A$5:$A$24,0)),""))</f>
        <v>1200</v>
      </c>
      <c r="P347" s="15">
        <f>IF(L347="","",IFERROR(INDEX('Почасовка — ставки и план'!$E$5:$E$24,MATCH($D347,'Почасовка — ставки и план'!$A$5:$A$24,0)),""))</f>
        <v>1440</v>
      </c>
      <c r="Q347" s="15">
        <f t="shared" si="29"/>
        <v>4800</v>
      </c>
      <c r="R347" s="13" t="str">
        <f>IF(D347="TEX","аренда техники — сделка/счёт",IF(OR(Q347="",H347="",H347=0),"—",IF(Q347&lt;H347*(1-Параметры!$B$7),"почасовка",IF(Q347&gt;H347*(1+Параметры!$B$7),"сделка","любой способ"))))</f>
        <v>сделка</v>
      </c>
      <c r="S347">
        <v>0.28000000000000003</v>
      </c>
      <c r="T347">
        <v>0.33565217391304358</v>
      </c>
    </row>
    <row r="348" spans="1:20" x14ac:dyDescent="0.25">
      <c r="A348" s="18" t="s">
        <v>750</v>
      </c>
      <c r="B348" s="13" t="s">
        <v>751</v>
      </c>
      <c r="C348" s="13" t="s">
        <v>144</v>
      </c>
      <c r="D348" s="13" t="s">
        <v>545</v>
      </c>
      <c r="E348" s="13" t="str">
        <f>IFERROR(INDEX('Почасовка — ставки и план'!$B$5:$B$24,MATCH(D348,'Почасовка — ставки и план'!$A$5:$A$24,0)),"Аренда техники / механизмы")</f>
        <v>Сервисный инженер ворот и автоматики</v>
      </c>
      <c r="F348" s="14">
        <v>9600</v>
      </c>
      <c r="G348" s="14">
        <v>11520</v>
      </c>
      <c r="H348" s="15">
        <v>4800</v>
      </c>
      <c r="I348" s="15">
        <f>IF(OR(H348="",F348=""),"",MAX(H348,MIN(ROUND(H348*(1+Параметры!$B$5),IF(H348*(1+Параметры!$B$5)&gt;=1000,-1,0)),ROUND(F348*Параметры!$B$6,IF(F348*Параметры!$B$6&gt;=1000,-1,0)))))</f>
        <v>5520</v>
      </c>
      <c r="J348" s="15">
        <v>5520</v>
      </c>
      <c r="K348" s="15">
        <f>IF(OR(J348="",G348=""),"",MAX(J348,MIN(ROUND(J348*(1+Параметры!$B$5),IF(J348*(1+Параметры!$B$5)&gt;=1000,-1,0)),ROUND(G348*Параметры!$B$6,IF(G348*Параметры!$B$6&gt;=1000,-1,0)))))</f>
        <v>6350</v>
      </c>
      <c r="L348" s="16">
        <v>6</v>
      </c>
      <c r="M348" s="17">
        <f t="shared" si="28"/>
        <v>0.16666666666666666</v>
      </c>
      <c r="N348" s="17">
        <f>IF(OR(L348="",L348=0),"",Параметры!$B$3/L348)</f>
        <v>1.3333333333333333</v>
      </c>
      <c r="O348" s="15">
        <f>IF(L348="","",IFERROR(INDEX('Почасовка — ставки и план'!$D$5:$D$24,MATCH($D348,'Почасовка — ставки и план'!$A$5:$A$24,0)),""))</f>
        <v>1200</v>
      </c>
      <c r="P348" s="15">
        <f>IF(L348="","",IFERROR(INDEX('Почасовка — ставки и план'!$E$5:$E$24,MATCH($D348,'Почасовка — ставки и план'!$A$5:$A$24,0)),""))</f>
        <v>1440</v>
      </c>
      <c r="Q348" s="15">
        <f t="shared" si="29"/>
        <v>7200</v>
      </c>
      <c r="R348" s="13" t="str">
        <f>IF(D348="TEX","аренда техники — сделка/счёт",IF(OR(Q348="",H348="",H348=0),"—",IF(Q348&lt;H348*(1-Параметры!$B$7),"почасовка",IF(Q348&gt;H348*(1+Параметры!$B$7),"сделка","любой способ"))))</f>
        <v>сделка</v>
      </c>
      <c r="S348">
        <v>0.2</v>
      </c>
      <c r="T348">
        <v>0.25217391304347841</v>
      </c>
    </row>
    <row r="349" spans="1:20" x14ac:dyDescent="0.25">
      <c r="A349" s="18" t="s">
        <v>752</v>
      </c>
      <c r="B349" s="13" t="s">
        <v>753</v>
      </c>
      <c r="C349" s="13" t="s">
        <v>144</v>
      </c>
      <c r="D349" s="13" t="s">
        <v>545</v>
      </c>
      <c r="E349" s="13" t="str">
        <f>IFERROR(INDEX('Почасовка — ставки и план'!$B$5:$B$24,MATCH(D349,'Почасовка — ставки и план'!$A$5:$A$24,0)),"Аренда техники / механизмы")</f>
        <v>Сервисный инженер ворот и автоматики</v>
      </c>
      <c r="F349" s="14">
        <v>4800</v>
      </c>
      <c r="G349" s="14">
        <v>5760</v>
      </c>
      <c r="H349" s="15">
        <v>2400</v>
      </c>
      <c r="I349" s="15">
        <f>IF(OR(H349="",F349=""),"",MAX(H349,MIN(ROUND(H349*(1+Параметры!$B$5),IF(H349*(1+Параметры!$B$5)&gt;=1000,-1,0)),ROUND(F349*Параметры!$B$6,IF(F349*Параметры!$B$6&gt;=1000,-1,0)))))</f>
        <v>2760</v>
      </c>
      <c r="J349" s="15">
        <v>2760</v>
      </c>
      <c r="K349" s="15">
        <f>IF(OR(J349="",G349=""),"",MAX(J349,MIN(ROUND(J349*(1+Параметры!$B$5),IF(J349*(1+Параметры!$B$5)&gt;=1000,-1,0)),ROUND(G349*Параметры!$B$6,IF(G349*Параметры!$B$6&gt;=1000,-1,0)))))</f>
        <v>3170</v>
      </c>
      <c r="L349" s="16">
        <v>3</v>
      </c>
      <c r="M349" s="17">
        <f t="shared" si="28"/>
        <v>0.33333333333333331</v>
      </c>
      <c r="N349" s="17">
        <f>IF(OR(L349="",L349=0),"",Параметры!$B$3/L349)</f>
        <v>2.6666666666666665</v>
      </c>
      <c r="O349" s="15">
        <f>IF(L349="","",IFERROR(INDEX('Почасовка — ставки и план'!$D$5:$D$24,MATCH($D349,'Почасовка — ставки и план'!$A$5:$A$24,0)),""))</f>
        <v>1200</v>
      </c>
      <c r="P349" s="15">
        <f>IF(L349="","",IFERROR(INDEX('Почасовка — ставки и план'!$E$5:$E$24,MATCH($D349,'Почасовка — ставки и план'!$A$5:$A$24,0)),""))</f>
        <v>1440</v>
      </c>
      <c r="Q349" s="15">
        <f t="shared" si="29"/>
        <v>3600</v>
      </c>
      <c r="R349" s="13" t="str">
        <f>IF(D349="TEX","аренда техники — сделка/счёт",IF(OR(Q349="",H349="",H349=0),"—",IF(Q349&lt;H349*(1-Параметры!$B$7),"почасовка",IF(Q349&gt;H349*(1+Параметры!$B$7),"сделка","любой способ"))))</f>
        <v>сделка</v>
      </c>
      <c r="S349">
        <v>0.2</v>
      </c>
      <c r="T349">
        <v>0.25217391304347841</v>
      </c>
    </row>
    <row r="350" spans="1:20" x14ac:dyDescent="0.25">
      <c r="A350" s="18" t="s">
        <v>754</v>
      </c>
      <c r="B350" s="13" t="s">
        <v>755</v>
      </c>
      <c r="C350" s="13" t="s">
        <v>756</v>
      </c>
      <c r="D350" s="13" t="s">
        <v>545</v>
      </c>
      <c r="E350" s="13" t="str">
        <f>IFERROR(INDEX('Почасовка — ставки и план'!$B$5:$B$24,MATCH(D350,'Почасовка — ставки и план'!$A$5:$A$24,0)),"Аренда техники / механизмы")</f>
        <v>Сервисный инженер ворот и автоматики</v>
      </c>
      <c r="F350" s="14">
        <v>1600</v>
      </c>
      <c r="G350" s="14">
        <v>1920</v>
      </c>
      <c r="H350" s="15">
        <v>900</v>
      </c>
      <c r="I350" s="15">
        <f>IF(OR(H350="",F350=""),"",MAX(H350,MIN(ROUND(H350*(1+Параметры!$B$5),IF(H350*(1+Параметры!$B$5)&gt;=1000,-1,0)),ROUND(F350*Параметры!$B$6,IF(F350*Параметры!$B$6&gt;=1000,-1,0)))))</f>
        <v>1040</v>
      </c>
      <c r="J350" s="15">
        <v>1035</v>
      </c>
      <c r="K350" s="15">
        <f>IF(OR(J350="",G350=""),"",MAX(J350,MIN(ROUND(J350*(1+Параметры!$B$5),IF(J350*(1+Параметры!$B$5)&gt;=1000,-1,0)),ROUND(G350*Параметры!$B$6,IF(G350*Параметры!$B$6&gt;=1000,-1,0)))))</f>
        <v>1190</v>
      </c>
      <c r="L350" s="16">
        <v>1</v>
      </c>
      <c r="M350" s="17">
        <f t="shared" si="28"/>
        <v>1</v>
      </c>
      <c r="N350" s="17">
        <f>IF(OR(L350="",L350=0),"",Параметры!$B$3/L350)</f>
        <v>8</v>
      </c>
      <c r="O350" s="15">
        <f>IF(L350="","",IFERROR(INDEX('Почасовка — ставки и план'!$D$5:$D$24,MATCH($D350,'Почасовка — ставки и план'!$A$5:$A$24,0)),""))</f>
        <v>1200</v>
      </c>
      <c r="P350" s="15">
        <f>IF(L350="","",IFERROR(INDEX('Почасовка — ставки и план'!$E$5:$E$24,MATCH($D350,'Почасовка — ставки и план'!$A$5:$A$24,0)),""))</f>
        <v>1440</v>
      </c>
      <c r="Q350" s="15">
        <f t="shared" si="29"/>
        <v>1200</v>
      </c>
      <c r="R350" s="13" t="str">
        <f>IF(D350="TEX","аренда техники — сделка/счёт",IF(OR(Q350="",H350="",H350=0),"—",IF(Q350&lt;H350*(1-Параметры!$B$7),"почасовка",IF(Q350&gt;H350*(1+Параметры!$B$7),"сделка","любой способ"))))</f>
        <v>сделка</v>
      </c>
      <c r="S350">
        <v>6.6666666666666652E-2</v>
      </c>
      <c r="T350">
        <v>0.11304347826086961</v>
      </c>
    </row>
    <row r="351" spans="1:20" x14ac:dyDescent="0.25">
      <c r="A351" s="11" t="s">
        <v>757</v>
      </c>
      <c r="B351" s="12"/>
      <c r="C351" s="12"/>
      <c r="D351" s="12"/>
      <c r="E351" s="12"/>
      <c r="F351" s="12"/>
      <c r="G351" s="12"/>
      <c r="H351" s="12"/>
      <c r="I351" s="12"/>
      <c r="J351" s="12"/>
      <c r="K351" s="12"/>
      <c r="L351" s="12"/>
      <c r="M351" s="12"/>
      <c r="N351" s="12"/>
      <c r="O351" s="12"/>
      <c r="P351" s="12"/>
      <c r="Q351" s="12"/>
      <c r="R351" s="12"/>
    </row>
    <row r="352" spans="1:20" x14ac:dyDescent="0.25">
      <c r="A352" s="13" t="s">
        <v>758</v>
      </c>
      <c r="B352" s="13" t="s">
        <v>759</v>
      </c>
      <c r="C352" s="13" t="s">
        <v>144</v>
      </c>
      <c r="D352" s="13" t="s">
        <v>60</v>
      </c>
      <c r="E352" s="13" t="str">
        <f>IFERROR(INDEX('Почасовка — ставки и план'!$B$5:$B$24,MATCH(D352,'Почасовка — ставки и план'!$A$5:$A$24,0)),"Аренда техники / механизмы")</f>
        <v>Разнорабочий / демонтажник</v>
      </c>
      <c r="F352" s="14">
        <v>120</v>
      </c>
      <c r="G352" s="14">
        <v>140</v>
      </c>
      <c r="H352" s="15">
        <v>70</v>
      </c>
      <c r="I352" s="15">
        <f>IF(OR(H352="",F352=""),"",MAX(H352,MIN(ROUND(H352*(1+Параметры!$B$5),IF(H352*(1+Параметры!$B$5)&gt;=1000,-1,0)),ROUND(F352*Параметры!$B$6,IF(F352*Параметры!$B$6&gt;=1000,-1,0)))))</f>
        <v>81</v>
      </c>
      <c r="J352" s="15">
        <v>80</v>
      </c>
      <c r="K352" s="15">
        <f>IF(OR(J352="",G352=""),"",MAX(J352,MIN(ROUND(J352*(1+Параметры!$B$5),IF(J352*(1+Параметры!$B$5)&gt;=1000,-1,0)),ROUND(G352*Параметры!$B$6,IF(G352*Параметры!$B$6&gt;=1000,-1,0)))))</f>
        <v>92</v>
      </c>
      <c r="L352" s="16">
        <v>0.08</v>
      </c>
      <c r="M352" s="17">
        <f t="shared" ref="M352:M383" si="30">IF(OR(L352="",L352=0),"",1/L352)</f>
        <v>12.5</v>
      </c>
      <c r="N352" s="17">
        <f>IF(OR(L352="",L352=0),"",Параметры!$B$3/L352)</f>
        <v>100</v>
      </c>
      <c r="O352" s="15">
        <f>IF(L352="","",IFERROR(INDEX('Почасовка — ставки и план'!$D$5:$D$24,MATCH($D352,'Почасовка — ставки и план'!$A$5:$A$24,0)),""))</f>
        <v>550</v>
      </c>
      <c r="P352" s="15">
        <f>IF(L352="","",IFERROR(INDEX('Почасовка — ставки и план'!$E$5:$E$24,MATCH($D352,'Почасовка — ставки и план'!$A$5:$A$24,0)),""))</f>
        <v>660</v>
      </c>
      <c r="Q352" s="15">
        <f t="shared" ref="Q352:Q383" si="31">IF(OR(L352="",O352=""),"",ROUND(L352*O352,0))</f>
        <v>44</v>
      </c>
      <c r="R352" s="13" t="str">
        <f>IF(D352="TEX","аренда техники — сделка/счёт",IF(OR(Q352="",H352="",H352=0),"—",IF(Q352&lt;H352*(1-Параметры!$B$7),"почасовка",IF(Q352&gt;H352*(1+Параметры!$B$7),"сделка","любой способ"))))</f>
        <v>почасовка</v>
      </c>
      <c r="S352">
        <v>0</v>
      </c>
      <c r="T352">
        <v>0</v>
      </c>
    </row>
    <row r="353" spans="1:20" x14ac:dyDescent="0.25">
      <c r="A353" s="13" t="s">
        <v>760</v>
      </c>
      <c r="B353" s="13" t="s">
        <v>761</v>
      </c>
      <c r="C353" s="13" t="s">
        <v>144</v>
      </c>
      <c r="D353" s="13" t="s">
        <v>60</v>
      </c>
      <c r="E353" s="13" t="str">
        <f>IFERROR(INDEX('Почасовка — ставки и план'!$B$5:$B$24,MATCH(D353,'Почасовка — ставки и план'!$A$5:$A$24,0)),"Аренда техники / механизмы")</f>
        <v>Разнорабочий / демонтажник</v>
      </c>
      <c r="F353" s="14">
        <v>350</v>
      </c>
      <c r="G353" s="14">
        <v>400</v>
      </c>
      <c r="H353" s="15">
        <v>200</v>
      </c>
      <c r="I353" s="15">
        <f>IF(OR(H353="",F353=""),"",MAX(H353,MIN(ROUND(H353*(1+Параметры!$B$5),IF(H353*(1+Параметры!$B$5)&gt;=1000,-1,0)),ROUND(F353*Параметры!$B$6,IF(F353*Параметры!$B$6&gt;=1000,-1,0)))))</f>
        <v>230</v>
      </c>
      <c r="J353" s="15">
        <v>230</v>
      </c>
      <c r="K353" s="15">
        <f>IF(OR(J353="",G353=""),"",MAX(J353,MIN(ROUND(J353*(1+Параметры!$B$5),IF(J353*(1+Параметры!$B$5)&gt;=1000,-1,0)),ROUND(G353*Параметры!$B$6,IF(G353*Параметры!$B$6&gt;=1000,-1,0)))))</f>
        <v>265</v>
      </c>
      <c r="L353" s="16">
        <v>0.25</v>
      </c>
      <c r="M353" s="17">
        <f t="shared" si="30"/>
        <v>4</v>
      </c>
      <c r="N353" s="17">
        <f>IF(OR(L353="",L353=0),"",Параметры!$B$3/L353)</f>
        <v>32</v>
      </c>
      <c r="O353" s="15">
        <f>IF(L353="","",IFERROR(INDEX('Почасовка — ставки и план'!$D$5:$D$24,MATCH($D353,'Почасовка — ставки и план'!$A$5:$A$24,0)),""))</f>
        <v>550</v>
      </c>
      <c r="P353" s="15">
        <f>IF(L353="","",IFERROR(INDEX('Почасовка — ставки и план'!$E$5:$E$24,MATCH($D353,'Почасовка — ставки и план'!$A$5:$A$24,0)),""))</f>
        <v>660</v>
      </c>
      <c r="Q353" s="15">
        <f t="shared" si="31"/>
        <v>138</v>
      </c>
      <c r="R353" s="13" t="str">
        <f>IF(D353="TEX","аренда техники — сделка/счёт",IF(OR(Q353="",H353="",H353=0),"—",IF(Q353&lt;H353*(1-Параметры!$B$7),"почасовка",IF(Q353&gt;H353*(1+Параметры!$B$7),"сделка","любой способ"))))</f>
        <v>почасовка</v>
      </c>
      <c r="S353">
        <v>0</v>
      </c>
      <c r="T353">
        <v>0</v>
      </c>
    </row>
    <row r="354" spans="1:20" x14ac:dyDescent="0.25">
      <c r="A354" s="13" t="s">
        <v>762</v>
      </c>
      <c r="B354" s="13" t="s">
        <v>763</v>
      </c>
      <c r="C354" s="13" t="s">
        <v>144</v>
      </c>
      <c r="D354" s="13" t="s">
        <v>60</v>
      </c>
      <c r="E354" s="13" t="str">
        <f>IFERROR(INDEX('Почасовка — ставки и план'!$B$5:$B$24,MATCH(D354,'Почасовка — ставки и план'!$A$5:$A$24,0)),"Аренда техники / механизмы")</f>
        <v>Разнорабочий / демонтажник</v>
      </c>
      <c r="F354" s="14">
        <v>350</v>
      </c>
      <c r="G354" s="14">
        <v>400</v>
      </c>
      <c r="H354" s="15">
        <v>200</v>
      </c>
      <c r="I354" s="15">
        <f>IF(OR(H354="",F354=""),"",MAX(H354,MIN(ROUND(H354*(1+Параметры!$B$5),IF(H354*(1+Параметры!$B$5)&gt;=1000,-1,0)),ROUND(F354*Параметры!$B$6,IF(F354*Параметры!$B$6&gt;=1000,-1,0)))))</f>
        <v>230</v>
      </c>
      <c r="J354" s="15">
        <v>230</v>
      </c>
      <c r="K354" s="15">
        <f>IF(OR(J354="",G354=""),"",MAX(J354,MIN(ROUND(J354*(1+Параметры!$B$5),IF(J354*(1+Параметры!$B$5)&gt;=1000,-1,0)),ROUND(G354*Параметры!$B$6,IF(G354*Параметры!$B$6&gt;=1000,-1,0)))))</f>
        <v>265</v>
      </c>
      <c r="L354" s="16">
        <v>0.15</v>
      </c>
      <c r="M354" s="17">
        <f t="shared" si="30"/>
        <v>6.666666666666667</v>
      </c>
      <c r="N354" s="17">
        <f>IF(OR(L354="",L354=0),"",Параметры!$B$3/L354)</f>
        <v>53.333333333333336</v>
      </c>
      <c r="O354" s="15">
        <f>IF(L354="","",IFERROR(INDEX('Почасовка — ставки и план'!$D$5:$D$24,MATCH($D354,'Почасовка — ставки и план'!$A$5:$A$24,0)),""))</f>
        <v>550</v>
      </c>
      <c r="P354" s="15">
        <f>IF(L354="","",IFERROR(INDEX('Почасовка — ставки и план'!$E$5:$E$24,MATCH($D354,'Почасовка — ставки и план'!$A$5:$A$24,0)),""))</f>
        <v>660</v>
      </c>
      <c r="Q354" s="15">
        <f t="shared" si="31"/>
        <v>83</v>
      </c>
      <c r="R354" s="13" t="str">
        <f>IF(D354="TEX","аренда техники — сделка/счёт",IF(OR(Q354="",H354="",H354=0),"—",IF(Q354&lt;H354*(1-Параметры!$B$7),"почасовка",IF(Q354&gt;H354*(1+Параметры!$B$7),"сделка","любой способ"))))</f>
        <v>почасовка</v>
      </c>
      <c r="S354">
        <v>0</v>
      </c>
      <c r="T354">
        <v>0</v>
      </c>
    </row>
    <row r="355" spans="1:20" x14ac:dyDescent="0.25">
      <c r="A355" s="13" t="s">
        <v>764</v>
      </c>
      <c r="B355" s="13" t="s">
        <v>765</v>
      </c>
      <c r="C355" s="13" t="s">
        <v>144</v>
      </c>
      <c r="D355" s="13" t="s">
        <v>60</v>
      </c>
      <c r="E355" s="13" t="str">
        <f>IFERROR(INDEX('Почасовка — ставки и план'!$B$5:$B$24,MATCH(D355,'Почасовка — ставки и план'!$A$5:$A$24,0)),"Аренда техники / механизмы")</f>
        <v>Разнорабочий / демонтажник</v>
      </c>
      <c r="F355" s="14">
        <v>15</v>
      </c>
      <c r="G355" s="14">
        <v>17</v>
      </c>
      <c r="H355" s="15">
        <v>9</v>
      </c>
      <c r="I355" s="15">
        <f>IF(OR(H355="",F355=""),"",MAX(H355,MIN(ROUND(H355*(1+Параметры!$B$5),IF(H355*(1+Параметры!$B$5)&gt;=1000,-1,0)),ROUND(F355*Параметры!$B$6,IF(F355*Параметры!$B$6&gt;=1000,-1,0)))))</f>
        <v>10</v>
      </c>
      <c r="J355" s="15">
        <v>10</v>
      </c>
      <c r="K355" s="15">
        <f>IF(OR(J355="",G355=""),"",MAX(J355,MIN(ROUND(J355*(1+Параметры!$B$5),IF(J355*(1+Параметры!$B$5)&gt;=1000,-1,0)),ROUND(G355*Параметры!$B$6,IF(G355*Параметры!$B$6&gt;=1000,-1,0)))))</f>
        <v>12</v>
      </c>
      <c r="L355" s="16">
        <v>7.0000000000000001E-3</v>
      </c>
      <c r="M355" s="17">
        <f t="shared" si="30"/>
        <v>142.85714285714286</v>
      </c>
      <c r="N355" s="17">
        <f>IF(OR(L355="",L355=0),"",Параметры!$B$3/L355)</f>
        <v>1142.8571428571429</v>
      </c>
      <c r="O355" s="15">
        <f>IF(L355="","",IFERROR(INDEX('Почасовка — ставки и план'!$D$5:$D$24,MATCH($D355,'Почасовка — ставки и план'!$A$5:$A$24,0)),""))</f>
        <v>550</v>
      </c>
      <c r="P355" s="15">
        <f>IF(L355="","",IFERROR(INDEX('Почасовка — ставки и план'!$E$5:$E$24,MATCH($D355,'Почасовка — ставки и план'!$A$5:$A$24,0)),""))</f>
        <v>660</v>
      </c>
      <c r="Q355" s="15">
        <f t="shared" si="31"/>
        <v>4</v>
      </c>
      <c r="R355" s="13" t="str">
        <f>IF(D355="TEX","аренда техники — сделка/счёт",IF(OR(Q355="",H355="",H355=0),"—",IF(Q355&lt;H355*(1-Параметры!$B$7),"почасовка",IF(Q355&gt;H355*(1+Параметры!$B$7),"сделка","любой способ"))))</f>
        <v>почасовка</v>
      </c>
      <c r="S355">
        <v>0</v>
      </c>
      <c r="T355">
        <v>0</v>
      </c>
    </row>
    <row r="356" spans="1:20" x14ac:dyDescent="0.25">
      <c r="A356" s="13" t="s">
        <v>766</v>
      </c>
      <c r="B356" s="13" t="s">
        <v>767</v>
      </c>
      <c r="C356" s="13" t="s">
        <v>144</v>
      </c>
      <c r="D356" s="13" t="s">
        <v>60</v>
      </c>
      <c r="E356" s="13" t="str">
        <f>IFERROR(INDEX('Почасовка — ставки и план'!$B$5:$B$24,MATCH(D356,'Почасовка — ставки и план'!$A$5:$A$24,0)),"Аренда техники / механизмы")</f>
        <v>Разнорабочий / демонтажник</v>
      </c>
      <c r="F356" s="14">
        <v>550</v>
      </c>
      <c r="G356" s="14">
        <v>630</v>
      </c>
      <c r="H356" s="15">
        <v>320</v>
      </c>
      <c r="I356" s="15">
        <f>IF(OR(H356="",F356=""),"",MAX(H356,MIN(ROUND(H356*(1+Параметры!$B$5),IF(H356*(1+Параметры!$B$5)&gt;=1000,-1,0)),ROUND(F356*Параметры!$B$6,IF(F356*Параметры!$B$6&gt;=1000,-1,0)))))</f>
        <v>368</v>
      </c>
      <c r="J356" s="15">
        <v>370</v>
      </c>
      <c r="K356" s="15">
        <f>IF(OR(J356="",G356=""),"",MAX(J356,MIN(ROUND(J356*(1+Параметры!$B$5),IF(J356*(1+Параметры!$B$5)&gt;=1000,-1,0)),ROUND(G356*Параметры!$B$6,IF(G356*Параметры!$B$6&gt;=1000,-1,0)))))</f>
        <v>426</v>
      </c>
      <c r="L356" s="16">
        <v>0.3</v>
      </c>
      <c r="M356" s="17">
        <f t="shared" si="30"/>
        <v>3.3333333333333335</v>
      </c>
      <c r="N356" s="17">
        <f>IF(OR(L356="",L356=0),"",Параметры!$B$3/L356)</f>
        <v>26.666666666666668</v>
      </c>
      <c r="O356" s="15">
        <f>IF(L356="","",IFERROR(INDEX('Почасовка — ставки и план'!$D$5:$D$24,MATCH($D356,'Почасовка — ставки и план'!$A$5:$A$24,0)),""))</f>
        <v>550</v>
      </c>
      <c r="P356" s="15">
        <f>IF(L356="","",IFERROR(INDEX('Почасовка — ставки и план'!$E$5:$E$24,MATCH($D356,'Почасовка — ставки и план'!$A$5:$A$24,0)),""))</f>
        <v>660</v>
      </c>
      <c r="Q356" s="15">
        <f t="shared" si="31"/>
        <v>165</v>
      </c>
      <c r="R356" s="13" t="str">
        <f>IF(D356="TEX","аренда техники — сделка/счёт",IF(OR(Q356="",H356="",H356=0),"—",IF(Q356&lt;H356*(1-Параметры!$B$7),"почасовка",IF(Q356&gt;H356*(1+Параметры!$B$7),"сделка","любой способ"))))</f>
        <v>почасовка</v>
      </c>
      <c r="S356">
        <v>0</v>
      </c>
      <c r="T356">
        <v>0</v>
      </c>
    </row>
    <row r="357" spans="1:20" x14ac:dyDescent="0.25">
      <c r="A357" s="13" t="s">
        <v>768</v>
      </c>
      <c r="B357" s="13" t="s">
        <v>769</v>
      </c>
      <c r="C357" s="13" t="s">
        <v>144</v>
      </c>
      <c r="D357" s="13" t="s">
        <v>60</v>
      </c>
      <c r="E357" s="13" t="str">
        <f>IFERROR(INDEX('Почасовка — ставки и план'!$B$5:$B$24,MATCH(D357,'Почасовка — ставки и план'!$A$5:$A$24,0)),"Аренда техники / механизмы")</f>
        <v>Разнорабочий / демонтажник</v>
      </c>
      <c r="F357" s="14">
        <v>50</v>
      </c>
      <c r="G357" s="14">
        <v>57</v>
      </c>
      <c r="H357" s="15">
        <v>30</v>
      </c>
      <c r="I357" s="15">
        <f>IF(OR(H357="",F357=""),"",MAX(H357,MIN(ROUND(H357*(1+Параметры!$B$5),IF(H357*(1+Параметры!$B$5)&gt;=1000,-1,0)),ROUND(F357*Параметры!$B$6,IF(F357*Параметры!$B$6&gt;=1000,-1,0)))))</f>
        <v>35</v>
      </c>
      <c r="J357" s="15">
        <v>34</v>
      </c>
      <c r="K357" s="15">
        <f>IF(OR(J357="",G357=""),"",MAX(J357,MIN(ROUND(J357*(1+Параметры!$B$5),IF(J357*(1+Параметры!$B$5)&gt;=1000,-1,0)),ROUND(G357*Параметры!$B$6,IF(G357*Параметры!$B$6&gt;=1000,-1,0)))))</f>
        <v>39</v>
      </c>
      <c r="L357" s="16">
        <v>0.03</v>
      </c>
      <c r="M357" s="17">
        <f t="shared" si="30"/>
        <v>33.333333333333336</v>
      </c>
      <c r="N357" s="17">
        <f>IF(OR(L357="",L357=0),"",Параметры!$B$3/L357)</f>
        <v>266.66666666666669</v>
      </c>
      <c r="O357" s="15">
        <f>IF(L357="","",IFERROR(INDEX('Почасовка — ставки и план'!$D$5:$D$24,MATCH($D357,'Почасовка — ставки и план'!$A$5:$A$24,0)),""))</f>
        <v>550</v>
      </c>
      <c r="P357" s="15">
        <f>IF(L357="","",IFERROR(INDEX('Почасовка — ставки и план'!$E$5:$E$24,MATCH($D357,'Почасовка — ставки и план'!$A$5:$A$24,0)),""))</f>
        <v>660</v>
      </c>
      <c r="Q357" s="15">
        <f t="shared" si="31"/>
        <v>17</v>
      </c>
      <c r="R357" s="13" t="str">
        <f>IF(D357="TEX","аренда техники — сделка/счёт",IF(OR(Q357="",H357="",H357=0),"—",IF(Q357&lt;H357*(1-Параметры!$B$7),"почасовка",IF(Q357&gt;H357*(1+Параметры!$B$7),"сделка","любой способ"))))</f>
        <v>почасовка</v>
      </c>
      <c r="S357">
        <v>0</v>
      </c>
      <c r="T357">
        <v>0</v>
      </c>
    </row>
    <row r="358" spans="1:20" x14ac:dyDescent="0.25">
      <c r="A358" s="13" t="s">
        <v>770</v>
      </c>
      <c r="B358" s="13" t="s">
        <v>771</v>
      </c>
      <c r="C358" s="13" t="s">
        <v>144</v>
      </c>
      <c r="D358" s="13" t="s">
        <v>60</v>
      </c>
      <c r="E358" s="13" t="str">
        <f>IFERROR(INDEX('Почасовка — ставки и план'!$B$5:$B$24,MATCH(D358,'Почасовка — ставки и план'!$A$5:$A$24,0)),"Аренда техники / механизмы")</f>
        <v>Разнорабочий / демонтажник</v>
      </c>
      <c r="F358" s="14">
        <v>450</v>
      </c>
      <c r="G358" s="14">
        <v>520</v>
      </c>
      <c r="H358" s="15">
        <v>260</v>
      </c>
      <c r="I358" s="15">
        <f>IF(OR(H358="",F358=""),"",MAX(H358,MIN(ROUND(H358*(1+Параметры!$B$5),IF(H358*(1+Параметры!$B$5)&gt;=1000,-1,0)),ROUND(F358*Параметры!$B$6,IF(F358*Параметры!$B$6&gt;=1000,-1,0)))))</f>
        <v>299</v>
      </c>
      <c r="J358" s="15">
        <v>300</v>
      </c>
      <c r="K358" s="15">
        <f>IF(OR(J358="",G358=""),"",MAX(J358,MIN(ROUND(J358*(1+Параметры!$B$5),IF(J358*(1+Параметры!$B$5)&gt;=1000,-1,0)),ROUND(G358*Параметры!$B$6,IF(G358*Параметры!$B$6&gt;=1000,-1,0)))))</f>
        <v>345</v>
      </c>
      <c r="L358" s="16">
        <v>0.2</v>
      </c>
      <c r="M358" s="17">
        <f t="shared" si="30"/>
        <v>5</v>
      </c>
      <c r="N358" s="17">
        <f>IF(OR(L358="",L358=0),"",Параметры!$B$3/L358)</f>
        <v>40</v>
      </c>
      <c r="O358" s="15">
        <f>IF(L358="","",IFERROR(INDEX('Почасовка — ставки и план'!$D$5:$D$24,MATCH($D358,'Почасовка — ставки и план'!$A$5:$A$24,0)),""))</f>
        <v>550</v>
      </c>
      <c r="P358" s="15">
        <f>IF(L358="","",IFERROR(INDEX('Почасовка — ставки и план'!$E$5:$E$24,MATCH($D358,'Почасовка — ставки и план'!$A$5:$A$24,0)),""))</f>
        <v>660</v>
      </c>
      <c r="Q358" s="15">
        <f t="shared" si="31"/>
        <v>110</v>
      </c>
      <c r="R358" s="13" t="str">
        <f>IF(D358="TEX","аренда техники — сделка/счёт",IF(OR(Q358="",H358="",H358=0),"—",IF(Q358&lt;H358*(1-Параметры!$B$7),"почасовка",IF(Q358&gt;H358*(1+Параметры!$B$7),"сделка","любой способ"))))</f>
        <v>почасовка</v>
      </c>
      <c r="S358">
        <v>0</v>
      </c>
      <c r="T358">
        <v>0</v>
      </c>
    </row>
    <row r="359" spans="1:20" x14ac:dyDescent="0.25">
      <c r="A359" s="13" t="s">
        <v>772</v>
      </c>
      <c r="B359" s="13" t="s">
        <v>773</v>
      </c>
      <c r="C359" s="13" t="s">
        <v>144</v>
      </c>
      <c r="D359" s="13" t="s">
        <v>60</v>
      </c>
      <c r="E359" s="13" t="str">
        <f>IFERROR(INDEX('Почасовка — ставки и план'!$B$5:$B$24,MATCH(D359,'Почасовка — ставки и план'!$A$5:$A$24,0)),"Аренда техники / механизмы")</f>
        <v>Разнорабочий / демонтажник</v>
      </c>
      <c r="F359" s="14">
        <v>20</v>
      </c>
      <c r="G359" s="14">
        <v>23</v>
      </c>
      <c r="H359" s="15">
        <v>12</v>
      </c>
      <c r="I359" s="15">
        <f>IF(OR(H359="",F359=""),"",MAX(H359,MIN(ROUND(H359*(1+Параметры!$B$5),IF(H359*(1+Параметры!$B$5)&gt;=1000,-1,0)),ROUND(F359*Параметры!$B$6,IF(F359*Параметры!$B$6&gt;=1000,-1,0)))))</f>
        <v>14</v>
      </c>
      <c r="J359" s="15">
        <v>14</v>
      </c>
      <c r="K359" s="15">
        <f>IF(OR(J359="",G359=""),"",MAX(J359,MIN(ROUND(J359*(1+Параметры!$B$5),IF(J359*(1+Параметры!$B$5)&gt;=1000,-1,0)),ROUND(G359*Параметры!$B$6,IF(G359*Параметры!$B$6&gt;=1000,-1,0)))))</f>
        <v>16</v>
      </c>
      <c r="L359" s="16">
        <v>0.01</v>
      </c>
      <c r="M359" s="17">
        <f t="shared" si="30"/>
        <v>100</v>
      </c>
      <c r="N359" s="17">
        <f>IF(OR(L359="",L359=0),"",Параметры!$B$3/L359)</f>
        <v>800</v>
      </c>
      <c r="O359" s="15">
        <f>IF(L359="","",IFERROR(INDEX('Почасовка — ставки и план'!$D$5:$D$24,MATCH($D359,'Почасовка — ставки и план'!$A$5:$A$24,0)),""))</f>
        <v>550</v>
      </c>
      <c r="P359" s="15">
        <f>IF(L359="","",IFERROR(INDEX('Почасовка — ставки и план'!$E$5:$E$24,MATCH($D359,'Почасовка — ставки и план'!$A$5:$A$24,0)),""))</f>
        <v>660</v>
      </c>
      <c r="Q359" s="15">
        <f t="shared" si="31"/>
        <v>6</v>
      </c>
      <c r="R359" s="13" t="str">
        <f>IF(D359="TEX","аренда техники — сделка/счёт",IF(OR(Q359="",H359="",H359=0),"—",IF(Q359&lt;H359*(1-Параметры!$B$7),"почасовка",IF(Q359&gt;H359*(1+Параметры!$B$7),"сделка","любой способ"))))</f>
        <v>почасовка</v>
      </c>
      <c r="S359">
        <v>0</v>
      </c>
      <c r="T359">
        <v>0</v>
      </c>
    </row>
    <row r="360" spans="1:20" x14ac:dyDescent="0.25">
      <c r="A360" s="13" t="s">
        <v>774</v>
      </c>
      <c r="B360" s="13" t="s">
        <v>775</v>
      </c>
      <c r="C360" s="13" t="s">
        <v>144</v>
      </c>
      <c r="D360" s="13" t="s">
        <v>60</v>
      </c>
      <c r="E360" s="13" t="str">
        <f>IFERROR(INDEX('Почасовка — ставки и план'!$B$5:$B$24,MATCH(D360,'Почасовка — ставки и план'!$A$5:$A$24,0)),"Аренда техники / механизмы")</f>
        <v>Разнорабочий / демонтажник</v>
      </c>
      <c r="F360" s="14">
        <v>1100</v>
      </c>
      <c r="G360" s="14">
        <v>1250</v>
      </c>
      <c r="H360" s="15">
        <v>650</v>
      </c>
      <c r="I360" s="15">
        <f>IF(OR(H360="",F360=""),"",MAX(H360,MIN(ROUND(H360*(1+Параметры!$B$5),IF(H360*(1+Параметры!$B$5)&gt;=1000,-1,0)),ROUND(F360*Параметры!$B$6,IF(F360*Параметры!$B$6&gt;=1000,-1,0)))))</f>
        <v>748</v>
      </c>
      <c r="J360" s="15">
        <v>750</v>
      </c>
      <c r="K360" s="15">
        <f>IF(OR(J360="",G360=""),"",MAX(J360,MIN(ROUND(J360*(1+Параметры!$B$5),IF(J360*(1+Параметры!$B$5)&gt;=1000,-1,0)),ROUND(G360*Параметры!$B$6,IF(G360*Параметры!$B$6&gt;=1000,-1,0)))))</f>
        <v>863</v>
      </c>
      <c r="L360" s="16">
        <v>0.7</v>
      </c>
      <c r="M360" s="17">
        <f t="shared" si="30"/>
        <v>1.4285714285714286</v>
      </c>
      <c r="N360" s="17">
        <f>IF(OR(L360="",L360=0),"",Параметры!$B$3/L360)</f>
        <v>11.428571428571429</v>
      </c>
      <c r="O360" s="15">
        <f>IF(L360="","",IFERROR(INDEX('Почасовка — ставки и план'!$D$5:$D$24,MATCH($D360,'Почасовка — ставки и план'!$A$5:$A$24,0)),""))</f>
        <v>550</v>
      </c>
      <c r="P360" s="15">
        <f>IF(L360="","",IFERROR(INDEX('Почасовка — ставки и план'!$E$5:$E$24,MATCH($D360,'Почасовка — ставки и план'!$A$5:$A$24,0)),""))</f>
        <v>660</v>
      </c>
      <c r="Q360" s="15">
        <f t="shared" si="31"/>
        <v>385</v>
      </c>
      <c r="R360" s="13" t="str">
        <f>IF(D360="TEX","аренда техники — сделка/счёт",IF(OR(Q360="",H360="",H360=0),"—",IF(Q360&lt;H360*(1-Параметры!$B$7),"почасовка",IF(Q360&gt;H360*(1+Параметры!$B$7),"сделка","любой способ"))))</f>
        <v>почасовка</v>
      </c>
      <c r="S360">
        <v>0</v>
      </c>
      <c r="T360">
        <v>0</v>
      </c>
    </row>
    <row r="361" spans="1:20" x14ac:dyDescent="0.25">
      <c r="A361" s="13" t="s">
        <v>776</v>
      </c>
      <c r="B361" s="13" t="s">
        <v>777</v>
      </c>
      <c r="C361" s="13" t="s">
        <v>144</v>
      </c>
      <c r="D361" s="13" t="s">
        <v>60</v>
      </c>
      <c r="E361" s="13" t="str">
        <f>IFERROR(INDEX('Почасовка — ставки и план'!$B$5:$B$24,MATCH(D361,'Почасовка — ставки и план'!$A$5:$A$24,0)),"Аренда техники / механизмы")</f>
        <v>Разнорабочий / демонтажник</v>
      </c>
      <c r="F361" s="14">
        <v>55</v>
      </c>
      <c r="G361" s="14">
        <v>63</v>
      </c>
      <c r="H361" s="15">
        <v>32</v>
      </c>
      <c r="I361" s="15">
        <f>IF(OR(H361="",F361=""),"",MAX(H361,MIN(ROUND(H361*(1+Параметры!$B$5),IF(H361*(1+Параметры!$B$5)&gt;=1000,-1,0)),ROUND(F361*Параметры!$B$6,IF(F361*Параметры!$B$6&gt;=1000,-1,0)))))</f>
        <v>37</v>
      </c>
      <c r="J361" s="15">
        <v>37</v>
      </c>
      <c r="K361" s="15">
        <f>IF(OR(J361="",G361=""),"",MAX(J361,MIN(ROUND(J361*(1+Параметры!$B$5),IF(J361*(1+Параметры!$B$5)&gt;=1000,-1,0)),ROUND(G361*Параметры!$B$6,IF(G361*Параметры!$B$6&gt;=1000,-1,0)))))</f>
        <v>43</v>
      </c>
      <c r="L361" s="16">
        <v>3.5000000000000003E-2</v>
      </c>
      <c r="M361" s="17">
        <f t="shared" si="30"/>
        <v>28.571428571428569</v>
      </c>
      <c r="N361" s="17">
        <f>IF(OR(L361="",L361=0),"",Параметры!$B$3/L361)</f>
        <v>228.57142857142856</v>
      </c>
      <c r="O361" s="15">
        <f>IF(L361="","",IFERROR(INDEX('Почасовка — ставки и план'!$D$5:$D$24,MATCH($D361,'Почасовка — ставки и план'!$A$5:$A$24,0)),""))</f>
        <v>550</v>
      </c>
      <c r="P361" s="15">
        <f>IF(L361="","",IFERROR(INDEX('Почасовка — ставки и план'!$E$5:$E$24,MATCH($D361,'Почасовка — ставки и план'!$A$5:$A$24,0)),""))</f>
        <v>660</v>
      </c>
      <c r="Q361" s="15">
        <f t="shared" si="31"/>
        <v>19</v>
      </c>
      <c r="R361" s="13" t="str">
        <f>IF(D361="TEX","аренда техники — сделка/счёт",IF(OR(Q361="",H361="",H361=0),"—",IF(Q361&lt;H361*(1-Параметры!$B$7),"почасовка",IF(Q361&gt;H361*(1+Параметры!$B$7),"сделка","любой способ"))))</f>
        <v>почасовка</v>
      </c>
      <c r="S361">
        <v>0</v>
      </c>
      <c r="T361">
        <v>0</v>
      </c>
    </row>
    <row r="362" spans="1:20" x14ac:dyDescent="0.25">
      <c r="A362" s="13" t="s">
        <v>778</v>
      </c>
      <c r="B362" s="13" t="s">
        <v>779</v>
      </c>
      <c r="C362" s="13" t="s">
        <v>144</v>
      </c>
      <c r="D362" s="13" t="s">
        <v>60</v>
      </c>
      <c r="E362" s="13" t="str">
        <f>IFERROR(INDEX('Почасовка — ставки и план'!$B$5:$B$24,MATCH(D362,'Почасовка — ставки и план'!$A$5:$A$24,0)),"Аренда техники / механизмы")</f>
        <v>Разнорабочий / демонтажник</v>
      </c>
      <c r="F362" s="14">
        <v>800</v>
      </c>
      <c r="G362" s="14">
        <v>920</v>
      </c>
      <c r="H362" s="15">
        <v>450</v>
      </c>
      <c r="I362" s="15">
        <f>IF(OR(H362="",F362=""),"",MAX(H362,MIN(ROUND(H362*(1+Параметры!$B$5),IF(H362*(1+Параметры!$B$5)&gt;=1000,-1,0)),ROUND(F362*Параметры!$B$6,IF(F362*Параметры!$B$6&gt;=1000,-1,0)))))</f>
        <v>518</v>
      </c>
      <c r="J362" s="15">
        <v>520</v>
      </c>
      <c r="K362" s="15">
        <f>IF(OR(J362="",G362=""),"",MAX(J362,MIN(ROUND(J362*(1+Параметры!$B$5),IF(J362*(1+Параметры!$B$5)&gt;=1000,-1,0)),ROUND(G362*Параметры!$B$6,IF(G362*Параметры!$B$6&gt;=1000,-1,0)))))</f>
        <v>598</v>
      </c>
      <c r="L362" s="16">
        <v>0.6</v>
      </c>
      <c r="M362" s="17">
        <f t="shared" si="30"/>
        <v>1.6666666666666667</v>
      </c>
      <c r="N362" s="17">
        <f>IF(OR(L362="",L362=0),"",Параметры!$B$3/L362)</f>
        <v>13.333333333333334</v>
      </c>
      <c r="O362" s="15">
        <f>IF(L362="","",IFERROR(INDEX('Почасовка — ставки и план'!$D$5:$D$24,MATCH($D362,'Почасовка — ставки и план'!$A$5:$A$24,0)),""))</f>
        <v>550</v>
      </c>
      <c r="P362" s="15">
        <f>IF(L362="","",IFERROR(INDEX('Почасовка — ставки и план'!$E$5:$E$24,MATCH($D362,'Почасовка — ставки и план'!$A$5:$A$24,0)),""))</f>
        <v>660</v>
      </c>
      <c r="Q362" s="15">
        <f t="shared" si="31"/>
        <v>330</v>
      </c>
      <c r="R362" s="13" t="str">
        <f>IF(D362="TEX","аренда техники — сделка/счёт",IF(OR(Q362="",H362="",H362=0),"—",IF(Q362&lt;H362*(1-Параметры!$B$7),"почасовка",IF(Q362&gt;H362*(1+Параметры!$B$7),"сделка","любой способ"))))</f>
        <v>почасовка</v>
      </c>
      <c r="S362">
        <v>0</v>
      </c>
      <c r="T362">
        <v>0</v>
      </c>
    </row>
    <row r="363" spans="1:20" x14ac:dyDescent="0.25">
      <c r="A363" s="13" t="s">
        <v>780</v>
      </c>
      <c r="B363" s="13" t="s">
        <v>781</v>
      </c>
      <c r="C363" s="13" t="s">
        <v>144</v>
      </c>
      <c r="D363" s="13" t="s">
        <v>60</v>
      </c>
      <c r="E363" s="13" t="str">
        <f>IFERROR(INDEX('Почасовка — ставки и план'!$B$5:$B$24,MATCH(D363,'Почасовка — ставки и план'!$A$5:$A$24,0)),"Аренда техники / механизмы")</f>
        <v>Разнорабочий / демонтажник</v>
      </c>
      <c r="F363" s="14">
        <v>350</v>
      </c>
      <c r="G363" s="14">
        <v>400</v>
      </c>
      <c r="H363" s="15">
        <v>200</v>
      </c>
      <c r="I363" s="15">
        <f>IF(OR(H363="",F363=""),"",MAX(H363,MIN(ROUND(H363*(1+Параметры!$B$5),IF(H363*(1+Параметры!$B$5)&gt;=1000,-1,0)),ROUND(F363*Параметры!$B$6,IF(F363*Параметры!$B$6&gt;=1000,-1,0)))))</f>
        <v>230</v>
      </c>
      <c r="J363" s="15">
        <v>230</v>
      </c>
      <c r="K363" s="15">
        <f>IF(OR(J363="",G363=""),"",MAX(J363,MIN(ROUND(J363*(1+Параметры!$B$5),IF(J363*(1+Параметры!$B$5)&gt;=1000,-1,0)),ROUND(G363*Параметры!$B$6,IF(G363*Параметры!$B$6&gt;=1000,-1,0)))))</f>
        <v>265</v>
      </c>
      <c r="L363" s="16">
        <v>0.25</v>
      </c>
      <c r="M363" s="17">
        <f t="shared" si="30"/>
        <v>4</v>
      </c>
      <c r="N363" s="17">
        <f>IF(OR(L363="",L363=0),"",Параметры!$B$3/L363)</f>
        <v>32</v>
      </c>
      <c r="O363" s="15">
        <f>IF(L363="","",IFERROR(INDEX('Почасовка — ставки и план'!$D$5:$D$24,MATCH($D363,'Почасовка — ставки и план'!$A$5:$A$24,0)),""))</f>
        <v>550</v>
      </c>
      <c r="P363" s="15">
        <f>IF(L363="","",IFERROR(INDEX('Почасовка — ставки и план'!$E$5:$E$24,MATCH($D363,'Почасовка — ставки и план'!$A$5:$A$24,0)),""))</f>
        <v>660</v>
      </c>
      <c r="Q363" s="15">
        <f t="shared" si="31"/>
        <v>138</v>
      </c>
      <c r="R363" s="13" t="str">
        <f>IF(D363="TEX","аренда техники — сделка/счёт",IF(OR(Q363="",H363="",H363=0),"—",IF(Q363&lt;H363*(1-Параметры!$B$7),"почасовка",IF(Q363&gt;H363*(1+Параметры!$B$7),"сделка","любой способ"))))</f>
        <v>почасовка</v>
      </c>
      <c r="S363">
        <v>0</v>
      </c>
      <c r="T363">
        <v>0</v>
      </c>
    </row>
    <row r="364" spans="1:20" x14ac:dyDescent="0.25">
      <c r="A364" s="13" t="s">
        <v>782</v>
      </c>
      <c r="B364" s="13" t="s">
        <v>783</v>
      </c>
      <c r="C364" s="13" t="s">
        <v>144</v>
      </c>
      <c r="D364" s="13" t="s">
        <v>60</v>
      </c>
      <c r="E364" s="13" t="str">
        <f>IFERROR(INDEX('Почасовка — ставки и план'!$B$5:$B$24,MATCH(D364,'Почасовка — ставки и план'!$A$5:$A$24,0)),"Аренда техники / механизмы")</f>
        <v>Разнорабочий / демонтажник</v>
      </c>
      <c r="F364" s="14">
        <v>550</v>
      </c>
      <c r="G364" s="14">
        <v>630</v>
      </c>
      <c r="H364" s="15">
        <v>320</v>
      </c>
      <c r="I364" s="15">
        <f>IF(OR(H364="",F364=""),"",MAX(H364,MIN(ROUND(H364*(1+Параметры!$B$5),IF(H364*(1+Параметры!$B$5)&gt;=1000,-1,0)),ROUND(F364*Параметры!$B$6,IF(F364*Параметры!$B$6&gt;=1000,-1,0)))))</f>
        <v>368</v>
      </c>
      <c r="J364" s="15">
        <v>370</v>
      </c>
      <c r="K364" s="15">
        <f>IF(OR(J364="",G364=""),"",MAX(J364,MIN(ROUND(J364*(1+Параметры!$B$5),IF(J364*(1+Параметры!$B$5)&gt;=1000,-1,0)),ROUND(G364*Параметры!$B$6,IF(G364*Параметры!$B$6&gt;=1000,-1,0)))))</f>
        <v>426</v>
      </c>
      <c r="L364" s="16">
        <v>0.4</v>
      </c>
      <c r="M364" s="17">
        <f t="shared" si="30"/>
        <v>2.5</v>
      </c>
      <c r="N364" s="17">
        <f>IF(OR(L364="",L364=0),"",Параметры!$B$3/L364)</f>
        <v>20</v>
      </c>
      <c r="O364" s="15">
        <f>IF(L364="","",IFERROR(INDEX('Почасовка — ставки и план'!$D$5:$D$24,MATCH($D364,'Почасовка — ставки и план'!$A$5:$A$24,0)),""))</f>
        <v>550</v>
      </c>
      <c r="P364" s="15">
        <f>IF(L364="","",IFERROR(INDEX('Почасовка — ставки и план'!$E$5:$E$24,MATCH($D364,'Почасовка — ставки и план'!$A$5:$A$24,0)),""))</f>
        <v>660</v>
      </c>
      <c r="Q364" s="15">
        <f t="shared" si="31"/>
        <v>220</v>
      </c>
      <c r="R364" s="13" t="str">
        <f>IF(D364="TEX","аренда техники — сделка/счёт",IF(OR(Q364="",H364="",H364=0),"—",IF(Q364&lt;H364*(1-Параметры!$B$7),"почасовка",IF(Q364&gt;H364*(1+Параметры!$B$7),"сделка","любой способ"))))</f>
        <v>почасовка</v>
      </c>
      <c r="S364">
        <v>0</v>
      </c>
      <c r="T364">
        <v>0</v>
      </c>
    </row>
    <row r="365" spans="1:20" x14ac:dyDescent="0.25">
      <c r="A365" s="13" t="s">
        <v>784</v>
      </c>
      <c r="B365" s="13" t="s">
        <v>785</v>
      </c>
      <c r="C365" s="13" t="s">
        <v>144</v>
      </c>
      <c r="D365" s="13" t="s">
        <v>60</v>
      </c>
      <c r="E365" s="13" t="str">
        <f>IFERROR(INDEX('Почасовка — ставки и план'!$B$5:$B$24,MATCH(D365,'Почасовка — ставки и план'!$A$5:$A$24,0)),"Аренда техники / механизмы")</f>
        <v>Разнорабочий / демонтажник</v>
      </c>
      <c r="F365" s="14">
        <v>650</v>
      </c>
      <c r="G365" s="14">
        <v>750</v>
      </c>
      <c r="H365" s="15">
        <v>380</v>
      </c>
      <c r="I365" s="15">
        <f>IF(OR(H365="",F365=""),"",MAX(H365,MIN(ROUND(H365*(1+Параметры!$B$5),IF(H365*(1+Параметры!$B$5)&gt;=1000,-1,0)),ROUND(F365*Параметры!$B$6,IF(F365*Параметры!$B$6&gt;=1000,-1,0)))))</f>
        <v>437</v>
      </c>
      <c r="J365" s="15">
        <v>440</v>
      </c>
      <c r="K365" s="15">
        <f>IF(OR(J365="",G365=""),"",MAX(J365,MIN(ROUND(J365*(1+Параметры!$B$5),IF(J365*(1+Параметры!$B$5)&gt;=1000,-1,0)),ROUND(G365*Параметры!$B$6,IF(G365*Параметры!$B$6&gt;=1000,-1,0)))))</f>
        <v>506</v>
      </c>
      <c r="L365" s="16">
        <v>0.45</v>
      </c>
      <c r="M365" s="17">
        <f t="shared" si="30"/>
        <v>2.2222222222222223</v>
      </c>
      <c r="N365" s="17">
        <f>IF(OR(L365="",L365=0),"",Параметры!$B$3/L365)</f>
        <v>17.777777777777779</v>
      </c>
      <c r="O365" s="15">
        <f>IF(L365="","",IFERROR(INDEX('Почасовка — ставки и план'!$D$5:$D$24,MATCH($D365,'Почасовка — ставки и план'!$A$5:$A$24,0)),""))</f>
        <v>550</v>
      </c>
      <c r="P365" s="15">
        <f>IF(L365="","",IFERROR(INDEX('Почасовка — ставки и план'!$E$5:$E$24,MATCH($D365,'Почасовка — ставки и план'!$A$5:$A$24,0)),""))</f>
        <v>660</v>
      </c>
      <c r="Q365" s="15">
        <f t="shared" si="31"/>
        <v>248</v>
      </c>
      <c r="R365" s="13" t="str">
        <f>IF(D365="TEX","аренда техники — сделка/счёт",IF(OR(Q365="",H365="",H365=0),"—",IF(Q365&lt;H365*(1-Параметры!$B$7),"почасовка",IF(Q365&gt;H365*(1+Параметры!$B$7),"сделка","любой способ"))))</f>
        <v>почасовка</v>
      </c>
      <c r="S365">
        <v>0</v>
      </c>
      <c r="T365">
        <v>0</v>
      </c>
    </row>
    <row r="366" spans="1:20" x14ac:dyDescent="0.25">
      <c r="A366" s="13" t="s">
        <v>786</v>
      </c>
      <c r="B366" s="13" t="s">
        <v>787</v>
      </c>
      <c r="C366" s="13" t="s">
        <v>144</v>
      </c>
      <c r="D366" s="13" t="s">
        <v>273</v>
      </c>
      <c r="E366" s="13" t="str">
        <f>IFERROR(INDEX('Почасовка — ставки и план'!$B$5:$B$24,MATCH(D366,'Почасовка — ставки и план'!$A$5:$A$24,0)),"Аренда техники / механизмы")</f>
        <v>Электромонтажник</v>
      </c>
      <c r="F366" s="14">
        <v>80</v>
      </c>
      <c r="G366" s="14">
        <v>90</v>
      </c>
      <c r="H366" s="15">
        <v>45</v>
      </c>
      <c r="I366" s="15">
        <f>IF(OR(H366="",F366=""),"",MAX(H366,MIN(ROUND(H366*(1+Параметры!$B$5),IF(H366*(1+Параметры!$B$5)&gt;=1000,-1,0)),ROUND(F366*Параметры!$B$6,IF(F366*Параметры!$B$6&gt;=1000,-1,0)))))</f>
        <v>52</v>
      </c>
      <c r="J366" s="15">
        <v>52</v>
      </c>
      <c r="K366" s="15">
        <f>IF(OR(J366="",G366=""),"",MAX(J366,MIN(ROUND(J366*(1+Параметры!$B$5),IF(J366*(1+Параметры!$B$5)&gt;=1000,-1,0)),ROUND(G366*Параметры!$B$6,IF(G366*Параметры!$B$6&gt;=1000,-1,0)))))</f>
        <v>60</v>
      </c>
      <c r="L366" s="16">
        <v>0.05</v>
      </c>
      <c r="M366" s="17">
        <f t="shared" si="30"/>
        <v>20</v>
      </c>
      <c r="N366" s="17">
        <f>IF(OR(L366="",L366=0),"",Параметры!$B$3/L366)</f>
        <v>160</v>
      </c>
      <c r="O366" s="15">
        <f>IF(L366="","",IFERROR(INDEX('Почасовка — ставки и план'!$D$5:$D$24,MATCH($D366,'Почасовка — ставки и план'!$A$5:$A$24,0)),""))</f>
        <v>850</v>
      </c>
      <c r="P366" s="15">
        <f>IF(L366="","",IFERROR(INDEX('Почасовка — ставки и план'!$E$5:$E$24,MATCH($D366,'Почасовка — ставки и план'!$A$5:$A$24,0)),""))</f>
        <v>1020</v>
      </c>
      <c r="Q366" s="15">
        <f t="shared" si="31"/>
        <v>43</v>
      </c>
      <c r="R366" s="13" t="str">
        <f>IF(D366="TEX","аренда техники — сделка/счёт",IF(OR(Q366="",H366="",H366=0),"—",IF(Q366&lt;H366*(1-Параметры!$B$7),"почасовка",IF(Q366&gt;H366*(1+Параметры!$B$7),"сделка","любой способ"))))</f>
        <v>любой способ</v>
      </c>
      <c r="S366">
        <v>0</v>
      </c>
      <c r="T366">
        <v>0</v>
      </c>
    </row>
    <row r="367" spans="1:20" x14ac:dyDescent="0.25">
      <c r="A367" s="13" t="s">
        <v>788</v>
      </c>
      <c r="B367" s="13" t="s">
        <v>789</v>
      </c>
      <c r="C367" s="13" t="s">
        <v>144</v>
      </c>
      <c r="D367" s="13" t="s">
        <v>60</v>
      </c>
      <c r="E367" s="13" t="str">
        <f>IFERROR(INDEX('Почасовка — ставки и план'!$B$5:$B$24,MATCH(D367,'Почасовка — ставки и план'!$A$5:$A$24,0)),"Аренда техники / механизмы")</f>
        <v>Разнорабочий / демонтажник</v>
      </c>
      <c r="F367" s="14">
        <v>1200</v>
      </c>
      <c r="G367" s="14">
        <v>1300</v>
      </c>
      <c r="H367" s="15">
        <v>700</v>
      </c>
      <c r="I367" s="15">
        <f>IF(OR(H367="",F367=""),"",MAX(H367,MIN(ROUND(H367*(1+Параметры!$B$5),IF(H367*(1+Параметры!$B$5)&gt;=1000,-1,0)),ROUND(F367*Параметры!$B$6,IF(F367*Параметры!$B$6&gt;=1000,-1,0)))))</f>
        <v>805</v>
      </c>
      <c r="J367" s="15">
        <v>760</v>
      </c>
      <c r="K367" s="15">
        <f>IF(OR(J367="",G367=""),"",MAX(J367,MIN(ROUND(J367*(1+Параметры!$B$5),IF(J367*(1+Параметры!$B$5)&gt;=1000,-1,0)),ROUND(G367*Параметры!$B$6,IF(G367*Параметры!$B$6&gt;=1000,-1,0)))))</f>
        <v>874</v>
      </c>
      <c r="L367" s="16">
        <v>0.5</v>
      </c>
      <c r="M367" s="17">
        <f t="shared" si="30"/>
        <v>2</v>
      </c>
      <c r="N367" s="17">
        <f>IF(OR(L367="",L367=0),"",Параметры!$B$3/L367)</f>
        <v>16</v>
      </c>
      <c r="O367" s="15">
        <f>IF(L367="","",IFERROR(INDEX('Почасовка — ставки и план'!$D$5:$D$24,MATCH($D367,'Почасовка — ставки и план'!$A$5:$A$24,0)),""))</f>
        <v>550</v>
      </c>
      <c r="P367" s="15">
        <f>IF(L367="","",IFERROR(INDEX('Почасовка — ставки и план'!$E$5:$E$24,MATCH($D367,'Почасовка — ставки и план'!$A$5:$A$24,0)),""))</f>
        <v>660</v>
      </c>
      <c r="Q367" s="15">
        <f t="shared" si="31"/>
        <v>275</v>
      </c>
      <c r="R367" s="13" t="str">
        <f>IF(D367="TEX","аренда техники — сделка/счёт",IF(OR(Q367="",H367="",H367=0),"—",IF(Q367&lt;H367*(1-Параметры!$B$7),"почасовка",IF(Q367&gt;H367*(1+Параметры!$B$7),"сделка","любой способ"))))</f>
        <v>почасовка</v>
      </c>
      <c r="S367">
        <v>0</v>
      </c>
      <c r="T367">
        <v>0</v>
      </c>
    </row>
    <row r="368" spans="1:20" x14ac:dyDescent="0.25">
      <c r="A368" s="13" t="s">
        <v>790</v>
      </c>
      <c r="B368" s="13" t="s">
        <v>791</v>
      </c>
      <c r="C368" s="13" t="s">
        <v>69</v>
      </c>
      <c r="D368" s="13" t="s">
        <v>60</v>
      </c>
      <c r="E368" s="13" t="str">
        <f>IFERROR(INDEX('Почасовка — ставки и план'!$B$5:$B$24,MATCH(D368,'Почасовка — ставки и план'!$A$5:$A$24,0)),"Аренда техники / механизмы")</f>
        <v>Разнорабочий / демонтажник</v>
      </c>
      <c r="F368" s="14">
        <v>550</v>
      </c>
      <c r="G368" s="14">
        <v>630</v>
      </c>
      <c r="H368" s="15">
        <v>320</v>
      </c>
      <c r="I368" s="15">
        <f>IF(OR(H368="",F368=""),"",MAX(H368,MIN(ROUND(H368*(1+Параметры!$B$5),IF(H368*(1+Параметры!$B$5)&gt;=1000,-1,0)),ROUND(F368*Параметры!$B$6,IF(F368*Параметры!$B$6&gt;=1000,-1,0)))))</f>
        <v>368</v>
      </c>
      <c r="J368" s="15">
        <v>370</v>
      </c>
      <c r="K368" s="15">
        <f>IF(OR(J368="",G368=""),"",MAX(J368,MIN(ROUND(J368*(1+Параметры!$B$5),IF(J368*(1+Параметры!$B$5)&gt;=1000,-1,0)),ROUND(G368*Параметры!$B$6,IF(G368*Параметры!$B$6&gt;=1000,-1,0)))))</f>
        <v>426</v>
      </c>
      <c r="L368" s="16">
        <v>0.35</v>
      </c>
      <c r="M368" s="17">
        <f t="shared" si="30"/>
        <v>2.8571428571428572</v>
      </c>
      <c r="N368" s="17">
        <f>IF(OR(L368="",L368=0),"",Параметры!$B$3/L368)</f>
        <v>22.857142857142858</v>
      </c>
      <c r="O368" s="15">
        <f>IF(L368="","",IFERROR(INDEX('Почасовка — ставки и план'!$D$5:$D$24,MATCH($D368,'Почасовка — ставки и план'!$A$5:$A$24,0)),""))</f>
        <v>550</v>
      </c>
      <c r="P368" s="15">
        <f>IF(L368="","",IFERROR(INDEX('Почасовка — ставки и план'!$E$5:$E$24,MATCH($D368,'Почасовка — ставки и план'!$A$5:$A$24,0)),""))</f>
        <v>660</v>
      </c>
      <c r="Q368" s="15">
        <f t="shared" si="31"/>
        <v>193</v>
      </c>
      <c r="R368" s="13" t="str">
        <f>IF(D368="TEX","аренда техники — сделка/счёт",IF(OR(Q368="",H368="",H368=0),"—",IF(Q368&lt;H368*(1-Параметры!$B$7),"почасовка",IF(Q368&gt;H368*(1+Параметры!$B$7),"сделка","любой способ"))))</f>
        <v>почасовка</v>
      </c>
      <c r="S368">
        <v>0</v>
      </c>
      <c r="T368">
        <v>0</v>
      </c>
    </row>
    <row r="369" spans="1:20" x14ac:dyDescent="0.25">
      <c r="A369" s="13" t="s">
        <v>792</v>
      </c>
      <c r="B369" s="13" t="s">
        <v>793</v>
      </c>
      <c r="C369" s="13" t="s">
        <v>144</v>
      </c>
      <c r="D369" s="13" t="s">
        <v>299</v>
      </c>
      <c r="E369" s="13" t="str">
        <f>IFERROR(INDEX('Почасовка — ставки и план'!$B$5:$B$24,MATCH(D369,'Почасовка — ставки и план'!$A$5:$A$24,0)),"Аренда техники / механизмы")</f>
        <v>Холодильщик / монтажник кондиционеров</v>
      </c>
      <c r="F369" s="14">
        <v>1300</v>
      </c>
      <c r="G369" s="14">
        <v>1500</v>
      </c>
      <c r="H369" s="15">
        <v>750</v>
      </c>
      <c r="I369" s="15">
        <f>IF(OR(H369="",F369=""),"",MAX(H369,MIN(ROUND(H369*(1+Параметры!$B$5),IF(H369*(1+Параметры!$B$5)&gt;=1000,-1,0)),ROUND(F369*Параметры!$B$6,IF(F369*Параметры!$B$6&gt;=1000,-1,0)))))</f>
        <v>863</v>
      </c>
      <c r="J369" s="15">
        <v>870</v>
      </c>
      <c r="K369" s="15">
        <f>IF(OR(J369="",G369=""),"",MAX(J369,MIN(ROUND(J369*(1+Параметры!$B$5),IF(J369*(1+Параметры!$B$5)&gt;=1000,-1,0)),ROUND(G369*Параметры!$B$6,IF(G369*Параметры!$B$6&gt;=1000,-1,0)))))</f>
        <v>1000</v>
      </c>
      <c r="L369" s="16">
        <v>0.6</v>
      </c>
      <c r="M369" s="17">
        <f t="shared" si="30"/>
        <v>1.6666666666666667</v>
      </c>
      <c r="N369" s="17">
        <f>IF(OR(L369="",L369=0),"",Параметры!$B$3/L369)</f>
        <v>13.333333333333334</v>
      </c>
      <c r="O369" s="15">
        <f>IF(L369="","",IFERROR(INDEX('Почасовка — ставки и план'!$D$5:$D$24,MATCH($D369,'Почасовка — ставки и план'!$A$5:$A$24,0)),""))</f>
        <v>1200</v>
      </c>
      <c r="P369" s="15">
        <f>IF(L369="","",IFERROR(INDEX('Почасовка — ставки и план'!$E$5:$E$24,MATCH($D369,'Почасовка — ставки и план'!$A$5:$A$24,0)),""))</f>
        <v>1440</v>
      </c>
      <c r="Q369" s="15">
        <f t="shared" si="31"/>
        <v>720</v>
      </c>
      <c r="R369" s="13" t="str">
        <f>IF(D369="TEX","аренда техники — сделка/счёт",IF(OR(Q369="",H369="",H369=0),"—",IF(Q369&lt;H369*(1-Параметры!$B$7),"почасовка",IF(Q369&gt;H369*(1+Параметры!$B$7),"сделка","любой способ"))))</f>
        <v>любой способ</v>
      </c>
      <c r="S369">
        <v>0</v>
      </c>
      <c r="T369">
        <v>0</v>
      </c>
    </row>
    <row r="370" spans="1:20" x14ac:dyDescent="0.25">
      <c r="A370" s="13" t="s">
        <v>794</v>
      </c>
      <c r="B370" s="13" t="s">
        <v>795</v>
      </c>
      <c r="C370" s="13" t="s">
        <v>144</v>
      </c>
      <c r="D370" s="13" t="s">
        <v>299</v>
      </c>
      <c r="E370" s="13" t="str">
        <f>IFERROR(INDEX('Почасовка — ставки и план'!$B$5:$B$24,MATCH(D370,'Почасовка — ставки и план'!$A$5:$A$24,0)),"Аренда техники / механизмы")</f>
        <v>Холодильщик / монтажник кондиционеров</v>
      </c>
      <c r="F370" s="14">
        <v>1700</v>
      </c>
      <c r="G370" s="14">
        <v>1950</v>
      </c>
      <c r="H370" s="15">
        <v>1000</v>
      </c>
      <c r="I370" s="15">
        <f>IF(OR(H370="",F370=""),"",MAX(H370,MIN(ROUND(H370*(1+Параметры!$B$5),IF(H370*(1+Параметры!$B$5)&gt;=1000,-1,0)),ROUND(F370*Параметры!$B$6,IF(F370*Параметры!$B$6&gt;=1000,-1,0)))))</f>
        <v>1150</v>
      </c>
      <c r="J370" s="15">
        <v>1150</v>
      </c>
      <c r="K370" s="15">
        <f>IF(OR(J370="",G370=""),"",MAX(J370,MIN(ROUND(J370*(1+Параметры!$B$5),IF(J370*(1+Параметры!$B$5)&gt;=1000,-1,0)),ROUND(G370*Параметры!$B$6,IF(G370*Параметры!$B$6&gt;=1000,-1,0)))))</f>
        <v>1320</v>
      </c>
      <c r="L370" s="16">
        <v>0.8</v>
      </c>
      <c r="M370" s="17">
        <f t="shared" si="30"/>
        <v>1.25</v>
      </c>
      <c r="N370" s="17">
        <f>IF(OR(L370="",L370=0),"",Параметры!$B$3/L370)</f>
        <v>10</v>
      </c>
      <c r="O370" s="15">
        <f>IF(L370="","",IFERROR(INDEX('Почасовка — ставки и план'!$D$5:$D$24,MATCH($D370,'Почасовка — ставки и план'!$A$5:$A$24,0)),""))</f>
        <v>1200</v>
      </c>
      <c r="P370" s="15">
        <f>IF(L370="","",IFERROR(INDEX('Почасовка — ставки и план'!$E$5:$E$24,MATCH($D370,'Почасовка — ставки и план'!$A$5:$A$24,0)),""))</f>
        <v>1440</v>
      </c>
      <c r="Q370" s="15">
        <f t="shared" si="31"/>
        <v>960</v>
      </c>
      <c r="R370" s="13" t="str">
        <f>IF(D370="TEX","аренда техники — сделка/счёт",IF(OR(Q370="",H370="",H370=0),"—",IF(Q370&lt;H370*(1-Параметры!$B$7),"почасовка",IF(Q370&gt;H370*(1+Параметры!$B$7),"сделка","любой способ"))))</f>
        <v>любой способ</v>
      </c>
      <c r="S370">
        <v>0</v>
      </c>
      <c r="T370">
        <v>0</v>
      </c>
    </row>
    <row r="371" spans="1:20" x14ac:dyDescent="0.25">
      <c r="A371" s="13" t="s">
        <v>796</v>
      </c>
      <c r="B371" s="13" t="s">
        <v>797</v>
      </c>
      <c r="C371" s="13" t="s">
        <v>144</v>
      </c>
      <c r="D371" s="13" t="s">
        <v>299</v>
      </c>
      <c r="E371" s="13" t="str">
        <f>IFERROR(INDEX('Почасовка — ставки и план'!$B$5:$B$24,MATCH(D371,'Почасовка — ставки и план'!$A$5:$A$24,0)),"Аренда техники / механизмы")</f>
        <v>Холодильщик / монтажник кондиционеров</v>
      </c>
      <c r="F371" s="14">
        <v>2100</v>
      </c>
      <c r="G371" s="14">
        <v>2400</v>
      </c>
      <c r="H371" s="15">
        <v>1200</v>
      </c>
      <c r="I371" s="15">
        <f>IF(OR(H371="",F371=""),"",MAX(H371,MIN(ROUND(H371*(1+Параметры!$B$5),IF(H371*(1+Параметры!$B$5)&gt;=1000,-1,0)),ROUND(F371*Параметры!$B$6,IF(F371*Параметры!$B$6&gt;=1000,-1,0)))))</f>
        <v>1380</v>
      </c>
      <c r="J371" s="15">
        <v>1400</v>
      </c>
      <c r="K371" s="15">
        <f>IF(OR(J371="",G371=""),"",MAX(J371,MIN(ROUND(J371*(1+Параметры!$B$5),IF(J371*(1+Параметры!$B$5)&gt;=1000,-1,0)),ROUND(G371*Параметры!$B$6,IF(G371*Параметры!$B$6&gt;=1000,-1,0)))))</f>
        <v>1610</v>
      </c>
      <c r="L371" s="16">
        <v>1</v>
      </c>
      <c r="M371" s="17">
        <f t="shared" si="30"/>
        <v>1</v>
      </c>
      <c r="N371" s="17">
        <f>IF(OR(L371="",L371=0),"",Параметры!$B$3/L371)</f>
        <v>8</v>
      </c>
      <c r="O371" s="15">
        <f>IF(L371="","",IFERROR(INDEX('Почасовка — ставки и план'!$D$5:$D$24,MATCH($D371,'Почасовка — ставки и план'!$A$5:$A$24,0)),""))</f>
        <v>1200</v>
      </c>
      <c r="P371" s="15">
        <f>IF(L371="","",IFERROR(INDEX('Почасовка — ставки и план'!$E$5:$E$24,MATCH($D371,'Почасовка — ставки и план'!$A$5:$A$24,0)),""))</f>
        <v>1440</v>
      </c>
      <c r="Q371" s="15">
        <f t="shared" si="31"/>
        <v>1200</v>
      </c>
      <c r="R371" s="13" t="str">
        <f>IF(D371="TEX","аренда техники — сделка/счёт",IF(OR(Q371="",H371="",H371=0),"—",IF(Q371&lt;H371*(1-Параметры!$B$7),"почасовка",IF(Q371&gt;H371*(1+Параметры!$B$7),"сделка","любой способ"))))</f>
        <v>любой способ</v>
      </c>
      <c r="S371">
        <v>0</v>
      </c>
      <c r="T371">
        <v>0</v>
      </c>
    </row>
    <row r="372" spans="1:20" x14ac:dyDescent="0.25">
      <c r="A372" s="13" t="s">
        <v>798</v>
      </c>
      <c r="B372" s="13" t="s">
        <v>799</v>
      </c>
      <c r="C372" s="13" t="s">
        <v>144</v>
      </c>
      <c r="D372" s="13" t="s">
        <v>299</v>
      </c>
      <c r="E372" s="13" t="str">
        <f>IFERROR(INDEX('Почасовка — ставки и план'!$B$5:$B$24,MATCH(D372,'Почасовка — ставки и план'!$A$5:$A$24,0)),"Аренда техники / механизмы")</f>
        <v>Холодильщик / монтажник кондиционеров</v>
      </c>
      <c r="F372" s="14">
        <v>2000</v>
      </c>
      <c r="G372" s="14">
        <v>2300</v>
      </c>
      <c r="H372" s="15">
        <v>1150</v>
      </c>
      <c r="I372" s="15">
        <f>IF(OR(H372="",F372=""),"",MAX(H372,MIN(ROUND(H372*(1+Параметры!$B$5),IF(H372*(1+Параметры!$B$5)&gt;=1000,-1,0)),ROUND(F372*Параметры!$B$6,IF(F372*Параметры!$B$6&gt;=1000,-1,0)))))</f>
        <v>1320</v>
      </c>
      <c r="J372" s="15">
        <v>1350</v>
      </c>
      <c r="K372" s="15">
        <f>IF(OR(J372="",G372=""),"",MAX(J372,MIN(ROUND(J372*(1+Параметры!$B$5),IF(J372*(1+Параметры!$B$5)&gt;=1000,-1,0)),ROUND(G372*Параметры!$B$6,IF(G372*Параметры!$B$6&gt;=1000,-1,0)))))</f>
        <v>1550</v>
      </c>
      <c r="L372" s="16">
        <v>0.9</v>
      </c>
      <c r="M372" s="17">
        <f t="shared" si="30"/>
        <v>1.1111111111111112</v>
      </c>
      <c r="N372" s="17">
        <f>IF(OR(L372="",L372=0),"",Параметры!$B$3/L372)</f>
        <v>8.8888888888888893</v>
      </c>
      <c r="O372" s="15">
        <f>IF(L372="","",IFERROR(INDEX('Почасовка — ставки и план'!$D$5:$D$24,MATCH($D372,'Почасовка — ставки и план'!$A$5:$A$24,0)),""))</f>
        <v>1200</v>
      </c>
      <c r="P372" s="15">
        <f>IF(L372="","",IFERROR(INDEX('Почасовка — ставки и план'!$E$5:$E$24,MATCH($D372,'Почасовка — ставки и план'!$A$5:$A$24,0)),""))</f>
        <v>1440</v>
      </c>
      <c r="Q372" s="15">
        <f t="shared" si="31"/>
        <v>1080</v>
      </c>
      <c r="R372" s="13" t="str">
        <f>IF(D372="TEX","аренда техники — сделка/счёт",IF(OR(Q372="",H372="",H372=0),"—",IF(Q372&lt;H372*(1-Параметры!$B$7),"почасовка",IF(Q372&gt;H372*(1+Параметры!$B$7),"сделка","любой способ"))))</f>
        <v>любой способ</v>
      </c>
      <c r="S372">
        <v>0</v>
      </c>
      <c r="T372">
        <v>0</v>
      </c>
    </row>
    <row r="373" spans="1:20" x14ac:dyDescent="0.25">
      <c r="A373" s="13" t="s">
        <v>800</v>
      </c>
      <c r="B373" s="13" t="s">
        <v>801</v>
      </c>
      <c r="C373" s="13" t="s">
        <v>144</v>
      </c>
      <c r="D373" s="13" t="s">
        <v>299</v>
      </c>
      <c r="E373" s="13" t="str">
        <f>IFERROR(INDEX('Почасовка — ставки и план'!$B$5:$B$24,MATCH(D373,'Почасовка — ставки и план'!$A$5:$A$24,0)),"Аренда техники / механизмы")</f>
        <v>Холодильщик / монтажник кондиционеров</v>
      </c>
      <c r="F373" s="14">
        <v>2600</v>
      </c>
      <c r="G373" s="14">
        <v>3000</v>
      </c>
      <c r="H373" s="15">
        <v>1500</v>
      </c>
      <c r="I373" s="15">
        <f>IF(OR(H373="",F373=""),"",MAX(H373,MIN(ROUND(H373*(1+Параметры!$B$5),IF(H373*(1+Параметры!$B$5)&gt;=1000,-1,0)),ROUND(F373*Параметры!$B$6,IF(F373*Параметры!$B$6&gt;=1000,-1,0)))))</f>
        <v>1730</v>
      </c>
      <c r="J373" s="15">
        <v>1750</v>
      </c>
      <c r="K373" s="15">
        <f>IF(OR(J373="",G373=""),"",MAX(J373,MIN(ROUND(J373*(1+Параметры!$B$5),IF(J373*(1+Параметры!$B$5)&gt;=1000,-1,0)),ROUND(G373*Параметры!$B$6,IF(G373*Параметры!$B$6&gt;=1000,-1,0)))))</f>
        <v>2010</v>
      </c>
      <c r="L373" s="16">
        <v>1.2</v>
      </c>
      <c r="M373" s="17">
        <f t="shared" si="30"/>
        <v>0.83333333333333337</v>
      </c>
      <c r="N373" s="17">
        <f>IF(OR(L373="",L373=0),"",Параметры!$B$3/L373)</f>
        <v>6.666666666666667</v>
      </c>
      <c r="O373" s="15">
        <f>IF(L373="","",IFERROR(INDEX('Почасовка — ставки и план'!$D$5:$D$24,MATCH($D373,'Почасовка — ставки и план'!$A$5:$A$24,0)),""))</f>
        <v>1200</v>
      </c>
      <c r="P373" s="15">
        <f>IF(L373="","",IFERROR(INDEX('Почасовка — ставки и план'!$E$5:$E$24,MATCH($D373,'Почасовка — ставки и план'!$A$5:$A$24,0)),""))</f>
        <v>1440</v>
      </c>
      <c r="Q373" s="15">
        <f t="shared" si="31"/>
        <v>1440</v>
      </c>
      <c r="R373" s="13" t="str">
        <f>IF(D373="TEX","аренда техники — сделка/счёт",IF(OR(Q373="",H373="",H373=0),"—",IF(Q373&lt;H373*(1-Параметры!$B$7),"почасовка",IF(Q373&gt;H373*(1+Параметры!$B$7),"сделка","любой способ"))))</f>
        <v>любой способ</v>
      </c>
      <c r="S373">
        <v>0</v>
      </c>
      <c r="T373">
        <v>0</v>
      </c>
    </row>
    <row r="374" spans="1:20" x14ac:dyDescent="0.25">
      <c r="A374" s="13" t="s">
        <v>802</v>
      </c>
      <c r="B374" s="13" t="s">
        <v>803</v>
      </c>
      <c r="C374" s="13" t="s">
        <v>144</v>
      </c>
      <c r="D374" s="13" t="s">
        <v>299</v>
      </c>
      <c r="E374" s="13" t="str">
        <f>IFERROR(INDEX('Почасовка — ставки и план'!$B$5:$B$24,MATCH(D374,'Почасовка — ставки и план'!$A$5:$A$24,0)),"Аренда техники / механизмы")</f>
        <v>Холодильщик / монтажник кондиционеров</v>
      </c>
      <c r="F374" s="14">
        <v>3200</v>
      </c>
      <c r="G374" s="14">
        <v>3700</v>
      </c>
      <c r="H374" s="15">
        <v>1850</v>
      </c>
      <c r="I374" s="15">
        <f>IF(OR(H374="",F374=""),"",MAX(H374,MIN(ROUND(H374*(1+Параметры!$B$5),IF(H374*(1+Параметры!$B$5)&gt;=1000,-1,0)),ROUND(F374*Параметры!$B$6,IF(F374*Параметры!$B$6&gt;=1000,-1,0)))))</f>
        <v>2130</v>
      </c>
      <c r="J374" s="15">
        <v>2150</v>
      </c>
      <c r="K374" s="15">
        <f>IF(OR(J374="",G374=""),"",MAX(J374,MIN(ROUND(J374*(1+Параметры!$B$5),IF(J374*(1+Параметры!$B$5)&gt;=1000,-1,0)),ROUND(G374*Параметры!$B$6,IF(G374*Параметры!$B$6&gt;=1000,-1,0)))))</f>
        <v>2470</v>
      </c>
      <c r="L374" s="16">
        <v>1.5</v>
      </c>
      <c r="M374" s="17">
        <f t="shared" si="30"/>
        <v>0.66666666666666663</v>
      </c>
      <c r="N374" s="17">
        <f>IF(OR(L374="",L374=0),"",Параметры!$B$3/L374)</f>
        <v>5.333333333333333</v>
      </c>
      <c r="O374" s="15">
        <f>IF(L374="","",IFERROR(INDEX('Почасовка — ставки и план'!$D$5:$D$24,MATCH($D374,'Почасовка — ставки и план'!$A$5:$A$24,0)),""))</f>
        <v>1200</v>
      </c>
      <c r="P374" s="15">
        <f>IF(L374="","",IFERROR(INDEX('Почасовка — ставки и план'!$E$5:$E$24,MATCH($D374,'Почасовка — ставки и план'!$A$5:$A$24,0)),""))</f>
        <v>1440</v>
      </c>
      <c r="Q374" s="15">
        <f t="shared" si="31"/>
        <v>1800</v>
      </c>
      <c r="R374" s="13" t="str">
        <f>IF(D374="TEX","аренда техники — сделка/счёт",IF(OR(Q374="",H374="",H374=0),"—",IF(Q374&lt;H374*(1-Параметры!$B$7),"почасовка",IF(Q374&gt;H374*(1+Параметры!$B$7),"сделка","любой способ"))))</f>
        <v>любой способ</v>
      </c>
      <c r="S374">
        <v>0</v>
      </c>
      <c r="T374">
        <v>0</v>
      </c>
    </row>
    <row r="375" spans="1:20" x14ac:dyDescent="0.25">
      <c r="A375" s="13" t="s">
        <v>804</v>
      </c>
      <c r="B375" s="13" t="s">
        <v>805</v>
      </c>
      <c r="C375" s="13" t="s">
        <v>144</v>
      </c>
      <c r="D375" s="13" t="s">
        <v>299</v>
      </c>
      <c r="E375" s="13" t="str">
        <f>IFERROR(INDEX('Почасовка — ставки и план'!$B$5:$B$24,MATCH(D375,'Почасовка — ставки и план'!$A$5:$A$24,0)),"Аренда техники / механизмы")</f>
        <v>Холодильщик / монтажник кондиционеров</v>
      </c>
      <c r="F375" s="14">
        <v>500</v>
      </c>
      <c r="G375" s="14">
        <v>580</v>
      </c>
      <c r="H375" s="15">
        <v>290</v>
      </c>
      <c r="I375" s="15">
        <f>IF(OR(H375="",F375=""),"",MAX(H375,MIN(ROUND(H375*(1+Параметры!$B$5),IF(H375*(1+Параметры!$B$5)&gt;=1000,-1,0)),ROUND(F375*Параметры!$B$6,IF(F375*Параметры!$B$6&gt;=1000,-1,0)))))</f>
        <v>334</v>
      </c>
      <c r="J375" s="15">
        <v>340</v>
      </c>
      <c r="K375" s="15">
        <f>IF(OR(J375="",G375=""),"",MAX(J375,MIN(ROUND(J375*(1+Параметры!$B$5),IF(J375*(1+Параметры!$B$5)&gt;=1000,-1,0)),ROUND(G375*Параметры!$B$6,IF(G375*Параметры!$B$6&gt;=1000,-1,0)))))</f>
        <v>391</v>
      </c>
      <c r="L375" s="16">
        <v>0.3</v>
      </c>
      <c r="M375" s="17">
        <f t="shared" si="30"/>
        <v>3.3333333333333335</v>
      </c>
      <c r="N375" s="17">
        <f>IF(OR(L375="",L375=0),"",Параметры!$B$3/L375)</f>
        <v>26.666666666666668</v>
      </c>
      <c r="O375" s="15">
        <f>IF(L375="","",IFERROR(INDEX('Почасовка — ставки и план'!$D$5:$D$24,MATCH($D375,'Почасовка — ставки и план'!$A$5:$A$24,0)),""))</f>
        <v>1200</v>
      </c>
      <c r="P375" s="15">
        <f>IF(L375="","",IFERROR(INDEX('Почасовка — ставки и план'!$E$5:$E$24,MATCH($D375,'Почасовка — ставки и план'!$A$5:$A$24,0)),""))</f>
        <v>1440</v>
      </c>
      <c r="Q375" s="15">
        <f t="shared" si="31"/>
        <v>360</v>
      </c>
      <c r="R375" s="13" t="str">
        <f>IF(D375="TEX","аренда техники — сделка/счёт",IF(OR(Q375="",H375="",H375=0),"—",IF(Q375&lt;H375*(1-Параметры!$B$7),"почасовка",IF(Q375&gt;H375*(1+Параметры!$B$7),"сделка","любой способ"))))</f>
        <v>сделка</v>
      </c>
      <c r="S375">
        <v>0</v>
      </c>
      <c r="T375">
        <v>0</v>
      </c>
    </row>
    <row r="376" spans="1:20" x14ac:dyDescent="0.25">
      <c r="A376" s="13" t="s">
        <v>806</v>
      </c>
      <c r="B376" s="13" t="s">
        <v>807</v>
      </c>
      <c r="C376" s="13" t="s">
        <v>144</v>
      </c>
      <c r="D376" s="13" t="s">
        <v>299</v>
      </c>
      <c r="E376" s="13" t="str">
        <f>IFERROR(INDEX('Почасовка — ставки и план'!$B$5:$B$24,MATCH(D376,'Почасовка — ставки и план'!$A$5:$A$24,0)),"Аренда техники / механизмы")</f>
        <v>Холодильщик / монтажник кондиционеров</v>
      </c>
      <c r="F376" s="14">
        <v>720</v>
      </c>
      <c r="G376" s="14">
        <v>864</v>
      </c>
      <c r="H376" s="15">
        <v>400</v>
      </c>
      <c r="I376" s="15">
        <f>IF(OR(H376="",F376=""),"",MAX(H376,MIN(ROUND(H376*(1+Параметры!$B$5),IF(H376*(1+Параметры!$B$5)&gt;=1000,-1,0)),ROUND(F376*Параметры!$B$6,IF(F376*Параметры!$B$6&gt;=1000,-1,0)))))</f>
        <v>460</v>
      </c>
      <c r="J376" s="15">
        <v>460</v>
      </c>
      <c r="K376" s="15">
        <f>IF(OR(J376="",G376=""),"",MAX(J376,MIN(ROUND(J376*(1+Параметры!$B$5),IF(J376*(1+Параметры!$B$5)&gt;=1000,-1,0)),ROUND(G376*Параметры!$B$6,IF(G376*Параметры!$B$6&gt;=1000,-1,0)))))</f>
        <v>529</v>
      </c>
      <c r="L376" s="16">
        <v>0.45</v>
      </c>
      <c r="M376" s="17">
        <f t="shared" si="30"/>
        <v>2.2222222222222223</v>
      </c>
      <c r="N376" s="17">
        <f>IF(OR(L376="",L376=0),"",Параметры!$B$3/L376)</f>
        <v>17.777777777777779</v>
      </c>
      <c r="O376" s="15">
        <f>IF(L376="","",IFERROR(INDEX('Почасовка — ставки и план'!$D$5:$D$24,MATCH($D376,'Почасовка — ставки и план'!$A$5:$A$24,0)),""))</f>
        <v>1200</v>
      </c>
      <c r="P376" s="15">
        <f>IF(L376="","",IFERROR(INDEX('Почасовка — ставки и план'!$E$5:$E$24,MATCH($D376,'Почасовка — ставки и план'!$A$5:$A$24,0)),""))</f>
        <v>1440</v>
      </c>
      <c r="Q376" s="15">
        <f t="shared" si="31"/>
        <v>540</v>
      </c>
      <c r="R376" s="13" t="str">
        <f>IF(D376="TEX","аренда техники — сделка/счёт",IF(OR(Q376="",H376="",H376=0),"—",IF(Q376&lt;H376*(1-Параметры!$B$7),"почасовка",IF(Q376&gt;H376*(1+Параметры!$B$7),"сделка","любой способ"))))</f>
        <v>сделка</v>
      </c>
      <c r="S376">
        <v>2.857142857142847E-2</v>
      </c>
      <c r="T376">
        <v>8.0000000000000071E-2</v>
      </c>
    </row>
    <row r="377" spans="1:20" x14ac:dyDescent="0.25">
      <c r="A377" s="13" t="s">
        <v>808</v>
      </c>
      <c r="B377" s="13" t="s">
        <v>809</v>
      </c>
      <c r="C377" s="13" t="s">
        <v>144</v>
      </c>
      <c r="D377" s="13" t="s">
        <v>299</v>
      </c>
      <c r="E377" s="13" t="str">
        <f>IFERROR(INDEX('Почасовка — ставки и план'!$B$5:$B$24,MATCH(D377,'Почасовка — ставки и план'!$A$5:$A$24,0)),"Аренда техники / механизмы")</f>
        <v>Холодильщик / монтажник кондиционеров</v>
      </c>
      <c r="F377" s="14">
        <v>900</v>
      </c>
      <c r="G377" s="14">
        <v>1056</v>
      </c>
      <c r="H377" s="15">
        <v>520</v>
      </c>
      <c r="I377" s="15">
        <f>IF(OR(H377="",F377=""),"",MAX(H377,MIN(ROUND(H377*(1+Параметры!$B$5),IF(H377*(1+Параметры!$B$5)&gt;=1000,-1,0)),ROUND(F377*Параметры!$B$6,IF(F377*Параметры!$B$6&gt;=1000,-1,0)))))</f>
        <v>598</v>
      </c>
      <c r="J377" s="15">
        <v>600</v>
      </c>
      <c r="K377" s="15">
        <f>IF(OR(J377="",G377=""),"",MAX(J377,MIN(ROUND(J377*(1+Параметры!$B$5),IF(J377*(1+Параметры!$B$5)&gt;=1000,-1,0)),ROUND(G377*Параметры!$B$6,IF(G377*Параметры!$B$6&gt;=1000,-1,0)))))</f>
        <v>690</v>
      </c>
      <c r="L377" s="16">
        <v>0.55000000000000004</v>
      </c>
      <c r="M377" s="17">
        <f t="shared" si="30"/>
        <v>1.8181818181818181</v>
      </c>
      <c r="N377" s="17">
        <f>IF(OR(L377="",L377=0),"",Параметры!$B$3/L377)</f>
        <v>14.545454545454545</v>
      </c>
      <c r="O377" s="15">
        <f>IF(L377="","",IFERROR(INDEX('Почасовка — ставки и план'!$D$5:$D$24,MATCH($D377,'Почасовка — ставки и план'!$A$5:$A$24,0)),""))</f>
        <v>1200</v>
      </c>
      <c r="P377" s="15">
        <f>IF(L377="","",IFERROR(INDEX('Почасовка — ставки и план'!$E$5:$E$24,MATCH($D377,'Почасовка — ставки и план'!$A$5:$A$24,0)),""))</f>
        <v>1440</v>
      </c>
      <c r="Q377" s="15">
        <f t="shared" si="31"/>
        <v>660</v>
      </c>
      <c r="R377" s="13" t="str">
        <f>IF(D377="TEX","аренда техники — сделка/счёт",IF(OR(Q377="",H377="",H377=0),"—",IF(Q377&lt;H377*(1-Параметры!$B$7),"почасовка",IF(Q377&gt;H377*(1+Параметры!$B$7),"сделка","любой способ"))))</f>
        <v>сделка</v>
      </c>
      <c r="S377">
        <v>0</v>
      </c>
      <c r="T377">
        <v>5.7142857142857828E-3</v>
      </c>
    </row>
    <row r="378" spans="1:20" x14ac:dyDescent="0.25">
      <c r="A378" s="13" t="s">
        <v>810</v>
      </c>
      <c r="B378" s="13" t="s">
        <v>811</v>
      </c>
      <c r="C378" s="13" t="s">
        <v>144</v>
      </c>
      <c r="D378" s="13" t="s">
        <v>299</v>
      </c>
      <c r="E378" s="13" t="str">
        <f>IFERROR(INDEX('Почасовка — ставки и план'!$B$5:$B$24,MATCH(D378,'Почасовка — ставки и план'!$A$5:$A$24,0)),"Аренда техники / механизмы")</f>
        <v>Холодильщик / монтажник кондиционеров</v>
      </c>
      <c r="F378" s="14">
        <v>750</v>
      </c>
      <c r="G378" s="14">
        <v>864</v>
      </c>
      <c r="H378" s="15">
        <v>430</v>
      </c>
      <c r="I378" s="15">
        <f>IF(OR(H378="",F378=""),"",MAX(H378,MIN(ROUND(H378*(1+Параметры!$B$5),IF(H378*(1+Параметры!$B$5)&gt;=1000,-1,0)),ROUND(F378*Параметры!$B$6,IF(F378*Параметры!$B$6&gt;=1000,-1,0)))))</f>
        <v>495</v>
      </c>
      <c r="J378" s="15">
        <v>500</v>
      </c>
      <c r="K378" s="15">
        <f>IF(OR(J378="",G378=""),"",MAX(J378,MIN(ROUND(J378*(1+Параметры!$B$5),IF(J378*(1+Параметры!$B$5)&gt;=1000,-1,0)),ROUND(G378*Параметры!$B$6,IF(G378*Параметры!$B$6&gt;=1000,-1,0)))))</f>
        <v>575</v>
      </c>
      <c r="L378" s="16">
        <v>0.45</v>
      </c>
      <c r="M378" s="17">
        <f t="shared" si="30"/>
        <v>2.2222222222222223</v>
      </c>
      <c r="N378" s="17">
        <f>IF(OR(L378="",L378=0),"",Параметры!$B$3/L378)</f>
        <v>17.777777777777779</v>
      </c>
      <c r="O378" s="15">
        <f>IF(L378="","",IFERROR(INDEX('Почасовка — ставки и план'!$D$5:$D$24,MATCH($D378,'Почасовка — ставки и план'!$A$5:$A$24,0)),""))</f>
        <v>1200</v>
      </c>
      <c r="P378" s="15">
        <f>IF(L378="","",IFERROR(INDEX('Почасовка — ставки и план'!$E$5:$E$24,MATCH($D378,'Почасовка — ставки и план'!$A$5:$A$24,0)),""))</f>
        <v>1440</v>
      </c>
      <c r="Q378" s="15">
        <f t="shared" si="31"/>
        <v>540</v>
      </c>
      <c r="R378" s="13" t="str">
        <f>IF(D378="TEX","аренда техники — сделка/счёт",IF(OR(Q378="",H378="",H378=0),"—",IF(Q378&lt;H378*(1-Параметры!$B$7),"почасовка",IF(Q378&gt;H378*(1+Параметры!$B$7),"сделка","любой способ"))))</f>
        <v>сделка</v>
      </c>
      <c r="S378">
        <v>0</v>
      </c>
      <c r="T378">
        <v>4.6511627906977706E-3</v>
      </c>
    </row>
    <row r="379" spans="1:20" x14ac:dyDescent="0.25">
      <c r="A379" s="13" t="s">
        <v>812</v>
      </c>
      <c r="B379" s="13" t="s">
        <v>813</v>
      </c>
      <c r="C379" s="13" t="s">
        <v>144</v>
      </c>
      <c r="D379" s="13" t="s">
        <v>299</v>
      </c>
      <c r="E379" s="13" t="str">
        <f>IFERROR(INDEX('Почасовка — ставки и план'!$B$5:$B$24,MATCH(D379,'Почасовка — ставки и план'!$A$5:$A$24,0)),"Аренда техники / механизмы")</f>
        <v>Холодильщик / монтажник кондиционеров</v>
      </c>
      <c r="F379" s="14">
        <v>1040</v>
      </c>
      <c r="G379" s="14">
        <v>1248</v>
      </c>
      <c r="H379" s="15">
        <v>580</v>
      </c>
      <c r="I379" s="15">
        <f>IF(OR(H379="",F379=""),"",MAX(H379,MIN(ROUND(H379*(1+Параметры!$B$5),IF(H379*(1+Параметры!$B$5)&gt;=1000,-1,0)),ROUND(F379*Параметры!$B$6,IF(F379*Параметры!$B$6&gt;=1000,-1,0)))))</f>
        <v>667</v>
      </c>
      <c r="J379" s="15">
        <v>670</v>
      </c>
      <c r="K379" s="15">
        <f>IF(OR(J379="",G379=""),"",MAX(J379,MIN(ROUND(J379*(1+Параметры!$B$5),IF(J379*(1+Параметры!$B$5)&gt;=1000,-1,0)),ROUND(G379*Параметры!$B$6,IF(G379*Параметры!$B$6&gt;=1000,-1,0)))))</f>
        <v>771</v>
      </c>
      <c r="L379" s="16">
        <v>0.65</v>
      </c>
      <c r="M379" s="17">
        <f t="shared" si="30"/>
        <v>1.5384615384615383</v>
      </c>
      <c r="N379" s="17">
        <f>IF(OR(L379="",L379=0),"",Параметры!$B$3/L379)</f>
        <v>12.307692307692307</v>
      </c>
      <c r="O379" s="15">
        <f>IF(L379="","",IFERROR(INDEX('Почасовка — ставки и план'!$D$5:$D$24,MATCH($D379,'Почасовка — ставки и план'!$A$5:$A$24,0)),""))</f>
        <v>1200</v>
      </c>
      <c r="P379" s="15">
        <f>IF(L379="","",IFERROR(INDEX('Почасовка — ставки и план'!$E$5:$E$24,MATCH($D379,'Почасовка — ставки и план'!$A$5:$A$24,0)),""))</f>
        <v>1440</v>
      </c>
      <c r="Q379" s="15">
        <f t="shared" si="31"/>
        <v>780</v>
      </c>
      <c r="R379" s="13" t="str">
        <f>IF(D379="TEX","аренда техники — сделка/счёт",IF(OR(Q379="",H379="",H379=0),"—",IF(Q379&lt;H379*(1-Параметры!$B$7),"почасовка",IF(Q379&gt;H379*(1+Параметры!$B$7),"сделка","любой способ"))))</f>
        <v>сделка</v>
      </c>
      <c r="S379">
        <v>4.0000000000000042E-2</v>
      </c>
      <c r="T379">
        <v>8.5217391304347911E-2</v>
      </c>
    </row>
    <row r="380" spans="1:20" x14ac:dyDescent="0.25">
      <c r="A380" s="13" t="s">
        <v>814</v>
      </c>
      <c r="B380" s="13" t="s">
        <v>815</v>
      </c>
      <c r="C380" s="13" t="s">
        <v>144</v>
      </c>
      <c r="D380" s="13" t="s">
        <v>299</v>
      </c>
      <c r="E380" s="13" t="str">
        <f>IFERROR(INDEX('Почасовка — ставки и план'!$B$5:$B$24,MATCH(D380,'Почасовка — ставки и план'!$A$5:$A$24,0)),"Аренда техники / механизмы")</f>
        <v>Холодильщик / монтажник кондиционеров</v>
      </c>
      <c r="F380" s="14">
        <v>1300</v>
      </c>
      <c r="G380" s="14">
        <v>1536</v>
      </c>
      <c r="H380" s="15">
        <v>750</v>
      </c>
      <c r="I380" s="15">
        <f>IF(OR(H380="",F380=""),"",MAX(H380,MIN(ROUND(H380*(1+Параметры!$B$5),IF(H380*(1+Параметры!$B$5)&gt;=1000,-1,0)),ROUND(F380*Параметры!$B$6,IF(F380*Параметры!$B$6&gt;=1000,-1,0)))))</f>
        <v>863</v>
      </c>
      <c r="J380" s="15">
        <v>870</v>
      </c>
      <c r="K380" s="15">
        <f>IF(OR(J380="",G380=""),"",MAX(J380,MIN(ROUND(J380*(1+Параметры!$B$5),IF(J380*(1+Параметры!$B$5)&gt;=1000,-1,0)),ROUND(G380*Параметры!$B$6,IF(G380*Параметры!$B$6&gt;=1000,-1,0)))))</f>
        <v>1000</v>
      </c>
      <c r="L380" s="16">
        <v>0.8</v>
      </c>
      <c r="M380" s="17">
        <f t="shared" si="30"/>
        <v>1.25</v>
      </c>
      <c r="N380" s="17">
        <f>IF(OR(L380="",L380=0),"",Параметры!$B$3/L380)</f>
        <v>10</v>
      </c>
      <c r="O380" s="15">
        <f>IF(L380="","",IFERROR(INDEX('Почасовка — ставки и план'!$D$5:$D$24,MATCH($D380,'Почасовка — ставки и план'!$A$5:$A$24,0)),""))</f>
        <v>1200</v>
      </c>
      <c r="P380" s="15">
        <f>IF(L380="","",IFERROR(INDEX('Почасовка — ставки и план'!$E$5:$E$24,MATCH($D380,'Почасовка — ставки и план'!$A$5:$A$24,0)),""))</f>
        <v>1440</v>
      </c>
      <c r="Q380" s="15">
        <f t="shared" si="31"/>
        <v>960</v>
      </c>
      <c r="R380" s="13" t="str">
        <f>IF(D380="TEX","аренда техники — сделка/счёт",IF(OR(Q380="",H380="",H380=0),"—",IF(Q380&lt;H380*(1-Параметры!$B$7),"почасовка",IF(Q380&gt;H380*(1+Параметры!$B$7),"сделка","любой способ"))))</f>
        <v>сделка</v>
      </c>
      <c r="S380">
        <v>0</v>
      </c>
      <c r="T380">
        <v>2.4000000000000021E-2</v>
      </c>
    </row>
    <row r="381" spans="1:20" x14ac:dyDescent="0.25">
      <c r="A381" s="13" t="s">
        <v>816</v>
      </c>
      <c r="B381" s="13" t="s">
        <v>817</v>
      </c>
      <c r="C381" s="13" t="s">
        <v>69</v>
      </c>
      <c r="D381" s="13" t="s">
        <v>60</v>
      </c>
      <c r="E381" s="13" t="str">
        <f>IFERROR(INDEX('Почасовка — ставки и план'!$B$5:$B$24,MATCH(D381,'Почасовка — ставки и план'!$A$5:$A$24,0)),"Аренда техники / механизмы")</f>
        <v>Разнорабочий / демонтажник</v>
      </c>
      <c r="F381" s="14">
        <v>900</v>
      </c>
      <c r="G381" s="14">
        <v>1050</v>
      </c>
      <c r="H381" s="15">
        <v>520</v>
      </c>
      <c r="I381" s="15">
        <f>IF(OR(H381="",F381=""),"",MAX(H381,MIN(ROUND(H381*(1+Параметры!$B$5),IF(H381*(1+Параметры!$B$5)&gt;=1000,-1,0)),ROUND(F381*Параметры!$B$6,IF(F381*Параметры!$B$6&gt;=1000,-1,0)))))</f>
        <v>598</v>
      </c>
      <c r="J381" s="15">
        <v>600</v>
      </c>
      <c r="K381" s="15">
        <f>IF(OR(J381="",G381=""),"",MAX(J381,MIN(ROUND(J381*(1+Параметры!$B$5),IF(J381*(1+Параметры!$B$5)&gt;=1000,-1,0)),ROUND(G381*Параметры!$B$6,IF(G381*Параметры!$B$6&gt;=1000,-1,0)))))</f>
        <v>690</v>
      </c>
      <c r="L381" s="16">
        <v>0.7</v>
      </c>
      <c r="M381" s="17">
        <f t="shared" si="30"/>
        <v>1.4285714285714286</v>
      </c>
      <c r="N381" s="17">
        <f>IF(OR(L381="",L381=0),"",Параметры!$B$3/L381)</f>
        <v>11.428571428571429</v>
      </c>
      <c r="O381" s="15">
        <f>IF(L381="","",IFERROR(INDEX('Почасовка — ставки и план'!$D$5:$D$24,MATCH($D381,'Почасовка — ставки и план'!$A$5:$A$24,0)),""))</f>
        <v>550</v>
      </c>
      <c r="P381" s="15">
        <f>IF(L381="","",IFERROR(INDEX('Почасовка — ставки и план'!$E$5:$E$24,MATCH($D381,'Почасовка — ставки и план'!$A$5:$A$24,0)),""))</f>
        <v>660</v>
      </c>
      <c r="Q381" s="15">
        <f t="shared" si="31"/>
        <v>385</v>
      </c>
      <c r="R381" s="13" t="str">
        <f>IF(D381="TEX","аренда техники — сделка/счёт",IF(OR(Q381="",H381="",H381=0),"—",IF(Q381&lt;H381*(1-Параметры!$B$7),"почасовка",IF(Q381&gt;H381*(1+Параметры!$B$7),"сделка","любой способ"))))</f>
        <v>почасовка</v>
      </c>
      <c r="S381">
        <v>0</v>
      </c>
      <c r="T381">
        <v>0</v>
      </c>
    </row>
    <row r="382" spans="1:20" x14ac:dyDescent="0.25">
      <c r="A382" s="13" t="s">
        <v>818</v>
      </c>
      <c r="B382" s="13" t="s">
        <v>819</v>
      </c>
      <c r="C382" s="13" t="s">
        <v>69</v>
      </c>
      <c r="D382" s="13" t="s">
        <v>60</v>
      </c>
      <c r="E382" s="13" t="str">
        <f>IFERROR(INDEX('Почасовка — ставки и план'!$B$5:$B$24,MATCH(D382,'Почасовка — ставки и план'!$A$5:$A$24,0)),"Аренда техники / механизмы")</f>
        <v>Разнорабочий / демонтажник</v>
      </c>
      <c r="F382" s="14">
        <v>1400</v>
      </c>
      <c r="G382" s="14">
        <v>1600</v>
      </c>
      <c r="H382" s="15">
        <v>800</v>
      </c>
      <c r="I382" s="15">
        <f>IF(OR(H382="",F382=""),"",MAX(H382,MIN(ROUND(H382*(1+Параметры!$B$5),IF(H382*(1+Параметры!$B$5)&gt;=1000,-1,0)),ROUND(F382*Параметры!$B$6,IF(F382*Параметры!$B$6&gt;=1000,-1,0)))))</f>
        <v>920</v>
      </c>
      <c r="J382" s="15">
        <v>920</v>
      </c>
      <c r="K382" s="15">
        <f>IF(OR(J382="",G382=""),"",MAX(J382,MIN(ROUND(J382*(1+Параметры!$B$5),IF(J382*(1+Параметры!$B$5)&gt;=1000,-1,0)),ROUND(G382*Параметры!$B$6,IF(G382*Параметры!$B$6&gt;=1000,-1,0)))))</f>
        <v>1060</v>
      </c>
      <c r="L382" s="16">
        <v>1.2</v>
      </c>
      <c r="M382" s="17">
        <f t="shared" si="30"/>
        <v>0.83333333333333337</v>
      </c>
      <c r="N382" s="17">
        <f>IF(OR(L382="",L382=0),"",Параметры!$B$3/L382)</f>
        <v>6.666666666666667</v>
      </c>
      <c r="O382" s="15">
        <f>IF(L382="","",IFERROR(INDEX('Почасовка — ставки и план'!$D$5:$D$24,MATCH($D382,'Почасовка — ставки и план'!$A$5:$A$24,0)),""))</f>
        <v>550</v>
      </c>
      <c r="P382" s="15">
        <f>IF(L382="","",IFERROR(INDEX('Почасовка — ставки и план'!$E$5:$E$24,MATCH($D382,'Почасовка — ставки и план'!$A$5:$A$24,0)),""))</f>
        <v>660</v>
      </c>
      <c r="Q382" s="15">
        <f t="shared" si="31"/>
        <v>660</v>
      </c>
      <c r="R382" s="13" t="str">
        <f>IF(D382="TEX","аренда техники — сделка/счёт",IF(OR(Q382="",H382="",H382=0),"—",IF(Q382&lt;H382*(1-Параметры!$B$7),"почасовка",IF(Q382&gt;H382*(1+Параметры!$B$7),"сделка","любой способ"))))</f>
        <v>почасовка</v>
      </c>
      <c r="S382">
        <v>0</v>
      </c>
      <c r="T382">
        <v>0</v>
      </c>
    </row>
    <row r="383" spans="1:20" x14ac:dyDescent="0.25">
      <c r="A383" s="13" t="s">
        <v>820</v>
      </c>
      <c r="B383" s="13" t="s">
        <v>821</v>
      </c>
      <c r="C383" s="13" t="s">
        <v>72</v>
      </c>
      <c r="D383" s="13" t="s">
        <v>60</v>
      </c>
      <c r="E383" s="13" t="str">
        <f>IFERROR(INDEX('Почасовка — ставки и план'!$B$5:$B$24,MATCH(D383,'Почасовка — ставки и план'!$A$5:$A$24,0)),"Аренда техники / механизмы")</f>
        <v>Разнорабочий / демонтажник</v>
      </c>
      <c r="F383" s="14">
        <v>70</v>
      </c>
      <c r="G383" s="14">
        <v>80</v>
      </c>
      <c r="H383" s="15">
        <v>40</v>
      </c>
      <c r="I383" s="15">
        <f>IF(OR(H383="",F383=""),"",MAX(H383,MIN(ROUND(H383*(1+Параметры!$B$5),IF(H383*(1+Параметры!$B$5)&gt;=1000,-1,0)),ROUND(F383*Параметры!$B$6,IF(F383*Параметры!$B$6&gt;=1000,-1,0)))))</f>
        <v>46</v>
      </c>
      <c r="J383" s="15">
        <v>46</v>
      </c>
      <c r="K383" s="15">
        <f>IF(OR(J383="",G383=""),"",MAX(J383,MIN(ROUND(J383*(1+Параметры!$B$5),IF(J383*(1+Параметры!$B$5)&gt;=1000,-1,0)),ROUND(G383*Параметры!$B$6,IF(G383*Параметры!$B$6&gt;=1000,-1,0)))))</f>
        <v>53</v>
      </c>
      <c r="L383" s="16">
        <v>0.06</v>
      </c>
      <c r="M383" s="17">
        <f t="shared" si="30"/>
        <v>16.666666666666668</v>
      </c>
      <c r="N383" s="17">
        <f>IF(OR(L383="",L383=0),"",Параметры!$B$3/L383)</f>
        <v>133.33333333333334</v>
      </c>
      <c r="O383" s="15">
        <f>IF(L383="","",IFERROR(INDEX('Почасовка — ставки и план'!$D$5:$D$24,MATCH($D383,'Почасовка — ставки и план'!$A$5:$A$24,0)),""))</f>
        <v>550</v>
      </c>
      <c r="P383" s="15">
        <f>IF(L383="","",IFERROR(INDEX('Почасовка — ставки и план'!$E$5:$E$24,MATCH($D383,'Почасовка — ставки и план'!$A$5:$A$24,0)),""))</f>
        <v>660</v>
      </c>
      <c r="Q383" s="15">
        <f t="shared" si="31"/>
        <v>33</v>
      </c>
      <c r="R383" s="13" t="str">
        <f>IF(D383="TEX","аренда техники — сделка/счёт",IF(OR(Q383="",H383="",H383=0),"—",IF(Q383&lt;H383*(1-Параметры!$B$7),"почасовка",IF(Q383&gt;H383*(1+Параметры!$B$7),"сделка","любой способ"))))</f>
        <v>почасовка</v>
      </c>
      <c r="S383">
        <v>0</v>
      </c>
      <c r="T383">
        <v>0</v>
      </c>
    </row>
    <row r="384" spans="1:20" x14ac:dyDescent="0.25">
      <c r="A384" s="13" t="s">
        <v>822</v>
      </c>
      <c r="B384" s="13" t="s">
        <v>823</v>
      </c>
      <c r="C384" s="13" t="s">
        <v>72</v>
      </c>
      <c r="D384" s="13" t="s">
        <v>60</v>
      </c>
      <c r="E384" s="13" t="str">
        <f>IFERROR(INDEX('Почасовка — ставки и план'!$B$5:$B$24,MATCH(D384,'Почасовка — ставки и план'!$A$5:$A$24,0)),"Аренда техники / механизмы")</f>
        <v>Разнорабочий / демонтажник</v>
      </c>
      <c r="F384" s="14">
        <v>45</v>
      </c>
      <c r="G384" s="14">
        <v>52</v>
      </c>
      <c r="H384" s="15">
        <v>25</v>
      </c>
      <c r="I384" s="15">
        <f>IF(OR(H384="",F384=""),"",MAX(H384,MIN(ROUND(H384*(1+Параметры!$B$5),IF(H384*(1+Параметры!$B$5)&gt;=1000,-1,0)),ROUND(F384*Параметры!$B$6,IF(F384*Параметры!$B$6&gt;=1000,-1,0)))))</f>
        <v>29</v>
      </c>
      <c r="J384" s="15">
        <v>29</v>
      </c>
      <c r="K384" s="15">
        <f>IF(OR(J384="",G384=""),"",MAX(J384,MIN(ROUND(J384*(1+Параметры!$B$5),IF(J384*(1+Параметры!$B$5)&gt;=1000,-1,0)),ROUND(G384*Параметры!$B$6,IF(G384*Параметры!$B$6&gt;=1000,-1,0)))))</f>
        <v>33</v>
      </c>
      <c r="L384" s="16">
        <v>0.03</v>
      </c>
      <c r="M384" s="17">
        <f t="shared" ref="M384:M415" si="32">IF(OR(L384="",L384=0),"",1/L384)</f>
        <v>33.333333333333336</v>
      </c>
      <c r="N384" s="17">
        <f>IF(OR(L384="",L384=0),"",Параметры!$B$3/L384)</f>
        <v>266.66666666666669</v>
      </c>
      <c r="O384" s="15">
        <f>IF(L384="","",IFERROR(INDEX('Почасовка — ставки и план'!$D$5:$D$24,MATCH($D384,'Почасовка — ставки и план'!$A$5:$A$24,0)),""))</f>
        <v>550</v>
      </c>
      <c r="P384" s="15">
        <f>IF(L384="","",IFERROR(INDEX('Почасовка — ставки и план'!$E$5:$E$24,MATCH($D384,'Почасовка — ставки и план'!$A$5:$A$24,0)),""))</f>
        <v>660</v>
      </c>
      <c r="Q384" s="15">
        <f t="shared" ref="Q384:Q415" si="33">IF(OR(L384="",O384=""),"",ROUND(L384*O384,0))</f>
        <v>17</v>
      </c>
      <c r="R384" s="13" t="str">
        <f>IF(D384="TEX","аренда техники — сделка/счёт",IF(OR(Q384="",H384="",H384=0),"—",IF(Q384&lt;H384*(1-Параметры!$B$7),"почасовка",IF(Q384&gt;H384*(1+Параметры!$B$7),"сделка","любой способ"))))</f>
        <v>почасовка</v>
      </c>
      <c r="S384">
        <v>0</v>
      </c>
      <c r="T384">
        <v>0</v>
      </c>
    </row>
    <row r="385" spans="1:20" x14ac:dyDescent="0.25">
      <c r="A385" s="13" t="s">
        <v>824</v>
      </c>
      <c r="B385" s="13" t="s">
        <v>825</v>
      </c>
      <c r="C385" s="13" t="s">
        <v>152</v>
      </c>
      <c r="D385" s="13" t="s">
        <v>60</v>
      </c>
      <c r="E385" s="13" t="str">
        <f>IFERROR(INDEX('Почасовка — ставки и план'!$B$5:$B$24,MATCH(D385,'Почасовка — ставки и план'!$A$5:$A$24,0)),"Аренда техники / механизмы")</f>
        <v>Разнорабочий / демонтажник</v>
      </c>
      <c r="F385" s="14">
        <v>6500</v>
      </c>
      <c r="G385" s="14">
        <v>7500</v>
      </c>
      <c r="H385" s="15">
        <v>3800</v>
      </c>
      <c r="I385" s="15">
        <f>IF(OR(H385="",F385=""),"",MAX(H385,MIN(ROUND(H385*(1+Параметры!$B$5),IF(H385*(1+Параметры!$B$5)&gt;=1000,-1,0)),ROUND(F385*Параметры!$B$6,IF(F385*Параметры!$B$6&gt;=1000,-1,0)))))</f>
        <v>4370</v>
      </c>
      <c r="J385" s="15">
        <v>4400</v>
      </c>
      <c r="K385" s="15">
        <f>IF(OR(J385="",G385=""),"",MAX(J385,MIN(ROUND(J385*(1+Параметры!$B$5),IF(J385*(1+Параметры!$B$5)&gt;=1000,-1,0)),ROUND(G385*Параметры!$B$6,IF(G385*Параметры!$B$6&gt;=1000,-1,0)))))</f>
        <v>5060</v>
      </c>
      <c r="L385" s="16">
        <v>5</v>
      </c>
      <c r="M385" s="17">
        <f t="shared" si="32"/>
        <v>0.2</v>
      </c>
      <c r="N385" s="17">
        <f>IF(OR(L385="",L385=0),"",Параметры!$B$3/L385)</f>
        <v>1.6</v>
      </c>
      <c r="O385" s="15">
        <f>IF(L385="","",IFERROR(INDEX('Почасовка — ставки и план'!$D$5:$D$24,MATCH($D385,'Почасовка — ставки и план'!$A$5:$A$24,0)),""))</f>
        <v>550</v>
      </c>
      <c r="P385" s="15">
        <f>IF(L385="","",IFERROR(INDEX('Почасовка — ставки и план'!$E$5:$E$24,MATCH($D385,'Почасовка — ставки и план'!$A$5:$A$24,0)),""))</f>
        <v>660</v>
      </c>
      <c r="Q385" s="15">
        <f t="shared" si="33"/>
        <v>2750</v>
      </c>
      <c r="R385" s="13" t="str">
        <f>IF(D385="TEX","аренда техники — сделка/счёт",IF(OR(Q385="",H385="",H385=0),"—",IF(Q385&lt;H385*(1-Параметры!$B$7),"почасовка",IF(Q385&gt;H385*(1+Параметры!$B$7),"сделка","любой способ"))))</f>
        <v>почасовка</v>
      </c>
      <c r="S385">
        <v>0</v>
      </c>
      <c r="T385">
        <v>0</v>
      </c>
    </row>
    <row r="386" spans="1:20" x14ac:dyDescent="0.25">
      <c r="A386" s="13" t="s">
        <v>826</v>
      </c>
      <c r="B386" s="13" t="s">
        <v>827</v>
      </c>
      <c r="C386" s="13" t="s">
        <v>152</v>
      </c>
      <c r="D386" s="13" t="s">
        <v>60</v>
      </c>
      <c r="E386" s="13" t="str">
        <f>IFERROR(INDEX('Почасовка — ставки и план'!$B$5:$B$24,MATCH(D386,'Почасовка — ставки и план'!$A$5:$A$24,0)),"Аренда техники / механизмы")</f>
        <v>Разнорабочий / демонтажник</v>
      </c>
      <c r="F386" s="14">
        <v>4000</v>
      </c>
      <c r="G386" s="14">
        <v>4600</v>
      </c>
      <c r="H386" s="15">
        <v>2300</v>
      </c>
      <c r="I386" s="15">
        <f>IF(OR(H386="",F386=""),"",MAX(H386,MIN(ROUND(H386*(1+Параметры!$B$5),IF(H386*(1+Параметры!$B$5)&gt;=1000,-1,0)),ROUND(F386*Параметры!$B$6,IF(F386*Параметры!$B$6&gt;=1000,-1,0)))))</f>
        <v>2650</v>
      </c>
      <c r="J386" s="15">
        <v>2650</v>
      </c>
      <c r="K386" s="15">
        <f>IF(OR(J386="",G386=""),"",MAX(J386,MIN(ROUND(J386*(1+Параметры!$B$5),IF(J386*(1+Параметры!$B$5)&gt;=1000,-1,0)),ROUND(G386*Параметры!$B$6,IF(G386*Параметры!$B$6&gt;=1000,-1,0)))))</f>
        <v>3050</v>
      </c>
      <c r="L386" s="16">
        <v>2.5</v>
      </c>
      <c r="M386" s="17">
        <f t="shared" si="32"/>
        <v>0.4</v>
      </c>
      <c r="N386" s="17">
        <f>IF(OR(L386="",L386=0),"",Параметры!$B$3/L386)</f>
        <v>3.2</v>
      </c>
      <c r="O386" s="15">
        <f>IF(L386="","",IFERROR(INDEX('Почасовка — ставки и план'!$D$5:$D$24,MATCH($D386,'Почасовка — ставки и план'!$A$5:$A$24,0)),""))</f>
        <v>550</v>
      </c>
      <c r="P386" s="15">
        <f>IF(L386="","",IFERROR(INDEX('Почасовка — ставки и план'!$E$5:$E$24,MATCH($D386,'Почасовка — ставки и план'!$A$5:$A$24,0)),""))</f>
        <v>660</v>
      </c>
      <c r="Q386" s="15">
        <f t="shared" si="33"/>
        <v>1375</v>
      </c>
      <c r="R386" s="13" t="str">
        <f>IF(D386="TEX","аренда техники — сделка/счёт",IF(OR(Q386="",H386="",H386=0),"—",IF(Q386&lt;H386*(1-Параметры!$B$7),"почасовка",IF(Q386&gt;H386*(1+Параметры!$B$7),"сделка","любой способ"))))</f>
        <v>почасовка</v>
      </c>
      <c r="S386">
        <v>0</v>
      </c>
      <c r="T386">
        <v>0</v>
      </c>
    </row>
    <row r="387" spans="1:20" x14ac:dyDescent="0.25">
      <c r="A387" s="13" t="s">
        <v>828</v>
      </c>
      <c r="B387" s="13" t="s">
        <v>829</v>
      </c>
      <c r="C387" s="13" t="s">
        <v>144</v>
      </c>
      <c r="D387" s="13" t="s">
        <v>60</v>
      </c>
      <c r="E387" s="13" t="str">
        <f>IFERROR(INDEX('Почасовка — ставки и план'!$B$5:$B$24,MATCH(D387,'Почасовка — ставки и план'!$A$5:$A$24,0)),"Аренда техники / механизмы")</f>
        <v>Разнорабочий / демонтажник</v>
      </c>
      <c r="F387" s="14">
        <v>600</v>
      </c>
      <c r="G387" s="14">
        <v>700</v>
      </c>
      <c r="H387" s="15">
        <v>350</v>
      </c>
      <c r="I387" s="15">
        <f>IF(OR(H387="",F387=""),"",MAX(H387,MIN(ROUND(H387*(1+Параметры!$B$5),IF(H387*(1+Параметры!$B$5)&gt;=1000,-1,0)),ROUND(F387*Параметры!$B$6,IF(F387*Параметры!$B$6&gt;=1000,-1,0)))))</f>
        <v>403</v>
      </c>
      <c r="J387" s="15">
        <v>400</v>
      </c>
      <c r="K387" s="15">
        <f>IF(OR(J387="",G387=""),"",MAX(J387,MIN(ROUND(J387*(1+Параметры!$B$5),IF(J387*(1+Параметры!$B$5)&gt;=1000,-1,0)),ROUND(G387*Параметры!$B$6,IF(G387*Параметры!$B$6&gt;=1000,-1,0)))))</f>
        <v>460</v>
      </c>
      <c r="L387" s="16">
        <v>0.5</v>
      </c>
      <c r="M387" s="17">
        <f t="shared" si="32"/>
        <v>2</v>
      </c>
      <c r="N387" s="17">
        <f>IF(OR(L387="",L387=0),"",Параметры!$B$3/L387)</f>
        <v>16</v>
      </c>
      <c r="O387" s="15">
        <f>IF(L387="","",IFERROR(INDEX('Почасовка — ставки и план'!$D$5:$D$24,MATCH($D387,'Почасовка — ставки и план'!$A$5:$A$24,0)),""))</f>
        <v>550</v>
      </c>
      <c r="P387" s="15">
        <f>IF(L387="","",IFERROR(INDEX('Почасовка — ставки и план'!$E$5:$E$24,MATCH($D387,'Почасовка — ставки и план'!$A$5:$A$24,0)),""))</f>
        <v>660</v>
      </c>
      <c r="Q387" s="15">
        <f t="shared" si="33"/>
        <v>275</v>
      </c>
      <c r="R387" s="13" t="str">
        <f>IF(D387="TEX","аренда техники — сделка/счёт",IF(OR(Q387="",H387="",H387=0),"—",IF(Q387&lt;H387*(1-Параметры!$B$7),"почасовка",IF(Q387&gt;H387*(1+Параметры!$B$7),"сделка","любой способ"))))</f>
        <v>почасовка</v>
      </c>
      <c r="S387">
        <v>0</v>
      </c>
      <c r="T387">
        <v>0</v>
      </c>
    </row>
    <row r="388" spans="1:20" x14ac:dyDescent="0.25">
      <c r="A388" s="13" t="s">
        <v>830</v>
      </c>
      <c r="B388" s="13" t="s">
        <v>831</v>
      </c>
      <c r="C388" s="13" t="s">
        <v>55</v>
      </c>
      <c r="D388" s="13" t="s">
        <v>832</v>
      </c>
      <c r="E388" s="13" t="str">
        <f>IFERROR(INDEX('Почасовка — ставки и план'!$B$5:$B$24,MATCH(D388,'Почасовка — ставки и план'!$A$5:$A$24,0)),"Аренда техники / механизмы")</f>
        <v>Аренда техники / механизмы</v>
      </c>
      <c r="F388" s="14">
        <v>1350</v>
      </c>
      <c r="G388" s="14">
        <v>1750</v>
      </c>
      <c r="H388" s="15">
        <v>1100</v>
      </c>
      <c r="I388" s="15">
        <f>IF(OR(H388="",F388=""),"",MAX(H388,MIN(ROUND(H388*(1+Параметры!$B$5),IF(H388*(1+Параметры!$B$5)&gt;=1000,-1,0)),ROUND(F388*Параметры!$B$6,IF(F388*Параметры!$B$6&gt;=1000,-1,0)))))</f>
        <v>1100</v>
      </c>
      <c r="J388" s="15">
        <v>1400</v>
      </c>
      <c r="K388" s="15">
        <f>IF(OR(J388="",G388=""),"",MAX(J388,MIN(ROUND(J388*(1+Параметры!$B$5),IF(J388*(1+Параметры!$B$5)&gt;=1000,-1,0)),ROUND(G388*Параметры!$B$6,IF(G388*Параметры!$B$6&gt;=1000,-1,0)))))</f>
        <v>1400</v>
      </c>
      <c r="L388" s="16"/>
      <c r="M388" s="17" t="str">
        <f t="shared" si="32"/>
        <v/>
      </c>
      <c r="N388" s="17" t="str">
        <f>IF(OR(L388="",L388=0),"",Параметры!$B$3/L388)</f>
        <v/>
      </c>
      <c r="O388" s="15" t="str">
        <f>IF(L388="","",IFERROR(INDEX('Почасовка — ставки и план'!$D$5:$D$24,MATCH($D388,'Почасовка — ставки и план'!$A$5:$A$24,0)),""))</f>
        <v/>
      </c>
      <c r="P388" s="15" t="str">
        <f>IF(L388="","",IFERROR(INDEX('Почасовка — ставки и план'!$E$5:$E$24,MATCH($D388,'Почасовка — ставки и план'!$A$5:$A$24,0)),""))</f>
        <v/>
      </c>
      <c r="Q388" s="15" t="str">
        <f t="shared" si="33"/>
        <v/>
      </c>
      <c r="R388" s="13" t="str">
        <f>IF(D388="TEX","аренда техники — сделка/счёт",IF(OR(Q388="",H388="",H388=0),"—",IF(Q388&lt;H388*(1-Параметры!$B$7),"почасовка",IF(Q388&gt;H388*(1+Параметры!$B$7),"сделка","любой способ"))))</f>
        <v>аренда техники — сделка/счёт</v>
      </c>
      <c r="S388">
        <v>0</v>
      </c>
      <c r="T388">
        <v>0</v>
      </c>
    </row>
    <row r="389" spans="1:20" x14ac:dyDescent="0.25">
      <c r="A389" s="13" t="s">
        <v>833</v>
      </c>
      <c r="B389" s="13" t="s">
        <v>834</v>
      </c>
      <c r="C389" s="13" t="s">
        <v>152</v>
      </c>
      <c r="D389" s="13" t="s">
        <v>60</v>
      </c>
      <c r="E389" s="13" t="str">
        <f>IFERROR(INDEX('Почасовка — ставки и план'!$B$5:$B$24,MATCH(D389,'Почасовка — ставки и план'!$A$5:$A$24,0)),"Аренда техники / механизмы")</f>
        <v>Разнорабочий / демонтажник</v>
      </c>
      <c r="F389" s="14">
        <v>2200</v>
      </c>
      <c r="G389" s="14">
        <v>2500</v>
      </c>
      <c r="H389" s="15">
        <v>1300</v>
      </c>
      <c r="I389" s="15">
        <f>IF(OR(H389="",F389=""),"",MAX(H389,MIN(ROUND(H389*(1+Параметры!$B$5),IF(H389*(1+Параметры!$B$5)&gt;=1000,-1,0)),ROUND(F389*Параметры!$B$6,IF(F389*Параметры!$B$6&gt;=1000,-1,0)))))</f>
        <v>1500</v>
      </c>
      <c r="J389" s="15">
        <v>1500</v>
      </c>
      <c r="K389" s="15">
        <f>IF(OR(J389="",G389=""),"",MAX(J389,MIN(ROUND(J389*(1+Параметры!$B$5),IF(J389*(1+Параметры!$B$5)&gt;=1000,-1,0)),ROUND(G389*Параметры!$B$6,IF(G389*Параметры!$B$6&gt;=1000,-1,0)))))</f>
        <v>1730</v>
      </c>
      <c r="L389" s="16">
        <v>2.5</v>
      </c>
      <c r="M389" s="17">
        <f t="shared" si="32"/>
        <v>0.4</v>
      </c>
      <c r="N389" s="17">
        <f>IF(OR(L389="",L389=0),"",Параметры!$B$3/L389)</f>
        <v>3.2</v>
      </c>
      <c r="O389" s="15">
        <f>IF(L389="","",IFERROR(INDEX('Почасовка — ставки и план'!$D$5:$D$24,MATCH($D389,'Почасовка — ставки и план'!$A$5:$A$24,0)),""))</f>
        <v>550</v>
      </c>
      <c r="P389" s="15">
        <f>IF(L389="","",IFERROR(INDEX('Почасовка — ставки и план'!$E$5:$E$24,MATCH($D389,'Почасовка — ставки и план'!$A$5:$A$24,0)),""))</f>
        <v>660</v>
      </c>
      <c r="Q389" s="15">
        <f t="shared" si="33"/>
        <v>1375</v>
      </c>
      <c r="R389" s="13" t="str">
        <f>IF(D389="TEX","аренда техники — сделка/счёт",IF(OR(Q389="",H389="",H389=0),"—",IF(Q389&lt;H389*(1-Параметры!$B$7),"почасовка",IF(Q389&gt;H389*(1+Параметры!$B$7),"сделка","любой способ"))))</f>
        <v>любой способ</v>
      </c>
      <c r="S389">
        <v>0</v>
      </c>
      <c r="T389">
        <v>0</v>
      </c>
    </row>
    <row r="390" spans="1:20" x14ac:dyDescent="0.25">
      <c r="A390" s="13" t="s">
        <v>835</v>
      </c>
      <c r="B390" s="13" t="s">
        <v>836</v>
      </c>
      <c r="C390" s="13" t="s">
        <v>152</v>
      </c>
      <c r="D390" s="13" t="s">
        <v>60</v>
      </c>
      <c r="E390" s="13" t="str">
        <f>IFERROR(INDEX('Почасовка — ставки и план'!$B$5:$B$24,MATCH(D390,'Почасовка — ставки и план'!$A$5:$A$24,0)),"Аренда техники / механизмы")</f>
        <v>Разнорабочий / демонтажник</v>
      </c>
      <c r="F390" s="14">
        <v>1400</v>
      </c>
      <c r="G390" s="14">
        <v>1600</v>
      </c>
      <c r="H390" s="15">
        <v>800</v>
      </c>
      <c r="I390" s="15">
        <f>IF(OR(H390="",F390=""),"",MAX(H390,MIN(ROUND(H390*(1+Параметры!$B$5),IF(H390*(1+Параметры!$B$5)&gt;=1000,-1,0)),ROUND(F390*Параметры!$B$6,IF(F390*Параметры!$B$6&gt;=1000,-1,0)))))</f>
        <v>920</v>
      </c>
      <c r="J390" s="15">
        <v>920</v>
      </c>
      <c r="K390" s="15">
        <f>IF(OR(J390="",G390=""),"",MAX(J390,MIN(ROUND(J390*(1+Параметры!$B$5),IF(J390*(1+Параметры!$B$5)&gt;=1000,-1,0)),ROUND(G390*Параметры!$B$6,IF(G390*Параметры!$B$6&gt;=1000,-1,0)))))</f>
        <v>1060</v>
      </c>
      <c r="L390" s="16">
        <v>1.5</v>
      </c>
      <c r="M390" s="17">
        <f t="shared" si="32"/>
        <v>0.66666666666666663</v>
      </c>
      <c r="N390" s="17">
        <f>IF(OR(L390="",L390=0),"",Параметры!$B$3/L390)</f>
        <v>5.333333333333333</v>
      </c>
      <c r="O390" s="15">
        <f>IF(L390="","",IFERROR(INDEX('Почасовка — ставки и план'!$D$5:$D$24,MATCH($D390,'Почасовка — ставки и план'!$A$5:$A$24,0)),""))</f>
        <v>550</v>
      </c>
      <c r="P390" s="15">
        <f>IF(L390="","",IFERROR(INDEX('Почасовка — ставки и план'!$E$5:$E$24,MATCH($D390,'Почасовка — ставки и план'!$A$5:$A$24,0)),""))</f>
        <v>660</v>
      </c>
      <c r="Q390" s="15">
        <f t="shared" si="33"/>
        <v>825</v>
      </c>
      <c r="R390" s="13" t="str">
        <f>IF(D390="TEX","аренда техники — сделка/счёт",IF(OR(Q390="",H390="",H390=0),"—",IF(Q390&lt;H390*(1-Параметры!$B$7),"почасовка",IF(Q390&gt;H390*(1+Параметры!$B$7),"сделка","любой способ"))))</f>
        <v>любой способ</v>
      </c>
      <c r="S390">
        <v>0</v>
      </c>
      <c r="T390">
        <v>0</v>
      </c>
    </row>
    <row r="391" spans="1:20" x14ac:dyDescent="0.25">
      <c r="A391" s="13" t="s">
        <v>837</v>
      </c>
      <c r="B391" s="13" t="s">
        <v>838</v>
      </c>
      <c r="C391" s="13" t="s">
        <v>72</v>
      </c>
      <c r="D391" s="13" t="s">
        <v>208</v>
      </c>
      <c r="E391" s="13" t="str">
        <f>IFERROR(INDEX('Почасовка — ставки и план'!$B$5:$B$24,MATCH(D391,'Почасовка — ставки и план'!$A$5:$A$24,0)),"Аренда техники / механизмы")</f>
        <v>Отделочник (штукатур, маляр, ГКЛ)</v>
      </c>
      <c r="F391" s="14">
        <v>351</v>
      </c>
      <c r="G391" s="14">
        <v>420</v>
      </c>
      <c r="H391" s="15">
        <v>170</v>
      </c>
      <c r="I391" s="15">
        <f>IF(OR(H391="",F391=""),"",MAX(H391,MIN(ROUND(H391*(1+Параметры!$B$5),IF(H391*(1+Параметры!$B$5)&gt;=1000,-1,0)),ROUND(F391*Параметры!$B$6,IF(F391*Параметры!$B$6&gt;=1000,-1,0)))))</f>
        <v>196</v>
      </c>
      <c r="J391" s="15">
        <v>200</v>
      </c>
      <c r="K391" s="15">
        <f>IF(OR(J391="",G391=""),"",MAX(J391,MIN(ROUND(J391*(1+Параметры!$B$5),IF(J391*(1+Параметры!$B$5)&gt;=1000,-1,0)),ROUND(G391*Параметры!$B$6,IF(G391*Параметры!$B$6&gt;=1000,-1,0)))))</f>
        <v>230</v>
      </c>
      <c r="L391" s="16">
        <v>0.35</v>
      </c>
      <c r="M391" s="17">
        <f t="shared" si="32"/>
        <v>2.8571428571428572</v>
      </c>
      <c r="N391" s="17">
        <f>IF(OR(L391="",L391=0),"",Параметры!$B$3/L391)</f>
        <v>22.857142857142858</v>
      </c>
      <c r="O391" s="15">
        <f>IF(L391="","",IFERROR(INDEX('Почасовка — ставки и план'!$D$5:$D$24,MATCH($D391,'Почасовка — ставки и план'!$A$5:$A$24,0)),""))</f>
        <v>750</v>
      </c>
      <c r="P391" s="15">
        <f>IF(L391="","",IFERROR(INDEX('Почасовка — ставки и план'!$E$5:$E$24,MATCH($D391,'Почасовка — ставки и план'!$A$5:$A$24,0)),""))</f>
        <v>900</v>
      </c>
      <c r="Q391" s="15">
        <f t="shared" si="33"/>
        <v>263</v>
      </c>
      <c r="R391" s="13" t="str">
        <f>IF(D391="TEX","аренда техники — сделка/счёт",IF(OR(Q391="",H391="",H391=0),"—",IF(Q391&lt;H391*(1-Параметры!$B$7),"почасовка",IF(Q391&gt;H391*(1+Параметры!$B$7),"сделка","любой способ"))))</f>
        <v>сделка</v>
      </c>
      <c r="S391">
        <v>0.1699999999999999</v>
      </c>
      <c r="T391">
        <v>0.2</v>
      </c>
    </row>
    <row r="392" spans="1:20" x14ac:dyDescent="0.25">
      <c r="A392" s="13" t="s">
        <v>839</v>
      </c>
      <c r="B392" s="13" t="s">
        <v>840</v>
      </c>
      <c r="C392" s="13" t="s">
        <v>55</v>
      </c>
      <c r="D392" s="13" t="s">
        <v>60</v>
      </c>
      <c r="E392" s="13" t="str">
        <f>IFERROR(INDEX('Почасовка — ставки и план'!$B$5:$B$24,MATCH(D392,'Почасовка — ставки и план'!$A$5:$A$24,0)),"Аренда техники / механизмы")</f>
        <v>Разнорабочий / демонтажник</v>
      </c>
      <c r="F392" s="14">
        <v>2500</v>
      </c>
      <c r="G392" s="14">
        <v>2900</v>
      </c>
      <c r="H392" s="15">
        <v>1500</v>
      </c>
      <c r="I392" s="15">
        <f>IF(OR(H392="",F392=""),"",MAX(H392,MIN(ROUND(H392*(1+Параметры!$B$5),IF(H392*(1+Параметры!$B$5)&gt;=1000,-1,0)),ROUND(F392*Параметры!$B$6,IF(F392*Параметры!$B$6&gt;=1000,-1,0)))))</f>
        <v>1730</v>
      </c>
      <c r="J392" s="15">
        <v>1700</v>
      </c>
      <c r="K392" s="15">
        <f>IF(OR(J392="",G392=""),"",MAX(J392,MIN(ROUND(J392*(1+Параметры!$B$5),IF(J392*(1+Параметры!$B$5)&gt;=1000,-1,0)),ROUND(G392*Параметры!$B$6,IF(G392*Параметры!$B$6&gt;=1000,-1,0)))))</f>
        <v>1960</v>
      </c>
      <c r="L392" s="16">
        <v>3</v>
      </c>
      <c r="M392" s="17">
        <f t="shared" si="32"/>
        <v>0.33333333333333331</v>
      </c>
      <c r="N392" s="17">
        <f>IF(OR(L392="",L392=0),"",Параметры!$B$3/L392)</f>
        <v>2.6666666666666665</v>
      </c>
      <c r="O392" s="15">
        <f>IF(L392="","",IFERROR(INDEX('Почасовка — ставки и план'!$D$5:$D$24,MATCH($D392,'Почасовка — ставки и план'!$A$5:$A$24,0)),""))</f>
        <v>550</v>
      </c>
      <c r="P392" s="15">
        <f>IF(L392="","",IFERROR(INDEX('Почасовка — ставки и план'!$E$5:$E$24,MATCH($D392,'Почасовка — ставки и план'!$A$5:$A$24,0)),""))</f>
        <v>660</v>
      </c>
      <c r="Q392" s="15">
        <f t="shared" si="33"/>
        <v>1650</v>
      </c>
      <c r="R392" s="13" t="str">
        <f>IF(D392="TEX","аренда техники — сделка/счёт",IF(OR(Q392="",H392="",H392=0),"—",IF(Q392&lt;H392*(1-Параметры!$B$7),"почасовка",IF(Q392&gt;H392*(1+Параметры!$B$7),"сделка","любой способ"))))</f>
        <v>любой способ</v>
      </c>
      <c r="S392">
        <v>0</v>
      </c>
      <c r="T392">
        <v>0</v>
      </c>
    </row>
    <row r="393" spans="1:20" x14ac:dyDescent="0.25">
      <c r="A393" s="13" t="s">
        <v>841</v>
      </c>
      <c r="B393" s="13" t="s">
        <v>842</v>
      </c>
      <c r="C393" s="13" t="s">
        <v>72</v>
      </c>
      <c r="D393" s="13" t="s">
        <v>60</v>
      </c>
      <c r="E393" s="13" t="str">
        <f>IFERROR(INDEX('Почасовка — ставки и план'!$B$5:$B$24,MATCH(D393,'Почасовка — ставки и план'!$A$5:$A$24,0)),"Аренда техники / механизмы")</f>
        <v>Разнорабочий / демонтажник</v>
      </c>
      <c r="F393" s="14">
        <v>220</v>
      </c>
      <c r="G393" s="14">
        <v>250</v>
      </c>
      <c r="H393" s="15">
        <v>130</v>
      </c>
      <c r="I393" s="15">
        <f>IF(OR(H393="",F393=""),"",MAX(H393,MIN(ROUND(H393*(1+Параметры!$B$5),IF(H393*(1+Параметры!$B$5)&gt;=1000,-1,0)),ROUND(F393*Параметры!$B$6,IF(F393*Параметры!$B$6&gt;=1000,-1,0)))))</f>
        <v>150</v>
      </c>
      <c r="J393" s="15">
        <v>150</v>
      </c>
      <c r="K393" s="15">
        <f>IF(OR(J393="",G393=""),"",MAX(J393,MIN(ROUND(J393*(1+Параметры!$B$5),IF(J393*(1+Параметры!$B$5)&gt;=1000,-1,0)),ROUND(G393*Параметры!$B$6,IF(G393*Параметры!$B$6&gt;=1000,-1,0)))))</f>
        <v>173</v>
      </c>
      <c r="L393" s="16">
        <v>0.25</v>
      </c>
      <c r="M393" s="17">
        <f t="shared" si="32"/>
        <v>4</v>
      </c>
      <c r="N393" s="17">
        <f>IF(OR(L393="",L393=0),"",Параметры!$B$3/L393)</f>
        <v>32</v>
      </c>
      <c r="O393" s="15">
        <f>IF(L393="","",IFERROR(INDEX('Почасовка — ставки и план'!$D$5:$D$24,MATCH($D393,'Почасовка — ставки и план'!$A$5:$A$24,0)),""))</f>
        <v>550</v>
      </c>
      <c r="P393" s="15">
        <f>IF(L393="","",IFERROR(INDEX('Почасовка — ставки и план'!$E$5:$E$24,MATCH($D393,'Почасовка — ставки и план'!$A$5:$A$24,0)),""))</f>
        <v>660</v>
      </c>
      <c r="Q393" s="15">
        <f t="shared" si="33"/>
        <v>138</v>
      </c>
      <c r="R393" s="13" t="str">
        <f>IF(D393="TEX","аренда техники — сделка/счёт",IF(OR(Q393="",H393="",H393=0),"—",IF(Q393&lt;H393*(1-Параметры!$B$7),"почасовка",IF(Q393&gt;H393*(1+Параметры!$B$7),"сделка","любой способ"))))</f>
        <v>любой способ</v>
      </c>
      <c r="S393">
        <v>0</v>
      </c>
      <c r="T393">
        <v>0</v>
      </c>
    </row>
    <row r="394" spans="1:20" x14ac:dyDescent="0.25">
      <c r="A394" s="13" t="s">
        <v>843</v>
      </c>
      <c r="B394" s="13" t="s">
        <v>844</v>
      </c>
      <c r="C394" s="13" t="s">
        <v>845</v>
      </c>
      <c r="D394" s="13" t="s">
        <v>832</v>
      </c>
      <c r="E394" s="13" t="str">
        <f>IFERROR(INDEX('Почасовка — ставки и план'!$B$5:$B$24,MATCH(D394,'Почасовка — ставки и план'!$A$5:$A$24,0)),"Аренда техники / механизмы")</f>
        <v>Аренда техники / механизмы</v>
      </c>
      <c r="F394" s="14">
        <v>900</v>
      </c>
      <c r="G394" s="14">
        <v>1000</v>
      </c>
      <c r="H394" s="15">
        <v>750</v>
      </c>
      <c r="I394" s="15">
        <f>IF(OR(H394="",F394=""),"",MAX(H394,MIN(ROUND(H394*(1+Параметры!$B$5),IF(H394*(1+Параметры!$B$5)&gt;=1000,-1,0)),ROUND(F394*Параметры!$B$6,IF(F394*Параметры!$B$6&gt;=1000,-1,0)))))</f>
        <v>750</v>
      </c>
      <c r="J394" s="15">
        <v>850</v>
      </c>
      <c r="K394" s="15">
        <f>IF(OR(J394="",G394=""),"",MAX(J394,MIN(ROUND(J394*(1+Параметры!$B$5),IF(J394*(1+Параметры!$B$5)&gt;=1000,-1,0)),ROUND(G394*Параметры!$B$6,IF(G394*Параметры!$B$6&gt;=1000,-1,0)))))</f>
        <v>850</v>
      </c>
      <c r="L394" s="16"/>
      <c r="M394" s="17" t="str">
        <f t="shared" si="32"/>
        <v/>
      </c>
      <c r="N394" s="17" t="str">
        <f>IF(OR(L394="",L394=0),"",Параметры!$B$3/L394)</f>
        <v/>
      </c>
      <c r="O394" s="15" t="str">
        <f>IF(L394="","",IFERROR(INDEX('Почасовка — ставки и план'!$D$5:$D$24,MATCH($D394,'Почасовка — ставки и план'!$A$5:$A$24,0)),""))</f>
        <v/>
      </c>
      <c r="P394" s="15" t="str">
        <f>IF(L394="","",IFERROR(INDEX('Почасовка — ставки и план'!$E$5:$E$24,MATCH($D394,'Почасовка — ставки и план'!$A$5:$A$24,0)),""))</f>
        <v/>
      </c>
      <c r="Q394" s="15" t="str">
        <f t="shared" si="33"/>
        <v/>
      </c>
      <c r="R394" s="13" t="str">
        <f>IF(D394="TEX","аренда техники — сделка/счёт",IF(OR(Q394="",H394="",H394=0),"—",IF(Q394&lt;H394*(1-Параметры!$B$7),"почасовка",IF(Q394&gt;H394*(1+Параметры!$B$7),"сделка","любой способ"))))</f>
        <v>аренда техники — сделка/счёт</v>
      </c>
      <c r="S394">
        <v>0</v>
      </c>
      <c r="T394">
        <v>0</v>
      </c>
    </row>
    <row r="395" spans="1:20" x14ac:dyDescent="0.25">
      <c r="A395" s="13" t="s">
        <v>846</v>
      </c>
      <c r="B395" s="13" t="s">
        <v>847</v>
      </c>
      <c r="C395" s="13" t="s">
        <v>144</v>
      </c>
      <c r="D395" s="13" t="s">
        <v>273</v>
      </c>
      <c r="E395" s="13" t="str">
        <f>IFERROR(INDEX('Почасовка — ставки и план'!$B$5:$B$24,MATCH(D395,'Почасовка — ставки и план'!$A$5:$A$24,0)),"Аренда техники / механизмы")</f>
        <v>Электромонтажник</v>
      </c>
      <c r="F395" s="14">
        <v>700</v>
      </c>
      <c r="G395" s="14">
        <v>800</v>
      </c>
      <c r="H395" s="15">
        <v>400</v>
      </c>
      <c r="I395" s="15">
        <f>IF(OR(H395="",F395=""),"",MAX(H395,MIN(ROUND(H395*(1+Параметры!$B$5),IF(H395*(1+Параметры!$B$5)&gt;=1000,-1,0)),ROUND(F395*Параметры!$B$6,IF(F395*Параметры!$B$6&gt;=1000,-1,0)))))</f>
        <v>460</v>
      </c>
      <c r="J395" s="15">
        <v>460</v>
      </c>
      <c r="K395" s="15">
        <f>IF(OR(J395="",G395=""),"",MAX(J395,MIN(ROUND(J395*(1+Параметры!$B$5),IF(J395*(1+Параметры!$B$5)&gt;=1000,-1,0)),ROUND(G395*Параметры!$B$6,IF(G395*Параметры!$B$6&gt;=1000,-1,0)))))</f>
        <v>529</v>
      </c>
      <c r="L395" s="16">
        <v>0.4</v>
      </c>
      <c r="M395" s="17">
        <f t="shared" si="32"/>
        <v>2.5</v>
      </c>
      <c r="N395" s="17">
        <f>IF(OR(L395="",L395=0),"",Параметры!$B$3/L395)</f>
        <v>20</v>
      </c>
      <c r="O395" s="15">
        <f>IF(L395="","",IFERROR(INDEX('Почасовка — ставки и план'!$D$5:$D$24,MATCH($D395,'Почасовка — ставки и план'!$A$5:$A$24,0)),""))</f>
        <v>850</v>
      </c>
      <c r="P395" s="15">
        <f>IF(L395="","",IFERROR(INDEX('Почасовка — ставки и план'!$E$5:$E$24,MATCH($D395,'Почасовка — ставки и план'!$A$5:$A$24,0)),""))</f>
        <v>1020</v>
      </c>
      <c r="Q395" s="15">
        <f t="shared" si="33"/>
        <v>340</v>
      </c>
      <c r="R395" s="13" t="str">
        <f>IF(D395="TEX","аренда техники — сделка/счёт",IF(OR(Q395="",H395="",H395=0),"—",IF(Q395&lt;H395*(1-Параметры!$B$7),"почасовка",IF(Q395&gt;H395*(1+Параметры!$B$7),"сделка","любой способ"))))</f>
        <v>почасовка</v>
      </c>
      <c r="S395">
        <v>0</v>
      </c>
      <c r="T395">
        <v>0</v>
      </c>
    </row>
    <row r="396" spans="1:20" x14ac:dyDescent="0.25">
      <c r="A396" s="13" t="s">
        <v>848</v>
      </c>
      <c r="B396" s="13" t="s">
        <v>849</v>
      </c>
      <c r="C396" s="13" t="s">
        <v>144</v>
      </c>
      <c r="D396" s="13" t="s">
        <v>60</v>
      </c>
      <c r="E396" s="13" t="str">
        <f>IFERROR(INDEX('Почасовка — ставки и план'!$B$5:$B$24,MATCH(D396,'Почасовка — ставки и план'!$A$5:$A$24,0)),"Аренда техники / механизмы")</f>
        <v>Разнорабочий / демонтажник</v>
      </c>
      <c r="F396" s="14">
        <v>5000</v>
      </c>
      <c r="G396" s="14">
        <v>5800</v>
      </c>
      <c r="H396" s="15">
        <v>3000</v>
      </c>
      <c r="I396" s="15">
        <f>IF(OR(H396="",F396=""),"",MAX(H396,MIN(ROUND(H396*(1+Параметры!$B$5),IF(H396*(1+Параметры!$B$5)&gt;=1000,-1,0)),ROUND(F396*Параметры!$B$6,IF(F396*Параметры!$B$6&gt;=1000,-1,0)))))</f>
        <v>3450</v>
      </c>
      <c r="J396" s="15">
        <v>3450</v>
      </c>
      <c r="K396" s="15">
        <f>IF(OR(J396="",G396=""),"",MAX(J396,MIN(ROUND(J396*(1+Параметры!$B$5),IF(J396*(1+Параметры!$B$5)&gt;=1000,-1,0)),ROUND(G396*Параметры!$B$6,IF(G396*Параметры!$B$6&gt;=1000,-1,0)))))</f>
        <v>3970</v>
      </c>
      <c r="L396" s="16">
        <v>4</v>
      </c>
      <c r="M396" s="17">
        <f t="shared" si="32"/>
        <v>0.25</v>
      </c>
      <c r="N396" s="17">
        <f>IF(OR(L396="",L396=0),"",Параметры!$B$3/L396)</f>
        <v>2</v>
      </c>
      <c r="O396" s="15">
        <f>IF(L396="","",IFERROR(INDEX('Почасовка — ставки и план'!$D$5:$D$24,MATCH($D396,'Почасовка — ставки и план'!$A$5:$A$24,0)),""))</f>
        <v>550</v>
      </c>
      <c r="P396" s="15">
        <f>IF(L396="","",IFERROR(INDEX('Почасовка — ставки и план'!$E$5:$E$24,MATCH($D396,'Почасовка — ставки и план'!$A$5:$A$24,0)),""))</f>
        <v>660</v>
      </c>
      <c r="Q396" s="15">
        <f t="shared" si="33"/>
        <v>2200</v>
      </c>
      <c r="R396" s="13" t="str">
        <f>IF(D396="TEX","аренда техники — сделка/счёт",IF(OR(Q396="",H396="",H396=0),"—",IF(Q396&lt;H396*(1-Параметры!$B$7),"почасовка",IF(Q396&gt;H396*(1+Параметры!$B$7),"сделка","любой способ"))))</f>
        <v>почасовка</v>
      </c>
      <c r="S396">
        <v>0</v>
      </c>
      <c r="T396">
        <v>0</v>
      </c>
    </row>
    <row r="397" spans="1:20" x14ac:dyDescent="0.25">
      <c r="A397" s="13" t="s">
        <v>850</v>
      </c>
      <c r="B397" s="13" t="s">
        <v>851</v>
      </c>
      <c r="C397" s="13" t="s">
        <v>144</v>
      </c>
      <c r="D397" s="13" t="s">
        <v>60</v>
      </c>
      <c r="E397" s="13" t="str">
        <f>IFERROR(INDEX('Почасовка — ставки и план'!$B$5:$B$24,MATCH(D397,'Почасовка — ставки и план'!$A$5:$A$24,0)),"Аренда техники / механизмы")</f>
        <v>Разнорабочий / демонтажник</v>
      </c>
      <c r="F397" s="14">
        <v>1800</v>
      </c>
      <c r="G397" s="14">
        <v>2050</v>
      </c>
      <c r="H397" s="15">
        <v>1000</v>
      </c>
      <c r="I397" s="15">
        <f>IF(OR(H397="",F397=""),"",MAX(H397,MIN(ROUND(H397*(1+Параметры!$B$5),IF(H397*(1+Параметры!$B$5)&gt;=1000,-1,0)),ROUND(F397*Параметры!$B$6,IF(F397*Параметры!$B$6&gt;=1000,-1,0)))))</f>
        <v>1150</v>
      </c>
      <c r="J397" s="15">
        <v>1150</v>
      </c>
      <c r="K397" s="15">
        <f>IF(OR(J397="",G397=""),"",MAX(J397,MIN(ROUND(J397*(1+Параметры!$B$5),IF(J397*(1+Параметры!$B$5)&gt;=1000,-1,0)),ROUND(G397*Параметры!$B$6,IF(G397*Параметры!$B$6&gt;=1000,-1,0)))))</f>
        <v>1320</v>
      </c>
      <c r="L397" s="16">
        <v>1.5</v>
      </c>
      <c r="M397" s="17">
        <f t="shared" si="32"/>
        <v>0.66666666666666663</v>
      </c>
      <c r="N397" s="17">
        <f>IF(OR(L397="",L397=0),"",Параметры!$B$3/L397)</f>
        <v>5.333333333333333</v>
      </c>
      <c r="O397" s="15">
        <f>IF(L397="","",IFERROR(INDEX('Почасовка — ставки и план'!$D$5:$D$24,MATCH($D397,'Почасовка — ставки и план'!$A$5:$A$24,0)),""))</f>
        <v>550</v>
      </c>
      <c r="P397" s="15">
        <f>IF(L397="","",IFERROR(INDEX('Почасовка — ставки и план'!$E$5:$E$24,MATCH($D397,'Почасовка — ставки и план'!$A$5:$A$24,0)),""))</f>
        <v>660</v>
      </c>
      <c r="Q397" s="15">
        <f t="shared" si="33"/>
        <v>825</v>
      </c>
      <c r="R397" s="13" t="str">
        <f>IF(D397="TEX","аренда техники — сделка/счёт",IF(OR(Q397="",H397="",H397=0),"—",IF(Q397&lt;H397*(1-Параметры!$B$7),"почасовка",IF(Q397&gt;H397*(1+Параметры!$B$7),"сделка","любой способ"))))</f>
        <v>почасовка</v>
      </c>
      <c r="S397">
        <v>0</v>
      </c>
      <c r="T397">
        <v>0</v>
      </c>
    </row>
    <row r="398" spans="1:20" x14ac:dyDescent="0.25">
      <c r="A398" s="13" t="s">
        <v>852</v>
      </c>
      <c r="B398" s="13" t="s">
        <v>853</v>
      </c>
      <c r="C398" s="13" t="s">
        <v>854</v>
      </c>
      <c r="D398" s="13" t="s">
        <v>832</v>
      </c>
      <c r="E398" s="13" t="str">
        <f>IFERROR(INDEX('Почасовка — ставки и план'!$B$5:$B$24,MATCH(D398,'Почасовка — ставки и план'!$A$5:$A$24,0)),"Аренда техники / механизмы")</f>
        <v>Аренда техники / механизмы</v>
      </c>
      <c r="F398" s="14">
        <v>20000</v>
      </c>
      <c r="G398" s="14">
        <v>24000</v>
      </c>
      <c r="H398" s="15">
        <v>17000</v>
      </c>
      <c r="I398" s="15">
        <f>IF(OR(H398="",F398=""),"",MAX(H398,MIN(ROUND(H398*(1+Параметры!$B$5),IF(H398*(1+Параметры!$B$5)&gt;=1000,-1,0)),ROUND(F398*Параметры!$B$6,IF(F398*Параметры!$B$6&gt;=1000,-1,0)))))</f>
        <v>17000</v>
      </c>
      <c r="J398" s="15">
        <v>20000</v>
      </c>
      <c r="K398" s="15">
        <f>IF(OR(J398="",G398=""),"",MAX(J398,MIN(ROUND(J398*(1+Параметры!$B$5),IF(J398*(1+Параметры!$B$5)&gt;=1000,-1,0)),ROUND(G398*Параметры!$B$6,IF(G398*Параметры!$B$6&gt;=1000,-1,0)))))</f>
        <v>20000</v>
      </c>
      <c r="L398" s="16"/>
      <c r="M398" s="17" t="str">
        <f t="shared" si="32"/>
        <v/>
      </c>
      <c r="N398" s="17" t="str">
        <f>IF(OR(L398="",L398=0),"",Параметры!$B$3/L398)</f>
        <v/>
      </c>
      <c r="O398" s="15" t="str">
        <f>IF(L398="","",IFERROR(INDEX('Почасовка — ставки и план'!$D$5:$D$24,MATCH($D398,'Почасовка — ставки и план'!$A$5:$A$24,0)),""))</f>
        <v/>
      </c>
      <c r="P398" s="15" t="str">
        <f>IF(L398="","",IFERROR(INDEX('Почасовка — ставки и план'!$E$5:$E$24,MATCH($D398,'Почасовка — ставки и план'!$A$5:$A$24,0)),""))</f>
        <v/>
      </c>
      <c r="Q398" s="15" t="str">
        <f t="shared" si="33"/>
        <v/>
      </c>
      <c r="R398" s="13" t="str">
        <f>IF(D398="TEX","аренда техники — сделка/счёт",IF(OR(Q398="",H398="",H398=0),"—",IF(Q398&lt;H398*(1-Параметры!$B$7),"почасовка",IF(Q398&gt;H398*(1+Параметры!$B$7),"сделка","любой способ"))))</f>
        <v>аренда техники — сделка/счёт</v>
      </c>
      <c r="S398">
        <v>0</v>
      </c>
      <c r="T398">
        <v>0</v>
      </c>
    </row>
    <row r="399" spans="1:20" x14ac:dyDescent="0.25">
      <c r="A399" s="13" t="s">
        <v>855</v>
      </c>
      <c r="B399" s="13" t="s">
        <v>856</v>
      </c>
      <c r="C399" s="13" t="s">
        <v>72</v>
      </c>
      <c r="D399" s="13" t="s">
        <v>91</v>
      </c>
      <c r="E399" s="13" t="str">
        <f>IFERROR(INDEX('Почасовка — ставки и план'!$B$5:$B$24,MATCH(D399,'Почасовка — ставки и план'!$A$5:$A$24,0)),"Аренда техники / механизмы")</f>
        <v>Фасадчик / промальпинист</v>
      </c>
      <c r="F399" s="14">
        <v>70</v>
      </c>
      <c r="G399" s="14">
        <v>85</v>
      </c>
      <c r="H399" s="15">
        <v>40</v>
      </c>
      <c r="I399" s="15">
        <f>IF(OR(H399="",F399=""),"",MAX(H399,MIN(ROUND(H399*(1+Параметры!$B$5),IF(H399*(1+Параметры!$B$5)&gt;=1000,-1,0)),ROUND(F399*Параметры!$B$6,IF(F399*Параметры!$B$6&gt;=1000,-1,0)))))</f>
        <v>46</v>
      </c>
      <c r="J399" s="15">
        <v>48</v>
      </c>
      <c r="K399" s="15">
        <f>IF(OR(J399="",G399=""),"",MAX(J399,MIN(ROUND(J399*(1+Параметры!$B$5),IF(J399*(1+Параметры!$B$5)&gt;=1000,-1,0)),ROUND(G399*Параметры!$B$6,IF(G399*Параметры!$B$6&gt;=1000,-1,0)))))</f>
        <v>55</v>
      </c>
      <c r="L399" s="16">
        <v>0.04</v>
      </c>
      <c r="M399" s="17">
        <f t="shared" si="32"/>
        <v>25</v>
      </c>
      <c r="N399" s="17">
        <f>IF(OR(L399="",L399=0),"",Параметры!$B$3/L399)</f>
        <v>200</v>
      </c>
      <c r="O399" s="15">
        <f>IF(L399="","",IFERROR(INDEX('Почасовка — ставки и план'!$D$5:$D$24,MATCH($D399,'Почасовка — ставки и план'!$A$5:$A$24,0)),""))</f>
        <v>1100</v>
      </c>
      <c r="P399" s="15">
        <f>IF(L399="","",IFERROR(INDEX('Почасовка — ставки и план'!$E$5:$E$24,MATCH($D399,'Почасовка — ставки и план'!$A$5:$A$24,0)),""))</f>
        <v>1300</v>
      </c>
      <c r="Q399" s="15">
        <f t="shared" si="33"/>
        <v>44</v>
      </c>
      <c r="R399" s="13" t="str">
        <f>IF(D399="TEX","аренда техники — сделка/счёт",IF(OR(Q399="",H399="",H399=0),"—",IF(Q399&lt;H399*(1-Параметры!$B$7),"почасовка",IF(Q399&gt;H399*(1+Параметры!$B$7),"сделка","любой способ"))))</f>
        <v>любой способ</v>
      </c>
      <c r="S399">
        <v>0</v>
      </c>
      <c r="T399">
        <v>0</v>
      </c>
    </row>
    <row r="400" spans="1:20" x14ac:dyDescent="0.25">
      <c r="A400" s="13" t="s">
        <v>857</v>
      </c>
      <c r="B400" s="13" t="s">
        <v>858</v>
      </c>
      <c r="C400" s="13" t="s">
        <v>72</v>
      </c>
      <c r="D400" s="13" t="s">
        <v>60</v>
      </c>
      <c r="E400" s="13" t="str">
        <f>IFERROR(INDEX('Почасовка — ставки и план'!$B$5:$B$24,MATCH(D400,'Почасовка — ставки и план'!$A$5:$A$24,0)),"Аренда техники / механизмы")</f>
        <v>Разнорабочий / демонтажник</v>
      </c>
      <c r="F400" s="14">
        <v>90</v>
      </c>
      <c r="G400" s="14">
        <v>105</v>
      </c>
      <c r="H400" s="15">
        <v>50</v>
      </c>
      <c r="I400" s="15">
        <f>IF(OR(H400="",F400=""),"",MAX(H400,MIN(ROUND(H400*(1+Параметры!$B$5),IF(H400*(1+Параметры!$B$5)&gt;=1000,-1,0)),ROUND(F400*Параметры!$B$6,IF(F400*Параметры!$B$6&gt;=1000,-1,0)))))</f>
        <v>58</v>
      </c>
      <c r="J400" s="15">
        <v>58</v>
      </c>
      <c r="K400" s="15">
        <f>IF(OR(J400="",G400=""),"",MAX(J400,MIN(ROUND(J400*(1+Параметры!$B$5),IF(J400*(1+Параметры!$B$5)&gt;=1000,-1,0)),ROUND(G400*Параметры!$B$6,IF(G400*Параметры!$B$6&gt;=1000,-1,0)))))</f>
        <v>67</v>
      </c>
      <c r="L400" s="16">
        <v>0.06</v>
      </c>
      <c r="M400" s="17">
        <f t="shared" si="32"/>
        <v>16.666666666666668</v>
      </c>
      <c r="N400" s="17">
        <f>IF(OR(L400="",L400=0),"",Параметры!$B$3/L400)</f>
        <v>133.33333333333334</v>
      </c>
      <c r="O400" s="15">
        <f>IF(L400="","",IFERROR(INDEX('Почасовка — ставки и план'!$D$5:$D$24,MATCH($D400,'Почасовка — ставки и план'!$A$5:$A$24,0)),""))</f>
        <v>550</v>
      </c>
      <c r="P400" s="15">
        <f>IF(L400="","",IFERROR(INDEX('Почасовка — ставки и план'!$E$5:$E$24,MATCH($D400,'Почасовка — ставки и план'!$A$5:$A$24,0)),""))</f>
        <v>660</v>
      </c>
      <c r="Q400" s="15">
        <f t="shared" si="33"/>
        <v>33</v>
      </c>
      <c r="R400" s="13" t="str">
        <f>IF(D400="TEX","аренда техники — сделка/счёт",IF(OR(Q400="",H400="",H400=0),"—",IF(Q400&lt;H400*(1-Параметры!$B$7),"почасовка",IF(Q400&gt;H400*(1+Параметры!$B$7),"сделка","любой способ"))))</f>
        <v>почасовка</v>
      </c>
      <c r="S400">
        <v>0</v>
      </c>
      <c r="T400">
        <v>0</v>
      </c>
    </row>
    <row r="401" spans="1:20" x14ac:dyDescent="0.25">
      <c r="A401" s="13" t="s">
        <v>859</v>
      </c>
      <c r="B401" s="13" t="s">
        <v>860</v>
      </c>
      <c r="C401" s="13" t="s">
        <v>144</v>
      </c>
      <c r="D401" s="13" t="s">
        <v>64</v>
      </c>
      <c r="E401" s="13" t="str">
        <f>IFERROR(INDEX('Почасовка — ставки и план'!$B$5:$B$24,MATCH(D401,'Почасовка — ставки и план'!$A$5:$A$24,0)),"Аренда техники / механизмы")</f>
        <v>Сварщик / монтажник МК</v>
      </c>
      <c r="F401" s="14">
        <v>1500</v>
      </c>
      <c r="G401" s="14">
        <v>1700</v>
      </c>
      <c r="H401" s="15">
        <v>850</v>
      </c>
      <c r="I401" s="15">
        <f>IF(OR(H401="",F401=""),"",MAX(H401,MIN(ROUND(H401*(1+Параметры!$B$5),IF(H401*(1+Параметры!$B$5)&gt;=1000,-1,0)),ROUND(F401*Параметры!$B$6,IF(F401*Параметры!$B$6&gt;=1000,-1,0)))))</f>
        <v>978</v>
      </c>
      <c r="J401" s="15">
        <v>980</v>
      </c>
      <c r="K401" s="15">
        <f>IF(OR(J401="",G401=""),"",MAX(J401,MIN(ROUND(J401*(1+Параметры!$B$5),IF(J401*(1+Параметры!$B$5)&gt;=1000,-1,0)),ROUND(G401*Параметры!$B$6,IF(G401*Параметры!$B$6&gt;=1000,-1,0)))))</f>
        <v>1130</v>
      </c>
      <c r="L401" s="16">
        <v>1</v>
      </c>
      <c r="M401" s="17">
        <f t="shared" si="32"/>
        <v>1</v>
      </c>
      <c r="N401" s="17">
        <f>IF(OR(L401="",L401=0),"",Параметры!$B$3/L401)</f>
        <v>8</v>
      </c>
      <c r="O401" s="15">
        <f>IF(L401="","",IFERROR(INDEX('Почасовка — ставки и план'!$D$5:$D$24,MATCH($D401,'Почасовка — ставки и план'!$A$5:$A$24,0)),""))</f>
        <v>900</v>
      </c>
      <c r="P401" s="15">
        <f>IF(L401="","",IFERROR(INDEX('Почасовка — ставки и план'!$E$5:$E$24,MATCH($D401,'Почасовка — ставки и план'!$A$5:$A$24,0)),""))</f>
        <v>1080</v>
      </c>
      <c r="Q401" s="15">
        <f t="shared" si="33"/>
        <v>900</v>
      </c>
      <c r="R401" s="13" t="str">
        <f>IF(D401="TEX","аренда техники — сделка/счёт",IF(OR(Q401="",H401="",H401=0),"—",IF(Q401&lt;H401*(1-Параметры!$B$7),"почасовка",IF(Q401&gt;H401*(1+Параметры!$B$7),"сделка","любой способ"))))</f>
        <v>любой способ</v>
      </c>
      <c r="S401">
        <v>0</v>
      </c>
      <c r="T401">
        <v>0</v>
      </c>
    </row>
    <row r="402" spans="1:20" x14ac:dyDescent="0.25">
      <c r="A402" s="13" t="s">
        <v>861</v>
      </c>
      <c r="B402" s="13" t="s">
        <v>862</v>
      </c>
      <c r="C402" s="13" t="s">
        <v>69</v>
      </c>
      <c r="D402" s="13" t="s">
        <v>60</v>
      </c>
      <c r="E402" s="13" t="str">
        <f>IFERROR(INDEX('Почасовка — ставки и план'!$B$5:$B$24,MATCH(D402,'Почасовка — ставки и план'!$A$5:$A$24,0)),"Аренда техники / механизмы")</f>
        <v>Разнорабочий / демонтажник</v>
      </c>
      <c r="F402" s="14">
        <v>550</v>
      </c>
      <c r="G402" s="14">
        <v>630</v>
      </c>
      <c r="H402" s="15">
        <v>320</v>
      </c>
      <c r="I402" s="15">
        <f>IF(OR(H402="",F402=""),"",MAX(H402,MIN(ROUND(H402*(1+Параметры!$B$5),IF(H402*(1+Параметры!$B$5)&gt;=1000,-1,0)),ROUND(F402*Параметры!$B$6,IF(F402*Параметры!$B$6&gt;=1000,-1,0)))))</f>
        <v>368</v>
      </c>
      <c r="J402" s="15">
        <v>370</v>
      </c>
      <c r="K402" s="15">
        <f>IF(OR(J402="",G402=""),"",MAX(J402,MIN(ROUND(J402*(1+Параметры!$B$5),IF(J402*(1+Параметры!$B$5)&gt;=1000,-1,0)),ROUND(G402*Параметры!$B$6,IF(G402*Параметры!$B$6&gt;=1000,-1,0)))))</f>
        <v>426</v>
      </c>
      <c r="L402" s="16">
        <v>0.4</v>
      </c>
      <c r="M402" s="17">
        <f t="shared" si="32"/>
        <v>2.5</v>
      </c>
      <c r="N402" s="17">
        <f>IF(OR(L402="",L402=0),"",Параметры!$B$3/L402)</f>
        <v>20</v>
      </c>
      <c r="O402" s="15">
        <f>IF(L402="","",IFERROR(INDEX('Почасовка — ставки и план'!$D$5:$D$24,MATCH($D402,'Почасовка — ставки и план'!$A$5:$A$24,0)),""))</f>
        <v>550</v>
      </c>
      <c r="P402" s="15">
        <f>IF(L402="","",IFERROR(INDEX('Почасовка — ставки и план'!$E$5:$E$24,MATCH($D402,'Почасовка — ставки и план'!$A$5:$A$24,0)),""))</f>
        <v>660</v>
      </c>
      <c r="Q402" s="15">
        <f t="shared" si="33"/>
        <v>220</v>
      </c>
      <c r="R402" s="13" t="str">
        <f>IF(D402="TEX","аренда техники — сделка/счёт",IF(OR(Q402="",H402="",H402=0),"—",IF(Q402&lt;H402*(1-Параметры!$B$7),"почасовка",IF(Q402&gt;H402*(1+Параметры!$B$7),"сделка","любой способ"))))</f>
        <v>почасовка</v>
      </c>
      <c r="S402">
        <v>0</v>
      </c>
      <c r="T402">
        <v>0</v>
      </c>
    </row>
    <row r="403" spans="1:20" x14ac:dyDescent="0.25">
      <c r="A403" s="13" t="s">
        <v>863</v>
      </c>
      <c r="B403" s="13" t="s">
        <v>864</v>
      </c>
      <c r="C403" s="13" t="s">
        <v>865</v>
      </c>
      <c r="D403" s="13" t="s">
        <v>832</v>
      </c>
      <c r="E403" s="13" t="str">
        <f>IFERROR(INDEX('Почасовка — ставки и план'!$B$5:$B$24,MATCH(D403,'Почасовка — ставки и план'!$A$5:$A$24,0)),"Аренда техники / механизмы")</f>
        <v>Аренда техники / механизмы</v>
      </c>
      <c r="F403" s="14">
        <v>3500</v>
      </c>
      <c r="G403" s="14">
        <v>4000</v>
      </c>
      <c r="H403" s="15">
        <v>3000</v>
      </c>
      <c r="I403" s="15">
        <f>IF(OR(H403="",F403=""),"",MAX(H403,MIN(ROUND(H403*(1+Параметры!$B$5),IF(H403*(1+Параметры!$B$5)&gt;=1000,-1,0)),ROUND(F403*Параметры!$B$6,IF(F403*Параметры!$B$6&gt;=1000,-1,0)))))</f>
        <v>3000</v>
      </c>
      <c r="J403" s="15">
        <v>3400</v>
      </c>
      <c r="K403" s="15">
        <f>IF(OR(J403="",G403=""),"",MAX(J403,MIN(ROUND(J403*(1+Параметры!$B$5),IF(J403*(1+Параметры!$B$5)&gt;=1000,-1,0)),ROUND(G403*Параметры!$B$6,IF(G403*Параметры!$B$6&gt;=1000,-1,0)))))</f>
        <v>3400</v>
      </c>
      <c r="L403" s="16"/>
      <c r="M403" s="17" t="str">
        <f t="shared" si="32"/>
        <v/>
      </c>
      <c r="N403" s="17" t="str">
        <f>IF(OR(L403="",L403=0),"",Параметры!$B$3/L403)</f>
        <v/>
      </c>
      <c r="O403" s="15" t="str">
        <f>IF(L403="","",IFERROR(INDEX('Почасовка — ставки и план'!$D$5:$D$24,MATCH($D403,'Почасовка — ставки и план'!$A$5:$A$24,0)),""))</f>
        <v/>
      </c>
      <c r="P403" s="15" t="str">
        <f>IF(L403="","",IFERROR(INDEX('Почасовка — ставки и план'!$E$5:$E$24,MATCH($D403,'Почасовка — ставки и план'!$A$5:$A$24,0)),""))</f>
        <v/>
      </c>
      <c r="Q403" s="15" t="str">
        <f t="shared" si="33"/>
        <v/>
      </c>
      <c r="R403" s="13" t="str">
        <f>IF(D403="TEX","аренда техники — сделка/счёт",IF(OR(Q403="",H403="",H403=0),"—",IF(Q403&lt;H403*(1-Параметры!$B$7),"почасовка",IF(Q403&gt;H403*(1+Параметры!$B$7),"сделка","любой способ"))))</f>
        <v>аренда техники — сделка/счёт</v>
      </c>
      <c r="S403">
        <v>0</v>
      </c>
      <c r="T403">
        <v>0</v>
      </c>
    </row>
    <row r="404" spans="1:20" x14ac:dyDescent="0.25">
      <c r="A404" s="13" t="s">
        <v>866</v>
      </c>
      <c r="B404" s="13" t="s">
        <v>867</v>
      </c>
      <c r="C404" s="13" t="s">
        <v>865</v>
      </c>
      <c r="D404" s="13" t="s">
        <v>832</v>
      </c>
      <c r="E404" s="13" t="str">
        <f>IFERROR(INDEX('Почасовка — ставки и план'!$B$5:$B$24,MATCH(D404,'Почасовка — ставки и план'!$A$5:$A$24,0)),"Аренда техники / механизмы")</f>
        <v>Аренда техники / механизмы</v>
      </c>
      <c r="F404" s="14">
        <v>5500</v>
      </c>
      <c r="G404" s="14">
        <v>6300</v>
      </c>
      <c r="H404" s="15">
        <v>4700</v>
      </c>
      <c r="I404" s="15">
        <f>IF(OR(H404="",F404=""),"",MAX(H404,MIN(ROUND(H404*(1+Параметры!$B$5),IF(H404*(1+Параметры!$B$5)&gt;=1000,-1,0)),ROUND(F404*Параметры!$B$6,IF(F404*Параметры!$B$6&gt;=1000,-1,0)))))</f>
        <v>4700</v>
      </c>
      <c r="J404" s="15">
        <v>5400</v>
      </c>
      <c r="K404" s="15">
        <f>IF(OR(J404="",G404=""),"",MAX(J404,MIN(ROUND(J404*(1+Параметры!$B$5),IF(J404*(1+Параметры!$B$5)&gt;=1000,-1,0)),ROUND(G404*Параметры!$B$6,IF(G404*Параметры!$B$6&gt;=1000,-1,0)))))</f>
        <v>5400</v>
      </c>
      <c r="L404" s="16"/>
      <c r="M404" s="17" t="str">
        <f t="shared" si="32"/>
        <v/>
      </c>
      <c r="N404" s="17" t="str">
        <f>IF(OR(L404="",L404=0),"",Параметры!$B$3/L404)</f>
        <v/>
      </c>
      <c r="O404" s="15" t="str">
        <f>IF(L404="","",IFERROR(INDEX('Почасовка — ставки и план'!$D$5:$D$24,MATCH($D404,'Почасовка — ставки и план'!$A$5:$A$24,0)),""))</f>
        <v/>
      </c>
      <c r="P404" s="15" t="str">
        <f>IF(L404="","",IFERROR(INDEX('Почасовка — ставки и план'!$E$5:$E$24,MATCH($D404,'Почасовка — ставки и план'!$A$5:$A$24,0)),""))</f>
        <v/>
      </c>
      <c r="Q404" s="15" t="str">
        <f t="shared" si="33"/>
        <v/>
      </c>
      <c r="R404" s="13" t="str">
        <f>IF(D404="TEX","аренда техники — сделка/счёт",IF(OR(Q404="",H404="",H404=0),"—",IF(Q404&lt;H404*(1-Параметры!$B$7),"почасовка",IF(Q404&gt;H404*(1+Параметры!$B$7),"сделка","любой способ"))))</f>
        <v>аренда техники — сделка/счёт</v>
      </c>
      <c r="S404">
        <v>0</v>
      </c>
      <c r="T404">
        <v>0</v>
      </c>
    </row>
    <row r="405" spans="1:20" x14ac:dyDescent="0.25">
      <c r="A405" s="13" t="s">
        <v>868</v>
      </c>
      <c r="B405" s="13" t="s">
        <v>869</v>
      </c>
      <c r="C405" s="13" t="s">
        <v>865</v>
      </c>
      <c r="D405" s="13" t="s">
        <v>832</v>
      </c>
      <c r="E405" s="13" t="str">
        <f>IFERROR(INDEX('Почасовка — ставки и план'!$B$5:$B$24,MATCH(D405,'Почасовка — ставки и план'!$A$5:$A$24,0)),"Аренда техники / механизмы")</f>
        <v>Аренда техники / механизмы</v>
      </c>
      <c r="F405" s="14">
        <v>8500</v>
      </c>
      <c r="G405" s="14">
        <v>9800</v>
      </c>
      <c r="H405" s="15">
        <v>7200</v>
      </c>
      <c r="I405" s="15">
        <f>IF(OR(H405="",F405=""),"",MAX(H405,MIN(ROUND(H405*(1+Параметры!$B$5),IF(H405*(1+Параметры!$B$5)&gt;=1000,-1,0)),ROUND(F405*Параметры!$B$6,IF(F405*Параметры!$B$6&gt;=1000,-1,0)))))</f>
        <v>7200</v>
      </c>
      <c r="J405" s="15">
        <v>8300</v>
      </c>
      <c r="K405" s="15">
        <f>IF(OR(J405="",G405=""),"",MAX(J405,MIN(ROUND(J405*(1+Параметры!$B$5),IF(J405*(1+Параметры!$B$5)&gt;=1000,-1,0)),ROUND(G405*Параметры!$B$6,IF(G405*Параметры!$B$6&gt;=1000,-1,0)))))</f>
        <v>8300</v>
      </c>
      <c r="L405" s="16"/>
      <c r="M405" s="17" t="str">
        <f t="shared" si="32"/>
        <v/>
      </c>
      <c r="N405" s="17" t="str">
        <f>IF(OR(L405="",L405=0),"",Параметры!$B$3/L405)</f>
        <v/>
      </c>
      <c r="O405" s="15" t="str">
        <f>IF(L405="","",IFERROR(INDEX('Почасовка — ставки и план'!$D$5:$D$24,MATCH($D405,'Почасовка — ставки и план'!$A$5:$A$24,0)),""))</f>
        <v/>
      </c>
      <c r="P405" s="15" t="str">
        <f>IF(L405="","",IFERROR(INDEX('Почасовка — ставки и план'!$E$5:$E$24,MATCH($D405,'Почасовка — ставки и план'!$A$5:$A$24,0)),""))</f>
        <v/>
      </c>
      <c r="Q405" s="15" t="str">
        <f t="shared" si="33"/>
        <v/>
      </c>
      <c r="R405" s="13" t="str">
        <f>IF(D405="TEX","аренда техники — сделка/счёт",IF(OR(Q405="",H405="",H405=0),"—",IF(Q405&lt;H405*(1-Параметры!$B$7),"почасовка",IF(Q405&gt;H405*(1+Параметры!$B$7),"сделка","любой способ"))))</f>
        <v>аренда техники — сделка/счёт</v>
      </c>
      <c r="S405">
        <v>0</v>
      </c>
      <c r="T405">
        <v>0</v>
      </c>
    </row>
    <row r="406" spans="1:20" x14ac:dyDescent="0.25">
      <c r="A406" s="13" t="s">
        <v>870</v>
      </c>
      <c r="B406" s="13" t="s">
        <v>871</v>
      </c>
      <c r="C406" s="13" t="s">
        <v>865</v>
      </c>
      <c r="D406" s="13" t="s">
        <v>832</v>
      </c>
      <c r="E406" s="13" t="str">
        <f>IFERROR(INDEX('Почасовка — ставки и план'!$B$5:$B$24,MATCH(D406,'Почасовка — ставки и план'!$A$5:$A$24,0)),"Аренда техники / механизмы")</f>
        <v>Аренда техники / механизмы</v>
      </c>
      <c r="F406" s="14">
        <v>11000</v>
      </c>
      <c r="G406" s="14">
        <v>12700</v>
      </c>
      <c r="H406" s="15">
        <v>9400</v>
      </c>
      <c r="I406" s="15">
        <f>IF(OR(H406="",F406=""),"",MAX(H406,MIN(ROUND(H406*(1+Параметры!$B$5),IF(H406*(1+Параметры!$B$5)&gt;=1000,-1,0)),ROUND(F406*Параметры!$B$6,IF(F406*Параметры!$B$6&gt;=1000,-1,0)))))</f>
        <v>9400</v>
      </c>
      <c r="J406" s="15">
        <v>10800</v>
      </c>
      <c r="K406" s="15">
        <f>IF(OR(J406="",G406=""),"",MAX(J406,MIN(ROUND(J406*(1+Параметры!$B$5),IF(J406*(1+Параметры!$B$5)&gt;=1000,-1,0)),ROUND(G406*Параметры!$B$6,IF(G406*Параметры!$B$6&gt;=1000,-1,0)))))</f>
        <v>10800</v>
      </c>
      <c r="L406" s="16"/>
      <c r="M406" s="17" t="str">
        <f t="shared" si="32"/>
        <v/>
      </c>
      <c r="N406" s="17" t="str">
        <f>IF(OR(L406="",L406=0),"",Параметры!$B$3/L406)</f>
        <v/>
      </c>
      <c r="O406" s="15" t="str">
        <f>IF(L406="","",IFERROR(INDEX('Почасовка — ставки и план'!$D$5:$D$24,MATCH($D406,'Почасовка — ставки и план'!$A$5:$A$24,0)),""))</f>
        <v/>
      </c>
      <c r="P406" s="15" t="str">
        <f>IF(L406="","",IFERROR(INDEX('Почасовка — ставки и план'!$E$5:$E$24,MATCH($D406,'Почасовка — ставки и план'!$A$5:$A$24,0)),""))</f>
        <v/>
      </c>
      <c r="Q406" s="15" t="str">
        <f t="shared" si="33"/>
        <v/>
      </c>
      <c r="R406" s="13" t="str">
        <f>IF(D406="TEX","аренда техники — сделка/счёт",IF(OR(Q406="",H406="",H406=0),"—",IF(Q406&lt;H406*(1-Параметры!$B$7),"почасовка",IF(Q406&gt;H406*(1+Параметры!$B$7),"сделка","любой способ"))))</f>
        <v>аренда техники — сделка/счёт</v>
      </c>
      <c r="S406">
        <v>0</v>
      </c>
      <c r="T406">
        <v>0</v>
      </c>
    </row>
    <row r="407" spans="1:20" x14ac:dyDescent="0.25">
      <c r="A407" s="13" t="s">
        <v>872</v>
      </c>
      <c r="B407" s="13" t="s">
        <v>873</v>
      </c>
      <c r="C407" s="13" t="s">
        <v>865</v>
      </c>
      <c r="D407" s="13" t="s">
        <v>832</v>
      </c>
      <c r="E407" s="13" t="str">
        <f>IFERROR(INDEX('Почасовка — ставки и план'!$B$5:$B$24,MATCH(D407,'Почасовка — ставки и план'!$A$5:$A$24,0)),"Аренда техники / механизмы")</f>
        <v>Аренда техники / механизмы</v>
      </c>
      <c r="F407" s="14">
        <v>4500</v>
      </c>
      <c r="G407" s="14">
        <v>5200</v>
      </c>
      <c r="H407" s="15">
        <v>3800</v>
      </c>
      <c r="I407" s="15">
        <f>IF(OR(H407="",F407=""),"",MAX(H407,MIN(ROUND(H407*(1+Параметры!$B$5),IF(H407*(1+Параметры!$B$5)&gt;=1000,-1,0)),ROUND(F407*Параметры!$B$6,IF(F407*Параметры!$B$6&gt;=1000,-1,0)))))</f>
        <v>3800</v>
      </c>
      <c r="J407" s="15">
        <v>4400</v>
      </c>
      <c r="K407" s="15">
        <f>IF(OR(J407="",G407=""),"",MAX(J407,MIN(ROUND(J407*(1+Параметры!$B$5),IF(J407*(1+Параметры!$B$5)&gt;=1000,-1,0)),ROUND(G407*Параметры!$B$6,IF(G407*Параметры!$B$6&gt;=1000,-1,0)))))</f>
        <v>4400</v>
      </c>
      <c r="L407" s="16"/>
      <c r="M407" s="17" t="str">
        <f t="shared" si="32"/>
        <v/>
      </c>
      <c r="N407" s="17" t="str">
        <f>IF(OR(L407="",L407=0),"",Параметры!$B$3/L407)</f>
        <v/>
      </c>
      <c r="O407" s="15" t="str">
        <f>IF(L407="","",IFERROR(INDEX('Почасовка — ставки и план'!$D$5:$D$24,MATCH($D407,'Почасовка — ставки и план'!$A$5:$A$24,0)),""))</f>
        <v/>
      </c>
      <c r="P407" s="15" t="str">
        <f>IF(L407="","",IFERROR(INDEX('Почасовка — ставки и план'!$E$5:$E$24,MATCH($D407,'Почасовка — ставки и план'!$A$5:$A$24,0)),""))</f>
        <v/>
      </c>
      <c r="Q407" s="15" t="str">
        <f t="shared" si="33"/>
        <v/>
      </c>
      <c r="R407" s="13" t="str">
        <f>IF(D407="TEX","аренда техники — сделка/счёт",IF(OR(Q407="",H407="",H407=0),"—",IF(Q407&lt;H407*(1-Параметры!$B$7),"почасовка",IF(Q407&gt;H407*(1+Параметры!$B$7),"сделка","любой способ"))))</f>
        <v>аренда техники — сделка/счёт</v>
      </c>
      <c r="S407">
        <v>0</v>
      </c>
      <c r="T407">
        <v>0</v>
      </c>
    </row>
    <row r="408" spans="1:20" x14ac:dyDescent="0.25">
      <c r="A408" s="13" t="s">
        <v>874</v>
      </c>
      <c r="B408" s="13" t="s">
        <v>875</v>
      </c>
      <c r="C408" s="13" t="s">
        <v>865</v>
      </c>
      <c r="D408" s="13" t="s">
        <v>832</v>
      </c>
      <c r="E408" s="13" t="str">
        <f>IFERROR(INDEX('Почасовка — ставки и план'!$B$5:$B$24,MATCH(D408,'Почасовка — ставки и план'!$A$5:$A$24,0)),"Аренда техники / механизмы")</f>
        <v>Аренда техники / механизмы</v>
      </c>
      <c r="F408" s="14">
        <v>7500</v>
      </c>
      <c r="G408" s="14">
        <v>8600</v>
      </c>
      <c r="H408" s="15">
        <v>6400</v>
      </c>
      <c r="I408" s="15">
        <f>IF(OR(H408="",F408=""),"",MAX(H408,MIN(ROUND(H408*(1+Параметры!$B$5),IF(H408*(1+Параметры!$B$5)&gt;=1000,-1,0)),ROUND(F408*Параметры!$B$6,IF(F408*Параметры!$B$6&gt;=1000,-1,0)))))</f>
        <v>6400</v>
      </c>
      <c r="J408" s="15">
        <v>7300</v>
      </c>
      <c r="K408" s="15">
        <f>IF(OR(J408="",G408=""),"",MAX(J408,MIN(ROUND(J408*(1+Параметры!$B$5),IF(J408*(1+Параметры!$B$5)&gt;=1000,-1,0)),ROUND(G408*Параметры!$B$6,IF(G408*Параметры!$B$6&gt;=1000,-1,0)))))</f>
        <v>7300</v>
      </c>
      <c r="L408" s="16"/>
      <c r="M408" s="17" t="str">
        <f t="shared" si="32"/>
        <v/>
      </c>
      <c r="N408" s="17" t="str">
        <f>IF(OR(L408="",L408=0),"",Параметры!$B$3/L408)</f>
        <v/>
      </c>
      <c r="O408" s="15" t="str">
        <f>IF(L408="","",IFERROR(INDEX('Почасовка — ставки и план'!$D$5:$D$24,MATCH($D408,'Почасовка — ставки и план'!$A$5:$A$24,0)),""))</f>
        <v/>
      </c>
      <c r="P408" s="15" t="str">
        <f>IF(L408="","",IFERROR(INDEX('Почасовка — ставки и план'!$E$5:$E$24,MATCH($D408,'Почасовка — ставки и план'!$A$5:$A$24,0)),""))</f>
        <v/>
      </c>
      <c r="Q408" s="15" t="str">
        <f t="shared" si="33"/>
        <v/>
      </c>
      <c r="R408" s="13" t="str">
        <f>IF(D408="TEX","аренда техники — сделка/счёт",IF(OR(Q408="",H408="",H408=0),"—",IF(Q408&lt;H408*(1-Параметры!$B$7),"почасовка",IF(Q408&gt;H408*(1+Параметры!$B$7),"сделка","любой способ"))))</f>
        <v>аренда техники — сделка/счёт</v>
      </c>
      <c r="S408">
        <v>0</v>
      </c>
      <c r="T408">
        <v>0</v>
      </c>
    </row>
    <row r="409" spans="1:20" x14ac:dyDescent="0.25">
      <c r="A409" s="13" t="s">
        <v>876</v>
      </c>
      <c r="B409" s="13" t="s">
        <v>877</v>
      </c>
      <c r="C409" s="13" t="s">
        <v>865</v>
      </c>
      <c r="D409" s="13" t="s">
        <v>832</v>
      </c>
      <c r="E409" s="13" t="str">
        <f>IFERROR(INDEX('Почасовка — ставки и план'!$B$5:$B$24,MATCH(D409,'Почасовка — ставки и план'!$A$5:$A$24,0)),"Аренда техники / механизмы")</f>
        <v>Аренда техники / механизмы</v>
      </c>
      <c r="F409" s="14">
        <v>11000</v>
      </c>
      <c r="G409" s="14">
        <v>12700</v>
      </c>
      <c r="H409" s="15">
        <v>9400</v>
      </c>
      <c r="I409" s="15">
        <f>IF(OR(H409="",F409=""),"",MAX(H409,MIN(ROUND(H409*(1+Параметры!$B$5),IF(H409*(1+Параметры!$B$5)&gt;=1000,-1,0)),ROUND(F409*Параметры!$B$6,IF(F409*Параметры!$B$6&gt;=1000,-1,0)))))</f>
        <v>9400</v>
      </c>
      <c r="J409" s="15">
        <v>10800</v>
      </c>
      <c r="K409" s="15">
        <f>IF(OR(J409="",G409=""),"",MAX(J409,MIN(ROUND(J409*(1+Параметры!$B$5),IF(J409*(1+Параметры!$B$5)&gt;=1000,-1,0)),ROUND(G409*Параметры!$B$6,IF(G409*Параметры!$B$6&gt;=1000,-1,0)))))</f>
        <v>10800</v>
      </c>
      <c r="L409" s="16"/>
      <c r="M409" s="17" t="str">
        <f t="shared" si="32"/>
        <v/>
      </c>
      <c r="N409" s="17" t="str">
        <f>IF(OR(L409="",L409=0),"",Параметры!$B$3/L409)</f>
        <v/>
      </c>
      <c r="O409" s="15" t="str">
        <f>IF(L409="","",IFERROR(INDEX('Почасовка — ставки и план'!$D$5:$D$24,MATCH($D409,'Почасовка — ставки и план'!$A$5:$A$24,0)),""))</f>
        <v/>
      </c>
      <c r="P409" s="15" t="str">
        <f>IF(L409="","",IFERROR(INDEX('Почасовка — ставки и план'!$E$5:$E$24,MATCH($D409,'Почасовка — ставки и план'!$A$5:$A$24,0)),""))</f>
        <v/>
      </c>
      <c r="Q409" s="15" t="str">
        <f t="shared" si="33"/>
        <v/>
      </c>
      <c r="R409" s="13" t="str">
        <f>IF(D409="TEX","аренда техники — сделка/счёт",IF(OR(Q409="",H409="",H409=0),"—",IF(Q409&lt;H409*(1-Параметры!$B$7),"почасовка",IF(Q409&gt;H409*(1+Параметры!$B$7),"сделка","любой способ"))))</f>
        <v>аренда техники — сделка/счёт</v>
      </c>
      <c r="S409">
        <v>0</v>
      </c>
      <c r="T409">
        <v>0</v>
      </c>
    </row>
    <row r="410" spans="1:20" x14ac:dyDescent="0.25">
      <c r="A410" s="13" t="s">
        <v>878</v>
      </c>
      <c r="B410" s="13" t="s">
        <v>879</v>
      </c>
      <c r="C410" s="13" t="s">
        <v>865</v>
      </c>
      <c r="D410" s="13" t="s">
        <v>832</v>
      </c>
      <c r="E410" s="13" t="str">
        <f>IFERROR(INDEX('Почасовка — ставки и план'!$B$5:$B$24,MATCH(D410,'Почасовка — ставки и план'!$A$5:$A$24,0)),"Аренда техники / механизмы")</f>
        <v>Аренда техники / механизмы</v>
      </c>
      <c r="F410" s="14">
        <v>14000</v>
      </c>
      <c r="G410" s="14">
        <v>16100</v>
      </c>
      <c r="H410" s="15">
        <v>11900</v>
      </c>
      <c r="I410" s="15">
        <f>IF(OR(H410="",F410=""),"",MAX(H410,MIN(ROUND(H410*(1+Параметры!$B$5),IF(H410*(1+Параметры!$B$5)&gt;=1000,-1,0)),ROUND(F410*Параметры!$B$6,IF(F410*Параметры!$B$6&gt;=1000,-1,0)))))</f>
        <v>11900</v>
      </c>
      <c r="J410" s="15">
        <v>13700</v>
      </c>
      <c r="K410" s="15">
        <f>IF(OR(J410="",G410=""),"",MAX(J410,MIN(ROUND(J410*(1+Параметры!$B$5),IF(J410*(1+Параметры!$B$5)&gt;=1000,-1,0)),ROUND(G410*Параметры!$B$6,IF(G410*Параметры!$B$6&gt;=1000,-1,0)))))</f>
        <v>13700</v>
      </c>
      <c r="L410" s="16"/>
      <c r="M410" s="17" t="str">
        <f t="shared" si="32"/>
        <v/>
      </c>
      <c r="N410" s="17" t="str">
        <f>IF(OR(L410="",L410=0),"",Параметры!$B$3/L410)</f>
        <v/>
      </c>
      <c r="O410" s="15" t="str">
        <f>IF(L410="","",IFERROR(INDEX('Почасовка — ставки и план'!$D$5:$D$24,MATCH($D410,'Почасовка — ставки и план'!$A$5:$A$24,0)),""))</f>
        <v/>
      </c>
      <c r="P410" s="15" t="str">
        <f>IF(L410="","",IFERROR(INDEX('Почасовка — ставки и план'!$E$5:$E$24,MATCH($D410,'Почасовка — ставки и план'!$A$5:$A$24,0)),""))</f>
        <v/>
      </c>
      <c r="Q410" s="15" t="str">
        <f t="shared" si="33"/>
        <v/>
      </c>
      <c r="R410" s="13" t="str">
        <f>IF(D410="TEX","аренда техники — сделка/счёт",IF(OR(Q410="",H410="",H410=0),"—",IF(Q410&lt;H410*(1-Параметры!$B$7),"почасовка",IF(Q410&gt;H410*(1+Параметры!$B$7),"сделка","любой способ"))))</f>
        <v>аренда техники — сделка/счёт</v>
      </c>
      <c r="S410">
        <v>0</v>
      </c>
      <c r="T410">
        <v>0</v>
      </c>
    </row>
    <row r="411" spans="1:20" x14ac:dyDescent="0.25">
      <c r="A411" s="13" t="s">
        <v>880</v>
      </c>
      <c r="B411" s="13" t="s">
        <v>881</v>
      </c>
      <c r="C411" s="13" t="s">
        <v>865</v>
      </c>
      <c r="D411" s="13" t="s">
        <v>832</v>
      </c>
      <c r="E411" s="13" t="str">
        <f>IFERROR(INDEX('Почасовка — ставки и план'!$B$5:$B$24,MATCH(D411,'Почасовка — ставки и план'!$A$5:$A$24,0)),"Аренда техники / механизмы")</f>
        <v>Аренда техники / механизмы</v>
      </c>
      <c r="F411" s="14">
        <v>6000</v>
      </c>
      <c r="G411" s="14">
        <v>6900</v>
      </c>
      <c r="H411" s="15">
        <v>5100</v>
      </c>
      <c r="I411" s="15">
        <f>IF(OR(H411="",F411=""),"",MAX(H411,MIN(ROUND(H411*(1+Параметры!$B$5),IF(H411*(1+Параметры!$B$5)&gt;=1000,-1,0)),ROUND(F411*Параметры!$B$6,IF(F411*Параметры!$B$6&gt;=1000,-1,0)))))</f>
        <v>5100</v>
      </c>
      <c r="J411" s="15">
        <v>5900</v>
      </c>
      <c r="K411" s="15">
        <f>IF(OR(J411="",G411=""),"",MAX(J411,MIN(ROUND(J411*(1+Параметры!$B$5),IF(J411*(1+Параметры!$B$5)&gt;=1000,-1,0)),ROUND(G411*Параметры!$B$6,IF(G411*Параметры!$B$6&gt;=1000,-1,0)))))</f>
        <v>5900</v>
      </c>
      <c r="L411" s="16"/>
      <c r="M411" s="17" t="str">
        <f t="shared" si="32"/>
        <v/>
      </c>
      <c r="N411" s="17" t="str">
        <f>IF(OR(L411="",L411=0),"",Параметры!$B$3/L411)</f>
        <v/>
      </c>
      <c r="O411" s="15" t="str">
        <f>IF(L411="","",IFERROR(INDEX('Почасовка — ставки и план'!$D$5:$D$24,MATCH($D411,'Почасовка — ставки и план'!$A$5:$A$24,0)),""))</f>
        <v/>
      </c>
      <c r="P411" s="15" t="str">
        <f>IF(L411="","",IFERROR(INDEX('Почасовка — ставки и план'!$E$5:$E$24,MATCH($D411,'Почасовка — ставки и план'!$A$5:$A$24,0)),""))</f>
        <v/>
      </c>
      <c r="Q411" s="15" t="str">
        <f t="shared" si="33"/>
        <v/>
      </c>
      <c r="R411" s="13" t="str">
        <f>IF(D411="TEX","аренда техники — сделка/счёт",IF(OR(Q411="",H411="",H411=0),"—",IF(Q411&lt;H411*(1-Параметры!$B$7),"почасовка",IF(Q411&gt;H411*(1+Параметры!$B$7),"сделка","любой способ"))))</f>
        <v>аренда техники — сделка/счёт</v>
      </c>
      <c r="S411">
        <v>0</v>
      </c>
      <c r="T411">
        <v>0</v>
      </c>
    </row>
    <row r="412" spans="1:20" x14ac:dyDescent="0.25">
      <c r="A412" s="13" t="s">
        <v>882</v>
      </c>
      <c r="B412" s="13" t="s">
        <v>883</v>
      </c>
      <c r="C412" s="13" t="s">
        <v>865</v>
      </c>
      <c r="D412" s="13" t="s">
        <v>832</v>
      </c>
      <c r="E412" s="13" t="str">
        <f>IFERROR(INDEX('Почасовка — ставки и план'!$B$5:$B$24,MATCH(D412,'Почасовка — ставки и план'!$A$5:$A$24,0)),"Аренда техники / механизмы")</f>
        <v>Аренда техники / механизмы</v>
      </c>
      <c r="F412" s="14">
        <v>9500</v>
      </c>
      <c r="G412" s="14">
        <v>10900</v>
      </c>
      <c r="H412" s="15">
        <v>8100</v>
      </c>
      <c r="I412" s="15">
        <f>IF(OR(H412="",F412=""),"",MAX(H412,MIN(ROUND(H412*(1+Параметры!$B$5),IF(H412*(1+Параметры!$B$5)&gt;=1000,-1,0)),ROUND(F412*Параметры!$B$6,IF(F412*Параметры!$B$6&gt;=1000,-1,0)))))</f>
        <v>8100</v>
      </c>
      <c r="J412" s="15">
        <v>9300</v>
      </c>
      <c r="K412" s="15">
        <f>IF(OR(J412="",G412=""),"",MAX(J412,MIN(ROUND(J412*(1+Параметры!$B$5),IF(J412*(1+Параметры!$B$5)&gt;=1000,-1,0)),ROUND(G412*Параметры!$B$6,IF(G412*Параметры!$B$6&gt;=1000,-1,0)))))</f>
        <v>9300</v>
      </c>
      <c r="L412" s="16"/>
      <c r="M412" s="17" t="str">
        <f t="shared" si="32"/>
        <v/>
      </c>
      <c r="N412" s="17" t="str">
        <f>IF(OR(L412="",L412=0),"",Параметры!$B$3/L412)</f>
        <v/>
      </c>
      <c r="O412" s="15" t="str">
        <f>IF(L412="","",IFERROR(INDEX('Почасовка — ставки и план'!$D$5:$D$24,MATCH($D412,'Почасовка — ставки и план'!$A$5:$A$24,0)),""))</f>
        <v/>
      </c>
      <c r="P412" s="15" t="str">
        <f>IF(L412="","",IFERROR(INDEX('Почасовка — ставки и план'!$E$5:$E$24,MATCH($D412,'Почасовка — ставки и план'!$A$5:$A$24,0)),""))</f>
        <v/>
      </c>
      <c r="Q412" s="15" t="str">
        <f t="shared" si="33"/>
        <v/>
      </c>
      <c r="R412" s="13" t="str">
        <f>IF(D412="TEX","аренда техники — сделка/счёт",IF(OR(Q412="",H412="",H412=0),"—",IF(Q412&lt;H412*(1-Параметры!$B$7),"почасовка",IF(Q412&gt;H412*(1+Параметры!$B$7),"сделка","любой способ"))))</f>
        <v>аренда техники — сделка/счёт</v>
      </c>
      <c r="S412">
        <v>0</v>
      </c>
      <c r="T412">
        <v>0</v>
      </c>
    </row>
    <row r="413" spans="1:20" x14ac:dyDescent="0.25">
      <c r="A413" s="13" t="s">
        <v>884</v>
      </c>
      <c r="B413" s="13" t="s">
        <v>885</v>
      </c>
      <c r="C413" s="13" t="s">
        <v>865</v>
      </c>
      <c r="D413" s="13" t="s">
        <v>832</v>
      </c>
      <c r="E413" s="13" t="str">
        <f>IFERROR(INDEX('Почасовка — ставки и план'!$B$5:$B$24,MATCH(D413,'Почасовка — ставки и план'!$A$5:$A$24,0)),"Аренда техники / механизмы")</f>
        <v>Аренда техники / механизмы</v>
      </c>
      <c r="F413" s="14">
        <v>14000</v>
      </c>
      <c r="G413" s="14">
        <v>16100</v>
      </c>
      <c r="H413" s="15">
        <v>11900</v>
      </c>
      <c r="I413" s="15">
        <f>IF(OR(H413="",F413=""),"",MAX(H413,MIN(ROUND(H413*(1+Параметры!$B$5),IF(H413*(1+Параметры!$B$5)&gt;=1000,-1,0)),ROUND(F413*Параметры!$B$6,IF(F413*Параметры!$B$6&gt;=1000,-1,0)))))</f>
        <v>11900</v>
      </c>
      <c r="J413" s="15">
        <v>13700</v>
      </c>
      <c r="K413" s="15">
        <f>IF(OR(J413="",G413=""),"",MAX(J413,MIN(ROUND(J413*(1+Параметры!$B$5),IF(J413*(1+Параметры!$B$5)&gt;=1000,-1,0)),ROUND(G413*Параметры!$B$6,IF(G413*Параметры!$B$6&gt;=1000,-1,0)))))</f>
        <v>13700</v>
      </c>
      <c r="L413" s="16"/>
      <c r="M413" s="17" t="str">
        <f t="shared" si="32"/>
        <v/>
      </c>
      <c r="N413" s="17" t="str">
        <f>IF(OR(L413="",L413=0),"",Параметры!$B$3/L413)</f>
        <v/>
      </c>
      <c r="O413" s="15" t="str">
        <f>IF(L413="","",IFERROR(INDEX('Почасовка — ставки и план'!$D$5:$D$24,MATCH($D413,'Почасовка — ставки и план'!$A$5:$A$24,0)),""))</f>
        <v/>
      </c>
      <c r="P413" s="15" t="str">
        <f>IF(L413="","",IFERROR(INDEX('Почасовка — ставки и план'!$E$5:$E$24,MATCH($D413,'Почасовка — ставки и план'!$A$5:$A$24,0)),""))</f>
        <v/>
      </c>
      <c r="Q413" s="15" t="str">
        <f t="shared" si="33"/>
        <v/>
      </c>
      <c r="R413" s="13" t="str">
        <f>IF(D413="TEX","аренда техники — сделка/счёт",IF(OR(Q413="",H413="",H413=0),"—",IF(Q413&lt;H413*(1-Параметры!$B$7),"почасовка",IF(Q413&gt;H413*(1+Параметры!$B$7),"сделка","любой способ"))))</f>
        <v>аренда техники — сделка/счёт</v>
      </c>
      <c r="S413">
        <v>0</v>
      </c>
      <c r="T413">
        <v>0</v>
      </c>
    </row>
    <row r="414" spans="1:20" x14ac:dyDescent="0.25">
      <c r="A414" s="13" t="s">
        <v>886</v>
      </c>
      <c r="B414" s="13" t="s">
        <v>887</v>
      </c>
      <c r="C414" s="13" t="s">
        <v>865</v>
      </c>
      <c r="D414" s="13" t="s">
        <v>832</v>
      </c>
      <c r="E414" s="13" t="str">
        <f>IFERROR(INDEX('Почасовка — ставки и план'!$B$5:$B$24,MATCH(D414,'Почасовка — ставки и план'!$A$5:$A$24,0)),"Аренда техники / механизмы")</f>
        <v>Аренда техники / механизмы</v>
      </c>
      <c r="F414" s="14">
        <v>17500</v>
      </c>
      <c r="G414" s="14">
        <v>20100</v>
      </c>
      <c r="H414" s="15">
        <v>14900</v>
      </c>
      <c r="I414" s="15">
        <f>IF(OR(H414="",F414=""),"",MAX(H414,MIN(ROUND(H414*(1+Параметры!$B$5),IF(H414*(1+Параметры!$B$5)&gt;=1000,-1,0)),ROUND(F414*Параметры!$B$6,IF(F414*Параметры!$B$6&gt;=1000,-1,0)))))</f>
        <v>14900</v>
      </c>
      <c r="J414" s="15">
        <v>17100</v>
      </c>
      <c r="K414" s="15">
        <f>IF(OR(J414="",G414=""),"",MAX(J414,MIN(ROUND(J414*(1+Параметры!$B$5),IF(J414*(1+Параметры!$B$5)&gt;=1000,-1,0)),ROUND(G414*Параметры!$B$6,IF(G414*Параметры!$B$6&gt;=1000,-1,0)))))</f>
        <v>17100</v>
      </c>
      <c r="L414" s="16"/>
      <c r="M414" s="17" t="str">
        <f t="shared" si="32"/>
        <v/>
      </c>
      <c r="N414" s="17" t="str">
        <f>IF(OR(L414="",L414=0),"",Параметры!$B$3/L414)</f>
        <v/>
      </c>
      <c r="O414" s="15" t="str">
        <f>IF(L414="","",IFERROR(INDEX('Почасовка — ставки и план'!$D$5:$D$24,MATCH($D414,'Почасовка — ставки и план'!$A$5:$A$24,0)),""))</f>
        <v/>
      </c>
      <c r="P414" s="15" t="str">
        <f>IF(L414="","",IFERROR(INDEX('Почасовка — ставки и план'!$E$5:$E$24,MATCH($D414,'Почасовка — ставки и план'!$A$5:$A$24,0)),""))</f>
        <v/>
      </c>
      <c r="Q414" s="15" t="str">
        <f t="shared" si="33"/>
        <v/>
      </c>
      <c r="R414" s="13" t="str">
        <f>IF(D414="TEX","аренда техники — сделка/счёт",IF(OR(Q414="",H414="",H414=0),"—",IF(Q414&lt;H414*(1-Параметры!$B$7),"почасовка",IF(Q414&gt;H414*(1+Параметры!$B$7),"сделка","любой способ"))))</f>
        <v>аренда техники — сделка/счёт</v>
      </c>
      <c r="S414">
        <v>0</v>
      </c>
      <c r="T414">
        <v>0</v>
      </c>
    </row>
    <row r="415" spans="1:20" x14ac:dyDescent="0.25">
      <c r="A415" s="13" t="s">
        <v>888</v>
      </c>
      <c r="B415" s="13" t="s">
        <v>889</v>
      </c>
      <c r="C415" s="13" t="s">
        <v>865</v>
      </c>
      <c r="D415" s="13" t="s">
        <v>832</v>
      </c>
      <c r="E415" s="13" t="str">
        <f>IFERROR(INDEX('Почасовка — ставки и план'!$B$5:$B$24,MATCH(D415,'Почасовка — ставки и план'!$A$5:$A$24,0)),"Аренда техники / механизмы")</f>
        <v>Аренда техники / механизмы</v>
      </c>
      <c r="F415" s="14">
        <v>8500</v>
      </c>
      <c r="G415" s="14">
        <v>9800</v>
      </c>
      <c r="H415" s="15">
        <v>7200</v>
      </c>
      <c r="I415" s="15">
        <f>IF(OR(H415="",F415=""),"",MAX(H415,MIN(ROUND(H415*(1+Параметры!$B$5),IF(H415*(1+Параметры!$B$5)&gt;=1000,-1,0)),ROUND(F415*Параметры!$B$6,IF(F415*Параметры!$B$6&gt;=1000,-1,0)))))</f>
        <v>7200</v>
      </c>
      <c r="J415" s="15">
        <v>8300</v>
      </c>
      <c r="K415" s="15">
        <f>IF(OR(J415="",G415=""),"",MAX(J415,MIN(ROUND(J415*(1+Параметры!$B$5),IF(J415*(1+Параметры!$B$5)&gt;=1000,-1,0)),ROUND(G415*Параметры!$B$6,IF(G415*Параметры!$B$6&gt;=1000,-1,0)))))</f>
        <v>8300</v>
      </c>
      <c r="L415" s="16"/>
      <c r="M415" s="17" t="str">
        <f t="shared" si="32"/>
        <v/>
      </c>
      <c r="N415" s="17" t="str">
        <f>IF(OR(L415="",L415=0),"",Параметры!$B$3/L415)</f>
        <v/>
      </c>
      <c r="O415" s="15" t="str">
        <f>IF(L415="","",IFERROR(INDEX('Почасовка — ставки и план'!$D$5:$D$24,MATCH($D415,'Почасовка — ставки и план'!$A$5:$A$24,0)),""))</f>
        <v/>
      </c>
      <c r="P415" s="15" t="str">
        <f>IF(L415="","",IFERROR(INDEX('Почасовка — ставки и план'!$E$5:$E$24,MATCH($D415,'Почасовка — ставки и план'!$A$5:$A$24,0)),""))</f>
        <v/>
      </c>
      <c r="Q415" s="15" t="str">
        <f t="shared" si="33"/>
        <v/>
      </c>
      <c r="R415" s="13" t="str">
        <f>IF(D415="TEX","аренда техники — сделка/счёт",IF(OR(Q415="",H415="",H415=0),"—",IF(Q415&lt;H415*(1-Параметры!$B$7),"почасовка",IF(Q415&gt;H415*(1+Параметры!$B$7),"сделка","любой способ"))))</f>
        <v>аренда техники — сделка/счёт</v>
      </c>
      <c r="S415">
        <v>0</v>
      </c>
      <c r="T415">
        <v>0</v>
      </c>
    </row>
    <row r="416" spans="1:20" x14ac:dyDescent="0.25">
      <c r="A416" s="13" t="s">
        <v>890</v>
      </c>
      <c r="B416" s="13" t="s">
        <v>891</v>
      </c>
      <c r="C416" s="13" t="s">
        <v>865</v>
      </c>
      <c r="D416" s="13" t="s">
        <v>832</v>
      </c>
      <c r="E416" s="13" t="str">
        <f>IFERROR(INDEX('Почасовка — ставки и план'!$B$5:$B$24,MATCH(D416,'Почасовка — ставки и план'!$A$5:$A$24,0)),"Аренда техники / механизмы")</f>
        <v>Аренда техники / механизмы</v>
      </c>
      <c r="F416" s="14">
        <v>13000</v>
      </c>
      <c r="G416" s="14">
        <v>15000</v>
      </c>
      <c r="H416" s="15">
        <v>11000</v>
      </c>
      <c r="I416" s="15">
        <f>IF(OR(H416="",F416=""),"",MAX(H416,MIN(ROUND(H416*(1+Параметры!$B$5),IF(H416*(1+Параметры!$B$5)&gt;=1000,-1,0)),ROUND(F416*Параметры!$B$6,IF(F416*Параметры!$B$6&gt;=1000,-1,0)))))</f>
        <v>11000</v>
      </c>
      <c r="J416" s="15">
        <v>12700</v>
      </c>
      <c r="K416" s="15">
        <f>IF(OR(J416="",G416=""),"",MAX(J416,MIN(ROUND(J416*(1+Параметры!$B$5),IF(J416*(1+Параметры!$B$5)&gt;=1000,-1,0)),ROUND(G416*Параметры!$B$6,IF(G416*Параметры!$B$6&gt;=1000,-1,0)))))</f>
        <v>12700</v>
      </c>
      <c r="L416" s="16"/>
      <c r="M416" s="17" t="str">
        <f t="shared" ref="M416:M447" si="34">IF(OR(L416="",L416=0),"",1/L416)</f>
        <v/>
      </c>
      <c r="N416" s="17" t="str">
        <f>IF(OR(L416="",L416=0),"",Параметры!$B$3/L416)</f>
        <v/>
      </c>
      <c r="O416" s="15" t="str">
        <f>IF(L416="","",IFERROR(INDEX('Почасовка — ставки и план'!$D$5:$D$24,MATCH($D416,'Почасовка — ставки и план'!$A$5:$A$24,0)),""))</f>
        <v/>
      </c>
      <c r="P416" s="15" t="str">
        <f>IF(L416="","",IFERROR(INDEX('Почасовка — ставки и план'!$E$5:$E$24,MATCH($D416,'Почасовка — ставки и план'!$A$5:$A$24,0)),""))</f>
        <v/>
      </c>
      <c r="Q416" s="15" t="str">
        <f t="shared" ref="Q416:Q440" si="35">IF(OR(L416="",O416=""),"",ROUND(L416*O416,0))</f>
        <v/>
      </c>
      <c r="R416" s="13" t="str">
        <f>IF(D416="TEX","аренда техники — сделка/счёт",IF(OR(Q416="",H416="",H416=0),"—",IF(Q416&lt;H416*(1-Параметры!$B$7),"почасовка",IF(Q416&gt;H416*(1+Параметры!$B$7),"сделка","любой способ"))))</f>
        <v>аренда техники — сделка/счёт</v>
      </c>
      <c r="S416">
        <v>0</v>
      </c>
      <c r="T416">
        <v>0</v>
      </c>
    </row>
    <row r="417" spans="1:20" x14ac:dyDescent="0.25">
      <c r="A417" s="13" t="s">
        <v>892</v>
      </c>
      <c r="B417" s="13" t="s">
        <v>893</v>
      </c>
      <c r="C417" s="13" t="s">
        <v>865</v>
      </c>
      <c r="D417" s="13" t="s">
        <v>832</v>
      </c>
      <c r="E417" s="13" t="str">
        <f>IFERROR(INDEX('Почасовка — ставки и план'!$B$5:$B$24,MATCH(D417,'Почасовка — ставки и план'!$A$5:$A$24,0)),"Аренда техники / механизмы")</f>
        <v>Аренда техники / механизмы</v>
      </c>
      <c r="F417" s="14">
        <v>18500</v>
      </c>
      <c r="G417" s="14">
        <v>21300</v>
      </c>
      <c r="H417" s="15">
        <v>15700</v>
      </c>
      <c r="I417" s="15">
        <f>IF(OR(H417="",F417=""),"",MAX(H417,MIN(ROUND(H417*(1+Параметры!$B$5),IF(H417*(1+Параметры!$B$5)&gt;=1000,-1,0)),ROUND(F417*Параметры!$B$6,IF(F417*Параметры!$B$6&gt;=1000,-1,0)))))</f>
        <v>15700</v>
      </c>
      <c r="J417" s="15">
        <v>18100</v>
      </c>
      <c r="K417" s="15">
        <f>IF(OR(J417="",G417=""),"",MAX(J417,MIN(ROUND(J417*(1+Параметры!$B$5),IF(J417*(1+Параметры!$B$5)&gt;=1000,-1,0)),ROUND(G417*Параметры!$B$6,IF(G417*Параметры!$B$6&gt;=1000,-1,0)))))</f>
        <v>18100</v>
      </c>
      <c r="L417" s="16"/>
      <c r="M417" s="17" t="str">
        <f t="shared" si="34"/>
        <v/>
      </c>
      <c r="N417" s="17" t="str">
        <f>IF(OR(L417="",L417=0),"",Параметры!$B$3/L417)</f>
        <v/>
      </c>
      <c r="O417" s="15" t="str">
        <f>IF(L417="","",IFERROR(INDEX('Почасовка — ставки и план'!$D$5:$D$24,MATCH($D417,'Почасовка — ставки и план'!$A$5:$A$24,0)),""))</f>
        <v/>
      </c>
      <c r="P417" s="15" t="str">
        <f>IF(L417="","",IFERROR(INDEX('Почасовка — ставки и план'!$E$5:$E$24,MATCH($D417,'Почасовка — ставки и план'!$A$5:$A$24,0)),""))</f>
        <v/>
      </c>
      <c r="Q417" s="15" t="str">
        <f t="shared" si="35"/>
        <v/>
      </c>
      <c r="R417" s="13" t="str">
        <f>IF(D417="TEX","аренда техники — сделка/счёт",IF(OR(Q417="",H417="",H417=0),"—",IF(Q417&lt;H417*(1-Параметры!$B$7),"почасовка",IF(Q417&gt;H417*(1+Параметры!$B$7),"сделка","любой способ"))))</f>
        <v>аренда техники — сделка/счёт</v>
      </c>
      <c r="S417">
        <v>0</v>
      </c>
      <c r="T417">
        <v>0</v>
      </c>
    </row>
    <row r="418" spans="1:20" x14ac:dyDescent="0.25">
      <c r="A418" s="13" t="s">
        <v>894</v>
      </c>
      <c r="B418" s="13" t="s">
        <v>895</v>
      </c>
      <c r="C418" s="13" t="s">
        <v>865</v>
      </c>
      <c r="D418" s="13" t="s">
        <v>832</v>
      </c>
      <c r="E418" s="13" t="str">
        <f>IFERROR(INDEX('Почасовка — ставки и план'!$B$5:$B$24,MATCH(D418,'Почасовка — ставки и план'!$A$5:$A$24,0)),"Аренда техники / механизмы")</f>
        <v>Аренда техники / механизмы</v>
      </c>
      <c r="F418" s="14">
        <v>23000</v>
      </c>
      <c r="G418" s="14">
        <v>26500</v>
      </c>
      <c r="H418" s="15">
        <v>19500</v>
      </c>
      <c r="I418" s="15">
        <f>IF(OR(H418="",F418=""),"",MAX(H418,MIN(ROUND(H418*(1+Параметры!$B$5),IF(H418*(1+Параметры!$B$5)&gt;=1000,-1,0)),ROUND(F418*Параметры!$B$6,IF(F418*Параметры!$B$6&gt;=1000,-1,0)))))</f>
        <v>19500</v>
      </c>
      <c r="J418" s="15">
        <v>22500</v>
      </c>
      <c r="K418" s="15">
        <f>IF(OR(J418="",G418=""),"",MAX(J418,MIN(ROUND(J418*(1+Параметры!$B$5),IF(J418*(1+Параметры!$B$5)&gt;=1000,-1,0)),ROUND(G418*Параметры!$B$6,IF(G418*Параметры!$B$6&gt;=1000,-1,0)))))</f>
        <v>22500</v>
      </c>
      <c r="L418" s="16"/>
      <c r="M418" s="17" t="str">
        <f t="shared" si="34"/>
        <v/>
      </c>
      <c r="N418" s="17" t="str">
        <f>IF(OR(L418="",L418=0),"",Параметры!$B$3/L418)</f>
        <v/>
      </c>
      <c r="O418" s="15" t="str">
        <f>IF(L418="","",IFERROR(INDEX('Почасовка — ставки и план'!$D$5:$D$24,MATCH($D418,'Почасовка — ставки и план'!$A$5:$A$24,0)),""))</f>
        <v/>
      </c>
      <c r="P418" s="15" t="str">
        <f>IF(L418="","",IFERROR(INDEX('Почасовка — ставки и план'!$E$5:$E$24,MATCH($D418,'Почасовка — ставки и план'!$A$5:$A$24,0)),""))</f>
        <v/>
      </c>
      <c r="Q418" s="15" t="str">
        <f t="shared" si="35"/>
        <v/>
      </c>
      <c r="R418" s="13" t="str">
        <f>IF(D418="TEX","аренда техники — сделка/счёт",IF(OR(Q418="",H418="",H418=0),"—",IF(Q418&lt;H418*(1-Параметры!$B$7),"почасовка",IF(Q418&gt;H418*(1+Параметры!$B$7),"сделка","любой способ"))))</f>
        <v>аренда техники — сделка/счёт</v>
      </c>
      <c r="S418">
        <v>0</v>
      </c>
      <c r="T418">
        <v>0</v>
      </c>
    </row>
    <row r="419" spans="1:20" x14ac:dyDescent="0.25">
      <c r="A419" s="13" t="s">
        <v>896</v>
      </c>
      <c r="B419" s="13" t="s">
        <v>897</v>
      </c>
      <c r="C419" s="13" t="s">
        <v>865</v>
      </c>
      <c r="D419" s="13" t="s">
        <v>60</v>
      </c>
      <c r="E419" s="13" t="str">
        <f>IFERROR(INDEX('Почасовка — ставки и план'!$B$5:$B$24,MATCH(D419,'Почасовка — ставки и план'!$A$5:$A$24,0)),"Аренда техники / механизмы")</f>
        <v>Разнорабочий / демонтажник</v>
      </c>
      <c r="F419" s="14">
        <v>3500</v>
      </c>
      <c r="G419" s="14">
        <v>4000</v>
      </c>
      <c r="H419" s="15">
        <v>2000</v>
      </c>
      <c r="I419" s="15">
        <f>IF(OR(H419="",F419=""),"",MAX(H419,MIN(ROUND(H419*(1+Параметры!$B$5),IF(H419*(1+Параметры!$B$5)&gt;=1000,-1,0)),ROUND(F419*Параметры!$B$6,IF(F419*Параметры!$B$6&gt;=1000,-1,0)))))</f>
        <v>2300</v>
      </c>
      <c r="J419" s="15">
        <v>2300</v>
      </c>
      <c r="K419" s="15">
        <f>IF(OR(J419="",G419=""),"",MAX(J419,MIN(ROUND(J419*(1+Параметры!$B$5),IF(J419*(1+Параметры!$B$5)&gt;=1000,-1,0)),ROUND(G419*Параметры!$B$6,IF(G419*Параметры!$B$6&gt;=1000,-1,0)))))</f>
        <v>2650</v>
      </c>
      <c r="L419" s="16">
        <v>2.5</v>
      </c>
      <c r="M419" s="17">
        <f t="shared" si="34"/>
        <v>0.4</v>
      </c>
      <c r="N419" s="17">
        <f>IF(OR(L419="",L419=0),"",Параметры!$B$3/L419)</f>
        <v>3.2</v>
      </c>
      <c r="O419" s="15">
        <f>IF(L419="","",IFERROR(INDEX('Почасовка — ставки и план'!$D$5:$D$24,MATCH($D419,'Почасовка — ставки и план'!$A$5:$A$24,0)),""))</f>
        <v>550</v>
      </c>
      <c r="P419" s="15">
        <f>IF(L419="","",IFERROR(INDEX('Почасовка — ставки и план'!$E$5:$E$24,MATCH($D419,'Почасовка — ставки и план'!$A$5:$A$24,0)),""))</f>
        <v>660</v>
      </c>
      <c r="Q419" s="15">
        <f t="shared" si="35"/>
        <v>1375</v>
      </c>
      <c r="R419" s="13" t="str">
        <f>IF(D419="TEX","аренда техники — сделка/счёт",IF(OR(Q419="",H419="",H419=0),"—",IF(Q419&lt;H419*(1-Параметры!$B$7),"почасовка",IF(Q419&gt;H419*(1+Параметры!$B$7),"сделка","любой способ"))))</f>
        <v>почасовка</v>
      </c>
      <c r="S419">
        <v>0</v>
      </c>
      <c r="T419">
        <v>0</v>
      </c>
    </row>
    <row r="420" spans="1:20" x14ac:dyDescent="0.25">
      <c r="A420" s="13" t="s">
        <v>898</v>
      </c>
      <c r="B420" s="13" t="s">
        <v>899</v>
      </c>
      <c r="C420" s="13" t="s">
        <v>865</v>
      </c>
      <c r="D420" s="13" t="s">
        <v>60</v>
      </c>
      <c r="E420" s="13" t="str">
        <f>IFERROR(INDEX('Почасовка — ставки и план'!$B$5:$B$24,MATCH(D420,'Почасовка — ставки и план'!$A$5:$A$24,0)),"Аренда техники / механизмы")</f>
        <v>Разнорабочий / демонтажник</v>
      </c>
      <c r="F420" s="14">
        <v>5000</v>
      </c>
      <c r="G420" s="14">
        <v>5800</v>
      </c>
      <c r="H420" s="15">
        <v>2900</v>
      </c>
      <c r="I420" s="15">
        <f>IF(OR(H420="",F420=""),"",MAX(H420,MIN(ROUND(H420*(1+Параметры!$B$5),IF(H420*(1+Параметры!$B$5)&gt;=1000,-1,0)),ROUND(F420*Параметры!$B$6,IF(F420*Параметры!$B$6&gt;=1000,-1,0)))))</f>
        <v>3340</v>
      </c>
      <c r="J420" s="15">
        <v>3350</v>
      </c>
      <c r="K420" s="15">
        <f>IF(OR(J420="",G420=""),"",MAX(J420,MIN(ROUND(J420*(1+Параметры!$B$5),IF(J420*(1+Параметры!$B$5)&gt;=1000,-1,0)),ROUND(G420*Параметры!$B$6,IF(G420*Параметры!$B$6&gt;=1000,-1,0)))))</f>
        <v>3850</v>
      </c>
      <c r="L420" s="16">
        <v>3.5</v>
      </c>
      <c r="M420" s="17">
        <f t="shared" si="34"/>
        <v>0.2857142857142857</v>
      </c>
      <c r="N420" s="17">
        <f>IF(OR(L420="",L420=0),"",Параметры!$B$3/L420)</f>
        <v>2.2857142857142856</v>
      </c>
      <c r="O420" s="15">
        <f>IF(L420="","",IFERROR(INDEX('Почасовка — ставки и план'!$D$5:$D$24,MATCH($D420,'Почасовка — ставки и план'!$A$5:$A$24,0)),""))</f>
        <v>550</v>
      </c>
      <c r="P420" s="15">
        <f>IF(L420="","",IFERROR(INDEX('Почасовка — ставки и план'!$E$5:$E$24,MATCH($D420,'Почасовка — ставки и план'!$A$5:$A$24,0)),""))</f>
        <v>660</v>
      </c>
      <c r="Q420" s="15">
        <f t="shared" si="35"/>
        <v>1925</v>
      </c>
      <c r="R420" s="13" t="str">
        <f>IF(D420="TEX","аренда техники — сделка/счёт",IF(OR(Q420="",H420="",H420=0),"—",IF(Q420&lt;H420*(1-Параметры!$B$7),"почасовка",IF(Q420&gt;H420*(1+Параметры!$B$7),"сделка","любой способ"))))</f>
        <v>почасовка</v>
      </c>
      <c r="S420">
        <v>0</v>
      </c>
      <c r="T420">
        <v>0</v>
      </c>
    </row>
    <row r="421" spans="1:20" x14ac:dyDescent="0.25">
      <c r="A421" s="13" t="s">
        <v>900</v>
      </c>
      <c r="B421" s="13" t="s">
        <v>901</v>
      </c>
      <c r="C421" s="13" t="s">
        <v>865</v>
      </c>
      <c r="D421" s="13" t="s">
        <v>60</v>
      </c>
      <c r="E421" s="13" t="str">
        <f>IFERROR(INDEX('Почасовка — ставки и план'!$B$5:$B$24,MATCH(D421,'Почасовка — ставки и план'!$A$5:$A$24,0)),"Аренда техники / механизмы")</f>
        <v>Разнорабочий / демонтажник</v>
      </c>
      <c r="F421" s="14">
        <v>7000</v>
      </c>
      <c r="G421" s="14">
        <v>8000</v>
      </c>
      <c r="H421" s="15">
        <v>4000</v>
      </c>
      <c r="I421" s="15">
        <f>IF(OR(H421="",F421=""),"",MAX(H421,MIN(ROUND(H421*(1+Параметры!$B$5),IF(H421*(1+Параметры!$B$5)&gt;=1000,-1,0)),ROUND(F421*Параметры!$B$6,IF(F421*Параметры!$B$6&gt;=1000,-1,0)))))</f>
        <v>4600</v>
      </c>
      <c r="J421" s="15">
        <v>4600</v>
      </c>
      <c r="K421" s="15">
        <f>IF(OR(J421="",G421=""),"",MAX(J421,MIN(ROUND(J421*(1+Параметры!$B$5),IF(J421*(1+Параметры!$B$5)&gt;=1000,-1,0)),ROUND(G421*Параметры!$B$6,IF(G421*Параметры!$B$6&gt;=1000,-1,0)))))</f>
        <v>5290</v>
      </c>
      <c r="L421" s="16">
        <v>5</v>
      </c>
      <c r="M421" s="17">
        <f t="shared" si="34"/>
        <v>0.2</v>
      </c>
      <c r="N421" s="17">
        <f>IF(OR(L421="",L421=0),"",Параметры!$B$3/L421)</f>
        <v>1.6</v>
      </c>
      <c r="O421" s="15">
        <f>IF(L421="","",IFERROR(INDEX('Почасовка — ставки и план'!$D$5:$D$24,MATCH($D421,'Почасовка — ставки и план'!$A$5:$A$24,0)),""))</f>
        <v>550</v>
      </c>
      <c r="P421" s="15">
        <f>IF(L421="","",IFERROR(INDEX('Почасовка — ставки и план'!$E$5:$E$24,MATCH($D421,'Почасовка — ставки и план'!$A$5:$A$24,0)),""))</f>
        <v>660</v>
      </c>
      <c r="Q421" s="15">
        <f t="shared" si="35"/>
        <v>2750</v>
      </c>
      <c r="R421" s="13" t="str">
        <f>IF(D421="TEX","аренда техники — сделка/счёт",IF(OR(Q421="",H421="",H421=0),"—",IF(Q421&lt;H421*(1-Параметры!$B$7),"почасовка",IF(Q421&gt;H421*(1+Параметры!$B$7),"сделка","любой способ"))))</f>
        <v>почасовка</v>
      </c>
      <c r="S421">
        <v>0</v>
      </c>
      <c r="T421">
        <v>0</v>
      </c>
    </row>
    <row r="422" spans="1:20" x14ac:dyDescent="0.25">
      <c r="A422" s="13" t="s">
        <v>902</v>
      </c>
      <c r="B422" s="13" t="s">
        <v>903</v>
      </c>
      <c r="C422" s="13" t="s">
        <v>865</v>
      </c>
      <c r="D422" s="13" t="s">
        <v>60</v>
      </c>
      <c r="E422" s="13" t="str">
        <f>IFERROR(INDEX('Почасовка — ставки и план'!$B$5:$B$24,MATCH(D422,'Почасовка — ставки и план'!$A$5:$A$24,0)),"Аренда техники / механизмы")</f>
        <v>Разнорабочий / демонтажник</v>
      </c>
      <c r="F422" s="14">
        <v>9000</v>
      </c>
      <c r="G422" s="14">
        <v>10300</v>
      </c>
      <c r="H422" s="15">
        <v>5200</v>
      </c>
      <c r="I422" s="15">
        <f>IF(OR(H422="",F422=""),"",MAX(H422,MIN(ROUND(H422*(1+Параметры!$B$5),IF(H422*(1+Параметры!$B$5)&gt;=1000,-1,0)),ROUND(F422*Параметры!$B$6,IF(F422*Параметры!$B$6&gt;=1000,-1,0)))))</f>
        <v>5980</v>
      </c>
      <c r="J422" s="15">
        <v>6000</v>
      </c>
      <c r="K422" s="15">
        <f>IF(OR(J422="",G422=""),"",MAX(J422,MIN(ROUND(J422*(1+Параметры!$B$5),IF(J422*(1+Параметры!$B$5)&gt;=1000,-1,0)),ROUND(G422*Параметры!$B$6,IF(G422*Параметры!$B$6&gt;=1000,-1,0)))))</f>
        <v>6900</v>
      </c>
      <c r="L422" s="16">
        <v>6.5</v>
      </c>
      <c r="M422" s="17">
        <f t="shared" si="34"/>
        <v>0.15384615384615385</v>
      </c>
      <c r="N422" s="17">
        <f>IF(OR(L422="",L422=0),"",Параметры!$B$3/L422)</f>
        <v>1.2307692307692308</v>
      </c>
      <c r="O422" s="15">
        <f>IF(L422="","",IFERROR(INDEX('Почасовка — ставки и план'!$D$5:$D$24,MATCH($D422,'Почасовка — ставки и план'!$A$5:$A$24,0)),""))</f>
        <v>550</v>
      </c>
      <c r="P422" s="15">
        <f>IF(L422="","",IFERROR(INDEX('Почасовка — ставки и план'!$E$5:$E$24,MATCH($D422,'Почасовка — ставки и план'!$A$5:$A$24,0)),""))</f>
        <v>660</v>
      </c>
      <c r="Q422" s="15">
        <f t="shared" si="35"/>
        <v>3575</v>
      </c>
      <c r="R422" s="13" t="str">
        <f>IF(D422="TEX","аренда техники — сделка/счёт",IF(OR(Q422="",H422="",H422=0),"—",IF(Q422&lt;H422*(1-Параметры!$B$7),"почасовка",IF(Q422&gt;H422*(1+Параметры!$B$7),"сделка","любой способ"))))</f>
        <v>почасовка</v>
      </c>
      <c r="S422">
        <v>0</v>
      </c>
      <c r="T422">
        <v>0</v>
      </c>
    </row>
    <row r="423" spans="1:20" x14ac:dyDescent="0.25">
      <c r="A423" s="13" t="s">
        <v>904</v>
      </c>
      <c r="B423" s="13" t="s">
        <v>905</v>
      </c>
      <c r="C423" s="13" t="s">
        <v>906</v>
      </c>
      <c r="D423" s="13" t="s">
        <v>60</v>
      </c>
      <c r="E423" s="13" t="str">
        <f>IFERROR(INDEX('Почасовка — ставки и план'!$B$5:$B$24,MATCH(D423,'Почасовка — ставки и план'!$A$5:$A$24,0)),"Аренда техники / механизмы")</f>
        <v>Разнорабочий / демонтажник</v>
      </c>
      <c r="F423" s="14">
        <v>1500</v>
      </c>
      <c r="G423" s="14">
        <v>1800</v>
      </c>
      <c r="H423" s="15">
        <v>750</v>
      </c>
      <c r="I423" s="15">
        <f>IF(OR(H423="",F423=""),"",MAX(H423,MIN(ROUND(H423*(1+Параметры!$B$5),IF(H423*(1+Параметры!$B$5)&gt;=1000,-1,0)),ROUND(F423*Параметры!$B$6,IF(F423*Параметры!$B$6&gt;=1000,-1,0)))))</f>
        <v>863</v>
      </c>
      <c r="J423" s="15">
        <v>850</v>
      </c>
      <c r="K423" s="15">
        <f>IF(OR(J423="",G423=""),"",MAX(J423,MIN(ROUND(J423*(1+Параметры!$B$5),IF(J423*(1+Параметры!$B$5)&gt;=1000,-1,0)),ROUND(G423*Параметры!$B$6,IF(G423*Параметры!$B$6&gt;=1000,-1,0)))))</f>
        <v>978</v>
      </c>
      <c r="L423" s="16">
        <v>1</v>
      </c>
      <c r="M423" s="17">
        <f t="shared" si="34"/>
        <v>1</v>
      </c>
      <c r="N423" s="17">
        <f>IF(OR(L423="",L423=0),"",Параметры!$B$3/L423)</f>
        <v>8</v>
      </c>
      <c r="O423" s="15">
        <f>IF(L423="","",IFERROR(INDEX('Почасовка — ставки и план'!$D$5:$D$24,MATCH($D423,'Почасовка — ставки и план'!$A$5:$A$24,0)),""))</f>
        <v>550</v>
      </c>
      <c r="P423" s="15">
        <f>IF(L423="","",IFERROR(INDEX('Почасовка — ставки и план'!$E$5:$E$24,MATCH($D423,'Почасовка — ставки и план'!$A$5:$A$24,0)),""))</f>
        <v>660</v>
      </c>
      <c r="Q423" s="15">
        <f t="shared" si="35"/>
        <v>550</v>
      </c>
      <c r="R423" s="13" t="str">
        <f>IF(D423="TEX","аренда техники — сделка/счёт",IF(OR(Q423="",H423="",H423=0),"—",IF(Q423&lt;H423*(1-Параметры!$B$7),"почасовка",IF(Q423&gt;H423*(1+Параметры!$B$7),"сделка","любой способ"))))</f>
        <v>почасовка</v>
      </c>
      <c r="S423">
        <v>0</v>
      </c>
      <c r="T423">
        <v>0</v>
      </c>
    </row>
    <row r="424" spans="1:20" x14ac:dyDescent="0.25">
      <c r="A424" s="13" t="s">
        <v>907</v>
      </c>
      <c r="B424" s="13" t="s">
        <v>908</v>
      </c>
      <c r="C424" s="13" t="s">
        <v>144</v>
      </c>
      <c r="D424" s="13" t="s">
        <v>747</v>
      </c>
      <c r="E424" s="13" t="str">
        <f>IFERROR(INDEX('Почасовка — ставки и план'!$B$5:$B$24,MATCH(D424,'Почасовка — ставки и план'!$A$5:$A$24,0)),"Аренда техники / механизмы")</f>
        <v>Механик ПС / подъёмников / прессов / доков</v>
      </c>
      <c r="F424" s="14">
        <v>4000</v>
      </c>
      <c r="G424" s="14">
        <v>4800</v>
      </c>
      <c r="H424" s="15">
        <v>1500</v>
      </c>
      <c r="I424" s="15">
        <f>IF(OR(H424="",F424=""),"",MAX(H424,MIN(ROUND(H424*(1+Параметры!$B$5),IF(H424*(1+Параметры!$B$5)&gt;=1000,-1,0)),ROUND(F424*Параметры!$B$6,IF(F424*Параметры!$B$6&gt;=1000,-1,0)))))</f>
        <v>1730</v>
      </c>
      <c r="J424" s="15">
        <v>1700</v>
      </c>
      <c r="K424" s="15">
        <f>IF(OR(J424="",G424=""),"",MAX(J424,MIN(ROUND(J424*(1+Параметры!$B$5),IF(J424*(1+Параметры!$B$5)&gt;=1000,-1,0)),ROUND(G424*Параметры!$B$6,IF(G424*Параметры!$B$6&gt;=1000,-1,0)))))</f>
        <v>1960</v>
      </c>
      <c r="L424" s="16">
        <v>2</v>
      </c>
      <c r="M424" s="17">
        <f t="shared" si="34"/>
        <v>0.5</v>
      </c>
      <c r="N424" s="17">
        <f>IF(OR(L424="",L424=0),"",Параметры!$B$3/L424)</f>
        <v>4</v>
      </c>
      <c r="O424" s="15">
        <f>IF(L424="","",IFERROR(INDEX('Почасовка — ставки и план'!$D$5:$D$24,MATCH($D424,'Почасовка — ставки и план'!$A$5:$A$24,0)),""))</f>
        <v>1500</v>
      </c>
      <c r="P424" s="15">
        <f>IF(L424="","",IFERROR(INDEX('Почасовка — ставки и план'!$E$5:$E$24,MATCH($D424,'Почасовка — ставки и план'!$A$5:$A$24,0)),""))</f>
        <v>1800</v>
      </c>
      <c r="Q424" s="15">
        <f t="shared" si="35"/>
        <v>3000</v>
      </c>
      <c r="R424" s="13" t="str">
        <f>IF(D424="TEX","аренда техники — сделка/счёт",IF(OR(Q424="",H424="",H424=0),"—",IF(Q424&lt;H424*(1-Параметры!$B$7),"почасовка",IF(Q424&gt;H424*(1+Параметры!$B$7),"сделка","любой способ"))))</f>
        <v>сделка</v>
      </c>
      <c r="S424">
        <v>0.60000000000000009</v>
      </c>
      <c r="T424">
        <v>0.65517241379310343</v>
      </c>
    </row>
    <row r="425" spans="1:20" x14ac:dyDescent="0.25">
      <c r="A425" s="13" t="s">
        <v>909</v>
      </c>
      <c r="B425" s="13" t="s">
        <v>910</v>
      </c>
      <c r="C425" s="13" t="s">
        <v>72</v>
      </c>
      <c r="D425" s="13" t="s">
        <v>60</v>
      </c>
      <c r="E425" s="13" t="str">
        <f>IFERROR(INDEX('Почасовка — ставки и план'!$B$5:$B$24,MATCH(D425,'Почасовка — ставки и план'!$A$5:$A$24,0)),"Аренда техники / механизмы")</f>
        <v>Разнорабочий / демонтажник</v>
      </c>
      <c r="F425" s="14">
        <v>600</v>
      </c>
      <c r="G425" s="14">
        <v>700</v>
      </c>
      <c r="H425" s="15">
        <v>350</v>
      </c>
      <c r="I425" s="15">
        <f>IF(OR(H425="",F425=""),"",MAX(H425,MIN(ROUND(H425*(1+Параметры!$B$5),IF(H425*(1+Параметры!$B$5)&gt;=1000,-1,0)),ROUND(F425*Параметры!$B$6,IF(F425*Параметры!$B$6&gt;=1000,-1,0)))))</f>
        <v>403</v>
      </c>
      <c r="J425" s="15">
        <v>400</v>
      </c>
      <c r="K425" s="15">
        <f>IF(OR(J425="",G425=""),"",MAX(J425,MIN(ROUND(J425*(1+Параметры!$B$5),IF(J425*(1+Параметры!$B$5)&gt;=1000,-1,0)),ROUND(G425*Параметры!$B$6,IF(G425*Параметры!$B$6&gt;=1000,-1,0)))))</f>
        <v>460</v>
      </c>
      <c r="L425" s="16">
        <v>0.5</v>
      </c>
      <c r="M425" s="17">
        <f t="shared" si="34"/>
        <v>2</v>
      </c>
      <c r="N425" s="17">
        <f>IF(OR(L425="",L425=0),"",Параметры!$B$3/L425)</f>
        <v>16</v>
      </c>
      <c r="O425" s="15">
        <f>IF(L425="","",IFERROR(INDEX('Почасовка — ставки и план'!$D$5:$D$24,MATCH($D425,'Почасовка — ставки и план'!$A$5:$A$24,0)),""))</f>
        <v>550</v>
      </c>
      <c r="P425" s="15">
        <f>IF(L425="","",IFERROR(INDEX('Почасовка — ставки и план'!$E$5:$E$24,MATCH($D425,'Почасовка — ставки и план'!$A$5:$A$24,0)),""))</f>
        <v>660</v>
      </c>
      <c r="Q425" s="15">
        <f t="shared" si="35"/>
        <v>275</v>
      </c>
      <c r="R425" s="13" t="str">
        <f>IF(D425="TEX","аренда техники — сделка/счёт",IF(OR(Q425="",H425="",H425=0),"—",IF(Q425&lt;H425*(1-Параметры!$B$7),"почасовка",IF(Q425&gt;H425*(1+Параметры!$B$7),"сделка","любой способ"))))</f>
        <v>почасовка</v>
      </c>
      <c r="S425">
        <v>0</v>
      </c>
      <c r="T425">
        <v>0</v>
      </c>
    </row>
    <row r="426" spans="1:20" x14ac:dyDescent="0.25">
      <c r="A426" s="13" t="s">
        <v>911</v>
      </c>
      <c r="B426" s="13" t="s">
        <v>912</v>
      </c>
      <c r="C426" s="13" t="s">
        <v>144</v>
      </c>
      <c r="D426" s="13" t="s">
        <v>747</v>
      </c>
      <c r="E426" s="13" t="str">
        <f>IFERROR(INDEX('Почасовка — ставки и план'!$B$5:$B$24,MATCH(D426,'Почасовка — ставки и план'!$A$5:$A$24,0)),"Аренда техники / механизмы")</f>
        <v>Механик ПС / подъёмников / прессов / доков</v>
      </c>
      <c r="F426" s="14">
        <v>500</v>
      </c>
      <c r="G426" s="14">
        <v>600</v>
      </c>
      <c r="H426" s="15">
        <v>140</v>
      </c>
      <c r="I426" s="15">
        <f>IF(OR(H426="",F426=""),"",MAX(H426,MIN(ROUND(H426*(1+Параметры!$B$5),IF(H426*(1+Параметры!$B$5)&gt;=1000,-1,0)),ROUND(F426*Параметры!$B$6,IF(F426*Параметры!$B$6&gt;=1000,-1,0)))))</f>
        <v>161</v>
      </c>
      <c r="J426" s="15">
        <v>160</v>
      </c>
      <c r="K426" s="15">
        <f>IF(OR(J426="",G426=""),"",MAX(J426,MIN(ROUND(J426*(1+Параметры!$B$5),IF(J426*(1+Параметры!$B$5)&gt;=1000,-1,0)),ROUND(G426*Параметры!$B$6,IF(G426*Параметры!$B$6&gt;=1000,-1,0)))))</f>
        <v>184</v>
      </c>
      <c r="L426" s="16">
        <v>0.25</v>
      </c>
      <c r="M426" s="17">
        <f t="shared" si="34"/>
        <v>4</v>
      </c>
      <c r="N426" s="17">
        <f>IF(OR(L426="",L426=0),"",Параметры!$B$3/L426)</f>
        <v>32</v>
      </c>
      <c r="O426" s="15">
        <f>IF(L426="","",IFERROR(INDEX('Почасовка — ставки и план'!$D$5:$D$24,MATCH($D426,'Почасовка — ставки и план'!$A$5:$A$24,0)),""))</f>
        <v>1500</v>
      </c>
      <c r="P426" s="15">
        <f>IF(L426="","",IFERROR(INDEX('Почасовка — ставки и план'!$E$5:$E$24,MATCH($D426,'Почасовка — ставки и план'!$A$5:$A$24,0)),""))</f>
        <v>1800</v>
      </c>
      <c r="Q426" s="15">
        <f t="shared" si="35"/>
        <v>375</v>
      </c>
      <c r="R426" s="13" t="str">
        <f>IF(D426="TEX","аренда техники — сделка/счёт",IF(OR(Q426="",H426="",H426=0),"—",IF(Q426&lt;H426*(1-Параметры!$B$7),"почасовка",IF(Q426&gt;H426*(1+Параметры!$B$7),"сделка","любой способ"))))</f>
        <v>сделка</v>
      </c>
      <c r="S426">
        <v>1</v>
      </c>
      <c r="T426">
        <v>1.068965517241379</v>
      </c>
    </row>
    <row r="427" spans="1:20" x14ac:dyDescent="0.25">
      <c r="A427" s="13" t="s">
        <v>913</v>
      </c>
      <c r="B427" s="13" t="s">
        <v>914</v>
      </c>
      <c r="C427" s="13" t="s">
        <v>144</v>
      </c>
      <c r="D427" s="13" t="s">
        <v>747</v>
      </c>
      <c r="E427" s="13" t="str">
        <f>IFERROR(INDEX('Почасовка — ставки и план'!$B$5:$B$24,MATCH(D427,'Почасовка — ставки и план'!$A$5:$A$24,0)),"Аренда техники / механизмы")</f>
        <v>Механик ПС / подъёмников / прессов / доков</v>
      </c>
      <c r="F427" s="14">
        <v>600</v>
      </c>
      <c r="G427" s="14">
        <v>720</v>
      </c>
      <c r="H427" s="15">
        <v>200</v>
      </c>
      <c r="I427" s="15">
        <f>IF(OR(H427="",F427=""),"",MAX(H427,MIN(ROUND(H427*(1+Параметры!$B$5),IF(H427*(1+Параметры!$B$5)&gt;=1000,-1,0)),ROUND(F427*Параметры!$B$6,IF(F427*Параметры!$B$6&gt;=1000,-1,0)))))</f>
        <v>230</v>
      </c>
      <c r="J427" s="15">
        <v>230</v>
      </c>
      <c r="K427" s="15">
        <f>IF(OR(J427="",G427=""),"",MAX(J427,MIN(ROUND(J427*(1+Параметры!$B$5),IF(J427*(1+Параметры!$B$5)&gt;=1000,-1,0)),ROUND(G427*Параметры!$B$6,IF(G427*Параметры!$B$6&gt;=1000,-1,0)))))</f>
        <v>265</v>
      </c>
      <c r="L427" s="16">
        <v>0.3</v>
      </c>
      <c r="M427" s="17">
        <f t="shared" si="34"/>
        <v>3.3333333333333335</v>
      </c>
      <c r="N427" s="17">
        <f>IF(OR(L427="",L427=0),"",Параметры!$B$3/L427)</f>
        <v>26.666666666666668</v>
      </c>
      <c r="O427" s="15">
        <f>IF(L427="","",IFERROR(INDEX('Почасовка — ставки и план'!$D$5:$D$24,MATCH($D427,'Почасовка — ставки и план'!$A$5:$A$24,0)),""))</f>
        <v>1500</v>
      </c>
      <c r="P427" s="15">
        <f>IF(L427="","",IFERROR(INDEX('Почасовка — ставки и план'!$E$5:$E$24,MATCH($D427,'Почасовка — ставки и план'!$A$5:$A$24,0)),""))</f>
        <v>1800</v>
      </c>
      <c r="Q427" s="15">
        <f t="shared" si="35"/>
        <v>450</v>
      </c>
      <c r="R427" s="13" t="str">
        <f>IF(D427="TEX","аренда техники — сделка/счёт",IF(OR(Q427="",H427="",H427=0),"—",IF(Q427&lt;H427*(1-Параметры!$B$7),"почасовка",IF(Q427&gt;H427*(1+Параметры!$B$7),"сделка","любой способ"))))</f>
        <v>сделка</v>
      </c>
      <c r="S427">
        <v>0.71428571428571419</v>
      </c>
      <c r="T427">
        <v>0.8</v>
      </c>
    </row>
    <row r="428" spans="1:20" x14ac:dyDescent="0.25">
      <c r="A428" s="13" t="s">
        <v>915</v>
      </c>
      <c r="B428" s="13" t="s">
        <v>916</v>
      </c>
      <c r="C428" s="13" t="s">
        <v>144</v>
      </c>
      <c r="D428" s="13" t="s">
        <v>747</v>
      </c>
      <c r="E428" s="13" t="str">
        <f>IFERROR(INDEX('Почасовка — ставки и план'!$B$5:$B$24,MATCH(D428,'Почасовка — ставки и план'!$A$5:$A$24,0)),"Аренда техники / механизмы")</f>
        <v>Механик ПС / подъёмников / прессов / доков</v>
      </c>
      <c r="F428" s="14">
        <v>7000</v>
      </c>
      <c r="G428" s="14">
        <v>8400</v>
      </c>
      <c r="H428" s="15">
        <v>2600</v>
      </c>
      <c r="I428" s="15">
        <f>IF(OR(H428="",F428=""),"",MAX(H428,MIN(ROUND(H428*(1+Параметры!$B$5),IF(H428*(1+Параметры!$B$5)&gt;=1000,-1,0)),ROUND(F428*Параметры!$B$6,IF(F428*Параметры!$B$6&gt;=1000,-1,0)))))</f>
        <v>2990</v>
      </c>
      <c r="J428" s="15">
        <v>3000</v>
      </c>
      <c r="K428" s="15">
        <f>IF(OR(J428="",G428=""),"",MAX(J428,MIN(ROUND(J428*(1+Параметры!$B$5),IF(J428*(1+Параметры!$B$5)&gt;=1000,-1,0)),ROUND(G428*Параметры!$B$6,IF(G428*Параметры!$B$6&gt;=1000,-1,0)))))</f>
        <v>3450</v>
      </c>
      <c r="L428" s="16">
        <v>3.5</v>
      </c>
      <c r="M428" s="17">
        <f t="shared" si="34"/>
        <v>0.2857142857142857</v>
      </c>
      <c r="N428" s="17">
        <f>IF(OR(L428="",L428=0),"",Параметры!$B$3/L428)</f>
        <v>2.2857142857142856</v>
      </c>
      <c r="O428" s="15">
        <f>IF(L428="","",IFERROR(INDEX('Почасовка — ставки и план'!$D$5:$D$24,MATCH($D428,'Почасовка — ставки и план'!$A$5:$A$24,0)),""))</f>
        <v>1500</v>
      </c>
      <c r="P428" s="15">
        <f>IF(L428="","",IFERROR(INDEX('Почасовка — ставки и план'!$E$5:$E$24,MATCH($D428,'Почасовка — ставки и план'!$A$5:$A$24,0)),""))</f>
        <v>1800</v>
      </c>
      <c r="Q428" s="15">
        <f t="shared" si="35"/>
        <v>5250</v>
      </c>
      <c r="R428" s="13" t="str">
        <f>IF(D428="TEX","аренда техники — сделка/счёт",IF(OR(Q428="",H428="",H428=0),"—",IF(Q428&lt;H428*(1-Параметры!$B$7),"почасовка",IF(Q428&gt;H428*(1+Параметры!$B$7),"сделка","любой способ"))))</f>
        <v>сделка</v>
      </c>
      <c r="S428">
        <v>0.55555555555555558</v>
      </c>
      <c r="T428">
        <v>0.61538461538461542</v>
      </c>
    </row>
    <row r="429" spans="1:20" x14ac:dyDescent="0.25">
      <c r="A429" s="13" t="s">
        <v>917</v>
      </c>
      <c r="B429" s="13" t="s">
        <v>918</v>
      </c>
      <c r="C429" s="13" t="s">
        <v>144</v>
      </c>
      <c r="D429" s="13" t="s">
        <v>747</v>
      </c>
      <c r="E429" s="13" t="str">
        <f>IFERROR(INDEX('Почасовка — ставки и план'!$B$5:$B$24,MATCH(D429,'Почасовка — ставки и план'!$A$5:$A$24,0)),"Аренда техники / механизмы")</f>
        <v>Механик ПС / подъёмников / прессов / доков</v>
      </c>
      <c r="F429" s="14">
        <v>700</v>
      </c>
      <c r="G429" s="14">
        <v>840</v>
      </c>
      <c r="H429" s="15">
        <v>230</v>
      </c>
      <c r="I429" s="15">
        <f>IF(OR(H429="",F429=""),"",MAX(H429,MIN(ROUND(H429*(1+Параметры!$B$5),IF(H429*(1+Параметры!$B$5)&gt;=1000,-1,0)),ROUND(F429*Параметры!$B$6,IF(F429*Параметры!$B$6&gt;=1000,-1,0)))))</f>
        <v>265</v>
      </c>
      <c r="J429" s="15">
        <v>265</v>
      </c>
      <c r="K429" s="15">
        <f>IF(OR(J429="",G429=""),"",MAX(J429,MIN(ROUND(J429*(1+Параметры!$B$5),IF(J429*(1+Параметры!$B$5)&gt;=1000,-1,0)),ROUND(G429*Параметры!$B$6,IF(G429*Параметры!$B$6&gt;=1000,-1,0)))))</f>
        <v>305</v>
      </c>
      <c r="L429" s="16">
        <v>0.35</v>
      </c>
      <c r="M429" s="17">
        <f t="shared" si="34"/>
        <v>2.8571428571428572</v>
      </c>
      <c r="N429" s="17">
        <f>IF(OR(L429="",L429=0),"",Параметры!$B$3/L429)</f>
        <v>22.857142857142858</v>
      </c>
      <c r="O429" s="15">
        <f>IF(L429="","",IFERROR(INDEX('Почасовка — ставки и план'!$D$5:$D$24,MATCH($D429,'Почасовка — ставки и план'!$A$5:$A$24,0)),""))</f>
        <v>1500</v>
      </c>
      <c r="P429" s="15">
        <f>IF(L429="","",IFERROR(INDEX('Почасовка — ставки и план'!$E$5:$E$24,MATCH($D429,'Почасовка — ставки и план'!$A$5:$A$24,0)),""))</f>
        <v>1800</v>
      </c>
      <c r="Q429" s="15">
        <f t="shared" si="35"/>
        <v>525</v>
      </c>
      <c r="R429" s="13" t="str">
        <f>IF(D429="TEX","аренда техники — сделка/счёт",IF(OR(Q429="",H429="",H429=0),"—",IF(Q429&lt;H429*(1-Параметры!$B$7),"почасовка",IF(Q429&gt;H429*(1+Параметры!$B$7),"сделка","любой способ"))))</f>
        <v>сделка</v>
      </c>
      <c r="S429">
        <v>0.75</v>
      </c>
      <c r="T429">
        <v>0.82608695652173902</v>
      </c>
    </row>
    <row r="430" spans="1:20" x14ac:dyDescent="0.25">
      <c r="A430" s="13" t="s">
        <v>919</v>
      </c>
      <c r="B430" s="13" t="s">
        <v>920</v>
      </c>
      <c r="C430" s="13" t="s">
        <v>144</v>
      </c>
      <c r="D430" s="13" t="s">
        <v>747</v>
      </c>
      <c r="E430" s="13" t="str">
        <f>IFERROR(INDEX('Почасовка — ставки и план'!$B$5:$B$24,MATCH(D430,'Почасовка — ставки и план'!$A$5:$A$24,0)),"Аренда техники / механизмы")</f>
        <v>Механик ПС / подъёмников / прессов / доков</v>
      </c>
      <c r="F430" s="14">
        <v>1200</v>
      </c>
      <c r="G430" s="14">
        <v>1440</v>
      </c>
      <c r="H430" s="15">
        <v>430</v>
      </c>
      <c r="I430" s="15">
        <f>IF(OR(H430="",F430=""),"",MAX(H430,MIN(ROUND(H430*(1+Параметры!$B$5),IF(H430*(1+Параметры!$B$5)&gt;=1000,-1,0)),ROUND(F430*Параметры!$B$6,IF(F430*Параметры!$B$6&gt;=1000,-1,0)))))</f>
        <v>495</v>
      </c>
      <c r="J430" s="15">
        <v>500</v>
      </c>
      <c r="K430" s="15">
        <f>IF(OR(J430="",G430=""),"",MAX(J430,MIN(ROUND(J430*(1+Параметры!$B$5),IF(J430*(1+Параметры!$B$5)&gt;=1000,-1,0)),ROUND(G430*Параметры!$B$6,IF(G430*Параметры!$B$6&gt;=1000,-1,0)))))</f>
        <v>575</v>
      </c>
      <c r="L430" s="16">
        <v>0.6</v>
      </c>
      <c r="M430" s="17">
        <f t="shared" si="34"/>
        <v>1.6666666666666667</v>
      </c>
      <c r="N430" s="17">
        <f>IF(OR(L430="",L430=0),"",Параметры!$B$3/L430)</f>
        <v>13.333333333333334</v>
      </c>
      <c r="O430" s="15">
        <f>IF(L430="","",IFERROR(INDEX('Почасовка — ставки и план'!$D$5:$D$24,MATCH($D430,'Почасовка — ставки и план'!$A$5:$A$24,0)),""))</f>
        <v>1500</v>
      </c>
      <c r="P430" s="15">
        <f>IF(L430="","",IFERROR(INDEX('Почасовка — ставки и план'!$E$5:$E$24,MATCH($D430,'Почасовка — ставки и план'!$A$5:$A$24,0)),""))</f>
        <v>1800</v>
      </c>
      <c r="Q430" s="15">
        <f t="shared" si="35"/>
        <v>900</v>
      </c>
      <c r="R430" s="13" t="str">
        <f>IF(D430="TEX","аренда техники — сделка/счёт",IF(OR(Q430="",H430="",H430=0),"—",IF(Q430&lt;H430*(1-Параметры!$B$7),"почасовка",IF(Q430&gt;H430*(1+Параметры!$B$7),"сделка","любой способ"))))</f>
        <v>сделка</v>
      </c>
      <c r="S430">
        <v>0.60000000000000009</v>
      </c>
      <c r="T430">
        <v>0.67441860465116288</v>
      </c>
    </row>
    <row r="431" spans="1:20" x14ac:dyDescent="0.25">
      <c r="A431" s="18" t="s">
        <v>921</v>
      </c>
      <c r="B431" s="13" t="s">
        <v>922</v>
      </c>
      <c r="C431" s="13" t="s">
        <v>923</v>
      </c>
      <c r="D431" s="13" t="s">
        <v>60</v>
      </c>
      <c r="E431" s="13" t="str">
        <f>IFERROR(INDEX('Почасовка — ставки и план'!$B$5:$B$24,MATCH(D431,'Почасовка — ставки и план'!$A$5:$A$24,0)),"Аренда техники / механизмы")</f>
        <v>Разнорабочий / демонтажник</v>
      </c>
      <c r="F431" s="14">
        <v>35</v>
      </c>
      <c r="G431" s="14">
        <v>40</v>
      </c>
      <c r="H431" s="15">
        <v>20</v>
      </c>
      <c r="I431" s="15">
        <f>IF(OR(H431="",F431=""),"",MAX(H431,MIN(ROUND(H431*(1+Параметры!$B$5),IF(H431*(1+Параметры!$B$5)&gt;=1000,-1,0)),ROUND(F431*Параметры!$B$6,IF(F431*Параметры!$B$6&gt;=1000,-1,0)))))</f>
        <v>23</v>
      </c>
      <c r="J431" s="15">
        <v>23</v>
      </c>
      <c r="K431" s="15">
        <f>IF(OR(J431="",G431=""),"",MAX(J431,MIN(ROUND(J431*(1+Параметры!$B$5),IF(J431*(1+Параметры!$B$5)&gt;=1000,-1,0)),ROUND(G431*Параметры!$B$6,IF(G431*Параметры!$B$6&gt;=1000,-1,0)))))</f>
        <v>26</v>
      </c>
      <c r="L431" s="16">
        <v>1.2E-2</v>
      </c>
      <c r="M431" s="17">
        <f t="shared" si="34"/>
        <v>83.333333333333329</v>
      </c>
      <c r="N431" s="17">
        <f>IF(OR(L431="",L431=0),"",Параметры!$B$3/L431)</f>
        <v>666.66666666666663</v>
      </c>
      <c r="O431" s="15">
        <f>IF(L431="","",IFERROR(INDEX('Почасовка — ставки и план'!$D$5:$D$24,MATCH($D431,'Почасовка — ставки и план'!$A$5:$A$24,0)),""))</f>
        <v>550</v>
      </c>
      <c r="P431" s="15">
        <f>IF(L431="","",IFERROR(INDEX('Почасовка — ставки и план'!$E$5:$E$24,MATCH($D431,'Почасовка — ставки и план'!$A$5:$A$24,0)),""))</f>
        <v>660</v>
      </c>
      <c r="Q431" s="15">
        <f t="shared" si="35"/>
        <v>7</v>
      </c>
      <c r="R431" s="13" t="str">
        <f>IF(D431="TEX","аренда техники — сделка/счёт",IF(OR(Q431="",H431="",H431=0),"—",IF(Q431&lt;H431*(1-Параметры!$B$7),"почасовка",IF(Q431&gt;H431*(1+Параметры!$B$7),"сделка","любой способ"))))</f>
        <v>почасовка</v>
      </c>
      <c r="S431">
        <v>0</v>
      </c>
      <c r="T431">
        <v>0</v>
      </c>
    </row>
    <row r="432" spans="1:20" x14ac:dyDescent="0.25">
      <c r="A432" s="18" t="s">
        <v>924</v>
      </c>
      <c r="B432" s="13" t="s">
        <v>925</v>
      </c>
      <c r="C432" s="13" t="s">
        <v>923</v>
      </c>
      <c r="D432" s="13" t="s">
        <v>60</v>
      </c>
      <c r="E432" s="13" t="str">
        <f>IFERROR(INDEX('Почасовка — ставки и план'!$B$5:$B$24,MATCH(D432,'Почасовка — ставки и план'!$A$5:$A$24,0)),"Аренда техники / механизмы")</f>
        <v>Разнорабочий / демонтажник</v>
      </c>
      <c r="F432" s="14">
        <v>55</v>
      </c>
      <c r="G432" s="14">
        <v>60</v>
      </c>
      <c r="H432" s="15">
        <v>32</v>
      </c>
      <c r="I432" s="15">
        <f>IF(OR(H432="",F432=""),"",MAX(H432,MIN(ROUND(H432*(1+Параметры!$B$5),IF(H432*(1+Параметры!$B$5)&gt;=1000,-1,0)),ROUND(F432*Параметры!$B$6,IF(F432*Параметры!$B$6&gt;=1000,-1,0)))))</f>
        <v>37</v>
      </c>
      <c r="J432" s="15">
        <v>35</v>
      </c>
      <c r="K432" s="15">
        <f>IF(OR(J432="",G432=""),"",MAX(J432,MIN(ROUND(J432*(1+Параметры!$B$5),IF(J432*(1+Параметры!$B$5)&gt;=1000,-1,0)),ROUND(G432*Параметры!$B$6,IF(G432*Параметры!$B$6&gt;=1000,-1,0)))))</f>
        <v>40</v>
      </c>
      <c r="L432" s="16">
        <v>1.7999999999999999E-2</v>
      </c>
      <c r="M432" s="17">
        <f t="shared" si="34"/>
        <v>55.555555555555557</v>
      </c>
      <c r="N432" s="17">
        <f>IF(OR(L432="",L432=0),"",Параметры!$B$3/L432)</f>
        <v>444.44444444444446</v>
      </c>
      <c r="O432" s="15">
        <f>IF(L432="","",IFERROR(INDEX('Почасовка — ставки и план'!$D$5:$D$24,MATCH($D432,'Почасовка — ставки и план'!$A$5:$A$24,0)),""))</f>
        <v>550</v>
      </c>
      <c r="P432" s="15">
        <f>IF(L432="","",IFERROR(INDEX('Почасовка — ставки и план'!$E$5:$E$24,MATCH($D432,'Почасовка — ставки и план'!$A$5:$A$24,0)),""))</f>
        <v>660</v>
      </c>
      <c r="Q432" s="15">
        <f t="shared" si="35"/>
        <v>10</v>
      </c>
      <c r="R432" s="13" t="str">
        <f>IF(D432="TEX","аренда техники — сделка/счёт",IF(OR(Q432="",H432="",H432=0),"—",IF(Q432&lt;H432*(1-Параметры!$B$7),"почасовка",IF(Q432&gt;H432*(1+Параметры!$B$7),"сделка","любой способ"))))</f>
        <v>почасовка</v>
      </c>
      <c r="S432">
        <v>0</v>
      </c>
      <c r="T432">
        <v>0</v>
      </c>
    </row>
    <row r="433" spans="1:20" x14ac:dyDescent="0.25">
      <c r="A433" s="18" t="s">
        <v>926</v>
      </c>
      <c r="B433" s="13" t="s">
        <v>927</v>
      </c>
      <c r="C433" s="13" t="s">
        <v>69</v>
      </c>
      <c r="D433" s="13" t="s">
        <v>60</v>
      </c>
      <c r="E433" s="13" t="str">
        <f>IFERROR(INDEX('Почасовка — ставки и план'!$B$5:$B$24,MATCH(D433,'Почасовка — ставки и план'!$A$5:$A$24,0)),"Аренда техники / механизмы")</f>
        <v>Разнорабочий / демонтажник</v>
      </c>
      <c r="F433" s="14">
        <v>2200</v>
      </c>
      <c r="G433" s="14">
        <v>2500</v>
      </c>
      <c r="H433" s="15">
        <v>1300</v>
      </c>
      <c r="I433" s="15">
        <f>IF(OR(H433="",F433=""),"",MAX(H433,MIN(ROUND(H433*(1+Параметры!$B$5),IF(H433*(1+Параметры!$B$5)&gt;=1000,-1,0)),ROUND(F433*Параметры!$B$6,IF(F433*Параметры!$B$6&gt;=1000,-1,0)))))</f>
        <v>1500</v>
      </c>
      <c r="J433" s="15">
        <v>1450</v>
      </c>
      <c r="K433" s="15">
        <f>IF(OR(J433="",G433=""),"",MAX(J433,MIN(ROUND(J433*(1+Параметры!$B$5),IF(J433*(1+Параметры!$B$5)&gt;=1000,-1,0)),ROUND(G433*Параметры!$B$6,IF(G433*Параметры!$B$6&gt;=1000,-1,0)))))</f>
        <v>1670</v>
      </c>
      <c r="L433" s="16">
        <v>1.2</v>
      </c>
      <c r="M433" s="17">
        <f t="shared" si="34"/>
        <v>0.83333333333333337</v>
      </c>
      <c r="N433" s="17">
        <f>IF(OR(L433="",L433=0),"",Параметры!$B$3/L433)</f>
        <v>6.666666666666667</v>
      </c>
      <c r="O433" s="15">
        <f>IF(L433="","",IFERROR(INDEX('Почасовка — ставки и план'!$D$5:$D$24,MATCH($D433,'Почасовка — ставки и план'!$A$5:$A$24,0)),""))</f>
        <v>550</v>
      </c>
      <c r="P433" s="15">
        <f>IF(L433="","",IFERROR(INDEX('Почасовка — ставки и план'!$E$5:$E$24,MATCH($D433,'Почасовка — ставки и план'!$A$5:$A$24,0)),""))</f>
        <v>660</v>
      </c>
      <c r="Q433" s="15">
        <f t="shared" si="35"/>
        <v>660</v>
      </c>
      <c r="R433" s="13" t="str">
        <f>IF(D433="TEX","аренда техники — сделка/счёт",IF(OR(Q433="",H433="",H433=0),"—",IF(Q433&lt;H433*(1-Параметры!$B$7),"почасовка",IF(Q433&gt;H433*(1+Параметры!$B$7),"сделка","любой способ"))))</f>
        <v>почасовка</v>
      </c>
      <c r="S433">
        <v>0</v>
      </c>
      <c r="T433">
        <v>0</v>
      </c>
    </row>
    <row r="434" spans="1:20" x14ac:dyDescent="0.25">
      <c r="A434" s="18" t="s">
        <v>928</v>
      </c>
      <c r="B434" s="13" t="s">
        <v>929</v>
      </c>
      <c r="C434" s="13" t="s">
        <v>55</v>
      </c>
      <c r="D434" s="13" t="s">
        <v>60</v>
      </c>
      <c r="E434" s="13" t="str">
        <f>IFERROR(INDEX('Почасовка — ставки и план'!$B$5:$B$24,MATCH(D434,'Почасовка — ставки и план'!$A$5:$A$24,0)),"Аренда техники / механизмы")</f>
        <v>Разнорабочий / демонтажник</v>
      </c>
      <c r="F434" s="14">
        <v>734</v>
      </c>
      <c r="G434" s="14">
        <v>880</v>
      </c>
      <c r="H434" s="15">
        <v>350</v>
      </c>
      <c r="I434" s="15">
        <f>IF(OR(H434="",F434=""),"",MAX(H434,MIN(ROUND(H434*(1+Параметры!$B$5),IF(H434*(1+Параметры!$B$5)&gt;=1000,-1,0)),ROUND(F434*Параметры!$B$6,IF(F434*Параметры!$B$6&gt;=1000,-1,0)))))</f>
        <v>403</v>
      </c>
      <c r="J434" s="15">
        <v>400</v>
      </c>
      <c r="K434" s="15">
        <f>IF(OR(J434="",G434=""),"",MAX(J434,MIN(ROUND(J434*(1+Параметры!$B$5),IF(J434*(1+Параметры!$B$5)&gt;=1000,-1,0)),ROUND(G434*Параметры!$B$6,IF(G434*Параметры!$B$6&gt;=1000,-1,0)))))</f>
        <v>460</v>
      </c>
      <c r="L434" s="16">
        <v>1</v>
      </c>
      <c r="M434" s="17">
        <f t="shared" si="34"/>
        <v>1</v>
      </c>
      <c r="N434" s="17">
        <f>IF(OR(L434="",L434=0),"",Параметры!$B$3/L434)</f>
        <v>8</v>
      </c>
      <c r="O434" s="15">
        <f>IF(L434="","",IFERROR(INDEX('Почасовка — ставки и план'!$D$5:$D$24,MATCH($D434,'Почасовка — ставки и план'!$A$5:$A$24,0)),""))</f>
        <v>550</v>
      </c>
      <c r="P434" s="15">
        <f>IF(L434="","",IFERROR(INDEX('Почасовка — ставки и план'!$E$5:$E$24,MATCH($D434,'Почасовка — ставки и план'!$A$5:$A$24,0)),""))</f>
        <v>660</v>
      </c>
      <c r="Q434" s="15">
        <f t="shared" si="35"/>
        <v>550</v>
      </c>
      <c r="R434" s="13" t="str">
        <f>IF(D434="TEX","аренда техники — сделка/счёт",IF(OR(Q434="",H434="",H434=0),"—",IF(Q434&lt;H434*(1-Параметры!$B$7),"почасовка",IF(Q434&gt;H434*(1+Параметры!$B$7),"сделка","любой способ"))))</f>
        <v>сделка</v>
      </c>
      <c r="S434">
        <v>0.22333333333333341</v>
      </c>
      <c r="T434">
        <v>0.25714285714285712</v>
      </c>
    </row>
    <row r="435" spans="1:20" x14ac:dyDescent="0.25">
      <c r="A435" s="18" t="s">
        <v>930</v>
      </c>
      <c r="B435" s="13" t="s">
        <v>931</v>
      </c>
      <c r="C435" s="13" t="s">
        <v>63</v>
      </c>
      <c r="D435" s="13" t="s">
        <v>60</v>
      </c>
      <c r="E435" s="13" t="str">
        <f>IFERROR(INDEX('Почасовка — ставки и план'!$B$5:$B$24,MATCH(D435,'Почасовка — ставки и план'!$A$5:$A$24,0)),"Аренда техники / механизмы")</f>
        <v>Разнорабочий / демонтажник</v>
      </c>
      <c r="F435" s="14">
        <v>800</v>
      </c>
      <c r="G435" s="14">
        <v>920</v>
      </c>
      <c r="H435" s="15">
        <v>450</v>
      </c>
      <c r="I435" s="15">
        <f>IF(OR(H435="",F435=""),"",MAX(H435,MIN(ROUND(H435*(1+Параметры!$B$5),IF(H435*(1+Параметры!$B$5)&gt;=1000,-1,0)),ROUND(F435*Параметры!$B$6,IF(F435*Параметры!$B$6&gt;=1000,-1,0)))))</f>
        <v>518</v>
      </c>
      <c r="J435" s="15">
        <v>520</v>
      </c>
      <c r="K435" s="15">
        <f>IF(OR(J435="",G435=""),"",MAX(J435,MIN(ROUND(J435*(1+Параметры!$B$5),IF(J435*(1+Параметры!$B$5)&gt;=1000,-1,0)),ROUND(G435*Параметры!$B$6,IF(G435*Параметры!$B$6&gt;=1000,-1,0)))))</f>
        <v>598</v>
      </c>
      <c r="L435" s="16">
        <v>0.8</v>
      </c>
      <c r="M435" s="17">
        <f t="shared" si="34"/>
        <v>1.25</v>
      </c>
      <c r="N435" s="17">
        <f>IF(OR(L435="",L435=0),"",Параметры!$B$3/L435)</f>
        <v>10</v>
      </c>
      <c r="O435" s="15">
        <f>IF(L435="","",IFERROR(INDEX('Почасовка — ставки и план'!$D$5:$D$24,MATCH($D435,'Почасовка — ставки и план'!$A$5:$A$24,0)),""))</f>
        <v>550</v>
      </c>
      <c r="P435" s="15">
        <f>IF(L435="","",IFERROR(INDEX('Почасовка — ставки и план'!$E$5:$E$24,MATCH($D435,'Почасовка — ставки и план'!$A$5:$A$24,0)),""))</f>
        <v>660</v>
      </c>
      <c r="Q435" s="15">
        <f t="shared" si="35"/>
        <v>440</v>
      </c>
      <c r="R435" s="13" t="str">
        <f>IF(D435="TEX","аренда техники — сделка/счёт",IF(OR(Q435="",H435="",H435=0),"—",IF(Q435&lt;H435*(1-Параметры!$B$7),"почасовка",IF(Q435&gt;H435*(1+Параметры!$B$7),"сделка","любой способ"))))</f>
        <v>любой способ</v>
      </c>
      <c r="S435">
        <v>0</v>
      </c>
      <c r="T435">
        <v>0</v>
      </c>
    </row>
    <row r="436" spans="1:20" x14ac:dyDescent="0.25">
      <c r="A436" s="18" t="s">
        <v>932</v>
      </c>
      <c r="B436" s="13" t="s">
        <v>933</v>
      </c>
      <c r="C436" s="13" t="s">
        <v>72</v>
      </c>
      <c r="D436" s="13" t="s">
        <v>60</v>
      </c>
      <c r="E436" s="13" t="str">
        <f>IFERROR(INDEX('Почасовка — ставки и план'!$B$5:$B$24,MATCH(D436,'Почасовка — ставки и план'!$A$5:$A$24,0)),"Аренда техники / механизмы")</f>
        <v>Разнорабочий / демонтажник</v>
      </c>
      <c r="F436" s="14">
        <v>250</v>
      </c>
      <c r="G436" s="14">
        <v>290</v>
      </c>
      <c r="H436" s="15">
        <v>140</v>
      </c>
      <c r="I436" s="15">
        <f>IF(OR(H436="",F436=""),"",MAX(H436,MIN(ROUND(H436*(1+Параметры!$B$5),IF(H436*(1+Параметры!$B$5)&gt;=1000,-1,0)),ROUND(F436*Параметры!$B$6,IF(F436*Параметры!$B$6&gt;=1000,-1,0)))))</f>
        <v>161</v>
      </c>
      <c r="J436" s="15">
        <v>160</v>
      </c>
      <c r="K436" s="15">
        <f>IF(OR(J436="",G436=""),"",MAX(J436,MIN(ROUND(J436*(1+Параметры!$B$5),IF(J436*(1+Параметры!$B$5)&gt;=1000,-1,0)),ROUND(G436*Параметры!$B$6,IF(G436*Параметры!$B$6&gt;=1000,-1,0)))))</f>
        <v>184</v>
      </c>
      <c r="L436" s="16">
        <v>0.15</v>
      </c>
      <c r="M436" s="17">
        <f t="shared" si="34"/>
        <v>6.666666666666667</v>
      </c>
      <c r="N436" s="17">
        <f>IF(OR(L436="",L436=0),"",Параметры!$B$3/L436)</f>
        <v>53.333333333333336</v>
      </c>
      <c r="O436" s="15">
        <f>IF(L436="","",IFERROR(INDEX('Почасовка — ставки и план'!$D$5:$D$24,MATCH($D436,'Почасовка — ставки и план'!$A$5:$A$24,0)),""))</f>
        <v>550</v>
      </c>
      <c r="P436" s="15">
        <f>IF(L436="","",IFERROR(INDEX('Почасовка — ставки и план'!$E$5:$E$24,MATCH($D436,'Почасовка — ставки и план'!$A$5:$A$24,0)),""))</f>
        <v>660</v>
      </c>
      <c r="Q436" s="15">
        <f t="shared" si="35"/>
        <v>83</v>
      </c>
      <c r="R436" s="13" t="str">
        <f>IF(D436="TEX","аренда техники — сделка/счёт",IF(OR(Q436="",H436="",H436=0),"—",IF(Q436&lt;H436*(1-Параметры!$B$7),"почасовка",IF(Q436&gt;H436*(1+Параметры!$B$7),"сделка","любой способ"))))</f>
        <v>почасовка</v>
      </c>
      <c r="S436">
        <v>0</v>
      </c>
      <c r="T436">
        <v>0</v>
      </c>
    </row>
    <row r="437" spans="1:20" x14ac:dyDescent="0.25">
      <c r="A437" s="18" t="s">
        <v>934</v>
      </c>
      <c r="B437" s="13" t="s">
        <v>935</v>
      </c>
      <c r="C437" s="13" t="s">
        <v>72</v>
      </c>
      <c r="D437" s="13" t="s">
        <v>60</v>
      </c>
      <c r="E437" s="13" t="str">
        <f>IFERROR(INDEX('Почасовка — ставки и план'!$B$5:$B$24,MATCH(D437,'Почасовка — ставки и план'!$A$5:$A$24,0)),"Аренда техники / механизмы")</f>
        <v>Разнорабочий / демонтажник</v>
      </c>
      <c r="F437" s="14">
        <v>90</v>
      </c>
      <c r="G437" s="14">
        <v>105</v>
      </c>
      <c r="H437" s="15">
        <v>50</v>
      </c>
      <c r="I437" s="15">
        <f>IF(OR(H437="",F437=""),"",MAX(H437,MIN(ROUND(H437*(1+Параметры!$B$5),IF(H437*(1+Параметры!$B$5)&gt;=1000,-1,0)),ROUND(F437*Параметры!$B$6,IF(F437*Параметры!$B$6&gt;=1000,-1,0)))))</f>
        <v>58</v>
      </c>
      <c r="J437" s="15">
        <v>58</v>
      </c>
      <c r="K437" s="15">
        <f>IF(OR(J437="",G437=""),"",MAX(J437,MIN(ROUND(J437*(1+Параметры!$B$5),IF(J437*(1+Параметры!$B$5)&gt;=1000,-1,0)),ROUND(G437*Параметры!$B$6,IF(G437*Параметры!$B$6&gt;=1000,-1,0)))))</f>
        <v>67</v>
      </c>
      <c r="L437" s="16">
        <v>0.08</v>
      </c>
      <c r="M437" s="17">
        <f t="shared" si="34"/>
        <v>12.5</v>
      </c>
      <c r="N437" s="17">
        <f>IF(OR(L437="",L437=0),"",Параметры!$B$3/L437)</f>
        <v>100</v>
      </c>
      <c r="O437" s="15">
        <f>IF(L437="","",IFERROR(INDEX('Почасовка — ставки и план'!$D$5:$D$24,MATCH($D437,'Почасовка — ставки и план'!$A$5:$A$24,0)),""))</f>
        <v>550</v>
      </c>
      <c r="P437" s="15">
        <f>IF(L437="","",IFERROR(INDEX('Почасовка — ставки и план'!$E$5:$E$24,MATCH($D437,'Почасовка — ставки и план'!$A$5:$A$24,0)),""))</f>
        <v>660</v>
      </c>
      <c r="Q437" s="15">
        <f t="shared" si="35"/>
        <v>44</v>
      </c>
      <c r="R437" s="13" t="str">
        <f>IF(D437="TEX","аренда техники — сделка/счёт",IF(OR(Q437="",H437="",H437=0),"—",IF(Q437&lt;H437*(1-Параметры!$B$7),"почасовка",IF(Q437&gt;H437*(1+Параметры!$B$7),"сделка","любой способ"))))</f>
        <v>почасовка</v>
      </c>
      <c r="S437">
        <v>0</v>
      </c>
      <c r="T437">
        <v>0</v>
      </c>
    </row>
    <row r="438" spans="1:20" x14ac:dyDescent="0.25">
      <c r="A438" s="18" t="s">
        <v>936</v>
      </c>
      <c r="B438" s="13" t="s">
        <v>937</v>
      </c>
      <c r="C438" s="13" t="s">
        <v>854</v>
      </c>
      <c r="D438" s="13" t="s">
        <v>832</v>
      </c>
      <c r="E438" s="13" t="str">
        <f>IFERROR(INDEX('Почасовка — ставки и план'!$B$5:$B$24,MATCH(D438,'Почасовка — ставки и план'!$A$5:$A$24,0)),"Аренда техники / механизмы")</f>
        <v>Аренда техники / механизмы</v>
      </c>
      <c r="F438" s="14">
        <v>22000</v>
      </c>
      <c r="G438" s="14">
        <v>26000</v>
      </c>
      <c r="H438" s="15">
        <v>19000</v>
      </c>
      <c r="I438" s="15">
        <f>IF(OR(H438="",F438=""),"",MAX(H438,MIN(ROUND(H438*(1+Параметры!$B$5),IF(H438*(1+Параметры!$B$5)&gt;=1000,-1,0)),ROUND(F438*Параметры!$B$6,IF(F438*Параметры!$B$6&gt;=1000,-1,0)))))</f>
        <v>19000</v>
      </c>
      <c r="J438" s="15">
        <v>22500</v>
      </c>
      <c r="K438" s="15">
        <f>IF(OR(J438="",G438=""),"",MAX(J438,MIN(ROUND(J438*(1+Параметры!$B$5),IF(J438*(1+Параметры!$B$5)&gt;=1000,-1,0)),ROUND(G438*Параметры!$B$6,IF(G438*Параметры!$B$6&gt;=1000,-1,0)))))</f>
        <v>22500</v>
      </c>
      <c r="L438" s="16"/>
      <c r="M438" s="17" t="str">
        <f t="shared" si="34"/>
        <v/>
      </c>
      <c r="N438" s="17" t="str">
        <f>IF(OR(L438="",L438=0),"",Параметры!$B$3/L438)</f>
        <v/>
      </c>
      <c r="O438" s="15" t="str">
        <f>IF(L438="","",IFERROR(INDEX('Почасовка — ставки и план'!$D$5:$D$24,MATCH($D438,'Почасовка — ставки и план'!$A$5:$A$24,0)),""))</f>
        <v/>
      </c>
      <c r="P438" s="15" t="str">
        <f>IF(L438="","",IFERROR(INDEX('Почасовка — ставки и план'!$E$5:$E$24,MATCH($D438,'Почасовка — ставки и план'!$A$5:$A$24,0)),""))</f>
        <v/>
      </c>
      <c r="Q438" s="15" t="str">
        <f t="shared" si="35"/>
        <v/>
      </c>
      <c r="R438" s="13" t="str">
        <f>IF(D438="TEX","аренда техники — сделка/счёт",IF(OR(Q438="",H438="",H438=0),"—",IF(Q438&lt;H438*(1-Параметры!$B$7),"почасовка",IF(Q438&gt;H438*(1+Параметры!$B$7),"сделка","любой способ"))))</f>
        <v>аренда техники — сделка/счёт</v>
      </c>
      <c r="S438">
        <v>0</v>
      </c>
      <c r="T438">
        <v>0</v>
      </c>
    </row>
    <row r="439" spans="1:20" x14ac:dyDescent="0.25">
      <c r="A439" s="18" t="s">
        <v>938</v>
      </c>
      <c r="B439" s="13" t="s">
        <v>939</v>
      </c>
      <c r="C439" s="13" t="s">
        <v>845</v>
      </c>
      <c r="D439" s="13" t="s">
        <v>832</v>
      </c>
      <c r="E439" s="13" t="str">
        <f>IFERROR(INDEX('Почасовка — ставки и план'!$B$5:$B$24,MATCH(D439,'Почасовка — ставки и план'!$A$5:$A$24,0)),"Аренда техники / механизмы")</f>
        <v>Аренда техники / механизмы</v>
      </c>
      <c r="F439" s="14">
        <v>4500</v>
      </c>
      <c r="G439" s="14">
        <v>5000</v>
      </c>
      <c r="H439" s="15">
        <v>3800</v>
      </c>
      <c r="I439" s="15">
        <f>IF(OR(H439="",F439=""),"",MAX(H439,MIN(ROUND(H439*(1+Параметры!$B$5),IF(H439*(1+Параметры!$B$5)&gt;=1000,-1,0)),ROUND(F439*Параметры!$B$6,IF(F439*Параметры!$B$6&gt;=1000,-1,0)))))</f>
        <v>3800</v>
      </c>
      <c r="J439" s="15">
        <v>4300</v>
      </c>
      <c r="K439" s="15">
        <f>IF(OR(J439="",G439=""),"",MAX(J439,MIN(ROUND(J439*(1+Параметры!$B$5),IF(J439*(1+Параметры!$B$5)&gt;=1000,-1,0)),ROUND(G439*Параметры!$B$6,IF(G439*Параметры!$B$6&gt;=1000,-1,0)))))</f>
        <v>4300</v>
      </c>
      <c r="L439" s="16"/>
      <c r="M439" s="17" t="str">
        <f t="shared" si="34"/>
        <v/>
      </c>
      <c r="N439" s="17" t="str">
        <f>IF(OR(L439="",L439=0),"",Параметры!$B$3/L439)</f>
        <v/>
      </c>
      <c r="O439" s="15" t="str">
        <f>IF(L439="","",IFERROR(INDEX('Почасовка — ставки и план'!$D$5:$D$24,MATCH($D439,'Почасовка — ставки и план'!$A$5:$A$24,0)),""))</f>
        <v/>
      </c>
      <c r="P439" s="15" t="str">
        <f>IF(L439="","",IFERROR(INDEX('Почасовка — ставки и план'!$E$5:$E$24,MATCH($D439,'Почасовка — ставки и план'!$A$5:$A$24,0)),""))</f>
        <v/>
      </c>
      <c r="Q439" s="15" t="str">
        <f t="shared" si="35"/>
        <v/>
      </c>
      <c r="R439" s="13" t="str">
        <f>IF(D439="TEX","аренда техники — сделка/счёт",IF(OR(Q439="",H439="",H439=0),"—",IF(Q439&lt;H439*(1-Параметры!$B$7),"почасовка",IF(Q439&gt;H439*(1+Параметры!$B$7),"сделка","любой способ"))))</f>
        <v>аренда техники — сделка/счёт</v>
      </c>
      <c r="S439">
        <v>0</v>
      </c>
      <c r="T439">
        <v>0</v>
      </c>
    </row>
    <row r="440" spans="1:20" x14ac:dyDescent="0.25">
      <c r="A440" s="18" t="s">
        <v>940</v>
      </c>
      <c r="B440" s="13" t="s">
        <v>941</v>
      </c>
      <c r="C440" s="13" t="s">
        <v>144</v>
      </c>
      <c r="D440" s="13" t="s">
        <v>64</v>
      </c>
      <c r="E440" s="13" t="str">
        <f>IFERROR(INDEX('Почасовка — ставки и план'!$B$5:$B$24,MATCH(D440,'Почасовка — ставки и план'!$A$5:$A$24,0)),"Аренда техники / механизмы")</f>
        <v>Сварщик / монтажник МК</v>
      </c>
      <c r="F440" s="14">
        <v>1500</v>
      </c>
      <c r="G440" s="14">
        <v>1700</v>
      </c>
      <c r="H440" s="15">
        <v>850</v>
      </c>
      <c r="I440" s="15">
        <f>IF(OR(H440="",F440=""),"",MAX(H440,MIN(ROUND(H440*(1+Параметры!$B$5),IF(H440*(1+Параметры!$B$5)&gt;=1000,-1,0)),ROUND(F440*Параметры!$B$6,IF(F440*Параметры!$B$6&gt;=1000,-1,0)))))</f>
        <v>978</v>
      </c>
      <c r="J440" s="15">
        <v>980</v>
      </c>
      <c r="K440" s="15">
        <f>IF(OR(J440="",G440=""),"",MAX(J440,MIN(ROUND(J440*(1+Параметры!$B$5),IF(J440*(1+Параметры!$B$5)&gt;=1000,-1,0)),ROUND(G440*Параметры!$B$6,IF(G440*Параметры!$B$6&gt;=1000,-1,0)))))</f>
        <v>1130</v>
      </c>
      <c r="L440" s="16">
        <v>1</v>
      </c>
      <c r="M440" s="17">
        <f t="shared" si="34"/>
        <v>1</v>
      </c>
      <c r="N440" s="17">
        <f>IF(OR(L440="",L440=0),"",Параметры!$B$3/L440)</f>
        <v>8</v>
      </c>
      <c r="O440" s="15">
        <f>IF(L440="","",IFERROR(INDEX('Почасовка — ставки и план'!$D$5:$D$24,MATCH($D440,'Почасовка — ставки и план'!$A$5:$A$24,0)),""))</f>
        <v>900</v>
      </c>
      <c r="P440" s="15">
        <f>IF(L440="","",IFERROR(INDEX('Почасовка — ставки и план'!$E$5:$E$24,MATCH($D440,'Почасовка — ставки и план'!$A$5:$A$24,0)),""))</f>
        <v>1080</v>
      </c>
      <c r="Q440" s="15">
        <f t="shared" si="35"/>
        <v>900</v>
      </c>
      <c r="R440" s="13" t="str">
        <f>IF(D440="TEX","аренда техники — сделка/счёт",IF(OR(Q440="",H440="",H440=0),"—",IF(Q440&lt;H440*(1-Параметры!$B$7),"почасовка",IF(Q440&gt;H440*(1+Параметры!$B$7),"сделка","любой способ"))))</f>
        <v>любой способ</v>
      </c>
      <c r="S440">
        <v>0</v>
      </c>
      <c r="T440">
        <v>0</v>
      </c>
    </row>
    <row r="441" spans="1:20" x14ac:dyDescent="0.25">
      <c r="A441" s="11" t="s">
        <v>942</v>
      </c>
      <c r="B441" s="12"/>
      <c r="C441" s="12"/>
      <c r="D441" s="12"/>
      <c r="E441" s="12"/>
      <c r="F441" s="12"/>
      <c r="G441" s="12"/>
      <c r="H441" s="12"/>
      <c r="I441" s="12"/>
      <c r="J441" s="12"/>
      <c r="K441" s="12"/>
      <c r="L441" s="12"/>
      <c r="M441" s="12"/>
      <c r="N441" s="12"/>
      <c r="O441" s="12"/>
      <c r="P441" s="12"/>
      <c r="Q441" s="12"/>
      <c r="R441" s="12"/>
    </row>
    <row r="442" spans="1:20" x14ac:dyDescent="0.25">
      <c r="A442" s="13" t="s">
        <v>943</v>
      </c>
      <c r="B442" s="13" t="s">
        <v>944</v>
      </c>
      <c r="C442" s="13" t="s">
        <v>55</v>
      </c>
      <c r="D442" s="13" t="s">
        <v>832</v>
      </c>
      <c r="E442" s="13" t="str">
        <f>IFERROR(INDEX('Почасовка — ставки и план'!$B$5:$B$24,MATCH(D442,'Почасовка — ставки и план'!$A$5:$A$24,0)),"Аренда техники / механизмы")</f>
        <v>Аренда техники / механизмы</v>
      </c>
      <c r="F442" s="14">
        <v>180</v>
      </c>
      <c r="G442" s="14">
        <v>210</v>
      </c>
      <c r="H442" s="15">
        <v>100</v>
      </c>
      <c r="I442" s="15">
        <f>IF(OR(H442="",F442=""),"",MAX(H442,MIN(ROUND(H442*(1+Параметры!$B$5),IF(H442*(1+Параметры!$B$5)&gt;=1000,-1,0)),ROUND(F442*Параметры!$B$6,IF(F442*Параметры!$B$6&gt;=1000,-1,0)))))</f>
        <v>115</v>
      </c>
      <c r="J442" s="15">
        <v>115</v>
      </c>
      <c r="K442" s="15">
        <f>IF(OR(J442="",G442=""),"",MAX(J442,MIN(ROUND(J442*(1+Параметры!$B$5),IF(J442*(1+Параметры!$B$5)&gt;=1000,-1,0)),ROUND(G442*Параметры!$B$6,IF(G442*Параметры!$B$6&gt;=1000,-1,0)))))</f>
        <v>132</v>
      </c>
      <c r="L442" s="16"/>
      <c r="M442" s="17" t="str">
        <f t="shared" ref="M442:M456" si="36">IF(OR(L442="",L442=0),"",1/L442)</f>
        <v/>
      </c>
      <c r="N442" s="17" t="str">
        <f>IF(OR(L442="",L442=0),"",Параметры!$B$3/L442)</f>
        <v/>
      </c>
      <c r="O442" s="15" t="str">
        <f>IF(L442="","",IFERROR(INDEX('Почасовка — ставки и план'!$D$5:$D$24,MATCH($D442,'Почасовка — ставки и план'!$A$5:$A$24,0)),""))</f>
        <v/>
      </c>
      <c r="P442" s="15" t="str">
        <f>IF(L442="","",IFERROR(INDEX('Почасовка — ставки и план'!$E$5:$E$24,MATCH($D442,'Почасовка — ставки и план'!$A$5:$A$24,0)),""))</f>
        <v/>
      </c>
      <c r="Q442" s="15" t="str">
        <f t="shared" ref="Q442:Q456" si="37">IF(OR(L442="",O442=""),"",ROUND(L442*O442,0))</f>
        <v/>
      </c>
      <c r="R442" s="13" t="str">
        <f>IF(D442="TEX","аренда техники — сделка/счёт",IF(OR(Q442="",H442="",H442=0),"—",IF(Q442&lt;H442*(1-Параметры!$B$7),"почасовка",IF(Q442&gt;H442*(1+Параметры!$B$7),"сделка","любой способ"))))</f>
        <v>аренда техники — сделка/счёт</v>
      </c>
      <c r="S442">
        <v>0</v>
      </c>
      <c r="T442">
        <v>0</v>
      </c>
    </row>
    <row r="443" spans="1:20" x14ac:dyDescent="0.25">
      <c r="A443" s="13" t="s">
        <v>945</v>
      </c>
      <c r="B443" s="13" t="s">
        <v>946</v>
      </c>
      <c r="C443" s="13" t="s">
        <v>55</v>
      </c>
      <c r="D443" s="13" t="s">
        <v>947</v>
      </c>
      <c r="E443" s="13" t="str">
        <f>IFERROR(INDEX('Почасовка — ставки и план'!$B$5:$B$24,MATCH(D443,'Почасовка — ставки и план'!$A$5:$A$24,0)),"Аренда техники / механизмы")</f>
        <v>Землекоп / рабочий земляных работ</v>
      </c>
      <c r="F443" s="14">
        <v>850</v>
      </c>
      <c r="G443" s="14">
        <v>950</v>
      </c>
      <c r="H443" s="15">
        <v>500</v>
      </c>
      <c r="I443" s="15">
        <f>IF(OR(H443="",F443=""),"",MAX(H443,MIN(ROUND(H443*(1+Параметры!$B$5),IF(H443*(1+Параметры!$B$5)&gt;=1000,-1,0)),ROUND(F443*Параметры!$B$6,IF(F443*Параметры!$B$6&gt;=1000,-1,0)))))</f>
        <v>575</v>
      </c>
      <c r="J443" s="15">
        <v>560</v>
      </c>
      <c r="K443" s="15">
        <f>IF(OR(J443="",G443=""),"",MAX(J443,MIN(ROUND(J443*(1+Параметры!$B$5),IF(J443*(1+Параметры!$B$5)&gt;=1000,-1,0)),ROUND(G443*Параметры!$B$6,IF(G443*Параметры!$B$6&gt;=1000,-1,0)))))</f>
        <v>644</v>
      </c>
      <c r="L443" s="16">
        <v>1</v>
      </c>
      <c r="M443" s="17">
        <f t="shared" si="36"/>
        <v>1</v>
      </c>
      <c r="N443" s="17">
        <f>IF(OR(L443="",L443=0),"",Параметры!$B$3/L443)</f>
        <v>8</v>
      </c>
      <c r="O443" s="15">
        <f>IF(L443="","",IFERROR(INDEX('Почасовка — ставки и план'!$D$5:$D$24,MATCH($D443,'Почасовка — ставки и план'!$A$5:$A$24,0)),""))</f>
        <v>550</v>
      </c>
      <c r="P443" s="15">
        <f>IF(L443="","",IFERROR(INDEX('Почасовка — ставки и план'!$E$5:$E$24,MATCH($D443,'Почасовка — ставки и план'!$A$5:$A$24,0)),""))</f>
        <v>660</v>
      </c>
      <c r="Q443" s="15">
        <f t="shared" si="37"/>
        <v>550</v>
      </c>
      <c r="R443" s="13" t="str">
        <f>IF(D443="TEX","аренда техники — сделка/счёт",IF(OR(Q443="",H443="",H443=0),"—",IF(Q443&lt;H443*(1-Параметры!$B$7),"почасовка",IF(Q443&gt;H443*(1+Параметры!$B$7),"сделка","любой способ"))))</f>
        <v>любой способ</v>
      </c>
      <c r="S443">
        <v>0</v>
      </c>
      <c r="T443">
        <v>0</v>
      </c>
    </row>
    <row r="444" spans="1:20" x14ac:dyDescent="0.25">
      <c r="A444" s="13" t="s">
        <v>948</v>
      </c>
      <c r="B444" s="13" t="s">
        <v>949</v>
      </c>
      <c r="C444" s="13" t="s">
        <v>55</v>
      </c>
      <c r="D444" s="13" t="s">
        <v>832</v>
      </c>
      <c r="E444" s="13" t="str">
        <f>IFERROR(INDEX('Почасовка — ставки и план'!$B$5:$B$24,MATCH(D444,'Почасовка — ставки и план'!$A$5:$A$24,0)),"Аренда техники / механизмы")</f>
        <v>Аренда техники / механизмы</v>
      </c>
      <c r="F444" s="14">
        <v>150</v>
      </c>
      <c r="G444" s="14">
        <v>180</v>
      </c>
      <c r="H444" s="15">
        <v>100</v>
      </c>
      <c r="I444" s="15">
        <f>IF(OR(H444="",F444=""),"",MAX(H444,MIN(ROUND(H444*(1+Параметры!$B$5),IF(H444*(1+Параметры!$B$5)&gt;=1000,-1,0)),ROUND(F444*Параметры!$B$6,IF(F444*Параметры!$B$6&gt;=1000,-1,0)))))</f>
        <v>113</v>
      </c>
      <c r="J444" s="15">
        <v>120</v>
      </c>
      <c r="K444" s="15">
        <f>IF(OR(J444="",G444=""),"",MAX(J444,MIN(ROUND(J444*(1+Параметры!$B$5),IF(J444*(1+Параметры!$B$5)&gt;=1000,-1,0)),ROUND(G444*Параметры!$B$6,IF(G444*Параметры!$B$6&gt;=1000,-1,0)))))</f>
        <v>135</v>
      </c>
      <c r="L444" s="16"/>
      <c r="M444" s="17" t="str">
        <f t="shared" si="36"/>
        <v/>
      </c>
      <c r="N444" s="17" t="str">
        <f>IF(OR(L444="",L444=0),"",Параметры!$B$3/L444)</f>
        <v/>
      </c>
      <c r="O444" s="15" t="str">
        <f>IF(L444="","",IFERROR(INDEX('Почасовка — ставки и план'!$D$5:$D$24,MATCH($D444,'Почасовка — ставки и план'!$A$5:$A$24,0)),""))</f>
        <v/>
      </c>
      <c r="P444" s="15" t="str">
        <f>IF(L444="","",IFERROR(INDEX('Почасовка — ставки и план'!$E$5:$E$24,MATCH($D444,'Почасовка — ставки и план'!$A$5:$A$24,0)),""))</f>
        <v/>
      </c>
      <c r="Q444" s="15" t="str">
        <f t="shared" si="37"/>
        <v/>
      </c>
      <c r="R444" s="13" t="str">
        <f>IF(D444="TEX","аренда техники — сделка/счёт",IF(OR(Q444="",H444="",H444=0),"—",IF(Q444&lt;H444*(1-Параметры!$B$7),"почасовка",IF(Q444&gt;H444*(1+Параметры!$B$7),"сделка","любой способ"))))</f>
        <v>аренда техники — сделка/счёт</v>
      </c>
      <c r="S444">
        <v>0</v>
      </c>
      <c r="T444">
        <v>0</v>
      </c>
    </row>
    <row r="445" spans="1:20" x14ac:dyDescent="0.25">
      <c r="A445" s="13" t="s">
        <v>950</v>
      </c>
      <c r="B445" s="13" t="s">
        <v>951</v>
      </c>
      <c r="C445" s="13" t="s">
        <v>55</v>
      </c>
      <c r="D445" s="13" t="s">
        <v>832</v>
      </c>
      <c r="E445" s="13" t="str">
        <f>IFERROR(INDEX('Почасовка — ставки и план'!$B$5:$B$24,MATCH(D445,'Почасовка — ставки и план'!$A$5:$A$24,0)),"Аренда техники / механизмы")</f>
        <v>Аренда техники / механизмы</v>
      </c>
      <c r="F445" s="14">
        <v>90</v>
      </c>
      <c r="G445" s="14">
        <v>105</v>
      </c>
      <c r="H445" s="15">
        <v>60</v>
      </c>
      <c r="I445" s="15">
        <f>IF(OR(H445="",F445=""),"",MAX(H445,MIN(ROUND(H445*(1+Параметры!$B$5),IF(H445*(1+Параметры!$B$5)&gt;=1000,-1,0)),ROUND(F445*Параметры!$B$6,IF(F445*Параметры!$B$6&gt;=1000,-1,0)))))</f>
        <v>68</v>
      </c>
      <c r="J445" s="15">
        <v>70</v>
      </c>
      <c r="K445" s="15">
        <f>IF(OR(J445="",G445=""),"",MAX(J445,MIN(ROUND(J445*(1+Параметры!$B$5),IF(J445*(1+Параметры!$B$5)&gt;=1000,-1,0)),ROUND(G445*Параметры!$B$6,IF(G445*Параметры!$B$6&gt;=1000,-1,0)))))</f>
        <v>79</v>
      </c>
      <c r="L445" s="16"/>
      <c r="M445" s="17" t="str">
        <f t="shared" si="36"/>
        <v/>
      </c>
      <c r="N445" s="17" t="str">
        <f>IF(OR(L445="",L445=0),"",Параметры!$B$3/L445)</f>
        <v/>
      </c>
      <c r="O445" s="15" t="str">
        <f>IF(L445="","",IFERROR(INDEX('Почасовка — ставки и план'!$D$5:$D$24,MATCH($D445,'Почасовка — ставки и план'!$A$5:$A$24,0)),""))</f>
        <v/>
      </c>
      <c r="P445" s="15" t="str">
        <f>IF(L445="","",IFERROR(INDEX('Почасовка — ставки и план'!$E$5:$E$24,MATCH($D445,'Почасовка — ставки и план'!$A$5:$A$24,0)),""))</f>
        <v/>
      </c>
      <c r="Q445" s="15" t="str">
        <f t="shared" si="37"/>
        <v/>
      </c>
      <c r="R445" s="13" t="str">
        <f>IF(D445="TEX","аренда техники — сделка/счёт",IF(OR(Q445="",H445="",H445=0),"—",IF(Q445&lt;H445*(1-Параметры!$B$7),"почасовка",IF(Q445&gt;H445*(1+Параметры!$B$7),"сделка","любой способ"))))</f>
        <v>аренда техники — сделка/счёт</v>
      </c>
      <c r="S445">
        <v>0</v>
      </c>
      <c r="T445">
        <v>0</v>
      </c>
    </row>
    <row r="446" spans="1:20" x14ac:dyDescent="0.25">
      <c r="A446" s="13" t="s">
        <v>952</v>
      </c>
      <c r="B446" s="13" t="s">
        <v>953</v>
      </c>
      <c r="C446" s="13" t="s">
        <v>72</v>
      </c>
      <c r="D446" s="13" t="s">
        <v>947</v>
      </c>
      <c r="E446" s="13" t="str">
        <f>IFERROR(INDEX('Почасовка — ставки и план'!$B$5:$B$24,MATCH(D446,'Почасовка — ставки и план'!$A$5:$A$24,0)),"Аренда техники / механизмы")</f>
        <v>Землекоп / рабочий земляных работ</v>
      </c>
      <c r="F446" s="14">
        <v>180</v>
      </c>
      <c r="G446" s="14">
        <v>210</v>
      </c>
      <c r="H446" s="15">
        <v>100</v>
      </c>
      <c r="I446" s="15">
        <f>IF(OR(H446="",F446=""),"",MAX(H446,MIN(ROUND(H446*(1+Параметры!$B$5),IF(H446*(1+Параметры!$B$5)&gt;=1000,-1,0)),ROUND(F446*Параметры!$B$6,IF(F446*Параметры!$B$6&gt;=1000,-1,0)))))</f>
        <v>115</v>
      </c>
      <c r="J446" s="15">
        <v>115</v>
      </c>
      <c r="K446" s="15">
        <f>IF(OR(J446="",G446=""),"",MAX(J446,MIN(ROUND(J446*(1+Параметры!$B$5),IF(J446*(1+Параметры!$B$5)&gt;=1000,-1,0)),ROUND(G446*Параметры!$B$6,IF(G446*Параметры!$B$6&gt;=1000,-1,0)))))</f>
        <v>132</v>
      </c>
      <c r="L446" s="16">
        <v>0.18</v>
      </c>
      <c r="M446" s="17">
        <f t="shared" si="36"/>
        <v>5.5555555555555554</v>
      </c>
      <c r="N446" s="17">
        <f>IF(OR(L446="",L446=0),"",Параметры!$B$3/L446)</f>
        <v>44.444444444444443</v>
      </c>
      <c r="O446" s="15">
        <f>IF(L446="","",IFERROR(INDEX('Почасовка — ставки и план'!$D$5:$D$24,MATCH($D446,'Почасовка — ставки и план'!$A$5:$A$24,0)),""))</f>
        <v>550</v>
      </c>
      <c r="P446" s="15">
        <f>IF(L446="","",IFERROR(INDEX('Почасовка — ставки и план'!$E$5:$E$24,MATCH($D446,'Почасовка — ставки и план'!$A$5:$A$24,0)),""))</f>
        <v>660</v>
      </c>
      <c r="Q446" s="15">
        <f t="shared" si="37"/>
        <v>99</v>
      </c>
      <c r="R446" s="13" t="str">
        <f>IF(D446="TEX","аренда техники — сделка/счёт",IF(OR(Q446="",H446="",H446=0),"—",IF(Q446&lt;H446*(1-Параметры!$B$7),"почасовка",IF(Q446&gt;H446*(1+Параметры!$B$7),"сделка","любой способ"))))</f>
        <v>любой способ</v>
      </c>
      <c r="S446">
        <v>0</v>
      </c>
      <c r="T446">
        <v>0</v>
      </c>
    </row>
    <row r="447" spans="1:20" x14ac:dyDescent="0.25">
      <c r="A447" s="13" t="s">
        <v>954</v>
      </c>
      <c r="B447" s="13" t="s">
        <v>955</v>
      </c>
      <c r="C447" s="13" t="s">
        <v>72</v>
      </c>
      <c r="D447" s="13" t="s">
        <v>832</v>
      </c>
      <c r="E447" s="13" t="str">
        <f>IFERROR(INDEX('Почасовка — ставки и план'!$B$5:$B$24,MATCH(D447,'Почасовка — ставки и план'!$A$5:$A$24,0)),"Аренда техники / механизмы")</f>
        <v>Аренда техники / механизмы</v>
      </c>
      <c r="F447" s="14">
        <v>40</v>
      </c>
      <c r="G447" s="14">
        <v>46</v>
      </c>
      <c r="H447" s="15">
        <v>25</v>
      </c>
      <c r="I447" s="15">
        <f>IF(OR(H447="",F447=""),"",MAX(H447,MIN(ROUND(H447*(1+Параметры!$B$5),IF(H447*(1+Параметры!$B$5)&gt;=1000,-1,0)),ROUND(F447*Параметры!$B$6,IF(F447*Параметры!$B$6&gt;=1000,-1,0)))))</f>
        <v>29</v>
      </c>
      <c r="J447" s="15">
        <v>29</v>
      </c>
      <c r="K447" s="15">
        <f>IF(OR(J447="",G447=""),"",MAX(J447,MIN(ROUND(J447*(1+Параметры!$B$5),IF(J447*(1+Параметры!$B$5)&gt;=1000,-1,0)),ROUND(G447*Параметры!$B$6,IF(G447*Параметры!$B$6&gt;=1000,-1,0)))))</f>
        <v>33</v>
      </c>
      <c r="L447" s="16"/>
      <c r="M447" s="17" t="str">
        <f t="shared" si="36"/>
        <v/>
      </c>
      <c r="N447" s="17" t="str">
        <f>IF(OR(L447="",L447=0),"",Параметры!$B$3/L447)</f>
        <v/>
      </c>
      <c r="O447" s="15" t="str">
        <f>IF(L447="","",IFERROR(INDEX('Почасовка — ставки и план'!$D$5:$D$24,MATCH($D447,'Почасовка — ставки и план'!$A$5:$A$24,0)),""))</f>
        <v/>
      </c>
      <c r="P447" s="15" t="str">
        <f>IF(L447="","",IFERROR(INDEX('Почасовка — ставки и план'!$E$5:$E$24,MATCH($D447,'Почасовка — ставки и план'!$A$5:$A$24,0)),""))</f>
        <v/>
      </c>
      <c r="Q447" s="15" t="str">
        <f t="shared" si="37"/>
        <v/>
      </c>
      <c r="R447" s="13" t="str">
        <f>IF(D447="TEX","аренда техники — сделка/счёт",IF(OR(Q447="",H447="",H447=0),"—",IF(Q447&lt;H447*(1-Параметры!$B$7),"почасовка",IF(Q447&gt;H447*(1+Параметры!$B$7),"сделка","любой способ"))))</f>
        <v>аренда техники — сделка/счёт</v>
      </c>
      <c r="S447">
        <v>0</v>
      </c>
      <c r="T447">
        <v>0</v>
      </c>
    </row>
    <row r="448" spans="1:20" x14ac:dyDescent="0.25">
      <c r="A448" s="13" t="s">
        <v>956</v>
      </c>
      <c r="B448" s="13" t="s">
        <v>957</v>
      </c>
      <c r="C448" s="13" t="s">
        <v>55</v>
      </c>
      <c r="D448" s="13" t="s">
        <v>832</v>
      </c>
      <c r="E448" s="13" t="str">
        <f>IFERROR(INDEX('Почасовка — ставки и план'!$B$5:$B$24,MATCH(D448,'Почасовка — ставки и план'!$A$5:$A$24,0)),"Аренда техники / механизмы")</f>
        <v>Аренда техники / механизмы</v>
      </c>
      <c r="F448" s="14">
        <v>250</v>
      </c>
      <c r="G448" s="14">
        <v>300</v>
      </c>
      <c r="H448" s="15">
        <v>170</v>
      </c>
      <c r="I448" s="15">
        <f>IF(OR(H448="",F448=""),"",MAX(H448,MIN(ROUND(H448*(1+Параметры!$B$5),IF(H448*(1+Параметры!$B$5)&gt;=1000,-1,0)),ROUND(F448*Параметры!$B$6,IF(F448*Параметры!$B$6&gt;=1000,-1,0)))))</f>
        <v>188</v>
      </c>
      <c r="J448" s="15">
        <v>200</v>
      </c>
      <c r="K448" s="15">
        <f>IF(OR(J448="",G448=""),"",MAX(J448,MIN(ROUND(J448*(1+Параметры!$B$5),IF(J448*(1+Параметры!$B$5)&gt;=1000,-1,0)),ROUND(G448*Параметры!$B$6,IF(G448*Параметры!$B$6&gt;=1000,-1,0)))))</f>
        <v>225</v>
      </c>
      <c r="L448" s="16"/>
      <c r="M448" s="17" t="str">
        <f t="shared" si="36"/>
        <v/>
      </c>
      <c r="N448" s="17" t="str">
        <f>IF(OR(L448="",L448=0),"",Параметры!$B$3/L448)</f>
        <v/>
      </c>
      <c r="O448" s="15" t="str">
        <f>IF(L448="","",IFERROR(INDEX('Почасовка — ставки и план'!$D$5:$D$24,MATCH($D448,'Почасовка — ставки и план'!$A$5:$A$24,0)),""))</f>
        <v/>
      </c>
      <c r="P448" s="15" t="str">
        <f>IF(L448="","",IFERROR(INDEX('Почасовка — ставки и план'!$E$5:$E$24,MATCH($D448,'Почасовка — ставки и план'!$A$5:$A$24,0)),""))</f>
        <v/>
      </c>
      <c r="Q448" s="15" t="str">
        <f t="shared" si="37"/>
        <v/>
      </c>
      <c r="R448" s="13" t="str">
        <f>IF(D448="TEX","аренда техники — сделка/счёт",IF(OR(Q448="",H448="",H448=0),"—",IF(Q448&lt;H448*(1-Параметры!$B$7),"почасовка",IF(Q448&gt;H448*(1+Параметры!$B$7),"сделка","любой способ"))))</f>
        <v>аренда техники — сделка/счёт</v>
      </c>
      <c r="S448">
        <v>0</v>
      </c>
      <c r="T448">
        <v>0</v>
      </c>
    </row>
    <row r="449" spans="1:20" x14ac:dyDescent="0.25">
      <c r="A449" s="13" t="s">
        <v>958</v>
      </c>
      <c r="B449" s="13" t="s">
        <v>959</v>
      </c>
      <c r="C449" s="13" t="s">
        <v>55</v>
      </c>
      <c r="D449" s="13" t="s">
        <v>947</v>
      </c>
      <c r="E449" s="13" t="str">
        <f>IFERROR(INDEX('Почасовка — ставки и план'!$B$5:$B$24,MATCH(D449,'Почасовка — ставки и план'!$A$5:$A$24,0)),"Аренда техники / механизмы")</f>
        <v>Землекоп / рабочий земляных работ</v>
      </c>
      <c r="F449" s="14">
        <v>1467</v>
      </c>
      <c r="G449" s="14">
        <v>1760</v>
      </c>
      <c r="H449" s="15">
        <v>750</v>
      </c>
      <c r="I449" s="15">
        <f>IF(OR(H449="",F449=""),"",MAX(H449,MIN(ROUND(H449*(1+Параметры!$B$5),IF(H449*(1+Параметры!$B$5)&gt;=1000,-1,0)),ROUND(F449*Параметры!$B$6,IF(F449*Параметры!$B$6&gt;=1000,-1,0)))))</f>
        <v>863</v>
      </c>
      <c r="J449" s="15">
        <v>860</v>
      </c>
      <c r="K449" s="15">
        <f>IF(OR(J449="",G449=""),"",MAX(J449,MIN(ROUND(J449*(1+Параметры!$B$5),IF(J449*(1+Параметры!$B$5)&gt;=1000,-1,0)),ROUND(G449*Параметры!$B$6,IF(G449*Параметры!$B$6&gt;=1000,-1,0)))))</f>
        <v>989</v>
      </c>
      <c r="L449" s="16">
        <v>2</v>
      </c>
      <c r="M449" s="17">
        <f t="shared" si="36"/>
        <v>0.5</v>
      </c>
      <c r="N449" s="17">
        <f>IF(OR(L449="",L449=0),"",Параметры!$B$3/L449)</f>
        <v>4</v>
      </c>
      <c r="O449" s="15">
        <f>IF(L449="","",IFERROR(INDEX('Почасовка — ставки и план'!$D$5:$D$24,MATCH($D449,'Почасовка — ставки и план'!$A$5:$A$24,0)),""))</f>
        <v>550</v>
      </c>
      <c r="P449" s="15">
        <f>IF(L449="","",IFERROR(INDEX('Почасовка — ставки и план'!$E$5:$E$24,MATCH($D449,'Почасовка — ставки и план'!$A$5:$A$24,0)),""))</f>
        <v>660</v>
      </c>
      <c r="Q449" s="15">
        <f t="shared" si="37"/>
        <v>1100</v>
      </c>
      <c r="R449" s="13" t="str">
        <f>IF(D449="TEX","аренда техники — сделка/счёт",IF(OR(Q449="",H449="",H449=0),"—",IF(Q449&lt;H449*(1-Параметры!$B$7),"почасовка",IF(Q449&gt;H449*(1+Параметры!$B$7),"сделка","любой способ"))))</f>
        <v>сделка</v>
      </c>
      <c r="S449">
        <v>0.1284615384615384</v>
      </c>
      <c r="T449">
        <v>0.17333333333333331</v>
      </c>
    </row>
    <row r="450" spans="1:20" x14ac:dyDescent="0.25">
      <c r="A450" s="13" t="s">
        <v>960</v>
      </c>
      <c r="B450" s="13" t="s">
        <v>961</v>
      </c>
      <c r="C450" s="13" t="s">
        <v>55</v>
      </c>
      <c r="D450" s="13" t="s">
        <v>832</v>
      </c>
      <c r="E450" s="13" t="str">
        <f>IFERROR(INDEX('Почасовка — ставки и план'!$B$5:$B$24,MATCH(D450,'Почасовка — ставки и план'!$A$5:$A$24,0)),"Аренда техники / механизмы")</f>
        <v>Аренда техники / механизмы</v>
      </c>
      <c r="F450" s="14">
        <v>60</v>
      </c>
      <c r="G450" s="14">
        <v>70</v>
      </c>
      <c r="H450" s="15">
        <v>40</v>
      </c>
      <c r="I450" s="15">
        <f>IF(OR(H450="",F450=""),"",MAX(H450,MIN(ROUND(H450*(1+Параметры!$B$5),IF(H450*(1+Параметры!$B$5)&gt;=1000,-1,0)),ROUND(F450*Параметры!$B$6,IF(F450*Параметры!$B$6&gt;=1000,-1,0)))))</f>
        <v>45</v>
      </c>
      <c r="J450" s="15">
        <v>46</v>
      </c>
      <c r="K450" s="15">
        <f>IF(OR(J450="",G450=""),"",MAX(J450,MIN(ROUND(J450*(1+Параметры!$B$5),IF(J450*(1+Параметры!$B$5)&gt;=1000,-1,0)),ROUND(G450*Параметры!$B$6,IF(G450*Параметры!$B$6&gt;=1000,-1,0)))))</f>
        <v>53</v>
      </c>
      <c r="L450" s="16"/>
      <c r="M450" s="17" t="str">
        <f t="shared" si="36"/>
        <v/>
      </c>
      <c r="N450" s="17" t="str">
        <f>IF(OR(L450="",L450=0),"",Параметры!$B$3/L450)</f>
        <v/>
      </c>
      <c r="O450" s="15" t="str">
        <f>IF(L450="","",IFERROR(INDEX('Почасовка — ставки и план'!$D$5:$D$24,MATCH($D450,'Почасовка — ставки и план'!$A$5:$A$24,0)),""))</f>
        <v/>
      </c>
      <c r="P450" s="15" t="str">
        <f>IF(L450="","",IFERROR(INDEX('Почасовка — ставки и план'!$E$5:$E$24,MATCH($D450,'Почасовка — ставки и план'!$A$5:$A$24,0)),""))</f>
        <v/>
      </c>
      <c r="Q450" s="15" t="str">
        <f t="shared" si="37"/>
        <v/>
      </c>
      <c r="R450" s="13" t="str">
        <f>IF(D450="TEX","аренда техники — сделка/счёт",IF(OR(Q450="",H450="",H450=0),"—",IF(Q450&lt;H450*(1-Параметры!$B$7),"почасовка",IF(Q450&gt;H450*(1+Параметры!$B$7),"сделка","любой способ"))))</f>
        <v>аренда техники — сделка/счёт</v>
      </c>
      <c r="S450">
        <v>0</v>
      </c>
      <c r="T450">
        <v>0</v>
      </c>
    </row>
    <row r="451" spans="1:20" x14ac:dyDescent="0.25">
      <c r="A451" s="13" t="s">
        <v>962</v>
      </c>
      <c r="B451" s="13" t="s">
        <v>963</v>
      </c>
      <c r="C451" s="13" t="s">
        <v>55</v>
      </c>
      <c r="D451" s="13" t="s">
        <v>947</v>
      </c>
      <c r="E451" s="13" t="str">
        <f>IFERROR(INDEX('Почасовка — ставки и план'!$B$5:$B$24,MATCH(D451,'Почасовка — ставки и план'!$A$5:$A$24,0)),"Аренда техники / механизмы")</f>
        <v>Землекоп / рабочий земляных работ</v>
      </c>
      <c r="F451" s="14">
        <v>300</v>
      </c>
      <c r="G451" s="14">
        <v>350</v>
      </c>
      <c r="H451" s="15">
        <v>170</v>
      </c>
      <c r="I451" s="15">
        <f>IF(OR(H451="",F451=""),"",MAX(H451,MIN(ROUND(H451*(1+Параметры!$B$5),IF(H451*(1+Параметры!$B$5)&gt;=1000,-1,0)),ROUND(F451*Параметры!$B$6,IF(F451*Параметры!$B$6&gt;=1000,-1,0)))))</f>
        <v>196</v>
      </c>
      <c r="J451" s="15">
        <v>200</v>
      </c>
      <c r="K451" s="15">
        <f>IF(OR(J451="",G451=""),"",MAX(J451,MIN(ROUND(J451*(1+Параметры!$B$5),IF(J451*(1+Параметры!$B$5)&gt;=1000,-1,0)),ROUND(G451*Параметры!$B$6,IF(G451*Параметры!$B$6&gt;=1000,-1,0)))))</f>
        <v>230</v>
      </c>
      <c r="L451" s="16">
        <v>0.35</v>
      </c>
      <c r="M451" s="17">
        <f t="shared" si="36"/>
        <v>2.8571428571428572</v>
      </c>
      <c r="N451" s="17">
        <f>IF(OR(L451="",L451=0),"",Параметры!$B$3/L451)</f>
        <v>22.857142857142858</v>
      </c>
      <c r="O451" s="15">
        <f>IF(L451="","",IFERROR(INDEX('Почасовка — ставки и план'!$D$5:$D$24,MATCH($D451,'Почасовка — ставки и план'!$A$5:$A$24,0)),""))</f>
        <v>550</v>
      </c>
      <c r="P451" s="15">
        <f>IF(L451="","",IFERROR(INDEX('Почасовка — ставки и план'!$E$5:$E$24,MATCH($D451,'Почасовка — ставки и план'!$A$5:$A$24,0)),""))</f>
        <v>660</v>
      </c>
      <c r="Q451" s="15">
        <f t="shared" si="37"/>
        <v>193</v>
      </c>
      <c r="R451" s="13" t="str">
        <f>IF(D451="TEX","аренда техники — сделка/счёт",IF(OR(Q451="",H451="",H451=0),"—",IF(Q451&lt;H451*(1-Параметры!$B$7),"почасовка",IF(Q451&gt;H451*(1+Параметры!$B$7),"сделка","любой способ"))))</f>
        <v>сделка</v>
      </c>
      <c r="S451">
        <v>0</v>
      </c>
      <c r="T451">
        <v>0</v>
      </c>
    </row>
    <row r="452" spans="1:20" x14ac:dyDescent="0.25">
      <c r="A452" s="18" t="s">
        <v>964</v>
      </c>
      <c r="B452" s="13" t="s">
        <v>965</v>
      </c>
      <c r="C452" s="13" t="s">
        <v>55</v>
      </c>
      <c r="D452" s="13" t="s">
        <v>832</v>
      </c>
      <c r="E452" s="13" t="str">
        <f>IFERROR(INDEX('Почасовка — ставки и план'!$B$5:$B$24,MATCH(D452,'Почасовка — ставки и план'!$A$5:$A$24,0)),"Аренда техники / механизмы")</f>
        <v>Аренда техники / механизмы</v>
      </c>
      <c r="F452" s="14">
        <v>200</v>
      </c>
      <c r="G452" s="14">
        <v>240</v>
      </c>
      <c r="H452" s="15">
        <v>140</v>
      </c>
      <c r="I452" s="15">
        <f>IF(OR(H452="",F452=""),"",MAX(H452,MIN(ROUND(H452*(1+Параметры!$B$5),IF(H452*(1+Параметры!$B$5)&gt;=1000,-1,0)),ROUND(F452*Параметры!$B$6,IF(F452*Параметры!$B$6&gt;=1000,-1,0)))))</f>
        <v>150</v>
      </c>
      <c r="J452" s="15">
        <v>165</v>
      </c>
      <c r="K452" s="15">
        <f>IF(OR(J452="",G452=""),"",MAX(J452,MIN(ROUND(J452*(1+Параметры!$B$5),IF(J452*(1+Параметры!$B$5)&gt;=1000,-1,0)),ROUND(G452*Параметры!$B$6,IF(G452*Параметры!$B$6&gt;=1000,-1,0)))))</f>
        <v>180</v>
      </c>
      <c r="L452" s="16"/>
      <c r="M452" s="17" t="str">
        <f t="shared" si="36"/>
        <v/>
      </c>
      <c r="N452" s="17" t="str">
        <f>IF(OR(L452="",L452=0),"",Параметры!$B$3/L452)</f>
        <v/>
      </c>
      <c r="O452" s="15" t="str">
        <f>IF(L452="","",IFERROR(INDEX('Почасовка — ставки и план'!$D$5:$D$24,MATCH($D452,'Почасовка — ставки и план'!$A$5:$A$24,0)),""))</f>
        <v/>
      </c>
      <c r="P452" s="15" t="str">
        <f>IF(L452="","",IFERROR(INDEX('Почасовка — ставки и план'!$E$5:$E$24,MATCH($D452,'Почасовка — ставки и план'!$A$5:$A$24,0)),""))</f>
        <v/>
      </c>
      <c r="Q452" s="15" t="str">
        <f t="shared" si="37"/>
        <v/>
      </c>
      <c r="R452" s="13" t="str">
        <f>IF(D452="TEX","аренда техники — сделка/счёт",IF(OR(Q452="",H452="",H452=0),"—",IF(Q452&lt;H452*(1-Параметры!$B$7),"почасовка",IF(Q452&gt;H452*(1+Параметры!$B$7),"сделка","любой способ"))))</f>
        <v>аренда техники — сделка/счёт</v>
      </c>
      <c r="S452">
        <v>0</v>
      </c>
      <c r="T452">
        <v>0</v>
      </c>
    </row>
    <row r="453" spans="1:20" x14ac:dyDescent="0.25">
      <c r="A453" s="18" t="s">
        <v>966</v>
      </c>
      <c r="B453" s="13" t="s">
        <v>967</v>
      </c>
      <c r="C453" s="13" t="s">
        <v>55</v>
      </c>
      <c r="D453" s="13" t="s">
        <v>832</v>
      </c>
      <c r="E453" s="13" t="str">
        <f>IFERROR(INDEX('Почасовка — ставки и план'!$B$5:$B$24,MATCH(D453,'Почасовка — ставки и план'!$A$5:$A$24,0)),"Аренда техники / механизмы")</f>
        <v>Аренда техники / механизмы</v>
      </c>
      <c r="F453" s="14">
        <v>900</v>
      </c>
      <c r="G453" s="14">
        <v>1300</v>
      </c>
      <c r="H453" s="15">
        <v>750</v>
      </c>
      <c r="I453" s="15">
        <f>IF(OR(H453="",F453=""),"",MAX(H453,MIN(ROUND(H453*(1+Параметры!$B$5),IF(H453*(1+Параметры!$B$5)&gt;=1000,-1,0)),ROUND(F453*Параметры!$B$6,IF(F453*Параметры!$B$6&gt;=1000,-1,0)))))</f>
        <v>750</v>
      </c>
      <c r="J453" s="15">
        <v>1100</v>
      </c>
      <c r="K453" s="15">
        <f>IF(OR(J453="",G453=""),"",MAX(J453,MIN(ROUND(J453*(1+Параметры!$B$5),IF(J453*(1+Параметры!$B$5)&gt;=1000,-1,0)),ROUND(G453*Параметры!$B$6,IF(G453*Параметры!$B$6&gt;=1000,-1,0)))))</f>
        <v>1100</v>
      </c>
      <c r="L453" s="16"/>
      <c r="M453" s="17" t="str">
        <f t="shared" si="36"/>
        <v/>
      </c>
      <c r="N453" s="17" t="str">
        <f>IF(OR(L453="",L453=0),"",Параметры!$B$3/L453)</f>
        <v/>
      </c>
      <c r="O453" s="15" t="str">
        <f>IF(L453="","",IFERROR(INDEX('Почасовка — ставки и план'!$D$5:$D$24,MATCH($D453,'Почасовка — ставки и план'!$A$5:$A$24,0)),""))</f>
        <v/>
      </c>
      <c r="P453" s="15" t="str">
        <f>IF(L453="","",IFERROR(INDEX('Почасовка — ставки и план'!$E$5:$E$24,MATCH($D453,'Почасовка — ставки и план'!$A$5:$A$24,0)),""))</f>
        <v/>
      </c>
      <c r="Q453" s="15" t="str">
        <f t="shared" si="37"/>
        <v/>
      </c>
      <c r="R453" s="13" t="str">
        <f>IF(D453="TEX","аренда техники — сделка/счёт",IF(OR(Q453="",H453="",H453=0),"—",IF(Q453&lt;H453*(1-Параметры!$B$7),"почасовка",IF(Q453&gt;H453*(1+Параметры!$B$7),"сделка","любой способ"))))</f>
        <v>аренда техники — сделка/счёт</v>
      </c>
      <c r="S453">
        <v>0</v>
      </c>
      <c r="T453">
        <v>0</v>
      </c>
    </row>
    <row r="454" spans="1:20" x14ac:dyDescent="0.25">
      <c r="A454" s="18" t="s">
        <v>968</v>
      </c>
      <c r="B454" s="13" t="s">
        <v>969</v>
      </c>
      <c r="C454" s="13" t="s">
        <v>55</v>
      </c>
      <c r="D454" s="13" t="s">
        <v>947</v>
      </c>
      <c r="E454" s="13" t="str">
        <f>IFERROR(INDEX('Почасовка — ставки и план'!$B$5:$B$24,MATCH(D454,'Почасовка — ставки и план'!$A$5:$A$24,0)),"Аренда техники / механизмы")</f>
        <v>Землекоп / рабочий земляных работ</v>
      </c>
      <c r="F454" s="14">
        <v>650</v>
      </c>
      <c r="G454" s="14">
        <v>750</v>
      </c>
      <c r="H454" s="15">
        <v>380</v>
      </c>
      <c r="I454" s="15">
        <f>IF(OR(H454="",F454=""),"",MAX(H454,MIN(ROUND(H454*(1+Параметры!$B$5),IF(H454*(1+Параметры!$B$5)&gt;=1000,-1,0)),ROUND(F454*Параметры!$B$6,IF(F454*Параметры!$B$6&gt;=1000,-1,0)))))</f>
        <v>437</v>
      </c>
      <c r="J454" s="15">
        <v>440</v>
      </c>
      <c r="K454" s="15">
        <f>IF(OR(J454="",G454=""),"",MAX(J454,MIN(ROUND(J454*(1+Параметры!$B$5),IF(J454*(1+Параметры!$B$5)&gt;=1000,-1,0)),ROUND(G454*Параметры!$B$6,IF(G454*Параметры!$B$6&gt;=1000,-1,0)))))</f>
        <v>506</v>
      </c>
      <c r="L454" s="16">
        <v>0.6</v>
      </c>
      <c r="M454" s="17">
        <f t="shared" si="36"/>
        <v>1.6666666666666667</v>
      </c>
      <c r="N454" s="17">
        <f>IF(OR(L454="",L454=0),"",Параметры!$B$3/L454)</f>
        <v>13.333333333333334</v>
      </c>
      <c r="O454" s="15">
        <f>IF(L454="","",IFERROR(INDEX('Почасовка — ставки и план'!$D$5:$D$24,MATCH($D454,'Почасовка — ставки и план'!$A$5:$A$24,0)),""))</f>
        <v>550</v>
      </c>
      <c r="P454" s="15">
        <f>IF(L454="","",IFERROR(INDEX('Почасовка — ставки и план'!$E$5:$E$24,MATCH($D454,'Почасовка — ставки и план'!$A$5:$A$24,0)),""))</f>
        <v>660</v>
      </c>
      <c r="Q454" s="15">
        <f t="shared" si="37"/>
        <v>330</v>
      </c>
      <c r="R454" s="13" t="str">
        <f>IF(D454="TEX","аренда техники — сделка/счёт",IF(OR(Q454="",H454="",H454=0),"—",IF(Q454&lt;H454*(1-Параметры!$B$7),"почасовка",IF(Q454&gt;H454*(1+Параметры!$B$7),"сделка","любой способ"))))</f>
        <v>почасовка</v>
      </c>
      <c r="S454">
        <v>0</v>
      </c>
      <c r="T454">
        <v>0</v>
      </c>
    </row>
    <row r="455" spans="1:20" x14ac:dyDescent="0.25">
      <c r="A455" s="18" t="s">
        <v>970</v>
      </c>
      <c r="B455" s="13" t="s">
        <v>971</v>
      </c>
      <c r="C455" s="13" t="s">
        <v>55</v>
      </c>
      <c r="D455" s="13" t="s">
        <v>832</v>
      </c>
      <c r="E455" s="13" t="str">
        <f>IFERROR(INDEX('Почасовка — ставки и план'!$B$5:$B$24,MATCH(D455,'Почасовка — ставки и план'!$A$5:$A$24,0)),"Аренда техники / механизмы")</f>
        <v>Аренда техники / механизмы</v>
      </c>
      <c r="F455" s="14">
        <v>600</v>
      </c>
      <c r="G455" s="14">
        <v>700</v>
      </c>
      <c r="H455" s="15">
        <v>420</v>
      </c>
      <c r="I455" s="15">
        <f>IF(OR(H455="",F455=""),"",MAX(H455,MIN(ROUND(H455*(1+Параметры!$B$5),IF(H455*(1+Параметры!$B$5)&gt;=1000,-1,0)),ROUND(F455*Параметры!$B$6,IF(F455*Параметры!$B$6&gt;=1000,-1,0)))))</f>
        <v>450</v>
      </c>
      <c r="J455" s="15">
        <v>490</v>
      </c>
      <c r="K455" s="15">
        <f>IF(OR(J455="",G455=""),"",MAX(J455,MIN(ROUND(J455*(1+Параметры!$B$5),IF(J455*(1+Параметры!$B$5)&gt;=1000,-1,0)),ROUND(G455*Параметры!$B$6,IF(G455*Параметры!$B$6&gt;=1000,-1,0)))))</f>
        <v>525</v>
      </c>
      <c r="L455" s="16"/>
      <c r="M455" s="17" t="str">
        <f t="shared" si="36"/>
        <v/>
      </c>
      <c r="N455" s="17" t="str">
        <f>IF(OR(L455="",L455=0),"",Параметры!$B$3/L455)</f>
        <v/>
      </c>
      <c r="O455" s="15" t="str">
        <f>IF(L455="","",IFERROR(INDEX('Почасовка — ставки и план'!$D$5:$D$24,MATCH($D455,'Почасовка — ставки и план'!$A$5:$A$24,0)),""))</f>
        <v/>
      </c>
      <c r="P455" s="15" t="str">
        <f>IF(L455="","",IFERROR(INDEX('Почасовка — ставки и план'!$E$5:$E$24,MATCH($D455,'Почасовка — ставки и план'!$A$5:$A$24,0)),""))</f>
        <v/>
      </c>
      <c r="Q455" s="15" t="str">
        <f t="shared" si="37"/>
        <v/>
      </c>
      <c r="R455" s="13" t="str">
        <f>IF(D455="TEX","аренда техники — сделка/счёт",IF(OR(Q455="",H455="",H455=0),"—",IF(Q455&lt;H455*(1-Параметры!$B$7),"почасовка",IF(Q455&gt;H455*(1+Параметры!$B$7),"сделка","любой способ"))))</f>
        <v>аренда техники — сделка/счёт</v>
      </c>
      <c r="S455">
        <v>0</v>
      </c>
      <c r="T455">
        <v>0</v>
      </c>
    </row>
    <row r="456" spans="1:20" x14ac:dyDescent="0.25">
      <c r="A456" s="18" t="s">
        <v>972</v>
      </c>
      <c r="B456" s="13" t="s">
        <v>973</v>
      </c>
      <c r="C456" s="13" t="s">
        <v>72</v>
      </c>
      <c r="D456" s="13" t="s">
        <v>947</v>
      </c>
      <c r="E456" s="13" t="str">
        <f>IFERROR(INDEX('Почасовка — ставки и план'!$B$5:$B$24,MATCH(D456,'Почасовка — ставки и план'!$A$5:$A$24,0)),"Аренда техники / механизмы")</f>
        <v>Землекоп / рабочий земляных работ</v>
      </c>
      <c r="F456" s="14">
        <v>40</v>
      </c>
      <c r="G456" s="14">
        <v>46</v>
      </c>
      <c r="H456" s="15">
        <v>22</v>
      </c>
      <c r="I456" s="15">
        <f>IF(OR(H456="",F456=""),"",MAX(H456,MIN(ROUND(H456*(1+Параметры!$B$5),IF(H456*(1+Параметры!$B$5)&gt;=1000,-1,0)),ROUND(F456*Параметры!$B$6,IF(F456*Параметры!$B$6&gt;=1000,-1,0)))))</f>
        <v>25</v>
      </c>
      <c r="J456" s="15">
        <v>25</v>
      </c>
      <c r="K456" s="15">
        <f>IF(OR(J456="",G456=""),"",MAX(J456,MIN(ROUND(J456*(1+Параметры!$B$5),IF(J456*(1+Параметры!$B$5)&gt;=1000,-1,0)),ROUND(G456*Параметры!$B$6,IF(G456*Параметры!$B$6&gt;=1000,-1,0)))))</f>
        <v>29</v>
      </c>
      <c r="L456" s="16">
        <v>0.02</v>
      </c>
      <c r="M456" s="17">
        <f t="shared" si="36"/>
        <v>50</v>
      </c>
      <c r="N456" s="17">
        <f>IF(OR(L456="",L456=0),"",Параметры!$B$3/L456)</f>
        <v>400</v>
      </c>
      <c r="O456" s="15">
        <f>IF(L456="","",IFERROR(INDEX('Почасовка — ставки и план'!$D$5:$D$24,MATCH($D456,'Почасовка — ставки и план'!$A$5:$A$24,0)),""))</f>
        <v>550</v>
      </c>
      <c r="P456" s="15">
        <f>IF(L456="","",IFERROR(INDEX('Почасовка — ставки и план'!$E$5:$E$24,MATCH($D456,'Почасовка — ставки и план'!$A$5:$A$24,0)),""))</f>
        <v>660</v>
      </c>
      <c r="Q456" s="15">
        <f t="shared" si="37"/>
        <v>11</v>
      </c>
      <c r="R456" s="13" t="str">
        <f>IF(D456="TEX","аренда техники — сделка/счёт",IF(OR(Q456="",H456="",H456=0),"—",IF(Q456&lt;H456*(1-Параметры!$B$7),"почасовка",IF(Q456&gt;H456*(1+Параметры!$B$7),"сделка","любой способ"))))</f>
        <v>почасовка</v>
      </c>
      <c r="S456">
        <v>0</v>
      </c>
      <c r="T456">
        <v>0</v>
      </c>
    </row>
    <row r="457" spans="1:20" x14ac:dyDescent="0.25">
      <c r="A457" s="11" t="s">
        <v>974</v>
      </c>
      <c r="B457" s="12"/>
      <c r="C457" s="12"/>
      <c r="D457" s="12"/>
      <c r="E457" s="12"/>
      <c r="F457" s="12"/>
      <c r="G457" s="12"/>
      <c r="H457" s="12"/>
      <c r="I457" s="12"/>
      <c r="J457" s="12"/>
      <c r="K457" s="12"/>
      <c r="L457" s="12"/>
      <c r="M457" s="12"/>
      <c r="N457" s="12"/>
      <c r="O457" s="12"/>
      <c r="P457" s="12"/>
      <c r="Q457" s="12"/>
      <c r="R457" s="12"/>
    </row>
    <row r="458" spans="1:20" x14ac:dyDescent="0.25">
      <c r="A458" s="13" t="s">
        <v>975</v>
      </c>
      <c r="B458" s="13" t="s">
        <v>976</v>
      </c>
      <c r="C458" s="13" t="s">
        <v>55</v>
      </c>
      <c r="D458" s="13" t="s">
        <v>162</v>
      </c>
      <c r="E458" s="13" t="str">
        <f>IFERROR(INDEX('Почасовка — ставки и план'!$B$5:$B$24,MATCH(D458,'Почасовка — ставки и план'!$A$5:$A$24,0)),"Аренда техники / механизмы")</f>
        <v>Бетонщик / арматурщик</v>
      </c>
      <c r="F458" s="14">
        <v>1280</v>
      </c>
      <c r="G458" s="14">
        <v>1520</v>
      </c>
      <c r="H458" s="15">
        <v>650</v>
      </c>
      <c r="I458" s="15">
        <f>IF(OR(H458="",F458=""),"",MAX(H458,MIN(ROUND(H458*(1+Параметры!$B$5),IF(H458*(1+Параметры!$B$5)&gt;=1000,-1,0)),ROUND(F458*Параметры!$B$6,IF(F458*Параметры!$B$6&gt;=1000,-1,0)))))</f>
        <v>748</v>
      </c>
      <c r="J458" s="15">
        <v>750</v>
      </c>
      <c r="K458" s="15">
        <f>IF(OR(J458="",G458=""),"",MAX(J458,MIN(ROUND(J458*(1+Параметры!$B$5),IF(J458*(1+Параметры!$B$5)&gt;=1000,-1,0)),ROUND(G458*Параметры!$B$6,IF(G458*Параметры!$B$6&gt;=1000,-1,0)))))</f>
        <v>863</v>
      </c>
      <c r="L458" s="16">
        <v>1.2</v>
      </c>
      <c r="M458" s="17">
        <f>IF(OR(L458="",L458=0),"",1/L458)</f>
        <v>0.83333333333333337</v>
      </c>
      <c r="N458" s="17">
        <f>IF(OR(L458="",L458=0),"",Параметры!$B$3/L458)</f>
        <v>6.666666666666667</v>
      </c>
      <c r="O458" s="15">
        <f>IF(L458="","",IFERROR(INDEX('Почасовка — ставки и план'!$D$5:$D$24,MATCH($D458,'Почасовка — ставки и план'!$A$5:$A$24,0)),""))</f>
        <v>800</v>
      </c>
      <c r="P458" s="15">
        <f>IF(L458="","",IFERROR(INDEX('Почасовка — ставки и план'!$E$5:$E$24,MATCH($D458,'Почасовка — ставки и план'!$A$5:$A$24,0)),""))</f>
        <v>950</v>
      </c>
      <c r="Q458" s="15">
        <f>IF(OR(L458="",O458=""),"",ROUND(L458*O458,0))</f>
        <v>960</v>
      </c>
      <c r="R458" s="13" t="str">
        <f>IF(D458="TEX","аренда техники — сделка/счёт",IF(OR(Q458="",H458="",H458=0),"—",IF(Q458&lt;H458*(1-Параметры!$B$7),"почасовка",IF(Q458&gt;H458*(1+Параметры!$B$7),"сделка","любой способ"))))</f>
        <v>сделка</v>
      </c>
      <c r="S458">
        <v>0.16363636363636361</v>
      </c>
      <c r="T458">
        <v>0.1692307692307693</v>
      </c>
    </row>
    <row r="459" spans="1:20" x14ac:dyDescent="0.25">
      <c r="A459" s="13" t="s">
        <v>977</v>
      </c>
      <c r="B459" s="13" t="s">
        <v>978</v>
      </c>
      <c r="C459" s="13" t="s">
        <v>55</v>
      </c>
      <c r="D459" s="13" t="s">
        <v>162</v>
      </c>
      <c r="E459" s="13" t="str">
        <f>IFERROR(INDEX('Почасовка — ставки и план'!$B$5:$B$24,MATCH(D459,'Почасовка — ставки и план'!$A$5:$A$24,0)),"Аренда техники / механизмы")</f>
        <v>Бетонщик / арматурщик</v>
      </c>
      <c r="F459" s="14">
        <v>1067</v>
      </c>
      <c r="G459" s="14">
        <v>1267</v>
      </c>
      <c r="H459" s="15">
        <v>520</v>
      </c>
      <c r="I459" s="15">
        <f>IF(OR(H459="",F459=""),"",MAX(H459,MIN(ROUND(H459*(1+Параметры!$B$5),IF(H459*(1+Параметры!$B$5)&gt;=1000,-1,0)),ROUND(F459*Параметры!$B$6,IF(F459*Параметры!$B$6&gt;=1000,-1,0)))))</f>
        <v>598</v>
      </c>
      <c r="J459" s="15">
        <v>600</v>
      </c>
      <c r="K459" s="15">
        <f>IF(OR(J459="",G459=""),"",MAX(J459,MIN(ROUND(J459*(1+Параметры!$B$5),IF(J459*(1+Параметры!$B$5)&gt;=1000,-1,0)),ROUND(G459*Параметры!$B$6,IF(G459*Параметры!$B$6&gt;=1000,-1,0)))))</f>
        <v>690</v>
      </c>
      <c r="L459" s="16">
        <v>1</v>
      </c>
      <c r="M459" s="17">
        <f>IF(OR(L459="",L459=0),"",1/L459)</f>
        <v>1</v>
      </c>
      <c r="N459" s="17">
        <f>IF(OR(L459="",L459=0),"",Параметры!$B$3/L459)</f>
        <v>8</v>
      </c>
      <c r="O459" s="15">
        <f>IF(L459="","",IFERROR(INDEX('Почасовка — ставки и план'!$D$5:$D$24,MATCH($D459,'Почасовка — ставки и план'!$A$5:$A$24,0)),""))</f>
        <v>800</v>
      </c>
      <c r="P459" s="15">
        <f>IF(L459="","",IFERROR(INDEX('Почасовка — ставки и план'!$E$5:$E$24,MATCH($D459,'Почасовка — ставки и план'!$A$5:$A$24,0)),""))</f>
        <v>950</v>
      </c>
      <c r="Q459" s="15">
        <f>IF(OR(L459="",O459=""),"",ROUND(L459*O459,0))</f>
        <v>800</v>
      </c>
      <c r="R459" s="13" t="str">
        <f>IF(D459="TEX","аренда техники — сделка/счёт",IF(OR(Q459="",H459="",H459=0),"—",IF(Q459&lt;H459*(1-Параметры!$B$7),"почасовка",IF(Q459&gt;H459*(1+Параметры!$B$7),"сделка","любой способ"))))</f>
        <v>сделка</v>
      </c>
      <c r="S459">
        <v>0.1855555555555555</v>
      </c>
      <c r="T459">
        <v>0.2066666666666668</v>
      </c>
    </row>
    <row r="460" spans="1:20" x14ac:dyDescent="0.25">
      <c r="A460" s="13" t="s">
        <v>979</v>
      </c>
      <c r="B460" s="13" t="s">
        <v>980</v>
      </c>
      <c r="C460" s="13" t="s">
        <v>55</v>
      </c>
      <c r="D460" s="13" t="s">
        <v>162</v>
      </c>
      <c r="E460" s="13" t="str">
        <f>IFERROR(INDEX('Почасовка — ставки и план'!$B$5:$B$24,MATCH(D460,'Почасовка — ставки и план'!$A$5:$A$24,0)),"Аренда техники / механизмы")</f>
        <v>Бетонщик / арматурщик</v>
      </c>
      <c r="F460" s="14">
        <v>1387</v>
      </c>
      <c r="G460" s="14">
        <v>1647</v>
      </c>
      <c r="H460" s="15">
        <v>680</v>
      </c>
      <c r="I460" s="15">
        <f>IF(OR(H460="",F460=""),"",MAX(H460,MIN(ROUND(H460*(1+Параметры!$B$5),IF(H460*(1+Параметры!$B$5)&gt;=1000,-1,0)),ROUND(F460*Параметры!$B$6,IF(F460*Параметры!$B$6&gt;=1000,-1,0)))))</f>
        <v>782</v>
      </c>
      <c r="J460" s="15">
        <v>780</v>
      </c>
      <c r="K460" s="15">
        <f>IF(OR(J460="",G460=""),"",MAX(J460,MIN(ROUND(J460*(1+Параметры!$B$5),IF(J460*(1+Параметры!$B$5)&gt;=1000,-1,0)),ROUND(G460*Параметры!$B$6,IF(G460*Параметры!$B$6&gt;=1000,-1,0)))))</f>
        <v>897</v>
      </c>
      <c r="L460" s="16">
        <v>1.3</v>
      </c>
      <c r="M460" s="17">
        <f>IF(OR(L460="",L460=0),"",1/L460)</f>
        <v>0.76923076923076916</v>
      </c>
      <c r="N460" s="17">
        <f>IF(OR(L460="",L460=0),"",Параметры!$B$3/L460)</f>
        <v>6.1538461538461533</v>
      </c>
      <c r="O460" s="15">
        <f>IF(L460="","",IFERROR(INDEX('Почасовка — ставки и план'!$D$5:$D$24,MATCH($D460,'Почасовка — ставки и план'!$A$5:$A$24,0)),""))</f>
        <v>800</v>
      </c>
      <c r="P460" s="15">
        <f>IF(L460="","",IFERROR(INDEX('Почасовка — ставки и план'!$E$5:$E$24,MATCH($D460,'Почасовка — ставки и план'!$A$5:$A$24,0)),""))</f>
        <v>950</v>
      </c>
      <c r="Q460" s="15">
        <f>IF(OR(L460="",O460=""),"",ROUND(L460*O460,0))</f>
        <v>1040</v>
      </c>
      <c r="R460" s="13" t="str">
        <f>IF(D460="TEX","аренда техники — сделка/счёт",IF(OR(Q460="",H460="",H460=0),"—",IF(Q460&lt;H460*(1-Параметры!$B$7),"почасовка",IF(Q460&gt;H460*(1+Параметры!$B$7),"сделка","любой способ"))))</f>
        <v>сделка</v>
      </c>
      <c r="S460">
        <v>0.20608695652173911</v>
      </c>
      <c r="T460">
        <v>0.22</v>
      </c>
    </row>
    <row r="461" spans="1:20" x14ac:dyDescent="0.25">
      <c r="A461" s="11" t="s">
        <v>981</v>
      </c>
      <c r="B461" s="12"/>
      <c r="C461" s="12"/>
      <c r="D461" s="12"/>
      <c r="E461" s="12"/>
      <c r="F461" s="12"/>
      <c r="G461" s="12"/>
      <c r="H461" s="12"/>
      <c r="I461" s="12"/>
      <c r="J461" s="12"/>
      <c r="K461" s="12"/>
      <c r="L461" s="12"/>
      <c r="M461" s="12"/>
      <c r="N461" s="12"/>
      <c r="O461" s="12"/>
      <c r="P461" s="12"/>
      <c r="Q461" s="12"/>
      <c r="R461" s="12"/>
    </row>
    <row r="462" spans="1:20" x14ac:dyDescent="0.25">
      <c r="A462" s="13" t="s">
        <v>982</v>
      </c>
      <c r="B462" s="13" t="s">
        <v>983</v>
      </c>
      <c r="C462" s="13" t="s">
        <v>72</v>
      </c>
      <c r="D462" s="13" t="s">
        <v>162</v>
      </c>
      <c r="E462" s="13" t="str">
        <f>IFERROR(INDEX('Почасовка — ставки и план'!$B$5:$B$24,MATCH(D462,'Почасовка — ставки и план'!$A$5:$A$24,0)),"Аренда техники / механизмы")</f>
        <v>Бетонщик / арматурщик</v>
      </c>
      <c r="F462" s="14">
        <v>750</v>
      </c>
      <c r="G462" s="14">
        <v>850</v>
      </c>
      <c r="H462" s="15">
        <v>430</v>
      </c>
      <c r="I462" s="15">
        <f>IF(OR(H462="",F462=""),"",MAX(H462,MIN(ROUND(H462*(1+Параметры!$B$5),IF(H462*(1+Параметры!$B$5)&gt;=1000,-1,0)),ROUND(F462*Параметры!$B$6,IF(F462*Параметры!$B$6&gt;=1000,-1,0)))))</f>
        <v>495</v>
      </c>
      <c r="J462" s="15">
        <v>490</v>
      </c>
      <c r="K462" s="15">
        <f>IF(OR(J462="",G462=""),"",MAX(J462,MIN(ROUND(J462*(1+Параметры!$B$5),IF(J462*(1+Параметры!$B$5)&gt;=1000,-1,0)),ROUND(G462*Параметры!$B$6,IF(G462*Параметры!$B$6&gt;=1000,-1,0)))))</f>
        <v>564</v>
      </c>
      <c r="L462" s="16">
        <v>0.6</v>
      </c>
      <c r="M462" s="17">
        <f t="shared" ref="M462:M474" si="38">IF(OR(L462="",L462=0),"",1/L462)</f>
        <v>1.6666666666666667</v>
      </c>
      <c r="N462" s="17">
        <f>IF(OR(L462="",L462=0),"",Параметры!$B$3/L462)</f>
        <v>13.333333333333334</v>
      </c>
      <c r="O462" s="15">
        <f>IF(L462="","",IFERROR(INDEX('Почасовка — ставки и план'!$D$5:$D$24,MATCH($D462,'Почасовка — ставки и план'!$A$5:$A$24,0)),""))</f>
        <v>800</v>
      </c>
      <c r="P462" s="15">
        <f>IF(L462="","",IFERROR(INDEX('Почасовка — ставки и план'!$E$5:$E$24,MATCH($D462,'Почасовка — ставки и план'!$A$5:$A$24,0)),""))</f>
        <v>950</v>
      </c>
      <c r="Q462" s="15">
        <f t="shared" ref="Q462:Q474" si="39">IF(OR(L462="",O462=""),"",ROUND(L462*O462,0))</f>
        <v>480</v>
      </c>
      <c r="R462" s="13" t="str">
        <f>IF(D462="TEX","аренда техники — сделка/счёт",IF(OR(Q462="",H462="",H462=0),"—",IF(Q462&lt;H462*(1-Параметры!$B$7),"почасовка",IF(Q462&gt;H462*(1+Параметры!$B$7),"сделка","любой способ"))))</f>
        <v>сделка</v>
      </c>
      <c r="S462">
        <v>0</v>
      </c>
      <c r="T462">
        <v>0</v>
      </c>
    </row>
    <row r="463" spans="1:20" x14ac:dyDescent="0.25">
      <c r="A463" s="13" t="s">
        <v>984</v>
      </c>
      <c r="B463" s="13" t="s">
        <v>985</v>
      </c>
      <c r="C463" s="13" t="s">
        <v>55</v>
      </c>
      <c r="D463" s="13" t="s">
        <v>162</v>
      </c>
      <c r="E463" s="13" t="str">
        <f>IFERROR(INDEX('Почасовка — ставки и план'!$B$5:$B$24,MATCH(D463,'Почасовка — ставки и план'!$A$5:$A$24,0)),"Аренда техники / механизмы")</f>
        <v>Бетонщик / арматурщик</v>
      </c>
      <c r="F463" s="14">
        <v>1800</v>
      </c>
      <c r="G463" s="14">
        <v>2100</v>
      </c>
      <c r="H463" s="15">
        <v>1000</v>
      </c>
      <c r="I463" s="15">
        <f>IF(OR(H463="",F463=""),"",MAX(H463,MIN(ROUND(H463*(1+Параметры!$B$5),IF(H463*(1+Параметры!$B$5)&gt;=1000,-1,0)),ROUND(F463*Параметры!$B$6,IF(F463*Параметры!$B$6&gt;=1000,-1,0)))))</f>
        <v>1150</v>
      </c>
      <c r="J463" s="15">
        <v>1150</v>
      </c>
      <c r="K463" s="15">
        <f>IF(OR(J463="",G463=""),"",MAX(J463,MIN(ROUND(J463*(1+Параметры!$B$5),IF(J463*(1+Параметры!$B$5)&gt;=1000,-1,0)),ROUND(G463*Параметры!$B$6,IF(G463*Параметры!$B$6&gt;=1000,-1,0)))))</f>
        <v>1320</v>
      </c>
      <c r="L463" s="16">
        <v>1</v>
      </c>
      <c r="M463" s="17">
        <f t="shared" si="38"/>
        <v>1</v>
      </c>
      <c r="N463" s="17">
        <f>IF(OR(L463="",L463=0),"",Параметры!$B$3/L463)</f>
        <v>8</v>
      </c>
      <c r="O463" s="15">
        <f>IF(L463="","",IFERROR(INDEX('Почасовка — ставки и план'!$D$5:$D$24,MATCH($D463,'Почасовка — ставки и план'!$A$5:$A$24,0)),""))</f>
        <v>800</v>
      </c>
      <c r="P463" s="15">
        <f>IF(L463="","",IFERROR(INDEX('Почасовка — ставки и план'!$E$5:$E$24,MATCH($D463,'Почасовка — ставки и план'!$A$5:$A$24,0)),""))</f>
        <v>950</v>
      </c>
      <c r="Q463" s="15">
        <f t="shared" si="39"/>
        <v>800</v>
      </c>
      <c r="R463" s="13" t="str">
        <f>IF(D463="TEX","аренда техники — сделка/счёт",IF(OR(Q463="",H463="",H463=0),"—",IF(Q463&lt;H463*(1-Параметры!$B$7),"почасовка",IF(Q463&gt;H463*(1+Параметры!$B$7),"сделка","любой способ"))))</f>
        <v>почасовка</v>
      </c>
      <c r="S463">
        <v>0</v>
      </c>
      <c r="T463">
        <v>0</v>
      </c>
    </row>
    <row r="464" spans="1:20" x14ac:dyDescent="0.25">
      <c r="A464" s="13" t="s">
        <v>986</v>
      </c>
      <c r="B464" s="13" t="s">
        <v>987</v>
      </c>
      <c r="C464" s="13" t="s">
        <v>152</v>
      </c>
      <c r="D464" s="13" t="s">
        <v>162</v>
      </c>
      <c r="E464" s="13" t="str">
        <f>IFERROR(INDEX('Почасовка — ставки и план'!$B$5:$B$24,MATCH(D464,'Почасовка — ставки и план'!$A$5:$A$24,0)),"Аренда техники / механизмы")</f>
        <v>Бетонщик / арматурщик</v>
      </c>
      <c r="F464" s="14">
        <v>17067</v>
      </c>
      <c r="G464" s="14">
        <v>20267</v>
      </c>
      <c r="H464" s="15">
        <v>8500</v>
      </c>
      <c r="I464" s="15">
        <f>IF(OR(H464="",F464=""),"",MAX(H464,MIN(ROUND(H464*(1+Параметры!$B$5),IF(H464*(1+Параметры!$B$5)&gt;=1000,-1,0)),ROUND(F464*Параметры!$B$6,IF(F464*Параметры!$B$6&gt;=1000,-1,0)))))</f>
        <v>9780</v>
      </c>
      <c r="J464" s="15">
        <v>9700</v>
      </c>
      <c r="K464" s="15">
        <f>IF(OR(J464="",G464=""),"",MAX(J464,MIN(ROUND(J464*(1+Параметры!$B$5),IF(J464*(1+Параметры!$B$5)&gt;=1000,-1,0)),ROUND(G464*Параметры!$B$6,IF(G464*Параметры!$B$6&gt;=1000,-1,0)))))</f>
        <v>11160</v>
      </c>
      <c r="L464" s="16">
        <v>16</v>
      </c>
      <c r="M464" s="17">
        <f t="shared" si="38"/>
        <v>6.25E-2</v>
      </c>
      <c r="N464" s="17">
        <f>IF(OR(L464="",L464=0),"",Параметры!$B$3/L464)</f>
        <v>0.5</v>
      </c>
      <c r="O464" s="15">
        <f>IF(L464="","",IFERROR(INDEX('Почасовка — ставки и план'!$D$5:$D$24,MATCH($D464,'Почасовка — ставки и план'!$A$5:$A$24,0)),""))</f>
        <v>800</v>
      </c>
      <c r="P464" s="15">
        <f>IF(L464="","",IFERROR(INDEX('Почасовка — ставки и план'!$E$5:$E$24,MATCH($D464,'Почасовка — ставки и план'!$A$5:$A$24,0)),""))</f>
        <v>950</v>
      </c>
      <c r="Q464" s="15">
        <f t="shared" si="39"/>
        <v>12800</v>
      </c>
      <c r="R464" s="13" t="str">
        <f>IF(D464="TEX","аренда техники — сделка/счёт",IF(OR(Q464="",H464="",H464=0),"—",IF(Q464&lt;H464*(1-Параметры!$B$7),"почасовка",IF(Q464&gt;H464*(1+Параметры!$B$7),"сделка","любой способ"))))</f>
        <v>сделка</v>
      </c>
      <c r="S464">
        <v>0.21907142857142861</v>
      </c>
      <c r="T464">
        <v>0.26668750000000002</v>
      </c>
    </row>
    <row r="465" spans="1:20" x14ac:dyDescent="0.25">
      <c r="A465" s="13" t="s">
        <v>988</v>
      </c>
      <c r="B465" s="13" t="s">
        <v>989</v>
      </c>
      <c r="C465" s="13" t="s">
        <v>55</v>
      </c>
      <c r="D465" s="13" t="s">
        <v>162</v>
      </c>
      <c r="E465" s="13" t="str">
        <f>IFERROR(INDEX('Почасовка — ставки и план'!$B$5:$B$24,MATCH(D465,'Почасовка — ставки и план'!$A$5:$A$24,0)),"Аренда техники / механизмы")</f>
        <v>Бетонщик / арматурщик</v>
      </c>
      <c r="F465" s="14">
        <v>9000</v>
      </c>
      <c r="G465" s="14">
        <v>11000</v>
      </c>
      <c r="H465" s="15">
        <v>5200</v>
      </c>
      <c r="I465" s="15">
        <f>IF(OR(H465="",F465=""),"",MAX(H465,MIN(ROUND(H465*(1+Параметры!$B$5),IF(H465*(1+Параметры!$B$5)&gt;=1000,-1,0)),ROUND(F465*Параметры!$B$6,IF(F465*Параметры!$B$6&gt;=1000,-1,0)))))</f>
        <v>5980</v>
      </c>
      <c r="J465" s="15">
        <v>6300</v>
      </c>
      <c r="K465" s="15">
        <f>IF(OR(J465="",G465=""),"",MAX(J465,MIN(ROUND(J465*(1+Параметры!$B$5),IF(J465*(1+Параметры!$B$5)&gt;=1000,-1,0)),ROUND(G465*Параметры!$B$6,IF(G465*Параметры!$B$6&gt;=1000,-1,0)))))</f>
        <v>7250</v>
      </c>
      <c r="L465" s="16">
        <v>4</v>
      </c>
      <c r="M465" s="17">
        <f t="shared" si="38"/>
        <v>0.25</v>
      </c>
      <c r="N465" s="17">
        <f>IF(OR(L465="",L465=0),"",Параметры!$B$3/L465)</f>
        <v>2</v>
      </c>
      <c r="O465" s="15">
        <f>IF(L465="","",IFERROR(INDEX('Почасовка — ставки и план'!$D$5:$D$24,MATCH($D465,'Почасовка — ставки и план'!$A$5:$A$24,0)),""))</f>
        <v>800</v>
      </c>
      <c r="P465" s="15">
        <f>IF(L465="","",IFERROR(INDEX('Почасовка — ставки и план'!$E$5:$E$24,MATCH($D465,'Почасовка — ставки и план'!$A$5:$A$24,0)),""))</f>
        <v>950</v>
      </c>
      <c r="Q465" s="15">
        <f t="shared" si="39"/>
        <v>3200</v>
      </c>
      <c r="R465" s="13" t="str">
        <f>IF(D465="TEX","аренда техники — сделка/счёт",IF(OR(Q465="",H465="",H465=0),"—",IF(Q465&lt;H465*(1-Параметры!$B$7),"почасовка",IF(Q465&gt;H465*(1+Параметры!$B$7),"сделка","любой способ"))))</f>
        <v>почасовка</v>
      </c>
      <c r="S465">
        <v>0</v>
      </c>
      <c r="T465">
        <v>0</v>
      </c>
    </row>
    <row r="466" spans="1:20" x14ac:dyDescent="0.25">
      <c r="A466" s="13" t="s">
        <v>990</v>
      </c>
      <c r="B466" s="13" t="s">
        <v>991</v>
      </c>
      <c r="C466" s="13" t="s">
        <v>55</v>
      </c>
      <c r="D466" s="13" t="s">
        <v>162</v>
      </c>
      <c r="E466" s="13" t="str">
        <f>IFERROR(INDEX('Почасовка — ставки и план'!$B$5:$B$24,MATCH(D466,'Почасовка — ставки и план'!$A$5:$A$24,0)),"Аренда техники / механизмы")</f>
        <v>Бетонщик / арматурщик</v>
      </c>
      <c r="F466" s="14">
        <v>18000</v>
      </c>
      <c r="G466" s="14">
        <v>22000</v>
      </c>
      <c r="H466" s="15">
        <v>10500</v>
      </c>
      <c r="I466" s="15">
        <f>IF(OR(H466="",F466=""),"",MAX(H466,MIN(ROUND(H466*(1+Параметры!$B$5),IF(H466*(1+Параметры!$B$5)&gt;=1000,-1,0)),ROUND(F466*Параметры!$B$6,IF(F466*Параметры!$B$6&gt;=1000,-1,0)))))</f>
        <v>12080</v>
      </c>
      <c r="J466" s="15">
        <v>12800</v>
      </c>
      <c r="K466" s="15">
        <f>IF(OR(J466="",G466=""),"",MAX(J466,MIN(ROUND(J466*(1+Параметры!$B$5),IF(J466*(1+Параметры!$B$5)&gt;=1000,-1,0)),ROUND(G466*Параметры!$B$6,IF(G466*Параметры!$B$6&gt;=1000,-1,0)))))</f>
        <v>14720</v>
      </c>
      <c r="L466" s="16">
        <v>12</v>
      </c>
      <c r="M466" s="17">
        <f t="shared" si="38"/>
        <v>8.3333333333333329E-2</v>
      </c>
      <c r="N466" s="17">
        <f>IF(OR(L466="",L466=0),"",Параметры!$B$3/L466)</f>
        <v>0.66666666666666663</v>
      </c>
      <c r="O466" s="15">
        <f>IF(L466="","",IFERROR(INDEX('Почасовка — ставки и план'!$D$5:$D$24,MATCH($D466,'Почасовка — ставки и план'!$A$5:$A$24,0)),""))</f>
        <v>800</v>
      </c>
      <c r="P466" s="15">
        <f>IF(L466="","",IFERROR(INDEX('Почасовка — ставки и план'!$E$5:$E$24,MATCH($D466,'Почасовка — ставки и план'!$A$5:$A$24,0)),""))</f>
        <v>950</v>
      </c>
      <c r="Q466" s="15">
        <f t="shared" si="39"/>
        <v>9600</v>
      </c>
      <c r="R466" s="13" t="str">
        <f>IF(D466="TEX","аренда техники — сделка/счёт",IF(OR(Q466="",H466="",H466=0),"—",IF(Q466&lt;H466*(1-Параметры!$B$7),"почасовка",IF(Q466&gt;H466*(1+Параметры!$B$7),"сделка","любой способ"))))</f>
        <v>любой способ</v>
      </c>
      <c r="S466">
        <v>0</v>
      </c>
      <c r="T466">
        <v>0</v>
      </c>
    </row>
    <row r="467" spans="1:20" x14ac:dyDescent="0.25">
      <c r="A467" s="13" t="s">
        <v>992</v>
      </c>
      <c r="B467" s="13" t="s">
        <v>993</v>
      </c>
      <c r="C467" s="13" t="s">
        <v>55</v>
      </c>
      <c r="D467" s="13" t="s">
        <v>162</v>
      </c>
      <c r="E467" s="13" t="str">
        <f>IFERROR(INDEX('Почасовка — ставки и план'!$B$5:$B$24,MATCH(D467,'Почасовка — ставки и план'!$A$5:$A$24,0)),"Аренда техники / механизмы")</f>
        <v>Бетонщик / арматурщик</v>
      </c>
      <c r="F467" s="14">
        <v>7500</v>
      </c>
      <c r="G467" s="14">
        <v>8500</v>
      </c>
      <c r="H467" s="15">
        <v>4300</v>
      </c>
      <c r="I467" s="15">
        <f>IF(OR(H467="",F467=""),"",MAX(H467,MIN(ROUND(H467*(1+Параметры!$B$5),IF(H467*(1+Параметры!$B$5)&gt;=1000,-1,0)),ROUND(F467*Параметры!$B$6,IF(F467*Параметры!$B$6&gt;=1000,-1,0)))))</f>
        <v>4950</v>
      </c>
      <c r="J467" s="15">
        <v>4900</v>
      </c>
      <c r="K467" s="15">
        <f>IF(OR(J467="",G467=""),"",MAX(J467,MIN(ROUND(J467*(1+Параметры!$B$5),IF(J467*(1+Параметры!$B$5)&gt;=1000,-1,0)),ROUND(G467*Параметры!$B$6,IF(G467*Параметры!$B$6&gt;=1000,-1,0)))))</f>
        <v>5640</v>
      </c>
      <c r="L467" s="16">
        <v>4</v>
      </c>
      <c r="M467" s="17">
        <f t="shared" si="38"/>
        <v>0.25</v>
      </c>
      <c r="N467" s="17">
        <f>IF(OR(L467="",L467=0),"",Параметры!$B$3/L467)</f>
        <v>2</v>
      </c>
      <c r="O467" s="15">
        <f>IF(L467="","",IFERROR(INDEX('Почасовка — ставки и план'!$D$5:$D$24,MATCH($D467,'Почасовка — ставки и план'!$A$5:$A$24,0)),""))</f>
        <v>800</v>
      </c>
      <c r="P467" s="15">
        <f>IF(L467="","",IFERROR(INDEX('Почасовка — ставки и план'!$E$5:$E$24,MATCH($D467,'Почасовка — ставки и план'!$A$5:$A$24,0)),""))</f>
        <v>950</v>
      </c>
      <c r="Q467" s="15">
        <f t="shared" si="39"/>
        <v>3200</v>
      </c>
      <c r="R467" s="13" t="str">
        <f>IF(D467="TEX","аренда техники — сделка/счёт",IF(OR(Q467="",H467="",H467=0),"—",IF(Q467&lt;H467*(1-Параметры!$B$7),"почасовка",IF(Q467&gt;H467*(1+Параметры!$B$7),"сделка","любой способ"))))</f>
        <v>почасовка</v>
      </c>
      <c r="S467">
        <v>0</v>
      </c>
      <c r="T467">
        <v>0</v>
      </c>
    </row>
    <row r="468" spans="1:20" x14ac:dyDescent="0.25">
      <c r="A468" s="13" t="s">
        <v>994</v>
      </c>
      <c r="B468" s="13" t="s">
        <v>995</v>
      </c>
      <c r="C468" s="13" t="s">
        <v>55</v>
      </c>
      <c r="D468" s="13" t="s">
        <v>162</v>
      </c>
      <c r="E468" s="13" t="str">
        <f>IFERROR(INDEX('Почасовка — ставки и план'!$B$5:$B$24,MATCH(D468,'Почасовка — ставки и план'!$A$5:$A$24,0)),"Аренда техники / механизмы")</f>
        <v>Бетонщик / арматурщик</v>
      </c>
      <c r="F468" s="14">
        <v>6500</v>
      </c>
      <c r="G468" s="14">
        <v>7500</v>
      </c>
      <c r="H468" s="15">
        <v>3800</v>
      </c>
      <c r="I468" s="15">
        <f>IF(OR(H468="",F468=""),"",MAX(H468,MIN(ROUND(H468*(1+Параметры!$B$5),IF(H468*(1+Параметры!$B$5)&gt;=1000,-1,0)),ROUND(F468*Параметры!$B$6,IF(F468*Параметры!$B$6&gt;=1000,-1,0)))))</f>
        <v>4370</v>
      </c>
      <c r="J468" s="15">
        <v>4400</v>
      </c>
      <c r="K468" s="15">
        <f>IF(OR(J468="",G468=""),"",MAX(J468,MIN(ROUND(J468*(1+Параметры!$B$5),IF(J468*(1+Параметры!$B$5)&gt;=1000,-1,0)),ROUND(G468*Параметры!$B$6,IF(G468*Параметры!$B$6&gt;=1000,-1,0)))))</f>
        <v>5060</v>
      </c>
      <c r="L468" s="16">
        <v>3</v>
      </c>
      <c r="M468" s="17">
        <f t="shared" si="38"/>
        <v>0.33333333333333331</v>
      </c>
      <c r="N468" s="17">
        <f>IF(OR(L468="",L468=0),"",Параметры!$B$3/L468)</f>
        <v>2.6666666666666665</v>
      </c>
      <c r="O468" s="15">
        <f>IF(L468="","",IFERROR(INDEX('Почасовка — ставки и план'!$D$5:$D$24,MATCH($D468,'Почасовка — ставки и план'!$A$5:$A$24,0)),""))</f>
        <v>800</v>
      </c>
      <c r="P468" s="15">
        <f>IF(L468="","",IFERROR(INDEX('Почасовка — ставки и план'!$E$5:$E$24,MATCH($D468,'Почасовка — ставки и план'!$A$5:$A$24,0)),""))</f>
        <v>950</v>
      </c>
      <c r="Q468" s="15">
        <f t="shared" si="39"/>
        <v>2400</v>
      </c>
      <c r="R468" s="13" t="str">
        <f>IF(D468="TEX","аренда техники — сделка/счёт",IF(OR(Q468="",H468="",H468=0),"—",IF(Q468&lt;H468*(1-Параметры!$B$7),"почасовка",IF(Q468&gt;H468*(1+Параметры!$B$7),"сделка","любой способ"))))</f>
        <v>почасовка</v>
      </c>
      <c r="S468">
        <v>0</v>
      </c>
      <c r="T468">
        <v>0</v>
      </c>
    </row>
    <row r="469" spans="1:20" x14ac:dyDescent="0.25">
      <c r="A469" s="13" t="s">
        <v>996</v>
      </c>
      <c r="B469" s="13" t="s">
        <v>997</v>
      </c>
      <c r="C469" s="13" t="s">
        <v>55</v>
      </c>
      <c r="D469" s="13" t="s">
        <v>162</v>
      </c>
      <c r="E469" s="13" t="str">
        <f>IFERROR(INDEX('Почасовка — ставки и план'!$B$5:$B$24,MATCH(D469,'Почасовка — ставки и план'!$A$5:$A$24,0)),"Аренда техники / механизмы")</f>
        <v>Бетонщик / арматурщик</v>
      </c>
      <c r="F469" s="14">
        <v>8500</v>
      </c>
      <c r="G469" s="14">
        <v>10000</v>
      </c>
      <c r="H469" s="15">
        <v>4900</v>
      </c>
      <c r="I469" s="15">
        <f>IF(OR(H469="",F469=""),"",MAX(H469,MIN(ROUND(H469*(1+Параметры!$B$5),IF(H469*(1+Параметры!$B$5)&gt;=1000,-1,0)),ROUND(F469*Параметры!$B$6,IF(F469*Параметры!$B$6&gt;=1000,-1,0)))))</f>
        <v>5640</v>
      </c>
      <c r="J469" s="15">
        <v>5800</v>
      </c>
      <c r="K469" s="15">
        <f>IF(OR(J469="",G469=""),"",MAX(J469,MIN(ROUND(J469*(1+Параметры!$B$5),IF(J469*(1+Параметры!$B$5)&gt;=1000,-1,0)),ROUND(G469*Параметры!$B$6,IF(G469*Параметры!$B$6&gt;=1000,-1,0)))))</f>
        <v>6670</v>
      </c>
      <c r="L469" s="16">
        <v>4</v>
      </c>
      <c r="M469" s="17">
        <f t="shared" si="38"/>
        <v>0.25</v>
      </c>
      <c r="N469" s="17">
        <f>IF(OR(L469="",L469=0),"",Параметры!$B$3/L469)</f>
        <v>2</v>
      </c>
      <c r="O469" s="15">
        <f>IF(L469="","",IFERROR(INDEX('Почасовка — ставки и план'!$D$5:$D$24,MATCH($D469,'Почасовка — ставки и план'!$A$5:$A$24,0)),""))</f>
        <v>800</v>
      </c>
      <c r="P469" s="15">
        <f>IF(L469="","",IFERROR(INDEX('Почасовка — ставки и план'!$E$5:$E$24,MATCH($D469,'Почасовка — ставки и план'!$A$5:$A$24,0)),""))</f>
        <v>950</v>
      </c>
      <c r="Q469" s="15">
        <f t="shared" si="39"/>
        <v>3200</v>
      </c>
      <c r="R469" s="13" t="str">
        <f>IF(D469="TEX","аренда техники — сделка/счёт",IF(OR(Q469="",H469="",H469=0),"—",IF(Q469&lt;H469*(1-Параметры!$B$7),"почасовка",IF(Q469&gt;H469*(1+Параметры!$B$7),"сделка","любой способ"))))</f>
        <v>почасовка</v>
      </c>
      <c r="S469">
        <v>0</v>
      </c>
      <c r="T469">
        <v>0</v>
      </c>
    </row>
    <row r="470" spans="1:20" x14ac:dyDescent="0.25">
      <c r="A470" s="13" t="s">
        <v>998</v>
      </c>
      <c r="B470" s="13" t="s">
        <v>999</v>
      </c>
      <c r="C470" s="13" t="s">
        <v>55</v>
      </c>
      <c r="D470" s="13" t="s">
        <v>162</v>
      </c>
      <c r="E470" s="13" t="str">
        <f>IFERROR(INDEX('Почасовка — ставки и план'!$B$5:$B$24,MATCH(D470,'Почасовка — ставки и план'!$A$5:$A$24,0)),"Аренда техники / механизмы")</f>
        <v>Бетонщик / арматурщик</v>
      </c>
      <c r="F470" s="14">
        <v>5500</v>
      </c>
      <c r="G470" s="14">
        <v>6500</v>
      </c>
      <c r="H470" s="15">
        <v>3200</v>
      </c>
      <c r="I470" s="15">
        <f>IF(OR(H470="",F470=""),"",MAX(H470,MIN(ROUND(H470*(1+Параметры!$B$5),IF(H470*(1+Параметры!$B$5)&gt;=1000,-1,0)),ROUND(F470*Параметры!$B$6,IF(F470*Параметры!$B$6&gt;=1000,-1,0)))))</f>
        <v>3680</v>
      </c>
      <c r="J470" s="15">
        <v>3800</v>
      </c>
      <c r="K470" s="15">
        <f>IF(OR(J470="",G470=""),"",MAX(J470,MIN(ROUND(J470*(1+Параметры!$B$5),IF(J470*(1+Параметры!$B$5)&gt;=1000,-1,0)),ROUND(G470*Параметры!$B$6,IF(G470*Параметры!$B$6&gt;=1000,-1,0)))))</f>
        <v>4370</v>
      </c>
      <c r="L470" s="16">
        <v>2.2000000000000002</v>
      </c>
      <c r="M470" s="17">
        <f t="shared" si="38"/>
        <v>0.45454545454545453</v>
      </c>
      <c r="N470" s="17">
        <f>IF(OR(L470="",L470=0),"",Параметры!$B$3/L470)</f>
        <v>3.6363636363636362</v>
      </c>
      <c r="O470" s="15">
        <f>IF(L470="","",IFERROR(INDEX('Почасовка — ставки и план'!$D$5:$D$24,MATCH($D470,'Почасовка — ставки и план'!$A$5:$A$24,0)),""))</f>
        <v>800</v>
      </c>
      <c r="P470" s="15">
        <f>IF(L470="","",IFERROR(INDEX('Почасовка — ставки и план'!$E$5:$E$24,MATCH($D470,'Почасовка — ставки и план'!$A$5:$A$24,0)),""))</f>
        <v>950</v>
      </c>
      <c r="Q470" s="15">
        <f t="shared" si="39"/>
        <v>1760</v>
      </c>
      <c r="R470" s="13" t="str">
        <f>IF(D470="TEX","аренда техники — сделка/счёт",IF(OR(Q470="",H470="",H470=0),"—",IF(Q470&lt;H470*(1-Параметры!$B$7),"почасовка",IF(Q470&gt;H470*(1+Параметры!$B$7),"сделка","любой способ"))))</f>
        <v>почасовка</v>
      </c>
      <c r="S470">
        <v>0</v>
      </c>
      <c r="T470">
        <v>0</v>
      </c>
    </row>
    <row r="471" spans="1:20" x14ac:dyDescent="0.25">
      <c r="A471" s="13" t="s">
        <v>1000</v>
      </c>
      <c r="B471" s="13" t="s">
        <v>1001</v>
      </c>
      <c r="C471" s="13" t="s">
        <v>55</v>
      </c>
      <c r="D471" s="13" t="s">
        <v>162</v>
      </c>
      <c r="E471" s="13" t="str">
        <f>IFERROR(INDEX('Почасовка — ставки и план'!$B$5:$B$24,MATCH(D471,'Почасовка — ставки и план'!$A$5:$A$24,0)),"Аренда техники / механизмы")</f>
        <v>Бетонщик / арматурщик</v>
      </c>
      <c r="F471" s="14">
        <v>6500</v>
      </c>
      <c r="G471" s="14">
        <v>8000</v>
      </c>
      <c r="H471" s="15">
        <v>3800</v>
      </c>
      <c r="I471" s="15">
        <f>IF(OR(H471="",F471=""),"",MAX(H471,MIN(ROUND(H471*(1+Параметры!$B$5),IF(H471*(1+Параметры!$B$5)&gt;=1000,-1,0)),ROUND(F471*Параметры!$B$6,IF(F471*Параметры!$B$6&gt;=1000,-1,0)))))</f>
        <v>4370</v>
      </c>
      <c r="J471" s="15">
        <v>4600</v>
      </c>
      <c r="K471" s="15">
        <f>IF(OR(J471="",G471=""),"",MAX(J471,MIN(ROUND(J471*(1+Параметры!$B$5),IF(J471*(1+Параметры!$B$5)&gt;=1000,-1,0)),ROUND(G471*Параметры!$B$6,IF(G471*Параметры!$B$6&gt;=1000,-1,0)))))</f>
        <v>5290</v>
      </c>
      <c r="L471" s="16">
        <v>3</v>
      </c>
      <c r="M471" s="17">
        <f t="shared" si="38"/>
        <v>0.33333333333333331</v>
      </c>
      <c r="N471" s="17">
        <f>IF(OR(L471="",L471=0),"",Параметры!$B$3/L471)</f>
        <v>2.6666666666666665</v>
      </c>
      <c r="O471" s="15">
        <f>IF(L471="","",IFERROR(INDEX('Почасовка — ставки и план'!$D$5:$D$24,MATCH($D471,'Почасовка — ставки и план'!$A$5:$A$24,0)),""))</f>
        <v>800</v>
      </c>
      <c r="P471" s="15">
        <f>IF(L471="","",IFERROR(INDEX('Почасовка — ставки и план'!$E$5:$E$24,MATCH($D471,'Почасовка — ставки и план'!$A$5:$A$24,0)),""))</f>
        <v>950</v>
      </c>
      <c r="Q471" s="15">
        <f t="shared" si="39"/>
        <v>2400</v>
      </c>
      <c r="R471" s="13" t="str">
        <f>IF(D471="TEX","аренда техники — сделка/счёт",IF(OR(Q471="",H471="",H471=0),"—",IF(Q471&lt;H471*(1-Параметры!$B$7),"почасовка",IF(Q471&gt;H471*(1+Параметры!$B$7),"сделка","любой способ"))))</f>
        <v>почасовка</v>
      </c>
      <c r="S471">
        <v>0</v>
      </c>
      <c r="T471">
        <v>0</v>
      </c>
    </row>
    <row r="472" spans="1:20" x14ac:dyDescent="0.25">
      <c r="A472" s="18" t="s">
        <v>1002</v>
      </c>
      <c r="B472" s="13" t="s">
        <v>1003</v>
      </c>
      <c r="C472" s="13" t="s">
        <v>55</v>
      </c>
      <c r="D472" s="13" t="s">
        <v>162</v>
      </c>
      <c r="E472" s="13" t="str">
        <f>IFERROR(INDEX('Почасовка — ставки и план'!$B$5:$B$24,MATCH(D472,'Почасовка — ставки и план'!$A$5:$A$24,0)),"Аренда техники / механизмы")</f>
        <v>Бетонщик / арматурщик</v>
      </c>
      <c r="F472" s="14">
        <v>1400</v>
      </c>
      <c r="G472" s="14">
        <v>1700</v>
      </c>
      <c r="H472" s="15">
        <v>800</v>
      </c>
      <c r="I472" s="15">
        <f>IF(OR(H472="",F472=""),"",MAX(H472,MIN(ROUND(H472*(1+Параметры!$B$5),IF(H472*(1+Параметры!$B$5)&gt;=1000,-1,0)),ROUND(F472*Параметры!$B$6,IF(F472*Параметры!$B$6&gt;=1000,-1,0)))))</f>
        <v>920</v>
      </c>
      <c r="J472" s="15">
        <v>970</v>
      </c>
      <c r="K472" s="15">
        <f>IF(OR(J472="",G472=""),"",MAX(J472,MIN(ROUND(J472*(1+Параметры!$B$5),IF(J472*(1+Параметры!$B$5)&gt;=1000,-1,0)),ROUND(G472*Параметры!$B$6,IF(G472*Параметры!$B$6&gt;=1000,-1,0)))))</f>
        <v>1120</v>
      </c>
      <c r="L472" s="16">
        <v>0.6</v>
      </c>
      <c r="M472" s="17">
        <f t="shared" si="38"/>
        <v>1.6666666666666667</v>
      </c>
      <c r="N472" s="17">
        <f>IF(OR(L472="",L472=0),"",Параметры!$B$3/L472)</f>
        <v>13.333333333333334</v>
      </c>
      <c r="O472" s="15">
        <f>IF(L472="","",IFERROR(INDEX('Почасовка — ставки и план'!$D$5:$D$24,MATCH($D472,'Почасовка — ставки и план'!$A$5:$A$24,0)),""))</f>
        <v>800</v>
      </c>
      <c r="P472" s="15">
        <f>IF(L472="","",IFERROR(INDEX('Почасовка — ставки и план'!$E$5:$E$24,MATCH($D472,'Почасовка — ставки и план'!$A$5:$A$24,0)),""))</f>
        <v>950</v>
      </c>
      <c r="Q472" s="15">
        <f t="shared" si="39"/>
        <v>480</v>
      </c>
      <c r="R472" s="13" t="str">
        <f>IF(D472="TEX","аренда техники — сделка/счёт",IF(OR(Q472="",H472="",H472=0),"—",IF(Q472&lt;H472*(1-Параметры!$B$7),"почасовка",IF(Q472&gt;H472*(1+Параметры!$B$7),"сделка","любой способ"))))</f>
        <v>почасовка</v>
      </c>
      <c r="S472">
        <v>0</v>
      </c>
      <c r="T472">
        <v>0</v>
      </c>
    </row>
    <row r="473" spans="1:20" x14ac:dyDescent="0.25">
      <c r="A473" s="18" t="s">
        <v>1004</v>
      </c>
      <c r="B473" s="13" t="s">
        <v>1005</v>
      </c>
      <c r="C473" s="13" t="s">
        <v>55</v>
      </c>
      <c r="D473" s="13" t="s">
        <v>162</v>
      </c>
      <c r="E473" s="13" t="str">
        <f>IFERROR(INDEX('Почасовка — ставки и план'!$B$5:$B$24,MATCH(D473,'Почасовка — ставки и план'!$A$5:$A$24,0)),"Аренда техники / механизмы")</f>
        <v>Бетонщик / арматурщик</v>
      </c>
      <c r="F473" s="14">
        <v>12800</v>
      </c>
      <c r="G473" s="14">
        <v>15200</v>
      </c>
      <c r="H473" s="15">
        <v>7000</v>
      </c>
      <c r="I473" s="15">
        <f>IF(OR(H473="",F473=""),"",MAX(H473,MIN(ROUND(H473*(1+Параметры!$B$5),IF(H473*(1+Параметры!$B$5)&gt;=1000,-1,0)),ROUND(F473*Параметры!$B$6,IF(F473*Параметры!$B$6&gt;=1000,-1,0)))))</f>
        <v>8050</v>
      </c>
      <c r="J473" s="15">
        <v>8100</v>
      </c>
      <c r="K473" s="15">
        <f>IF(OR(J473="",G473=""),"",MAX(J473,MIN(ROUND(J473*(1+Параметры!$B$5),IF(J473*(1+Параметры!$B$5)&gt;=1000,-1,0)),ROUND(G473*Параметры!$B$6,IF(G473*Параметры!$B$6&gt;=1000,-1,0)))))</f>
        <v>9320</v>
      </c>
      <c r="L473" s="16">
        <v>12</v>
      </c>
      <c r="M473" s="17">
        <f t="shared" si="38"/>
        <v>8.3333333333333329E-2</v>
      </c>
      <c r="N473" s="17">
        <f>IF(OR(L473="",L473=0),"",Параметры!$B$3/L473)</f>
        <v>0.66666666666666663</v>
      </c>
      <c r="O473" s="15">
        <f>IF(L473="","",IFERROR(INDEX('Почасовка — ставки и план'!$D$5:$D$24,MATCH($D473,'Почасовка — ставки и план'!$A$5:$A$24,0)),""))</f>
        <v>800</v>
      </c>
      <c r="P473" s="15">
        <f>IF(L473="","",IFERROR(INDEX('Почасовка — ставки и план'!$E$5:$E$24,MATCH($D473,'Почасовка — ставки и план'!$A$5:$A$24,0)),""))</f>
        <v>950</v>
      </c>
      <c r="Q473" s="15">
        <f t="shared" si="39"/>
        <v>9600</v>
      </c>
      <c r="R473" s="13" t="str">
        <f>IF(D473="TEX","аренда техники — сделка/счёт",IF(OR(Q473="",H473="",H473=0),"—",IF(Q473&lt;H473*(1-Параметры!$B$7),"почасовка",IF(Q473&gt;H473*(1+Параметры!$B$7),"сделка","любой способ"))))</f>
        <v>сделка</v>
      </c>
      <c r="S473">
        <v>6.6666666666666652E-2</v>
      </c>
      <c r="T473">
        <v>8.5714285714285632E-2</v>
      </c>
    </row>
    <row r="474" spans="1:20" x14ac:dyDescent="0.25">
      <c r="A474" s="18" t="s">
        <v>1006</v>
      </c>
      <c r="B474" s="13" t="s">
        <v>1007</v>
      </c>
      <c r="C474" s="13" t="s">
        <v>69</v>
      </c>
      <c r="D474" s="13" t="s">
        <v>162</v>
      </c>
      <c r="E474" s="13" t="str">
        <f>IFERROR(INDEX('Почасовка — ставки и план'!$B$5:$B$24,MATCH(D474,'Почасовка — ставки и план'!$A$5:$A$24,0)),"Аренда техники / механизмы")</f>
        <v>Бетонщик / арматурщик</v>
      </c>
      <c r="F474" s="14">
        <v>200</v>
      </c>
      <c r="G474" s="14">
        <v>230</v>
      </c>
      <c r="H474" s="15">
        <v>115</v>
      </c>
      <c r="I474" s="15">
        <f>IF(OR(H474="",F474=""),"",MAX(H474,MIN(ROUND(H474*(1+Параметры!$B$5),IF(H474*(1+Параметры!$B$5)&gt;=1000,-1,0)),ROUND(F474*Параметры!$B$6,IF(F474*Параметры!$B$6&gt;=1000,-1,0)))))</f>
        <v>132</v>
      </c>
      <c r="J474" s="15">
        <v>130</v>
      </c>
      <c r="K474" s="15">
        <f>IF(OR(J474="",G474=""),"",MAX(J474,MIN(ROUND(J474*(1+Параметры!$B$5),IF(J474*(1+Параметры!$B$5)&gt;=1000,-1,0)),ROUND(G474*Параметры!$B$6,IF(G474*Параметры!$B$6&gt;=1000,-1,0)))))</f>
        <v>150</v>
      </c>
      <c r="L474" s="16">
        <v>0.15</v>
      </c>
      <c r="M474" s="17">
        <f t="shared" si="38"/>
        <v>6.666666666666667</v>
      </c>
      <c r="N474" s="17">
        <f>IF(OR(L474="",L474=0),"",Параметры!$B$3/L474)</f>
        <v>53.333333333333336</v>
      </c>
      <c r="O474" s="15">
        <f>IF(L474="","",IFERROR(INDEX('Почасовка — ставки и план'!$D$5:$D$24,MATCH($D474,'Почасовка — ставки и план'!$A$5:$A$24,0)),""))</f>
        <v>800</v>
      </c>
      <c r="P474" s="15">
        <f>IF(L474="","",IFERROR(INDEX('Почасовка — ставки и план'!$E$5:$E$24,MATCH($D474,'Почасовка — ставки и план'!$A$5:$A$24,0)),""))</f>
        <v>950</v>
      </c>
      <c r="Q474" s="15">
        <f t="shared" si="39"/>
        <v>120</v>
      </c>
      <c r="R474" s="13" t="str">
        <f>IF(D474="TEX","аренда техники — сделка/счёт",IF(OR(Q474="",H474="",H474=0),"—",IF(Q474&lt;H474*(1-Параметры!$B$7),"почасовка",IF(Q474&gt;H474*(1+Параметры!$B$7),"сделка","любой способ"))))</f>
        <v>любой способ</v>
      </c>
      <c r="S474">
        <v>0</v>
      </c>
      <c r="T474">
        <v>0</v>
      </c>
    </row>
    <row r="475" spans="1:20" x14ac:dyDescent="0.25">
      <c r="A475" s="11" t="s">
        <v>1008</v>
      </c>
      <c r="B475" s="12"/>
      <c r="C475" s="12"/>
      <c r="D475" s="12"/>
      <c r="E475" s="12"/>
      <c r="F475" s="12"/>
      <c r="G475" s="12"/>
      <c r="H475" s="12"/>
      <c r="I475" s="12"/>
      <c r="J475" s="12"/>
      <c r="K475" s="12"/>
      <c r="L475" s="12"/>
      <c r="M475" s="12"/>
      <c r="N475" s="12"/>
      <c r="O475" s="12"/>
      <c r="P475" s="12"/>
      <c r="Q475" s="12"/>
      <c r="R475" s="12"/>
    </row>
    <row r="476" spans="1:20" x14ac:dyDescent="0.25">
      <c r="A476" s="13" t="s">
        <v>1009</v>
      </c>
      <c r="B476" s="13" t="s">
        <v>1010</v>
      </c>
      <c r="C476" s="13" t="s">
        <v>152</v>
      </c>
      <c r="D476" s="13" t="s">
        <v>64</v>
      </c>
      <c r="E476" s="13" t="str">
        <f>IFERROR(INDEX('Почасовка — ставки и план'!$B$5:$B$24,MATCH(D476,'Почасовка — ставки и план'!$A$5:$A$24,0)),"Аренда техники / механизмы")</f>
        <v>Сварщик / монтажник МК</v>
      </c>
      <c r="F476" s="14">
        <v>54000</v>
      </c>
      <c r="G476" s="14">
        <v>64800</v>
      </c>
      <c r="H476" s="15">
        <v>26000</v>
      </c>
      <c r="I476" s="15">
        <f>IF(OR(H476="",F476=""),"",MAX(H476,MIN(ROUND(H476*(1+Параметры!$B$5),IF(H476*(1+Параметры!$B$5)&gt;=1000,-1,0)),ROUND(F476*Параметры!$B$6,IF(F476*Параметры!$B$6&gt;=1000,-1,0)))))</f>
        <v>29900</v>
      </c>
      <c r="J476" s="15">
        <v>30000</v>
      </c>
      <c r="K476" s="15">
        <f>IF(OR(J476="",G476=""),"",MAX(J476,MIN(ROUND(J476*(1+Параметры!$B$5),IF(J476*(1+Параметры!$B$5)&gt;=1000,-1,0)),ROUND(G476*Параметры!$B$6,IF(G476*Параметры!$B$6&gt;=1000,-1,0)))))</f>
        <v>34500</v>
      </c>
      <c r="L476" s="16">
        <v>45</v>
      </c>
      <c r="M476" s="17">
        <f>IF(OR(L476="",L476=0),"",1/L476)</f>
        <v>2.2222222222222223E-2</v>
      </c>
      <c r="N476" s="17">
        <f>IF(OR(L476="",L476=0),"",Параметры!$B$3/L476)</f>
        <v>0.17777777777777778</v>
      </c>
      <c r="O476" s="15">
        <f>IF(L476="","",IFERROR(INDEX('Почасовка — ставки и план'!$D$5:$D$24,MATCH($D476,'Почасовка — ставки и план'!$A$5:$A$24,0)),""))</f>
        <v>900</v>
      </c>
      <c r="P476" s="15">
        <f>IF(L476="","",IFERROR(INDEX('Почасовка — ставки и план'!$E$5:$E$24,MATCH($D476,'Почасовка — ставки и план'!$A$5:$A$24,0)),""))</f>
        <v>1080</v>
      </c>
      <c r="Q476" s="15">
        <f>IF(OR(L476="",O476=""),"",ROUND(L476*O476,0))</f>
        <v>40500</v>
      </c>
      <c r="R476" s="13" t="str">
        <f>IF(D476="TEX","аренда техники — сделка/счёт",IF(OR(Q476="",H476="",H476=0),"—",IF(Q476&lt;H476*(1-Параметры!$B$7),"почасовка",IF(Q476&gt;H476*(1+Параметры!$B$7),"сделка","любой способ"))))</f>
        <v>сделка</v>
      </c>
      <c r="S476">
        <v>0.2</v>
      </c>
      <c r="T476">
        <v>0.2461538461538462</v>
      </c>
    </row>
    <row r="477" spans="1:20" x14ac:dyDescent="0.25">
      <c r="A477" s="13" t="s">
        <v>1011</v>
      </c>
      <c r="B477" s="13" t="s">
        <v>1012</v>
      </c>
      <c r="C477" s="13" t="s">
        <v>152</v>
      </c>
      <c r="D477" s="13" t="s">
        <v>64</v>
      </c>
      <c r="E477" s="13" t="str">
        <f>IFERROR(INDEX('Почасовка — ставки и план'!$B$5:$B$24,MATCH(D477,'Почасовка — ставки и план'!$A$5:$A$24,0)),"Аренда техники / механизмы")</f>
        <v>Сварщик / монтажник МК</v>
      </c>
      <c r="F477" s="14">
        <v>96000</v>
      </c>
      <c r="G477" s="14">
        <v>115200</v>
      </c>
      <c r="H477" s="15">
        <v>40000</v>
      </c>
      <c r="I477" s="15">
        <f>IF(OR(H477="",F477=""),"",MAX(H477,MIN(ROUND(H477*(1+Параметры!$B$5),IF(H477*(1+Параметры!$B$5)&gt;=1000,-1,0)),ROUND(F477*Параметры!$B$6,IF(F477*Параметры!$B$6&gt;=1000,-1,0)))))</f>
        <v>46000</v>
      </c>
      <c r="J477" s="15">
        <v>46000</v>
      </c>
      <c r="K477" s="15">
        <f>IF(OR(J477="",G477=""),"",MAX(J477,MIN(ROUND(J477*(1+Параметры!$B$5),IF(J477*(1+Параметры!$B$5)&gt;=1000,-1,0)),ROUND(G477*Параметры!$B$6,IF(G477*Параметры!$B$6&gt;=1000,-1,0)))))</f>
        <v>52900</v>
      </c>
      <c r="L477" s="16">
        <v>80</v>
      </c>
      <c r="M477" s="17">
        <f>IF(OR(L477="",L477=0),"",1/L477)</f>
        <v>1.2500000000000001E-2</v>
      </c>
      <c r="N477" s="17">
        <f>IF(OR(L477="",L477=0),"",Параметры!$B$3/L477)</f>
        <v>0.1</v>
      </c>
      <c r="O477" s="15">
        <f>IF(L477="","",IFERROR(INDEX('Почасовка — ставки и план'!$D$5:$D$24,MATCH($D477,'Почасовка — ставки и план'!$A$5:$A$24,0)),""))</f>
        <v>900</v>
      </c>
      <c r="P477" s="15">
        <f>IF(L477="","",IFERROR(INDEX('Почасовка — ставки и план'!$E$5:$E$24,MATCH($D477,'Почасовка — ставки и план'!$A$5:$A$24,0)),""))</f>
        <v>1080</v>
      </c>
      <c r="Q477" s="15">
        <f>IF(OR(L477="",O477=""),"",ROUND(L477*O477,0))</f>
        <v>72000</v>
      </c>
      <c r="R477" s="13" t="str">
        <f>IF(D477="TEX","аренда техники — сделка/счёт",IF(OR(Q477="",H477="",H477=0),"—",IF(Q477&lt;H477*(1-Параметры!$B$7),"почасовка",IF(Q477&gt;H477*(1+Параметры!$B$7),"сделка","любой способ"))))</f>
        <v>сделка</v>
      </c>
      <c r="S477">
        <v>0.37142857142857139</v>
      </c>
      <c r="T477">
        <v>0.43999999999999989</v>
      </c>
    </row>
    <row r="478" spans="1:20" x14ac:dyDescent="0.25">
      <c r="A478" s="18" t="s">
        <v>1013</v>
      </c>
      <c r="B478" s="13" t="s">
        <v>1014</v>
      </c>
      <c r="C478" s="13" t="s">
        <v>144</v>
      </c>
      <c r="D478" s="13" t="s">
        <v>64</v>
      </c>
      <c r="E478" s="13" t="str">
        <f>IFERROR(INDEX('Почасовка — ставки и план'!$B$5:$B$24,MATCH(D478,'Почасовка — ставки и план'!$A$5:$A$24,0)),"Аренда техники / механизмы")</f>
        <v>Сварщик / монтажник МК</v>
      </c>
      <c r="F478" s="14">
        <v>600</v>
      </c>
      <c r="G478" s="14">
        <v>720</v>
      </c>
      <c r="H478" s="15">
        <v>350</v>
      </c>
      <c r="I478" s="15">
        <f>IF(OR(H478="",F478=""),"",MAX(H478,MIN(ROUND(H478*(1+Параметры!$B$5),IF(H478*(1+Параметры!$B$5)&gt;=1000,-1,0)),ROUND(F478*Параметры!$B$6,IF(F478*Параметры!$B$6&gt;=1000,-1,0)))))</f>
        <v>403</v>
      </c>
      <c r="J478" s="15">
        <v>400</v>
      </c>
      <c r="K478" s="15">
        <f>IF(OR(J478="",G478=""),"",MAX(J478,MIN(ROUND(J478*(1+Параметры!$B$5),IF(J478*(1+Параметры!$B$5)&gt;=1000,-1,0)),ROUND(G478*Параметры!$B$6,IF(G478*Параметры!$B$6&gt;=1000,-1,0)))))</f>
        <v>460</v>
      </c>
      <c r="L478" s="16">
        <v>0.5</v>
      </c>
      <c r="M478" s="17">
        <f>IF(OR(L478="",L478=0),"",1/L478)</f>
        <v>2</v>
      </c>
      <c r="N478" s="17">
        <f>IF(OR(L478="",L478=0),"",Параметры!$B$3/L478)</f>
        <v>16</v>
      </c>
      <c r="O478" s="15">
        <f>IF(L478="","",IFERROR(INDEX('Почасовка — ставки и план'!$D$5:$D$24,MATCH($D478,'Почасовка — ставки и план'!$A$5:$A$24,0)),""))</f>
        <v>900</v>
      </c>
      <c r="P478" s="15">
        <f>IF(L478="","",IFERROR(INDEX('Почасовка — ставки и план'!$E$5:$E$24,MATCH($D478,'Почасовка — ставки и план'!$A$5:$A$24,0)),""))</f>
        <v>1080</v>
      </c>
      <c r="Q478" s="15">
        <f>IF(OR(L478="",O478=""),"",ROUND(L478*O478,0))</f>
        <v>450</v>
      </c>
      <c r="R478" s="13" t="str">
        <f>IF(D478="TEX","аренда техники — сделка/счёт",IF(OR(Q478="",H478="",H478=0),"—",IF(Q478&lt;H478*(1-Параметры!$B$7),"почасовка",IF(Q478&gt;H478*(1+Параметры!$B$7),"сделка","любой способ"))))</f>
        <v>сделка</v>
      </c>
      <c r="S478">
        <v>0</v>
      </c>
      <c r="T478">
        <v>2.857142857142847E-2</v>
      </c>
    </row>
    <row r="479" spans="1:20" x14ac:dyDescent="0.25">
      <c r="A479" s="11" t="s">
        <v>1015</v>
      </c>
      <c r="B479" s="12"/>
      <c r="C479" s="12"/>
      <c r="D479" s="12"/>
      <c r="E479" s="12"/>
      <c r="F479" s="12"/>
      <c r="G479" s="12"/>
      <c r="H479" s="12"/>
      <c r="I479" s="12"/>
      <c r="J479" s="12"/>
      <c r="K479" s="12"/>
      <c r="L479" s="12"/>
      <c r="M479" s="12"/>
      <c r="N479" s="12"/>
      <c r="O479" s="12"/>
      <c r="P479" s="12"/>
      <c r="Q479" s="12"/>
      <c r="R479" s="12"/>
    </row>
    <row r="480" spans="1:20" x14ac:dyDescent="0.25">
      <c r="A480" s="13" t="s">
        <v>1016</v>
      </c>
      <c r="B480" s="13" t="s">
        <v>1017</v>
      </c>
      <c r="C480" s="13" t="s">
        <v>72</v>
      </c>
      <c r="D480" s="13" t="s">
        <v>162</v>
      </c>
      <c r="E480" s="13" t="str">
        <f>IFERROR(INDEX('Почасовка — ставки и план'!$B$5:$B$24,MATCH(D480,'Почасовка — ставки и план'!$A$5:$A$24,0)),"Аренда техники / механизмы")</f>
        <v>Бетонщик / арматурщик</v>
      </c>
      <c r="F480" s="14">
        <v>350</v>
      </c>
      <c r="G480" s="14">
        <v>400</v>
      </c>
      <c r="H480" s="15">
        <v>200</v>
      </c>
      <c r="I480" s="15">
        <f>IF(OR(H480="",F480=""),"",MAX(H480,MIN(ROUND(H480*(1+Параметры!$B$5),IF(H480*(1+Параметры!$B$5)&gt;=1000,-1,0)),ROUND(F480*Параметры!$B$6,IF(F480*Параметры!$B$6&gt;=1000,-1,0)))))</f>
        <v>230</v>
      </c>
      <c r="J480" s="15">
        <v>230</v>
      </c>
      <c r="K480" s="15">
        <f>IF(OR(J480="",G480=""),"",MAX(J480,MIN(ROUND(J480*(1+Параметры!$B$5),IF(J480*(1+Параметры!$B$5)&gt;=1000,-1,0)),ROUND(G480*Параметры!$B$6,IF(G480*Параметры!$B$6&gt;=1000,-1,0)))))</f>
        <v>265</v>
      </c>
      <c r="L480" s="16">
        <v>0.18</v>
      </c>
      <c r="M480" s="17">
        <f t="shared" ref="M480:M486" si="40">IF(OR(L480="",L480=0),"",1/L480)</f>
        <v>5.5555555555555554</v>
      </c>
      <c r="N480" s="17">
        <f>IF(OR(L480="",L480=0),"",Параметры!$B$3/L480)</f>
        <v>44.444444444444443</v>
      </c>
      <c r="O480" s="15">
        <f>IF(L480="","",IFERROR(INDEX('Почасовка — ставки и план'!$D$5:$D$24,MATCH($D480,'Почасовка — ставки и план'!$A$5:$A$24,0)),""))</f>
        <v>800</v>
      </c>
      <c r="P480" s="15">
        <f>IF(L480="","",IFERROR(INDEX('Почасовка — ставки и план'!$E$5:$E$24,MATCH($D480,'Почасовка — ставки и план'!$A$5:$A$24,0)),""))</f>
        <v>950</v>
      </c>
      <c r="Q480" s="15">
        <f t="shared" ref="Q480:Q486" si="41">IF(OR(L480="",O480=""),"",ROUND(L480*O480,0))</f>
        <v>144</v>
      </c>
      <c r="R480" s="13" t="str">
        <f>IF(D480="TEX","аренда техники — сделка/счёт",IF(OR(Q480="",H480="",H480=0),"—",IF(Q480&lt;H480*(1-Параметры!$B$7),"почасовка",IF(Q480&gt;H480*(1+Параметры!$B$7),"сделка","любой способ"))))</f>
        <v>почасовка</v>
      </c>
      <c r="S480">
        <v>0</v>
      </c>
      <c r="T480">
        <v>0</v>
      </c>
    </row>
    <row r="481" spans="1:20" x14ac:dyDescent="0.25">
      <c r="A481" s="13" t="s">
        <v>1018</v>
      </c>
      <c r="B481" s="13" t="s">
        <v>1019</v>
      </c>
      <c r="C481" s="13" t="s">
        <v>72</v>
      </c>
      <c r="D481" s="13" t="s">
        <v>162</v>
      </c>
      <c r="E481" s="13" t="str">
        <f>IFERROR(INDEX('Почасовка — ставки и план'!$B$5:$B$24,MATCH(D481,'Почасовка — ставки и план'!$A$5:$A$24,0)),"Аренда техники / механизмы")</f>
        <v>Бетонщик / арматурщик</v>
      </c>
      <c r="F481" s="14">
        <v>350</v>
      </c>
      <c r="G481" s="14">
        <v>420</v>
      </c>
      <c r="H481" s="15">
        <v>200</v>
      </c>
      <c r="I481" s="15">
        <f>IF(OR(H481="",F481=""),"",MAX(H481,MIN(ROUND(H481*(1+Параметры!$B$5),IF(H481*(1+Параметры!$B$5)&gt;=1000,-1,0)),ROUND(F481*Параметры!$B$6,IF(F481*Параметры!$B$6&gt;=1000,-1,0)))))</f>
        <v>230</v>
      </c>
      <c r="J481" s="15">
        <v>240</v>
      </c>
      <c r="K481" s="15">
        <f>IF(OR(J481="",G481=""),"",MAX(J481,MIN(ROUND(J481*(1+Параметры!$B$5),IF(J481*(1+Параметры!$B$5)&gt;=1000,-1,0)),ROUND(G481*Параметры!$B$6,IF(G481*Параметры!$B$6&gt;=1000,-1,0)))))</f>
        <v>276</v>
      </c>
      <c r="L481" s="16">
        <v>0.15</v>
      </c>
      <c r="M481" s="17">
        <f t="shared" si="40"/>
        <v>6.666666666666667</v>
      </c>
      <c r="N481" s="17">
        <f>IF(OR(L481="",L481=0),"",Параметры!$B$3/L481)</f>
        <v>53.333333333333336</v>
      </c>
      <c r="O481" s="15">
        <f>IF(L481="","",IFERROR(INDEX('Почасовка — ставки и план'!$D$5:$D$24,MATCH($D481,'Почасовка — ставки и план'!$A$5:$A$24,0)),""))</f>
        <v>800</v>
      </c>
      <c r="P481" s="15">
        <f>IF(L481="","",IFERROR(INDEX('Почасовка — ставки и план'!$E$5:$E$24,MATCH($D481,'Почасовка — ставки и план'!$A$5:$A$24,0)),""))</f>
        <v>950</v>
      </c>
      <c r="Q481" s="15">
        <f t="shared" si="41"/>
        <v>120</v>
      </c>
      <c r="R481" s="13" t="str">
        <f>IF(D481="TEX","аренда техники — сделка/счёт",IF(OR(Q481="",H481="",H481=0),"—",IF(Q481&lt;H481*(1-Параметры!$B$7),"почасовка",IF(Q481&gt;H481*(1+Параметры!$B$7),"сделка","любой способ"))))</f>
        <v>почасовка</v>
      </c>
      <c r="S481">
        <v>0</v>
      </c>
      <c r="T481">
        <v>0</v>
      </c>
    </row>
    <row r="482" spans="1:20" x14ac:dyDescent="0.25">
      <c r="A482" s="13" t="s">
        <v>1020</v>
      </c>
      <c r="B482" s="13" t="s">
        <v>1021</v>
      </c>
      <c r="C482" s="13" t="s">
        <v>72</v>
      </c>
      <c r="D482" s="13" t="s">
        <v>162</v>
      </c>
      <c r="E482" s="13" t="str">
        <f>IFERROR(INDEX('Почасовка — ставки и план'!$B$5:$B$24,MATCH(D482,'Почасовка — ставки и план'!$A$5:$A$24,0)),"Аренда техники / механизмы")</f>
        <v>Бетонщик / арматурщик</v>
      </c>
      <c r="F482" s="14">
        <v>450</v>
      </c>
      <c r="G482" s="14">
        <v>520</v>
      </c>
      <c r="H482" s="15">
        <v>260</v>
      </c>
      <c r="I482" s="15">
        <f>IF(OR(H482="",F482=""),"",MAX(H482,MIN(ROUND(H482*(1+Параметры!$B$5),IF(H482*(1+Параметры!$B$5)&gt;=1000,-1,0)),ROUND(F482*Параметры!$B$6,IF(F482*Параметры!$B$6&gt;=1000,-1,0)))))</f>
        <v>299</v>
      </c>
      <c r="J482" s="15">
        <v>300</v>
      </c>
      <c r="K482" s="15">
        <f>IF(OR(J482="",G482=""),"",MAX(J482,MIN(ROUND(J482*(1+Параметры!$B$5),IF(J482*(1+Параметры!$B$5)&gt;=1000,-1,0)),ROUND(G482*Параметры!$B$6,IF(G482*Параметры!$B$6&gt;=1000,-1,0)))))</f>
        <v>345</v>
      </c>
      <c r="L482" s="16">
        <v>0.3</v>
      </c>
      <c r="M482" s="17">
        <f t="shared" si="40"/>
        <v>3.3333333333333335</v>
      </c>
      <c r="N482" s="17">
        <f>IF(OR(L482="",L482=0),"",Параметры!$B$3/L482)</f>
        <v>26.666666666666668</v>
      </c>
      <c r="O482" s="15">
        <f>IF(L482="","",IFERROR(INDEX('Почасовка — ставки и план'!$D$5:$D$24,MATCH($D482,'Почасовка — ставки и план'!$A$5:$A$24,0)),""))</f>
        <v>800</v>
      </c>
      <c r="P482" s="15">
        <f>IF(L482="","",IFERROR(INDEX('Почасовка — ставки и план'!$E$5:$E$24,MATCH($D482,'Почасовка — ставки и план'!$A$5:$A$24,0)),""))</f>
        <v>950</v>
      </c>
      <c r="Q482" s="15">
        <f t="shared" si="41"/>
        <v>240</v>
      </c>
      <c r="R482" s="13" t="str">
        <f>IF(D482="TEX","аренда техники — сделка/счёт",IF(OR(Q482="",H482="",H482=0),"—",IF(Q482&lt;H482*(1-Параметры!$B$7),"почасовка",IF(Q482&gt;H482*(1+Параметры!$B$7),"сделка","любой способ"))))</f>
        <v>любой способ</v>
      </c>
      <c r="S482">
        <v>0</v>
      </c>
      <c r="T482">
        <v>0</v>
      </c>
    </row>
    <row r="483" spans="1:20" x14ac:dyDescent="0.25">
      <c r="A483" s="13" t="s">
        <v>1022</v>
      </c>
      <c r="B483" s="13" t="s">
        <v>1023</v>
      </c>
      <c r="C483" s="13" t="s">
        <v>72</v>
      </c>
      <c r="D483" s="13" t="s">
        <v>162</v>
      </c>
      <c r="E483" s="13" t="str">
        <f>IFERROR(INDEX('Почасовка — ставки и план'!$B$5:$B$24,MATCH(D483,'Почасовка — ставки и план'!$A$5:$A$24,0)),"Аренда техники / механизмы")</f>
        <v>Бетонщик / арматурщик</v>
      </c>
      <c r="F483" s="14">
        <v>450</v>
      </c>
      <c r="G483" s="14">
        <v>500</v>
      </c>
      <c r="H483" s="15">
        <v>260</v>
      </c>
      <c r="I483" s="15">
        <f>IF(OR(H483="",F483=""),"",MAX(H483,MIN(ROUND(H483*(1+Параметры!$B$5),IF(H483*(1+Параметры!$B$5)&gt;=1000,-1,0)),ROUND(F483*Параметры!$B$6,IF(F483*Параметры!$B$6&gt;=1000,-1,0)))))</f>
        <v>299</v>
      </c>
      <c r="J483" s="15">
        <v>290</v>
      </c>
      <c r="K483" s="15">
        <f>IF(OR(J483="",G483=""),"",MAX(J483,MIN(ROUND(J483*(1+Параметры!$B$5),IF(J483*(1+Параметры!$B$5)&gt;=1000,-1,0)),ROUND(G483*Параметры!$B$6,IF(G483*Параметры!$B$6&gt;=1000,-1,0)))))</f>
        <v>334</v>
      </c>
      <c r="L483" s="16">
        <v>0.25</v>
      </c>
      <c r="M483" s="17">
        <f t="shared" si="40"/>
        <v>4</v>
      </c>
      <c r="N483" s="17">
        <f>IF(OR(L483="",L483=0),"",Параметры!$B$3/L483)</f>
        <v>32</v>
      </c>
      <c r="O483" s="15">
        <f>IF(L483="","",IFERROR(INDEX('Почасовка — ставки и план'!$D$5:$D$24,MATCH($D483,'Почасовка — ставки и план'!$A$5:$A$24,0)),""))</f>
        <v>800</v>
      </c>
      <c r="P483" s="15">
        <f>IF(L483="","",IFERROR(INDEX('Почасовка — ставки и план'!$E$5:$E$24,MATCH($D483,'Почасовка — ставки и план'!$A$5:$A$24,0)),""))</f>
        <v>950</v>
      </c>
      <c r="Q483" s="15">
        <f t="shared" si="41"/>
        <v>200</v>
      </c>
      <c r="R483" s="13" t="str">
        <f>IF(D483="TEX","аренда техники — сделка/счёт",IF(OR(Q483="",H483="",H483=0),"—",IF(Q483&lt;H483*(1-Параметры!$B$7),"почасовка",IF(Q483&gt;H483*(1+Параметры!$B$7),"сделка","любой способ"))))</f>
        <v>почасовка</v>
      </c>
      <c r="S483">
        <v>0</v>
      </c>
      <c r="T483">
        <v>0</v>
      </c>
    </row>
    <row r="484" spans="1:20" x14ac:dyDescent="0.25">
      <c r="A484" s="18" t="s">
        <v>1024</v>
      </c>
      <c r="B484" s="13" t="s">
        <v>1025</v>
      </c>
      <c r="C484" s="13" t="s">
        <v>72</v>
      </c>
      <c r="D484" s="13" t="s">
        <v>162</v>
      </c>
      <c r="E484" s="13" t="str">
        <f>IFERROR(INDEX('Почасовка — ставки и план'!$B$5:$B$24,MATCH(D484,'Почасовка — ставки и план'!$A$5:$A$24,0)),"Аренда техники / механизмы")</f>
        <v>Бетонщик / арматурщик</v>
      </c>
      <c r="F484" s="14">
        <v>200</v>
      </c>
      <c r="G484" s="14">
        <v>230</v>
      </c>
      <c r="H484" s="15">
        <v>115</v>
      </c>
      <c r="I484" s="15">
        <f>IF(OR(H484="",F484=""),"",MAX(H484,MIN(ROUND(H484*(1+Параметры!$B$5),IF(H484*(1+Параметры!$B$5)&gt;=1000,-1,0)),ROUND(F484*Параметры!$B$6,IF(F484*Параметры!$B$6&gt;=1000,-1,0)))))</f>
        <v>132</v>
      </c>
      <c r="J484" s="15">
        <v>130</v>
      </c>
      <c r="K484" s="15">
        <f>IF(OR(J484="",G484=""),"",MAX(J484,MIN(ROUND(J484*(1+Параметры!$B$5),IF(J484*(1+Параметры!$B$5)&gt;=1000,-1,0)),ROUND(G484*Параметры!$B$6,IF(G484*Параметры!$B$6&gt;=1000,-1,0)))))</f>
        <v>150</v>
      </c>
      <c r="L484" s="16">
        <v>0.12</v>
      </c>
      <c r="M484" s="17">
        <f t="shared" si="40"/>
        <v>8.3333333333333339</v>
      </c>
      <c r="N484" s="17">
        <f>IF(OR(L484="",L484=0),"",Параметры!$B$3/L484)</f>
        <v>66.666666666666671</v>
      </c>
      <c r="O484" s="15">
        <f>IF(L484="","",IFERROR(INDEX('Почасовка — ставки и план'!$D$5:$D$24,MATCH($D484,'Почасовка — ставки и план'!$A$5:$A$24,0)),""))</f>
        <v>800</v>
      </c>
      <c r="P484" s="15">
        <f>IF(L484="","",IFERROR(INDEX('Почасовка — ставки и план'!$E$5:$E$24,MATCH($D484,'Почасовка — ставки и план'!$A$5:$A$24,0)),""))</f>
        <v>950</v>
      </c>
      <c r="Q484" s="15">
        <f t="shared" si="41"/>
        <v>96</v>
      </c>
      <c r="R484" s="13" t="str">
        <f>IF(D484="TEX","аренда техники — сделка/счёт",IF(OR(Q484="",H484="",H484=0),"—",IF(Q484&lt;H484*(1-Параметры!$B$7),"почасовка",IF(Q484&gt;H484*(1+Параметры!$B$7),"сделка","любой способ"))))</f>
        <v>почасовка</v>
      </c>
      <c r="S484">
        <v>0</v>
      </c>
      <c r="T484">
        <v>0</v>
      </c>
    </row>
    <row r="485" spans="1:20" x14ac:dyDescent="0.25">
      <c r="A485" s="18" t="s">
        <v>1026</v>
      </c>
      <c r="B485" s="13" t="s">
        <v>1027</v>
      </c>
      <c r="C485" s="13" t="s">
        <v>72</v>
      </c>
      <c r="D485" s="13" t="s">
        <v>162</v>
      </c>
      <c r="E485" s="13" t="str">
        <f>IFERROR(INDEX('Почасовка — ставки и план'!$B$5:$B$24,MATCH(D485,'Почасовка — ставки и план'!$A$5:$A$24,0)),"Аренда техники / механизмы")</f>
        <v>Бетонщик / арматурщик</v>
      </c>
      <c r="F485" s="14">
        <v>400</v>
      </c>
      <c r="G485" s="14">
        <v>460</v>
      </c>
      <c r="H485" s="15">
        <v>230</v>
      </c>
      <c r="I485" s="15">
        <f>IF(OR(H485="",F485=""),"",MAX(H485,MIN(ROUND(H485*(1+Параметры!$B$5),IF(H485*(1+Параметры!$B$5)&gt;=1000,-1,0)),ROUND(F485*Параметры!$B$6,IF(F485*Параметры!$B$6&gt;=1000,-1,0)))))</f>
        <v>265</v>
      </c>
      <c r="J485" s="15">
        <v>265</v>
      </c>
      <c r="K485" s="15">
        <f>IF(OR(J485="",G485=""),"",MAX(J485,MIN(ROUND(J485*(1+Параметры!$B$5),IF(J485*(1+Параметры!$B$5)&gt;=1000,-1,0)),ROUND(G485*Параметры!$B$6,IF(G485*Параметры!$B$6&gt;=1000,-1,0)))))</f>
        <v>305</v>
      </c>
      <c r="L485" s="16">
        <v>0.2</v>
      </c>
      <c r="M485" s="17">
        <f t="shared" si="40"/>
        <v>5</v>
      </c>
      <c r="N485" s="17">
        <f>IF(OR(L485="",L485=0),"",Параметры!$B$3/L485)</f>
        <v>40</v>
      </c>
      <c r="O485" s="15">
        <f>IF(L485="","",IFERROR(INDEX('Почасовка — ставки и план'!$D$5:$D$24,MATCH($D485,'Почасовка — ставки и план'!$A$5:$A$24,0)),""))</f>
        <v>800</v>
      </c>
      <c r="P485" s="15">
        <f>IF(L485="","",IFERROR(INDEX('Почасовка — ставки и план'!$E$5:$E$24,MATCH($D485,'Почасовка — ставки и план'!$A$5:$A$24,0)),""))</f>
        <v>950</v>
      </c>
      <c r="Q485" s="15">
        <f t="shared" si="41"/>
        <v>160</v>
      </c>
      <c r="R485" s="13" t="str">
        <f>IF(D485="TEX","аренда техники — сделка/счёт",IF(OR(Q485="",H485="",H485=0),"—",IF(Q485&lt;H485*(1-Параметры!$B$7),"почасовка",IF(Q485&gt;H485*(1+Параметры!$B$7),"сделка","любой способ"))))</f>
        <v>почасовка</v>
      </c>
      <c r="S485">
        <v>0</v>
      </c>
      <c r="T485">
        <v>0</v>
      </c>
    </row>
    <row r="486" spans="1:20" x14ac:dyDescent="0.25">
      <c r="A486" s="18" t="s">
        <v>1028</v>
      </c>
      <c r="B486" s="13" t="s">
        <v>1029</v>
      </c>
      <c r="C486" s="13" t="s">
        <v>72</v>
      </c>
      <c r="D486" s="13" t="s">
        <v>162</v>
      </c>
      <c r="E486" s="13" t="str">
        <f>IFERROR(INDEX('Почасовка — ставки и план'!$B$5:$B$24,MATCH(D486,'Почасовка — ставки и план'!$A$5:$A$24,0)),"Аренда техники / механизмы")</f>
        <v>Бетонщик / арматурщик</v>
      </c>
      <c r="F486" s="14">
        <v>120</v>
      </c>
      <c r="G486" s="14">
        <v>140</v>
      </c>
      <c r="H486" s="15">
        <v>70</v>
      </c>
      <c r="I486" s="15">
        <f>IF(OR(H486="",F486=""),"",MAX(H486,MIN(ROUND(H486*(1+Параметры!$B$5),IF(H486*(1+Параметры!$B$5)&gt;=1000,-1,0)),ROUND(F486*Параметры!$B$6,IF(F486*Параметры!$B$6&gt;=1000,-1,0)))))</f>
        <v>81</v>
      </c>
      <c r="J486" s="15">
        <v>80</v>
      </c>
      <c r="K486" s="15">
        <f>IF(OR(J486="",G486=""),"",MAX(J486,MIN(ROUND(J486*(1+Параметры!$B$5),IF(J486*(1+Параметры!$B$5)&gt;=1000,-1,0)),ROUND(G486*Параметры!$B$6,IF(G486*Параметры!$B$6&gt;=1000,-1,0)))))</f>
        <v>92</v>
      </c>
      <c r="L486" s="16">
        <v>0.06</v>
      </c>
      <c r="M486" s="17">
        <f t="shared" si="40"/>
        <v>16.666666666666668</v>
      </c>
      <c r="N486" s="17">
        <f>IF(OR(L486="",L486=0),"",Параметры!$B$3/L486)</f>
        <v>133.33333333333334</v>
      </c>
      <c r="O486" s="15">
        <f>IF(L486="","",IFERROR(INDEX('Почасовка — ставки и план'!$D$5:$D$24,MATCH($D486,'Почасовка — ставки и план'!$A$5:$A$24,0)),""))</f>
        <v>800</v>
      </c>
      <c r="P486" s="15">
        <f>IF(L486="","",IFERROR(INDEX('Почасовка — ставки и план'!$E$5:$E$24,MATCH($D486,'Почасовка — ставки и план'!$A$5:$A$24,0)),""))</f>
        <v>950</v>
      </c>
      <c r="Q486" s="15">
        <f t="shared" si="41"/>
        <v>48</v>
      </c>
      <c r="R486" s="13" t="str">
        <f>IF(D486="TEX","аренда техники — сделка/счёт",IF(OR(Q486="",H486="",H486=0),"—",IF(Q486&lt;H486*(1-Параметры!$B$7),"почасовка",IF(Q486&gt;H486*(1+Параметры!$B$7),"сделка","любой способ"))))</f>
        <v>почасовка</v>
      </c>
      <c r="S486">
        <v>0</v>
      </c>
      <c r="T486">
        <v>0</v>
      </c>
    </row>
    <row r="487" spans="1:20" x14ac:dyDescent="0.25">
      <c r="A487" s="11" t="s">
        <v>1030</v>
      </c>
      <c r="B487" s="12"/>
      <c r="C487" s="12"/>
      <c r="D487" s="12"/>
      <c r="E487" s="12"/>
      <c r="F487" s="12"/>
      <c r="G487" s="12"/>
      <c r="H487" s="12"/>
      <c r="I487" s="12"/>
      <c r="J487" s="12"/>
      <c r="K487" s="12"/>
      <c r="L487" s="12"/>
      <c r="M487" s="12"/>
      <c r="N487" s="12"/>
      <c r="O487" s="12"/>
      <c r="P487" s="12"/>
      <c r="Q487" s="12"/>
      <c r="R487" s="12"/>
    </row>
    <row r="488" spans="1:20" x14ac:dyDescent="0.25">
      <c r="A488" s="13" t="s">
        <v>1031</v>
      </c>
      <c r="B488" s="13" t="s">
        <v>1032</v>
      </c>
      <c r="C488" s="13" t="s">
        <v>152</v>
      </c>
      <c r="D488" s="13" t="s">
        <v>64</v>
      </c>
      <c r="E488" s="13" t="str">
        <f>IFERROR(INDEX('Почасовка — ставки и план'!$B$5:$B$24,MATCH(D488,'Почасовка — ставки и план'!$A$5:$A$24,0)),"Аренда техники / механизмы")</f>
        <v>Сварщик / монтажник МК</v>
      </c>
      <c r="F488" s="14">
        <v>110000</v>
      </c>
      <c r="G488" s="14">
        <v>125000</v>
      </c>
      <c r="H488" s="15">
        <v>65000</v>
      </c>
      <c r="I488" s="15">
        <f>IF(OR(H488="",F488=""),"",MAX(H488,MIN(ROUND(H488*(1+Параметры!$B$5),IF(H488*(1+Параметры!$B$5)&gt;=1000,-1,0)),ROUND(F488*Параметры!$B$6,IF(F488*Параметры!$B$6&gt;=1000,-1,0)))))</f>
        <v>74750</v>
      </c>
      <c r="J488" s="15">
        <v>74000</v>
      </c>
      <c r="K488" s="15">
        <f>IF(OR(J488="",G488=""),"",MAX(J488,MIN(ROUND(J488*(1+Параметры!$B$5),IF(J488*(1+Параметры!$B$5)&gt;=1000,-1,0)),ROUND(G488*Параметры!$B$6,IF(G488*Параметры!$B$6&gt;=1000,-1,0)))))</f>
        <v>85100</v>
      </c>
      <c r="L488" s="16">
        <v>65</v>
      </c>
      <c r="M488" s="17">
        <f t="shared" ref="M488:M516" si="42">IF(OR(L488="",L488=0),"",1/L488)</f>
        <v>1.5384615384615385E-2</v>
      </c>
      <c r="N488" s="17">
        <f>IF(OR(L488="",L488=0),"",Параметры!$B$3/L488)</f>
        <v>0.12307692307692308</v>
      </c>
      <c r="O488" s="15">
        <f>IF(L488="","",IFERROR(INDEX('Почасовка — ставки и план'!$D$5:$D$24,MATCH($D488,'Почасовка — ставки и план'!$A$5:$A$24,0)),""))</f>
        <v>900</v>
      </c>
      <c r="P488" s="15">
        <f>IF(L488="","",IFERROR(INDEX('Почасовка — ставки и план'!$E$5:$E$24,MATCH($D488,'Почасовка — ставки и план'!$A$5:$A$24,0)),""))</f>
        <v>1080</v>
      </c>
      <c r="Q488" s="15">
        <f t="shared" ref="Q488:Q516" si="43">IF(OR(L488="",O488=""),"",ROUND(L488*O488,0))</f>
        <v>58500</v>
      </c>
      <c r="R488" s="13" t="str">
        <f>IF(D488="TEX","аренда техники — сделка/счёт",IF(OR(Q488="",H488="",H488=0),"—",IF(Q488&lt;H488*(1-Параметры!$B$7),"почасовка",IF(Q488&gt;H488*(1+Параметры!$B$7),"сделка","любой способ"))))</f>
        <v>любой способ</v>
      </c>
      <c r="S488">
        <v>0</v>
      </c>
      <c r="T488">
        <v>0</v>
      </c>
    </row>
    <row r="489" spans="1:20" x14ac:dyDescent="0.25">
      <c r="A489" s="13" t="s">
        <v>1033</v>
      </c>
      <c r="B489" s="13" t="s">
        <v>1034</v>
      </c>
      <c r="C489" s="13" t="s">
        <v>144</v>
      </c>
      <c r="D489" s="13" t="s">
        <v>64</v>
      </c>
      <c r="E489" s="13" t="str">
        <f>IFERROR(INDEX('Почасовка — ставки и план'!$B$5:$B$24,MATCH(D489,'Почасовка — ставки и план'!$A$5:$A$24,0)),"Аренда техники / механизмы")</f>
        <v>Сварщик / монтажник МК</v>
      </c>
      <c r="F489" s="14">
        <v>80</v>
      </c>
      <c r="G489" s="14">
        <v>90</v>
      </c>
      <c r="H489" s="15">
        <v>45</v>
      </c>
      <c r="I489" s="15">
        <f>IF(OR(H489="",F489=""),"",MAX(H489,MIN(ROUND(H489*(1+Параметры!$B$5),IF(H489*(1+Параметры!$B$5)&gt;=1000,-1,0)),ROUND(F489*Параметры!$B$6,IF(F489*Параметры!$B$6&gt;=1000,-1,0)))))</f>
        <v>52</v>
      </c>
      <c r="J489" s="15">
        <v>52</v>
      </c>
      <c r="K489" s="15">
        <f>IF(OR(J489="",G489=""),"",MAX(J489,MIN(ROUND(J489*(1+Параметры!$B$5),IF(J489*(1+Параметры!$B$5)&gt;=1000,-1,0)),ROUND(G489*Параметры!$B$6,IF(G489*Параметры!$B$6&gt;=1000,-1,0)))))</f>
        <v>60</v>
      </c>
      <c r="L489" s="16">
        <v>0.05</v>
      </c>
      <c r="M489" s="17">
        <f t="shared" si="42"/>
        <v>20</v>
      </c>
      <c r="N489" s="17">
        <f>IF(OR(L489="",L489=0),"",Параметры!$B$3/L489)</f>
        <v>160</v>
      </c>
      <c r="O489" s="15">
        <f>IF(L489="","",IFERROR(INDEX('Почасовка — ставки и план'!$D$5:$D$24,MATCH($D489,'Почасовка — ставки и план'!$A$5:$A$24,0)),""))</f>
        <v>900</v>
      </c>
      <c r="P489" s="15">
        <f>IF(L489="","",IFERROR(INDEX('Почасовка — ставки и план'!$E$5:$E$24,MATCH($D489,'Почасовка — ставки и план'!$A$5:$A$24,0)),""))</f>
        <v>1080</v>
      </c>
      <c r="Q489" s="15">
        <f t="shared" si="43"/>
        <v>45</v>
      </c>
      <c r="R489" s="13" t="str">
        <f>IF(D489="TEX","аренда техники — сделка/счёт",IF(OR(Q489="",H489="",H489=0),"—",IF(Q489&lt;H489*(1-Параметры!$B$7),"почасовка",IF(Q489&gt;H489*(1+Параметры!$B$7),"сделка","любой способ"))))</f>
        <v>любой способ</v>
      </c>
      <c r="S489">
        <v>0</v>
      </c>
      <c r="T489">
        <v>0</v>
      </c>
    </row>
    <row r="490" spans="1:20" x14ac:dyDescent="0.25">
      <c r="A490" s="13" t="s">
        <v>1035</v>
      </c>
      <c r="B490" s="13" t="s">
        <v>1036</v>
      </c>
      <c r="C490" s="13" t="s">
        <v>144</v>
      </c>
      <c r="D490" s="13" t="s">
        <v>64</v>
      </c>
      <c r="E490" s="13" t="str">
        <f>IFERROR(INDEX('Почасовка — ставки и план'!$B$5:$B$24,MATCH(D490,'Почасовка — ставки и план'!$A$5:$A$24,0)),"Аренда техники / механизмы")</f>
        <v>Сварщик / монтажник МК</v>
      </c>
      <c r="F490" s="14">
        <v>150</v>
      </c>
      <c r="G490" s="14">
        <v>170</v>
      </c>
      <c r="H490" s="15">
        <v>85</v>
      </c>
      <c r="I490" s="15">
        <f>IF(OR(H490="",F490=""),"",MAX(H490,MIN(ROUND(H490*(1+Параметры!$B$5),IF(H490*(1+Параметры!$B$5)&gt;=1000,-1,0)),ROUND(F490*Параметры!$B$6,IF(F490*Параметры!$B$6&gt;=1000,-1,0)))))</f>
        <v>98</v>
      </c>
      <c r="J490" s="15">
        <v>98</v>
      </c>
      <c r="K490" s="15">
        <f>IF(OR(J490="",G490=""),"",MAX(J490,MIN(ROUND(J490*(1+Параметры!$B$5),IF(J490*(1+Параметры!$B$5)&gt;=1000,-1,0)),ROUND(G490*Параметры!$B$6,IF(G490*Параметры!$B$6&gt;=1000,-1,0)))))</f>
        <v>113</v>
      </c>
      <c r="L490" s="16">
        <v>0.1</v>
      </c>
      <c r="M490" s="17">
        <f t="shared" si="42"/>
        <v>10</v>
      </c>
      <c r="N490" s="17">
        <f>IF(OR(L490="",L490=0),"",Параметры!$B$3/L490)</f>
        <v>80</v>
      </c>
      <c r="O490" s="15">
        <f>IF(L490="","",IFERROR(INDEX('Почасовка — ставки и план'!$D$5:$D$24,MATCH($D490,'Почасовка — ставки и план'!$A$5:$A$24,0)),""))</f>
        <v>900</v>
      </c>
      <c r="P490" s="15">
        <f>IF(L490="","",IFERROR(INDEX('Почасовка — ставки и план'!$E$5:$E$24,MATCH($D490,'Почасовка — ставки и план'!$A$5:$A$24,0)),""))</f>
        <v>1080</v>
      </c>
      <c r="Q490" s="15">
        <f t="shared" si="43"/>
        <v>90</v>
      </c>
      <c r="R490" s="13" t="str">
        <f>IF(D490="TEX","аренда техники — сделка/счёт",IF(OR(Q490="",H490="",H490=0),"—",IF(Q490&lt;H490*(1-Параметры!$B$7),"почасовка",IF(Q490&gt;H490*(1+Параметры!$B$7),"сделка","любой способ"))))</f>
        <v>любой способ</v>
      </c>
      <c r="S490">
        <v>0</v>
      </c>
      <c r="T490">
        <v>0</v>
      </c>
    </row>
    <row r="491" spans="1:20" x14ac:dyDescent="0.25">
      <c r="A491" s="13" t="s">
        <v>1037</v>
      </c>
      <c r="B491" s="13" t="s">
        <v>1038</v>
      </c>
      <c r="C491" s="13" t="s">
        <v>152</v>
      </c>
      <c r="D491" s="13" t="s">
        <v>64</v>
      </c>
      <c r="E491" s="13" t="str">
        <f>IFERROR(INDEX('Почасовка — ставки и план'!$B$5:$B$24,MATCH(D491,'Почасовка — ставки и план'!$A$5:$A$24,0)),"Аренда техники / механизмы")</f>
        <v>Сварщик / монтажник МК</v>
      </c>
      <c r="F491" s="14">
        <v>40000</v>
      </c>
      <c r="G491" s="14">
        <v>45000</v>
      </c>
      <c r="H491" s="15">
        <v>24000</v>
      </c>
      <c r="I491" s="15">
        <f>IF(OR(H491="",F491=""),"",MAX(H491,MIN(ROUND(H491*(1+Параметры!$B$5),IF(H491*(1+Параметры!$B$5)&gt;=1000,-1,0)),ROUND(F491*Параметры!$B$6,IF(F491*Параметры!$B$6&gt;=1000,-1,0)))))</f>
        <v>27600</v>
      </c>
      <c r="J491" s="15">
        <v>27000</v>
      </c>
      <c r="K491" s="15">
        <f>IF(OR(J491="",G491=""),"",MAX(J491,MIN(ROUND(J491*(1+Параметры!$B$5),IF(J491*(1+Параметры!$B$5)&gt;=1000,-1,0)),ROUND(G491*Параметры!$B$6,IF(G491*Параметры!$B$6&gt;=1000,-1,0)))))</f>
        <v>31050</v>
      </c>
      <c r="L491" s="16">
        <v>20</v>
      </c>
      <c r="M491" s="17">
        <f t="shared" si="42"/>
        <v>0.05</v>
      </c>
      <c r="N491" s="17">
        <f>IF(OR(L491="",L491=0),"",Параметры!$B$3/L491)</f>
        <v>0.4</v>
      </c>
      <c r="O491" s="15">
        <f>IF(L491="","",IFERROR(INDEX('Почасовка — ставки и план'!$D$5:$D$24,MATCH($D491,'Почасовка — ставки и план'!$A$5:$A$24,0)),""))</f>
        <v>900</v>
      </c>
      <c r="P491" s="15">
        <f>IF(L491="","",IFERROR(INDEX('Почасовка — ставки и план'!$E$5:$E$24,MATCH($D491,'Почасовка — ставки и план'!$A$5:$A$24,0)),""))</f>
        <v>1080</v>
      </c>
      <c r="Q491" s="15">
        <f t="shared" si="43"/>
        <v>18000</v>
      </c>
      <c r="R491" s="13" t="str">
        <f>IF(D491="TEX","аренда техники — сделка/счёт",IF(OR(Q491="",H491="",H491=0),"—",IF(Q491&lt;H491*(1-Параметры!$B$7),"почасовка",IF(Q491&gt;H491*(1+Параметры!$B$7),"сделка","любой способ"))))</f>
        <v>почасовка</v>
      </c>
      <c r="S491">
        <v>0</v>
      </c>
      <c r="T491">
        <v>0</v>
      </c>
    </row>
    <row r="492" spans="1:20" x14ac:dyDescent="0.25">
      <c r="A492" s="13" t="s">
        <v>1039</v>
      </c>
      <c r="B492" s="13" t="s">
        <v>1040</v>
      </c>
      <c r="C492" s="13" t="s">
        <v>152</v>
      </c>
      <c r="D492" s="13" t="s">
        <v>64</v>
      </c>
      <c r="E492" s="13" t="str">
        <f>IFERROR(INDEX('Почасовка — ставки и план'!$B$5:$B$24,MATCH(D492,'Почасовка — ставки и план'!$A$5:$A$24,0)),"Аренда техники / механизмы")</f>
        <v>Сварщик / монтажник МК</v>
      </c>
      <c r="F492" s="14">
        <v>42000</v>
      </c>
      <c r="G492" s="14">
        <v>50400</v>
      </c>
      <c r="H492" s="15">
        <v>19000</v>
      </c>
      <c r="I492" s="15">
        <f>IF(OR(H492="",F492=""),"",MAX(H492,MIN(ROUND(H492*(1+Параметры!$B$5),IF(H492*(1+Параметры!$B$5)&gt;=1000,-1,0)),ROUND(F492*Параметры!$B$6,IF(F492*Параметры!$B$6&gt;=1000,-1,0)))))</f>
        <v>21850</v>
      </c>
      <c r="J492" s="15">
        <v>21500</v>
      </c>
      <c r="K492" s="15">
        <f>IF(OR(J492="",G492=""),"",MAX(J492,MIN(ROUND(J492*(1+Параметры!$B$5),IF(J492*(1+Параметры!$B$5)&gt;=1000,-1,0)),ROUND(G492*Параметры!$B$6,IF(G492*Параметры!$B$6&gt;=1000,-1,0)))))</f>
        <v>24730</v>
      </c>
      <c r="L492" s="16">
        <v>35</v>
      </c>
      <c r="M492" s="17">
        <f t="shared" si="42"/>
        <v>2.8571428571428571E-2</v>
      </c>
      <c r="N492" s="17">
        <f>IF(OR(L492="",L492=0),"",Параметры!$B$3/L492)</f>
        <v>0.22857142857142856</v>
      </c>
      <c r="O492" s="15">
        <f>IF(L492="","",IFERROR(INDEX('Почасовка — ставки и план'!$D$5:$D$24,MATCH($D492,'Почасовка — ставки и план'!$A$5:$A$24,0)),""))</f>
        <v>900</v>
      </c>
      <c r="P492" s="15">
        <f>IF(L492="","",IFERROR(INDEX('Почасовка — ставки и план'!$E$5:$E$24,MATCH($D492,'Почасовка — ставки и план'!$A$5:$A$24,0)),""))</f>
        <v>1080</v>
      </c>
      <c r="Q492" s="15">
        <f t="shared" si="43"/>
        <v>31500</v>
      </c>
      <c r="R492" s="13" t="str">
        <f>IF(D492="TEX","аренда техники — сделка/счёт",IF(OR(Q492="",H492="",H492=0),"—",IF(Q492&lt;H492*(1-Параметры!$B$7),"почасовка",IF(Q492&gt;H492*(1+Параметры!$B$7),"сделка","любой способ"))))</f>
        <v>сделка</v>
      </c>
      <c r="S492">
        <v>0.3125</v>
      </c>
      <c r="T492">
        <v>0.39999999999999991</v>
      </c>
    </row>
    <row r="493" spans="1:20" x14ac:dyDescent="0.25">
      <c r="A493" s="13" t="s">
        <v>1041</v>
      </c>
      <c r="B493" s="13" t="s">
        <v>1042</v>
      </c>
      <c r="C493" s="13" t="s">
        <v>72</v>
      </c>
      <c r="D493" s="13" t="s">
        <v>64</v>
      </c>
      <c r="E493" s="13" t="str">
        <f>IFERROR(INDEX('Почасовка — ставки и план'!$B$5:$B$24,MATCH(D493,'Почасовка — ставки и план'!$A$5:$A$24,0)),"Аренда техники / механизмы")</f>
        <v>Сварщик / монтажник МК</v>
      </c>
      <c r="F493" s="14">
        <v>1080</v>
      </c>
      <c r="G493" s="14">
        <v>1296</v>
      </c>
      <c r="H493" s="15">
        <v>580</v>
      </c>
      <c r="I493" s="15">
        <f>IF(OR(H493="",F493=""),"",MAX(H493,MIN(ROUND(H493*(1+Параметры!$B$5),IF(H493*(1+Параметры!$B$5)&gt;=1000,-1,0)),ROUND(F493*Параметры!$B$6,IF(F493*Параметры!$B$6&gt;=1000,-1,0)))))</f>
        <v>667</v>
      </c>
      <c r="J493" s="15">
        <v>670</v>
      </c>
      <c r="K493" s="15">
        <f>IF(OR(J493="",G493=""),"",MAX(J493,MIN(ROUND(J493*(1+Параметры!$B$5),IF(J493*(1+Параметры!$B$5)&gt;=1000,-1,0)),ROUND(G493*Параметры!$B$6,IF(G493*Параметры!$B$6&gt;=1000,-1,0)))))</f>
        <v>771</v>
      </c>
      <c r="L493" s="16">
        <v>0.9</v>
      </c>
      <c r="M493" s="17">
        <f t="shared" si="42"/>
        <v>1.1111111111111112</v>
      </c>
      <c r="N493" s="17">
        <f>IF(OR(L493="",L493=0),"",Параметры!$B$3/L493)</f>
        <v>8.8888888888888893</v>
      </c>
      <c r="O493" s="15">
        <f>IF(L493="","",IFERROR(INDEX('Почасовка — ставки и план'!$D$5:$D$24,MATCH($D493,'Почасовка — ставки и план'!$A$5:$A$24,0)),""))</f>
        <v>900</v>
      </c>
      <c r="P493" s="15">
        <f>IF(L493="","",IFERROR(INDEX('Почасовка — ставки и план'!$E$5:$E$24,MATCH($D493,'Почасовка — ставки и план'!$A$5:$A$24,0)),""))</f>
        <v>1080</v>
      </c>
      <c r="Q493" s="15">
        <f t="shared" si="43"/>
        <v>810</v>
      </c>
      <c r="R493" s="13" t="str">
        <f>IF(D493="TEX","аренда техники — сделка/счёт",IF(OR(Q493="",H493="",H493=0),"—",IF(Q493&lt;H493*(1-Параметры!$B$7),"почасовка",IF(Q493&gt;H493*(1+Параметры!$B$7),"сделка","любой способ"))))</f>
        <v>сделка</v>
      </c>
      <c r="S493">
        <v>8.0000000000000071E-2</v>
      </c>
      <c r="T493">
        <v>0.12695652173913041</v>
      </c>
    </row>
    <row r="494" spans="1:20" x14ac:dyDescent="0.25">
      <c r="A494" s="13" t="s">
        <v>1043</v>
      </c>
      <c r="B494" s="13" t="s">
        <v>1044</v>
      </c>
      <c r="C494" s="13" t="s">
        <v>152</v>
      </c>
      <c r="D494" s="13" t="s">
        <v>64</v>
      </c>
      <c r="E494" s="13" t="str">
        <f>IFERROR(INDEX('Почасовка — ставки и план'!$B$5:$B$24,MATCH(D494,'Почасовка — ставки и план'!$A$5:$A$24,0)),"Аренда техники / механизмы")</f>
        <v>Сварщик / монтажник МК</v>
      </c>
      <c r="F494" s="14">
        <v>55000</v>
      </c>
      <c r="G494" s="14">
        <v>62000</v>
      </c>
      <c r="H494" s="15">
        <v>32000</v>
      </c>
      <c r="I494" s="15">
        <f>IF(OR(H494="",F494=""),"",MAX(H494,MIN(ROUND(H494*(1+Параметры!$B$5),IF(H494*(1+Параметры!$B$5)&gt;=1000,-1,0)),ROUND(F494*Параметры!$B$6,IF(F494*Параметры!$B$6&gt;=1000,-1,0)))))</f>
        <v>36800</v>
      </c>
      <c r="J494" s="15">
        <v>36000</v>
      </c>
      <c r="K494" s="15">
        <f>IF(OR(J494="",G494=""),"",MAX(J494,MIN(ROUND(J494*(1+Параметры!$B$5),IF(J494*(1+Параметры!$B$5)&gt;=1000,-1,0)),ROUND(G494*Параметры!$B$6,IF(G494*Параметры!$B$6&gt;=1000,-1,0)))))</f>
        <v>41400</v>
      </c>
      <c r="L494" s="16">
        <v>40</v>
      </c>
      <c r="M494" s="17">
        <f t="shared" si="42"/>
        <v>2.5000000000000001E-2</v>
      </c>
      <c r="N494" s="17">
        <f>IF(OR(L494="",L494=0),"",Параметры!$B$3/L494)</f>
        <v>0.2</v>
      </c>
      <c r="O494" s="15">
        <f>IF(L494="","",IFERROR(INDEX('Почасовка — ставки и план'!$D$5:$D$24,MATCH($D494,'Почасовка — ставки и план'!$A$5:$A$24,0)),""))</f>
        <v>900</v>
      </c>
      <c r="P494" s="15">
        <f>IF(L494="","",IFERROR(INDEX('Почасовка — ставки и план'!$E$5:$E$24,MATCH($D494,'Почасовка — ставки и план'!$A$5:$A$24,0)),""))</f>
        <v>1080</v>
      </c>
      <c r="Q494" s="15">
        <f t="shared" si="43"/>
        <v>36000</v>
      </c>
      <c r="R494" s="13" t="str">
        <f>IF(D494="TEX","аренда техники — сделка/счёт",IF(OR(Q494="",H494="",H494=0),"—",IF(Q494&lt;H494*(1-Параметры!$B$7),"почасовка",IF(Q494&gt;H494*(1+Параметры!$B$7),"сделка","любой способ"))))</f>
        <v>сделка</v>
      </c>
      <c r="S494">
        <v>0</v>
      </c>
      <c r="T494">
        <v>0</v>
      </c>
    </row>
    <row r="495" spans="1:20" x14ac:dyDescent="0.25">
      <c r="A495" s="13" t="s">
        <v>1045</v>
      </c>
      <c r="B495" s="13" t="s">
        <v>1046</v>
      </c>
      <c r="C495" s="13" t="s">
        <v>152</v>
      </c>
      <c r="D495" s="13" t="s">
        <v>64</v>
      </c>
      <c r="E495" s="13" t="str">
        <f>IFERROR(INDEX('Почасовка — ставки и план'!$B$5:$B$24,MATCH(D495,'Почасовка — ставки и план'!$A$5:$A$24,0)),"Аренда техники / механизмы")</f>
        <v>Сварщик / монтажник МК</v>
      </c>
      <c r="F495" s="14">
        <v>115000</v>
      </c>
      <c r="G495" s="14">
        <v>130000</v>
      </c>
      <c r="H495" s="15">
        <v>68000</v>
      </c>
      <c r="I495" s="15">
        <f>IF(OR(H495="",F495=""),"",MAX(H495,MIN(ROUND(H495*(1+Параметры!$B$5),IF(H495*(1+Параметры!$B$5)&gt;=1000,-1,0)),ROUND(F495*Параметры!$B$6,IF(F495*Параметры!$B$6&gt;=1000,-1,0)))))</f>
        <v>78200</v>
      </c>
      <c r="J495" s="15">
        <v>76000</v>
      </c>
      <c r="K495" s="15">
        <f>IF(OR(J495="",G495=""),"",MAX(J495,MIN(ROUND(J495*(1+Параметры!$B$5),IF(J495*(1+Параметры!$B$5)&gt;=1000,-1,0)),ROUND(G495*Параметры!$B$6,IF(G495*Параметры!$B$6&gt;=1000,-1,0)))))</f>
        <v>87400</v>
      </c>
      <c r="L495" s="16">
        <v>90</v>
      </c>
      <c r="M495" s="17">
        <f t="shared" si="42"/>
        <v>1.1111111111111112E-2</v>
      </c>
      <c r="N495" s="17">
        <f>IF(OR(L495="",L495=0),"",Параметры!$B$3/L495)</f>
        <v>8.8888888888888892E-2</v>
      </c>
      <c r="O495" s="15">
        <f>IF(L495="","",IFERROR(INDEX('Почасовка — ставки и план'!$D$5:$D$24,MATCH($D495,'Почасовка — ставки и план'!$A$5:$A$24,0)),""))</f>
        <v>900</v>
      </c>
      <c r="P495" s="15">
        <f>IF(L495="","",IFERROR(INDEX('Почасовка — ставки и план'!$E$5:$E$24,MATCH($D495,'Почасовка — ставки и план'!$A$5:$A$24,0)),""))</f>
        <v>1080</v>
      </c>
      <c r="Q495" s="15">
        <f t="shared" si="43"/>
        <v>81000</v>
      </c>
      <c r="R495" s="13" t="str">
        <f>IF(D495="TEX","аренда техники — сделка/счёт",IF(OR(Q495="",H495="",H495=0),"—",IF(Q495&lt;H495*(1-Параметры!$B$7),"почасовка",IF(Q495&gt;H495*(1+Параметры!$B$7),"сделка","любой способ"))))</f>
        <v>сделка</v>
      </c>
      <c r="S495">
        <v>0</v>
      </c>
      <c r="T495">
        <v>0</v>
      </c>
    </row>
    <row r="496" spans="1:20" x14ac:dyDescent="0.25">
      <c r="A496" s="13" t="s">
        <v>1047</v>
      </c>
      <c r="B496" s="13" t="s">
        <v>1048</v>
      </c>
      <c r="C496" s="13" t="s">
        <v>152</v>
      </c>
      <c r="D496" s="13" t="s">
        <v>64</v>
      </c>
      <c r="E496" s="13" t="str">
        <f>IFERROR(INDEX('Почасовка — ставки и план'!$B$5:$B$24,MATCH(D496,'Почасовка — ставки и план'!$A$5:$A$24,0)),"Аренда техники / механизмы")</f>
        <v>Сварщик / монтажник МК</v>
      </c>
      <c r="F496" s="14">
        <v>110000</v>
      </c>
      <c r="G496" s="14">
        <v>125000</v>
      </c>
      <c r="H496" s="15">
        <v>65000</v>
      </c>
      <c r="I496" s="15">
        <f>IF(OR(H496="",F496=""),"",MAX(H496,MIN(ROUND(H496*(1+Параметры!$B$5),IF(H496*(1+Параметры!$B$5)&gt;=1000,-1,0)),ROUND(F496*Параметры!$B$6,IF(F496*Параметры!$B$6&gt;=1000,-1,0)))))</f>
        <v>74750</v>
      </c>
      <c r="J496" s="15">
        <v>74000</v>
      </c>
      <c r="K496" s="15">
        <f>IF(OR(J496="",G496=""),"",MAX(J496,MIN(ROUND(J496*(1+Параметры!$B$5),IF(J496*(1+Параметры!$B$5)&gt;=1000,-1,0)),ROUND(G496*Параметры!$B$6,IF(G496*Параметры!$B$6&gt;=1000,-1,0)))))</f>
        <v>85100</v>
      </c>
      <c r="L496" s="16">
        <v>85</v>
      </c>
      <c r="M496" s="17">
        <f t="shared" si="42"/>
        <v>1.1764705882352941E-2</v>
      </c>
      <c r="N496" s="17">
        <f>IF(OR(L496="",L496=0),"",Параметры!$B$3/L496)</f>
        <v>9.4117647058823528E-2</v>
      </c>
      <c r="O496" s="15">
        <f>IF(L496="","",IFERROR(INDEX('Почасовка — ставки и план'!$D$5:$D$24,MATCH($D496,'Почасовка — ставки и план'!$A$5:$A$24,0)),""))</f>
        <v>900</v>
      </c>
      <c r="P496" s="15">
        <f>IF(L496="","",IFERROR(INDEX('Почасовка — ставки и план'!$E$5:$E$24,MATCH($D496,'Почасовка — ставки и план'!$A$5:$A$24,0)),""))</f>
        <v>1080</v>
      </c>
      <c r="Q496" s="15">
        <f t="shared" si="43"/>
        <v>76500</v>
      </c>
      <c r="R496" s="13" t="str">
        <f>IF(D496="TEX","аренда техники — сделка/счёт",IF(OR(Q496="",H496="",H496=0),"—",IF(Q496&lt;H496*(1-Параметры!$B$7),"почасовка",IF(Q496&gt;H496*(1+Параметры!$B$7),"сделка","любой способ"))))</f>
        <v>сделка</v>
      </c>
      <c r="S496">
        <v>0</v>
      </c>
      <c r="T496">
        <v>0</v>
      </c>
    </row>
    <row r="497" spans="1:20" x14ac:dyDescent="0.25">
      <c r="A497" s="13" t="s">
        <v>1049</v>
      </c>
      <c r="B497" s="13" t="s">
        <v>1050</v>
      </c>
      <c r="C497" s="13" t="s">
        <v>69</v>
      </c>
      <c r="D497" s="13" t="s">
        <v>64</v>
      </c>
      <c r="E497" s="13" t="str">
        <f>IFERROR(INDEX('Почасовка — ставки и план'!$B$5:$B$24,MATCH(D497,'Почасовка — ставки и план'!$A$5:$A$24,0)),"Аренда техники / механизмы")</f>
        <v>Сварщик / монтажник МК</v>
      </c>
      <c r="F497" s="14">
        <v>1200</v>
      </c>
      <c r="G497" s="14">
        <v>1400</v>
      </c>
      <c r="H497" s="15">
        <v>700</v>
      </c>
      <c r="I497" s="15">
        <f>IF(OR(H497="",F497=""),"",MAX(H497,MIN(ROUND(H497*(1+Параметры!$B$5),IF(H497*(1+Параметры!$B$5)&gt;=1000,-1,0)),ROUND(F497*Параметры!$B$6,IF(F497*Параметры!$B$6&gt;=1000,-1,0)))))</f>
        <v>805</v>
      </c>
      <c r="J497" s="15">
        <v>800</v>
      </c>
      <c r="K497" s="15">
        <f>IF(OR(J497="",G497=""),"",MAX(J497,MIN(ROUND(J497*(1+Параметры!$B$5),IF(J497*(1+Параметры!$B$5)&gt;=1000,-1,0)),ROUND(G497*Параметры!$B$6,IF(G497*Параметры!$B$6&gt;=1000,-1,0)))))</f>
        <v>920</v>
      </c>
      <c r="L497" s="16">
        <v>0.8</v>
      </c>
      <c r="M497" s="17">
        <f t="shared" si="42"/>
        <v>1.25</v>
      </c>
      <c r="N497" s="17">
        <f>IF(OR(L497="",L497=0),"",Параметры!$B$3/L497)</f>
        <v>10</v>
      </c>
      <c r="O497" s="15">
        <f>IF(L497="","",IFERROR(INDEX('Почасовка — ставки и план'!$D$5:$D$24,MATCH($D497,'Почасовка — ставки и план'!$A$5:$A$24,0)),""))</f>
        <v>900</v>
      </c>
      <c r="P497" s="15">
        <f>IF(L497="","",IFERROR(INDEX('Почасовка — ставки и план'!$E$5:$E$24,MATCH($D497,'Почасовка — ставки и план'!$A$5:$A$24,0)),""))</f>
        <v>1080</v>
      </c>
      <c r="Q497" s="15">
        <f t="shared" si="43"/>
        <v>720</v>
      </c>
      <c r="R497" s="13" t="str">
        <f>IF(D497="TEX","аренда техники — сделка/счёт",IF(OR(Q497="",H497="",H497=0),"—",IF(Q497&lt;H497*(1-Параметры!$B$7),"почасовка",IF(Q497&gt;H497*(1+Параметры!$B$7),"сделка","любой способ"))))</f>
        <v>любой способ</v>
      </c>
      <c r="S497">
        <v>0</v>
      </c>
      <c r="T497">
        <v>0</v>
      </c>
    </row>
    <row r="498" spans="1:20" x14ac:dyDescent="0.25">
      <c r="A498" s="13" t="s">
        <v>1051</v>
      </c>
      <c r="B498" s="13" t="s">
        <v>1052</v>
      </c>
      <c r="C498" s="13" t="s">
        <v>69</v>
      </c>
      <c r="D498" s="13" t="s">
        <v>64</v>
      </c>
      <c r="E498" s="13" t="str">
        <f>IFERROR(INDEX('Почасовка — ставки и план'!$B$5:$B$24,MATCH(D498,'Почасовка — ставки и план'!$A$5:$A$24,0)),"Аренда техники / механизмы")</f>
        <v>Сварщик / монтажник МК</v>
      </c>
      <c r="F498" s="14">
        <v>2500</v>
      </c>
      <c r="G498" s="14">
        <v>2900</v>
      </c>
      <c r="H498" s="15">
        <v>1450</v>
      </c>
      <c r="I498" s="15">
        <f>IF(OR(H498="",F498=""),"",MAX(H498,MIN(ROUND(H498*(1+Параметры!$B$5),IF(H498*(1+Параметры!$B$5)&gt;=1000,-1,0)),ROUND(F498*Параметры!$B$6,IF(F498*Параметры!$B$6&gt;=1000,-1,0)))))</f>
        <v>1670</v>
      </c>
      <c r="J498" s="15">
        <v>1680</v>
      </c>
      <c r="K498" s="15">
        <f>IF(OR(J498="",G498=""),"",MAX(J498,MIN(ROUND(J498*(1+Параметры!$B$5),IF(J498*(1+Параметры!$B$5)&gt;=1000,-1,0)),ROUND(G498*Параметры!$B$6,IF(G498*Параметры!$B$6&gt;=1000,-1,0)))))</f>
        <v>1930</v>
      </c>
      <c r="L498" s="16">
        <v>1.5</v>
      </c>
      <c r="M498" s="17">
        <f t="shared" si="42"/>
        <v>0.66666666666666663</v>
      </c>
      <c r="N498" s="17">
        <f>IF(OR(L498="",L498=0),"",Параметры!$B$3/L498)</f>
        <v>5.333333333333333</v>
      </c>
      <c r="O498" s="15">
        <f>IF(L498="","",IFERROR(INDEX('Почасовка — ставки и план'!$D$5:$D$24,MATCH($D498,'Почасовка — ставки и план'!$A$5:$A$24,0)),""))</f>
        <v>900</v>
      </c>
      <c r="P498" s="15">
        <f>IF(L498="","",IFERROR(INDEX('Почасовка — ставки и план'!$E$5:$E$24,MATCH($D498,'Почасовка — ставки и план'!$A$5:$A$24,0)),""))</f>
        <v>1080</v>
      </c>
      <c r="Q498" s="15">
        <f t="shared" si="43"/>
        <v>1350</v>
      </c>
      <c r="R498" s="13" t="str">
        <f>IF(D498="TEX","аренда техники — сделка/счёт",IF(OR(Q498="",H498="",H498=0),"—",IF(Q498&lt;H498*(1-Параметры!$B$7),"почасовка",IF(Q498&gt;H498*(1+Параметры!$B$7),"сделка","любой способ"))))</f>
        <v>любой способ</v>
      </c>
      <c r="S498">
        <v>0</v>
      </c>
      <c r="T498">
        <v>0</v>
      </c>
    </row>
    <row r="499" spans="1:20" x14ac:dyDescent="0.25">
      <c r="A499" s="13" t="s">
        <v>1053</v>
      </c>
      <c r="B499" s="13" t="s">
        <v>1054</v>
      </c>
      <c r="C499" s="13" t="s">
        <v>69</v>
      </c>
      <c r="D499" s="13" t="s">
        <v>64</v>
      </c>
      <c r="E499" s="13" t="str">
        <f>IFERROR(INDEX('Почасовка — ставки и план'!$B$5:$B$24,MATCH(D499,'Почасовка — ставки и план'!$A$5:$A$24,0)),"Аренда техники / механизмы")</f>
        <v>Сварщик / монтажник МК</v>
      </c>
      <c r="F499" s="14">
        <v>2600</v>
      </c>
      <c r="G499" s="14">
        <v>3000</v>
      </c>
      <c r="H499" s="15">
        <v>1500</v>
      </c>
      <c r="I499" s="15">
        <f>IF(OR(H499="",F499=""),"",MAX(H499,MIN(ROUND(H499*(1+Параметры!$B$5),IF(H499*(1+Параметры!$B$5)&gt;=1000,-1,0)),ROUND(F499*Параметры!$B$6,IF(F499*Параметры!$B$6&gt;=1000,-1,0)))))</f>
        <v>1730</v>
      </c>
      <c r="J499" s="15">
        <v>1750</v>
      </c>
      <c r="K499" s="15">
        <f>IF(OR(J499="",G499=""),"",MAX(J499,MIN(ROUND(J499*(1+Параметры!$B$5),IF(J499*(1+Параметры!$B$5)&gt;=1000,-1,0)),ROUND(G499*Параметры!$B$6,IF(G499*Параметры!$B$6&gt;=1000,-1,0)))))</f>
        <v>2010</v>
      </c>
      <c r="L499" s="16">
        <v>1.6</v>
      </c>
      <c r="M499" s="17">
        <f t="shared" si="42"/>
        <v>0.625</v>
      </c>
      <c r="N499" s="17">
        <f>IF(OR(L499="",L499=0),"",Параметры!$B$3/L499)</f>
        <v>5</v>
      </c>
      <c r="O499" s="15">
        <f>IF(L499="","",IFERROR(INDEX('Почасовка — ставки и план'!$D$5:$D$24,MATCH($D499,'Почасовка — ставки и план'!$A$5:$A$24,0)),""))</f>
        <v>900</v>
      </c>
      <c r="P499" s="15">
        <f>IF(L499="","",IFERROR(INDEX('Почасовка — ставки и план'!$E$5:$E$24,MATCH($D499,'Почасовка — ставки и план'!$A$5:$A$24,0)),""))</f>
        <v>1080</v>
      </c>
      <c r="Q499" s="15">
        <f t="shared" si="43"/>
        <v>1440</v>
      </c>
      <c r="R499" s="13" t="str">
        <f>IF(D499="TEX","аренда техники — сделка/счёт",IF(OR(Q499="",H499="",H499=0),"—",IF(Q499&lt;H499*(1-Параметры!$B$7),"почасовка",IF(Q499&gt;H499*(1+Параметры!$B$7),"сделка","любой способ"))))</f>
        <v>любой способ</v>
      </c>
      <c r="S499">
        <v>0</v>
      </c>
      <c r="T499">
        <v>0</v>
      </c>
    </row>
    <row r="500" spans="1:20" x14ac:dyDescent="0.25">
      <c r="A500" s="13" t="s">
        <v>1055</v>
      </c>
      <c r="B500" s="13" t="s">
        <v>1056</v>
      </c>
      <c r="C500" s="13" t="s">
        <v>69</v>
      </c>
      <c r="D500" s="13" t="s">
        <v>60</v>
      </c>
      <c r="E500" s="13" t="str">
        <f>IFERROR(INDEX('Почасовка — ставки и план'!$B$5:$B$24,MATCH(D500,'Почасовка — ставки и план'!$A$5:$A$24,0)),"Аренда техники / механизмы")</f>
        <v>Разнорабочий / демонтажник</v>
      </c>
      <c r="F500" s="14">
        <v>450</v>
      </c>
      <c r="G500" s="14">
        <v>520</v>
      </c>
      <c r="H500" s="15">
        <v>260</v>
      </c>
      <c r="I500" s="15">
        <f>IF(OR(H500="",F500=""),"",MAX(H500,MIN(ROUND(H500*(1+Параметры!$B$5),IF(H500*(1+Параметры!$B$5)&gt;=1000,-1,0)),ROUND(F500*Параметры!$B$6,IF(F500*Параметры!$B$6&gt;=1000,-1,0)))))</f>
        <v>299</v>
      </c>
      <c r="J500" s="15">
        <v>300</v>
      </c>
      <c r="K500" s="15">
        <f>IF(OR(J500="",G500=""),"",MAX(J500,MIN(ROUND(J500*(1+Параметры!$B$5),IF(J500*(1+Параметры!$B$5)&gt;=1000,-1,0)),ROUND(G500*Параметры!$B$6,IF(G500*Параметры!$B$6&gt;=1000,-1,0)))))</f>
        <v>345</v>
      </c>
      <c r="L500" s="16">
        <v>0.35</v>
      </c>
      <c r="M500" s="17">
        <f t="shared" si="42"/>
        <v>2.8571428571428572</v>
      </c>
      <c r="N500" s="17">
        <f>IF(OR(L500="",L500=0),"",Параметры!$B$3/L500)</f>
        <v>22.857142857142858</v>
      </c>
      <c r="O500" s="15">
        <f>IF(L500="","",IFERROR(INDEX('Почасовка — ставки и план'!$D$5:$D$24,MATCH($D500,'Почасовка — ставки и план'!$A$5:$A$24,0)),""))</f>
        <v>550</v>
      </c>
      <c r="P500" s="15">
        <f>IF(L500="","",IFERROR(INDEX('Почасовка — ставки и план'!$E$5:$E$24,MATCH($D500,'Почасовка — ставки и план'!$A$5:$A$24,0)),""))</f>
        <v>660</v>
      </c>
      <c r="Q500" s="15">
        <f t="shared" si="43"/>
        <v>193</v>
      </c>
      <c r="R500" s="13" t="str">
        <f>IF(D500="TEX","аренда техники — сделка/счёт",IF(OR(Q500="",H500="",H500=0),"—",IF(Q500&lt;H500*(1-Параметры!$B$7),"почасовка",IF(Q500&gt;H500*(1+Параметры!$B$7),"сделка","любой способ"))))</f>
        <v>почасовка</v>
      </c>
      <c r="S500">
        <v>0</v>
      </c>
      <c r="T500">
        <v>0</v>
      </c>
    </row>
    <row r="501" spans="1:20" x14ac:dyDescent="0.25">
      <c r="A501" s="13" t="s">
        <v>1057</v>
      </c>
      <c r="B501" s="13" t="s">
        <v>1058</v>
      </c>
      <c r="C501" s="13" t="s">
        <v>69</v>
      </c>
      <c r="D501" s="13" t="s">
        <v>64</v>
      </c>
      <c r="E501" s="13" t="str">
        <f>IFERROR(INDEX('Почасовка — ставки и план'!$B$5:$B$24,MATCH(D501,'Почасовка — ставки и план'!$A$5:$A$24,0)),"Аренда техники / механизмы")</f>
        <v>Сварщик / монтажник МК</v>
      </c>
      <c r="F501" s="14">
        <v>1100</v>
      </c>
      <c r="G501" s="14">
        <v>1250</v>
      </c>
      <c r="H501" s="15">
        <v>640</v>
      </c>
      <c r="I501" s="15">
        <f>IF(OR(H501="",F501=""),"",MAX(H501,MIN(ROUND(H501*(1+Параметры!$B$5),IF(H501*(1+Параметры!$B$5)&gt;=1000,-1,0)),ROUND(F501*Параметры!$B$6,IF(F501*Параметры!$B$6&gt;=1000,-1,0)))))</f>
        <v>736</v>
      </c>
      <c r="J501" s="15">
        <v>730</v>
      </c>
      <c r="K501" s="15">
        <f>IF(OR(J501="",G501=""),"",MAX(J501,MIN(ROUND(J501*(1+Параметры!$B$5),IF(J501*(1+Параметры!$B$5)&gt;=1000,-1,0)),ROUND(G501*Параметры!$B$6,IF(G501*Параметры!$B$6&gt;=1000,-1,0)))))</f>
        <v>840</v>
      </c>
      <c r="L501" s="16">
        <v>0.8</v>
      </c>
      <c r="M501" s="17">
        <f t="shared" si="42"/>
        <v>1.25</v>
      </c>
      <c r="N501" s="17">
        <f>IF(OR(L501="",L501=0),"",Параметры!$B$3/L501)</f>
        <v>10</v>
      </c>
      <c r="O501" s="15">
        <f>IF(L501="","",IFERROR(INDEX('Почасовка — ставки и план'!$D$5:$D$24,MATCH($D501,'Почасовка — ставки и план'!$A$5:$A$24,0)),""))</f>
        <v>900</v>
      </c>
      <c r="P501" s="15">
        <f>IF(L501="","",IFERROR(INDEX('Почасовка — ставки и план'!$E$5:$E$24,MATCH($D501,'Почасовка — ставки и план'!$A$5:$A$24,0)),""))</f>
        <v>1080</v>
      </c>
      <c r="Q501" s="15">
        <f t="shared" si="43"/>
        <v>720</v>
      </c>
      <c r="R501" s="13" t="str">
        <f>IF(D501="TEX","аренда техники — сделка/счёт",IF(OR(Q501="",H501="",H501=0),"—",IF(Q501&lt;H501*(1-Параметры!$B$7),"почасовка",IF(Q501&gt;H501*(1+Параметры!$B$7),"сделка","любой способ"))))</f>
        <v>сделка</v>
      </c>
      <c r="S501">
        <v>0</v>
      </c>
      <c r="T501">
        <v>0</v>
      </c>
    </row>
    <row r="502" spans="1:20" x14ac:dyDescent="0.25">
      <c r="A502" s="13" t="s">
        <v>1059</v>
      </c>
      <c r="B502" s="13" t="s">
        <v>1060</v>
      </c>
      <c r="C502" s="13" t="s">
        <v>69</v>
      </c>
      <c r="D502" s="13" t="s">
        <v>64</v>
      </c>
      <c r="E502" s="13" t="str">
        <f>IFERROR(INDEX('Почасовка — ставки и план'!$B$5:$B$24,MATCH(D502,'Почасовка — ставки и план'!$A$5:$A$24,0)),"Аренда техники / механизмы")</f>
        <v>Сварщик / монтажник МК</v>
      </c>
      <c r="F502" s="14">
        <v>1600</v>
      </c>
      <c r="G502" s="14">
        <v>1850</v>
      </c>
      <c r="H502" s="15">
        <v>930</v>
      </c>
      <c r="I502" s="15">
        <f>IF(OR(H502="",F502=""),"",MAX(H502,MIN(ROUND(H502*(1+Параметры!$B$5),IF(H502*(1+Параметры!$B$5)&gt;=1000,-1,0)),ROUND(F502*Параметры!$B$6,IF(F502*Параметры!$B$6&gt;=1000,-1,0)))))</f>
        <v>1070</v>
      </c>
      <c r="J502" s="15">
        <v>1070</v>
      </c>
      <c r="K502" s="15">
        <f>IF(OR(J502="",G502=""),"",MAX(J502,MIN(ROUND(J502*(1+Параметры!$B$5),IF(J502*(1+Параметры!$B$5)&gt;=1000,-1,0)),ROUND(G502*Параметры!$B$6,IF(G502*Параметры!$B$6&gt;=1000,-1,0)))))</f>
        <v>1230</v>
      </c>
      <c r="L502" s="16">
        <v>1.2</v>
      </c>
      <c r="M502" s="17">
        <f t="shared" si="42"/>
        <v>0.83333333333333337</v>
      </c>
      <c r="N502" s="17">
        <f>IF(OR(L502="",L502=0),"",Параметры!$B$3/L502)</f>
        <v>6.666666666666667</v>
      </c>
      <c r="O502" s="15">
        <f>IF(L502="","",IFERROR(INDEX('Почасовка — ставки и план'!$D$5:$D$24,MATCH($D502,'Почасовка — ставки и план'!$A$5:$A$24,0)),""))</f>
        <v>900</v>
      </c>
      <c r="P502" s="15">
        <f>IF(L502="","",IFERROR(INDEX('Почасовка — ставки и план'!$E$5:$E$24,MATCH($D502,'Почасовка — ставки и план'!$A$5:$A$24,0)),""))</f>
        <v>1080</v>
      </c>
      <c r="Q502" s="15">
        <f t="shared" si="43"/>
        <v>1080</v>
      </c>
      <c r="R502" s="13" t="str">
        <f>IF(D502="TEX","аренда техники — сделка/счёт",IF(OR(Q502="",H502="",H502=0),"—",IF(Q502&lt;H502*(1-Параметры!$B$7),"почасовка",IF(Q502&gt;H502*(1+Параметры!$B$7),"сделка","любой способ"))))</f>
        <v>сделка</v>
      </c>
      <c r="S502">
        <v>0</v>
      </c>
      <c r="T502">
        <v>0</v>
      </c>
    </row>
    <row r="503" spans="1:20" x14ac:dyDescent="0.25">
      <c r="A503" s="13" t="s">
        <v>1061</v>
      </c>
      <c r="B503" s="13" t="s">
        <v>1062</v>
      </c>
      <c r="C503" s="13" t="s">
        <v>69</v>
      </c>
      <c r="D503" s="13" t="s">
        <v>64</v>
      </c>
      <c r="E503" s="13" t="str">
        <f>IFERROR(INDEX('Почасовка — ставки и план'!$B$5:$B$24,MATCH(D503,'Почасовка — ставки и план'!$A$5:$A$24,0)),"Аренда техники / механизмы")</f>
        <v>Сварщик / монтажник МК</v>
      </c>
      <c r="F503" s="14">
        <v>2300</v>
      </c>
      <c r="G503" s="14">
        <v>2650</v>
      </c>
      <c r="H503" s="15">
        <v>1350</v>
      </c>
      <c r="I503" s="15">
        <f>IF(OR(H503="",F503=""),"",MAX(H503,MIN(ROUND(H503*(1+Параметры!$B$5),IF(H503*(1+Параметры!$B$5)&gt;=1000,-1,0)),ROUND(F503*Параметры!$B$6,IF(F503*Параметры!$B$6&gt;=1000,-1,0)))))</f>
        <v>1550</v>
      </c>
      <c r="J503" s="15">
        <v>1550</v>
      </c>
      <c r="K503" s="15">
        <f>IF(OR(J503="",G503=""),"",MAX(J503,MIN(ROUND(J503*(1+Параметры!$B$5),IF(J503*(1+Параметры!$B$5)&gt;=1000,-1,0)),ROUND(G503*Параметры!$B$6,IF(G503*Параметры!$B$6&gt;=1000,-1,0)))))</f>
        <v>1780</v>
      </c>
      <c r="L503" s="16">
        <v>1.8</v>
      </c>
      <c r="M503" s="17">
        <f t="shared" si="42"/>
        <v>0.55555555555555558</v>
      </c>
      <c r="N503" s="17">
        <f>IF(OR(L503="",L503=0),"",Параметры!$B$3/L503)</f>
        <v>4.4444444444444446</v>
      </c>
      <c r="O503" s="15">
        <f>IF(L503="","",IFERROR(INDEX('Почасовка — ставки и план'!$D$5:$D$24,MATCH($D503,'Почасовка — ставки и план'!$A$5:$A$24,0)),""))</f>
        <v>900</v>
      </c>
      <c r="P503" s="15">
        <f>IF(L503="","",IFERROR(INDEX('Почасовка — ставки и план'!$E$5:$E$24,MATCH($D503,'Почасовка — ставки и план'!$A$5:$A$24,0)),""))</f>
        <v>1080</v>
      </c>
      <c r="Q503" s="15">
        <f t="shared" si="43"/>
        <v>1620</v>
      </c>
      <c r="R503" s="13" t="str">
        <f>IF(D503="TEX","аренда техники — сделка/счёт",IF(OR(Q503="",H503="",H503=0),"—",IF(Q503&lt;H503*(1-Параметры!$B$7),"почасовка",IF(Q503&gt;H503*(1+Параметры!$B$7),"сделка","любой способ"))))</f>
        <v>сделка</v>
      </c>
      <c r="S503">
        <v>0</v>
      </c>
      <c r="T503">
        <v>0</v>
      </c>
    </row>
    <row r="504" spans="1:20" x14ac:dyDescent="0.25">
      <c r="A504" s="13" t="s">
        <v>1063</v>
      </c>
      <c r="B504" s="13" t="s">
        <v>1064</v>
      </c>
      <c r="C504" s="13" t="s">
        <v>72</v>
      </c>
      <c r="D504" s="13" t="s">
        <v>64</v>
      </c>
      <c r="E504" s="13" t="str">
        <f>IFERROR(INDEX('Почасовка — ставки и план'!$B$5:$B$24,MATCH(D504,'Почасовка — ставки и план'!$A$5:$A$24,0)),"Аренда техники / механизмы")</f>
        <v>Сварщик / монтажник МК</v>
      </c>
      <c r="F504" s="14">
        <v>2200</v>
      </c>
      <c r="G504" s="14">
        <v>2500</v>
      </c>
      <c r="H504" s="15">
        <v>1300</v>
      </c>
      <c r="I504" s="15">
        <f>IF(OR(H504="",F504=""),"",MAX(H504,MIN(ROUND(H504*(1+Параметры!$B$5),IF(H504*(1+Параметры!$B$5)&gt;=1000,-1,0)),ROUND(F504*Параметры!$B$6,IF(F504*Параметры!$B$6&gt;=1000,-1,0)))))</f>
        <v>1500</v>
      </c>
      <c r="J504" s="15">
        <v>1450</v>
      </c>
      <c r="K504" s="15">
        <f>IF(OR(J504="",G504=""),"",MAX(J504,MIN(ROUND(J504*(1+Параметры!$B$5),IF(J504*(1+Параметры!$B$5)&gt;=1000,-1,0)),ROUND(G504*Параметры!$B$6,IF(G504*Параметры!$B$6&gt;=1000,-1,0)))))</f>
        <v>1670</v>
      </c>
      <c r="L504" s="16">
        <v>1.5</v>
      </c>
      <c r="M504" s="17">
        <f t="shared" si="42"/>
        <v>0.66666666666666663</v>
      </c>
      <c r="N504" s="17">
        <f>IF(OR(L504="",L504=0),"",Параметры!$B$3/L504)</f>
        <v>5.333333333333333</v>
      </c>
      <c r="O504" s="15">
        <f>IF(L504="","",IFERROR(INDEX('Почасовка — ставки и план'!$D$5:$D$24,MATCH($D504,'Почасовка — ставки и план'!$A$5:$A$24,0)),""))</f>
        <v>900</v>
      </c>
      <c r="P504" s="15">
        <f>IF(L504="","",IFERROR(INDEX('Почасовка — ставки и план'!$E$5:$E$24,MATCH($D504,'Почасовка — ставки и план'!$A$5:$A$24,0)),""))</f>
        <v>1080</v>
      </c>
      <c r="Q504" s="15">
        <f t="shared" si="43"/>
        <v>1350</v>
      </c>
      <c r="R504" s="13" t="str">
        <f>IF(D504="TEX","аренда техники — сделка/счёт",IF(OR(Q504="",H504="",H504=0),"—",IF(Q504&lt;H504*(1-Параметры!$B$7),"почасовка",IF(Q504&gt;H504*(1+Параметры!$B$7),"сделка","любой способ"))))</f>
        <v>любой способ</v>
      </c>
      <c r="S504">
        <v>0</v>
      </c>
      <c r="T504">
        <v>0</v>
      </c>
    </row>
    <row r="505" spans="1:20" x14ac:dyDescent="0.25">
      <c r="A505" s="13" t="s">
        <v>1065</v>
      </c>
      <c r="B505" s="13" t="s">
        <v>1066</v>
      </c>
      <c r="C505" s="13" t="s">
        <v>72</v>
      </c>
      <c r="D505" s="13" t="s">
        <v>88</v>
      </c>
      <c r="E505" s="13" t="str">
        <f>IFERROR(INDEX('Почасовка — ставки и план'!$B$5:$B$24,MATCH(D505,'Почасовка — ставки и план'!$A$5:$A$24,0)),"Аренда техники / механизмы")</f>
        <v>Кровельщик</v>
      </c>
      <c r="F505" s="14">
        <v>450</v>
      </c>
      <c r="G505" s="14">
        <v>520</v>
      </c>
      <c r="H505" s="15">
        <v>260</v>
      </c>
      <c r="I505" s="15">
        <f>IF(OR(H505="",F505=""),"",MAX(H505,MIN(ROUND(H505*(1+Параметры!$B$5),IF(H505*(1+Параметры!$B$5)&gt;=1000,-1,0)),ROUND(F505*Параметры!$B$6,IF(F505*Параметры!$B$6&gt;=1000,-1,0)))))</f>
        <v>299</v>
      </c>
      <c r="J505" s="15">
        <v>300</v>
      </c>
      <c r="K505" s="15">
        <f>IF(OR(J505="",G505=""),"",MAX(J505,MIN(ROUND(J505*(1+Параметры!$B$5),IF(J505*(1+Параметры!$B$5)&gt;=1000,-1,0)),ROUND(G505*Параметры!$B$6,IF(G505*Параметры!$B$6&gt;=1000,-1,0)))))</f>
        <v>345</v>
      </c>
      <c r="L505" s="16">
        <v>0.3</v>
      </c>
      <c r="M505" s="17">
        <f t="shared" si="42"/>
        <v>3.3333333333333335</v>
      </c>
      <c r="N505" s="17">
        <f>IF(OR(L505="",L505=0),"",Параметры!$B$3/L505)</f>
        <v>26.666666666666668</v>
      </c>
      <c r="O505" s="15">
        <f>IF(L505="","",IFERROR(INDEX('Почасовка — ставки и план'!$D$5:$D$24,MATCH($D505,'Почасовка — ставки и план'!$A$5:$A$24,0)),""))</f>
        <v>800</v>
      </c>
      <c r="P505" s="15">
        <f>IF(L505="","",IFERROR(INDEX('Почасовка — ставки и план'!$E$5:$E$24,MATCH($D505,'Почасовка — ставки и план'!$A$5:$A$24,0)),""))</f>
        <v>950</v>
      </c>
      <c r="Q505" s="15">
        <f t="shared" si="43"/>
        <v>240</v>
      </c>
      <c r="R505" s="13" t="str">
        <f>IF(D505="TEX","аренда техники — сделка/счёт",IF(OR(Q505="",H505="",H505=0),"—",IF(Q505&lt;H505*(1-Параметры!$B$7),"почасовка",IF(Q505&gt;H505*(1+Параметры!$B$7),"сделка","любой способ"))))</f>
        <v>любой способ</v>
      </c>
      <c r="S505">
        <v>0</v>
      </c>
      <c r="T505">
        <v>0</v>
      </c>
    </row>
    <row r="506" spans="1:20" x14ac:dyDescent="0.25">
      <c r="A506" s="13" t="s">
        <v>1067</v>
      </c>
      <c r="B506" s="13" t="s">
        <v>1068</v>
      </c>
      <c r="C506" s="13" t="s">
        <v>1069</v>
      </c>
      <c r="D506" s="13" t="s">
        <v>64</v>
      </c>
      <c r="E506" s="13" t="str">
        <f>IFERROR(INDEX('Почасовка — ставки и план'!$B$5:$B$24,MATCH(D506,'Почасовка — ставки и план'!$A$5:$A$24,0)),"Аренда техники / механизмы")</f>
        <v>Сварщик / монтажник МК</v>
      </c>
      <c r="F506" s="14">
        <v>1800</v>
      </c>
      <c r="G506" s="14">
        <v>2100</v>
      </c>
      <c r="H506" s="15">
        <v>900</v>
      </c>
      <c r="I506" s="15">
        <f>IF(OR(H506="",F506=""),"",MAX(H506,MIN(ROUND(H506*(1+Параметры!$B$5),IF(H506*(1+Параметры!$B$5)&gt;=1000,-1,0)),ROUND(F506*Параметры!$B$6,IF(F506*Параметры!$B$6&gt;=1000,-1,0)))))</f>
        <v>1040</v>
      </c>
      <c r="J506" s="15">
        <v>1000</v>
      </c>
      <c r="K506" s="15">
        <f>IF(OR(J506="",G506=""),"",MAX(J506,MIN(ROUND(J506*(1+Параметры!$B$5),IF(J506*(1+Параметры!$B$5)&gt;=1000,-1,0)),ROUND(G506*Параметры!$B$6,IF(G506*Параметры!$B$6&gt;=1000,-1,0)))))</f>
        <v>1150</v>
      </c>
      <c r="L506" s="16">
        <v>1</v>
      </c>
      <c r="M506" s="17">
        <f t="shared" si="42"/>
        <v>1</v>
      </c>
      <c r="N506" s="17">
        <f>IF(OR(L506="",L506=0),"",Параметры!$B$3/L506)</f>
        <v>8</v>
      </c>
      <c r="O506" s="15">
        <f>IF(L506="","",IFERROR(INDEX('Почасовка — ставки и план'!$D$5:$D$24,MATCH($D506,'Почасовка — ставки и план'!$A$5:$A$24,0)),""))</f>
        <v>900</v>
      </c>
      <c r="P506" s="15">
        <f>IF(L506="","",IFERROR(INDEX('Почасовка — ставки и план'!$E$5:$E$24,MATCH($D506,'Почасовка — ставки и план'!$A$5:$A$24,0)),""))</f>
        <v>1080</v>
      </c>
      <c r="Q506" s="15">
        <f t="shared" si="43"/>
        <v>900</v>
      </c>
      <c r="R506" s="13" t="str">
        <f>IF(D506="TEX","аренда техники — сделка/счёт",IF(OR(Q506="",H506="",H506=0),"—",IF(Q506&lt;H506*(1-Параметры!$B$7),"почасовка",IF(Q506&gt;H506*(1+Параметры!$B$7),"сделка","любой способ"))))</f>
        <v>любой способ</v>
      </c>
      <c r="S506">
        <v>0</v>
      </c>
      <c r="T506">
        <v>0</v>
      </c>
    </row>
    <row r="507" spans="1:20" x14ac:dyDescent="0.25">
      <c r="A507" s="13" t="s">
        <v>1070</v>
      </c>
      <c r="B507" s="13" t="s">
        <v>1071</v>
      </c>
      <c r="C507" s="13" t="s">
        <v>72</v>
      </c>
      <c r="D507" s="13" t="s">
        <v>91</v>
      </c>
      <c r="E507" s="13" t="str">
        <f>IFERROR(INDEX('Почасовка — ставки и план'!$B$5:$B$24,MATCH(D507,'Почасовка — ставки и план'!$A$5:$A$24,0)),"Аренда техники / механизмы")</f>
        <v>Фасадчик / промальпинист</v>
      </c>
      <c r="F507" s="14">
        <v>480</v>
      </c>
      <c r="G507" s="14">
        <v>550</v>
      </c>
      <c r="H507" s="15">
        <v>280</v>
      </c>
      <c r="I507" s="15">
        <f>IF(OR(H507="",F507=""),"",MAX(H507,MIN(ROUND(H507*(1+Параметры!$B$5),IF(H507*(1+Параметры!$B$5)&gt;=1000,-1,0)),ROUND(F507*Параметры!$B$6,IF(F507*Параметры!$B$6&gt;=1000,-1,0)))))</f>
        <v>322</v>
      </c>
      <c r="J507" s="15">
        <v>320</v>
      </c>
      <c r="K507" s="15">
        <f>IF(OR(J507="",G507=""),"",MAX(J507,MIN(ROUND(J507*(1+Параметры!$B$5),IF(J507*(1+Параметры!$B$5)&gt;=1000,-1,0)),ROUND(G507*Параметры!$B$6,IF(G507*Параметры!$B$6&gt;=1000,-1,0)))))</f>
        <v>368</v>
      </c>
      <c r="L507" s="16">
        <v>0.3</v>
      </c>
      <c r="M507" s="17">
        <f t="shared" si="42"/>
        <v>3.3333333333333335</v>
      </c>
      <c r="N507" s="17">
        <f>IF(OR(L507="",L507=0),"",Параметры!$B$3/L507)</f>
        <v>26.666666666666668</v>
      </c>
      <c r="O507" s="15">
        <f>IF(L507="","",IFERROR(INDEX('Почасовка — ставки и план'!$D$5:$D$24,MATCH($D507,'Почасовка — ставки и план'!$A$5:$A$24,0)),""))</f>
        <v>1100</v>
      </c>
      <c r="P507" s="15">
        <f>IF(L507="","",IFERROR(INDEX('Почасовка — ставки и план'!$E$5:$E$24,MATCH($D507,'Почасовка — ставки и план'!$A$5:$A$24,0)),""))</f>
        <v>1300</v>
      </c>
      <c r="Q507" s="15">
        <f t="shared" si="43"/>
        <v>330</v>
      </c>
      <c r="R507" s="13" t="str">
        <f>IF(D507="TEX","аренда техники — сделка/счёт",IF(OR(Q507="",H507="",H507=0),"—",IF(Q507&lt;H507*(1-Параметры!$B$7),"почасовка",IF(Q507&gt;H507*(1+Параметры!$B$7),"сделка","любой способ"))))</f>
        <v>сделка</v>
      </c>
      <c r="S507">
        <v>0</v>
      </c>
      <c r="T507">
        <v>0</v>
      </c>
    </row>
    <row r="508" spans="1:20" x14ac:dyDescent="0.25">
      <c r="A508" s="13" t="s">
        <v>1072</v>
      </c>
      <c r="B508" s="13" t="s">
        <v>1073</v>
      </c>
      <c r="C508" s="13" t="s">
        <v>144</v>
      </c>
      <c r="D508" s="13" t="s">
        <v>64</v>
      </c>
      <c r="E508" s="13" t="str">
        <f>IFERROR(INDEX('Почасовка — ставки и план'!$B$5:$B$24,MATCH(D508,'Почасовка — ставки и план'!$A$5:$A$24,0)),"Аренда техники / механизмы")</f>
        <v>Сварщик / монтажник МК</v>
      </c>
      <c r="F508" s="14">
        <v>60</v>
      </c>
      <c r="G508" s="14">
        <v>72</v>
      </c>
      <c r="H508" s="15">
        <v>35</v>
      </c>
      <c r="I508" s="15">
        <f>IF(OR(H508="",F508=""),"",MAX(H508,MIN(ROUND(H508*(1+Параметры!$B$5),IF(H508*(1+Параметры!$B$5)&gt;=1000,-1,0)),ROUND(F508*Параметры!$B$6,IF(F508*Параметры!$B$6&gt;=1000,-1,0)))))</f>
        <v>40</v>
      </c>
      <c r="J508" s="15">
        <v>40</v>
      </c>
      <c r="K508" s="15">
        <f>IF(OR(J508="",G508=""),"",MAX(J508,MIN(ROUND(J508*(1+Параметры!$B$5),IF(J508*(1+Параметры!$B$5)&gt;=1000,-1,0)),ROUND(G508*Параметры!$B$6,IF(G508*Параметры!$B$6&gt;=1000,-1,0)))))</f>
        <v>46</v>
      </c>
      <c r="L508" s="16">
        <v>0.05</v>
      </c>
      <c r="M508" s="17">
        <f t="shared" si="42"/>
        <v>20</v>
      </c>
      <c r="N508" s="17">
        <f>IF(OR(L508="",L508=0),"",Параметры!$B$3/L508)</f>
        <v>160</v>
      </c>
      <c r="O508" s="15">
        <f>IF(L508="","",IFERROR(INDEX('Почасовка — ставки и план'!$D$5:$D$24,MATCH($D508,'Почасовка — ставки и план'!$A$5:$A$24,0)),""))</f>
        <v>900</v>
      </c>
      <c r="P508" s="15">
        <f>IF(L508="","",IFERROR(INDEX('Почасовка — ставки и план'!$E$5:$E$24,MATCH($D508,'Почасовка — ставки и план'!$A$5:$A$24,0)),""))</f>
        <v>1080</v>
      </c>
      <c r="Q508" s="15">
        <f t="shared" si="43"/>
        <v>45</v>
      </c>
      <c r="R508" s="13" t="str">
        <f>IF(D508="TEX","аренда техники — сделка/счёт",IF(OR(Q508="",H508="",H508=0),"—",IF(Q508&lt;H508*(1-Параметры!$B$7),"почасовка",IF(Q508&gt;H508*(1+Параметры!$B$7),"сделка","любой способ"))))</f>
        <v>сделка</v>
      </c>
      <c r="S508">
        <v>0</v>
      </c>
      <c r="T508">
        <v>2.857142857142847E-2</v>
      </c>
    </row>
    <row r="509" spans="1:20" x14ac:dyDescent="0.25">
      <c r="A509" s="13" t="s">
        <v>1074</v>
      </c>
      <c r="B509" s="13" t="s">
        <v>1075</v>
      </c>
      <c r="C509" s="13" t="s">
        <v>69</v>
      </c>
      <c r="D509" s="13" t="s">
        <v>64</v>
      </c>
      <c r="E509" s="13" t="str">
        <f>IFERROR(INDEX('Почасовка — ставки и план'!$B$5:$B$24,MATCH(D509,'Почасовка — ставки и план'!$A$5:$A$24,0)),"Аренда техники / механизмы")</f>
        <v>Сварщик / монтажник МК</v>
      </c>
      <c r="F509" s="14">
        <v>120</v>
      </c>
      <c r="G509" s="14">
        <v>140</v>
      </c>
      <c r="H509" s="15">
        <v>70</v>
      </c>
      <c r="I509" s="15">
        <f>IF(OR(H509="",F509=""),"",MAX(H509,MIN(ROUND(H509*(1+Параметры!$B$5),IF(H509*(1+Параметры!$B$5)&gt;=1000,-1,0)),ROUND(F509*Параметры!$B$6,IF(F509*Параметры!$B$6&gt;=1000,-1,0)))))</f>
        <v>81</v>
      </c>
      <c r="J509" s="15">
        <v>80</v>
      </c>
      <c r="K509" s="15">
        <f>IF(OR(J509="",G509=""),"",MAX(J509,MIN(ROUND(J509*(1+Параметры!$B$5),IF(J509*(1+Параметры!$B$5)&gt;=1000,-1,0)),ROUND(G509*Параметры!$B$6,IF(G509*Параметры!$B$6&gt;=1000,-1,0)))))</f>
        <v>92</v>
      </c>
      <c r="L509" s="16">
        <v>0.08</v>
      </c>
      <c r="M509" s="17">
        <f t="shared" si="42"/>
        <v>12.5</v>
      </c>
      <c r="N509" s="17">
        <f>IF(OR(L509="",L509=0),"",Параметры!$B$3/L509)</f>
        <v>100</v>
      </c>
      <c r="O509" s="15">
        <f>IF(L509="","",IFERROR(INDEX('Почасовка — ставки и план'!$D$5:$D$24,MATCH($D509,'Почасовка — ставки и план'!$A$5:$A$24,0)),""))</f>
        <v>900</v>
      </c>
      <c r="P509" s="15">
        <f>IF(L509="","",IFERROR(INDEX('Почасовка — ставки и план'!$E$5:$E$24,MATCH($D509,'Почасовка — ставки и план'!$A$5:$A$24,0)),""))</f>
        <v>1080</v>
      </c>
      <c r="Q509" s="15">
        <f t="shared" si="43"/>
        <v>72</v>
      </c>
      <c r="R509" s="13" t="str">
        <f>IF(D509="TEX","аренда техники — сделка/счёт",IF(OR(Q509="",H509="",H509=0),"—",IF(Q509&lt;H509*(1-Параметры!$B$7),"почасовка",IF(Q509&gt;H509*(1+Параметры!$B$7),"сделка","любой способ"))))</f>
        <v>любой способ</v>
      </c>
      <c r="S509">
        <v>0</v>
      </c>
      <c r="T509">
        <v>0</v>
      </c>
    </row>
    <row r="510" spans="1:20" x14ac:dyDescent="0.25">
      <c r="A510" s="13" t="s">
        <v>1076</v>
      </c>
      <c r="B510" s="13" t="s">
        <v>1077</v>
      </c>
      <c r="C510" s="13" t="s">
        <v>69</v>
      </c>
      <c r="D510" s="13" t="s">
        <v>64</v>
      </c>
      <c r="E510" s="13" t="str">
        <f>IFERROR(INDEX('Почасовка — ставки и план'!$B$5:$B$24,MATCH(D510,'Почасовка — ставки и план'!$A$5:$A$24,0)),"Аренда техники / механизмы")</f>
        <v>Сварщик / монтажник МК</v>
      </c>
      <c r="F510" s="14">
        <v>350</v>
      </c>
      <c r="G510" s="14">
        <v>400</v>
      </c>
      <c r="H510" s="15">
        <v>200</v>
      </c>
      <c r="I510" s="15">
        <f>IF(OR(H510="",F510=""),"",MAX(H510,MIN(ROUND(H510*(1+Параметры!$B$5),IF(H510*(1+Параметры!$B$5)&gt;=1000,-1,0)),ROUND(F510*Параметры!$B$6,IF(F510*Параметры!$B$6&gt;=1000,-1,0)))))</f>
        <v>230</v>
      </c>
      <c r="J510" s="15">
        <v>230</v>
      </c>
      <c r="K510" s="15">
        <f>IF(OR(J510="",G510=""),"",MAX(J510,MIN(ROUND(J510*(1+Параметры!$B$5),IF(J510*(1+Параметры!$B$5)&gt;=1000,-1,0)),ROUND(G510*Параметры!$B$6,IF(G510*Параметры!$B$6&gt;=1000,-1,0)))))</f>
        <v>265</v>
      </c>
      <c r="L510" s="16">
        <v>0.25</v>
      </c>
      <c r="M510" s="17">
        <f t="shared" si="42"/>
        <v>4</v>
      </c>
      <c r="N510" s="17">
        <f>IF(OR(L510="",L510=0),"",Параметры!$B$3/L510)</f>
        <v>32</v>
      </c>
      <c r="O510" s="15">
        <f>IF(L510="","",IFERROR(INDEX('Почасовка — ставки и план'!$D$5:$D$24,MATCH($D510,'Почасовка — ставки и план'!$A$5:$A$24,0)),""))</f>
        <v>900</v>
      </c>
      <c r="P510" s="15">
        <f>IF(L510="","",IFERROR(INDEX('Почасовка — ставки и план'!$E$5:$E$24,MATCH($D510,'Почасовка — ставки и план'!$A$5:$A$24,0)),""))</f>
        <v>1080</v>
      </c>
      <c r="Q510" s="15">
        <f t="shared" si="43"/>
        <v>225</v>
      </c>
      <c r="R510" s="13" t="str">
        <f>IF(D510="TEX","аренда техники — сделка/счёт",IF(OR(Q510="",H510="",H510=0),"—",IF(Q510&lt;H510*(1-Параметры!$B$7),"почасовка",IF(Q510&gt;H510*(1+Параметры!$B$7),"сделка","любой способ"))))</f>
        <v>сделка</v>
      </c>
      <c r="S510">
        <v>0</v>
      </c>
      <c r="T510">
        <v>0</v>
      </c>
    </row>
    <row r="511" spans="1:20" x14ac:dyDescent="0.25">
      <c r="A511" s="13" t="s">
        <v>1078</v>
      </c>
      <c r="B511" s="13" t="s">
        <v>1079</v>
      </c>
      <c r="C511" s="13" t="s">
        <v>72</v>
      </c>
      <c r="D511" s="13" t="s">
        <v>208</v>
      </c>
      <c r="E511" s="13" t="str">
        <f>IFERROR(INDEX('Почасовка — ставки и план'!$B$5:$B$24,MATCH(D511,'Почасовка — ставки и план'!$A$5:$A$24,0)),"Аренда техники / механизмы")</f>
        <v>Отделочник (штукатур, маляр, ГКЛ)</v>
      </c>
      <c r="F511" s="14">
        <v>300</v>
      </c>
      <c r="G511" s="14">
        <v>350</v>
      </c>
      <c r="H511" s="15">
        <v>170</v>
      </c>
      <c r="I511" s="15">
        <f>IF(OR(H511="",F511=""),"",MAX(H511,MIN(ROUND(H511*(1+Параметры!$B$5),IF(H511*(1+Параметры!$B$5)&gt;=1000,-1,0)),ROUND(F511*Параметры!$B$6,IF(F511*Параметры!$B$6&gt;=1000,-1,0)))))</f>
        <v>196</v>
      </c>
      <c r="J511" s="15">
        <v>200</v>
      </c>
      <c r="K511" s="15">
        <f>IF(OR(J511="",G511=""),"",MAX(J511,MIN(ROUND(J511*(1+Параметры!$B$5),IF(J511*(1+Параметры!$B$5)&gt;=1000,-1,0)),ROUND(G511*Параметры!$B$6,IF(G511*Параметры!$B$6&gt;=1000,-1,0)))))</f>
        <v>230</v>
      </c>
      <c r="L511" s="16">
        <v>0.25</v>
      </c>
      <c r="M511" s="17">
        <f t="shared" si="42"/>
        <v>4</v>
      </c>
      <c r="N511" s="17">
        <f>IF(OR(L511="",L511=0),"",Параметры!$B$3/L511)</f>
        <v>32</v>
      </c>
      <c r="O511" s="15">
        <f>IF(L511="","",IFERROR(INDEX('Почасовка — ставки и план'!$D$5:$D$24,MATCH($D511,'Почасовка — ставки и план'!$A$5:$A$24,0)),""))</f>
        <v>750</v>
      </c>
      <c r="P511" s="15">
        <f>IF(L511="","",IFERROR(INDEX('Почасовка — ставки и план'!$E$5:$E$24,MATCH($D511,'Почасовка — ставки и план'!$A$5:$A$24,0)),""))</f>
        <v>900</v>
      </c>
      <c r="Q511" s="15">
        <f t="shared" si="43"/>
        <v>188</v>
      </c>
      <c r="R511" s="13" t="str">
        <f>IF(D511="TEX","аренда техники — сделка/счёт",IF(OR(Q511="",H511="",H511=0),"—",IF(Q511&lt;H511*(1-Параметры!$B$7),"почасовка",IF(Q511&gt;H511*(1+Параметры!$B$7),"сделка","любой способ"))))</f>
        <v>сделка</v>
      </c>
      <c r="S511">
        <v>0</v>
      </c>
      <c r="T511">
        <v>0</v>
      </c>
    </row>
    <row r="512" spans="1:20" x14ac:dyDescent="0.25">
      <c r="A512" s="13" t="s">
        <v>1080</v>
      </c>
      <c r="B512" s="13" t="s">
        <v>1081</v>
      </c>
      <c r="C512" s="13" t="s">
        <v>72</v>
      </c>
      <c r="D512" s="13" t="s">
        <v>64</v>
      </c>
      <c r="E512" s="13" t="str">
        <f>IFERROR(INDEX('Почасовка — ставки и план'!$B$5:$B$24,MATCH(D512,'Почасовка — ставки и план'!$A$5:$A$24,0)),"Аренда техники / механизмы")</f>
        <v>Сварщик / монтажник МК</v>
      </c>
      <c r="F512" s="14">
        <v>1200</v>
      </c>
      <c r="G512" s="14">
        <v>1440</v>
      </c>
      <c r="H512" s="15">
        <v>640</v>
      </c>
      <c r="I512" s="15">
        <f>IF(OR(H512="",F512=""),"",MAX(H512,MIN(ROUND(H512*(1+Параметры!$B$5),IF(H512*(1+Параметры!$B$5)&gt;=1000,-1,0)),ROUND(F512*Параметры!$B$6,IF(F512*Параметры!$B$6&gt;=1000,-1,0)))))</f>
        <v>736</v>
      </c>
      <c r="J512" s="15">
        <v>730</v>
      </c>
      <c r="K512" s="15">
        <f>IF(OR(J512="",G512=""),"",MAX(J512,MIN(ROUND(J512*(1+Параметры!$B$5),IF(J512*(1+Параметры!$B$5)&gt;=1000,-1,0)),ROUND(G512*Параметры!$B$6,IF(G512*Параметры!$B$6&gt;=1000,-1,0)))))</f>
        <v>840</v>
      </c>
      <c r="L512" s="16">
        <v>1</v>
      </c>
      <c r="M512" s="17">
        <f t="shared" si="42"/>
        <v>1</v>
      </c>
      <c r="N512" s="17">
        <f>IF(OR(L512="",L512=0),"",Параметры!$B$3/L512)</f>
        <v>8</v>
      </c>
      <c r="O512" s="15">
        <f>IF(L512="","",IFERROR(INDEX('Почасовка — ставки и план'!$D$5:$D$24,MATCH($D512,'Почасовка — ставки и план'!$A$5:$A$24,0)),""))</f>
        <v>900</v>
      </c>
      <c r="P512" s="15">
        <f>IF(L512="","",IFERROR(INDEX('Почасовка — ставки и план'!$E$5:$E$24,MATCH($D512,'Почасовка — ставки и план'!$A$5:$A$24,0)),""))</f>
        <v>1080</v>
      </c>
      <c r="Q512" s="15">
        <f t="shared" si="43"/>
        <v>900</v>
      </c>
      <c r="R512" s="13" t="str">
        <f>IF(D512="TEX","аренда техники — сделка/счёт",IF(OR(Q512="",H512="",H512=0),"—",IF(Q512&lt;H512*(1-Параметры!$B$7),"почасовка",IF(Q512&gt;H512*(1+Параметры!$B$7),"сделка","любой способ"))))</f>
        <v>сделка</v>
      </c>
      <c r="S512">
        <v>9.0909090909090828E-2</v>
      </c>
      <c r="T512">
        <v>0.15199999999999991</v>
      </c>
    </row>
    <row r="513" spans="1:20" x14ac:dyDescent="0.25">
      <c r="A513" s="18" t="s">
        <v>1082</v>
      </c>
      <c r="B513" s="13" t="s">
        <v>1083</v>
      </c>
      <c r="C513" s="13" t="s">
        <v>63</v>
      </c>
      <c r="D513" s="13" t="s">
        <v>64</v>
      </c>
      <c r="E513" s="13" t="str">
        <f>IFERROR(INDEX('Почасовка — ставки и план'!$B$5:$B$24,MATCH(D513,'Почасовка — ставки и план'!$A$5:$A$24,0)),"Аренда техники / механизмы")</f>
        <v>Сварщик / монтажник МК</v>
      </c>
      <c r="F513" s="14">
        <v>25000</v>
      </c>
      <c r="G513" s="14">
        <v>28000</v>
      </c>
      <c r="H513" s="15">
        <v>14500</v>
      </c>
      <c r="I513" s="15">
        <f>IF(OR(H513="",F513=""),"",MAX(H513,MIN(ROUND(H513*(1+Параметры!$B$5),IF(H513*(1+Параметры!$B$5)&gt;=1000,-1,0)),ROUND(F513*Параметры!$B$6,IF(F513*Параметры!$B$6&gt;=1000,-1,0)))))</f>
        <v>16680</v>
      </c>
      <c r="J513" s="15">
        <v>16000</v>
      </c>
      <c r="K513" s="15">
        <f>IF(OR(J513="",G513=""),"",MAX(J513,MIN(ROUND(J513*(1+Параметры!$B$5),IF(J513*(1+Параметры!$B$5)&gt;=1000,-1,0)),ROUND(G513*Параметры!$B$6,IF(G513*Параметры!$B$6&gt;=1000,-1,0)))))</f>
        <v>18400</v>
      </c>
      <c r="L513" s="16">
        <v>18</v>
      </c>
      <c r="M513" s="17">
        <f t="shared" si="42"/>
        <v>5.5555555555555552E-2</v>
      </c>
      <c r="N513" s="17">
        <f>IF(OR(L513="",L513=0),"",Параметры!$B$3/L513)</f>
        <v>0.44444444444444442</v>
      </c>
      <c r="O513" s="15">
        <f>IF(L513="","",IFERROR(INDEX('Почасовка — ставки и план'!$D$5:$D$24,MATCH($D513,'Почасовка — ставки и план'!$A$5:$A$24,0)),""))</f>
        <v>900</v>
      </c>
      <c r="P513" s="15">
        <f>IF(L513="","",IFERROR(INDEX('Почасовка — ставки и план'!$E$5:$E$24,MATCH($D513,'Почасовка — ставки и план'!$A$5:$A$24,0)),""))</f>
        <v>1080</v>
      </c>
      <c r="Q513" s="15">
        <f t="shared" si="43"/>
        <v>16200</v>
      </c>
      <c r="R513" s="13" t="str">
        <f>IF(D513="TEX","аренда техники — сделка/счёт",IF(OR(Q513="",H513="",H513=0),"—",IF(Q513&lt;H513*(1-Параметры!$B$7),"почасовка",IF(Q513&gt;H513*(1+Параметры!$B$7),"сделка","любой способ"))))</f>
        <v>сделка</v>
      </c>
      <c r="S513">
        <v>0</v>
      </c>
      <c r="T513">
        <v>0</v>
      </c>
    </row>
    <row r="514" spans="1:20" x14ac:dyDescent="0.25">
      <c r="A514" s="18" t="s">
        <v>1084</v>
      </c>
      <c r="B514" s="13" t="s">
        <v>1085</v>
      </c>
      <c r="C514" s="13" t="s">
        <v>144</v>
      </c>
      <c r="D514" s="13" t="s">
        <v>64</v>
      </c>
      <c r="E514" s="13" t="str">
        <f>IFERROR(INDEX('Почасовка — ставки и план'!$B$5:$B$24,MATCH(D514,'Почасовка — ставки и план'!$A$5:$A$24,0)),"Аренда техники / механизмы")</f>
        <v>Сварщик / монтажник МК</v>
      </c>
      <c r="F514" s="14">
        <v>450</v>
      </c>
      <c r="G514" s="14">
        <v>520</v>
      </c>
      <c r="H514" s="15">
        <v>260</v>
      </c>
      <c r="I514" s="15">
        <f>IF(OR(H514="",F514=""),"",MAX(H514,MIN(ROUND(H514*(1+Параметры!$B$5),IF(H514*(1+Параметры!$B$5)&gt;=1000,-1,0)),ROUND(F514*Параметры!$B$6,IF(F514*Параметры!$B$6&gt;=1000,-1,0)))))</f>
        <v>299</v>
      </c>
      <c r="J514" s="15">
        <v>300</v>
      </c>
      <c r="K514" s="15">
        <f>IF(OR(J514="",G514=""),"",MAX(J514,MIN(ROUND(J514*(1+Параметры!$B$5),IF(J514*(1+Параметры!$B$5)&gt;=1000,-1,0)),ROUND(G514*Параметры!$B$6,IF(G514*Параметры!$B$6&gt;=1000,-1,0)))))</f>
        <v>345</v>
      </c>
      <c r="L514" s="16">
        <v>0.3</v>
      </c>
      <c r="M514" s="17">
        <f t="shared" si="42"/>
        <v>3.3333333333333335</v>
      </c>
      <c r="N514" s="17">
        <f>IF(OR(L514="",L514=0),"",Параметры!$B$3/L514)</f>
        <v>26.666666666666668</v>
      </c>
      <c r="O514" s="15">
        <f>IF(L514="","",IFERROR(INDEX('Почасовка — ставки и план'!$D$5:$D$24,MATCH($D514,'Почасовка — ставки и план'!$A$5:$A$24,0)),""))</f>
        <v>900</v>
      </c>
      <c r="P514" s="15">
        <f>IF(L514="","",IFERROR(INDEX('Почасовка — ставки и план'!$E$5:$E$24,MATCH($D514,'Почасовка — ставки и план'!$A$5:$A$24,0)),""))</f>
        <v>1080</v>
      </c>
      <c r="Q514" s="15">
        <f t="shared" si="43"/>
        <v>270</v>
      </c>
      <c r="R514" s="13" t="str">
        <f>IF(D514="TEX","аренда техники — сделка/счёт",IF(OR(Q514="",H514="",H514=0),"—",IF(Q514&lt;H514*(1-Параметры!$B$7),"почасовка",IF(Q514&gt;H514*(1+Параметры!$B$7),"сделка","любой способ"))))</f>
        <v>любой способ</v>
      </c>
      <c r="S514">
        <v>0</v>
      </c>
      <c r="T514">
        <v>0</v>
      </c>
    </row>
    <row r="515" spans="1:20" x14ac:dyDescent="0.25">
      <c r="A515" s="18" t="s">
        <v>1086</v>
      </c>
      <c r="B515" s="13" t="s">
        <v>1087</v>
      </c>
      <c r="C515" s="13" t="s">
        <v>144</v>
      </c>
      <c r="D515" s="13" t="s">
        <v>64</v>
      </c>
      <c r="E515" s="13" t="str">
        <f>IFERROR(INDEX('Почасовка — ставки и план'!$B$5:$B$24,MATCH(D515,'Почасовка — ставки и план'!$A$5:$A$24,0)),"Аренда техники / механизмы")</f>
        <v>Сварщик / монтажник МК</v>
      </c>
      <c r="F515" s="14">
        <v>2800</v>
      </c>
      <c r="G515" s="14">
        <v>3200</v>
      </c>
      <c r="H515" s="15">
        <v>1600</v>
      </c>
      <c r="I515" s="15">
        <f>IF(OR(H515="",F515=""),"",MAX(H515,MIN(ROUND(H515*(1+Параметры!$B$5),IF(H515*(1+Параметры!$B$5)&gt;=1000,-1,0)),ROUND(F515*Параметры!$B$6,IF(F515*Параметры!$B$6&gt;=1000,-1,0)))))</f>
        <v>1840</v>
      </c>
      <c r="J515" s="15">
        <v>1850</v>
      </c>
      <c r="K515" s="15">
        <f>IF(OR(J515="",G515=""),"",MAX(J515,MIN(ROUND(J515*(1+Параметры!$B$5),IF(J515*(1+Параметры!$B$5)&gt;=1000,-1,0)),ROUND(G515*Параметры!$B$6,IF(G515*Параметры!$B$6&gt;=1000,-1,0)))))</f>
        <v>2130</v>
      </c>
      <c r="L515" s="16">
        <v>2</v>
      </c>
      <c r="M515" s="17">
        <f t="shared" si="42"/>
        <v>0.5</v>
      </c>
      <c r="N515" s="17">
        <f>IF(OR(L515="",L515=0),"",Параметры!$B$3/L515)</f>
        <v>4</v>
      </c>
      <c r="O515" s="15">
        <f>IF(L515="","",IFERROR(INDEX('Почасовка — ставки и план'!$D$5:$D$24,MATCH($D515,'Почасовка — ставки и план'!$A$5:$A$24,0)),""))</f>
        <v>900</v>
      </c>
      <c r="P515" s="15">
        <f>IF(L515="","",IFERROR(INDEX('Почасовка — ставки и план'!$E$5:$E$24,MATCH($D515,'Почасовка — ставки и план'!$A$5:$A$24,0)),""))</f>
        <v>1080</v>
      </c>
      <c r="Q515" s="15">
        <f t="shared" si="43"/>
        <v>1800</v>
      </c>
      <c r="R515" s="13" t="str">
        <f>IF(D515="TEX","аренда техники — сделка/счёт",IF(OR(Q515="",H515="",H515=0),"—",IF(Q515&lt;H515*(1-Параметры!$B$7),"почасовка",IF(Q515&gt;H515*(1+Параметры!$B$7),"сделка","любой способ"))))</f>
        <v>сделка</v>
      </c>
      <c r="S515">
        <v>0</v>
      </c>
      <c r="T515">
        <v>0</v>
      </c>
    </row>
    <row r="516" spans="1:20" x14ac:dyDescent="0.25">
      <c r="A516" s="18" t="s">
        <v>1088</v>
      </c>
      <c r="B516" s="13" t="s">
        <v>1089</v>
      </c>
      <c r="C516" s="13" t="s">
        <v>69</v>
      </c>
      <c r="D516" s="13" t="s">
        <v>64</v>
      </c>
      <c r="E516" s="13" t="str">
        <f>IFERROR(INDEX('Почасовка — ставки и план'!$B$5:$B$24,MATCH(D516,'Почасовка — ставки и план'!$A$5:$A$24,0)),"Аренда техники / механизмы")</f>
        <v>Сварщик / монтажник МК</v>
      </c>
      <c r="F516" s="14">
        <v>400</v>
      </c>
      <c r="G516" s="14">
        <v>460</v>
      </c>
      <c r="H516" s="15">
        <v>230</v>
      </c>
      <c r="I516" s="15">
        <f>IF(OR(H516="",F516=""),"",MAX(H516,MIN(ROUND(H516*(1+Параметры!$B$5),IF(H516*(1+Параметры!$B$5)&gt;=1000,-1,0)),ROUND(F516*Параметры!$B$6,IF(F516*Параметры!$B$6&gt;=1000,-1,0)))))</f>
        <v>265</v>
      </c>
      <c r="J516" s="15">
        <v>265</v>
      </c>
      <c r="K516" s="15">
        <f>IF(OR(J516="",G516=""),"",MAX(J516,MIN(ROUND(J516*(1+Параметры!$B$5),IF(J516*(1+Параметры!$B$5)&gt;=1000,-1,0)),ROUND(G516*Параметры!$B$6,IF(G516*Параметры!$B$6&gt;=1000,-1,0)))))</f>
        <v>305</v>
      </c>
      <c r="L516" s="16">
        <v>0.3</v>
      </c>
      <c r="M516" s="17">
        <f t="shared" si="42"/>
        <v>3.3333333333333335</v>
      </c>
      <c r="N516" s="17">
        <f>IF(OR(L516="",L516=0),"",Параметры!$B$3/L516)</f>
        <v>26.666666666666668</v>
      </c>
      <c r="O516" s="15">
        <f>IF(L516="","",IFERROR(INDEX('Почасовка — ставки и план'!$D$5:$D$24,MATCH($D516,'Почасовка — ставки и план'!$A$5:$A$24,0)),""))</f>
        <v>900</v>
      </c>
      <c r="P516" s="15">
        <f>IF(L516="","",IFERROR(INDEX('Почасовка — ставки и план'!$E$5:$E$24,MATCH($D516,'Почасовка — ставки и план'!$A$5:$A$24,0)),""))</f>
        <v>1080</v>
      </c>
      <c r="Q516" s="15">
        <f t="shared" si="43"/>
        <v>270</v>
      </c>
      <c r="R516" s="13" t="str">
        <f>IF(D516="TEX","аренда техники — сделка/счёт",IF(OR(Q516="",H516="",H516=0),"—",IF(Q516&lt;H516*(1-Параметры!$B$7),"почасовка",IF(Q516&gt;H516*(1+Параметры!$B$7),"сделка","любой способ"))))</f>
        <v>сделка</v>
      </c>
      <c r="S516">
        <v>0</v>
      </c>
      <c r="T516">
        <v>0</v>
      </c>
    </row>
    <row r="517" spans="1:20" x14ac:dyDescent="0.25">
      <c r="A517" s="11" t="s">
        <v>1090</v>
      </c>
      <c r="B517" s="12"/>
      <c r="C517" s="12"/>
      <c r="D517" s="12"/>
      <c r="E517" s="12"/>
      <c r="F517" s="12"/>
      <c r="G517" s="12"/>
      <c r="H517" s="12"/>
      <c r="I517" s="12"/>
      <c r="J517" s="12"/>
      <c r="K517" s="12"/>
      <c r="L517" s="12"/>
      <c r="M517" s="12"/>
      <c r="N517" s="12"/>
      <c r="O517" s="12"/>
      <c r="P517" s="12"/>
      <c r="Q517" s="12"/>
      <c r="R517" s="12"/>
    </row>
    <row r="518" spans="1:20" x14ac:dyDescent="0.25">
      <c r="A518" s="13" t="s">
        <v>1091</v>
      </c>
      <c r="B518" s="13" t="s">
        <v>1092</v>
      </c>
      <c r="C518" s="13" t="s">
        <v>72</v>
      </c>
      <c r="D518" s="13" t="s">
        <v>208</v>
      </c>
      <c r="E518" s="13" t="str">
        <f>IFERROR(INDEX('Почасовка — ставки и план'!$B$5:$B$24,MATCH(D518,'Почасовка — ставки и план'!$A$5:$A$24,0)),"Аренда техники / механизмы")</f>
        <v>Отделочник (штукатур, маляр, ГКЛ)</v>
      </c>
      <c r="F518" s="14">
        <v>251</v>
      </c>
      <c r="G518" s="14">
        <v>300</v>
      </c>
      <c r="H518" s="15">
        <v>140</v>
      </c>
      <c r="I518" s="15">
        <f>IF(OR(H518="",F518=""),"",MAX(H518,MIN(ROUND(H518*(1+Параметры!$B$5),IF(H518*(1+Параметры!$B$5)&gt;=1000,-1,0)),ROUND(F518*Параметры!$B$6,IF(F518*Параметры!$B$6&gt;=1000,-1,0)))))</f>
        <v>161</v>
      </c>
      <c r="J518" s="15">
        <v>160</v>
      </c>
      <c r="K518" s="15">
        <f>IF(OR(J518="",G518=""),"",MAX(J518,MIN(ROUND(J518*(1+Параметры!$B$5),IF(J518*(1+Параметры!$B$5)&gt;=1000,-1,0)),ROUND(G518*Параметры!$B$6,IF(G518*Параметры!$B$6&gt;=1000,-1,0)))))</f>
        <v>184</v>
      </c>
      <c r="L518" s="16">
        <v>0.25</v>
      </c>
      <c r="M518" s="17">
        <f t="shared" ref="M518:M526" si="44">IF(OR(L518="",L518=0),"",1/L518)</f>
        <v>4</v>
      </c>
      <c r="N518" s="17">
        <f>IF(OR(L518="",L518=0),"",Параметры!$B$3/L518)</f>
        <v>32</v>
      </c>
      <c r="O518" s="15">
        <f>IF(L518="","",IFERROR(INDEX('Почасовка — ставки и план'!$D$5:$D$24,MATCH($D518,'Почасовка — ставки и план'!$A$5:$A$24,0)),""))</f>
        <v>750</v>
      </c>
      <c r="P518" s="15">
        <f>IF(L518="","",IFERROR(INDEX('Почасовка — ставки и план'!$E$5:$E$24,MATCH($D518,'Почасовка — ставки и план'!$A$5:$A$24,0)),""))</f>
        <v>900</v>
      </c>
      <c r="Q518" s="15">
        <f t="shared" ref="Q518:Q526" si="45">IF(OR(L518="",O518=""),"",ROUND(L518*O518,0))</f>
        <v>188</v>
      </c>
      <c r="R518" s="13" t="str">
        <f>IF(D518="TEX","аренда техники — сделка/счёт",IF(OR(Q518="",H518="",H518=0),"—",IF(Q518&lt;H518*(1-Параметры!$B$7),"почасовка",IF(Q518&gt;H518*(1+Параметры!$B$7),"сделка","любой способ"))))</f>
        <v>сделка</v>
      </c>
      <c r="S518">
        <v>4.0000000000000044E-3</v>
      </c>
      <c r="T518">
        <v>3.4482758620689717E-2</v>
      </c>
    </row>
    <row r="519" spans="1:20" x14ac:dyDescent="0.25">
      <c r="A519" s="13" t="s">
        <v>1093</v>
      </c>
      <c r="B519" s="13" t="s">
        <v>1094</v>
      </c>
      <c r="C519" s="13" t="s">
        <v>72</v>
      </c>
      <c r="D519" s="13" t="s">
        <v>208</v>
      </c>
      <c r="E519" s="13" t="str">
        <f>IFERROR(INDEX('Почасовка — ставки и план'!$B$5:$B$24,MATCH(D519,'Почасовка — ставки и план'!$A$5:$A$24,0)),"Аренда техники / механизмы")</f>
        <v>Отделочник (штукатур, маляр, ГКЛ)</v>
      </c>
      <c r="F519" s="14">
        <v>35</v>
      </c>
      <c r="G519" s="14">
        <v>40</v>
      </c>
      <c r="H519" s="15">
        <v>20</v>
      </c>
      <c r="I519" s="15">
        <f>IF(OR(H519="",F519=""),"",MAX(H519,MIN(ROUND(H519*(1+Параметры!$B$5),IF(H519*(1+Параметры!$B$5)&gt;=1000,-1,0)),ROUND(F519*Параметры!$B$6,IF(F519*Параметры!$B$6&gt;=1000,-1,0)))))</f>
        <v>23</v>
      </c>
      <c r="J519" s="15">
        <v>23</v>
      </c>
      <c r="K519" s="15">
        <f>IF(OR(J519="",G519=""),"",MAX(J519,MIN(ROUND(J519*(1+Параметры!$B$5),IF(J519*(1+Параметры!$B$5)&gt;=1000,-1,0)),ROUND(G519*Параметры!$B$6,IF(G519*Параметры!$B$6&gt;=1000,-1,0)))))</f>
        <v>26</v>
      </c>
      <c r="L519" s="16">
        <v>0.03</v>
      </c>
      <c r="M519" s="17">
        <f t="shared" si="44"/>
        <v>33.333333333333336</v>
      </c>
      <c r="N519" s="17">
        <f>IF(OR(L519="",L519=0),"",Параметры!$B$3/L519)</f>
        <v>266.66666666666669</v>
      </c>
      <c r="O519" s="15">
        <f>IF(L519="","",IFERROR(INDEX('Почасовка — ставки и план'!$D$5:$D$24,MATCH($D519,'Почасовка — ставки и план'!$A$5:$A$24,0)),""))</f>
        <v>750</v>
      </c>
      <c r="P519" s="15">
        <f>IF(L519="","",IFERROR(INDEX('Почасовка — ставки и план'!$E$5:$E$24,MATCH($D519,'Почасовка — ставки и план'!$A$5:$A$24,0)),""))</f>
        <v>900</v>
      </c>
      <c r="Q519" s="15">
        <f t="shared" si="45"/>
        <v>23</v>
      </c>
      <c r="R519" s="13" t="str">
        <f>IF(D519="TEX","аренда техники — сделка/счёт",IF(OR(Q519="",H519="",H519=0),"—",IF(Q519&lt;H519*(1-Параметры!$B$7),"почасовка",IF(Q519&gt;H519*(1+Параметры!$B$7),"сделка","любой способ"))))</f>
        <v>сделка</v>
      </c>
      <c r="S519">
        <v>0</v>
      </c>
      <c r="T519">
        <v>0</v>
      </c>
    </row>
    <row r="520" spans="1:20" x14ac:dyDescent="0.25">
      <c r="A520" s="13" t="s">
        <v>1095</v>
      </c>
      <c r="B520" s="13" t="s">
        <v>1096</v>
      </c>
      <c r="C520" s="13" t="s">
        <v>72</v>
      </c>
      <c r="D520" s="13" t="s">
        <v>208</v>
      </c>
      <c r="E520" s="13" t="str">
        <f>IFERROR(INDEX('Почасовка — ставки и план'!$B$5:$B$24,MATCH(D520,'Почасовка — ставки и план'!$A$5:$A$24,0)),"Аренда техники / механизмы")</f>
        <v>Отделочник (штукатур, маляр, ГКЛ)</v>
      </c>
      <c r="F520" s="14">
        <v>60</v>
      </c>
      <c r="G520" s="14">
        <v>70</v>
      </c>
      <c r="H520" s="15">
        <v>35</v>
      </c>
      <c r="I520" s="15">
        <f>IF(OR(H520="",F520=""),"",MAX(H520,MIN(ROUND(H520*(1+Параметры!$B$5),IF(H520*(1+Параметры!$B$5)&gt;=1000,-1,0)),ROUND(F520*Параметры!$B$6,IF(F520*Параметры!$B$6&gt;=1000,-1,0)))))</f>
        <v>40</v>
      </c>
      <c r="J520" s="15">
        <v>40</v>
      </c>
      <c r="K520" s="15">
        <f>IF(OR(J520="",G520=""),"",MAX(J520,MIN(ROUND(J520*(1+Параметры!$B$5),IF(J520*(1+Параметры!$B$5)&gt;=1000,-1,0)),ROUND(G520*Параметры!$B$6,IF(G520*Параметры!$B$6&gt;=1000,-1,0)))))</f>
        <v>46</v>
      </c>
      <c r="L520" s="16">
        <v>0.05</v>
      </c>
      <c r="M520" s="17">
        <f t="shared" si="44"/>
        <v>20</v>
      </c>
      <c r="N520" s="17">
        <f>IF(OR(L520="",L520=0),"",Параметры!$B$3/L520)</f>
        <v>160</v>
      </c>
      <c r="O520" s="15">
        <f>IF(L520="","",IFERROR(INDEX('Почасовка — ставки и план'!$D$5:$D$24,MATCH($D520,'Почасовка — ставки и план'!$A$5:$A$24,0)),""))</f>
        <v>750</v>
      </c>
      <c r="P520" s="15">
        <f>IF(L520="","",IFERROR(INDEX('Почасовка — ставки и план'!$E$5:$E$24,MATCH($D520,'Почасовка — ставки и план'!$A$5:$A$24,0)),""))</f>
        <v>900</v>
      </c>
      <c r="Q520" s="15">
        <f t="shared" si="45"/>
        <v>38</v>
      </c>
      <c r="R520" s="13" t="str">
        <f>IF(D520="TEX","аренда техники — сделка/счёт",IF(OR(Q520="",H520="",H520=0),"—",IF(Q520&lt;H520*(1-Параметры!$B$7),"почасовка",IF(Q520&gt;H520*(1+Параметры!$B$7),"сделка","любой способ"))))</f>
        <v>любой способ</v>
      </c>
      <c r="S520">
        <v>0</v>
      </c>
      <c r="T520">
        <v>0</v>
      </c>
    </row>
    <row r="521" spans="1:20" x14ac:dyDescent="0.25">
      <c r="A521" s="13" t="s">
        <v>1097</v>
      </c>
      <c r="B521" s="13" t="s">
        <v>1098</v>
      </c>
      <c r="C521" s="13" t="s">
        <v>72</v>
      </c>
      <c r="D521" s="13" t="s">
        <v>208</v>
      </c>
      <c r="E521" s="13" t="str">
        <f>IFERROR(INDEX('Почасовка — ставки и план'!$B$5:$B$24,MATCH(D521,'Почасовка — ставки и план'!$A$5:$A$24,0)),"Аренда техники / механизмы")</f>
        <v>Отделочник (штукатур, маляр, ГКЛ)</v>
      </c>
      <c r="F521" s="14">
        <v>90</v>
      </c>
      <c r="G521" s="14">
        <v>105</v>
      </c>
      <c r="H521" s="15">
        <v>50</v>
      </c>
      <c r="I521" s="15">
        <f>IF(OR(H521="",F521=""),"",MAX(H521,MIN(ROUND(H521*(1+Параметры!$B$5),IF(H521*(1+Параметры!$B$5)&gt;=1000,-1,0)),ROUND(F521*Параметры!$B$6,IF(F521*Параметры!$B$6&gt;=1000,-1,0)))))</f>
        <v>58</v>
      </c>
      <c r="J521" s="15">
        <v>58</v>
      </c>
      <c r="K521" s="15">
        <f>IF(OR(J521="",G521=""),"",MAX(J521,MIN(ROUND(J521*(1+Параметры!$B$5),IF(J521*(1+Параметры!$B$5)&gt;=1000,-1,0)),ROUND(G521*Параметры!$B$6,IF(G521*Параметры!$B$6&gt;=1000,-1,0)))))</f>
        <v>67</v>
      </c>
      <c r="L521" s="16">
        <v>0.06</v>
      </c>
      <c r="M521" s="17">
        <f t="shared" si="44"/>
        <v>16.666666666666668</v>
      </c>
      <c r="N521" s="17">
        <f>IF(OR(L521="",L521=0),"",Параметры!$B$3/L521)</f>
        <v>133.33333333333334</v>
      </c>
      <c r="O521" s="15">
        <f>IF(L521="","",IFERROR(INDEX('Почасовка — ставки и план'!$D$5:$D$24,MATCH($D521,'Почасовка — ставки и план'!$A$5:$A$24,0)),""))</f>
        <v>750</v>
      </c>
      <c r="P521" s="15">
        <f>IF(L521="","",IFERROR(INDEX('Почасовка — ставки и план'!$E$5:$E$24,MATCH($D521,'Почасовка — ставки и план'!$A$5:$A$24,0)),""))</f>
        <v>900</v>
      </c>
      <c r="Q521" s="15">
        <f t="shared" si="45"/>
        <v>45</v>
      </c>
      <c r="R521" s="13" t="str">
        <f>IF(D521="TEX","аренда техники — сделка/счёт",IF(OR(Q521="",H521="",H521=0),"—",IF(Q521&lt;H521*(1-Параметры!$B$7),"почасовка",IF(Q521&gt;H521*(1+Параметры!$B$7),"сделка","любой способ"))))</f>
        <v>любой способ</v>
      </c>
      <c r="S521">
        <v>0</v>
      </c>
      <c r="T521">
        <v>0</v>
      </c>
    </row>
    <row r="522" spans="1:20" x14ac:dyDescent="0.25">
      <c r="A522" s="13" t="s">
        <v>1099</v>
      </c>
      <c r="B522" s="13" t="s">
        <v>1100</v>
      </c>
      <c r="C522" s="13" t="s">
        <v>72</v>
      </c>
      <c r="D522" s="13" t="s">
        <v>208</v>
      </c>
      <c r="E522" s="13" t="str">
        <f>IFERROR(INDEX('Почасовка — ставки и план'!$B$5:$B$24,MATCH(D522,'Почасовка — ставки и план'!$A$5:$A$24,0)),"Аренда техники / механизмы")</f>
        <v>Отделочник (штукатур, маляр, ГКЛ)</v>
      </c>
      <c r="F522" s="14">
        <v>100</v>
      </c>
      <c r="G522" s="14">
        <v>115</v>
      </c>
      <c r="H522" s="15">
        <v>60</v>
      </c>
      <c r="I522" s="15">
        <f>IF(OR(H522="",F522=""),"",MAX(H522,MIN(ROUND(H522*(1+Параметры!$B$5),IF(H522*(1+Параметры!$B$5)&gt;=1000,-1,0)),ROUND(F522*Параметры!$B$6,IF(F522*Параметры!$B$6&gt;=1000,-1,0)))))</f>
        <v>69</v>
      </c>
      <c r="J522" s="15">
        <v>70</v>
      </c>
      <c r="K522" s="15">
        <f>IF(OR(J522="",G522=""),"",MAX(J522,MIN(ROUND(J522*(1+Параметры!$B$5),IF(J522*(1+Параметры!$B$5)&gt;=1000,-1,0)),ROUND(G522*Параметры!$B$6,IF(G522*Параметры!$B$6&gt;=1000,-1,0)))))</f>
        <v>81</v>
      </c>
      <c r="L522" s="16">
        <v>7.0000000000000007E-2</v>
      </c>
      <c r="M522" s="17">
        <f t="shared" si="44"/>
        <v>14.285714285714285</v>
      </c>
      <c r="N522" s="17">
        <f>IF(OR(L522="",L522=0),"",Параметры!$B$3/L522)</f>
        <v>114.28571428571428</v>
      </c>
      <c r="O522" s="15">
        <f>IF(L522="","",IFERROR(INDEX('Почасовка — ставки и план'!$D$5:$D$24,MATCH($D522,'Почасовка — ставки и план'!$A$5:$A$24,0)),""))</f>
        <v>750</v>
      </c>
      <c r="P522" s="15">
        <f>IF(L522="","",IFERROR(INDEX('Почасовка — ставки и план'!$E$5:$E$24,MATCH($D522,'Почасовка — ставки и план'!$A$5:$A$24,0)),""))</f>
        <v>900</v>
      </c>
      <c r="Q522" s="15">
        <f t="shared" si="45"/>
        <v>53</v>
      </c>
      <c r="R522" s="13" t="str">
        <f>IF(D522="TEX","аренда техники — сделка/счёт",IF(OR(Q522="",H522="",H522=0),"—",IF(Q522&lt;H522*(1-Параметры!$B$7),"почасовка",IF(Q522&gt;H522*(1+Параметры!$B$7),"сделка","любой способ"))))</f>
        <v>почасовка</v>
      </c>
      <c r="S522">
        <v>0</v>
      </c>
      <c r="T522">
        <v>0</v>
      </c>
    </row>
    <row r="523" spans="1:20" x14ac:dyDescent="0.25">
      <c r="A523" s="13" t="s">
        <v>1101</v>
      </c>
      <c r="B523" s="13" t="s">
        <v>1102</v>
      </c>
      <c r="C523" s="13" t="s">
        <v>72</v>
      </c>
      <c r="D523" s="13" t="s">
        <v>208</v>
      </c>
      <c r="E523" s="13" t="str">
        <f>IFERROR(INDEX('Почасовка — ставки и план'!$B$5:$B$24,MATCH(D523,'Почасовка — ставки и план'!$A$5:$A$24,0)),"Аренда техники / механизмы")</f>
        <v>Отделочник (штукатур, маляр, ГКЛ)</v>
      </c>
      <c r="F523" s="14">
        <v>550</v>
      </c>
      <c r="G523" s="14">
        <v>650</v>
      </c>
      <c r="H523" s="15">
        <v>320</v>
      </c>
      <c r="I523" s="15">
        <f>IF(OR(H523="",F523=""),"",MAX(H523,MIN(ROUND(H523*(1+Параметры!$B$5),IF(H523*(1+Параметры!$B$5)&gt;=1000,-1,0)),ROUND(F523*Параметры!$B$6,IF(F523*Параметры!$B$6&gt;=1000,-1,0)))))</f>
        <v>368</v>
      </c>
      <c r="J523" s="15">
        <v>380</v>
      </c>
      <c r="K523" s="15">
        <f>IF(OR(J523="",G523=""),"",MAX(J523,MIN(ROUND(J523*(1+Параметры!$B$5),IF(J523*(1+Параметры!$B$5)&gt;=1000,-1,0)),ROUND(G523*Параметры!$B$6,IF(G523*Параметры!$B$6&gt;=1000,-1,0)))))</f>
        <v>437</v>
      </c>
      <c r="L523" s="16">
        <v>0.3</v>
      </c>
      <c r="M523" s="17">
        <f t="shared" si="44"/>
        <v>3.3333333333333335</v>
      </c>
      <c r="N523" s="17">
        <f>IF(OR(L523="",L523=0),"",Параметры!$B$3/L523)</f>
        <v>26.666666666666668</v>
      </c>
      <c r="O523" s="15">
        <f>IF(L523="","",IFERROR(INDEX('Почасовка — ставки и план'!$D$5:$D$24,MATCH($D523,'Почасовка — ставки и план'!$A$5:$A$24,0)),""))</f>
        <v>750</v>
      </c>
      <c r="P523" s="15">
        <f>IF(L523="","",IFERROR(INDEX('Почасовка — ставки и план'!$E$5:$E$24,MATCH($D523,'Почасовка — ставки и план'!$A$5:$A$24,0)),""))</f>
        <v>900</v>
      </c>
      <c r="Q523" s="15">
        <f t="shared" si="45"/>
        <v>225</v>
      </c>
      <c r="R523" s="13" t="str">
        <f>IF(D523="TEX","аренда техники — сделка/счёт",IF(OR(Q523="",H523="",H523=0),"—",IF(Q523&lt;H523*(1-Параметры!$B$7),"почасовка",IF(Q523&gt;H523*(1+Параметры!$B$7),"сделка","любой способ"))))</f>
        <v>почасовка</v>
      </c>
      <c r="S523">
        <v>0</v>
      </c>
      <c r="T523">
        <v>0</v>
      </c>
    </row>
    <row r="524" spans="1:20" x14ac:dyDescent="0.25">
      <c r="A524" s="13" t="s">
        <v>1103</v>
      </c>
      <c r="B524" s="13" t="s">
        <v>1104</v>
      </c>
      <c r="C524" s="13" t="s">
        <v>72</v>
      </c>
      <c r="D524" s="13" t="s">
        <v>208</v>
      </c>
      <c r="E524" s="13" t="str">
        <f>IFERROR(INDEX('Почасовка — ставки и план'!$B$5:$B$24,MATCH(D524,'Почасовка — ставки и план'!$A$5:$A$24,0)),"Аренда техники / механизмы")</f>
        <v>Отделочник (штукатур, маляр, ГКЛ)</v>
      </c>
      <c r="F524" s="14">
        <v>330</v>
      </c>
      <c r="G524" s="14">
        <v>400</v>
      </c>
      <c r="H524" s="15">
        <v>190</v>
      </c>
      <c r="I524" s="15">
        <f>IF(OR(H524="",F524=""),"",MAX(H524,MIN(ROUND(H524*(1+Параметры!$B$5),IF(H524*(1+Параметры!$B$5)&gt;=1000,-1,0)),ROUND(F524*Параметры!$B$6,IF(F524*Параметры!$B$6&gt;=1000,-1,0)))))</f>
        <v>219</v>
      </c>
      <c r="J524" s="15">
        <v>230</v>
      </c>
      <c r="K524" s="15">
        <f>IF(OR(J524="",G524=""),"",MAX(J524,MIN(ROUND(J524*(1+Параметры!$B$5),IF(J524*(1+Параметры!$B$5)&gt;=1000,-1,0)),ROUND(G524*Параметры!$B$6,IF(G524*Параметры!$B$6&gt;=1000,-1,0)))))</f>
        <v>265</v>
      </c>
      <c r="L524" s="16">
        <v>0.15</v>
      </c>
      <c r="M524" s="17">
        <f t="shared" si="44"/>
        <v>6.666666666666667</v>
      </c>
      <c r="N524" s="17">
        <f>IF(OR(L524="",L524=0),"",Параметры!$B$3/L524)</f>
        <v>53.333333333333336</v>
      </c>
      <c r="O524" s="15">
        <f>IF(L524="","",IFERROR(INDEX('Почасовка — ставки и план'!$D$5:$D$24,MATCH($D524,'Почасовка — ставки и план'!$A$5:$A$24,0)),""))</f>
        <v>750</v>
      </c>
      <c r="P524" s="15">
        <f>IF(L524="","",IFERROR(INDEX('Почасовка — ставки и план'!$E$5:$E$24,MATCH($D524,'Почасовка — ставки и план'!$A$5:$A$24,0)),""))</f>
        <v>900</v>
      </c>
      <c r="Q524" s="15">
        <f t="shared" si="45"/>
        <v>113</v>
      </c>
      <c r="R524" s="13" t="str">
        <f>IF(D524="TEX","аренда техники — сделка/счёт",IF(OR(Q524="",H524="",H524=0),"—",IF(Q524&lt;H524*(1-Параметры!$B$7),"почасовка",IF(Q524&gt;H524*(1+Параметры!$B$7),"сделка","любой способ"))))</f>
        <v>почасовка</v>
      </c>
      <c r="S524">
        <v>0</v>
      </c>
      <c r="T524">
        <v>0</v>
      </c>
    </row>
    <row r="525" spans="1:20" x14ac:dyDescent="0.25">
      <c r="A525" s="18" t="s">
        <v>1105</v>
      </c>
      <c r="B525" s="13" t="s">
        <v>1106</v>
      </c>
      <c r="C525" s="13" t="s">
        <v>72</v>
      </c>
      <c r="D525" s="13" t="s">
        <v>208</v>
      </c>
      <c r="E525" s="13" t="str">
        <f>IFERROR(INDEX('Почасовка — ставки и план'!$B$5:$B$24,MATCH(D525,'Почасовка — ставки и план'!$A$5:$A$24,0)),"Аренда техники / механизмы")</f>
        <v>Отделочник (штукатур, маляр, ГКЛ)</v>
      </c>
      <c r="F525" s="14">
        <v>1100</v>
      </c>
      <c r="G525" s="14">
        <v>1300</v>
      </c>
      <c r="H525" s="15">
        <v>640</v>
      </c>
      <c r="I525" s="15">
        <f>IF(OR(H525="",F525=""),"",MAX(H525,MIN(ROUND(H525*(1+Параметры!$B$5),IF(H525*(1+Параметры!$B$5)&gt;=1000,-1,0)),ROUND(F525*Параметры!$B$6,IF(F525*Параметры!$B$6&gt;=1000,-1,0)))))</f>
        <v>736</v>
      </c>
      <c r="J525" s="15">
        <v>750</v>
      </c>
      <c r="K525" s="15">
        <f>IF(OR(J525="",G525=""),"",MAX(J525,MIN(ROUND(J525*(1+Параметры!$B$5),IF(J525*(1+Параметры!$B$5)&gt;=1000,-1,0)),ROUND(G525*Параметры!$B$6,IF(G525*Параметры!$B$6&gt;=1000,-1,0)))))</f>
        <v>863</v>
      </c>
      <c r="L525" s="16">
        <v>0.5</v>
      </c>
      <c r="M525" s="17">
        <f t="shared" si="44"/>
        <v>2</v>
      </c>
      <c r="N525" s="17">
        <f>IF(OR(L525="",L525=0),"",Параметры!$B$3/L525)</f>
        <v>16</v>
      </c>
      <c r="O525" s="15">
        <f>IF(L525="","",IFERROR(INDEX('Почасовка — ставки и план'!$D$5:$D$24,MATCH($D525,'Почасовка — ставки и план'!$A$5:$A$24,0)),""))</f>
        <v>750</v>
      </c>
      <c r="P525" s="15">
        <f>IF(L525="","",IFERROR(INDEX('Почасовка — ставки и план'!$E$5:$E$24,MATCH($D525,'Почасовка — ставки и план'!$A$5:$A$24,0)),""))</f>
        <v>900</v>
      </c>
      <c r="Q525" s="15">
        <f t="shared" si="45"/>
        <v>375</v>
      </c>
      <c r="R525" s="13" t="str">
        <f>IF(D525="TEX","аренда техники — сделка/счёт",IF(OR(Q525="",H525="",H525=0),"—",IF(Q525&lt;H525*(1-Параметры!$B$7),"почасовка",IF(Q525&gt;H525*(1+Параметры!$B$7),"сделка","любой способ"))))</f>
        <v>почасовка</v>
      </c>
      <c r="S525">
        <v>0</v>
      </c>
      <c r="T525">
        <v>0</v>
      </c>
    </row>
    <row r="526" spans="1:20" x14ac:dyDescent="0.25">
      <c r="A526" s="18" t="s">
        <v>1107</v>
      </c>
      <c r="B526" s="13" t="s">
        <v>1108</v>
      </c>
      <c r="C526" s="13" t="s">
        <v>72</v>
      </c>
      <c r="D526" s="13" t="s">
        <v>208</v>
      </c>
      <c r="E526" s="13" t="str">
        <f>IFERROR(INDEX('Почасовка — ставки и план'!$B$5:$B$24,MATCH(D526,'Почасовка — ставки и план'!$A$5:$A$24,0)),"Аренда техники / механизмы")</f>
        <v>Отделочник (штукатур, маляр, ГКЛ)</v>
      </c>
      <c r="F526" s="14">
        <v>550</v>
      </c>
      <c r="G526" s="14">
        <v>650</v>
      </c>
      <c r="H526" s="15">
        <v>320</v>
      </c>
      <c r="I526" s="15">
        <f>IF(OR(H526="",F526=""),"",MAX(H526,MIN(ROUND(H526*(1+Параметры!$B$5),IF(H526*(1+Параметры!$B$5)&gt;=1000,-1,0)),ROUND(F526*Параметры!$B$6,IF(F526*Параметры!$B$6&gt;=1000,-1,0)))))</f>
        <v>368</v>
      </c>
      <c r="J526" s="15">
        <v>380</v>
      </c>
      <c r="K526" s="15">
        <f>IF(OR(J526="",G526=""),"",MAX(J526,MIN(ROUND(J526*(1+Параметры!$B$5),IF(J526*(1+Параметры!$B$5)&gt;=1000,-1,0)),ROUND(G526*Параметры!$B$6,IF(G526*Параметры!$B$6&gt;=1000,-1,0)))))</f>
        <v>437</v>
      </c>
      <c r="L526" s="16">
        <v>0.35</v>
      </c>
      <c r="M526" s="17">
        <f t="shared" si="44"/>
        <v>2.8571428571428572</v>
      </c>
      <c r="N526" s="17">
        <f>IF(OR(L526="",L526=0),"",Параметры!$B$3/L526)</f>
        <v>22.857142857142858</v>
      </c>
      <c r="O526" s="15">
        <f>IF(L526="","",IFERROR(INDEX('Почасовка — ставки и план'!$D$5:$D$24,MATCH($D526,'Почасовка — ставки и план'!$A$5:$A$24,0)),""))</f>
        <v>750</v>
      </c>
      <c r="P526" s="15">
        <f>IF(L526="","",IFERROR(INDEX('Почасовка — ставки и план'!$E$5:$E$24,MATCH($D526,'Почасовка — ставки и план'!$A$5:$A$24,0)),""))</f>
        <v>900</v>
      </c>
      <c r="Q526" s="15">
        <f t="shared" si="45"/>
        <v>263</v>
      </c>
      <c r="R526" s="13" t="str">
        <f>IF(D526="TEX","аренда техники — сделка/счёт",IF(OR(Q526="",H526="",H526=0),"—",IF(Q526&lt;H526*(1-Параметры!$B$7),"почасовка",IF(Q526&gt;H526*(1+Параметры!$B$7),"сделка","любой способ"))))</f>
        <v>почасовка</v>
      </c>
      <c r="S526">
        <v>0</v>
      </c>
      <c r="T526">
        <v>0</v>
      </c>
    </row>
    <row r="527" spans="1:20" x14ac:dyDescent="0.25">
      <c r="A527" s="11" t="s">
        <v>1109</v>
      </c>
      <c r="B527" s="12"/>
      <c r="C527" s="12"/>
      <c r="D527" s="12"/>
      <c r="E527" s="12"/>
      <c r="F527" s="12"/>
      <c r="G527" s="12"/>
      <c r="H527" s="12"/>
      <c r="I527" s="12"/>
      <c r="J527" s="12"/>
      <c r="K527" s="12"/>
      <c r="L527" s="12"/>
      <c r="M527" s="12"/>
      <c r="N527" s="12"/>
      <c r="O527" s="12"/>
      <c r="P527" s="12"/>
      <c r="Q527" s="12"/>
      <c r="R527" s="12"/>
    </row>
    <row r="528" spans="1:20" x14ac:dyDescent="0.25">
      <c r="A528" s="13" t="s">
        <v>1110</v>
      </c>
      <c r="B528" s="13" t="s">
        <v>1111</v>
      </c>
      <c r="C528" s="13" t="s">
        <v>55</v>
      </c>
      <c r="D528" s="13" t="s">
        <v>162</v>
      </c>
      <c r="E528" s="13" t="str">
        <f>IFERROR(INDEX('Почасовка — ставки и план'!$B$5:$B$24,MATCH(D528,'Почасовка — ставки и план'!$A$5:$A$24,0)),"Аренда техники / механизмы")</f>
        <v>Бетонщик / арматурщик</v>
      </c>
      <c r="F528" s="14">
        <v>9000</v>
      </c>
      <c r="G528" s="14">
        <v>11000</v>
      </c>
      <c r="H528" s="15">
        <v>5200</v>
      </c>
      <c r="I528" s="15">
        <f>IF(OR(H528="",F528=""),"",MAX(H528,MIN(ROUND(H528*(1+Параметры!$B$5),IF(H528*(1+Параметры!$B$5)&gt;=1000,-1,0)),ROUND(F528*Параметры!$B$6,IF(F528*Параметры!$B$6&gt;=1000,-1,0)))))</f>
        <v>5980</v>
      </c>
      <c r="J528" s="15">
        <v>6300</v>
      </c>
      <c r="K528" s="15">
        <f>IF(OR(J528="",G528=""),"",MAX(J528,MIN(ROUND(J528*(1+Параметры!$B$5),IF(J528*(1+Параметры!$B$5)&gt;=1000,-1,0)),ROUND(G528*Параметры!$B$6,IF(G528*Параметры!$B$6&gt;=1000,-1,0)))))</f>
        <v>7250</v>
      </c>
      <c r="L528" s="16">
        <v>4</v>
      </c>
      <c r="M528" s="17">
        <f t="shared" ref="M528:M533" si="46">IF(OR(L528="",L528=0),"",1/L528)</f>
        <v>0.25</v>
      </c>
      <c r="N528" s="17">
        <f>IF(OR(L528="",L528=0),"",Параметры!$B$3/L528)</f>
        <v>2</v>
      </c>
      <c r="O528" s="15">
        <f>IF(L528="","",IFERROR(INDEX('Почасовка — ставки и план'!$D$5:$D$24,MATCH($D528,'Почасовка — ставки и план'!$A$5:$A$24,0)),""))</f>
        <v>800</v>
      </c>
      <c r="P528" s="15">
        <f>IF(L528="","",IFERROR(INDEX('Почасовка — ставки и план'!$E$5:$E$24,MATCH($D528,'Почасовка — ставки и план'!$A$5:$A$24,0)),""))</f>
        <v>950</v>
      </c>
      <c r="Q528" s="15">
        <f t="shared" ref="Q528:Q533" si="47">IF(OR(L528="",O528=""),"",ROUND(L528*O528,0))</f>
        <v>3200</v>
      </c>
      <c r="R528" s="13" t="str">
        <f>IF(D528="TEX","аренда техники — сделка/счёт",IF(OR(Q528="",H528="",H528=0),"—",IF(Q528&lt;H528*(1-Параметры!$B$7),"почасовка",IF(Q528&gt;H528*(1+Параметры!$B$7),"сделка","любой способ"))))</f>
        <v>почасовка</v>
      </c>
      <c r="S528">
        <v>0</v>
      </c>
      <c r="T528">
        <v>0</v>
      </c>
    </row>
    <row r="529" spans="1:20" x14ac:dyDescent="0.25">
      <c r="A529" s="13" t="s">
        <v>1112</v>
      </c>
      <c r="B529" s="13" t="s">
        <v>1113</v>
      </c>
      <c r="C529" s="13" t="s">
        <v>55</v>
      </c>
      <c r="D529" s="13" t="s">
        <v>162</v>
      </c>
      <c r="E529" s="13" t="str">
        <f>IFERROR(INDEX('Почасовка — ставки и план'!$B$5:$B$24,MATCH(D529,'Почасовка — ставки и план'!$A$5:$A$24,0)),"Аренда техники / механизмы")</f>
        <v>Бетонщик / арматурщик</v>
      </c>
      <c r="F529" s="14">
        <v>11000</v>
      </c>
      <c r="G529" s="14">
        <v>13000</v>
      </c>
      <c r="H529" s="15">
        <v>6400</v>
      </c>
      <c r="I529" s="15">
        <f>IF(OR(H529="",F529=""),"",MAX(H529,MIN(ROUND(H529*(1+Параметры!$B$5),IF(H529*(1+Параметры!$B$5)&gt;=1000,-1,0)),ROUND(F529*Параметры!$B$6,IF(F529*Параметры!$B$6&gt;=1000,-1,0)))))</f>
        <v>7360</v>
      </c>
      <c r="J529" s="15">
        <v>7500</v>
      </c>
      <c r="K529" s="15">
        <f>IF(OR(J529="",G529=""),"",MAX(J529,MIN(ROUND(J529*(1+Параметры!$B$5),IF(J529*(1+Параметры!$B$5)&gt;=1000,-1,0)),ROUND(G529*Параметры!$B$6,IF(G529*Параметры!$B$6&gt;=1000,-1,0)))))</f>
        <v>8630</v>
      </c>
      <c r="L529" s="16">
        <v>6</v>
      </c>
      <c r="M529" s="17">
        <f t="shared" si="46"/>
        <v>0.16666666666666666</v>
      </c>
      <c r="N529" s="17">
        <f>IF(OR(L529="",L529=0),"",Параметры!$B$3/L529)</f>
        <v>1.3333333333333333</v>
      </c>
      <c r="O529" s="15">
        <f>IF(L529="","",IFERROR(INDEX('Почасовка — ставки и план'!$D$5:$D$24,MATCH($D529,'Почасовка — ставки и план'!$A$5:$A$24,0)),""))</f>
        <v>800</v>
      </c>
      <c r="P529" s="15">
        <f>IF(L529="","",IFERROR(INDEX('Почасовка — ставки и план'!$E$5:$E$24,MATCH($D529,'Почасовка — ставки и план'!$A$5:$A$24,0)),""))</f>
        <v>950</v>
      </c>
      <c r="Q529" s="15">
        <f t="shared" si="47"/>
        <v>4800</v>
      </c>
      <c r="R529" s="13" t="str">
        <f>IF(D529="TEX","аренда техники — сделка/счёт",IF(OR(Q529="",H529="",H529=0),"—",IF(Q529&lt;H529*(1-Параметры!$B$7),"почасовка",IF(Q529&gt;H529*(1+Параметры!$B$7),"сделка","любой способ"))))</f>
        <v>почасовка</v>
      </c>
      <c r="S529">
        <v>0</v>
      </c>
      <c r="T529">
        <v>0</v>
      </c>
    </row>
    <row r="530" spans="1:20" x14ac:dyDescent="0.25">
      <c r="A530" s="13" t="s">
        <v>1114</v>
      </c>
      <c r="B530" s="13" t="s">
        <v>1115</v>
      </c>
      <c r="C530" s="13" t="s">
        <v>55</v>
      </c>
      <c r="D530" s="13" t="s">
        <v>162</v>
      </c>
      <c r="E530" s="13" t="str">
        <f>IFERROR(INDEX('Почасовка — ставки и план'!$B$5:$B$24,MATCH(D530,'Почасовка — ставки и план'!$A$5:$A$24,0)),"Аренда техники / механизмы")</f>
        <v>Бетонщик / арматурщик</v>
      </c>
      <c r="F530" s="14">
        <v>8500</v>
      </c>
      <c r="G530" s="14">
        <v>10000</v>
      </c>
      <c r="H530" s="15">
        <v>4900</v>
      </c>
      <c r="I530" s="15">
        <f>IF(OR(H530="",F530=""),"",MAX(H530,MIN(ROUND(H530*(1+Параметры!$B$5),IF(H530*(1+Параметры!$B$5)&gt;=1000,-1,0)),ROUND(F530*Параметры!$B$6,IF(F530*Параметры!$B$6&gt;=1000,-1,0)))))</f>
        <v>5640</v>
      </c>
      <c r="J530" s="15">
        <v>5800</v>
      </c>
      <c r="K530" s="15">
        <f>IF(OR(J530="",G530=""),"",MAX(J530,MIN(ROUND(J530*(1+Параметры!$B$5),IF(J530*(1+Параметры!$B$5)&gt;=1000,-1,0)),ROUND(G530*Параметры!$B$6,IF(G530*Параметры!$B$6&gt;=1000,-1,0)))))</f>
        <v>6670</v>
      </c>
      <c r="L530" s="16">
        <v>4.5</v>
      </c>
      <c r="M530" s="17">
        <f t="shared" si="46"/>
        <v>0.22222222222222221</v>
      </c>
      <c r="N530" s="17">
        <f>IF(OR(L530="",L530=0),"",Параметры!$B$3/L530)</f>
        <v>1.7777777777777777</v>
      </c>
      <c r="O530" s="15">
        <f>IF(L530="","",IFERROR(INDEX('Почасовка — ставки и план'!$D$5:$D$24,MATCH($D530,'Почасовка — ставки и план'!$A$5:$A$24,0)),""))</f>
        <v>800</v>
      </c>
      <c r="P530" s="15">
        <f>IF(L530="","",IFERROR(INDEX('Почасовка — ставки и план'!$E$5:$E$24,MATCH($D530,'Почасовка — ставки и план'!$A$5:$A$24,0)),""))</f>
        <v>950</v>
      </c>
      <c r="Q530" s="15">
        <f t="shared" si="47"/>
        <v>3600</v>
      </c>
      <c r="R530" s="13" t="str">
        <f>IF(D530="TEX","аренда техники — сделка/счёт",IF(OR(Q530="",H530="",H530=0),"—",IF(Q530&lt;H530*(1-Параметры!$B$7),"почасовка",IF(Q530&gt;H530*(1+Параметры!$B$7),"сделка","любой способ"))))</f>
        <v>почасовка</v>
      </c>
      <c r="S530">
        <v>0</v>
      </c>
      <c r="T530">
        <v>0</v>
      </c>
    </row>
    <row r="531" spans="1:20" x14ac:dyDescent="0.25">
      <c r="A531" s="13" t="s">
        <v>1116</v>
      </c>
      <c r="B531" s="13" t="s">
        <v>1117</v>
      </c>
      <c r="C531" s="13" t="s">
        <v>55</v>
      </c>
      <c r="D531" s="13" t="s">
        <v>162</v>
      </c>
      <c r="E531" s="13" t="str">
        <f>IFERROR(INDEX('Почасовка — ставки и план'!$B$5:$B$24,MATCH(D531,'Почасовка — ставки и план'!$A$5:$A$24,0)),"Аренда техники / механизмы")</f>
        <v>Бетонщик / арматурщик</v>
      </c>
      <c r="F531" s="14">
        <v>14000</v>
      </c>
      <c r="G531" s="14">
        <v>16500</v>
      </c>
      <c r="H531" s="15">
        <v>8100</v>
      </c>
      <c r="I531" s="15">
        <f>IF(OR(H531="",F531=""),"",MAX(H531,MIN(ROUND(H531*(1+Параметры!$B$5),IF(H531*(1+Параметры!$B$5)&gt;=1000,-1,0)),ROUND(F531*Параметры!$B$6,IF(F531*Параметры!$B$6&gt;=1000,-1,0)))))</f>
        <v>9320</v>
      </c>
      <c r="J531" s="15">
        <v>9500</v>
      </c>
      <c r="K531" s="15">
        <f>IF(OR(J531="",G531=""),"",MAX(J531,MIN(ROUND(J531*(1+Параметры!$B$5),IF(J531*(1+Параметры!$B$5)&gt;=1000,-1,0)),ROUND(G531*Параметры!$B$6,IF(G531*Параметры!$B$6&gt;=1000,-1,0)))))</f>
        <v>10930</v>
      </c>
      <c r="L531" s="16">
        <v>9</v>
      </c>
      <c r="M531" s="17">
        <f t="shared" si="46"/>
        <v>0.1111111111111111</v>
      </c>
      <c r="N531" s="17">
        <f>IF(OR(L531="",L531=0),"",Параметры!$B$3/L531)</f>
        <v>0.88888888888888884</v>
      </c>
      <c r="O531" s="15">
        <f>IF(L531="","",IFERROR(INDEX('Почасовка — ставки и план'!$D$5:$D$24,MATCH($D531,'Почасовка — ставки и план'!$A$5:$A$24,0)),""))</f>
        <v>800</v>
      </c>
      <c r="P531" s="15">
        <f>IF(L531="","",IFERROR(INDEX('Почасовка — ставки и план'!$E$5:$E$24,MATCH($D531,'Почасовка — ставки и план'!$A$5:$A$24,0)),""))</f>
        <v>950</v>
      </c>
      <c r="Q531" s="15">
        <f t="shared" si="47"/>
        <v>7200</v>
      </c>
      <c r="R531" s="13" t="str">
        <f>IF(D531="TEX","аренда техники — сделка/счёт",IF(OR(Q531="",H531="",H531=0),"—",IF(Q531&lt;H531*(1-Параметры!$B$7),"почасовка",IF(Q531&gt;H531*(1+Параметры!$B$7),"сделка","любой способ"))))</f>
        <v>почасовка</v>
      </c>
      <c r="S531">
        <v>0</v>
      </c>
      <c r="T531">
        <v>0</v>
      </c>
    </row>
    <row r="532" spans="1:20" x14ac:dyDescent="0.25">
      <c r="A532" s="18" t="s">
        <v>1118</v>
      </c>
      <c r="B532" s="13" t="s">
        <v>1119</v>
      </c>
      <c r="C532" s="13" t="s">
        <v>63</v>
      </c>
      <c r="D532" s="13" t="s">
        <v>162</v>
      </c>
      <c r="E532" s="13" t="str">
        <f>IFERROR(INDEX('Почасовка — ставки и план'!$B$5:$B$24,MATCH(D532,'Почасовка — ставки и план'!$A$5:$A$24,0)),"Аренда техники / механизмы")</f>
        <v>Бетонщик / арматурщик</v>
      </c>
      <c r="F532" s="14">
        <v>19200</v>
      </c>
      <c r="G532" s="14">
        <v>22800</v>
      </c>
      <c r="H532" s="15">
        <v>9300</v>
      </c>
      <c r="I532" s="15">
        <f>IF(OR(H532="",F532=""),"",MAX(H532,MIN(ROUND(H532*(1+Параметры!$B$5),IF(H532*(1+Параметры!$B$5)&gt;=1000,-1,0)),ROUND(F532*Параметры!$B$6,IF(F532*Параметры!$B$6&gt;=1000,-1,0)))))</f>
        <v>10700</v>
      </c>
      <c r="J532" s="15">
        <v>10500</v>
      </c>
      <c r="K532" s="15">
        <f>IF(OR(J532="",G532=""),"",MAX(J532,MIN(ROUND(J532*(1+Параметры!$B$5),IF(J532*(1+Параметры!$B$5)&gt;=1000,-1,0)),ROUND(G532*Параметры!$B$6,IF(G532*Параметры!$B$6&gt;=1000,-1,0)))))</f>
        <v>12080</v>
      </c>
      <c r="L532" s="16">
        <v>18</v>
      </c>
      <c r="M532" s="17">
        <f t="shared" si="46"/>
        <v>5.5555555555555552E-2</v>
      </c>
      <c r="N532" s="17">
        <f>IF(OR(L532="",L532=0),"",Параметры!$B$3/L532)</f>
        <v>0.44444444444444442</v>
      </c>
      <c r="O532" s="15">
        <f>IF(L532="","",IFERROR(INDEX('Почасовка — ставки и план'!$D$5:$D$24,MATCH($D532,'Почасовка — ставки и план'!$A$5:$A$24,0)),""))</f>
        <v>800</v>
      </c>
      <c r="P532" s="15">
        <f>IF(L532="","",IFERROR(INDEX('Почасовка — ставки и план'!$E$5:$E$24,MATCH($D532,'Почасовка — ставки и план'!$A$5:$A$24,0)),""))</f>
        <v>950</v>
      </c>
      <c r="Q532" s="15">
        <f t="shared" si="47"/>
        <v>14400</v>
      </c>
      <c r="R532" s="13" t="str">
        <f>IF(D532="TEX","аренда техники — сделка/счёт",IF(OR(Q532="",H532="",H532=0),"—",IF(Q532&lt;H532*(1-Параметры!$B$7),"почасовка",IF(Q532&gt;H532*(1+Параметры!$B$7),"сделка","любой способ"))))</f>
        <v>сделка</v>
      </c>
      <c r="S532">
        <v>0.2</v>
      </c>
      <c r="T532">
        <v>0.26666666666666661</v>
      </c>
    </row>
    <row r="533" spans="1:20" x14ac:dyDescent="0.25">
      <c r="A533" s="18" t="s">
        <v>1120</v>
      </c>
      <c r="B533" s="13" t="s">
        <v>1121</v>
      </c>
      <c r="C533" s="13" t="s">
        <v>55</v>
      </c>
      <c r="D533" s="13" t="s">
        <v>162</v>
      </c>
      <c r="E533" s="13" t="str">
        <f>IFERROR(INDEX('Почасовка — ставки и план'!$B$5:$B$24,MATCH(D533,'Почасовка — ставки и план'!$A$5:$A$24,0)),"Аренда техники / механизмы")</f>
        <v>Бетонщик / арматурщик</v>
      </c>
      <c r="F533" s="14">
        <v>10000</v>
      </c>
      <c r="G533" s="14">
        <v>12000</v>
      </c>
      <c r="H533" s="15">
        <v>5800</v>
      </c>
      <c r="I533" s="15">
        <f>IF(OR(H533="",F533=""),"",MAX(H533,MIN(ROUND(H533*(1+Параметры!$B$5),IF(H533*(1+Параметры!$B$5)&gt;=1000,-1,0)),ROUND(F533*Параметры!$B$6,IF(F533*Параметры!$B$6&gt;=1000,-1,0)))))</f>
        <v>6670</v>
      </c>
      <c r="J533" s="15">
        <v>6900</v>
      </c>
      <c r="K533" s="15">
        <f>IF(OR(J533="",G533=""),"",MAX(J533,MIN(ROUND(J533*(1+Параметры!$B$5),IF(J533*(1+Параметры!$B$5)&gt;=1000,-1,0)),ROUND(G533*Параметры!$B$6,IF(G533*Параметры!$B$6&gt;=1000,-1,0)))))</f>
        <v>7940</v>
      </c>
      <c r="L533" s="16">
        <v>6</v>
      </c>
      <c r="M533" s="17">
        <f t="shared" si="46"/>
        <v>0.16666666666666666</v>
      </c>
      <c r="N533" s="17">
        <f>IF(OR(L533="",L533=0),"",Параметры!$B$3/L533)</f>
        <v>1.3333333333333333</v>
      </c>
      <c r="O533" s="15">
        <f>IF(L533="","",IFERROR(INDEX('Почасовка — ставки и план'!$D$5:$D$24,MATCH($D533,'Почасовка — ставки и план'!$A$5:$A$24,0)),""))</f>
        <v>800</v>
      </c>
      <c r="P533" s="15">
        <f>IF(L533="","",IFERROR(INDEX('Почасовка — ставки и план'!$E$5:$E$24,MATCH($D533,'Почасовка — ставки и план'!$A$5:$A$24,0)),""))</f>
        <v>950</v>
      </c>
      <c r="Q533" s="15">
        <f t="shared" si="47"/>
        <v>4800</v>
      </c>
      <c r="R533" s="13" t="str">
        <f>IF(D533="TEX","аренда техники — сделка/счёт",IF(OR(Q533="",H533="",H533=0),"—",IF(Q533&lt;H533*(1-Параметры!$B$7),"почасовка",IF(Q533&gt;H533*(1+Параметры!$B$7),"сделка","любой способ"))))</f>
        <v>почасовка</v>
      </c>
      <c r="S533">
        <v>0</v>
      </c>
      <c r="T533">
        <v>0</v>
      </c>
    </row>
    <row r="534" spans="1:20" x14ac:dyDescent="0.25">
      <c r="A534" s="11" t="s">
        <v>1122</v>
      </c>
      <c r="B534" s="12"/>
      <c r="C534" s="12"/>
      <c r="D534" s="12"/>
      <c r="E534" s="12"/>
      <c r="F534" s="12"/>
      <c r="G534" s="12"/>
      <c r="H534" s="12"/>
      <c r="I534" s="12"/>
      <c r="J534" s="12"/>
      <c r="K534" s="12"/>
      <c r="L534" s="12"/>
      <c r="M534" s="12"/>
      <c r="N534" s="12"/>
      <c r="O534" s="12"/>
      <c r="P534" s="12"/>
      <c r="Q534" s="12"/>
      <c r="R534" s="12"/>
    </row>
    <row r="535" spans="1:20" x14ac:dyDescent="0.25">
      <c r="A535" s="13" t="s">
        <v>1123</v>
      </c>
      <c r="B535" s="13" t="s">
        <v>1124</v>
      </c>
      <c r="C535" s="13" t="s">
        <v>55</v>
      </c>
      <c r="D535" s="13" t="s">
        <v>252</v>
      </c>
      <c r="E535" s="13" t="str">
        <f>IFERROR(INDEX('Почасовка — ставки и план'!$B$5:$B$24,MATCH(D535,'Почасовка — ставки и план'!$A$5:$A$24,0)),"Аренда техники / механизмы")</f>
        <v>Каменщик</v>
      </c>
      <c r="F535" s="14">
        <v>3734</v>
      </c>
      <c r="G535" s="14">
        <v>4434</v>
      </c>
      <c r="H535" s="15">
        <v>2000</v>
      </c>
      <c r="I535" s="15">
        <f>IF(OR(H535="",F535=""),"",MAX(H535,MIN(ROUND(H535*(1+Параметры!$B$5),IF(H535*(1+Параметры!$B$5)&gt;=1000,-1,0)),ROUND(F535*Параметры!$B$6,IF(F535*Параметры!$B$6&gt;=1000,-1,0)))))</f>
        <v>2300</v>
      </c>
      <c r="J535" s="15">
        <v>2300</v>
      </c>
      <c r="K535" s="15">
        <f>IF(OR(J535="",G535=""),"",MAX(J535,MIN(ROUND(J535*(1+Параметры!$B$5),IF(J535*(1+Параметры!$B$5)&gt;=1000,-1,0)),ROUND(G535*Параметры!$B$6,IF(G535*Параметры!$B$6&gt;=1000,-1,0)))))</f>
        <v>2650</v>
      </c>
      <c r="L535" s="16">
        <v>3.5</v>
      </c>
      <c r="M535" s="17">
        <f t="shared" ref="M535:M542" si="48">IF(OR(L535="",L535=0),"",1/L535)</f>
        <v>0.2857142857142857</v>
      </c>
      <c r="N535" s="17">
        <f>IF(OR(L535="",L535=0),"",Параметры!$B$3/L535)</f>
        <v>2.2857142857142856</v>
      </c>
      <c r="O535" s="15">
        <f>IF(L535="","",IFERROR(INDEX('Почасовка — ставки и план'!$D$5:$D$24,MATCH($D535,'Почасовка — ставки и план'!$A$5:$A$24,0)),""))</f>
        <v>800</v>
      </c>
      <c r="P535" s="15">
        <f>IF(L535="","",IFERROR(INDEX('Почасовка — ставки и план'!$E$5:$E$24,MATCH($D535,'Почасовка — ставки и план'!$A$5:$A$24,0)),""))</f>
        <v>950</v>
      </c>
      <c r="Q535" s="15">
        <f t="shared" ref="Q535:Q542" si="49">IF(OR(L535="",O535=""),"",ROUND(L535*O535,0))</f>
        <v>2800</v>
      </c>
      <c r="R535" s="13" t="str">
        <f>IF(D535="TEX","аренда техники — сделка/счёт",IF(OR(Q535="",H535="",H535=0),"—",IF(Q535&lt;H535*(1-Параметры!$B$7),"почасовка",IF(Q535&gt;H535*(1+Параметры!$B$7),"сделка","любой способ"))))</f>
        <v>сделка</v>
      </c>
      <c r="S535">
        <v>6.6857142857142948E-2</v>
      </c>
      <c r="T535">
        <v>0.1085</v>
      </c>
    </row>
    <row r="536" spans="1:20" x14ac:dyDescent="0.25">
      <c r="A536" s="13" t="s">
        <v>1125</v>
      </c>
      <c r="B536" s="13" t="s">
        <v>1126</v>
      </c>
      <c r="C536" s="13" t="s">
        <v>72</v>
      </c>
      <c r="D536" s="13" t="s">
        <v>91</v>
      </c>
      <c r="E536" s="13" t="str">
        <f>IFERROR(INDEX('Почасовка — ставки и план'!$B$5:$B$24,MATCH(D536,'Почасовка — ставки и план'!$A$5:$A$24,0)),"Аренда техники / механизмы")</f>
        <v>Фасадчик / промальпинист</v>
      </c>
      <c r="F536" s="14">
        <v>1300</v>
      </c>
      <c r="G536" s="14">
        <v>1450</v>
      </c>
      <c r="H536" s="15">
        <v>750</v>
      </c>
      <c r="I536" s="15">
        <f>IF(OR(H536="",F536=""),"",MAX(H536,MIN(ROUND(H536*(1+Параметры!$B$5),IF(H536*(1+Параметры!$B$5)&gt;=1000,-1,0)),ROUND(F536*Параметры!$B$6,IF(F536*Параметры!$B$6&gt;=1000,-1,0)))))</f>
        <v>863</v>
      </c>
      <c r="J536" s="15">
        <v>840</v>
      </c>
      <c r="K536" s="15">
        <f>IF(OR(J536="",G536=""),"",MAX(J536,MIN(ROUND(J536*(1+Параметры!$B$5),IF(J536*(1+Параметры!$B$5)&gt;=1000,-1,0)),ROUND(G536*Параметры!$B$6,IF(G536*Параметры!$B$6&gt;=1000,-1,0)))))</f>
        <v>966</v>
      </c>
      <c r="L536" s="16">
        <v>0.7</v>
      </c>
      <c r="M536" s="17">
        <f t="shared" si="48"/>
        <v>1.4285714285714286</v>
      </c>
      <c r="N536" s="17">
        <f>IF(OR(L536="",L536=0),"",Параметры!$B$3/L536)</f>
        <v>11.428571428571429</v>
      </c>
      <c r="O536" s="15">
        <f>IF(L536="","",IFERROR(INDEX('Почасовка — ставки и план'!$D$5:$D$24,MATCH($D536,'Почасовка — ставки и план'!$A$5:$A$24,0)),""))</f>
        <v>1100</v>
      </c>
      <c r="P536" s="15">
        <f>IF(L536="","",IFERROR(INDEX('Почасовка — ставки и план'!$E$5:$E$24,MATCH($D536,'Почасовка — ставки и план'!$A$5:$A$24,0)),""))</f>
        <v>1300</v>
      </c>
      <c r="Q536" s="15">
        <f t="shared" si="49"/>
        <v>770</v>
      </c>
      <c r="R536" s="13" t="str">
        <f>IF(D536="TEX","аренда техники — сделка/счёт",IF(OR(Q536="",H536="",H536=0),"—",IF(Q536&lt;H536*(1-Параметры!$B$7),"почасовка",IF(Q536&gt;H536*(1+Параметры!$B$7),"сделка","любой способ"))))</f>
        <v>любой способ</v>
      </c>
      <c r="S536">
        <v>0</v>
      </c>
      <c r="T536">
        <v>0</v>
      </c>
    </row>
    <row r="537" spans="1:20" x14ac:dyDescent="0.25">
      <c r="A537" s="13" t="s">
        <v>1127</v>
      </c>
      <c r="B537" s="13" t="s">
        <v>1128</v>
      </c>
      <c r="C537" s="13" t="s">
        <v>55</v>
      </c>
      <c r="D537" s="13" t="s">
        <v>252</v>
      </c>
      <c r="E537" s="13" t="str">
        <f>IFERROR(INDEX('Почасовка — ставки и план'!$B$5:$B$24,MATCH(D537,'Почасовка — ставки и план'!$A$5:$A$24,0)),"Аренда техники / механизмы")</f>
        <v>Каменщик</v>
      </c>
      <c r="F537" s="14">
        <v>5334</v>
      </c>
      <c r="G537" s="14">
        <v>6334</v>
      </c>
      <c r="H537" s="15">
        <v>3200</v>
      </c>
      <c r="I537" s="15">
        <f>IF(OR(H537="",F537=""),"",MAX(H537,MIN(ROUND(H537*(1+Параметры!$B$5),IF(H537*(1+Параметры!$B$5)&gt;=1000,-1,0)),ROUND(F537*Параметры!$B$6,IF(F537*Параметры!$B$6&gt;=1000,-1,0)))))</f>
        <v>3680</v>
      </c>
      <c r="J537" s="15">
        <v>3700</v>
      </c>
      <c r="K537" s="15">
        <f>IF(OR(J537="",G537=""),"",MAX(J537,MIN(ROUND(J537*(1+Параметры!$B$5),IF(J537*(1+Параметры!$B$5)&gt;=1000,-1,0)),ROUND(G537*Параметры!$B$6,IF(G537*Параметры!$B$6&gt;=1000,-1,0)))))</f>
        <v>4260</v>
      </c>
      <c r="L537" s="16">
        <v>5</v>
      </c>
      <c r="M537" s="17">
        <f t="shared" si="48"/>
        <v>0.2</v>
      </c>
      <c r="N537" s="17">
        <f>IF(OR(L537="",L537=0),"",Параметры!$B$3/L537)</f>
        <v>1.6</v>
      </c>
      <c r="O537" s="15">
        <f>IF(L537="","",IFERROR(INDEX('Почасовка — ставки и план'!$D$5:$D$24,MATCH($D537,'Почасовка — ставки и план'!$A$5:$A$24,0)),""))</f>
        <v>800</v>
      </c>
      <c r="P537" s="15">
        <f>IF(L537="","",IFERROR(INDEX('Почасовка — ставки и план'!$E$5:$E$24,MATCH($D537,'Почасовка — ставки и план'!$A$5:$A$24,0)),""))</f>
        <v>950</v>
      </c>
      <c r="Q537" s="15">
        <f t="shared" si="49"/>
        <v>4000</v>
      </c>
      <c r="R537" s="13" t="str">
        <f>IF(D537="TEX","аренда техники — сделка/счёт",IF(OR(Q537="",H537="",H537=0),"—",IF(Q537&lt;H537*(1-Параметры!$B$7),"почасовка",IF(Q537&gt;H537*(1+Параметры!$B$7),"сделка","любой способ"))))</f>
        <v>сделка</v>
      </c>
      <c r="S537">
        <v>6.6799999999999971E-2</v>
      </c>
      <c r="T537">
        <v>9.2068965517241308E-2</v>
      </c>
    </row>
    <row r="538" spans="1:20" x14ac:dyDescent="0.25">
      <c r="A538" s="13" t="s">
        <v>1129</v>
      </c>
      <c r="B538" s="13" t="s">
        <v>1130</v>
      </c>
      <c r="C538" s="13" t="s">
        <v>152</v>
      </c>
      <c r="D538" s="13" t="s">
        <v>252</v>
      </c>
      <c r="E538" s="13" t="str">
        <f>IFERROR(INDEX('Почасовка — ставки и план'!$B$5:$B$24,MATCH(D538,'Почасовка — ставки и план'!$A$5:$A$24,0)),"Аренда техники / механизмы")</f>
        <v>Каменщик</v>
      </c>
      <c r="F538" s="14">
        <v>21334</v>
      </c>
      <c r="G538" s="14">
        <v>25334</v>
      </c>
      <c r="H538" s="15">
        <v>10500</v>
      </c>
      <c r="I538" s="15">
        <f>IF(OR(H538="",F538=""),"",MAX(H538,MIN(ROUND(H538*(1+Параметры!$B$5),IF(H538*(1+Параметры!$B$5)&gt;=1000,-1,0)),ROUND(F538*Параметры!$B$6,IF(F538*Параметры!$B$6&gt;=1000,-1,0)))))</f>
        <v>12080</v>
      </c>
      <c r="J538" s="15">
        <v>11500</v>
      </c>
      <c r="K538" s="15">
        <f>IF(OR(J538="",G538=""),"",MAX(J538,MIN(ROUND(J538*(1+Параметры!$B$5),IF(J538*(1+Параметры!$B$5)&gt;=1000,-1,0)),ROUND(G538*Параметры!$B$6,IF(G538*Параметры!$B$6&gt;=1000,-1,0)))))</f>
        <v>13230</v>
      </c>
      <c r="L538" s="16">
        <v>20</v>
      </c>
      <c r="M538" s="17">
        <f t="shared" si="48"/>
        <v>0.05</v>
      </c>
      <c r="N538" s="17">
        <f>IF(OR(L538="",L538=0),"",Параметры!$B$3/L538)</f>
        <v>0.4</v>
      </c>
      <c r="O538" s="15">
        <f>IF(L538="","",IFERROR(INDEX('Почасовка — ставки и план'!$D$5:$D$24,MATCH($D538,'Почасовка — ставки и план'!$A$5:$A$24,0)),""))</f>
        <v>800</v>
      </c>
      <c r="P538" s="15">
        <f>IF(L538="","",IFERROR(INDEX('Почасовка — ставки и план'!$E$5:$E$24,MATCH($D538,'Почасовка — ставки и план'!$A$5:$A$24,0)),""))</f>
        <v>950</v>
      </c>
      <c r="Q538" s="15">
        <f t="shared" si="49"/>
        <v>16000</v>
      </c>
      <c r="R538" s="13" t="str">
        <f>IF(D538="TEX","аренда техники — сделка/счёт",IF(OR(Q538="",H538="",H538=0),"—",IF(Q538&lt;H538*(1-Параметры!$B$7),"почасовка",IF(Q538&gt;H538*(1+Параметры!$B$7),"сделка","любой способ"))))</f>
        <v>сделка</v>
      </c>
      <c r="S538">
        <v>0.1852222222222222</v>
      </c>
      <c r="T538">
        <v>0.26669999999999988</v>
      </c>
    </row>
    <row r="539" spans="1:20" x14ac:dyDescent="0.25">
      <c r="A539" s="13" t="s">
        <v>1131</v>
      </c>
      <c r="B539" s="13" t="s">
        <v>1132</v>
      </c>
      <c r="C539" s="13" t="s">
        <v>144</v>
      </c>
      <c r="D539" s="13" t="s">
        <v>252</v>
      </c>
      <c r="E539" s="13" t="str">
        <f>IFERROR(INDEX('Почасовка — ставки и план'!$B$5:$B$24,MATCH(D539,'Почасовка — ставки и план'!$A$5:$A$24,0)),"Аренда техники / механизмы")</f>
        <v>Каменщик</v>
      </c>
      <c r="F539" s="14">
        <v>700</v>
      </c>
      <c r="G539" s="14">
        <v>800</v>
      </c>
      <c r="H539" s="15">
        <v>400</v>
      </c>
      <c r="I539" s="15">
        <f>IF(OR(H539="",F539=""),"",MAX(H539,MIN(ROUND(H539*(1+Параметры!$B$5),IF(H539*(1+Параметры!$B$5)&gt;=1000,-1,0)),ROUND(F539*Параметры!$B$6,IF(F539*Параметры!$B$6&gt;=1000,-1,0)))))</f>
        <v>460</v>
      </c>
      <c r="J539" s="15">
        <v>460</v>
      </c>
      <c r="K539" s="15">
        <f>IF(OR(J539="",G539=""),"",MAX(J539,MIN(ROUND(J539*(1+Параметры!$B$5),IF(J539*(1+Параметры!$B$5)&gt;=1000,-1,0)),ROUND(G539*Параметры!$B$6,IF(G539*Параметры!$B$6&gt;=1000,-1,0)))))</f>
        <v>529</v>
      </c>
      <c r="L539" s="16">
        <v>0.6</v>
      </c>
      <c r="M539" s="17">
        <f t="shared" si="48"/>
        <v>1.6666666666666667</v>
      </c>
      <c r="N539" s="17">
        <f>IF(OR(L539="",L539=0),"",Параметры!$B$3/L539)</f>
        <v>13.333333333333334</v>
      </c>
      <c r="O539" s="15">
        <f>IF(L539="","",IFERROR(INDEX('Почасовка — ставки и план'!$D$5:$D$24,MATCH($D539,'Почасовка — ставки и план'!$A$5:$A$24,0)),""))</f>
        <v>800</v>
      </c>
      <c r="P539" s="15">
        <f>IF(L539="","",IFERROR(INDEX('Почасовка — ставки и план'!$E$5:$E$24,MATCH($D539,'Почасовка — ставки и план'!$A$5:$A$24,0)),""))</f>
        <v>950</v>
      </c>
      <c r="Q539" s="15">
        <f t="shared" si="49"/>
        <v>480</v>
      </c>
      <c r="R539" s="13" t="str">
        <f>IF(D539="TEX","аренда техники — сделка/счёт",IF(OR(Q539="",H539="",H539=0),"—",IF(Q539&lt;H539*(1-Параметры!$B$7),"почасовка",IF(Q539&gt;H539*(1+Параметры!$B$7),"сделка","любой способ"))))</f>
        <v>сделка</v>
      </c>
      <c r="S539">
        <v>0</v>
      </c>
      <c r="T539">
        <v>0</v>
      </c>
    </row>
    <row r="540" spans="1:20" x14ac:dyDescent="0.25">
      <c r="A540" s="18" t="s">
        <v>1133</v>
      </c>
      <c r="B540" s="13" t="s">
        <v>1134</v>
      </c>
      <c r="C540" s="13" t="s">
        <v>55</v>
      </c>
      <c r="D540" s="13" t="s">
        <v>252</v>
      </c>
      <c r="E540" s="13" t="str">
        <f>IFERROR(INDEX('Почасовка — ставки и план'!$B$5:$B$24,MATCH(D540,'Почасовка — ставки и план'!$A$5:$A$24,0)),"Аренда техники / механизмы")</f>
        <v>Каменщик</v>
      </c>
      <c r="F540" s="14">
        <v>3200</v>
      </c>
      <c r="G540" s="14">
        <v>3800</v>
      </c>
      <c r="H540" s="15">
        <v>1850</v>
      </c>
      <c r="I540" s="15">
        <f>IF(OR(H540="",F540=""),"",MAX(H540,MIN(ROUND(H540*(1+Параметры!$B$5),IF(H540*(1+Параметры!$B$5)&gt;=1000,-1,0)),ROUND(F540*Параметры!$B$6,IF(F540*Параметры!$B$6&gt;=1000,-1,0)))))</f>
        <v>2130</v>
      </c>
      <c r="J540" s="15">
        <v>2150</v>
      </c>
      <c r="K540" s="15">
        <f>IF(OR(J540="",G540=""),"",MAX(J540,MIN(ROUND(J540*(1+Параметры!$B$5),IF(J540*(1+Параметры!$B$5)&gt;=1000,-1,0)),ROUND(G540*Параметры!$B$6,IF(G540*Параметры!$B$6&gt;=1000,-1,0)))))</f>
        <v>2470</v>
      </c>
      <c r="L540" s="16">
        <v>3</v>
      </c>
      <c r="M540" s="17">
        <f t="shared" si="48"/>
        <v>0.33333333333333331</v>
      </c>
      <c r="N540" s="17">
        <f>IF(OR(L540="",L540=0),"",Параметры!$B$3/L540)</f>
        <v>2.6666666666666665</v>
      </c>
      <c r="O540" s="15">
        <f>IF(L540="","",IFERROR(INDEX('Почасовка — ставки и план'!$D$5:$D$24,MATCH($D540,'Почасовка — ставки и план'!$A$5:$A$24,0)),""))</f>
        <v>800</v>
      </c>
      <c r="P540" s="15">
        <f>IF(L540="","",IFERROR(INDEX('Почасовка — ставки и план'!$E$5:$E$24,MATCH($D540,'Почасовка — ставки и план'!$A$5:$A$24,0)),""))</f>
        <v>950</v>
      </c>
      <c r="Q540" s="15">
        <f t="shared" si="49"/>
        <v>2400</v>
      </c>
      <c r="R540" s="13" t="str">
        <f>IF(D540="TEX","аренда техники — сделка/счёт",IF(OR(Q540="",H540="",H540=0),"—",IF(Q540&lt;H540*(1-Параметры!$B$7),"почасовка",IF(Q540&gt;H540*(1+Параметры!$B$7),"сделка","любой способ"))))</f>
        <v>сделка</v>
      </c>
      <c r="S540">
        <v>0</v>
      </c>
      <c r="T540">
        <v>2.702702702702697E-2</v>
      </c>
    </row>
    <row r="541" spans="1:20" x14ac:dyDescent="0.25">
      <c r="A541" s="18" t="s">
        <v>1135</v>
      </c>
      <c r="B541" s="13" t="s">
        <v>1136</v>
      </c>
      <c r="C541" s="13" t="s">
        <v>55</v>
      </c>
      <c r="D541" s="13" t="s">
        <v>252</v>
      </c>
      <c r="E541" s="13" t="str">
        <f>IFERROR(INDEX('Почасовка — ставки и план'!$B$5:$B$24,MATCH(D541,'Почасовка — ставки и план'!$A$5:$A$24,0)),"Аренда техники / механизмы")</f>
        <v>Каменщик</v>
      </c>
      <c r="F541" s="14">
        <v>6400</v>
      </c>
      <c r="G541" s="14">
        <v>7600</v>
      </c>
      <c r="H541" s="15">
        <v>3200</v>
      </c>
      <c r="I541" s="15">
        <f>IF(OR(H541="",F541=""),"",MAX(H541,MIN(ROUND(H541*(1+Параметры!$B$5),IF(H541*(1+Параметры!$B$5)&gt;=1000,-1,0)),ROUND(F541*Параметры!$B$6,IF(F541*Параметры!$B$6&gt;=1000,-1,0)))))</f>
        <v>3680</v>
      </c>
      <c r="J541" s="15">
        <v>3650</v>
      </c>
      <c r="K541" s="15">
        <f>IF(OR(J541="",G541=""),"",MAX(J541,MIN(ROUND(J541*(1+Параметры!$B$5),IF(J541*(1+Параметры!$B$5)&gt;=1000,-1,0)),ROUND(G541*Параметры!$B$6,IF(G541*Параметры!$B$6&gt;=1000,-1,0)))))</f>
        <v>4200</v>
      </c>
      <c r="L541" s="16">
        <v>6</v>
      </c>
      <c r="M541" s="17">
        <f t="shared" si="48"/>
        <v>0.16666666666666666</v>
      </c>
      <c r="N541" s="17">
        <f>IF(OR(L541="",L541=0),"",Параметры!$B$3/L541)</f>
        <v>1.3333333333333333</v>
      </c>
      <c r="O541" s="15">
        <f>IF(L541="","",IFERROR(INDEX('Почасовка — ставки и план'!$D$5:$D$24,MATCH($D541,'Почасовка — ставки и план'!$A$5:$A$24,0)),""))</f>
        <v>800</v>
      </c>
      <c r="P541" s="15">
        <f>IF(L541="","",IFERROR(INDEX('Почасовка — ставки и план'!$E$5:$E$24,MATCH($D541,'Почасовка — ставки и план'!$A$5:$A$24,0)),""))</f>
        <v>950</v>
      </c>
      <c r="Q541" s="15">
        <f t="shared" si="49"/>
        <v>4800</v>
      </c>
      <c r="R541" s="13" t="str">
        <f>IF(D541="TEX","аренда техники — сделка/счёт",IF(OR(Q541="",H541="",H541=0),"—",IF(Q541&lt;H541*(1-Параметры!$B$7),"почасовка",IF(Q541&gt;H541*(1+Параметры!$B$7),"сделка","любой способ"))))</f>
        <v>сделка</v>
      </c>
      <c r="S541">
        <v>0.16363636363636361</v>
      </c>
      <c r="T541">
        <v>0.20634920634920631</v>
      </c>
    </row>
    <row r="542" spans="1:20" x14ac:dyDescent="0.25">
      <c r="A542" s="18" t="s">
        <v>1137</v>
      </c>
      <c r="B542" s="13" t="s">
        <v>1138</v>
      </c>
      <c r="C542" s="13" t="s">
        <v>72</v>
      </c>
      <c r="D542" s="13" t="s">
        <v>91</v>
      </c>
      <c r="E542" s="13" t="str">
        <f>IFERROR(INDEX('Почасовка — ставки и план'!$B$5:$B$24,MATCH(D542,'Почасовка — ставки и план'!$A$5:$A$24,0)),"Аренда техники / механизмы")</f>
        <v>Фасадчик / промальпинист</v>
      </c>
      <c r="F542" s="14">
        <v>587</v>
      </c>
      <c r="G542" s="14">
        <v>694</v>
      </c>
      <c r="H542" s="15">
        <v>260</v>
      </c>
      <c r="I542" s="15">
        <f>IF(OR(H542="",F542=""),"",MAX(H542,MIN(ROUND(H542*(1+Параметры!$B$5),IF(H542*(1+Параметры!$B$5)&gt;=1000,-1,0)),ROUND(F542*Параметры!$B$6,IF(F542*Параметры!$B$6&gt;=1000,-1,0)))))</f>
        <v>299</v>
      </c>
      <c r="J542" s="15">
        <v>300</v>
      </c>
      <c r="K542" s="15">
        <f>IF(OR(J542="",G542=""),"",MAX(J542,MIN(ROUND(J542*(1+Параметры!$B$5),IF(J542*(1+Параметры!$B$5)&gt;=1000,-1,0)),ROUND(G542*Параметры!$B$6,IF(G542*Параметры!$B$6&gt;=1000,-1,0)))))</f>
        <v>345</v>
      </c>
      <c r="L542" s="16">
        <v>0.4</v>
      </c>
      <c r="M542" s="17">
        <f t="shared" si="48"/>
        <v>2.5</v>
      </c>
      <c r="N542" s="17">
        <f>IF(OR(L542="",L542=0),"",Параметры!$B$3/L542)</f>
        <v>20</v>
      </c>
      <c r="O542" s="15">
        <f>IF(L542="","",IFERROR(INDEX('Почасовка — ставки и план'!$D$5:$D$24,MATCH($D542,'Почасовка — ставки и план'!$A$5:$A$24,0)),""))</f>
        <v>1100</v>
      </c>
      <c r="P542" s="15">
        <f>IF(L542="","",IFERROR(INDEX('Почасовка — ставки и план'!$E$5:$E$24,MATCH($D542,'Почасовка — ставки и план'!$A$5:$A$24,0)),""))</f>
        <v>1300</v>
      </c>
      <c r="Q542" s="15">
        <f t="shared" si="49"/>
        <v>440</v>
      </c>
      <c r="R542" s="13" t="str">
        <f>IF(D542="TEX","аренда техники — сделка/счёт",IF(OR(Q542="",H542="",H542=0),"—",IF(Q542&lt;H542*(1-Параметры!$B$7),"почасовка",IF(Q542&gt;H542*(1+Параметры!$B$7),"сделка","любой способ"))))</f>
        <v>сделка</v>
      </c>
      <c r="S542">
        <v>0.30444444444444452</v>
      </c>
      <c r="T542">
        <v>0.33461538461538448</v>
      </c>
    </row>
    <row r="543" spans="1:20" x14ac:dyDescent="0.25">
      <c r="A543" s="11" t="s">
        <v>1139</v>
      </c>
      <c r="B543" s="12"/>
      <c r="C543" s="12"/>
      <c r="D543" s="12"/>
      <c r="E543" s="12"/>
      <c r="F543" s="12"/>
      <c r="G543" s="12"/>
      <c r="H543" s="12"/>
      <c r="I543" s="12"/>
      <c r="J543" s="12"/>
      <c r="K543" s="12"/>
      <c r="L543" s="12"/>
      <c r="M543" s="12"/>
      <c r="N543" s="12"/>
      <c r="O543" s="12"/>
      <c r="P543" s="12"/>
      <c r="Q543" s="12"/>
      <c r="R543" s="12"/>
    </row>
    <row r="544" spans="1:20" x14ac:dyDescent="0.25">
      <c r="A544" s="13" t="s">
        <v>1140</v>
      </c>
      <c r="B544" s="13" t="s">
        <v>1141</v>
      </c>
      <c r="C544" s="13" t="s">
        <v>72</v>
      </c>
      <c r="D544" s="13" t="s">
        <v>91</v>
      </c>
      <c r="E544" s="13" t="str">
        <f>IFERROR(INDEX('Почасовка — ставки и план'!$B$5:$B$24,MATCH(D544,'Почасовка — ставки и план'!$A$5:$A$24,0)),"Аренда техники / механизмы")</f>
        <v>Фасадчик / промальпинист</v>
      </c>
      <c r="F544" s="14">
        <v>1800</v>
      </c>
      <c r="G544" s="14">
        <v>2200</v>
      </c>
      <c r="H544" s="15">
        <v>1050</v>
      </c>
      <c r="I544" s="15">
        <f>IF(OR(H544="",F544=""),"",MAX(H544,MIN(ROUND(H544*(1+Параметры!$B$5),IF(H544*(1+Параметры!$B$5)&gt;=1000,-1,0)),ROUND(F544*Параметры!$B$6,IF(F544*Параметры!$B$6&gt;=1000,-1,0)))))</f>
        <v>1210</v>
      </c>
      <c r="J544" s="15">
        <v>1250</v>
      </c>
      <c r="K544" s="15">
        <f>IF(OR(J544="",G544=""),"",MAX(J544,MIN(ROUND(J544*(1+Параметры!$B$5),IF(J544*(1+Параметры!$B$5)&gt;=1000,-1,0)),ROUND(G544*Параметры!$B$6,IF(G544*Параметры!$B$6&gt;=1000,-1,0)))))</f>
        <v>1440</v>
      </c>
      <c r="L544" s="16">
        <v>1</v>
      </c>
      <c r="M544" s="17">
        <f t="shared" ref="M544:M567" si="50">IF(OR(L544="",L544=0),"",1/L544)</f>
        <v>1</v>
      </c>
      <c r="N544" s="17">
        <f>IF(OR(L544="",L544=0),"",Параметры!$B$3/L544)</f>
        <v>8</v>
      </c>
      <c r="O544" s="15">
        <f>IF(L544="","",IFERROR(INDEX('Почасовка — ставки и план'!$D$5:$D$24,MATCH($D544,'Почасовка — ставки и план'!$A$5:$A$24,0)),""))</f>
        <v>1100</v>
      </c>
      <c r="P544" s="15">
        <f>IF(L544="","",IFERROR(INDEX('Почасовка — ставки и план'!$E$5:$E$24,MATCH($D544,'Почасовка — ставки и план'!$A$5:$A$24,0)),""))</f>
        <v>1300</v>
      </c>
      <c r="Q544" s="15">
        <f t="shared" ref="Q544:Q567" si="51">IF(OR(L544="",O544=""),"",ROUND(L544*O544,0))</f>
        <v>1100</v>
      </c>
      <c r="R544" s="13" t="str">
        <f>IF(D544="TEX","аренда техники — сделка/счёт",IF(OR(Q544="",H544="",H544=0),"—",IF(Q544&lt;H544*(1-Параметры!$B$7),"почасовка",IF(Q544&gt;H544*(1+Параметры!$B$7),"сделка","любой способ"))))</f>
        <v>любой способ</v>
      </c>
      <c r="S544">
        <v>0</v>
      </c>
      <c r="T544">
        <v>0</v>
      </c>
    </row>
    <row r="545" spans="1:20" x14ac:dyDescent="0.25">
      <c r="A545" s="13" t="s">
        <v>1142</v>
      </c>
      <c r="B545" s="13" t="s">
        <v>1143</v>
      </c>
      <c r="C545" s="13" t="s">
        <v>72</v>
      </c>
      <c r="D545" s="13" t="s">
        <v>91</v>
      </c>
      <c r="E545" s="13" t="str">
        <f>IFERROR(INDEX('Почасовка — ставки и план'!$B$5:$B$24,MATCH(D545,'Почасовка — ставки и план'!$A$5:$A$24,0)),"Аренда техники / механизмы")</f>
        <v>Фасадчик / промальпинист</v>
      </c>
      <c r="F545" s="14">
        <v>500</v>
      </c>
      <c r="G545" s="14">
        <v>600</v>
      </c>
      <c r="H545" s="15">
        <v>290</v>
      </c>
      <c r="I545" s="15">
        <f>IF(OR(H545="",F545=""),"",MAX(H545,MIN(ROUND(H545*(1+Параметры!$B$5),IF(H545*(1+Параметры!$B$5)&gt;=1000,-1,0)),ROUND(F545*Параметры!$B$6,IF(F545*Параметры!$B$6&gt;=1000,-1,0)))))</f>
        <v>334</v>
      </c>
      <c r="J545" s="15">
        <v>350</v>
      </c>
      <c r="K545" s="15">
        <f>IF(OR(J545="",G545=""),"",MAX(J545,MIN(ROUND(J545*(1+Параметры!$B$5),IF(J545*(1+Параметры!$B$5)&gt;=1000,-1,0)),ROUND(G545*Параметры!$B$6,IF(G545*Параметры!$B$6&gt;=1000,-1,0)))))</f>
        <v>403</v>
      </c>
      <c r="L545" s="16">
        <v>0.3</v>
      </c>
      <c r="M545" s="17">
        <f t="shared" si="50"/>
        <v>3.3333333333333335</v>
      </c>
      <c r="N545" s="17">
        <f>IF(OR(L545="",L545=0),"",Параметры!$B$3/L545)</f>
        <v>26.666666666666668</v>
      </c>
      <c r="O545" s="15">
        <f>IF(L545="","",IFERROR(INDEX('Почасовка — ставки и план'!$D$5:$D$24,MATCH($D545,'Почасовка — ставки и план'!$A$5:$A$24,0)),""))</f>
        <v>1100</v>
      </c>
      <c r="P545" s="15">
        <f>IF(L545="","",IFERROR(INDEX('Почасовка — ставки и план'!$E$5:$E$24,MATCH($D545,'Почасовка — ставки и план'!$A$5:$A$24,0)),""))</f>
        <v>1300</v>
      </c>
      <c r="Q545" s="15">
        <f t="shared" si="51"/>
        <v>330</v>
      </c>
      <c r="R545" s="13" t="str">
        <f>IF(D545="TEX","аренда техники — сделка/счёт",IF(OR(Q545="",H545="",H545=0),"—",IF(Q545&lt;H545*(1-Параметры!$B$7),"почасовка",IF(Q545&gt;H545*(1+Параметры!$B$7),"сделка","любой способ"))))</f>
        <v>сделка</v>
      </c>
      <c r="S545">
        <v>0</v>
      </c>
      <c r="T545">
        <v>0</v>
      </c>
    </row>
    <row r="546" spans="1:20" x14ac:dyDescent="0.25">
      <c r="A546" s="13" t="s">
        <v>1144</v>
      </c>
      <c r="B546" s="13" t="s">
        <v>1145</v>
      </c>
      <c r="C546" s="13" t="s">
        <v>72</v>
      </c>
      <c r="D546" s="13" t="s">
        <v>91</v>
      </c>
      <c r="E546" s="13" t="str">
        <f>IFERROR(INDEX('Почасовка — ставки и план'!$B$5:$B$24,MATCH(D546,'Почасовка — ставки и план'!$A$5:$A$24,0)),"Аренда техники / механизмы")</f>
        <v>Фасадчик / промальпинист</v>
      </c>
      <c r="F546" s="14">
        <v>4000</v>
      </c>
      <c r="G546" s="14">
        <v>4600</v>
      </c>
      <c r="H546" s="15">
        <v>2300</v>
      </c>
      <c r="I546" s="15">
        <f>IF(OR(H546="",F546=""),"",MAX(H546,MIN(ROUND(H546*(1+Параметры!$B$5),IF(H546*(1+Параметры!$B$5)&gt;=1000,-1,0)),ROUND(F546*Параметры!$B$6,IF(F546*Параметры!$B$6&gt;=1000,-1,0)))))</f>
        <v>2650</v>
      </c>
      <c r="J546" s="15">
        <v>2650</v>
      </c>
      <c r="K546" s="15">
        <f>IF(OR(J546="",G546=""),"",MAX(J546,MIN(ROUND(J546*(1+Параметры!$B$5),IF(J546*(1+Параметры!$B$5)&gt;=1000,-1,0)),ROUND(G546*Параметры!$B$6,IF(G546*Параметры!$B$6&gt;=1000,-1,0)))))</f>
        <v>3050</v>
      </c>
      <c r="L546" s="16">
        <v>2.5</v>
      </c>
      <c r="M546" s="17">
        <f t="shared" si="50"/>
        <v>0.4</v>
      </c>
      <c r="N546" s="17">
        <f>IF(OR(L546="",L546=0),"",Параметры!$B$3/L546)</f>
        <v>3.2</v>
      </c>
      <c r="O546" s="15">
        <f>IF(L546="","",IFERROR(INDEX('Почасовка — ставки и план'!$D$5:$D$24,MATCH($D546,'Почасовка — ставки и план'!$A$5:$A$24,0)),""))</f>
        <v>1100</v>
      </c>
      <c r="P546" s="15">
        <f>IF(L546="","",IFERROR(INDEX('Почасовка — ставки и план'!$E$5:$E$24,MATCH($D546,'Почасовка — ставки и план'!$A$5:$A$24,0)),""))</f>
        <v>1300</v>
      </c>
      <c r="Q546" s="15">
        <f t="shared" si="51"/>
        <v>2750</v>
      </c>
      <c r="R546" s="13" t="str">
        <f>IF(D546="TEX","аренда техники — сделка/счёт",IF(OR(Q546="",H546="",H546=0),"—",IF(Q546&lt;H546*(1-Параметры!$B$7),"почасовка",IF(Q546&gt;H546*(1+Параметры!$B$7),"сделка","любой способ"))))</f>
        <v>сделка</v>
      </c>
      <c r="S546">
        <v>0</v>
      </c>
      <c r="T546">
        <v>0</v>
      </c>
    </row>
    <row r="547" spans="1:20" x14ac:dyDescent="0.25">
      <c r="A547" s="13" t="s">
        <v>1146</v>
      </c>
      <c r="B547" s="13" t="s">
        <v>1147</v>
      </c>
      <c r="C547" s="13" t="s">
        <v>55</v>
      </c>
      <c r="D547" s="13" t="s">
        <v>91</v>
      </c>
      <c r="E547" s="13" t="str">
        <f>IFERROR(INDEX('Почасовка — ставки и план'!$B$5:$B$24,MATCH(D547,'Почасовка — ставки и план'!$A$5:$A$24,0)),"Аренда техники / механизмы")</f>
        <v>Фасадчик / промальпинист</v>
      </c>
      <c r="F547" s="14">
        <v>5134</v>
      </c>
      <c r="G547" s="14">
        <v>6067</v>
      </c>
      <c r="H547" s="15">
        <v>2200</v>
      </c>
      <c r="I547" s="15">
        <f>IF(OR(H547="",F547=""),"",MAX(H547,MIN(ROUND(H547*(1+Параметры!$B$5),IF(H547*(1+Параметры!$B$5)&gt;=1000,-1,0)),ROUND(F547*Параметры!$B$6,IF(F547*Параметры!$B$6&gt;=1000,-1,0)))))</f>
        <v>2530</v>
      </c>
      <c r="J547" s="15">
        <v>2500</v>
      </c>
      <c r="K547" s="15">
        <f>IF(OR(J547="",G547=""),"",MAX(J547,MIN(ROUND(J547*(1+Параметры!$B$5),IF(J547*(1+Параметры!$B$5)&gt;=1000,-1,0)),ROUND(G547*Параметры!$B$6,IF(G547*Параметры!$B$6&gt;=1000,-1,0)))))</f>
        <v>2880</v>
      </c>
      <c r="L547" s="16">
        <v>3.5</v>
      </c>
      <c r="M547" s="17">
        <f t="shared" si="50"/>
        <v>0.2857142857142857</v>
      </c>
      <c r="N547" s="17">
        <f>IF(OR(L547="",L547=0),"",Параметры!$B$3/L547)</f>
        <v>2.2857142857142856</v>
      </c>
      <c r="O547" s="15">
        <f>IF(L547="","",IFERROR(INDEX('Почасовка — ставки и план'!$D$5:$D$24,MATCH($D547,'Почасовка — ставки и план'!$A$5:$A$24,0)),""))</f>
        <v>1100</v>
      </c>
      <c r="P547" s="15">
        <f>IF(L547="","",IFERROR(INDEX('Почасовка — ставки и план'!$E$5:$E$24,MATCH($D547,'Почасовка — ставки и план'!$A$5:$A$24,0)),""))</f>
        <v>1300</v>
      </c>
      <c r="Q547" s="15">
        <f t="shared" si="51"/>
        <v>3850</v>
      </c>
      <c r="R547" s="13" t="str">
        <f>IF(D547="TEX","аренда техники — сделка/счёт",IF(OR(Q547="",H547="",H547=0),"—",IF(Q547&lt;H547*(1-Параметры!$B$7),"почасовка",IF(Q547&gt;H547*(1+Параметры!$B$7),"сделка","любой способ"))))</f>
        <v>сделка</v>
      </c>
      <c r="S547">
        <v>0.35105263157894728</v>
      </c>
      <c r="T547">
        <v>0.41093023255813937</v>
      </c>
    </row>
    <row r="548" spans="1:20" x14ac:dyDescent="0.25">
      <c r="A548" s="13" t="s">
        <v>1148</v>
      </c>
      <c r="B548" s="13" t="s">
        <v>1149</v>
      </c>
      <c r="C548" s="13" t="s">
        <v>55</v>
      </c>
      <c r="D548" s="13" t="s">
        <v>91</v>
      </c>
      <c r="E548" s="13" t="str">
        <f>IFERROR(INDEX('Почасовка — ставки и план'!$B$5:$B$24,MATCH(D548,'Почасовка — ставки и план'!$A$5:$A$24,0)),"Аренда техники / механизмы")</f>
        <v>Фасадчик / промальпинист</v>
      </c>
      <c r="F548" s="14">
        <v>5867</v>
      </c>
      <c r="G548" s="14">
        <v>6934</v>
      </c>
      <c r="H548" s="15">
        <v>2400</v>
      </c>
      <c r="I548" s="15">
        <f>IF(OR(H548="",F548=""),"",MAX(H548,MIN(ROUND(H548*(1+Параметры!$B$5),IF(H548*(1+Параметры!$B$5)&gt;=1000,-1,0)),ROUND(F548*Параметры!$B$6,IF(F548*Параметры!$B$6&gt;=1000,-1,0)))))</f>
        <v>2760</v>
      </c>
      <c r="J548" s="15">
        <v>2750</v>
      </c>
      <c r="K548" s="15">
        <f>IF(OR(J548="",G548=""),"",MAX(J548,MIN(ROUND(J548*(1+Параметры!$B$5),IF(J548*(1+Параметры!$B$5)&gt;=1000,-1,0)),ROUND(G548*Параметры!$B$6,IF(G548*Параметры!$B$6&gt;=1000,-1,0)))))</f>
        <v>3160</v>
      </c>
      <c r="L548" s="16">
        <v>4</v>
      </c>
      <c r="M548" s="17">
        <f t="shared" si="50"/>
        <v>0.25</v>
      </c>
      <c r="N548" s="17">
        <f>IF(OR(L548="",L548=0),"",Параметры!$B$3/L548)</f>
        <v>2</v>
      </c>
      <c r="O548" s="15">
        <f>IF(L548="","",IFERROR(INDEX('Почасовка — ставки и план'!$D$5:$D$24,MATCH($D548,'Почасовка — ставки и план'!$A$5:$A$24,0)),""))</f>
        <v>1100</v>
      </c>
      <c r="P548" s="15">
        <f>IF(L548="","",IFERROR(INDEX('Почасовка — ставки и план'!$E$5:$E$24,MATCH($D548,'Почасовка — ставки и план'!$A$5:$A$24,0)),""))</f>
        <v>1300</v>
      </c>
      <c r="Q548" s="15">
        <f t="shared" si="51"/>
        <v>4400</v>
      </c>
      <c r="R548" s="13" t="str">
        <f>IF(D548="TEX","аренда техники — сделка/счёт",IF(OR(Q548="",H548="",H548=0),"—",IF(Q548&lt;H548*(1-Параметры!$B$7),"почасовка",IF(Q548&gt;H548*(1+Параметры!$B$7),"сделка","любой способ"))))</f>
        <v>сделка</v>
      </c>
      <c r="S548">
        <v>0.39690476190476193</v>
      </c>
      <c r="T548">
        <v>0.44458333333333327</v>
      </c>
    </row>
    <row r="549" spans="1:20" x14ac:dyDescent="0.25">
      <c r="A549" s="13" t="s">
        <v>1150</v>
      </c>
      <c r="B549" s="13" t="s">
        <v>1151</v>
      </c>
      <c r="C549" s="13" t="s">
        <v>72</v>
      </c>
      <c r="D549" s="13" t="s">
        <v>91</v>
      </c>
      <c r="E549" s="13" t="str">
        <f>IFERROR(INDEX('Почасовка — ставки и план'!$B$5:$B$24,MATCH(D549,'Почасовка — ставки и план'!$A$5:$A$24,0)),"Аренда техники / механизмы")</f>
        <v>Фасадчик / промальпинист</v>
      </c>
      <c r="F549" s="14">
        <v>2200</v>
      </c>
      <c r="G549" s="14">
        <v>2500</v>
      </c>
      <c r="H549" s="15">
        <v>1270</v>
      </c>
      <c r="I549" s="15">
        <f>IF(OR(H549="",F549=""),"",MAX(H549,MIN(ROUND(H549*(1+Параметры!$B$5),IF(H549*(1+Параметры!$B$5)&gt;=1000,-1,0)),ROUND(F549*Параметры!$B$6,IF(F549*Параметры!$B$6&gt;=1000,-1,0)))))</f>
        <v>1460</v>
      </c>
      <c r="J549" s="15">
        <v>1450</v>
      </c>
      <c r="K549" s="15">
        <f>IF(OR(J549="",G549=""),"",MAX(J549,MIN(ROUND(J549*(1+Параметры!$B$5),IF(J549*(1+Параметры!$B$5)&gt;=1000,-1,0)),ROUND(G549*Параметры!$B$6,IF(G549*Параметры!$B$6&gt;=1000,-1,0)))))</f>
        <v>1670</v>
      </c>
      <c r="L549" s="16">
        <v>1.3</v>
      </c>
      <c r="M549" s="17">
        <f t="shared" si="50"/>
        <v>0.76923076923076916</v>
      </c>
      <c r="N549" s="17">
        <f>IF(OR(L549="",L549=0),"",Параметры!$B$3/L549)</f>
        <v>6.1538461538461533</v>
      </c>
      <c r="O549" s="15">
        <f>IF(L549="","",IFERROR(INDEX('Почасовка — ставки и план'!$D$5:$D$24,MATCH($D549,'Почасовка — ставки и план'!$A$5:$A$24,0)),""))</f>
        <v>1100</v>
      </c>
      <c r="P549" s="15">
        <f>IF(L549="","",IFERROR(INDEX('Почасовка — ставки и план'!$E$5:$E$24,MATCH($D549,'Почасовка — ставки и план'!$A$5:$A$24,0)),""))</f>
        <v>1300</v>
      </c>
      <c r="Q549" s="15">
        <f t="shared" si="51"/>
        <v>1430</v>
      </c>
      <c r="R549" s="13" t="str">
        <f>IF(D549="TEX","аренда техники — сделка/счёт",IF(OR(Q549="",H549="",H549=0),"—",IF(Q549&lt;H549*(1-Параметры!$B$7),"почасовка",IF(Q549&gt;H549*(1+Параметры!$B$7),"сделка","любой способ"))))</f>
        <v>сделка</v>
      </c>
      <c r="S549">
        <v>0</v>
      </c>
      <c r="T549">
        <v>0</v>
      </c>
    </row>
    <row r="550" spans="1:20" x14ac:dyDescent="0.25">
      <c r="A550" s="13" t="s">
        <v>1152</v>
      </c>
      <c r="B550" s="13" t="s">
        <v>1153</v>
      </c>
      <c r="C550" s="13" t="s">
        <v>69</v>
      </c>
      <c r="D550" s="13" t="s">
        <v>91</v>
      </c>
      <c r="E550" s="13" t="str">
        <f>IFERROR(INDEX('Почасовка — ставки и план'!$B$5:$B$24,MATCH(D550,'Почасовка — ставки и план'!$A$5:$A$24,0)),"Аренда техники / механизмы")</f>
        <v>Фасадчик / промальпинист</v>
      </c>
      <c r="F550" s="14">
        <v>200</v>
      </c>
      <c r="G550" s="14">
        <v>240</v>
      </c>
      <c r="H550" s="15">
        <v>115</v>
      </c>
      <c r="I550" s="15">
        <f>IF(OR(H550="",F550=""),"",MAX(H550,MIN(ROUND(H550*(1+Параметры!$B$5),IF(H550*(1+Параметры!$B$5)&gt;=1000,-1,0)),ROUND(F550*Параметры!$B$6,IF(F550*Параметры!$B$6&gt;=1000,-1,0)))))</f>
        <v>132</v>
      </c>
      <c r="J550" s="15">
        <v>140</v>
      </c>
      <c r="K550" s="15">
        <f>IF(OR(J550="",G550=""),"",MAX(J550,MIN(ROUND(J550*(1+Параметры!$B$5),IF(J550*(1+Параметры!$B$5)&gt;=1000,-1,0)),ROUND(G550*Параметры!$B$6,IF(G550*Параметры!$B$6&gt;=1000,-1,0)))))</f>
        <v>161</v>
      </c>
      <c r="L550" s="16">
        <v>0.08</v>
      </c>
      <c r="M550" s="17">
        <f t="shared" si="50"/>
        <v>12.5</v>
      </c>
      <c r="N550" s="17">
        <f>IF(OR(L550="",L550=0),"",Параметры!$B$3/L550)</f>
        <v>100</v>
      </c>
      <c r="O550" s="15">
        <f>IF(L550="","",IFERROR(INDEX('Почасовка — ставки и план'!$D$5:$D$24,MATCH($D550,'Почасовка — ставки и план'!$A$5:$A$24,0)),""))</f>
        <v>1100</v>
      </c>
      <c r="P550" s="15">
        <f>IF(L550="","",IFERROR(INDEX('Почасовка — ставки и план'!$E$5:$E$24,MATCH($D550,'Почасовка — ставки и план'!$A$5:$A$24,0)),""))</f>
        <v>1300</v>
      </c>
      <c r="Q550" s="15">
        <f t="shared" si="51"/>
        <v>88</v>
      </c>
      <c r="R550" s="13" t="str">
        <f>IF(D550="TEX","аренда техники — сделка/счёт",IF(OR(Q550="",H550="",H550=0),"—",IF(Q550&lt;H550*(1-Параметры!$B$7),"почасовка",IF(Q550&gt;H550*(1+Параметры!$B$7),"сделка","любой способ"))))</f>
        <v>почасовка</v>
      </c>
      <c r="S550">
        <v>0</v>
      </c>
      <c r="T550">
        <v>0</v>
      </c>
    </row>
    <row r="551" spans="1:20" x14ac:dyDescent="0.25">
      <c r="A551" s="13" t="s">
        <v>1154</v>
      </c>
      <c r="B551" s="13" t="s">
        <v>1155</v>
      </c>
      <c r="C551" s="13" t="s">
        <v>72</v>
      </c>
      <c r="D551" s="13" t="s">
        <v>91</v>
      </c>
      <c r="E551" s="13" t="str">
        <f>IFERROR(INDEX('Почасовка — ставки и план'!$B$5:$B$24,MATCH(D551,'Почасовка — ставки и план'!$A$5:$A$24,0)),"Аренда техники / механизмы")</f>
        <v>Фасадчик / промальпинист</v>
      </c>
      <c r="F551" s="14">
        <v>2000</v>
      </c>
      <c r="G551" s="14">
        <v>2300</v>
      </c>
      <c r="H551" s="15">
        <v>1150</v>
      </c>
      <c r="I551" s="15">
        <f>IF(OR(H551="",F551=""),"",MAX(H551,MIN(ROUND(H551*(1+Параметры!$B$5),IF(H551*(1+Параметры!$B$5)&gt;=1000,-1,0)),ROUND(F551*Параметры!$B$6,IF(F551*Параметры!$B$6&gt;=1000,-1,0)))))</f>
        <v>1320</v>
      </c>
      <c r="J551" s="15">
        <v>1320</v>
      </c>
      <c r="K551" s="15">
        <f>IF(OR(J551="",G551=""),"",MAX(J551,MIN(ROUND(J551*(1+Параметры!$B$5),IF(J551*(1+Параметры!$B$5)&gt;=1000,-1,0)),ROUND(G551*Параметры!$B$6,IF(G551*Параметры!$B$6&gt;=1000,-1,0)))))</f>
        <v>1520</v>
      </c>
      <c r="L551" s="16">
        <v>1.3</v>
      </c>
      <c r="M551" s="17">
        <f t="shared" si="50"/>
        <v>0.76923076923076916</v>
      </c>
      <c r="N551" s="17">
        <f>IF(OR(L551="",L551=0),"",Параметры!$B$3/L551)</f>
        <v>6.1538461538461533</v>
      </c>
      <c r="O551" s="15">
        <f>IF(L551="","",IFERROR(INDEX('Почасовка — ставки и план'!$D$5:$D$24,MATCH($D551,'Почасовка — ставки и план'!$A$5:$A$24,0)),""))</f>
        <v>1100</v>
      </c>
      <c r="P551" s="15">
        <f>IF(L551="","",IFERROR(INDEX('Почасовка — ставки и план'!$E$5:$E$24,MATCH($D551,'Почасовка — ставки и план'!$A$5:$A$24,0)),""))</f>
        <v>1300</v>
      </c>
      <c r="Q551" s="15">
        <f t="shared" si="51"/>
        <v>1430</v>
      </c>
      <c r="R551" s="13" t="str">
        <f>IF(D551="TEX","аренда техники — сделка/счёт",IF(OR(Q551="",H551="",H551=0),"—",IF(Q551&lt;H551*(1-Параметры!$B$7),"почасовка",IF(Q551&gt;H551*(1+Параметры!$B$7),"сделка","любой способ"))))</f>
        <v>сделка</v>
      </c>
      <c r="S551">
        <v>0</v>
      </c>
      <c r="T551">
        <v>0</v>
      </c>
    </row>
    <row r="552" spans="1:20" x14ac:dyDescent="0.25">
      <c r="A552" s="13" t="s">
        <v>1156</v>
      </c>
      <c r="B552" s="13" t="s">
        <v>1157</v>
      </c>
      <c r="C552" s="13" t="s">
        <v>72</v>
      </c>
      <c r="D552" s="13" t="s">
        <v>91</v>
      </c>
      <c r="E552" s="13" t="str">
        <f>IFERROR(INDEX('Почасовка — ставки и план'!$B$5:$B$24,MATCH(D552,'Почасовка — ставки и план'!$A$5:$A$24,0)),"Аренда техники / механизмы")</f>
        <v>Фасадчик / промальпинист</v>
      </c>
      <c r="F552" s="14">
        <v>1027</v>
      </c>
      <c r="G552" s="14">
        <v>1214</v>
      </c>
      <c r="H552" s="15">
        <v>580</v>
      </c>
      <c r="I552" s="15">
        <f>IF(OR(H552="",F552=""),"",MAX(H552,MIN(ROUND(H552*(1+Параметры!$B$5),IF(H552*(1+Параметры!$B$5)&gt;=1000,-1,0)),ROUND(F552*Параметры!$B$6,IF(F552*Параметры!$B$6&gt;=1000,-1,0)))))</f>
        <v>667</v>
      </c>
      <c r="J552" s="15">
        <v>670</v>
      </c>
      <c r="K552" s="15">
        <f>IF(OR(J552="",G552=""),"",MAX(J552,MIN(ROUND(J552*(1+Параметры!$B$5),IF(J552*(1+Параметры!$B$5)&gt;=1000,-1,0)),ROUND(G552*Параметры!$B$6,IF(G552*Параметры!$B$6&gt;=1000,-1,0)))))</f>
        <v>771</v>
      </c>
      <c r="L552" s="16">
        <v>0.7</v>
      </c>
      <c r="M552" s="17">
        <f t="shared" si="50"/>
        <v>1.4285714285714286</v>
      </c>
      <c r="N552" s="17">
        <f>IF(OR(L552="",L552=0),"",Параметры!$B$3/L552)</f>
        <v>11.428571428571429</v>
      </c>
      <c r="O552" s="15">
        <f>IF(L552="","",IFERROR(INDEX('Почасовка — ставки и план'!$D$5:$D$24,MATCH($D552,'Почасовка — ставки и план'!$A$5:$A$24,0)),""))</f>
        <v>1100</v>
      </c>
      <c r="P552" s="15">
        <f>IF(L552="","",IFERROR(INDEX('Почасовка — ставки и план'!$E$5:$E$24,MATCH($D552,'Почасовка — ставки и план'!$A$5:$A$24,0)),""))</f>
        <v>1300</v>
      </c>
      <c r="Q552" s="15">
        <f t="shared" si="51"/>
        <v>770</v>
      </c>
      <c r="R552" s="13" t="str">
        <f>IF(D552="TEX","аренда техники — сделка/счёт",IF(OR(Q552="",H552="",H552=0),"—",IF(Q552&lt;H552*(1-Параметры!$B$7),"почасовка",IF(Q552&gt;H552*(1+Параметры!$B$7),"сделка","любой способ"))))</f>
        <v>сделка</v>
      </c>
      <c r="S552">
        <v>2.6999999999999909E-2</v>
      </c>
      <c r="T552">
        <v>5.5652173913043557E-2</v>
      </c>
    </row>
    <row r="553" spans="1:20" x14ac:dyDescent="0.25">
      <c r="A553" s="13" t="s">
        <v>1158</v>
      </c>
      <c r="B553" s="13" t="s">
        <v>1159</v>
      </c>
      <c r="C553" s="13" t="s">
        <v>72</v>
      </c>
      <c r="D553" s="13" t="s">
        <v>91</v>
      </c>
      <c r="E553" s="13" t="str">
        <f>IFERROR(INDEX('Почасовка — ставки и план'!$B$5:$B$24,MATCH(D553,'Почасовка — ставки и план'!$A$5:$A$24,0)),"Аренда техники / механизмы")</f>
        <v>Фасадчик / промальпинист</v>
      </c>
      <c r="F553" s="14">
        <v>900</v>
      </c>
      <c r="G553" s="14">
        <v>1050</v>
      </c>
      <c r="H553" s="15">
        <v>520</v>
      </c>
      <c r="I553" s="15">
        <f>IF(OR(H553="",F553=""),"",MAX(H553,MIN(ROUND(H553*(1+Параметры!$B$5),IF(H553*(1+Параметры!$B$5)&gt;=1000,-1,0)),ROUND(F553*Параметры!$B$6,IF(F553*Параметры!$B$6&gt;=1000,-1,0)))))</f>
        <v>598</v>
      </c>
      <c r="J553" s="15">
        <v>600</v>
      </c>
      <c r="K553" s="15">
        <f>IF(OR(J553="",G553=""),"",MAX(J553,MIN(ROUND(J553*(1+Параметры!$B$5),IF(J553*(1+Параметры!$B$5)&gt;=1000,-1,0)),ROUND(G553*Параметры!$B$6,IF(G553*Параметры!$B$6&gt;=1000,-1,0)))))</f>
        <v>690</v>
      </c>
      <c r="L553" s="16">
        <v>0.6</v>
      </c>
      <c r="M553" s="17">
        <f t="shared" si="50"/>
        <v>1.6666666666666667</v>
      </c>
      <c r="N553" s="17">
        <f>IF(OR(L553="",L553=0),"",Параметры!$B$3/L553)</f>
        <v>13.333333333333334</v>
      </c>
      <c r="O553" s="15">
        <f>IF(L553="","",IFERROR(INDEX('Почасовка — ставки и план'!$D$5:$D$24,MATCH($D553,'Почасовка — ставки и план'!$A$5:$A$24,0)),""))</f>
        <v>1100</v>
      </c>
      <c r="P553" s="15">
        <f>IF(L553="","",IFERROR(INDEX('Почасовка — ставки и план'!$E$5:$E$24,MATCH($D553,'Почасовка — ставки и план'!$A$5:$A$24,0)),""))</f>
        <v>1300</v>
      </c>
      <c r="Q553" s="15">
        <f t="shared" si="51"/>
        <v>660</v>
      </c>
      <c r="R553" s="13" t="str">
        <f>IF(D553="TEX","аренда техники — сделка/счёт",IF(OR(Q553="",H553="",H553=0),"—",IF(Q553&lt;H553*(1-Параметры!$B$7),"почасовка",IF(Q553&gt;H553*(1+Параметры!$B$7),"сделка","любой способ"))))</f>
        <v>сделка</v>
      </c>
      <c r="S553">
        <v>0</v>
      </c>
      <c r="T553">
        <v>0</v>
      </c>
    </row>
    <row r="554" spans="1:20" x14ac:dyDescent="0.25">
      <c r="A554" s="13" t="s">
        <v>1160</v>
      </c>
      <c r="B554" s="13" t="s">
        <v>1161</v>
      </c>
      <c r="C554" s="13" t="s">
        <v>72</v>
      </c>
      <c r="D554" s="13" t="s">
        <v>91</v>
      </c>
      <c r="E554" s="13" t="str">
        <f>IFERROR(INDEX('Почасовка — ставки и план'!$B$5:$B$24,MATCH(D554,'Почасовка — ставки и план'!$A$5:$A$24,0)),"Аренда техники / механизмы")</f>
        <v>Фасадчик / промальпинист</v>
      </c>
      <c r="F554" s="14">
        <v>3300</v>
      </c>
      <c r="G554" s="14">
        <v>3800</v>
      </c>
      <c r="H554" s="15">
        <v>1900</v>
      </c>
      <c r="I554" s="15">
        <f>IF(OR(H554="",F554=""),"",MAX(H554,MIN(ROUND(H554*(1+Параметры!$B$5),IF(H554*(1+Параметры!$B$5)&gt;=1000,-1,0)),ROUND(F554*Параметры!$B$6,IF(F554*Параметры!$B$6&gt;=1000,-1,0)))))</f>
        <v>2190</v>
      </c>
      <c r="J554" s="15">
        <v>2200</v>
      </c>
      <c r="K554" s="15">
        <f>IF(OR(J554="",G554=""),"",MAX(J554,MIN(ROUND(J554*(1+Параметры!$B$5),IF(J554*(1+Параметры!$B$5)&gt;=1000,-1,0)),ROUND(G554*Параметры!$B$6,IF(G554*Параметры!$B$6&gt;=1000,-1,0)))))</f>
        <v>2530</v>
      </c>
      <c r="L554" s="16">
        <v>2</v>
      </c>
      <c r="M554" s="17">
        <f t="shared" si="50"/>
        <v>0.5</v>
      </c>
      <c r="N554" s="17">
        <f>IF(OR(L554="",L554=0),"",Параметры!$B$3/L554)</f>
        <v>4</v>
      </c>
      <c r="O554" s="15">
        <f>IF(L554="","",IFERROR(INDEX('Почасовка — ставки и план'!$D$5:$D$24,MATCH($D554,'Почасовка — ставки и план'!$A$5:$A$24,0)),""))</f>
        <v>1100</v>
      </c>
      <c r="P554" s="15">
        <f>IF(L554="","",IFERROR(INDEX('Почасовка — ставки и план'!$E$5:$E$24,MATCH($D554,'Почасовка — ставки и план'!$A$5:$A$24,0)),""))</f>
        <v>1300</v>
      </c>
      <c r="Q554" s="15">
        <f t="shared" si="51"/>
        <v>2200</v>
      </c>
      <c r="R554" s="13" t="str">
        <f>IF(D554="TEX","аренда техники — сделка/счёт",IF(OR(Q554="",H554="",H554=0),"—",IF(Q554&lt;H554*(1-Параметры!$B$7),"почасовка",IF(Q554&gt;H554*(1+Параметры!$B$7),"сделка","любой способ"))))</f>
        <v>сделка</v>
      </c>
      <c r="S554">
        <v>0</v>
      </c>
      <c r="T554">
        <v>0</v>
      </c>
    </row>
    <row r="555" spans="1:20" x14ac:dyDescent="0.25">
      <c r="A555" s="13" t="s">
        <v>1162</v>
      </c>
      <c r="B555" s="13" t="s">
        <v>1163</v>
      </c>
      <c r="C555" s="13" t="s">
        <v>72</v>
      </c>
      <c r="D555" s="13" t="s">
        <v>91</v>
      </c>
      <c r="E555" s="13" t="str">
        <f>IFERROR(INDEX('Почасовка — ставки и план'!$B$5:$B$24,MATCH(D555,'Почасовка — ставки и план'!$A$5:$A$24,0)),"Аренда техники / механизмы")</f>
        <v>Фасадчик / промальпинист</v>
      </c>
      <c r="F555" s="14">
        <v>3900</v>
      </c>
      <c r="G555" s="14">
        <v>4500</v>
      </c>
      <c r="H555" s="15">
        <v>2250</v>
      </c>
      <c r="I555" s="15">
        <f>IF(OR(H555="",F555=""),"",MAX(H555,MIN(ROUND(H555*(1+Параметры!$B$5),IF(H555*(1+Параметры!$B$5)&gt;=1000,-1,0)),ROUND(F555*Параметры!$B$6,IF(F555*Параметры!$B$6&gt;=1000,-1,0)))))</f>
        <v>2590</v>
      </c>
      <c r="J555" s="15">
        <v>2600</v>
      </c>
      <c r="K555" s="15">
        <f>IF(OR(J555="",G555=""),"",MAX(J555,MIN(ROUND(J555*(1+Параметры!$B$5),IF(J555*(1+Параметры!$B$5)&gt;=1000,-1,0)),ROUND(G555*Параметры!$B$6,IF(G555*Параметры!$B$6&gt;=1000,-1,0)))))</f>
        <v>2990</v>
      </c>
      <c r="L555" s="16">
        <v>2.4</v>
      </c>
      <c r="M555" s="17">
        <f t="shared" si="50"/>
        <v>0.41666666666666669</v>
      </c>
      <c r="N555" s="17">
        <f>IF(OR(L555="",L555=0),"",Параметры!$B$3/L555)</f>
        <v>3.3333333333333335</v>
      </c>
      <c r="O555" s="15">
        <f>IF(L555="","",IFERROR(INDEX('Почасовка — ставки и план'!$D$5:$D$24,MATCH($D555,'Почасовка — ставки и план'!$A$5:$A$24,0)),""))</f>
        <v>1100</v>
      </c>
      <c r="P555" s="15">
        <f>IF(L555="","",IFERROR(INDEX('Почасовка — ставки и план'!$E$5:$E$24,MATCH($D555,'Почасовка — ставки и план'!$A$5:$A$24,0)),""))</f>
        <v>1300</v>
      </c>
      <c r="Q555" s="15">
        <f t="shared" si="51"/>
        <v>2640</v>
      </c>
      <c r="R555" s="13" t="str">
        <f>IF(D555="TEX","аренда техники — сделка/счёт",IF(OR(Q555="",H555="",H555=0),"—",IF(Q555&lt;H555*(1-Параметры!$B$7),"почасовка",IF(Q555&gt;H555*(1+Параметры!$B$7),"сделка","любой способ"))))</f>
        <v>сделка</v>
      </c>
      <c r="S555">
        <v>0</v>
      </c>
      <c r="T555">
        <v>0</v>
      </c>
    </row>
    <row r="556" spans="1:20" x14ac:dyDescent="0.25">
      <c r="A556" s="13" t="s">
        <v>1164</v>
      </c>
      <c r="B556" s="13" t="s">
        <v>1165</v>
      </c>
      <c r="C556" s="13" t="s">
        <v>72</v>
      </c>
      <c r="D556" s="13" t="s">
        <v>200</v>
      </c>
      <c r="E556" s="13" t="str">
        <f>IFERROR(INDEX('Почасовка — ставки и план'!$B$5:$B$24,MATCH(D556,'Почасовка — ставки и план'!$A$5:$A$24,0)),"Аренда техники / механизмы")</f>
        <v>Плиточник / укладчик полов</v>
      </c>
      <c r="F556" s="14">
        <v>1800</v>
      </c>
      <c r="G556" s="14">
        <v>2100</v>
      </c>
      <c r="H556" s="15">
        <v>1050</v>
      </c>
      <c r="I556" s="15">
        <f>IF(OR(H556="",F556=""),"",MAX(H556,MIN(ROUND(H556*(1+Параметры!$B$5),IF(H556*(1+Параметры!$B$5)&gt;=1000,-1,0)),ROUND(F556*Параметры!$B$6,IF(F556*Параметры!$B$6&gt;=1000,-1,0)))))</f>
        <v>1210</v>
      </c>
      <c r="J556" s="15">
        <v>1200</v>
      </c>
      <c r="K556" s="15">
        <f>IF(OR(J556="",G556=""),"",MAX(J556,MIN(ROUND(J556*(1+Параметры!$B$5),IF(J556*(1+Параметры!$B$5)&gt;=1000,-1,0)),ROUND(G556*Параметры!$B$6,IF(G556*Параметры!$B$6&gt;=1000,-1,0)))))</f>
        <v>1380</v>
      </c>
      <c r="L556" s="16">
        <v>1.3</v>
      </c>
      <c r="M556" s="17">
        <f t="shared" si="50"/>
        <v>0.76923076923076916</v>
      </c>
      <c r="N556" s="17">
        <f>IF(OR(L556="",L556=0),"",Параметры!$B$3/L556)</f>
        <v>6.1538461538461533</v>
      </c>
      <c r="O556" s="15">
        <f>IF(L556="","",IFERROR(INDEX('Почасовка — ставки и план'!$D$5:$D$24,MATCH($D556,'Почасовка — ставки и план'!$A$5:$A$24,0)),""))</f>
        <v>900</v>
      </c>
      <c r="P556" s="15">
        <f>IF(L556="","",IFERROR(INDEX('Почасовка — ставки и план'!$E$5:$E$24,MATCH($D556,'Почасовка — ставки и план'!$A$5:$A$24,0)),""))</f>
        <v>1080</v>
      </c>
      <c r="Q556" s="15">
        <f t="shared" si="51"/>
        <v>1170</v>
      </c>
      <c r="R556" s="13" t="str">
        <f>IF(D556="TEX","аренда техники — сделка/счёт",IF(OR(Q556="",H556="",H556=0),"—",IF(Q556&lt;H556*(1-Параметры!$B$7),"почасовка",IF(Q556&gt;H556*(1+Параметры!$B$7),"сделка","любой способ"))))</f>
        <v>сделка</v>
      </c>
      <c r="S556">
        <v>0</v>
      </c>
      <c r="T556">
        <v>0</v>
      </c>
    </row>
    <row r="557" spans="1:20" x14ac:dyDescent="0.25">
      <c r="A557" s="13" t="s">
        <v>1166</v>
      </c>
      <c r="B557" s="13" t="s">
        <v>1167</v>
      </c>
      <c r="C557" s="13" t="s">
        <v>72</v>
      </c>
      <c r="D557" s="13" t="s">
        <v>208</v>
      </c>
      <c r="E557" s="13" t="str">
        <f>IFERROR(INDEX('Почасовка — ставки и план'!$B$5:$B$24,MATCH(D557,'Почасовка — ставки и план'!$A$5:$A$24,0)),"Аренда техники / механизмы")</f>
        <v>Отделочник (штукатур, маляр, ГКЛ)</v>
      </c>
      <c r="F557" s="14">
        <v>70</v>
      </c>
      <c r="G557" s="14">
        <v>80</v>
      </c>
      <c r="H557" s="15">
        <v>40</v>
      </c>
      <c r="I557" s="15">
        <f>IF(OR(H557="",F557=""),"",MAX(H557,MIN(ROUND(H557*(1+Параметры!$B$5),IF(H557*(1+Параметры!$B$5)&gt;=1000,-1,0)),ROUND(F557*Параметры!$B$6,IF(F557*Параметры!$B$6&gt;=1000,-1,0)))))</f>
        <v>46</v>
      </c>
      <c r="J557" s="15">
        <v>46</v>
      </c>
      <c r="K557" s="15">
        <f>IF(OR(J557="",G557=""),"",MAX(J557,MIN(ROUND(J557*(1+Параметры!$B$5),IF(J557*(1+Параметры!$B$5)&gt;=1000,-1,0)),ROUND(G557*Параметры!$B$6,IF(G557*Параметры!$B$6&gt;=1000,-1,0)))))</f>
        <v>53</v>
      </c>
      <c r="L557" s="16">
        <v>0.04</v>
      </c>
      <c r="M557" s="17">
        <f t="shared" si="50"/>
        <v>25</v>
      </c>
      <c r="N557" s="17">
        <f>IF(OR(L557="",L557=0),"",Параметры!$B$3/L557)</f>
        <v>200</v>
      </c>
      <c r="O557" s="15">
        <f>IF(L557="","",IFERROR(INDEX('Почасовка — ставки и план'!$D$5:$D$24,MATCH($D557,'Почасовка — ставки и план'!$A$5:$A$24,0)),""))</f>
        <v>750</v>
      </c>
      <c r="P557" s="15">
        <f>IF(L557="","",IFERROR(INDEX('Почасовка — ставки и план'!$E$5:$E$24,MATCH($D557,'Почасовка — ставки и план'!$A$5:$A$24,0)),""))</f>
        <v>900</v>
      </c>
      <c r="Q557" s="15">
        <f t="shared" si="51"/>
        <v>30</v>
      </c>
      <c r="R557" s="13" t="str">
        <f>IF(D557="TEX","аренда техники — сделка/счёт",IF(OR(Q557="",H557="",H557=0),"—",IF(Q557&lt;H557*(1-Параметры!$B$7),"почасовка",IF(Q557&gt;H557*(1+Параметры!$B$7),"сделка","любой способ"))))</f>
        <v>почасовка</v>
      </c>
      <c r="S557">
        <v>0</v>
      </c>
      <c r="T557">
        <v>0</v>
      </c>
    </row>
    <row r="558" spans="1:20" x14ac:dyDescent="0.25">
      <c r="A558" s="13" t="s">
        <v>1168</v>
      </c>
      <c r="B558" s="13" t="s">
        <v>1169</v>
      </c>
      <c r="C558" s="13" t="s">
        <v>72</v>
      </c>
      <c r="D558" s="13" t="s">
        <v>208</v>
      </c>
      <c r="E558" s="13" t="str">
        <f>IFERROR(INDEX('Почасовка — ставки и план'!$B$5:$B$24,MATCH(D558,'Почасовка — ставки и план'!$A$5:$A$24,0)),"Аренда техники / механизмы")</f>
        <v>Отделочник (штукатур, маляр, ГКЛ)</v>
      </c>
      <c r="F558" s="14">
        <v>650</v>
      </c>
      <c r="G558" s="14">
        <v>750</v>
      </c>
      <c r="H558" s="15">
        <v>380</v>
      </c>
      <c r="I558" s="15">
        <f>IF(OR(H558="",F558=""),"",MAX(H558,MIN(ROUND(H558*(1+Параметры!$B$5),IF(H558*(1+Параметры!$B$5)&gt;=1000,-1,0)),ROUND(F558*Параметры!$B$6,IF(F558*Параметры!$B$6&gt;=1000,-1,0)))))</f>
        <v>437</v>
      </c>
      <c r="J558" s="15">
        <v>430</v>
      </c>
      <c r="K558" s="15">
        <f>IF(OR(J558="",G558=""),"",MAX(J558,MIN(ROUND(J558*(1+Параметры!$B$5),IF(J558*(1+Параметры!$B$5)&gt;=1000,-1,0)),ROUND(G558*Параметры!$B$6,IF(G558*Параметры!$B$6&gt;=1000,-1,0)))))</f>
        <v>495</v>
      </c>
      <c r="L558" s="16">
        <v>0.5</v>
      </c>
      <c r="M558" s="17">
        <f t="shared" si="50"/>
        <v>2</v>
      </c>
      <c r="N558" s="17">
        <f>IF(OR(L558="",L558=0),"",Параметры!$B$3/L558)</f>
        <v>16</v>
      </c>
      <c r="O558" s="15">
        <f>IF(L558="","",IFERROR(INDEX('Почасовка — ставки и план'!$D$5:$D$24,MATCH($D558,'Почасовка — ставки и план'!$A$5:$A$24,0)),""))</f>
        <v>750</v>
      </c>
      <c r="P558" s="15">
        <f>IF(L558="","",IFERROR(INDEX('Почасовка — ставки и план'!$E$5:$E$24,MATCH($D558,'Почасовка — ставки и план'!$A$5:$A$24,0)),""))</f>
        <v>900</v>
      </c>
      <c r="Q558" s="15">
        <f t="shared" si="51"/>
        <v>375</v>
      </c>
      <c r="R558" s="13" t="str">
        <f>IF(D558="TEX","аренда техники — сделка/счёт",IF(OR(Q558="",H558="",H558=0),"—",IF(Q558&lt;H558*(1-Параметры!$B$7),"почасовка",IF(Q558&gt;H558*(1+Параметры!$B$7),"сделка","любой способ"))))</f>
        <v>любой способ</v>
      </c>
      <c r="S558">
        <v>0</v>
      </c>
      <c r="T558">
        <v>0</v>
      </c>
    </row>
    <row r="559" spans="1:20" x14ac:dyDescent="0.25">
      <c r="A559" s="13" t="s">
        <v>1170</v>
      </c>
      <c r="B559" s="13" t="s">
        <v>1171</v>
      </c>
      <c r="C559" s="13" t="s">
        <v>72</v>
      </c>
      <c r="D559" s="13" t="s">
        <v>208</v>
      </c>
      <c r="E559" s="13" t="str">
        <f>IFERROR(INDEX('Почасовка — ставки и план'!$B$5:$B$24,MATCH(D559,'Почасовка — ставки и план'!$A$5:$A$24,0)),"Аренда техники / механизмы")</f>
        <v>Отделочник (штукатур, маляр, ГКЛ)</v>
      </c>
      <c r="F559" s="14">
        <v>451</v>
      </c>
      <c r="G559" s="14">
        <v>540</v>
      </c>
      <c r="H559" s="15">
        <v>260</v>
      </c>
      <c r="I559" s="15">
        <f>IF(OR(H559="",F559=""),"",MAX(H559,MIN(ROUND(H559*(1+Параметры!$B$5),IF(H559*(1+Параметры!$B$5)&gt;=1000,-1,0)),ROUND(F559*Параметры!$B$6,IF(F559*Параметры!$B$6&gt;=1000,-1,0)))))</f>
        <v>299</v>
      </c>
      <c r="J559" s="15">
        <v>300</v>
      </c>
      <c r="K559" s="15">
        <f>IF(OR(J559="",G559=""),"",MAX(J559,MIN(ROUND(J559*(1+Параметры!$B$5),IF(J559*(1+Параметры!$B$5)&gt;=1000,-1,0)),ROUND(G559*Параметры!$B$6,IF(G559*Параметры!$B$6&gt;=1000,-1,0)))))</f>
        <v>345</v>
      </c>
      <c r="L559" s="16">
        <v>0.45</v>
      </c>
      <c r="M559" s="17">
        <f t="shared" si="50"/>
        <v>2.2222222222222223</v>
      </c>
      <c r="N559" s="17">
        <f>IF(OR(L559="",L559=0),"",Параметры!$B$3/L559)</f>
        <v>17.777777777777779</v>
      </c>
      <c r="O559" s="15">
        <f>IF(L559="","",IFERROR(INDEX('Почасовка — ставки и план'!$D$5:$D$24,MATCH($D559,'Почасовка — ставки и план'!$A$5:$A$24,0)),""))</f>
        <v>750</v>
      </c>
      <c r="P559" s="15">
        <f>IF(L559="","",IFERROR(INDEX('Почасовка — ставки и план'!$E$5:$E$24,MATCH($D559,'Почасовка — ставки и план'!$A$5:$A$24,0)),""))</f>
        <v>900</v>
      </c>
      <c r="Q559" s="15">
        <f t="shared" si="51"/>
        <v>338</v>
      </c>
      <c r="R559" s="13" t="str">
        <f>IF(D559="TEX","аренда техники — сделка/счёт",IF(OR(Q559="",H559="",H559=0),"—",IF(Q559&lt;H559*(1-Параметры!$B$7),"почасовка",IF(Q559&gt;H559*(1+Параметры!$B$7),"сделка","любой способ"))))</f>
        <v>сделка</v>
      </c>
      <c r="S559">
        <v>2.2222222222221259E-3</v>
      </c>
      <c r="T559">
        <v>3.8461538461538547E-2</v>
      </c>
    </row>
    <row r="560" spans="1:20" x14ac:dyDescent="0.25">
      <c r="A560" s="13" t="s">
        <v>1172</v>
      </c>
      <c r="B560" s="13" t="s">
        <v>1173</v>
      </c>
      <c r="C560" s="13" t="s">
        <v>72</v>
      </c>
      <c r="D560" s="13" t="s">
        <v>208</v>
      </c>
      <c r="E560" s="13" t="str">
        <f>IFERROR(INDEX('Почасовка — ставки и план'!$B$5:$B$24,MATCH(D560,'Почасовка — ставки и план'!$A$5:$A$24,0)),"Аренда техники / механизмы")</f>
        <v>Отделочник (штукатур, маляр, ГКЛ)</v>
      </c>
      <c r="F560" s="14">
        <v>350</v>
      </c>
      <c r="G560" s="14">
        <v>400</v>
      </c>
      <c r="H560" s="15">
        <v>200</v>
      </c>
      <c r="I560" s="15">
        <f>IF(OR(H560="",F560=""),"",MAX(H560,MIN(ROUND(H560*(1+Параметры!$B$5),IF(H560*(1+Параметры!$B$5)&gt;=1000,-1,0)),ROUND(F560*Параметры!$B$6,IF(F560*Параметры!$B$6&gt;=1000,-1,0)))))</f>
        <v>230</v>
      </c>
      <c r="J560" s="15">
        <v>230</v>
      </c>
      <c r="K560" s="15">
        <f>IF(OR(J560="",G560=""),"",MAX(J560,MIN(ROUND(J560*(1+Параметры!$B$5),IF(J560*(1+Параметры!$B$5)&gt;=1000,-1,0)),ROUND(G560*Параметры!$B$6,IF(G560*Параметры!$B$6&gt;=1000,-1,0)))))</f>
        <v>265</v>
      </c>
      <c r="L560" s="16">
        <v>0.3</v>
      </c>
      <c r="M560" s="17">
        <f t="shared" si="50"/>
        <v>3.3333333333333335</v>
      </c>
      <c r="N560" s="17">
        <f>IF(OR(L560="",L560=0),"",Параметры!$B$3/L560)</f>
        <v>26.666666666666668</v>
      </c>
      <c r="O560" s="15">
        <f>IF(L560="","",IFERROR(INDEX('Почасовка — ставки и план'!$D$5:$D$24,MATCH($D560,'Почасовка — ставки и план'!$A$5:$A$24,0)),""))</f>
        <v>750</v>
      </c>
      <c r="P560" s="15">
        <f>IF(L560="","",IFERROR(INDEX('Почасовка — ставки и план'!$E$5:$E$24,MATCH($D560,'Почасовка — ставки и план'!$A$5:$A$24,0)),""))</f>
        <v>900</v>
      </c>
      <c r="Q560" s="15">
        <f t="shared" si="51"/>
        <v>225</v>
      </c>
      <c r="R560" s="13" t="str">
        <f>IF(D560="TEX","аренда техники — сделка/счёт",IF(OR(Q560="",H560="",H560=0),"—",IF(Q560&lt;H560*(1-Параметры!$B$7),"почасовка",IF(Q560&gt;H560*(1+Параметры!$B$7),"сделка","любой способ"))))</f>
        <v>сделка</v>
      </c>
      <c r="S560">
        <v>0</v>
      </c>
      <c r="T560">
        <v>0</v>
      </c>
    </row>
    <row r="561" spans="1:20" x14ac:dyDescent="0.25">
      <c r="A561" s="13" t="s">
        <v>1174</v>
      </c>
      <c r="B561" s="13" t="s">
        <v>1175</v>
      </c>
      <c r="C561" s="13" t="s">
        <v>72</v>
      </c>
      <c r="D561" s="13" t="s">
        <v>208</v>
      </c>
      <c r="E561" s="13" t="str">
        <f>IFERROR(INDEX('Почасовка — ставки и план'!$B$5:$B$24,MATCH(D561,'Почасовка — ставки и план'!$A$5:$A$24,0)),"Аренда техники / механизмы")</f>
        <v>Отделочник (штукатур, маляр, ГКЛ)</v>
      </c>
      <c r="F561" s="14">
        <v>330</v>
      </c>
      <c r="G561" s="14">
        <v>380</v>
      </c>
      <c r="H561" s="15">
        <v>190</v>
      </c>
      <c r="I561" s="15">
        <f>IF(OR(H561="",F561=""),"",MAX(H561,MIN(ROUND(H561*(1+Параметры!$B$5),IF(H561*(1+Параметры!$B$5)&gt;=1000,-1,0)),ROUND(F561*Параметры!$B$6,IF(F561*Параметры!$B$6&gt;=1000,-1,0)))))</f>
        <v>219</v>
      </c>
      <c r="J561" s="15">
        <v>220</v>
      </c>
      <c r="K561" s="15">
        <f>IF(OR(J561="",G561=""),"",MAX(J561,MIN(ROUND(J561*(1+Параметры!$B$5),IF(J561*(1+Параметры!$B$5)&gt;=1000,-1,0)),ROUND(G561*Параметры!$B$6,IF(G561*Параметры!$B$6&gt;=1000,-1,0)))))</f>
        <v>253</v>
      </c>
      <c r="L561" s="16">
        <v>0.2</v>
      </c>
      <c r="M561" s="17">
        <f t="shared" si="50"/>
        <v>5</v>
      </c>
      <c r="N561" s="17">
        <f>IF(OR(L561="",L561=0),"",Параметры!$B$3/L561)</f>
        <v>40</v>
      </c>
      <c r="O561" s="15">
        <f>IF(L561="","",IFERROR(INDEX('Почасовка — ставки и план'!$D$5:$D$24,MATCH($D561,'Почасовка — ставки и план'!$A$5:$A$24,0)),""))</f>
        <v>750</v>
      </c>
      <c r="P561" s="15">
        <f>IF(L561="","",IFERROR(INDEX('Почасовка — ставки и план'!$E$5:$E$24,MATCH($D561,'Почасовка — ставки и план'!$A$5:$A$24,0)),""))</f>
        <v>900</v>
      </c>
      <c r="Q561" s="15">
        <f t="shared" si="51"/>
        <v>150</v>
      </c>
      <c r="R561" s="13" t="str">
        <f>IF(D561="TEX","аренда техники — сделка/счёт",IF(OR(Q561="",H561="",H561=0),"—",IF(Q561&lt;H561*(1-Параметры!$B$7),"почасовка",IF(Q561&gt;H561*(1+Параметры!$B$7),"сделка","любой способ"))))</f>
        <v>почасовка</v>
      </c>
      <c r="S561">
        <v>0</v>
      </c>
      <c r="T561">
        <v>0</v>
      </c>
    </row>
    <row r="562" spans="1:20" x14ac:dyDescent="0.25">
      <c r="A562" s="13" t="s">
        <v>1176</v>
      </c>
      <c r="B562" s="13" t="s">
        <v>1177</v>
      </c>
      <c r="C562" s="13" t="s">
        <v>72</v>
      </c>
      <c r="D562" s="13" t="s">
        <v>252</v>
      </c>
      <c r="E562" s="13" t="str">
        <f>IFERROR(INDEX('Почасовка — ставки и план'!$B$5:$B$24,MATCH(D562,'Почасовка — ставки и план'!$A$5:$A$24,0)),"Аренда техники / механизмы")</f>
        <v>Каменщик</v>
      </c>
      <c r="F562" s="14">
        <v>1800</v>
      </c>
      <c r="G562" s="14">
        <v>2100</v>
      </c>
      <c r="H562" s="15">
        <v>1050</v>
      </c>
      <c r="I562" s="15">
        <f>IF(OR(H562="",F562=""),"",MAX(H562,MIN(ROUND(H562*(1+Параметры!$B$5),IF(H562*(1+Параметры!$B$5)&gt;=1000,-1,0)),ROUND(F562*Параметры!$B$6,IF(F562*Параметры!$B$6&gt;=1000,-1,0)))))</f>
        <v>1210</v>
      </c>
      <c r="J562" s="15">
        <v>1200</v>
      </c>
      <c r="K562" s="15">
        <f>IF(OR(J562="",G562=""),"",MAX(J562,MIN(ROUND(J562*(1+Параметры!$B$5),IF(J562*(1+Параметры!$B$5)&gt;=1000,-1,0)),ROUND(G562*Параметры!$B$6,IF(G562*Параметры!$B$6&gt;=1000,-1,0)))))</f>
        <v>1380</v>
      </c>
      <c r="L562" s="16">
        <v>1.6</v>
      </c>
      <c r="M562" s="17">
        <f t="shared" si="50"/>
        <v>0.625</v>
      </c>
      <c r="N562" s="17">
        <f>IF(OR(L562="",L562=0),"",Параметры!$B$3/L562)</f>
        <v>5</v>
      </c>
      <c r="O562" s="15">
        <f>IF(L562="","",IFERROR(INDEX('Почасовка — ставки и план'!$D$5:$D$24,MATCH($D562,'Почасовка — ставки и план'!$A$5:$A$24,0)),""))</f>
        <v>800</v>
      </c>
      <c r="P562" s="15">
        <f>IF(L562="","",IFERROR(INDEX('Почасовка — ставки и план'!$E$5:$E$24,MATCH($D562,'Почасовка — ставки и план'!$A$5:$A$24,0)),""))</f>
        <v>950</v>
      </c>
      <c r="Q562" s="15">
        <f t="shared" si="51"/>
        <v>1280</v>
      </c>
      <c r="R562" s="13" t="str">
        <f>IF(D562="TEX","аренда техники — сделка/счёт",IF(OR(Q562="",H562="",H562=0),"—",IF(Q562&lt;H562*(1-Параметры!$B$7),"почасовка",IF(Q562&gt;H562*(1+Параметры!$B$7),"сделка","любой способ"))))</f>
        <v>сделка</v>
      </c>
      <c r="S562">
        <v>0</v>
      </c>
      <c r="T562">
        <v>0</v>
      </c>
    </row>
    <row r="563" spans="1:20" x14ac:dyDescent="0.25">
      <c r="A563" s="13" t="s">
        <v>1178</v>
      </c>
      <c r="B563" s="13" t="s">
        <v>1179</v>
      </c>
      <c r="C563" s="13" t="s">
        <v>72</v>
      </c>
      <c r="D563" s="13" t="s">
        <v>208</v>
      </c>
      <c r="E563" s="13" t="str">
        <f>IFERROR(INDEX('Почасовка — ставки и план'!$B$5:$B$24,MATCH(D563,'Почасовка — ставки и план'!$A$5:$A$24,0)),"Аренда техники / механизмы")</f>
        <v>Отделочник (штукатур, маляр, ГКЛ)</v>
      </c>
      <c r="F563" s="14">
        <v>40</v>
      </c>
      <c r="G563" s="14">
        <v>46</v>
      </c>
      <c r="H563" s="15">
        <v>22</v>
      </c>
      <c r="I563" s="15">
        <f>IF(OR(H563="",F563=""),"",MAX(H563,MIN(ROUND(H563*(1+Параметры!$B$5),IF(H563*(1+Параметры!$B$5)&gt;=1000,-1,0)),ROUND(F563*Параметры!$B$6,IF(F563*Параметры!$B$6&gt;=1000,-1,0)))))</f>
        <v>25</v>
      </c>
      <c r="J563" s="15">
        <v>25</v>
      </c>
      <c r="K563" s="15">
        <f>IF(OR(J563="",G563=""),"",MAX(J563,MIN(ROUND(J563*(1+Параметры!$B$5),IF(J563*(1+Параметры!$B$5)&gt;=1000,-1,0)),ROUND(G563*Параметры!$B$6,IF(G563*Параметры!$B$6&gt;=1000,-1,0)))))</f>
        <v>29</v>
      </c>
      <c r="L563" s="16">
        <v>0.02</v>
      </c>
      <c r="M563" s="17">
        <f t="shared" si="50"/>
        <v>50</v>
      </c>
      <c r="N563" s="17">
        <f>IF(OR(L563="",L563=0),"",Параметры!$B$3/L563)</f>
        <v>400</v>
      </c>
      <c r="O563" s="15">
        <f>IF(L563="","",IFERROR(INDEX('Почасовка — ставки и план'!$D$5:$D$24,MATCH($D563,'Почасовка — ставки и план'!$A$5:$A$24,0)),""))</f>
        <v>750</v>
      </c>
      <c r="P563" s="15">
        <f>IF(L563="","",IFERROR(INDEX('Почасовка — ставки и план'!$E$5:$E$24,MATCH($D563,'Почасовка — ставки и план'!$A$5:$A$24,0)),""))</f>
        <v>900</v>
      </c>
      <c r="Q563" s="15">
        <f t="shared" si="51"/>
        <v>15</v>
      </c>
      <c r="R563" s="13" t="str">
        <f>IF(D563="TEX","аренда техники — сделка/счёт",IF(OR(Q563="",H563="",H563=0),"—",IF(Q563&lt;H563*(1-Параметры!$B$7),"почасовка",IF(Q563&gt;H563*(1+Параметры!$B$7),"сделка","любой способ"))))</f>
        <v>почасовка</v>
      </c>
      <c r="S563">
        <v>0</v>
      </c>
      <c r="T563">
        <v>0</v>
      </c>
    </row>
    <row r="564" spans="1:20" x14ac:dyDescent="0.25">
      <c r="A564" s="18" t="s">
        <v>1180</v>
      </c>
      <c r="B564" s="13" t="s">
        <v>1181</v>
      </c>
      <c r="C564" s="13" t="s">
        <v>72</v>
      </c>
      <c r="D564" s="13" t="s">
        <v>91</v>
      </c>
      <c r="E564" s="13" t="str">
        <f>IFERROR(INDEX('Почасовка — ставки и план'!$B$5:$B$24,MATCH(D564,'Почасовка — ставки и план'!$A$5:$A$24,0)),"Аренда техники / механизмы")</f>
        <v>Фасадчик / промальпинист</v>
      </c>
      <c r="F564" s="14">
        <v>1320</v>
      </c>
      <c r="G564" s="14">
        <v>1560</v>
      </c>
      <c r="H564" s="15">
        <v>750</v>
      </c>
      <c r="I564" s="15">
        <f>IF(OR(H564="",F564=""),"",MAX(H564,MIN(ROUND(H564*(1+Параметры!$B$5),IF(H564*(1+Параметры!$B$5)&gt;=1000,-1,0)),ROUND(F564*Параметры!$B$6,IF(F564*Параметры!$B$6&gt;=1000,-1,0)))))</f>
        <v>863</v>
      </c>
      <c r="J564" s="15">
        <v>870</v>
      </c>
      <c r="K564" s="15">
        <f>IF(OR(J564="",G564=""),"",MAX(J564,MIN(ROUND(J564*(1+Параметры!$B$5),IF(J564*(1+Параметры!$B$5)&gt;=1000,-1,0)),ROUND(G564*Параметры!$B$6,IF(G564*Параметры!$B$6&gt;=1000,-1,0)))))</f>
        <v>1000</v>
      </c>
      <c r="L564" s="16">
        <v>0.9</v>
      </c>
      <c r="M564" s="17">
        <f t="shared" si="50"/>
        <v>1.1111111111111112</v>
      </c>
      <c r="N564" s="17">
        <f>IF(OR(L564="",L564=0),"",Параметры!$B$3/L564)</f>
        <v>8.8888888888888893</v>
      </c>
      <c r="O564" s="15">
        <f>IF(L564="","",IFERROR(INDEX('Почасовка — ставки и план'!$D$5:$D$24,MATCH($D564,'Почасовка — ставки и план'!$A$5:$A$24,0)),""))</f>
        <v>1100</v>
      </c>
      <c r="P564" s="15">
        <f>IF(L564="","",IFERROR(INDEX('Почасовка — ставки и план'!$E$5:$E$24,MATCH($D564,'Почасовка — ставки и план'!$A$5:$A$24,0)),""))</f>
        <v>1300</v>
      </c>
      <c r="Q564" s="15">
        <f t="shared" si="51"/>
        <v>990</v>
      </c>
      <c r="R564" s="13" t="str">
        <f>IF(D564="TEX","аренда техники — сделка/счёт",IF(OR(Q564="",H564="",H564=0),"—",IF(Q564&lt;H564*(1-Параметры!$B$7),"почасовка",IF(Q564&gt;H564*(1+Параметры!$B$7),"сделка","любой способ"))))</f>
        <v>сделка</v>
      </c>
      <c r="S564">
        <v>1.538461538461533E-2</v>
      </c>
      <c r="T564">
        <v>4.0000000000000042E-2</v>
      </c>
    </row>
    <row r="565" spans="1:20" x14ac:dyDescent="0.25">
      <c r="A565" s="18" t="s">
        <v>1182</v>
      </c>
      <c r="B565" s="13" t="s">
        <v>1183</v>
      </c>
      <c r="C565" s="13" t="s">
        <v>72</v>
      </c>
      <c r="D565" s="13" t="s">
        <v>91</v>
      </c>
      <c r="E565" s="13" t="str">
        <f>IFERROR(INDEX('Почасовка — ставки и план'!$B$5:$B$24,MATCH(D565,'Почасовка — ставки и план'!$A$5:$A$24,0)),"Аренда техники / механизмы")</f>
        <v>Фасадчик / промальпинист</v>
      </c>
      <c r="F565" s="14">
        <v>440</v>
      </c>
      <c r="G565" s="14">
        <v>520</v>
      </c>
      <c r="H565" s="15">
        <v>230</v>
      </c>
      <c r="I565" s="15">
        <f>IF(OR(H565="",F565=""),"",MAX(H565,MIN(ROUND(H565*(1+Параметры!$B$5),IF(H565*(1+Параметры!$B$5)&gt;=1000,-1,0)),ROUND(F565*Параметры!$B$6,IF(F565*Параметры!$B$6&gt;=1000,-1,0)))))</f>
        <v>265</v>
      </c>
      <c r="J565" s="15">
        <v>265</v>
      </c>
      <c r="K565" s="15">
        <f>IF(OR(J565="",G565=""),"",MAX(J565,MIN(ROUND(J565*(1+Параметры!$B$5),IF(J565*(1+Параметры!$B$5)&gt;=1000,-1,0)),ROUND(G565*Параметры!$B$6,IF(G565*Параметры!$B$6&gt;=1000,-1,0)))))</f>
        <v>305</v>
      </c>
      <c r="L565" s="16">
        <v>0.3</v>
      </c>
      <c r="M565" s="17">
        <f t="shared" si="50"/>
        <v>3.3333333333333335</v>
      </c>
      <c r="N565" s="17">
        <f>IF(OR(L565="",L565=0),"",Параметры!$B$3/L565)</f>
        <v>26.666666666666668</v>
      </c>
      <c r="O565" s="15">
        <f>IF(L565="","",IFERROR(INDEX('Почасовка — ставки и план'!$D$5:$D$24,MATCH($D565,'Почасовка — ставки и план'!$A$5:$A$24,0)),""))</f>
        <v>1100</v>
      </c>
      <c r="P565" s="15">
        <f>IF(L565="","",IFERROR(INDEX('Почасовка — ставки и план'!$E$5:$E$24,MATCH($D565,'Почасовка — ставки и план'!$A$5:$A$24,0)),""))</f>
        <v>1300</v>
      </c>
      <c r="Q565" s="15">
        <f t="shared" si="51"/>
        <v>330</v>
      </c>
      <c r="R565" s="13" t="str">
        <f>IF(D565="TEX","аренда техники — сделка/счёт",IF(OR(Q565="",H565="",H565=0),"—",IF(Q565&lt;H565*(1-Параметры!$B$7),"почасовка",IF(Q565&gt;H565*(1+Параметры!$B$7),"сделка","любой способ"))))</f>
        <v>сделка</v>
      </c>
      <c r="S565">
        <v>0.1000000000000001</v>
      </c>
      <c r="T565">
        <v>0.13043478260869559</v>
      </c>
    </row>
    <row r="566" spans="1:20" x14ac:dyDescent="0.25">
      <c r="A566" s="18" t="s">
        <v>1184</v>
      </c>
      <c r="B566" s="13" t="s">
        <v>1185</v>
      </c>
      <c r="C566" s="13" t="s">
        <v>69</v>
      </c>
      <c r="D566" s="13" t="s">
        <v>91</v>
      </c>
      <c r="E566" s="13" t="str">
        <f>IFERROR(INDEX('Почасовка — ставки и план'!$B$5:$B$24,MATCH(D566,'Почасовка — ставки и план'!$A$5:$A$24,0)),"Аренда техники / механизмы")</f>
        <v>Фасадчик / промальпинист</v>
      </c>
      <c r="F566" s="14">
        <v>587</v>
      </c>
      <c r="G566" s="14">
        <v>694</v>
      </c>
      <c r="H566" s="15">
        <v>320</v>
      </c>
      <c r="I566" s="15">
        <f>IF(OR(H566="",F566=""),"",MAX(H566,MIN(ROUND(H566*(1+Параметры!$B$5),IF(H566*(1+Параметры!$B$5)&gt;=1000,-1,0)),ROUND(F566*Параметры!$B$6,IF(F566*Параметры!$B$6&gt;=1000,-1,0)))))</f>
        <v>368</v>
      </c>
      <c r="J566" s="15">
        <v>370</v>
      </c>
      <c r="K566" s="15">
        <f>IF(OR(J566="",G566=""),"",MAX(J566,MIN(ROUND(J566*(1+Параметры!$B$5),IF(J566*(1+Параметры!$B$5)&gt;=1000,-1,0)),ROUND(G566*Параметры!$B$6,IF(G566*Параметры!$B$6&gt;=1000,-1,0)))))</f>
        <v>426</v>
      </c>
      <c r="L566" s="16">
        <v>0.4</v>
      </c>
      <c r="M566" s="17">
        <f t="shared" si="50"/>
        <v>2.5</v>
      </c>
      <c r="N566" s="17">
        <f>IF(OR(L566="",L566=0),"",Параметры!$B$3/L566)</f>
        <v>20</v>
      </c>
      <c r="O566" s="15">
        <f>IF(L566="","",IFERROR(INDEX('Почасовка — ставки и план'!$D$5:$D$24,MATCH($D566,'Почасовка — ставки и план'!$A$5:$A$24,0)),""))</f>
        <v>1100</v>
      </c>
      <c r="P566" s="15">
        <f>IF(L566="","",IFERROR(INDEX('Почасовка — ставки и план'!$E$5:$E$24,MATCH($D566,'Почасовка — ставки и план'!$A$5:$A$24,0)),""))</f>
        <v>1300</v>
      </c>
      <c r="Q566" s="15">
        <f t="shared" si="51"/>
        <v>440</v>
      </c>
      <c r="R566" s="13" t="str">
        <f>IF(D566="TEX","аренда техники — сделка/счёт",IF(OR(Q566="",H566="",H566=0),"—",IF(Q566&lt;H566*(1-Параметры!$B$7),"почасовка",IF(Q566&gt;H566*(1+Параметры!$B$7),"сделка","любой способ"))))</f>
        <v>сделка</v>
      </c>
      <c r="S566">
        <v>6.7272727272727373E-2</v>
      </c>
      <c r="T566">
        <v>6.7692307692307718E-2</v>
      </c>
    </row>
    <row r="567" spans="1:20" x14ac:dyDescent="0.25">
      <c r="A567" s="18" t="s">
        <v>1186</v>
      </c>
      <c r="B567" s="13" t="s">
        <v>1187</v>
      </c>
      <c r="C567" s="13" t="s">
        <v>72</v>
      </c>
      <c r="D567" s="13" t="s">
        <v>208</v>
      </c>
      <c r="E567" s="13" t="str">
        <f>IFERROR(INDEX('Почасовка — ставки и план'!$B$5:$B$24,MATCH(D567,'Почасовка — ставки и план'!$A$5:$A$24,0)),"Аренда техники / механизмы")</f>
        <v>Отделочник (штукатур, маляр, ГКЛ)</v>
      </c>
      <c r="F567" s="14">
        <v>300</v>
      </c>
      <c r="G567" s="14">
        <v>360</v>
      </c>
      <c r="H567" s="15">
        <v>160</v>
      </c>
      <c r="I567" s="15">
        <f>IF(OR(H567="",F567=""),"",MAX(H567,MIN(ROUND(H567*(1+Параметры!$B$5),IF(H567*(1+Параметры!$B$5)&gt;=1000,-1,0)),ROUND(F567*Параметры!$B$6,IF(F567*Параметры!$B$6&gt;=1000,-1,0)))))</f>
        <v>184</v>
      </c>
      <c r="J567" s="15">
        <v>190</v>
      </c>
      <c r="K567" s="15">
        <f>IF(OR(J567="",G567=""),"",MAX(J567,MIN(ROUND(J567*(1+Параметры!$B$5),IF(J567*(1+Параметры!$B$5)&gt;=1000,-1,0)),ROUND(G567*Параметры!$B$6,IF(G567*Параметры!$B$6&gt;=1000,-1,0)))))</f>
        <v>219</v>
      </c>
      <c r="L567" s="16">
        <v>0.3</v>
      </c>
      <c r="M567" s="17">
        <f t="shared" si="50"/>
        <v>3.3333333333333335</v>
      </c>
      <c r="N567" s="17">
        <f>IF(OR(L567="",L567=0),"",Параметры!$B$3/L567)</f>
        <v>26.666666666666668</v>
      </c>
      <c r="O567" s="15">
        <f>IF(L567="","",IFERROR(INDEX('Почасовка — ставки и план'!$D$5:$D$24,MATCH($D567,'Почасовка — ставки и план'!$A$5:$A$24,0)),""))</f>
        <v>750</v>
      </c>
      <c r="P567" s="15">
        <f>IF(L567="","",IFERROR(INDEX('Почасовка — ставки и план'!$E$5:$E$24,MATCH($D567,'Почасовка — ставки и план'!$A$5:$A$24,0)),""))</f>
        <v>900</v>
      </c>
      <c r="Q567" s="15">
        <f t="shared" si="51"/>
        <v>225</v>
      </c>
      <c r="R567" s="13" t="str">
        <f>IF(D567="TEX","аренда техники — сделка/счёт",IF(OR(Q567="",H567="",H567=0),"—",IF(Q567&lt;H567*(1-Параметры!$B$7),"почасовка",IF(Q567&gt;H567*(1+Параметры!$B$7),"сделка","любой способ"))))</f>
        <v>сделка</v>
      </c>
      <c r="S567">
        <v>7.1428571428571397E-2</v>
      </c>
      <c r="T567">
        <v>9.0909090909090828E-2</v>
      </c>
    </row>
    <row r="568" spans="1:20" x14ac:dyDescent="0.25">
      <c r="A568" s="11" t="s">
        <v>1188</v>
      </c>
      <c r="B568" s="12"/>
      <c r="C568" s="12"/>
      <c r="D568" s="12"/>
      <c r="E568" s="12"/>
      <c r="F568" s="12"/>
      <c r="G568" s="12"/>
      <c r="H568" s="12"/>
      <c r="I568" s="12"/>
      <c r="J568" s="12"/>
      <c r="K568" s="12"/>
      <c r="L568" s="12"/>
      <c r="M568" s="12"/>
      <c r="N568" s="12"/>
      <c r="O568" s="12"/>
      <c r="P568" s="12"/>
      <c r="Q568" s="12"/>
      <c r="R568" s="12"/>
    </row>
    <row r="569" spans="1:20" x14ac:dyDescent="0.25">
      <c r="A569" s="13" t="s">
        <v>1189</v>
      </c>
      <c r="B569" s="13" t="s">
        <v>1190</v>
      </c>
      <c r="C569" s="13" t="s">
        <v>72</v>
      </c>
      <c r="D569" s="13" t="s">
        <v>91</v>
      </c>
      <c r="E569" s="13" t="str">
        <f>IFERROR(INDEX('Почасовка — ставки и план'!$B$5:$B$24,MATCH(D569,'Почасовка — ставки и план'!$A$5:$A$24,0)),"Аренда техники / механизмы")</f>
        <v>Фасадчик / промальпинист</v>
      </c>
      <c r="F569" s="14">
        <v>1760</v>
      </c>
      <c r="G569" s="14">
        <v>2080</v>
      </c>
      <c r="H569" s="15">
        <v>870</v>
      </c>
      <c r="I569" s="15">
        <f>IF(OR(H569="",F569=""),"",MAX(H569,MIN(ROUND(H569*(1+Параметры!$B$5),IF(H569*(1+Параметры!$B$5)&gt;=1000,-1,0)),ROUND(F569*Параметры!$B$6,IF(F569*Параметры!$B$6&gt;=1000,-1,0)))))</f>
        <v>1000</v>
      </c>
      <c r="J569" s="15">
        <v>1000</v>
      </c>
      <c r="K569" s="15">
        <f>IF(OR(J569="",G569=""),"",MAX(J569,MIN(ROUND(J569*(1+Параметры!$B$5),IF(J569*(1+Параметры!$B$5)&gt;=1000,-1,0)),ROUND(G569*Параметры!$B$6,IF(G569*Параметры!$B$6&gt;=1000,-1,0)))))</f>
        <v>1150</v>
      </c>
      <c r="L569" s="16">
        <v>1.2</v>
      </c>
      <c r="M569" s="17">
        <f t="shared" ref="M569:M577" si="52">IF(OR(L569="",L569=0),"",1/L569)</f>
        <v>0.83333333333333337</v>
      </c>
      <c r="N569" s="17">
        <f>IF(OR(L569="",L569=0),"",Параметры!$B$3/L569)</f>
        <v>6.666666666666667</v>
      </c>
      <c r="O569" s="15">
        <f>IF(L569="","",IFERROR(INDEX('Почасовка — ставки и план'!$D$5:$D$24,MATCH($D569,'Почасовка — ставки и план'!$A$5:$A$24,0)),""))</f>
        <v>1100</v>
      </c>
      <c r="P569" s="15">
        <f>IF(L569="","",IFERROR(INDEX('Почасовка — ставки и план'!$E$5:$E$24,MATCH($D569,'Почасовка — ставки и план'!$A$5:$A$24,0)),""))</f>
        <v>1300</v>
      </c>
      <c r="Q569" s="15">
        <f t="shared" ref="Q569:Q577" si="53">IF(OR(L569="",O569=""),"",ROUND(L569*O569,0))</f>
        <v>1320</v>
      </c>
      <c r="R569" s="13" t="str">
        <f>IF(D569="TEX","аренда техники — сделка/счёт",IF(OR(Q569="",H569="",H569=0),"—",IF(Q569&lt;H569*(1-Параметры!$B$7),"почасовка",IF(Q569&gt;H569*(1+Параметры!$B$7),"сделка","любой способ"))))</f>
        <v>сделка</v>
      </c>
      <c r="S569">
        <v>0.17333333333333331</v>
      </c>
      <c r="T569">
        <v>0.18857142857142861</v>
      </c>
    </row>
    <row r="570" spans="1:20" x14ac:dyDescent="0.25">
      <c r="A570" s="13" t="s">
        <v>1191</v>
      </c>
      <c r="B570" s="13" t="s">
        <v>1192</v>
      </c>
      <c r="C570" s="13" t="s">
        <v>72</v>
      </c>
      <c r="D570" s="13" t="s">
        <v>91</v>
      </c>
      <c r="E570" s="13" t="str">
        <f>IFERROR(INDEX('Почасовка — ставки и план'!$B$5:$B$24,MATCH(D570,'Почасовка — ставки и план'!$A$5:$A$24,0)),"Аренда техники / механизмы")</f>
        <v>Фасадчик / промальпинист</v>
      </c>
      <c r="F570" s="14">
        <v>2934</v>
      </c>
      <c r="G570" s="14">
        <v>3467</v>
      </c>
      <c r="H570" s="15">
        <v>1450</v>
      </c>
      <c r="I570" s="15">
        <f>IF(OR(H570="",F570=""),"",MAX(H570,MIN(ROUND(H570*(1+Параметры!$B$5),IF(H570*(1+Параметры!$B$5)&gt;=1000,-1,0)),ROUND(F570*Параметры!$B$6,IF(F570*Параметры!$B$6&gt;=1000,-1,0)))))</f>
        <v>1670</v>
      </c>
      <c r="J570" s="15">
        <v>1680</v>
      </c>
      <c r="K570" s="15">
        <f>IF(OR(J570="",G570=""),"",MAX(J570,MIN(ROUND(J570*(1+Параметры!$B$5),IF(J570*(1+Параметры!$B$5)&gt;=1000,-1,0)),ROUND(G570*Параметры!$B$6,IF(G570*Параметры!$B$6&gt;=1000,-1,0)))))</f>
        <v>1930</v>
      </c>
      <c r="L570" s="16">
        <v>2</v>
      </c>
      <c r="M570" s="17">
        <f t="shared" si="52"/>
        <v>0.5</v>
      </c>
      <c r="N570" s="17">
        <f>IF(OR(L570="",L570=0),"",Параметры!$B$3/L570)</f>
        <v>4</v>
      </c>
      <c r="O570" s="15">
        <f>IF(L570="","",IFERROR(INDEX('Почасовка — ставки и план'!$D$5:$D$24,MATCH($D570,'Почасовка — ставки и план'!$A$5:$A$24,0)),""))</f>
        <v>1100</v>
      </c>
      <c r="P570" s="15">
        <f>IF(L570="","",IFERROR(INDEX('Почасовка — ставки и план'!$E$5:$E$24,MATCH($D570,'Почасовка — ставки и план'!$A$5:$A$24,0)),""))</f>
        <v>1300</v>
      </c>
      <c r="Q570" s="15">
        <f t="shared" si="53"/>
        <v>2200</v>
      </c>
      <c r="R570" s="13" t="str">
        <f>IF(D570="TEX","аренда техники — сделка/счёт",IF(OR(Q570="",H570="",H570=0),"—",IF(Q570&lt;H570*(1-Параметры!$B$7),"почасовка",IF(Q570&gt;H570*(1+Параметры!$B$7),"сделка","любой способ"))))</f>
        <v>сделка</v>
      </c>
      <c r="S570">
        <v>0.1736</v>
      </c>
      <c r="T570">
        <v>0.19551724137931031</v>
      </c>
    </row>
    <row r="571" spans="1:20" x14ac:dyDescent="0.25">
      <c r="A571" s="13" t="s">
        <v>1193</v>
      </c>
      <c r="B571" s="13" t="s">
        <v>1194</v>
      </c>
      <c r="C571" s="13" t="s">
        <v>72</v>
      </c>
      <c r="D571" s="13" t="s">
        <v>91</v>
      </c>
      <c r="E571" s="13" t="str">
        <f>IFERROR(INDEX('Почасовка — ставки и план'!$B$5:$B$24,MATCH(D571,'Почасовка — ставки и план'!$A$5:$A$24,0)),"Аренда техники / механизмы")</f>
        <v>Фасадчик / промальпинист</v>
      </c>
      <c r="F571" s="14">
        <v>880</v>
      </c>
      <c r="G571" s="14">
        <v>1040</v>
      </c>
      <c r="H571" s="15">
        <v>400</v>
      </c>
      <c r="I571" s="15">
        <f>IF(OR(H571="",F571=""),"",MAX(H571,MIN(ROUND(H571*(1+Параметры!$B$5),IF(H571*(1+Параметры!$B$5)&gt;=1000,-1,0)),ROUND(F571*Параметры!$B$6,IF(F571*Параметры!$B$6&gt;=1000,-1,0)))))</f>
        <v>460</v>
      </c>
      <c r="J571" s="15">
        <v>460</v>
      </c>
      <c r="K571" s="15">
        <f>IF(OR(J571="",G571=""),"",MAX(J571,MIN(ROUND(J571*(1+Параметры!$B$5),IF(J571*(1+Параметры!$B$5)&gt;=1000,-1,0)),ROUND(G571*Параметры!$B$6,IF(G571*Параметры!$B$6&gt;=1000,-1,0)))))</f>
        <v>529</v>
      </c>
      <c r="L571" s="16">
        <v>0.6</v>
      </c>
      <c r="M571" s="17">
        <f t="shared" si="52"/>
        <v>1.6666666666666667</v>
      </c>
      <c r="N571" s="17">
        <f>IF(OR(L571="",L571=0),"",Параметры!$B$3/L571)</f>
        <v>13.333333333333334</v>
      </c>
      <c r="O571" s="15">
        <f>IF(L571="","",IFERROR(INDEX('Почасовка — ставки и план'!$D$5:$D$24,MATCH($D571,'Почасовка — ставки и план'!$A$5:$A$24,0)),""))</f>
        <v>1100</v>
      </c>
      <c r="P571" s="15">
        <f>IF(L571="","",IFERROR(INDEX('Почасовка — ставки и план'!$E$5:$E$24,MATCH($D571,'Почасовка — ставки и план'!$A$5:$A$24,0)),""))</f>
        <v>1300</v>
      </c>
      <c r="Q571" s="15">
        <f t="shared" si="53"/>
        <v>660</v>
      </c>
      <c r="R571" s="13" t="str">
        <f>IF(D571="TEX","аренда техники — сделка/счёт",IF(OR(Q571="",H571="",H571=0),"—",IF(Q571&lt;H571*(1-Параметры!$B$7),"почасовка",IF(Q571&gt;H571*(1+Параметры!$B$7),"сделка","любой способ"))))</f>
        <v>сделка</v>
      </c>
      <c r="S571">
        <v>0.25714285714285712</v>
      </c>
      <c r="T571">
        <v>0.3</v>
      </c>
    </row>
    <row r="572" spans="1:20" x14ac:dyDescent="0.25">
      <c r="A572" s="13" t="s">
        <v>1195</v>
      </c>
      <c r="B572" s="13" t="s">
        <v>1196</v>
      </c>
      <c r="C572" s="13" t="s">
        <v>72</v>
      </c>
      <c r="D572" s="13" t="s">
        <v>91</v>
      </c>
      <c r="E572" s="13" t="str">
        <f>IFERROR(INDEX('Почасовка — ставки и план'!$B$5:$B$24,MATCH(D572,'Почасовка — ставки и план'!$A$5:$A$24,0)),"Аренда техники / механизмы")</f>
        <v>Фасадчик / промальпинист</v>
      </c>
      <c r="F572" s="14">
        <v>1760</v>
      </c>
      <c r="G572" s="14">
        <v>2080</v>
      </c>
      <c r="H572" s="15">
        <v>870</v>
      </c>
      <c r="I572" s="15">
        <f>IF(OR(H572="",F572=""),"",MAX(H572,MIN(ROUND(H572*(1+Параметры!$B$5),IF(H572*(1+Параметры!$B$5)&gt;=1000,-1,0)),ROUND(F572*Параметры!$B$6,IF(F572*Параметры!$B$6&gt;=1000,-1,0)))))</f>
        <v>1000</v>
      </c>
      <c r="J572" s="15">
        <v>1000</v>
      </c>
      <c r="K572" s="15">
        <f>IF(OR(J572="",G572=""),"",MAX(J572,MIN(ROUND(J572*(1+Параметры!$B$5),IF(J572*(1+Параметры!$B$5)&gt;=1000,-1,0)),ROUND(G572*Параметры!$B$6,IF(G572*Параметры!$B$6&gt;=1000,-1,0)))))</f>
        <v>1150</v>
      </c>
      <c r="L572" s="16">
        <v>1.2</v>
      </c>
      <c r="M572" s="17">
        <f t="shared" si="52"/>
        <v>0.83333333333333337</v>
      </c>
      <c r="N572" s="17">
        <f>IF(OR(L572="",L572=0),"",Параметры!$B$3/L572)</f>
        <v>6.666666666666667</v>
      </c>
      <c r="O572" s="15">
        <f>IF(L572="","",IFERROR(INDEX('Почасовка — ставки и план'!$D$5:$D$24,MATCH($D572,'Почасовка — ставки и план'!$A$5:$A$24,0)),""))</f>
        <v>1100</v>
      </c>
      <c r="P572" s="15">
        <f>IF(L572="","",IFERROR(INDEX('Почасовка — ставки и план'!$E$5:$E$24,MATCH($D572,'Почасовка — ставки и план'!$A$5:$A$24,0)),""))</f>
        <v>1300</v>
      </c>
      <c r="Q572" s="15">
        <f t="shared" si="53"/>
        <v>1320</v>
      </c>
      <c r="R572" s="13" t="str">
        <f>IF(D572="TEX","аренда техники — сделка/счёт",IF(OR(Q572="",H572="",H572=0),"—",IF(Q572&lt;H572*(1-Параметры!$B$7),"почасовка",IF(Q572&gt;H572*(1+Параметры!$B$7),"сделка","любой способ"))))</f>
        <v>сделка</v>
      </c>
      <c r="S572">
        <v>0.17333333333333331</v>
      </c>
      <c r="T572">
        <v>0.18857142857142861</v>
      </c>
    </row>
    <row r="573" spans="1:20" x14ac:dyDescent="0.25">
      <c r="A573" s="13" t="s">
        <v>1197</v>
      </c>
      <c r="B573" s="13" t="s">
        <v>1198</v>
      </c>
      <c r="C573" s="13" t="s">
        <v>72</v>
      </c>
      <c r="D573" s="13" t="s">
        <v>91</v>
      </c>
      <c r="E573" s="13" t="str">
        <f>IFERROR(INDEX('Почасовка — ставки и план'!$B$5:$B$24,MATCH(D573,'Почасовка — ставки и план'!$A$5:$A$24,0)),"Аренда техники / механизмы")</f>
        <v>Фасадчик / промальпинист</v>
      </c>
      <c r="F573" s="14">
        <v>2500</v>
      </c>
      <c r="G573" s="14">
        <v>2900</v>
      </c>
      <c r="H573" s="15">
        <v>1450</v>
      </c>
      <c r="I573" s="15">
        <f>IF(OR(H573="",F573=""),"",MAX(H573,MIN(ROUND(H573*(1+Параметры!$B$5),IF(H573*(1+Параметры!$B$5)&gt;=1000,-1,0)),ROUND(F573*Параметры!$B$6,IF(F573*Параметры!$B$6&gt;=1000,-1,0)))))</f>
        <v>1670</v>
      </c>
      <c r="J573" s="15">
        <v>1680</v>
      </c>
      <c r="K573" s="15">
        <f>IF(OR(J573="",G573=""),"",MAX(J573,MIN(ROUND(J573*(1+Параметры!$B$5),IF(J573*(1+Параметры!$B$5)&gt;=1000,-1,0)),ROUND(G573*Параметры!$B$6,IF(G573*Параметры!$B$6&gt;=1000,-1,0)))))</f>
        <v>1930</v>
      </c>
      <c r="L573" s="16">
        <v>1.5</v>
      </c>
      <c r="M573" s="17">
        <f t="shared" si="52"/>
        <v>0.66666666666666663</v>
      </c>
      <c r="N573" s="17">
        <f>IF(OR(L573="",L573=0),"",Параметры!$B$3/L573)</f>
        <v>5.333333333333333</v>
      </c>
      <c r="O573" s="15">
        <f>IF(L573="","",IFERROR(INDEX('Почасовка — ставки и план'!$D$5:$D$24,MATCH($D573,'Почасовка — ставки и план'!$A$5:$A$24,0)),""))</f>
        <v>1100</v>
      </c>
      <c r="P573" s="15">
        <f>IF(L573="","",IFERROR(INDEX('Почасовка — ставки и план'!$E$5:$E$24,MATCH($D573,'Почасовка — ставки и план'!$A$5:$A$24,0)),""))</f>
        <v>1300</v>
      </c>
      <c r="Q573" s="15">
        <f t="shared" si="53"/>
        <v>1650</v>
      </c>
      <c r="R573" s="13" t="str">
        <f>IF(D573="TEX","аренда техники — сделка/счёт",IF(OR(Q573="",H573="",H573=0),"—",IF(Q573&lt;H573*(1-Параметры!$B$7),"почасовка",IF(Q573&gt;H573*(1+Параметры!$B$7),"сделка","любой способ"))))</f>
        <v>сделка</v>
      </c>
      <c r="S573">
        <v>0</v>
      </c>
      <c r="T573">
        <v>0</v>
      </c>
    </row>
    <row r="574" spans="1:20" x14ac:dyDescent="0.25">
      <c r="A574" s="13" t="s">
        <v>1199</v>
      </c>
      <c r="B574" s="13" t="s">
        <v>1200</v>
      </c>
      <c r="C574" s="13" t="s">
        <v>144</v>
      </c>
      <c r="D574" s="13" t="s">
        <v>747</v>
      </c>
      <c r="E574" s="13" t="str">
        <f>IFERROR(INDEX('Почасовка — ставки и план'!$B$5:$B$24,MATCH(D574,'Почасовка — ставки и план'!$A$5:$A$24,0)),"Аренда техники / механизмы")</f>
        <v>Механик ПС / подъёмников / прессов / доков</v>
      </c>
      <c r="F574" s="14">
        <v>1600</v>
      </c>
      <c r="G574" s="14">
        <v>1920</v>
      </c>
      <c r="H574" s="15">
        <v>640</v>
      </c>
      <c r="I574" s="15">
        <f>IF(OR(H574="",F574=""),"",MAX(H574,MIN(ROUND(H574*(1+Параметры!$B$5),IF(H574*(1+Параметры!$B$5)&gt;=1000,-1,0)),ROUND(F574*Параметры!$B$6,IF(F574*Параметры!$B$6&gt;=1000,-1,0)))))</f>
        <v>736</v>
      </c>
      <c r="J574" s="15">
        <v>730</v>
      </c>
      <c r="K574" s="15">
        <f>IF(OR(J574="",G574=""),"",MAX(J574,MIN(ROUND(J574*(1+Параметры!$B$5),IF(J574*(1+Параметры!$B$5)&gt;=1000,-1,0)),ROUND(G574*Параметры!$B$6,IF(G574*Параметры!$B$6&gt;=1000,-1,0)))))</f>
        <v>840</v>
      </c>
      <c r="L574" s="16">
        <v>0.8</v>
      </c>
      <c r="M574" s="17">
        <f t="shared" si="52"/>
        <v>1.25</v>
      </c>
      <c r="N574" s="17">
        <f>IF(OR(L574="",L574=0),"",Параметры!$B$3/L574)</f>
        <v>10</v>
      </c>
      <c r="O574" s="15">
        <f>IF(L574="","",IFERROR(INDEX('Почасовка — ставки и план'!$D$5:$D$24,MATCH($D574,'Почасовка — ставки и план'!$A$5:$A$24,0)),""))</f>
        <v>1500</v>
      </c>
      <c r="P574" s="15">
        <f>IF(L574="","",IFERROR(INDEX('Почасовка — ставки и план'!$E$5:$E$24,MATCH($D574,'Почасовка — ставки и план'!$A$5:$A$24,0)),""))</f>
        <v>1800</v>
      </c>
      <c r="Q574" s="15">
        <f t="shared" si="53"/>
        <v>1200</v>
      </c>
      <c r="R574" s="13" t="str">
        <f>IF(D574="TEX","аренда техники — сделка/счёт",IF(OR(Q574="",H574="",H574=0),"—",IF(Q574&lt;H574*(1-Параметры!$B$7),"почасовка",IF(Q574&gt;H574*(1+Параметры!$B$7),"сделка","любой способ"))))</f>
        <v>сделка</v>
      </c>
      <c r="S574">
        <v>0.45454545454545459</v>
      </c>
      <c r="T574">
        <v>0.53600000000000003</v>
      </c>
    </row>
    <row r="575" spans="1:20" x14ac:dyDescent="0.25">
      <c r="A575" s="13" t="s">
        <v>1201</v>
      </c>
      <c r="B575" s="13" t="s">
        <v>1202</v>
      </c>
      <c r="C575" s="13" t="s">
        <v>72</v>
      </c>
      <c r="D575" s="13" t="s">
        <v>208</v>
      </c>
      <c r="E575" s="13" t="str">
        <f>IFERROR(INDEX('Почасовка — ставки и план'!$B$5:$B$24,MATCH(D575,'Почасовка — ставки и план'!$A$5:$A$24,0)),"Аренда техники / механизмы")</f>
        <v>Отделочник (штукатур, маляр, ГКЛ)</v>
      </c>
      <c r="F575" s="14">
        <v>1100</v>
      </c>
      <c r="G575" s="14">
        <v>1300</v>
      </c>
      <c r="H575" s="15">
        <v>640</v>
      </c>
      <c r="I575" s="15">
        <f>IF(OR(H575="",F575=""),"",MAX(H575,MIN(ROUND(H575*(1+Параметры!$B$5),IF(H575*(1+Параметры!$B$5)&gt;=1000,-1,0)),ROUND(F575*Параметры!$B$6,IF(F575*Параметры!$B$6&gt;=1000,-1,0)))))</f>
        <v>736</v>
      </c>
      <c r="J575" s="15">
        <v>750</v>
      </c>
      <c r="K575" s="15">
        <f>IF(OR(J575="",G575=""),"",MAX(J575,MIN(ROUND(J575*(1+Параметры!$B$5),IF(J575*(1+Параметры!$B$5)&gt;=1000,-1,0)),ROUND(G575*Параметры!$B$6,IF(G575*Параметры!$B$6&gt;=1000,-1,0)))))</f>
        <v>863</v>
      </c>
      <c r="L575" s="16">
        <v>1</v>
      </c>
      <c r="M575" s="17">
        <f t="shared" si="52"/>
        <v>1</v>
      </c>
      <c r="N575" s="17">
        <f>IF(OR(L575="",L575=0),"",Параметры!$B$3/L575)</f>
        <v>8</v>
      </c>
      <c r="O575" s="15">
        <f>IF(L575="","",IFERROR(INDEX('Почасовка — ставки и план'!$D$5:$D$24,MATCH($D575,'Почасовка — ставки и план'!$A$5:$A$24,0)),""))</f>
        <v>750</v>
      </c>
      <c r="P575" s="15">
        <f>IF(L575="","",IFERROR(INDEX('Почасовка — ставки и план'!$E$5:$E$24,MATCH($D575,'Почасовка — ставки и план'!$A$5:$A$24,0)),""))</f>
        <v>900</v>
      </c>
      <c r="Q575" s="15">
        <f t="shared" si="53"/>
        <v>750</v>
      </c>
      <c r="R575" s="13" t="str">
        <f>IF(D575="TEX","аренда техники — сделка/счёт",IF(OR(Q575="",H575="",H575=0),"—",IF(Q575&lt;H575*(1-Параметры!$B$7),"почасовка",IF(Q575&gt;H575*(1+Параметры!$B$7),"сделка","любой способ"))))</f>
        <v>сделка</v>
      </c>
      <c r="S575">
        <v>0</v>
      </c>
      <c r="T575">
        <v>0</v>
      </c>
    </row>
    <row r="576" spans="1:20" x14ac:dyDescent="0.25">
      <c r="A576" s="18" t="s">
        <v>1203</v>
      </c>
      <c r="B576" s="13" t="s">
        <v>1204</v>
      </c>
      <c r="C576" s="13" t="s">
        <v>69</v>
      </c>
      <c r="D576" s="13" t="s">
        <v>91</v>
      </c>
      <c r="E576" s="13" t="str">
        <f>IFERROR(INDEX('Почасовка — ставки и план'!$B$5:$B$24,MATCH(D576,'Почасовка — ставки и план'!$A$5:$A$24,0)),"Аренда техники / механизмы")</f>
        <v>Фасадчик / промальпинист</v>
      </c>
      <c r="F576" s="14">
        <v>350</v>
      </c>
      <c r="G576" s="14">
        <v>420</v>
      </c>
      <c r="H576" s="15">
        <v>200</v>
      </c>
      <c r="I576" s="15">
        <f>IF(OR(H576="",F576=""),"",MAX(H576,MIN(ROUND(H576*(1+Параметры!$B$5),IF(H576*(1+Параметры!$B$5)&gt;=1000,-1,0)),ROUND(F576*Параметры!$B$6,IF(F576*Параметры!$B$6&gt;=1000,-1,0)))))</f>
        <v>230</v>
      </c>
      <c r="J576" s="15">
        <v>240</v>
      </c>
      <c r="K576" s="15">
        <f>IF(OR(J576="",G576=""),"",MAX(J576,MIN(ROUND(J576*(1+Параметры!$B$5),IF(J576*(1+Параметры!$B$5)&gt;=1000,-1,0)),ROUND(G576*Параметры!$B$6,IF(G576*Параметры!$B$6&gt;=1000,-1,0)))))</f>
        <v>276</v>
      </c>
      <c r="L576" s="16">
        <v>0.2</v>
      </c>
      <c r="M576" s="17">
        <f t="shared" si="52"/>
        <v>5</v>
      </c>
      <c r="N576" s="17">
        <f>IF(OR(L576="",L576=0),"",Параметры!$B$3/L576)</f>
        <v>40</v>
      </c>
      <c r="O576" s="15">
        <f>IF(L576="","",IFERROR(INDEX('Почасовка — ставки и план'!$D$5:$D$24,MATCH($D576,'Почасовка — ставки и план'!$A$5:$A$24,0)),""))</f>
        <v>1100</v>
      </c>
      <c r="P576" s="15">
        <f>IF(L576="","",IFERROR(INDEX('Почасовка — ставки и план'!$E$5:$E$24,MATCH($D576,'Почасовка — ставки и план'!$A$5:$A$24,0)),""))</f>
        <v>1300</v>
      </c>
      <c r="Q576" s="15">
        <f t="shared" si="53"/>
        <v>220</v>
      </c>
      <c r="R576" s="13" t="str">
        <f>IF(D576="TEX","аренда техники — сделка/счёт",IF(OR(Q576="",H576="",H576=0),"—",IF(Q576&lt;H576*(1-Параметры!$B$7),"почасовка",IF(Q576&gt;H576*(1+Параметры!$B$7),"сделка","любой способ"))))</f>
        <v>любой способ</v>
      </c>
      <c r="S576">
        <v>0</v>
      </c>
      <c r="T576">
        <v>0</v>
      </c>
    </row>
    <row r="577" spans="1:20" x14ac:dyDescent="0.25">
      <c r="A577" s="18" t="s">
        <v>1205</v>
      </c>
      <c r="B577" s="13" t="s">
        <v>1206</v>
      </c>
      <c r="C577" s="13" t="s">
        <v>69</v>
      </c>
      <c r="D577" s="13" t="s">
        <v>91</v>
      </c>
      <c r="E577" s="13" t="str">
        <f>IFERROR(INDEX('Почасовка — ставки и план'!$B$5:$B$24,MATCH(D577,'Почасовка — ставки и план'!$A$5:$A$24,0)),"Аренда техники / механизмы")</f>
        <v>Фасадчик / промальпинист</v>
      </c>
      <c r="F577" s="14">
        <v>440</v>
      </c>
      <c r="G577" s="14">
        <v>520</v>
      </c>
      <c r="H577" s="15">
        <v>230</v>
      </c>
      <c r="I577" s="15">
        <f>IF(OR(H577="",F577=""),"",MAX(H577,MIN(ROUND(H577*(1+Параметры!$B$5),IF(H577*(1+Параметры!$B$5)&gt;=1000,-1,0)),ROUND(F577*Параметры!$B$6,IF(F577*Параметры!$B$6&gt;=1000,-1,0)))))</f>
        <v>265</v>
      </c>
      <c r="J577" s="15">
        <v>265</v>
      </c>
      <c r="K577" s="15">
        <f>IF(OR(J577="",G577=""),"",MAX(J577,MIN(ROUND(J577*(1+Параметры!$B$5),IF(J577*(1+Параметры!$B$5)&gt;=1000,-1,0)),ROUND(G577*Параметры!$B$6,IF(G577*Параметры!$B$6&gt;=1000,-1,0)))))</f>
        <v>305</v>
      </c>
      <c r="L577" s="16">
        <v>0.3</v>
      </c>
      <c r="M577" s="17">
        <f t="shared" si="52"/>
        <v>3.3333333333333335</v>
      </c>
      <c r="N577" s="17">
        <f>IF(OR(L577="",L577=0),"",Параметры!$B$3/L577)</f>
        <v>26.666666666666668</v>
      </c>
      <c r="O577" s="15">
        <f>IF(L577="","",IFERROR(INDEX('Почасовка — ставки и план'!$D$5:$D$24,MATCH($D577,'Почасовка — ставки и план'!$A$5:$A$24,0)),""))</f>
        <v>1100</v>
      </c>
      <c r="P577" s="15">
        <f>IF(L577="","",IFERROR(INDEX('Почасовка — ставки и план'!$E$5:$E$24,MATCH($D577,'Почасовка — ставки и план'!$A$5:$A$24,0)),""))</f>
        <v>1300</v>
      </c>
      <c r="Q577" s="15">
        <f t="shared" si="53"/>
        <v>330</v>
      </c>
      <c r="R577" s="13" t="str">
        <f>IF(D577="TEX","аренда техники — сделка/счёт",IF(OR(Q577="",H577="",H577=0),"—",IF(Q577&lt;H577*(1-Параметры!$B$7),"почасовка",IF(Q577&gt;H577*(1+Параметры!$B$7),"сделка","любой способ"))))</f>
        <v>сделка</v>
      </c>
      <c r="S577">
        <v>0.1000000000000001</v>
      </c>
      <c r="T577">
        <v>0.13043478260869559</v>
      </c>
    </row>
    <row r="578" spans="1:20" x14ac:dyDescent="0.25">
      <c r="A578" s="11" t="s">
        <v>1207</v>
      </c>
      <c r="B578" s="12"/>
      <c r="C578" s="12"/>
      <c r="D578" s="12"/>
      <c r="E578" s="12"/>
      <c r="F578" s="12"/>
      <c r="G578" s="12"/>
      <c r="H578" s="12"/>
      <c r="I578" s="12"/>
      <c r="J578" s="12"/>
      <c r="K578" s="12"/>
      <c r="L578" s="12"/>
      <c r="M578" s="12"/>
      <c r="N578" s="12"/>
      <c r="O578" s="12"/>
      <c r="P578" s="12"/>
      <c r="Q578" s="12"/>
      <c r="R578" s="12"/>
    </row>
    <row r="579" spans="1:20" x14ac:dyDescent="0.25">
      <c r="A579" s="13" t="s">
        <v>1208</v>
      </c>
      <c r="B579" s="13" t="s">
        <v>1209</v>
      </c>
      <c r="C579" s="13" t="s">
        <v>69</v>
      </c>
      <c r="D579" s="13" t="s">
        <v>88</v>
      </c>
      <c r="E579" s="13" t="str">
        <f>IFERROR(INDEX('Почасовка — ставки и план'!$B$5:$B$24,MATCH(D579,'Почасовка — ставки и план'!$A$5:$A$24,0)),"Аренда техники / механизмы")</f>
        <v>Кровельщик</v>
      </c>
      <c r="F579" s="14">
        <v>150</v>
      </c>
      <c r="G579" s="14">
        <v>175</v>
      </c>
      <c r="H579" s="15">
        <v>85</v>
      </c>
      <c r="I579" s="15">
        <f>IF(OR(H579="",F579=""),"",MAX(H579,MIN(ROUND(H579*(1+Параметры!$B$5),IF(H579*(1+Параметры!$B$5)&gt;=1000,-1,0)),ROUND(F579*Параметры!$B$6,IF(F579*Параметры!$B$6&gt;=1000,-1,0)))))</f>
        <v>98</v>
      </c>
      <c r="J579" s="15">
        <v>100</v>
      </c>
      <c r="K579" s="15">
        <f>IF(OR(J579="",G579=""),"",MAX(J579,MIN(ROUND(J579*(1+Параметры!$B$5),IF(J579*(1+Параметры!$B$5)&gt;=1000,-1,0)),ROUND(G579*Параметры!$B$6,IF(G579*Параметры!$B$6&gt;=1000,-1,0)))))</f>
        <v>115</v>
      </c>
      <c r="L579" s="16">
        <v>0.08</v>
      </c>
      <c r="M579" s="17">
        <f t="shared" ref="M579:M617" si="54">IF(OR(L579="",L579=0),"",1/L579)</f>
        <v>12.5</v>
      </c>
      <c r="N579" s="17">
        <f>IF(OR(L579="",L579=0),"",Параметры!$B$3/L579)</f>
        <v>100</v>
      </c>
      <c r="O579" s="15">
        <f>IF(L579="","",IFERROR(INDEX('Почасовка — ставки и план'!$D$5:$D$24,MATCH($D579,'Почасовка — ставки и план'!$A$5:$A$24,0)),""))</f>
        <v>800</v>
      </c>
      <c r="P579" s="15">
        <f>IF(L579="","",IFERROR(INDEX('Почасовка — ставки и план'!$E$5:$E$24,MATCH($D579,'Почасовка — ставки и план'!$A$5:$A$24,0)),""))</f>
        <v>950</v>
      </c>
      <c r="Q579" s="15">
        <f t="shared" ref="Q579:Q617" si="55">IF(OR(L579="",O579=""),"",ROUND(L579*O579,0))</f>
        <v>64</v>
      </c>
      <c r="R579" s="13" t="str">
        <f>IF(D579="TEX","аренда техники — сделка/счёт",IF(OR(Q579="",H579="",H579=0),"—",IF(Q579&lt;H579*(1-Параметры!$B$7),"почасовка",IF(Q579&gt;H579*(1+Параметры!$B$7),"сделка","любой способ"))))</f>
        <v>почасовка</v>
      </c>
      <c r="S579">
        <v>0</v>
      </c>
      <c r="T579">
        <v>0</v>
      </c>
    </row>
    <row r="580" spans="1:20" x14ac:dyDescent="0.25">
      <c r="A580" s="13" t="s">
        <v>1210</v>
      </c>
      <c r="B580" s="13" t="s">
        <v>1211</v>
      </c>
      <c r="C580" s="13" t="s">
        <v>55</v>
      </c>
      <c r="D580" s="13" t="s">
        <v>88</v>
      </c>
      <c r="E580" s="13" t="str">
        <f>IFERROR(INDEX('Почасовка — ставки и план'!$B$5:$B$24,MATCH(D580,'Почасовка — ставки и план'!$A$5:$A$24,0)),"Аренда техники / механизмы")</f>
        <v>Кровельщик</v>
      </c>
      <c r="F580" s="14">
        <v>6500</v>
      </c>
      <c r="G580" s="14">
        <v>7600</v>
      </c>
      <c r="H580" s="15">
        <v>3800</v>
      </c>
      <c r="I580" s="15">
        <f>IF(OR(H580="",F580=""),"",MAX(H580,MIN(ROUND(H580*(1+Параметры!$B$5),IF(H580*(1+Параметры!$B$5)&gt;=1000,-1,0)),ROUND(F580*Параметры!$B$6,IF(F580*Параметры!$B$6&gt;=1000,-1,0)))))</f>
        <v>4370</v>
      </c>
      <c r="J580" s="15">
        <v>4400</v>
      </c>
      <c r="K580" s="15">
        <f>IF(OR(J580="",G580=""),"",MAX(J580,MIN(ROUND(J580*(1+Параметры!$B$5),IF(J580*(1+Параметры!$B$5)&gt;=1000,-1,0)),ROUND(G580*Параметры!$B$6,IF(G580*Параметры!$B$6&gt;=1000,-1,0)))))</f>
        <v>5060</v>
      </c>
      <c r="L580" s="16">
        <v>6</v>
      </c>
      <c r="M580" s="17">
        <f t="shared" si="54"/>
        <v>0.16666666666666666</v>
      </c>
      <c r="N580" s="17">
        <f>IF(OR(L580="",L580=0),"",Параметры!$B$3/L580)</f>
        <v>1.3333333333333333</v>
      </c>
      <c r="O580" s="15">
        <f>IF(L580="","",IFERROR(INDEX('Почасовка — ставки и план'!$D$5:$D$24,MATCH($D580,'Почасовка — ставки и план'!$A$5:$A$24,0)),""))</f>
        <v>800</v>
      </c>
      <c r="P580" s="15">
        <f>IF(L580="","",IFERROR(INDEX('Почасовка — ставки и план'!$E$5:$E$24,MATCH($D580,'Почасовка — ставки и план'!$A$5:$A$24,0)),""))</f>
        <v>950</v>
      </c>
      <c r="Q580" s="15">
        <f t="shared" si="55"/>
        <v>4800</v>
      </c>
      <c r="R580" s="13" t="str">
        <f>IF(D580="TEX","аренда техники — сделка/счёт",IF(OR(Q580="",H580="",H580=0),"—",IF(Q580&lt;H580*(1-Параметры!$B$7),"почасовка",IF(Q580&gt;H580*(1+Параметры!$B$7),"сделка","любой способ"))))</f>
        <v>сделка</v>
      </c>
      <c r="S580">
        <v>0</v>
      </c>
      <c r="T580">
        <v>1.3333333333333419E-2</v>
      </c>
    </row>
    <row r="581" spans="1:20" x14ac:dyDescent="0.25">
      <c r="A581" s="13" t="s">
        <v>1212</v>
      </c>
      <c r="B581" s="13" t="s">
        <v>1213</v>
      </c>
      <c r="C581" s="13" t="s">
        <v>72</v>
      </c>
      <c r="D581" s="13" t="s">
        <v>88</v>
      </c>
      <c r="E581" s="13" t="str">
        <f>IFERROR(INDEX('Почасовка — ставки и план'!$B$5:$B$24,MATCH(D581,'Почасовка — ставки и план'!$A$5:$A$24,0)),"Аренда техники / механизмы")</f>
        <v>Кровельщик</v>
      </c>
      <c r="F581" s="14">
        <v>350</v>
      </c>
      <c r="G581" s="14">
        <v>400</v>
      </c>
      <c r="H581" s="15">
        <v>200</v>
      </c>
      <c r="I581" s="15">
        <f>IF(OR(H581="",F581=""),"",MAX(H581,MIN(ROUND(H581*(1+Параметры!$B$5),IF(H581*(1+Параметры!$B$5)&gt;=1000,-1,0)),ROUND(F581*Параметры!$B$6,IF(F581*Параметры!$B$6&gt;=1000,-1,0)))))</f>
        <v>230</v>
      </c>
      <c r="J581" s="15">
        <v>230</v>
      </c>
      <c r="K581" s="15">
        <f>IF(OR(J581="",G581=""),"",MAX(J581,MIN(ROUND(J581*(1+Параметры!$B$5),IF(J581*(1+Параметры!$B$5)&gt;=1000,-1,0)),ROUND(G581*Параметры!$B$6,IF(G581*Параметры!$B$6&gt;=1000,-1,0)))))</f>
        <v>265</v>
      </c>
      <c r="L581" s="16">
        <v>0.25</v>
      </c>
      <c r="M581" s="17">
        <f t="shared" si="54"/>
        <v>4</v>
      </c>
      <c r="N581" s="17">
        <f>IF(OR(L581="",L581=0),"",Параметры!$B$3/L581)</f>
        <v>32</v>
      </c>
      <c r="O581" s="15">
        <f>IF(L581="","",IFERROR(INDEX('Почасовка — ставки и план'!$D$5:$D$24,MATCH($D581,'Почасовка — ставки и план'!$A$5:$A$24,0)),""))</f>
        <v>800</v>
      </c>
      <c r="P581" s="15">
        <f>IF(L581="","",IFERROR(INDEX('Почасовка — ставки и план'!$E$5:$E$24,MATCH($D581,'Почасовка — ставки и план'!$A$5:$A$24,0)),""))</f>
        <v>950</v>
      </c>
      <c r="Q581" s="15">
        <f t="shared" si="55"/>
        <v>200</v>
      </c>
      <c r="R581" s="13" t="str">
        <f>IF(D581="TEX","аренда техники — сделка/счёт",IF(OR(Q581="",H581="",H581=0),"—",IF(Q581&lt;H581*(1-Параметры!$B$7),"почасовка",IF(Q581&gt;H581*(1+Параметры!$B$7),"сделка","любой способ"))))</f>
        <v>любой способ</v>
      </c>
      <c r="S581">
        <v>0</v>
      </c>
      <c r="T581">
        <v>0</v>
      </c>
    </row>
    <row r="582" spans="1:20" x14ac:dyDescent="0.25">
      <c r="A582" s="13" t="s">
        <v>1214</v>
      </c>
      <c r="B582" s="13" t="s">
        <v>1215</v>
      </c>
      <c r="C582" s="13" t="s">
        <v>72</v>
      </c>
      <c r="D582" s="13" t="s">
        <v>88</v>
      </c>
      <c r="E582" s="13" t="str">
        <f>IFERROR(INDEX('Почасовка — ставки и план'!$B$5:$B$24,MATCH(D582,'Почасовка — ставки и план'!$A$5:$A$24,0)),"Аренда техники / механизмы")</f>
        <v>Кровельщик</v>
      </c>
      <c r="F582" s="14">
        <v>500</v>
      </c>
      <c r="G582" s="14">
        <v>600</v>
      </c>
      <c r="H582" s="15">
        <v>290</v>
      </c>
      <c r="I582" s="15">
        <f>IF(OR(H582="",F582=""),"",MAX(H582,MIN(ROUND(H582*(1+Параметры!$B$5),IF(H582*(1+Параметры!$B$5)&gt;=1000,-1,0)),ROUND(F582*Параметры!$B$6,IF(F582*Параметры!$B$6&gt;=1000,-1,0)))))</f>
        <v>334</v>
      </c>
      <c r="J582" s="15">
        <v>350</v>
      </c>
      <c r="K582" s="15">
        <f>IF(OR(J582="",G582=""),"",MAX(J582,MIN(ROUND(J582*(1+Параметры!$B$5),IF(J582*(1+Параметры!$B$5)&gt;=1000,-1,0)),ROUND(G582*Параметры!$B$6,IF(G582*Параметры!$B$6&gt;=1000,-1,0)))))</f>
        <v>403</v>
      </c>
      <c r="L582" s="16">
        <v>0.4</v>
      </c>
      <c r="M582" s="17">
        <f t="shared" si="54"/>
        <v>2.5</v>
      </c>
      <c r="N582" s="17">
        <f>IF(OR(L582="",L582=0),"",Параметры!$B$3/L582)</f>
        <v>20</v>
      </c>
      <c r="O582" s="15">
        <f>IF(L582="","",IFERROR(INDEX('Почасовка — ставки и план'!$D$5:$D$24,MATCH($D582,'Почасовка — ставки и план'!$A$5:$A$24,0)),""))</f>
        <v>800</v>
      </c>
      <c r="P582" s="15">
        <f>IF(L582="","",IFERROR(INDEX('Почасовка — ставки и план'!$E$5:$E$24,MATCH($D582,'Почасовка — ставки и план'!$A$5:$A$24,0)),""))</f>
        <v>950</v>
      </c>
      <c r="Q582" s="15">
        <f t="shared" si="55"/>
        <v>320</v>
      </c>
      <c r="R582" s="13" t="str">
        <f>IF(D582="TEX","аренда техники — сделка/счёт",IF(OR(Q582="",H582="",H582=0),"—",IF(Q582&lt;H582*(1-Параметры!$B$7),"почасовка",IF(Q582&gt;H582*(1+Параметры!$B$7),"сделка","любой способ"))))</f>
        <v>сделка</v>
      </c>
      <c r="S582">
        <v>0</v>
      </c>
      <c r="T582">
        <v>0</v>
      </c>
    </row>
    <row r="583" spans="1:20" x14ac:dyDescent="0.25">
      <c r="A583" s="13" t="s">
        <v>1216</v>
      </c>
      <c r="B583" s="13" t="s">
        <v>1217</v>
      </c>
      <c r="C583" s="13" t="s">
        <v>72</v>
      </c>
      <c r="D583" s="13" t="s">
        <v>88</v>
      </c>
      <c r="E583" s="13" t="str">
        <f>IFERROR(INDEX('Почасовка — ставки и план'!$B$5:$B$24,MATCH(D583,'Почасовка — ставки и план'!$A$5:$A$24,0)),"Аренда техники / механизмы")</f>
        <v>Кровельщик</v>
      </c>
      <c r="F583" s="14">
        <v>170</v>
      </c>
      <c r="G583" s="14">
        <v>200</v>
      </c>
      <c r="H583" s="15">
        <v>100</v>
      </c>
      <c r="I583" s="15">
        <f>IF(OR(H583="",F583=""),"",MAX(H583,MIN(ROUND(H583*(1+Параметры!$B$5),IF(H583*(1+Параметры!$B$5)&gt;=1000,-1,0)),ROUND(F583*Параметры!$B$6,IF(F583*Параметры!$B$6&gt;=1000,-1,0)))))</f>
        <v>115</v>
      </c>
      <c r="J583" s="15">
        <v>115</v>
      </c>
      <c r="K583" s="15">
        <f>IF(OR(J583="",G583=""),"",MAX(J583,MIN(ROUND(J583*(1+Параметры!$B$5),IF(J583*(1+Параметры!$B$5)&gt;=1000,-1,0)),ROUND(G583*Параметры!$B$6,IF(G583*Параметры!$B$6&gt;=1000,-1,0)))))</f>
        <v>132</v>
      </c>
      <c r="L583" s="16">
        <v>0.15</v>
      </c>
      <c r="M583" s="17">
        <f t="shared" si="54"/>
        <v>6.666666666666667</v>
      </c>
      <c r="N583" s="17">
        <f>IF(OR(L583="",L583=0),"",Параметры!$B$3/L583)</f>
        <v>53.333333333333336</v>
      </c>
      <c r="O583" s="15">
        <f>IF(L583="","",IFERROR(INDEX('Почасовка — ставки и план'!$D$5:$D$24,MATCH($D583,'Почасовка — ставки и план'!$A$5:$A$24,0)),""))</f>
        <v>800</v>
      </c>
      <c r="P583" s="15">
        <f>IF(L583="","",IFERROR(INDEX('Почасовка — ставки и план'!$E$5:$E$24,MATCH($D583,'Почасовка — ставки и план'!$A$5:$A$24,0)),""))</f>
        <v>950</v>
      </c>
      <c r="Q583" s="15">
        <f t="shared" si="55"/>
        <v>120</v>
      </c>
      <c r="R583" s="13" t="str">
        <f>IF(D583="TEX","аренда техники — сделка/счёт",IF(OR(Q583="",H583="",H583=0),"—",IF(Q583&lt;H583*(1-Параметры!$B$7),"почасовка",IF(Q583&gt;H583*(1+Параметры!$B$7),"сделка","любой способ"))))</f>
        <v>сделка</v>
      </c>
      <c r="S583">
        <v>0</v>
      </c>
      <c r="T583">
        <v>0</v>
      </c>
    </row>
    <row r="584" spans="1:20" x14ac:dyDescent="0.25">
      <c r="A584" s="13" t="s">
        <v>1218</v>
      </c>
      <c r="B584" s="13" t="s">
        <v>1219</v>
      </c>
      <c r="C584" s="13" t="s">
        <v>72</v>
      </c>
      <c r="D584" s="13" t="s">
        <v>88</v>
      </c>
      <c r="E584" s="13" t="str">
        <f>IFERROR(INDEX('Почасовка — ставки и план'!$B$5:$B$24,MATCH(D584,'Почасовка — ставки и план'!$A$5:$A$24,0)),"Аренда техники / механизмы")</f>
        <v>Кровельщик</v>
      </c>
      <c r="F584" s="14">
        <v>40</v>
      </c>
      <c r="G584" s="14">
        <v>45</v>
      </c>
      <c r="H584" s="15">
        <v>22</v>
      </c>
      <c r="I584" s="15">
        <f>IF(OR(H584="",F584=""),"",MAX(H584,MIN(ROUND(H584*(1+Параметры!$B$5),IF(H584*(1+Параметры!$B$5)&gt;=1000,-1,0)),ROUND(F584*Параметры!$B$6,IF(F584*Параметры!$B$6&gt;=1000,-1,0)))))</f>
        <v>25</v>
      </c>
      <c r="J584" s="15">
        <v>26</v>
      </c>
      <c r="K584" s="15">
        <f>IF(OR(J584="",G584=""),"",MAX(J584,MIN(ROUND(J584*(1+Параметры!$B$5),IF(J584*(1+Параметры!$B$5)&gt;=1000,-1,0)),ROUND(G584*Параметры!$B$6,IF(G584*Параметры!$B$6&gt;=1000,-1,0)))))</f>
        <v>30</v>
      </c>
      <c r="L584" s="16">
        <v>0.02</v>
      </c>
      <c r="M584" s="17">
        <f t="shared" si="54"/>
        <v>50</v>
      </c>
      <c r="N584" s="17">
        <f>IF(OR(L584="",L584=0),"",Параметры!$B$3/L584)</f>
        <v>400</v>
      </c>
      <c r="O584" s="15">
        <f>IF(L584="","",IFERROR(INDEX('Почасовка — ставки и план'!$D$5:$D$24,MATCH($D584,'Почасовка — ставки и план'!$A$5:$A$24,0)),""))</f>
        <v>800</v>
      </c>
      <c r="P584" s="15">
        <f>IF(L584="","",IFERROR(INDEX('Почасовка — ставки и план'!$E$5:$E$24,MATCH($D584,'Почасовка — ставки и план'!$A$5:$A$24,0)),""))</f>
        <v>950</v>
      </c>
      <c r="Q584" s="15">
        <f t="shared" si="55"/>
        <v>16</v>
      </c>
      <c r="R584" s="13" t="str">
        <f>IF(D584="TEX","аренда техники — сделка/счёт",IF(OR(Q584="",H584="",H584=0),"—",IF(Q584&lt;H584*(1-Параметры!$B$7),"почасовка",IF(Q584&gt;H584*(1+Параметры!$B$7),"сделка","любой способ"))))</f>
        <v>почасовка</v>
      </c>
      <c r="S584">
        <v>0</v>
      </c>
      <c r="T584">
        <v>0</v>
      </c>
    </row>
    <row r="585" spans="1:20" x14ac:dyDescent="0.25">
      <c r="A585" s="13" t="s">
        <v>1220</v>
      </c>
      <c r="B585" s="13" t="s">
        <v>1221</v>
      </c>
      <c r="C585" s="13" t="s">
        <v>72</v>
      </c>
      <c r="D585" s="13" t="s">
        <v>88</v>
      </c>
      <c r="E585" s="13" t="str">
        <f>IFERROR(INDEX('Почасовка — ставки и план'!$B$5:$B$24,MATCH(D585,'Почасовка — ставки и план'!$A$5:$A$24,0)),"Аренда техники / механизмы")</f>
        <v>Кровельщик</v>
      </c>
      <c r="F585" s="14">
        <v>750</v>
      </c>
      <c r="G585" s="14">
        <v>900</v>
      </c>
      <c r="H585" s="15">
        <v>430</v>
      </c>
      <c r="I585" s="15">
        <f>IF(OR(H585="",F585=""),"",MAX(H585,MIN(ROUND(H585*(1+Параметры!$B$5),IF(H585*(1+Параметры!$B$5)&gt;=1000,-1,0)),ROUND(F585*Параметры!$B$6,IF(F585*Параметры!$B$6&gt;=1000,-1,0)))))</f>
        <v>495</v>
      </c>
      <c r="J585" s="15">
        <v>520</v>
      </c>
      <c r="K585" s="15">
        <f>IF(OR(J585="",G585=""),"",MAX(J585,MIN(ROUND(J585*(1+Параметры!$B$5),IF(J585*(1+Параметры!$B$5)&gt;=1000,-1,0)),ROUND(G585*Параметры!$B$6,IF(G585*Параметры!$B$6&gt;=1000,-1,0)))))</f>
        <v>598</v>
      </c>
      <c r="L585" s="16">
        <v>0.6</v>
      </c>
      <c r="M585" s="17">
        <f t="shared" si="54"/>
        <v>1.6666666666666667</v>
      </c>
      <c r="N585" s="17">
        <f>IF(OR(L585="",L585=0),"",Параметры!$B$3/L585)</f>
        <v>13.333333333333334</v>
      </c>
      <c r="O585" s="15">
        <f>IF(L585="","",IFERROR(INDEX('Почасовка — ставки и план'!$D$5:$D$24,MATCH($D585,'Почасовка — ставки и план'!$A$5:$A$24,0)),""))</f>
        <v>800</v>
      </c>
      <c r="P585" s="15">
        <f>IF(L585="","",IFERROR(INDEX('Почасовка — ставки и план'!$E$5:$E$24,MATCH($D585,'Почасовка — ставки и план'!$A$5:$A$24,0)),""))</f>
        <v>950</v>
      </c>
      <c r="Q585" s="15">
        <f t="shared" si="55"/>
        <v>480</v>
      </c>
      <c r="R585" s="13" t="str">
        <f>IF(D585="TEX","аренда техники — сделка/счёт",IF(OR(Q585="",H585="",H585=0),"—",IF(Q585&lt;H585*(1-Параметры!$B$7),"почасовка",IF(Q585&gt;H585*(1+Параметры!$B$7),"сделка","любой способ"))))</f>
        <v>сделка</v>
      </c>
      <c r="S585">
        <v>0</v>
      </c>
      <c r="T585">
        <v>0</v>
      </c>
    </row>
    <row r="586" spans="1:20" x14ac:dyDescent="0.25">
      <c r="A586" s="13" t="s">
        <v>1222</v>
      </c>
      <c r="B586" s="13" t="s">
        <v>1223</v>
      </c>
      <c r="C586" s="13" t="s">
        <v>72</v>
      </c>
      <c r="D586" s="13" t="s">
        <v>88</v>
      </c>
      <c r="E586" s="13" t="str">
        <f>IFERROR(INDEX('Почасовка — ставки и план'!$B$5:$B$24,MATCH(D586,'Почасовка — ставки и план'!$A$5:$A$24,0)),"Аренда техники / механизмы")</f>
        <v>Кровельщик</v>
      </c>
      <c r="F586" s="14">
        <v>1050</v>
      </c>
      <c r="G586" s="14">
        <v>1250</v>
      </c>
      <c r="H586" s="15">
        <v>600</v>
      </c>
      <c r="I586" s="15">
        <f>IF(OR(H586="",F586=""),"",MAX(H586,MIN(ROUND(H586*(1+Параметры!$B$5),IF(H586*(1+Параметры!$B$5)&gt;=1000,-1,0)),ROUND(F586*Параметры!$B$6,IF(F586*Параметры!$B$6&gt;=1000,-1,0)))))</f>
        <v>690</v>
      </c>
      <c r="J586" s="15">
        <v>720</v>
      </c>
      <c r="K586" s="15">
        <f>IF(OR(J586="",G586=""),"",MAX(J586,MIN(ROUND(J586*(1+Параметры!$B$5),IF(J586*(1+Параметры!$B$5)&gt;=1000,-1,0)),ROUND(G586*Параметры!$B$6,IF(G586*Параметры!$B$6&gt;=1000,-1,0)))))</f>
        <v>828</v>
      </c>
      <c r="L586" s="16">
        <v>0.85</v>
      </c>
      <c r="M586" s="17">
        <f t="shared" si="54"/>
        <v>1.1764705882352942</v>
      </c>
      <c r="N586" s="17">
        <f>IF(OR(L586="",L586=0),"",Параметры!$B$3/L586)</f>
        <v>9.4117647058823533</v>
      </c>
      <c r="O586" s="15">
        <f>IF(L586="","",IFERROR(INDEX('Почасовка — ставки и план'!$D$5:$D$24,MATCH($D586,'Почасовка — ставки и план'!$A$5:$A$24,0)),""))</f>
        <v>800</v>
      </c>
      <c r="P586" s="15">
        <f>IF(L586="","",IFERROR(INDEX('Почасовка — ставки и план'!$E$5:$E$24,MATCH($D586,'Почасовка — ставки и план'!$A$5:$A$24,0)),""))</f>
        <v>950</v>
      </c>
      <c r="Q586" s="15">
        <f t="shared" si="55"/>
        <v>680</v>
      </c>
      <c r="R586" s="13" t="str">
        <f>IF(D586="TEX","аренда техники — сделка/счёт",IF(OR(Q586="",H586="",H586=0),"—",IF(Q586&lt;H586*(1-Параметры!$B$7),"почасовка",IF(Q586&gt;H586*(1+Параметры!$B$7),"сделка","любой способ"))))</f>
        <v>сделка</v>
      </c>
      <c r="S586">
        <v>0</v>
      </c>
      <c r="T586">
        <v>0</v>
      </c>
    </row>
    <row r="587" spans="1:20" x14ac:dyDescent="0.25">
      <c r="A587" s="13" t="s">
        <v>1224</v>
      </c>
      <c r="B587" s="13" t="s">
        <v>1225</v>
      </c>
      <c r="C587" s="13" t="s">
        <v>1226</v>
      </c>
      <c r="D587" s="13" t="s">
        <v>88</v>
      </c>
      <c r="E587" s="13" t="str">
        <f>IFERROR(INDEX('Почасовка — ставки и план'!$B$5:$B$24,MATCH(D587,'Почасовка — ставки и план'!$A$5:$A$24,0)),"Аренда техники / механизмы")</f>
        <v>Кровельщик</v>
      </c>
      <c r="F587" s="14">
        <v>650</v>
      </c>
      <c r="G587" s="14">
        <v>760</v>
      </c>
      <c r="H587" s="15">
        <v>370</v>
      </c>
      <c r="I587" s="15">
        <f>IF(OR(H587="",F587=""),"",MAX(H587,MIN(ROUND(H587*(1+Параметры!$B$5),IF(H587*(1+Параметры!$B$5)&gt;=1000,-1,0)),ROUND(F587*Параметры!$B$6,IF(F587*Параметры!$B$6&gt;=1000,-1,0)))))</f>
        <v>426</v>
      </c>
      <c r="J587" s="15">
        <v>430</v>
      </c>
      <c r="K587" s="15">
        <f>IF(OR(J587="",G587=""),"",MAX(J587,MIN(ROUND(J587*(1+Параметры!$B$5),IF(J587*(1+Параметры!$B$5)&gt;=1000,-1,0)),ROUND(G587*Параметры!$B$6,IF(G587*Параметры!$B$6&gt;=1000,-1,0)))))</f>
        <v>495</v>
      </c>
      <c r="L587" s="16">
        <v>0.6</v>
      </c>
      <c r="M587" s="17">
        <f t="shared" si="54"/>
        <v>1.6666666666666667</v>
      </c>
      <c r="N587" s="17">
        <f>IF(OR(L587="",L587=0),"",Параметры!$B$3/L587)</f>
        <v>13.333333333333334</v>
      </c>
      <c r="O587" s="15">
        <f>IF(L587="","",IFERROR(INDEX('Почасовка — ставки и план'!$D$5:$D$24,MATCH($D587,'Почасовка — ставки и план'!$A$5:$A$24,0)),""))</f>
        <v>800</v>
      </c>
      <c r="P587" s="15">
        <f>IF(L587="","",IFERROR(INDEX('Почасовка — ставки и план'!$E$5:$E$24,MATCH($D587,'Почасовка — ставки и план'!$A$5:$A$24,0)),""))</f>
        <v>950</v>
      </c>
      <c r="Q587" s="15">
        <f t="shared" si="55"/>
        <v>480</v>
      </c>
      <c r="R587" s="13" t="str">
        <f>IF(D587="TEX","аренда техники — сделка/счёт",IF(OR(Q587="",H587="",H587=0),"—",IF(Q587&lt;H587*(1-Параметры!$B$7),"почасовка",IF(Q587&gt;H587*(1+Параметры!$B$7),"сделка","любой способ"))))</f>
        <v>сделка</v>
      </c>
      <c r="S587">
        <v>0</v>
      </c>
      <c r="T587">
        <v>1.3333333333333419E-2</v>
      </c>
    </row>
    <row r="588" spans="1:20" x14ac:dyDescent="0.25">
      <c r="A588" s="13" t="s">
        <v>1227</v>
      </c>
      <c r="B588" s="13" t="s">
        <v>1228</v>
      </c>
      <c r="C588" s="13" t="s">
        <v>72</v>
      </c>
      <c r="D588" s="13" t="s">
        <v>88</v>
      </c>
      <c r="E588" s="13" t="str">
        <f>IFERROR(INDEX('Почасовка — ставки и план'!$B$5:$B$24,MATCH(D588,'Почасовка — ставки и план'!$A$5:$A$24,0)),"Аренда техники / механизмы")</f>
        <v>Кровельщик</v>
      </c>
      <c r="F588" s="14">
        <v>450</v>
      </c>
      <c r="G588" s="14">
        <v>520</v>
      </c>
      <c r="H588" s="15">
        <v>260</v>
      </c>
      <c r="I588" s="15">
        <f>IF(OR(H588="",F588=""),"",MAX(H588,MIN(ROUND(H588*(1+Параметры!$B$5),IF(H588*(1+Параметры!$B$5)&gt;=1000,-1,0)),ROUND(F588*Параметры!$B$6,IF(F588*Параметры!$B$6&gt;=1000,-1,0)))))</f>
        <v>299</v>
      </c>
      <c r="J588" s="15">
        <v>300</v>
      </c>
      <c r="K588" s="15">
        <f>IF(OR(J588="",G588=""),"",MAX(J588,MIN(ROUND(J588*(1+Параметры!$B$5),IF(J588*(1+Параметры!$B$5)&gt;=1000,-1,0)),ROUND(G588*Параметры!$B$6,IF(G588*Параметры!$B$6&gt;=1000,-1,0)))))</f>
        <v>345</v>
      </c>
      <c r="L588" s="16">
        <v>0.15</v>
      </c>
      <c r="M588" s="17">
        <f t="shared" si="54"/>
        <v>6.666666666666667</v>
      </c>
      <c r="N588" s="17">
        <f>IF(OR(L588="",L588=0),"",Параметры!$B$3/L588)</f>
        <v>53.333333333333336</v>
      </c>
      <c r="O588" s="15">
        <f>IF(L588="","",IFERROR(INDEX('Почасовка — ставки и план'!$D$5:$D$24,MATCH($D588,'Почасовка — ставки и план'!$A$5:$A$24,0)),""))</f>
        <v>800</v>
      </c>
      <c r="P588" s="15">
        <f>IF(L588="","",IFERROR(INDEX('Почасовка — ставки и план'!$E$5:$E$24,MATCH($D588,'Почасовка — ставки и план'!$A$5:$A$24,0)),""))</f>
        <v>950</v>
      </c>
      <c r="Q588" s="15">
        <f t="shared" si="55"/>
        <v>120</v>
      </c>
      <c r="R588" s="13" t="str">
        <f>IF(D588="TEX","аренда техники — сделка/счёт",IF(OR(Q588="",H588="",H588=0),"—",IF(Q588&lt;H588*(1-Параметры!$B$7),"почасовка",IF(Q588&gt;H588*(1+Параметры!$B$7),"сделка","любой способ"))))</f>
        <v>почасовка</v>
      </c>
      <c r="S588">
        <v>0</v>
      </c>
      <c r="T588">
        <v>0</v>
      </c>
    </row>
    <row r="589" spans="1:20" x14ac:dyDescent="0.25">
      <c r="A589" s="13" t="s">
        <v>1229</v>
      </c>
      <c r="B589" s="13" t="s">
        <v>1230</v>
      </c>
      <c r="C589" s="13" t="s">
        <v>72</v>
      </c>
      <c r="D589" s="13" t="s">
        <v>88</v>
      </c>
      <c r="E589" s="13" t="str">
        <f>IFERROR(INDEX('Почасовка — ставки и план'!$B$5:$B$24,MATCH(D589,'Почасовка — ставки и план'!$A$5:$A$24,0)),"Аренда техники / механизмы")</f>
        <v>Кровельщик</v>
      </c>
      <c r="F589" s="14">
        <v>300</v>
      </c>
      <c r="G589" s="14">
        <v>350</v>
      </c>
      <c r="H589" s="15">
        <v>170</v>
      </c>
      <c r="I589" s="15">
        <f>IF(OR(H589="",F589=""),"",MAX(H589,MIN(ROUND(H589*(1+Параметры!$B$5),IF(H589*(1+Параметры!$B$5)&gt;=1000,-1,0)),ROUND(F589*Параметры!$B$6,IF(F589*Параметры!$B$6&gt;=1000,-1,0)))))</f>
        <v>196</v>
      </c>
      <c r="J589" s="15">
        <v>200</v>
      </c>
      <c r="K589" s="15">
        <f>IF(OR(J589="",G589=""),"",MAX(J589,MIN(ROUND(J589*(1+Параметры!$B$5),IF(J589*(1+Параметры!$B$5)&gt;=1000,-1,0)),ROUND(G589*Параметры!$B$6,IF(G589*Параметры!$B$6&gt;=1000,-1,0)))))</f>
        <v>230</v>
      </c>
      <c r="L589" s="16">
        <v>0.2</v>
      </c>
      <c r="M589" s="17">
        <f t="shared" si="54"/>
        <v>5</v>
      </c>
      <c r="N589" s="17">
        <f>IF(OR(L589="",L589=0),"",Параметры!$B$3/L589)</f>
        <v>40</v>
      </c>
      <c r="O589" s="15">
        <f>IF(L589="","",IFERROR(INDEX('Почасовка — ставки и план'!$D$5:$D$24,MATCH($D589,'Почасовка — ставки и план'!$A$5:$A$24,0)),""))</f>
        <v>800</v>
      </c>
      <c r="P589" s="15">
        <f>IF(L589="","",IFERROR(INDEX('Почасовка — ставки и план'!$E$5:$E$24,MATCH($D589,'Почасовка — ставки и план'!$A$5:$A$24,0)),""))</f>
        <v>950</v>
      </c>
      <c r="Q589" s="15">
        <f t="shared" si="55"/>
        <v>160</v>
      </c>
      <c r="R589" s="13" t="str">
        <f>IF(D589="TEX","аренда техники — сделка/счёт",IF(OR(Q589="",H589="",H589=0),"—",IF(Q589&lt;H589*(1-Параметры!$B$7),"почасовка",IF(Q589&gt;H589*(1+Параметры!$B$7),"сделка","любой способ"))))</f>
        <v>любой способ</v>
      </c>
      <c r="S589">
        <v>0</v>
      </c>
      <c r="T589">
        <v>0</v>
      </c>
    </row>
    <row r="590" spans="1:20" x14ac:dyDescent="0.25">
      <c r="A590" s="13" t="s">
        <v>1231</v>
      </c>
      <c r="B590" s="13" t="s">
        <v>1232</v>
      </c>
      <c r="C590" s="13" t="s">
        <v>72</v>
      </c>
      <c r="D590" s="13" t="s">
        <v>88</v>
      </c>
      <c r="E590" s="13" t="str">
        <f>IFERROR(INDEX('Почасовка — ставки и план'!$B$5:$B$24,MATCH(D590,'Почасовка — ставки и план'!$A$5:$A$24,0)),"Аренда техники / механизмы")</f>
        <v>Кровельщик</v>
      </c>
      <c r="F590" s="14">
        <v>25</v>
      </c>
      <c r="G590" s="14">
        <v>29</v>
      </c>
      <c r="H590" s="15">
        <v>14</v>
      </c>
      <c r="I590" s="15">
        <f>IF(OR(H590="",F590=""),"",MAX(H590,MIN(ROUND(H590*(1+Параметры!$B$5),IF(H590*(1+Параметры!$B$5)&gt;=1000,-1,0)),ROUND(F590*Параметры!$B$6,IF(F590*Параметры!$B$6&gt;=1000,-1,0)))))</f>
        <v>16</v>
      </c>
      <c r="J590" s="15">
        <v>16</v>
      </c>
      <c r="K590" s="15">
        <f>IF(OR(J590="",G590=""),"",MAX(J590,MIN(ROUND(J590*(1+Параметры!$B$5),IF(J590*(1+Параметры!$B$5)&gt;=1000,-1,0)),ROUND(G590*Параметры!$B$6,IF(G590*Параметры!$B$6&gt;=1000,-1,0)))))</f>
        <v>18</v>
      </c>
      <c r="L590" s="16">
        <v>0.02</v>
      </c>
      <c r="M590" s="17">
        <f t="shared" si="54"/>
        <v>50</v>
      </c>
      <c r="N590" s="17">
        <f>IF(OR(L590="",L590=0),"",Параметры!$B$3/L590)</f>
        <v>400</v>
      </c>
      <c r="O590" s="15">
        <f>IF(L590="","",IFERROR(INDEX('Почасовка — ставки и план'!$D$5:$D$24,MATCH($D590,'Почасовка — ставки и план'!$A$5:$A$24,0)),""))</f>
        <v>800</v>
      </c>
      <c r="P590" s="15">
        <f>IF(L590="","",IFERROR(INDEX('Почасовка — ставки и план'!$E$5:$E$24,MATCH($D590,'Почасовка — ставки и план'!$A$5:$A$24,0)),""))</f>
        <v>950</v>
      </c>
      <c r="Q590" s="15">
        <f t="shared" si="55"/>
        <v>16</v>
      </c>
      <c r="R590" s="13" t="str">
        <f>IF(D590="TEX","аренда техники — сделка/счёт",IF(OR(Q590="",H590="",H590=0),"—",IF(Q590&lt;H590*(1-Параметры!$B$7),"почасовка",IF(Q590&gt;H590*(1+Параметры!$B$7),"сделка","любой способ"))))</f>
        <v>сделка</v>
      </c>
      <c r="S590">
        <v>0</v>
      </c>
      <c r="T590">
        <v>0</v>
      </c>
    </row>
    <row r="591" spans="1:20" x14ac:dyDescent="0.25">
      <c r="A591" s="13" t="s">
        <v>1233</v>
      </c>
      <c r="B591" s="13" t="s">
        <v>1234</v>
      </c>
      <c r="C591" s="13" t="s">
        <v>72</v>
      </c>
      <c r="D591" s="13" t="s">
        <v>88</v>
      </c>
      <c r="E591" s="13" t="str">
        <f>IFERROR(INDEX('Почасовка — ставки и план'!$B$5:$B$24,MATCH(D591,'Почасовка — ставки и план'!$A$5:$A$24,0)),"Аренда техники / механизмы")</f>
        <v>Кровельщик</v>
      </c>
      <c r="F591" s="14">
        <v>300</v>
      </c>
      <c r="G591" s="14">
        <v>350</v>
      </c>
      <c r="H591" s="15">
        <v>170</v>
      </c>
      <c r="I591" s="15">
        <f>IF(OR(H591="",F591=""),"",MAX(H591,MIN(ROUND(H591*(1+Параметры!$B$5),IF(H591*(1+Параметры!$B$5)&gt;=1000,-1,0)),ROUND(F591*Параметры!$B$6,IF(F591*Параметры!$B$6&gt;=1000,-1,0)))))</f>
        <v>196</v>
      </c>
      <c r="J591" s="15">
        <v>200</v>
      </c>
      <c r="K591" s="15">
        <f>IF(OR(J591="",G591=""),"",MAX(J591,MIN(ROUND(J591*(1+Параметры!$B$5),IF(J591*(1+Параметры!$B$5)&gt;=1000,-1,0)),ROUND(G591*Параметры!$B$6,IF(G591*Параметры!$B$6&gt;=1000,-1,0)))))</f>
        <v>230</v>
      </c>
      <c r="L591" s="16">
        <v>0.12</v>
      </c>
      <c r="M591" s="17">
        <f t="shared" si="54"/>
        <v>8.3333333333333339</v>
      </c>
      <c r="N591" s="17">
        <f>IF(OR(L591="",L591=0),"",Параметры!$B$3/L591)</f>
        <v>66.666666666666671</v>
      </c>
      <c r="O591" s="15">
        <f>IF(L591="","",IFERROR(INDEX('Почасовка — ставки и план'!$D$5:$D$24,MATCH($D591,'Почасовка — ставки и план'!$A$5:$A$24,0)),""))</f>
        <v>800</v>
      </c>
      <c r="P591" s="15">
        <f>IF(L591="","",IFERROR(INDEX('Почасовка — ставки и план'!$E$5:$E$24,MATCH($D591,'Почасовка — ставки и план'!$A$5:$A$24,0)),""))</f>
        <v>950</v>
      </c>
      <c r="Q591" s="15">
        <f t="shared" si="55"/>
        <v>96</v>
      </c>
      <c r="R591" s="13" t="str">
        <f>IF(D591="TEX","аренда техники — сделка/счёт",IF(OR(Q591="",H591="",H591=0),"—",IF(Q591&lt;H591*(1-Параметры!$B$7),"почасовка",IF(Q591&gt;H591*(1+Параметры!$B$7),"сделка","любой способ"))))</f>
        <v>почасовка</v>
      </c>
      <c r="S591">
        <v>0</v>
      </c>
      <c r="T591">
        <v>0</v>
      </c>
    </row>
    <row r="592" spans="1:20" x14ac:dyDescent="0.25">
      <c r="A592" s="13" t="s">
        <v>1235</v>
      </c>
      <c r="B592" s="13" t="s">
        <v>1236</v>
      </c>
      <c r="C592" s="13" t="s">
        <v>72</v>
      </c>
      <c r="D592" s="13" t="s">
        <v>88</v>
      </c>
      <c r="E592" s="13" t="str">
        <f>IFERROR(INDEX('Почасовка — ставки и план'!$B$5:$B$24,MATCH(D592,'Почасовка — ставки и план'!$A$5:$A$24,0)),"Аренда техники / механизмы")</f>
        <v>Кровельщик</v>
      </c>
      <c r="F592" s="14">
        <v>400</v>
      </c>
      <c r="G592" s="14">
        <v>470</v>
      </c>
      <c r="H592" s="15">
        <v>230</v>
      </c>
      <c r="I592" s="15">
        <f>IF(OR(H592="",F592=""),"",MAX(H592,MIN(ROUND(H592*(1+Параметры!$B$5),IF(H592*(1+Параметры!$B$5)&gt;=1000,-1,0)),ROUND(F592*Параметры!$B$6,IF(F592*Параметры!$B$6&gt;=1000,-1,0)))))</f>
        <v>265</v>
      </c>
      <c r="J592" s="15">
        <v>270</v>
      </c>
      <c r="K592" s="15">
        <f>IF(OR(J592="",G592=""),"",MAX(J592,MIN(ROUND(J592*(1+Параметры!$B$5),IF(J592*(1+Параметры!$B$5)&gt;=1000,-1,0)),ROUND(G592*Параметры!$B$6,IF(G592*Параметры!$B$6&gt;=1000,-1,0)))))</f>
        <v>311</v>
      </c>
      <c r="L592" s="16">
        <v>0.25</v>
      </c>
      <c r="M592" s="17">
        <f t="shared" si="54"/>
        <v>4</v>
      </c>
      <c r="N592" s="17">
        <f>IF(OR(L592="",L592=0),"",Параметры!$B$3/L592)</f>
        <v>32</v>
      </c>
      <c r="O592" s="15">
        <f>IF(L592="","",IFERROR(INDEX('Почасовка — ставки и план'!$D$5:$D$24,MATCH($D592,'Почасовка — ставки и план'!$A$5:$A$24,0)),""))</f>
        <v>800</v>
      </c>
      <c r="P592" s="15">
        <f>IF(L592="","",IFERROR(INDEX('Почасовка — ставки и план'!$E$5:$E$24,MATCH($D592,'Почасовка — ставки и план'!$A$5:$A$24,0)),""))</f>
        <v>950</v>
      </c>
      <c r="Q592" s="15">
        <f t="shared" si="55"/>
        <v>200</v>
      </c>
      <c r="R592" s="13" t="str">
        <f>IF(D592="TEX","аренда техники — сделка/счёт",IF(OR(Q592="",H592="",H592=0),"—",IF(Q592&lt;H592*(1-Параметры!$B$7),"почасовка",IF(Q592&gt;H592*(1+Параметры!$B$7),"сделка","любой способ"))))</f>
        <v>почасовка</v>
      </c>
      <c r="S592">
        <v>0</v>
      </c>
      <c r="T592">
        <v>0</v>
      </c>
    </row>
    <row r="593" spans="1:20" x14ac:dyDescent="0.25">
      <c r="A593" s="13" t="s">
        <v>1237</v>
      </c>
      <c r="B593" s="13" t="s">
        <v>1238</v>
      </c>
      <c r="C593" s="13" t="s">
        <v>72</v>
      </c>
      <c r="D593" s="13" t="s">
        <v>88</v>
      </c>
      <c r="E593" s="13" t="str">
        <f>IFERROR(INDEX('Почасовка — ставки и план'!$B$5:$B$24,MATCH(D593,'Почасовка — ставки и план'!$A$5:$A$24,0)),"Аренда техники / механизмы")</f>
        <v>Кровельщик</v>
      </c>
      <c r="F593" s="14">
        <v>854</v>
      </c>
      <c r="G593" s="14">
        <v>1014</v>
      </c>
      <c r="H593" s="15">
        <v>400</v>
      </c>
      <c r="I593" s="15">
        <f>IF(OR(H593="",F593=""),"",MAX(H593,MIN(ROUND(H593*(1+Параметры!$B$5),IF(H593*(1+Параметры!$B$5)&gt;=1000,-1,0)),ROUND(F593*Параметры!$B$6,IF(F593*Параметры!$B$6&gt;=1000,-1,0)))))</f>
        <v>460</v>
      </c>
      <c r="J593" s="15">
        <v>460</v>
      </c>
      <c r="K593" s="15">
        <f>IF(OR(J593="",G593=""),"",MAX(J593,MIN(ROUND(J593*(1+Параметры!$B$5),IF(J593*(1+Параметры!$B$5)&gt;=1000,-1,0)),ROUND(G593*Параметры!$B$6,IF(G593*Параметры!$B$6&gt;=1000,-1,0)))))</f>
        <v>529</v>
      </c>
      <c r="L593" s="16">
        <v>0.8</v>
      </c>
      <c r="M593" s="17">
        <f t="shared" si="54"/>
        <v>1.25</v>
      </c>
      <c r="N593" s="17">
        <f>IF(OR(L593="",L593=0),"",Параметры!$B$3/L593)</f>
        <v>10</v>
      </c>
      <c r="O593" s="15">
        <f>IF(L593="","",IFERROR(INDEX('Почасовка — ставки и план'!$D$5:$D$24,MATCH($D593,'Почасовка — ставки и план'!$A$5:$A$24,0)),""))</f>
        <v>800</v>
      </c>
      <c r="P593" s="15">
        <f>IF(L593="","",IFERROR(INDEX('Почасовка — ставки и план'!$E$5:$E$24,MATCH($D593,'Почасовка — ставки и план'!$A$5:$A$24,0)),""))</f>
        <v>950</v>
      </c>
      <c r="Q593" s="15">
        <f t="shared" si="55"/>
        <v>640</v>
      </c>
      <c r="R593" s="13" t="str">
        <f>IF(D593="TEX","аренда техники — сделка/счёт",IF(OR(Q593="",H593="",H593=0),"—",IF(Q593&lt;H593*(1-Параметры!$B$7),"почасовка",IF(Q593&gt;H593*(1+Параметры!$B$7),"сделка","любой способ"))))</f>
        <v>сделка</v>
      </c>
      <c r="S593">
        <v>0.22</v>
      </c>
      <c r="T593">
        <v>0.26750000000000013</v>
      </c>
    </row>
    <row r="594" spans="1:20" x14ac:dyDescent="0.25">
      <c r="A594" s="13" t="s">
        <v>1239</v>
      </c>
      <c r="B594" s="13" t="s">
        <v>1240</v>
      </c>
      <c r="C594" s="13" t="s">
        <v>72</v>
      </c>
      <c r="D594" s="13" t="s">
        <v>88</v>
      </c>
      <c r="E594" s="13" t="str">
        <f>IFERROR(INDEX('Почасовка — ставки и план'!$B$5:$B$24,MATCH(D594,'Почасовка — ставки и план'!$A$5:$A$24,0)),"Аренда техники / механизмы")</f>
        <v>Кровельщик</v>
      </c>
      <c r="F594" s="14">
        <v>450</v>
      </c>
      <c r="G594" s="14">
        <v>520</v>
      </c>
      <c r="H594" s="15">
        <v>260</v>
      </c>
      <c r="I594" s="15">
        <f>IF(OR(H594="",F594=""),"",MAX(H594,MIN(ROUND(H594*(1+Параметры!$B$5),IF(H594*(1+Параметры!$B$5)&gt;=1000,-1,0)),ROUND(F594*Параметры!$B$6,IF(F594*Параметры!$B$6&gt;=1000,-1,0)))))</f>
        <v>299</v>
      </c>
      <c r="J594" s="15">
        <v>300</v>
      </c>
      <c r="K594" s="15">
        <f>IF(OR(J594="",G594=""),"",MAX(J594,MIN(ROUND(J594*(1+Параметры!$B$5),IF(J594*(1+Параметры!$B$5)&gt;=1000,-1,0)),ROUND(G594*Параметры!$B$6,IF(G594*Параметры!$B$6&gt;=1000,-1,0)))))</f>
        <v>345</v>
      </c>
      <c r="L594" s="16">
        <v>0.2</v>
      </c>
      <c r="M594" s="17">
        <f t="shared" si="54"/>
        <v>5</v>
      </c>
      <c r="N594" s="17">
        <f>IF(OR(L594="",L594=0),"",Параметры!$B$3/L594)</f>
        <v>40</v>
      </c>
      <c r="O594" s="15">
        <f>IF(L594="","",IFERROR(INDEX('Почасовка — ставки и план'!$D$5:$D$24,MATCH($D594,'Почасовка — ставки и план'!$A$5:$A$24,0)),""))</f>
        <v>800</v>
      </c>
      <c r="P594" s="15">
        <f>IF(L594="","",IFERROR(INDEX('Почасовка — ставки и план'!$E$5:$E$24,MATCH($D594,'Почасовка — ставки и план'!$A$5:$A$24,0)),""))</f>
        <v>950</v>
      </c>
      <c r="Q594" s="15">
        <f t="shared" si="55"/>
        <v>160</v>
      </c>
      <c r="R594" s="13" t="str">
        <f>IF(D594="TEX","аренда техники — сделка/счёт",IF(OR(Q594="",H594="",H594=0),"—",IF(Q594&lt;H594*(1-Параметры!$B$7),"почасовка",IF(Q594&gt;H594*(1+Параметры!$B$7),"сделка","любой способ"))))</f>
        <v>почасовка</v>
      </c>
      <c r="S594">
        <v>0</v>
      </c>
      <c r="T594">
        <v>0</v>
      </c>
    </row>
    <row r="595" spans="1:20" x14ac:dyDescent="0.25">
      <c r="A595" s="13" t="s">
        <v>1241</v>
      </c>
      <c r="B595" s="13" t="s">
        <v>1242</v>
      </c>
      <c r="C595" s="13" t="s">
        <v>72</v>
      </c>
      <c r="D595" s="13" t="s">
        <v>88</v>
      </c>
      <c r="E595" s="13" t="str">
        <f>IFERROR(INDEX('Почасовка — ставки и план'!$B$5:$B$24,MATCH(D595,'Почасовка — ставки и план'!$A$5:$A$24,0)),"Аренда техники / механизмы")</f>
        <v>Кровельщик</v>
      </c>
      <c r="F595" s="14">
        <v>50</v>
      </c>
      <c r="G595" s="14">
        <v>60</v>
      </c>
      <c r="H595" s="15">
        <v>30</v>
      </c>
      <c r="I595" s="15">
        <f>IF(OR(H595="",F595=""),"",MAX(H595,MIN(ROUND(H595*(1+Параметры!$B$5),IF(H595*(1+Параметры!$B$5)&gt;=1000,-1,0)),ROUND(F595*Параметры!$B$6,IF(F595*Параметры!$B$6&gt;=1000,-1,0)))))</f>
        <v>35</v>
      </c>
      <c r="J595" s="15">
        <v>35</v>
      </c>
      <c r="K595" s="15">
        <f>IF(OR(J595="",G595=""),"",MAX(J595,MIN(ROUND(J595*(1+Параметры!$B$5),IF(J595*(1+Параметры!$B$5)&gt;=1000,-1,0)),ROUND(G595*Параметры!$B$6,IF(G595*Параметры!$B$6&gt;=1000,-1,0)))))</f>
        <v>40</v>
      </c>
      <c r="L595" s="16">
        <v>0.03</v>
      </c>
      <c r="M595" s="17">
        <f t="shared" si="54"/>
        <v>33.333333333333336</v>
      </c>
      <c r="N595" s="17">
        <f>IF(OR(L595="",L595=0),"",Параметры!$B$3/L595)</f>
        <v>266.66666666666669</v>
      </c>
      <c r="O595" s="15">
        <f>IF(L595="","",IFERROR(INDEX('Почасовка — ставки и план'!$D$5:$D$24,MATCH($D595,'Почасовка — ставки и план'!$A$5:$A$24,0)),""))</f>
        <v>800</v>
      </c>
      <c r="P595" s="15">
        <f>IF(L595="","",IFERROR(INDEX('Почасовка — ставки и план'!$E$5:$E$24,MATCH($D595,'Почасовка — ставки и план'!$A$5:$A$24,0)),""))</f>
        <v>950</v>
      </c>
      <c r="Q595" s="15">
        <f t="shared" si="55"/>
        <v>24</v>
      </c>
      <c r="R595" s="13" t="str">
        <f>IF(D595="TEX","аренда техники — сделка/счёт",IF(OR(Q595="",H595="",H595=0),"—",IF(Q595&lt;H595*(1-Параметры!$B$7),"почасовка",IF(Q595&gt;H595*(1+Параметры!$B$7),"сделка","любой способ"))))</f>
        <v>почасовка</v>
      </c>
      <c r="S595">
        <v>0</v>
      </c>
      <c r="T595">
        <v>0</v>
      </c>
    </row>
    <row r="596" spans="1:20" x14ac:dyDescent="0.25">
      <c r="A596" s="13" t="s">
        <v>1243</v>
      </c>
      <c r="B596" s="13" t="s">
        <v>1244</v>
      </c>
      <c r="C596" s="13" t="s">
        <v>72</v>
      </c>
      <c r="D596" s="13" t="s">
        <v>88</v>
      </c>
      <c r="E596" s="13" t="str">
        <f>IFERROR(INDEX('Почасовка — ставки и план'!$B$5:$B$24,MATCH(D596,'Почасовка — ставки и план'!$A$5:$A$24,0)),"Аренда техники / механизмы")</f>
        <v>Кровельщик</v>
      </c>
      <c r="F596" s="14">
        <v>400</v>
      </c>
      <c r="G596" s="14">
        <v>460</v>
      </c>
      <c r="H596" s="15">
        <v>230</v>
      </c>
      <c r="I596" s="15">
        <f>IF(OR(H596="",F596=""),"",MAX(H596,MIN(ROUND(H596*(1+Параметры!$B$5),IF(H596*(1+Параметры!$B$5)&gt;=1000,-1,0)),ROUND(F596*Параметры!$B$6,IF(F596*Параметры!$B$6&gt;=1000,-1,0)))))</f>
        <v>265</v>
      </c>
      <c r="J596" s="15">
        <v>265</v>
      </c>
      <c r="K596" s="15">
        <f>IF(OR(J596="",G596=""),"",MAX(J596,MIN(ROUND(J596*(1+Параметры!$B$5),IF(J596*(1+Параметры!$B$5)&gt;=1000,-1,0)),ROUND(G596*Параметры!$B$6,IF(G596*Параметры!$B$6&gt;=1000,-1,0)))))</f>
        <v>305</v>
      </c>
      <c r="L596" s="16">
        <v>0.12</v>
      </c>
      <c r="M596" s="17">
        <f t="shared" si="54"/>
        <v>8.3333333333333339</v>
      </c>
      <c r="N596" s="17">
        <f>IF(OR(L596="",L596=0),"",Параметры!$B$3/L596)</f>
        <v>66.666666666666671</v>
      </c>
      <c r="O596" s="15">
        <f>IF(L596="","",IFERROR(INDEX('Почасовка — ставки и план'!$D$5:$D$24,MATCH($D596,'Почасовка — ставки и план'!$A$5:$A$24,0)),""))</f>
        <v>800</v>
      </c>
      <c r="P596" s="15">
        <f>IF(L596="","",IFERROR(INDEX('Почасовка — ставки и план'!$E$5:$E$24,MATCH($D596,'Почасовка — ставки и план'!$A$5:$A$24,0)),""))</f>
        <v>950</v>
      </c>
      <c r="Q596" s="15">
        <f t="shared" si="55"/>
        <v>96</v>
      </c>
      <c r="R596" s="13" t="str">
        <f>IF(D596="TEX","аренда техники — сделка/счёт",IF(OR(Q596="",H596="",H596=0),"—",IF(Q596&lt;H596*(1-Параметры!$B$7),"почасовка",IF(Q596&gt;H596*(1+Параметры!$B$7),"сделка","любой способ"))))</f>
        <v>почасовка</v>
      </c>
      <c r="S596">
        <v>0</v>
      </c>
      <c r="T596">
        <v>0</v>
      </c>
    </row>
    <row r="597" spans="1:20" x14ac:dyDescent="0.25">
      <c r="A597" s="13" t="s">
        <v>1245</v>
      </c>
      <c r="B597" s="13" t="s">
        <v>1246</v>
      </c>
      <c r="C597" s="13" t="s">
        <v>72</v>
      </c>
      <c r="D597" s="13" t="s">
        <v>88</v>
      </c>
      <c r="E597" s="13" t="str">
        <f>IFERROR(INDEX('Почасовка — ставки и план'!$B$5:$B$24,MATCH(D597,'Почасовка — ставки и план'!$A$5:$A$24,0)),"Аренда техники / механизмы")</f>
        <v>Кровельщик</v>
      </c>
      <c r="F597" s="14">
        <v>854</v>
      </c>
      <c r="G597" s="14">
        <v>1014</v>
      </c>
      <c r="H597" s="15">
        <v>460</v>
      </c>
      <c r="I597" s="15">
        <f>IF(OR(H597="",F597=""),"",MAX(H597,MIN(ROUND(H597*(1+Параметры!$B$5),IF(H597*(1+Параметры!$B$5)&gt;=1000,-1,0)),ROUND(F597*Параметры!$B$6,IF(F597*Параметры!$B$6&gt;=1000,-1,0)))))</f>
        <v>529</v>
      </c>
      <c r="J597" s="15">
        <v>550</v>
      </c>
      <c r="K597" s="15">
        <f>IF(OR(J597="",G597=""),"",MAX(J597,MIN(ROUND(J597*(1+Параметры!$B$5),IF(J597*(1+Параметры!$B$5)&gt;=1000,-1,0)),ROUND(G597*Параметры!$B$6,IF(G597*Параметры!$B$6&gt;=1000,-1,0)))))</f>
        <v>633</v>
      </c>
      <c r="L597" s="16">
        <v>0.8</v>
      </c>
      <c r="M597" s="17">
        <f t="shared" si="54"/>
        <v>1.25</v>
      </c>
      <c r="N597" s="17">
        <f>IF(OR(L597="",L597=0),"",Параметры!$B$3/L597)</f>
        <v>10</v>
      </c>
      <c r="O597" s="15">
        <f>IF(L597="","",IFERROR(INDEX('Почасовка — ставки и план'!$D$5:$D$24,MATCH($D597,'Почасовка — ставки и план'!$A$5:$A$24,0)),""))</f>
        <v>800</v>
      </c>
      <c r="P597" s="15">
        <f>IF(L597="","",IFERROR(INDEX('Почасовка — ставки и план'!$E$5:$E$24,MATCH($D597,'Почасовка — ставки и план'!$A$5:$A$24,0)),""))</f>
        <v>950</v>
      </c>
      <c r="Q597" s="15">
        <f t="shared" si="55"/>
        <v>640</v>
      </c>
      <c r="R597" s="13" t="str">
        <f>IF(D597="TEX","аренда техники — сделка/счёт",IF(OR(Q597="",H597="",H597=0),"—",IF(Q597&lt;H597*(1-Параметры!$B$7),"почасовка",IF(Q597&gt;H597*(1+Параметры!$B$7),"сделка","любой способ"))))</f>
        <v>сделка</v>
      </c>
      <c r="S597">
        <v>6.7499999999999893E-2</v>
      </c>
      <c r="T597">
        <v>6.7368421052631522E-2</v>
      </c>
    </row>
    <row r="598" spans="1:20" x14ac:dyDescent="0.25">
      <c r="A598" s="13" t="s">
        <v>1247</v>
      </c>
      <c r="B598" s="13" t="s">
        <v>1248</v>
      </c>
      <c r="C598" s="13" t="s">
        <v>69</v>
      </c>
      <c r="D598" s="13" t="s">
        <v>88</v>
      </c>
      <c r="E598" s="13" t="str">
        <f>IFERROR(INDEX('Почасовка — ставки и план'!$B$5:$B$24,MATCH(D598,'Почасовка — ставки и план'!$A$5:$A$24,0)),"Аренда техники / механизмы")</f>
        <v>Кровельщик</v>
      </c>
      <c r="F598" s="14">
        <v>650</v>
      </c>
      <c r="G598" s="14">
        <v>750</v>
      </c>
      <c r="H598" s="15">
        <v>370</v>
      </c>
      <c r="I598" s="15">
        <f>IF(OR(H598="",F598=""),"",MAX(H598,MIN(ROUND(H598*(1+Параметры!$B$5),IF(H598*(1+Параметры!$B$5)&gt;=1000,-1,0)),ROUND(F598*Параметры!$B$6,IF(F598*Параметры!$B$6&gt;=1000,-1,0)))))</f>
        <v>426</v>
      </c>
      <c r="J598" s="15">
        <v>430</v>
      </c>
      <c r="K598" s="15">
        <f>IF(OR(J598="",G598=""),"",MAX(J598,MIN(ROUND(J598*(1+Параметры!$B$5),IF(J598*(1+Параметры!$B$5)&gt;=1000,-1,0)),ROUND(G598*Параметры!$B$6,IF(G598*Параметры!$B$6&gt;=1000,-1,0)))))</f>
        <v>495</v>
      </c>
      <c r="L598" s="16">
        <v>0.5</v>
      </c>
      <c r="M598" s="17">
        <f t="shared" si="54"/>
        <v>2</v>
      </c>
      <c r="N598" s="17">
        <f>IF(OR(L598="",L598=0),"",Параметры!$B$3/L598)</f>
        <v>16</v>
      </c>
      <c r="O598" s="15">
        <f>IF(L598="","",IFERROR(INDEX('Почасовка — ставки и план'!$D$5:$D$24,MATCH($D598,'Почасовка — ставки и план'!$A$5:$A$24,0)),""))</f>
        <v>800</v>
      </c>
      <c r="P598" s="15">
        <f>IF(L598="","",IFERROR(INDEX('Почасовка — ставки и план'!$E$5:$E$24,MATCH($D598,'Почасовка — ставки и план'!$A$5:$A$24,0)),""))</f>
        <v>950</v>
      </c>
      <c r="Q598" s="15">
        <f t="shared" si="55"/>
        <v>400</v>
      </c>
      <c r="R598" s="13" t="str">
        <f>IF(D598="TEX","аренда техники — сделка/счёт",IF(OR(Q598="",H598="",H598=0),"—",IF(Q598&lt;H598*(1-Параметры!$B$7),"почасовка",IF(Q598&gt;H598*(1+Параметры!$B$7),"сделка","любой способ"))))</f>
        <v>любой способ</v>
      </c>
      <c r="S598">
        <v>0</v>
      </c>
      <c r="T598">
        <v>0</v>
      </c>
    </row>
    <row r="599" spans="1:20" x14ac:dyDescent="0.25">
      <c r="A599" s="13" t="s">
        <v>1249</v>
      </c>
      <c r="B599" s="13" t="s">
        <v>1250</v>
      </c>
      <c r="C599" s="13" t="s">
        <v>69</v>
      </c>
      <c r="D599" s="13" t="s">
        <v>88</v>
      </c>
      <c r="E599" s="13" t="str">
        <f>IFERROR(INDEX('Почасовка — ставки и план'!$B$5:$B$24,MATCH(D599,'Почасовка — ставки и план'!$A$5:$A$24,0)),"Аренда техники / механизмы")</f>
        <v>Кровельщик</v>
      </c>
      <c r="F599" s="14">
        <v>800</v>
      </c>
      <c r="G599" s="14">
        <v>920</v>
      </c>
      <c r="H599" s="15">
        <v>460</v>
      </c>
      <c r="I599" s="15">
        <f>IF(OR(H599="",F599=""),"",MAX(H599,MIN(ROUND(H599*(1+Параметры!$B$5),IF(H599*(1+Параметры!$B$5)&gt;=1000,-1,0)),ROUND(F599*Параметры!$B$6,IF(F599*Параметры!$B$6&gt;=1000,-1,0)))))</f>
        <v>529</v>
      </c>
      <c r="J599" s="15">
        <v>530</v>
      </c>
      <c r="K599" s="15">
        <f>IF(OR(J599="",G599=""),"",MAX(J599,MIN(ROUND(J599*(1+Параметры!$B$5),IF(J599*(1+Параметры!$B$5)&gt;=1000,-1,0)),ROUND(G599*Параметры!$B$6,IF(G599*Параметры!$B$6&gt;=1000,-1,0)))))</f>
        <v>610</v>
      </c>
      <c r="L599" s="16">
        <v>0.6</v>
      </c>
      <c r="M599" s="17">
        <f t="shared" si="54"/>
        <v>1.6666666666666667</v>
      </c>
      <c r="N599" s="17">
        <f>IF(OR(L599="",L599=0),"",Параметры!$B$3/L599)</f>
        <v>13.333333333333334</v>
      </c>
      <c r="O599" s="15">
        <f>IF(L599="","",IFERROR(INDEX('Почасовка — ставки и план'!$D$5:$D$24,MATCH($D599,'Почасовка — ставки и план'!$A$5:$A$24,0)),""))</f>
        <v>800</v>
      </c>
      <c r="P599" s="15">
        <f>IF(L599="","",IFERROR(INDEX('Почасовка — ставки и план'!$E$5:$E$24,MATCH($D599,'Почасовка — ставки и план'!$A$5:$A$24,0)),""))</f>
        <v>950</v>
      </c>
      <c r="Q599" s="15">
        <f t="shared" si="55"/>
        <v>480</v>
      </c>
      <c r="R599" s="13" t="str">
        <f>IF(D599="TEX","аренда техники — сделка/счёт",IF(OR(Q599="",H599="",H599=0),"—",IF(Q599&lt;H599*(1-Параметры!$B$7),"почасовка",IF(Q599&gt;H599*(1+Параметры!$B$7),"сделка","любой способ"))))</f>
        <v>любой способ</v>
      </c>
      <c r="S599">
        <v>0</v>
      </c>
      <c r="T599">
        <v>0</v>
      </c>
    </row>
    <row r="600" spans="1:20" x14ac:dyDescent="0.25">
      <c r="A600" s="13" t="s">
        <v>1251</v>
      </c>
      <c r="B600" s="13" t="s">
        <v>1252</v>
      </c>
      <c r="C600" s="13" t="s">
        <v>69</v>
      </c>
      <c r="D600" s="13" t="s">
        <v>88</v>
      </c>
      <c r="E600" s="13" t="str">
        <f>IFERROR(INDEX('Почасовка — ставки и план'!$B$5:$B$24,MATCH(D600,'Почасовка — ставки и план'!$A$5:$A$24,0)),"Аренда техники / механизмы")</f>
        <v>Кровельщик</v>
      </c>
      <c r="F600" s="14">
        <v>600</v>
      </c>
      <c r="G600" s="14">
        <v>700</v>
      </c>
      <c r="H600" s="15">
        <v>350</v>
      </c>
      <c r="I600" s="15">
        <f>IF(OR(H600="",F600=""),"",MAX(H600,MIN(ROUND(H600*(1+Параметры!$B$5),IF(H600*(1+Параметры!$B$5)&gt;=1000,-1,0)),ROUND(F600*Параметры!$B$6,IF(F600*Параметры!$B$6&gt;=1000,-1,0)))))</f>
        <v>403</v>
      </c>
      <c r="J600" s="15">
        <v>400</v>
      </c>
      <c r="K600" s="15">
        <f>IF(OR(J600="",G600=""),"",MAX(J600,MIN(ROUND(J600*(1+Параметры!$B$5),IF(J600*(1+Параметры!$B$5)&gt;=1000,-1,0)),ROUND(G600*Параметры!$B$6,IF(G600*Параметры!$B$6&gt;=1000,-1,0)))))</f>
        <v>460</v>
      </c>
      <c r="L600" s="16">
        <v>0.45</v>
      </c>
      <c r="M600" s="17">
        <f t="shared" si="54"/>
        <v>2.2222222222222223</v>
      </c>
      <c r="N600" s="17">
        <f>IF(OR(L600="",L600=0),"",Параметры!$B$3/L600)</f>
        <v>17.777777777777779</v>
      </c>
      <c r="O600" s="15">
        <f>IF(L600="","",IFERROR(INDEX('Почасовка — ставки и план'!$D$5:$D$24,MATCH($D600,'Почасовка — ставки и план'!$A$5:$A$24,0)),""))</f>
        <v>800</v>
      </c>
      <c r="P600" s="15">
        <f>IF(L600="","",IFERROR(INDEX('Почасовка — ставки и план'!$E$5:$E$24,MATCH($D600,'Почасовка — ставки и план'!$A$5:$A$24,0)),""))</f>
        <v>950</v>
      </c>
      <c r="Q600" s="15">
        <f t="shared" si="55"/>
        <v>360</v>
      </c>
      <c r="R600" s="13" t="str">
        <f>IF(D600="TEX","аренда техники — сделка/счёт",IF(OR(Q600="",H600="",H600=0),"—",IF(Q600&lt;H600*(1-Параметры!$B$7),"почасовка",IF(Q600&gt;H600*(1+Параметры!$B$7),"сделка","любой способ"))))</f>
        <v>любой способ</v>
      </c>
      <c r="S600">
        <v>0</v>
      </c>
      <c r="T600">
        <v>0</v>
      </c>
    </row>
    <row r="601" spans="1:20" x14ac:dyDescent="0.25">
      <c r="A601" s="13" t="s">
        <v>1253</v>
      </c>
      <c r="B601" s="13" t="s">
        <v>1254</v>
      </c>
      <c r="C601" s="13" t="s">
        <v>69</v>
      </c>
      <c r="D601" s="13" t="s">
        <v>88</v>
      </c>
      <c r="E601" s="13" t="str">
        <f>IFERROR(INDEX('Почасовка — ставки и план'!$B$5:$B$24,MATCH(D601,'Почасовка — ставки и план'!$A$5:$A$24,0)),"Аренда техники / механизмы")</f>
        <v>Кровельщик</v>
      </c>
      <c r="F601" s="14">
        <v>750</v>
      </c>
      <c r="G601" s="14">
        <v>860</v>
      </c>
      <c r="H601" s="15">
        <v>430</v>
      </c>
      <c r="I601" s="15">
        <f>IF(OR(H601="",F601=""),"",MAX(H601,MIN(ROUND(H601*(1+Параметры!$B$5),IF(H601*(1+Параметры!$B$5)&gt;=1000,-1,0)),ROUND(F601*Параметры!$B$6,IF(F601*Параметры!$B$6&gt;=1000,-1,0)))))</f>
        <v>495</v>
      </c>
      <c r="J601" s="15">
        <v>500</v>
      </c>
      <c r="K601" s="15">
        <f>IF(OR(J601="",G601=""),"",MAX(J601,MIN(ROUND(J601*(1+Параметры!$B$5),IF(J601*(1+Параметры!$B$5)&gt;=1000,-1,0)),ROUND(G601*Параметры!$B$6,IF(G601*Параметры!$B$6&gt;=1000,-1,0)))))</f>
        <v>575</v>
      </c>
      <c r="L601" s="16">
        <v>0.55000000000000004</v>
      </c>
      <c r="M601" s="17">
        <f t="shared" si="54"/>
        <v>1.8181818181818181</v>
      </c>
      <c r="N601" s="17">
        <f>IF(OR(L601="",L601=0),"",Параметры!$B$3/L601)</f>
        <v>14.545454545454545</v>
      </c>
      <c r="O601" s="15">
        <f>IF(L601="","",IFERROR(INDEX('Почасовка — ставки и план'!$D$5:$D$24,MATCH($D601,'Почасовка — ставки и план'!$A$5:$A$24,0)),""))</f>
        <v>800</v>
      </c>
      <c r="P601" s="15">
        <f>IF(L601="","",IFERROR(INDEX('Почасовка — ставки и план'!$E$5:$E$24,MATCH($D601,'Почасовка — ставки и план'!$A$5:$A$24,0)),""))</f>
        <v>950</v>
      </c>
      <c r="Q601" s="15">
        <f t="shared" si="55"/>
        <v>440</v>
      </c>
      <c r="R601" s="13" t="str">
        <f>IF(D601="TEX","аренда техники — сделка/счёт",IF(OR(Q601="",H601="",H601=0),"—",IF(Q601&lt;H601*(1-Параметры!$B$7),"почасовка",IF(Q601&gt;H601*(1+Параметры!$B$7),"сделка","любой способ"))))</f>
        <v>любой способ</v>
      </c>
      <c r="S601">
        <v>0</v>
      </c>
      <c r="T601">
        <v>0</v>
      </c>
    </row>
    <row r="602" spans="1:20" x14ac:dyDescent="0.25">
      <c r="A602" s="13" t="s">
        <v>1255</v>
      </c>
      <c r="B602" s="13" t="s">
        <v>1256</v>
      </c>
      <c r="C602" s="13" t="s">
        <v>69</v>
      </c>
      <c r="D602" s="13" t="s">
        <v>88</v>
      </c>
      <c r="E602" s="13" t="str">
        <f>IFERROR(INDEX('Почасовка — ставки и план'!$B$5:$B$24,MATCH(D602,'Почасовка — ставки и план'!$A$5:$A$24,0)),"Аренда техники / механизмы")</f>
        <v>Кровельщик</v>
      </c>
      <c r="F602" s="14">
        <v>550</v>
      </c>
      <c r="G602" s="14">
        <v>630</v>
      </c>
      <c r="H602" s="15">
        <v>320</v>
      </c>
      <c r="I602" s="15">
        <f>IF(OR(H602="",F602=""),"",MAX(H602,MIN(ROUND(H602*(1+Параметры!$B$5),IF(H602*(1+Параметры!$B$5)&gt;=1000,-1,0)),ROUND(F602*Параметры!$B$6,IF(F602*Параметры!$B$6&gt;=1000,-1,0)))))</f>
        <v>368</v>
      </c>
      <c r="J602" s="15">
        <v>370</v>
      </c>
      <c r="K602" s="15">
        <f>IF(OR(J602="",G602=""),"",MAX(J602,MIN(ROUND(J602*(1+Параметры!$B$5),IF(J602*(1+Параметры!$B$5)&gt;=1000,-1,0)),ROUND(G602*Параметры!$B$6,IF(G602*Параметры!$B$6&gt;=1000,-1,0)))))</f>
        <v>426</v>
      </c>
      <c r="L602" s="16">
        <v>0.4</v>
      </c>
      <c r="M602" s="17">
        <f t="shared" si="54"/>
        <v>2.5</v>
      </c>
      <c r="N602" s="17">
        <f>IF(OR(L602="",L602=0),"",Параметры!$B$3/L602)</f>
        <v>20</v>
      </c>
      <c r="O602" s="15">
        <f>IF(L602="","",IFERROR(INDEX('Почасовка — ставки и план'!$D$5:$D$24,MATCH($D602,'Почасовка — ставки и план'!$A$5:$A$24,0)),""))</f>
        <v>800</v>
      </c>
      <c r="P602" s="15">
        <f>IF(L602="","",IFERROR(INDEX('Почасовка — ставки и план'!$E$5:$E$24,MATCH($D602,'Почасовка — ставки и план'!$A$5:$A$24,0)),""))</f>
        <v>950</v>
      </c>
      <c r="Q602" s="15">
        <f t="shared" si="55"/>
        <v>320</v>
      </c>
      <c r="R602" s="13" t="str">
        <f>IF(D602="TEX","аренда техники — сделка/счёт",IF(OR(Q602="",H602="",H602=0),"—",IF(Q602&lt;H602*(1-Параметры!$B$7),"почасовка",IF(Q602&gt;H602*(1+Параметры!$B$7),"сделка","любой способ"))))</f>
        <v>любой способ</v>
      </c>
      <c r="S602">
        <v>0</v>
      </c>
      <c r="T602">
        <v>0</v>
      </c>
    </row>
    <row r="603" spans="1:20" x14ac:dyDescent="0.25">
      <c r="A603" s="13" t="s">
        <v>1257</v>
      </c>
      <c r="B603" s="13" t="s">
        <v>1258</v>
      </c>
      <c r="C603" s="13" t="s">
        <v>55</v>
      </c>
      <c r="D603" s="13" t="s">
        <v>88</v>
      </c>
      <c r="E603" s="13" t="str">
        <f>IFERROR(INDEX('Почасовка — ставки и план'!$B$5:$B$24,MATCH(D603,'Почасовка — ставки и план'!$A$5:$A$24,0)),"Аренда техники / механизмы")</f>
        <v>Кровельщик</v>
      </c>
      <c r="F603" s="14">
        <v>2667</v>
      </c>
      <c r="G603" s="14">
        <v>3167</v>
      </c>
      <c r="H603" s="15">
        <v>1270</v>
      </c>
      <c r="I603" s="15">
        <f>IF(OR(H603="",F603=""),"",MAX(H603,MIN(ROUND(H603*(1+Параметры!$B$5),IF(H603*(1+Параметры!$B$5)&gt;=1000,-1,0)),ROUND(F603*Параметры!$B$6,IF(F603*Параметры!$B$6&gt;=1000,-1,0)))))</f>
        <v>1460</v>
      </c>
      <c r="J603" s="15">
        <v>1500</v>
      </c>
      <c r="K603" s="15">
        <f>IF(OR(J603="",G603=""),"",MAX(J603,MIN(ROUND(J603*(1+Параметры!$B$5),IF(J603*(1+Параметры!$B$5)&gt;=1000,-1,0)),ROUND(G603*Параметры!$B$6,IF(G603*Параметры!$B$6&gt;=1000,-1,0)))))</f>
        <v>1730</v>
      </c>
      <c r="L603" s="16">
        <v>2.5</v>
      </c>
      <c r="M603" s="17">
        <f t="shared" si="54"/>
        <v>0.4</v>
      </c>
      <c r="N603" s="17">
        <f>IF(OR(L603="",L603=0),"",Параметры!$B$3/L603)</f>
        <v>3.2</v>
      </c>
      <c r="O603" s="15">
        <f>IF(L603="","",IFERROR(INDEX('Почасовка — ставки и план'!$D$5:$D$24,MATCH($D603,'Почасовка — ставки и план'!$A$5:$A$24,0)),""))</f>
        <v>800</v>
      </c>
      <c r="P603" s="15">
        <f>IF(L603="","",IFERROR(INDEX('Почасовка — ставки и план'!$E$5:$E$24,MATCH($D603,'Почасовка — ставки и план'!$A$5:$A$24,0)),""))</f>
        <v>950</v>
      </c>
      <c r="Q603" s="15">
        <f t="shared" si="55"/>
        <v>2000</v>
      </c>
      <c r="R603" s="13" t="str">
        <f>IF(D603="TEX","аренда техники — сделка/счёт",IF(OR(Q603="",H603="",H603=0),"—",IF(Q603&lt;H603*(1-Параметры!$B$7),"почасовка",IF(Q603&gt;H603*(1+Параметры!$B$7),"сделка","любой способ"))))</f>
        <v>сделка</v>
      </c>
      <c r="S603">
        <v>0.2122727272727272</v>
      </c>
      <c r="T603">
        <v>0.21807692307692311</v>
      </c>
    </row>
    <row r="604" spans="1:20" x14ac:dyDescent="0.25">
      <c r="A604" s="13" t="s">
        <v>1259</v>
      </c>
      <c r="B604" s="13" t="s">
        <v>1260</v>
      </c>
      <c r="C604" s="13" t="s">
        <v>55</v>
      </c>
      <c r="D604" s="13" t="s">
        <v>88</v>
      </c>
      <c r="E604" s="13" t="str">
        <f>IFERROR(INDEX('Почасовка — ставки и план'!$B$5:$B$24,MATCH(D604,'Почасовка — ставки и план'!$A$5:$A$24,0)),"Аренда техники / механизмы")</f>
        <v>Кровельщик</v>
      </c>
      <c r="F604" s="14">
        <v>2600</v>
      </c>
      <c r="G604" s="14">
        <v>3000</v>
      </c>
      <c r="H604" s="15">
        <v>1500</v>
      </c>
      <c r="I604" s="15">
        <f>IF(OR(H604="",F604=""),"",MAX(H604,MIN(ROUND(H604*(1+Параметры!$B$5),IF(H604*(1+Параметры!$B$5)&gt;=1000,-1,0)),ROUND(F604*Параметры!$B$6,IF(F604*Параметры!$B$6&gt;=1000,-1,0)))))</f>
        <v>1730</v>
      </c>
      <c r="J604" s="15">
        <v>1750</v>
      </c>
      <c r="K604" s="15">
        <f>IF(OR(J604="",G604=""),"",MAX(J604,MIN(ROUND(J604*(1+Параметры!$B$5),IF(J604*(1+Параметры!$B$5)&gt;=1000,-1,0)),ROUND(G604*Параметры!$B$6,IF(G604*Параметры!$B$6&gt;=1000,-1,0)))))</f>
        <v>2010</v>
      </c>
      <c r="L604" s="16">
        <v>2</v>
      </c>
      <c r="M604" s="17">
        <f t="shared" si="54"/>
        <v>0.5</v>
      </c>
      <c r="N604" s="17">
        <f>IF(OR(L604="",L604=0),"",Параметры!$B$3/L604)</f>
        <v>4</v>
      </c>
      <c r="O604" s="15">
        <f>IF(L604="","",IFERROR(INDEX('Почасовка — ставки и план'!$D$5:$D$24,MATCH($D604,'Почасовка — ставки и план'!$A$5:$A$24,0)),""))</f>
        <v>800</v>
      </c>
      <c r="P604" s="15">
        <f>IF(L604="","",IFERROR(INDEX('Почасовка — ставки и план'!$E$5:$E$24,MATCH($D604,'Почасовка — ставки и план'!$A$5:$A$24,0)),""))</f>
        <v>950</v>
      </c>
      <c r="Q604" s="15">
        <f t="shared" si="55"/>
        <v>1600</v>
      </c>
      <c r="R604" s="13" t="str">
        <f>IF(D604="TEX","аренда техники — сделка/счёт",IF(OR(Q604="",H604="",H604=0),"—",IF(Q604&lt;H604*(1-Параметры!$B$7),"почасовка",IF(Q604&gt;H604*(1+Параметры!$B$7),"сделка","любой способ"))))</f>
        <v>любой способ</v>
      </c>
      <c r="S604">
        <v>0</v>
      </c>
      <c r="T604">
        <v>0</v>
      </c>
    </row>
    <row r="605" spans="1:20" x14ac:dyDescent="0.25">
      <c r="A605" s="13" t="s">
        <v>1261</v>
      </c>
      <c r="B605" s="13" t="s">
        <v>1262</v>
      </c>
      <c r="C605" s="13" t="s">
        <v>72</v>
      </c>
      <c r="D605" s="13" t="s">
        <v>88</v>
      </c>
      <c r="E605" s="13" t="str">
        <f>IFERROR(INDEX('Почасовка — ставки и план'!$B$5:$B$24,MATCH(D605,'Почасовка — ставки и план'!$A$5:$A$24,0)),"Аренда техники / механизмы")</f>
        <v>Кровельщик</v>
      </c>
      <c r="F605" s="14">
        <v>110</v>
      </c>
      <c r="G605" s="14">
        <v>130</v>
      </c>
      <c r="H605" s="15">
        <v>65</v>
      </c>
      <c r="I605" s="15">
        <f>IF(OR(H605="",F605=""),"",MAX(H605,MIN(ROUND(H605*(1+Параметры!$B$5),IF(H605*(1+Параметры!$B$5)&gt;=1000,-1,0)),ROUND(F605*Параметры!$B$6,IF(F605*Параметры!$B$6&gt;=1000,-1,0)))))</f>
        <v>75</v>
      </c>
      <c r="J605" s="15">
        <v>75</v>
      </c>
      <c r="K605" s="15">
        <f>IF(OR(J605="",G605=""),"",MAX(J605,MIN(ROUND(J605*(1+Параметры!$B$5),IF(J605*(1+Параметры!$B$5)&gt;=1000,-1,0)),ROUND(G605*Параметры!$B$6,IF(G605*Параметры!$B$6&gt;=1000,-1,0)))))</f>
        <v>86</v>
      </c>
      <c r="L605" s="16">
        <v>7.0000000000000007E-2</v>
      </c>
      <c r="M605" s="17">
        <f t="shared" si="54"/>
        <v>14.285714285714285</v>
      </c>
      <c r="N605" s="17">
        <f>IF(OR(L605="",L605=0),"",Параметры!$B$3/L605)</f>
        <v>114.28571428571428</v>
      </c>
      <c r="O605" s="15">
        <f>IF(L605="","",IFERROR(INDEX('Почасовка — ставки и план'!$D$5:$D$24,MATCH($D605,'Почасовка — ставки и план'!$A$5:$A$24,0)),""))</f>
        <v>800</v>
      </c>
      <c r="P605" s="15">
        <f>IF(L605="","",IFERROR(INDEX('Почасовка — ставки и план'!$E$5:$E$24,MATCH($D605,'Почасовка — ставки и план'!$A$5:$A$24,0)),""))</f>
        <v>950</v>
      </c>
      <c r="Q605" s="15">
        <f t="shared" si="55"/>
        <v>56</v>
      </c>
      <c r="R605" s="13" t="str">
        <f>IF(D605="TEX","аренда техники — сделка/счёт",IF(OR(Q605="",H605="",H605=0),"—",IF(Q605&lt;H605*(1-Параметры!$B$7),"почасовка",IF(Q605&gt;H605*(1+Параметры!$B$7),"сделка","любой способ"))))</f>
        <v>почасовка</v>
      </c>
      <c r="S605">
        <v>0</v>
      </c>
      <c r="T605">
        <v>0</v>
      </c>
    </row>
    <row r="606" spans="1:20" x14ac:dyDescent="0.25">
      <c r="A606" s="13" t="s">
        <v>1263</v>
      </c>
      <c r="B606" s="13" t="s">
        <v>1264</v>
      </c>
      <c r="C606" s="13" t="s">
        <v>72</v>
      </c>
      <c r="D606" s="13" t="s">
        <v>88</v>
      </c>
      <c r="E606" s="13" t="str">
        <f>IFERROR(INDEX('Почасовка — ставки и план'!$B$5:$B$24,MATCH(D606,'Почасовка — ставки и план'!$A$5:$A$24,0)),"Аренда техники / механизмы")</f>
        <v>Кровельщик</v>
      </c>
      <c r="F606" s="14">
        <v>140</v>
      </c>
      <c r="G606" s="14">
        <v>160</v>
      </c>
      <c r="H606" s="15">
        <v>80</v>
      </c>
      <c r="I606" s="15">
        <f>IF(OR(H606="",F606=""),"",MAX(H606,MIN(ROUND(H606*(1+Параметры!$B$5),IF(H606*(1+Параметры!$B$5)&gt;=1000,-1,0)),ROUND(F606*Параметры!$B$6,IF(F606*Параметры!$B$6&gt;=1000,-1,0)))))</f>
        <v>92</v>
      </c>
      <c r="J606" s="15">
        <v>92</v>
      </c>
      <c r="K606" s="15">
        <f>IF(OR(J606="",G606=""),"",MAX(J606,MIN(ROUND(J606*(1+Параметры!$B$5),IF(J606*(1+Параметры!$B$5)&gt;=1000,-1,0)),ROUND(G606*Параметры!$B$6,IF(G606*Параметры!$B$6&gt;=1000,-1,0)))))</f>
        <v>106</v>
      </c>
      <c r="L606" s="16">
        <v>0.09</v>
      </c>
      <c r="M606" s="17">
        <f t="shared" si="54"/>
        <v>11.111111111111111</v>
      </c>
      <c r="N606" s="17">
        <f>IF(OR(L606="",L606=0),"",Параметры!$B$3/L606)</f>
        <v>88.888888888888886</v>
      </c>
      <c r="O606" s="15">
        <f>IF(L606="","",IFERROR(INDEX('Почасовка — ставки и план'!$D$5:$D$24,MATCH($D606,'Почасовка — ставки и план'!$A$5:$A$24,0)),""))</f>
        <v>800</v>
      </c>
      <c r="P606" s="15">
        <f>IF(L606="","",IFERROR(INDEX('Почасовка — ставки и план'!$E$5:$E$24,MATCH($D606,'Почасовка — ставки и план'!$A$5:$A$24,0)),""))</f>
        <v>950</v>
      </c>
      <c r="Q606" s="15">
        <f t="shared" si="55"/>
        <v>72</v>
      </c>
      <c r="R606" s="13" t="str">
        <f>IF(D606="TEX","аренда техники — сделка/счёт",IF(OR(Q606="",H606="",H606=0),"—",IF(Q606&lt;H606*(1-Параметры!$B$7),"почасовка",IF(Q606&gt;H606*(1+Параметры!$B$7),"сделка","любой способ"))))</f>
        <v>любой способ</v>
      </c>
      <c r="S606">
        <v>0</v>
      </c>
      <c r="T606">
        <v>0</v>
      </c>
    </row>
    <row r="607" spans="1:20" x14ac:dyDescent="0.25">
      <c r="A607" s="13" t="s">
        <v>1265</v>
      </c>
      <c r="B607" s="13" t="s">
        <v>1266</v>
      </c>
      <c r="C607" s="13" t="s">
        <v>72</v>
      </c>
      <c r="D607" s="13" t="s">
        <v>88</v>
      </c>
      <c r="E607" s="13" t="str">
        <f>IFERROR(INDEX('Почасовка — ставки и план'!$B$5:$B$24,MATCH(D607,'Почасовка — ставки и план'!$A$5:$A$24,0)),"Аренда техники / механизмы")</f>
        <v>Кровельщик</v>
      </c>
      <c r="F607" s="14">
        <v>80</v>
      </c>
      <c r="G607" s="14">
        <v>95</v>
      </c>
      <c r="H607" s="15">
        <v>45</v>
      </c>
      <c r="I607" s="15">
        <f>IF(OR(H607="",F607=""),"",MAX(H607,MIN(ROUND(H607*(1+Параметры!$B$5),IF(H607*(1+Параметры!$B$5)&gt;=1000,-1,0)),ROUND(F607*Параметры!$B$6,IF(F607*Параметры!$B$6&gt;=1000,-1,0)))))</f>
        <v>52</v>
      </c>
      <c r="J607" s="15">
        <v>52</v>
      </c>
      <c r="K607" s="15">
        <f>IF(OR(J607="",G607=""),"",MAX(J607,MIN(ROUND(J607*(1+Параметры!$B$5),IF(J607*(1+Параметры!$B$5)&gt;=1000,-1,0)),ROUND(G607*Параметры!$B$6,IF(G607*Параметры!$B$6&gt;=1000,-1,0)))))</f>
        <v>60</v>
      </c>
      <c r="L607" s="16">
        <v>0.04</v>
      </c>
      <c r="M607" s="17">
        <f t="shared" si="54"/>
        <v>25</v>
      </c>
      <c r="N607" s="17">
        <f>IF(OR(L607="",L607=0),"",Параметры!$B$3/L607)</f>
        <v>200</v>
      </c>
      <c r="O607" s="15">
        <f>IF(L607="","",IFERROR(INDEX('Почасовка — ставки и план'!$D$5:$D$24,MATCH($D607,'Почасовка — ставки и план'!$A$5:$A$24,0)),""))</f>
        <v>800</v>
      </c>
      <c r="P607" s="15">
        <f>IF(L607="","",IFERROR(INDEX('Почасовка — ставки и план'!$E$5:$E$24,MATCH($D607,'Почасовка — ставки и план'!$A$5:$A$24,0)),""))</f>
        <v>950</v>
      </c>
      <c r="Q607" s="15">
        <f t="shared" si="55"/>
        <v>32</v>
      </c>
      <c r="R607" s="13" t="str">
        <f>IF(D607="TEX","аренда техники — сделка/счёт",IF(OR(Q607="",H607="",H607=0),"—",IF(Q607&lt;H607*(1-Параметры!$B$7),"почасовка",IF(Q607&gt;H607*(1+Параметры!$B$7),"сделка","любой способ"))))</f>
        <v>почасовка</v>
      </c>
      <c r="S607">
        <v>0</v>
      </c>
      <c r="T607">
        <v>0</v>
      </c>
    </row>
    <row r="608" spans="1:20" x14ac:dyDescent="0.25">
      <c r="A608" s="18" t="s">
        <v>1267</v>
      </c>
      <c r="B608" s="13" t="s">
        <v>1268</v>
      </c>
      <c r="C608" s="13" t="s">
        <v>72</v>
      </c>
      <c r="D608" s="13" t="s">
        <v>88</v>
      </c>
      <c r="E608" s="13" t="str">
        <f>IFERROR(INDEX('Почасовка — ставки и план'!$B$5:$B$24,MATCH(D608,'Почасовка — ставки и план'!$A$5:$A$24,0)),"Аренда техники / механизмы")</f>
        <v>Кровельщик</v>
      </c>
      <c r="F608" s="14">
        <v>180</v>
      </c>
      <c r="G608" s="14">
        <v>220</v>
      </c>
      <c r="H608" s="15">
        <v>100</v>
      </c>
      <c r="I608" s="15">
        <f>IF(OR(H608="",F608=""),"",MAX(H608,MIN(ROUND(H608*(1+Параметры!$B$5),IF(H608*(1+Параметры!$B$5)&gt;=1000,-1,0)),ROUND(F608*Параметры!$B$6,IF(F608*Параметры!$B$6&gt;=1000,-1,0)))))</f>
        <v>115</v>
      </c>
      <c r="J608" s="15">
        <v>125</v>
      </c>
      <c r="K608" s="15">
        <f>IF(OR(J608="",G608=""),"",MAX(J608,MIN(ROUND(J608*(1+Параметры!$B$5),IF(J608*(1+Параметры!$B$5)&gt;=1000,-1,0)),ROUND(G608*Параметры!$B$6,IF(G608*Параметры!$B$6&gt;=1000,-1,0)))))</f>
        <v>144</v>
      </c>
      <c r="L608" s="16">
        <v>0.15</v>
      </c>
      <c r="M608" s="17">
        <f t="shared" si="54"/>
        <v>6.666666666666667</v>
      </c>
      <c r="N608" s="17">
        <f>IF(OR(L608="",L608=0),"",Параметры!$B$3/L608)</f>
        <v>53.333333333333336</v>
      </c>
      <c r="O608" s="15">
        <f>IF(L608="","",IFERROR(INDEX('Почасовка — ставки и план'!$D$5:$D$24,MATCH($D608,'Почасовка — ставки и план'!$A$5:$A$24,0)),""))</f>
        <v>800</v>
      </c>
      <c r="P608" s="15">
        <f>IF(L608="","",IFERROR(INDEX('Почасовка — ставки и план'!$E$5:$E$24,MATCH($D608,'Почасовка — ставки и план'!$A$5:$A$24,0)),""))</f>
        <v>950</v>
      </c>
      <c r="Q608" s="15">
        <f t="shared" si="55"/>
        <v>120</v>
      </c>
      <c r="R608" s="13" t="str">
        <f>IF(D608="TEX","аренда техники — сделка/счёт",IF(OR(Q608="",H608="",H608=0),"—",IF(Q608&lt;H608*(1-Параметры!$B$7),"почасовка",IF(Q608&gt;H608*(1+Параметры!$B$7),"сделка","любой способ"))))</f>
        <v>сделка</v>
      </c>
      <c r="S608">
        <v>0</v>
      </c>
      <c r="T608">
        <v>0</v>
      </c>
    </row>
    <row r="609" spans="1:20" x14ac:dyDescent="0.25">
      <c r="A609" s="18" t="s">
        <v>1269</v>
      </c>
      <c r="B609" s="13" t="s">
        <v>1270</v>
      </c>
      <c r="C609" s="13" t="s">
        <v>72</v>
      </c>
      <c r="D609" s="13" t="s">
        <v>88</v>
      </c>
      <c r="E609" s="13" t="str">
        <f>IFERROR(INDEX('Почасовка — ставки и план'!$B$5:$B$24,MATCH(D609,'Почасовка — ставки и план'!$A$5:$A$24,0)),"Аренда техники / механизмы")</f>
        <v>Кровельщик</v>
      </c>
      <c r="F609" s="14">
        <v>427</v>
      </c>
      <c r="G609" s="14">
        <v>507</v>
      </c>
      <c r="H609" s="15">
        <v>200</v>
      </c>
      <c r="I609" s="15">
        <f>IF(OR(H609="",F609=""),"",MAX(H609,MIN(ROUND(H609*(1+Параметры!$B$5),IF(H609*(1+Параметры!$B$5)&gt;=1000,-1,0)),ROUND(F609*Параметры!$B$6,IF(F609*Параметры!$B$6&gt;=1000,-1,0)))))</f>
        <v>230</v>
      </c>
      <c r="J609" s="15">
        <v>230</v>
      </c>
      <c r="K609" s="15">
        <f>IF(OR(J609="",G609=""),"",MAX(J609,MIN(ROUND(J609*(1+Параметры!$B$5),IF(J609*(1+Параметры!$B$5)&gt;=1000,-1,0)),ROUND(G609*Параметры!$B$6,IF(G609*Параметры!$B$6&gt;=1000,-1,0)))))</f>
        <v>265</v>
      </c>
      <c r="L609" s="16">
        <v>0.4</v>
      </c>
      <c r="M609" s="17">
        <f t="shared" si="54"/>
        <v>2.5</v>
      </c>
      <c r="N609" s="17">
        <f>IF(OR(L609="",L609=0),"",Параметры!$B$3/L609)</f>
        <v>20</v>
      </c>
      <c r="O609" s="15">
        <f>IF(L609="","",IFERROR(INDEX('Почасовка — ставки и план'!$D$5:$D$24,MATCH($D609,'Почасовка — ставки и план'!$A$5:$A$24,0)),""))</f>
        <v>800</v>
      </c>
      <c r="P609" s="15">
        <f>IF(L609="","",IFERROR(INDEX('Почасовка — ставки и план'!$E$5:$E$24,MATCH($D609,'Почасовка — ставки и план'!$A$5:$A$24,0)),""))</f>
        <v>950</v>
      </c>
      <c r="Q609" s="15">
        <f t="shared" si="55"/>
        <v>320</v>
      </c>
      <c r="R609" s="13" t="str">
        <f>IF(D609="TEX","аренда техники — сделка/счёт",IF(OR(Q609="",H609="",H609=0),"—",IF(Q609&lt;H609*(1-Параметры!$B$7),"почасовка",IF(Q609&gt;H609*(1+Параметры!$B$7),"сделка","любой способ"))))</f>
        <v>сделка</v>
      </c>
      <c r="S609">
        <v>0.22</v>
      </c>
      <c r="T609">
        <v>0.26750000000000013</v>
      </c>
    </row>
    <row r="610" spans="1:20" x14ac:dyDescent="0.25">
      <c r="A610" s="18" t="s">
        <v>1271</v>
      </c>
      <c r="B610" s="13" t="s">
        <v>1272</v>
      </c>
      <c r="C610" s="13" t="s">
        <v>72</v>
      </c>
      <c r="D610" s="13" t="s">
        <v>88</v>
      </c>
      <c r="E610" s="13" t="str">
        <f>IFERROR(INDEX('Почасовка — ставки и план'!$B$5:$B$24,MATCH(D610,'Почасовка — ставки и план'!$A$5:$A$24,0)),"Аренда техники / механизмы")</f>
        <v>Кровельщик</v>
      </c>
      <c r="F610" s="14">
        <v>450</v>
      </c>
      <c r="G610" s="14">
        <v>520</v>
      </c>
      <c r="H610" s="15">
        <v>260</v>
      </c>
      <c r="I610" s="15">
        <f>IF(OR(H610="",F610=""),"",MAX(H610,MIN(ROUND(H610*(1+Параметры!$B$5),IF(H610*(1+Параметры!$B$5)&gt;=1000,-1,0)),ROUND(F610*Параметры!$B$6,IF(F610*Параметры!$B$6&gt;=1000,-1,0)))))</f>
        <v>299</v>
      </c>
      <c r="J610" s="15">
        <v>300</v>
      </c>
      <c r="K610" s="15">
        <f>IF(OR(J610="",G610=""),"",MAX(J610,MIN(ROUND(J610*(1+Параметры!$B$5),IF(J610*(1+Параметры!$B$5)&gt;=1000,-1,0)),ROUND(G610*Параметры!$B$6,IF(G610*Параметры!$B$6&gt;=1000,-1,0)))))</f>
        <v>345</v>
      </c>
      <c r="L610" s="16">
        <v>0.4</v>
      </c>
      <c r="M610" s="17">
        <f t="shared" si="54"/>
        <v>2.5</v>
      </c>
      <c r="N610" s="17">
        <f>IF(OR(L610="",L610=0),"",Параметры!$B$3/L610)</f>
        <v>20</v>
      </c>
      <c r="O610" s="15">
        <f>IF(L610="","",IFERROR(INDEX('Почасовка — ставки и план'!$D$5:$D$24,MATCH($D610,'Почасовка — ставки и план'!$A$5:$A$24,0)),""))</f>
        <v>800</v>
      </c>
      <c r="P610" s="15">
        <f>IF(L610="","",IFERROR(INDEX('Почасовка — ставки и план'!$E$5:$E$24,MATCH($D610,'Почасовка — ставки и план'!$A$5:$A$24,0)),""))</f>
        <v>950</v>
      </c>
      <c r="Q610" s="15">
        <f t="shared" si="55"/>
        <v>320</v>
      </c>
      <c r="R610" s="13" t="str">
        <f>IF(D610="TEX","аренда техники — сделка/счёт",IF(OR(Q610="",H610="",H610=0),"—",IF(Q610&lt;H610*(1-Параметры!$B$7),"почасовка",IF(Q610&gt;H610*(1+Параметры!$B$7),"сделка","любой способ"))))</f>
        <v>сделка</v>
      </c>
      <c r="S610">
        <v>0</v>
      </c>
      <c r="T610">
        <v>0</v>
      </c>
    </row>
    <row r="611" spans="1:20" x14ac:dyDescent="0.25">
      <c r="A611" s="18" t="s">
        <v>1273</v>
      </c>
      <c r="B611" s="13" t="s">
        <v>1274</v>
      </c>
      <c r="C611" s="13" t="s">
        <v>72</v>
      </c>
      <c r="D611" s="13" t="s">
        <v>88</v>
      </c>
      <c r="E611" s="13" t="str">
        <f>IFERROR(INDEX('Почасовка — ставки и план'!$B$5:$B$24,MATCH(D611,'Почасовка — ставки и план'!$A$5:$A$24,0)),"Аренда техники / механизмы")</f>
        <v>Кровельщик</v>
      </c>
      <c r="F611" s="14">
        <v>120</v>
      </c>
      <c r="G611" s="14">
        <v>140</v>
      </c>
      <c r="H611" s="15">
        <v>70</v>
      </c>
      <c r="I611" s="15">
        <f>IF(OR(H611="",F611=""),"",MAX(H611,MIN(ROUND(H611*(1+Параметры!$B$5),IF(H611*(1+Параметры!$B$5)&gt;=1000,-1,0)),ROUND(F611*Параметры!$B$6,IF(F611*Параметры!$B$6&gt;=1000,-1,0)))))</f>
        <v>81</v>
      </c>
      <c r="J611" s="15">
        <v>80</v>
      </c>
      <c r="K611" s="15">
        <f>IF(OR(J611="",G611=""),"",MAX(J611,MIN(ROUND(J611*(1+Параметры!$B$5),IF(J611*(1+Параметры!$B$5)&gt;=1000,-1,0)),ROUND(G611*Параметры!$B$6,IF(G611*Параметры!$B$6&gt;=1000,-1,0)))))</f>
        <v>92</v>
      </c>
      <c r="L611" s="16">
        <v>0.06</v>
      </c>
      <c r="M611" s="17">
        <f t="shared" si="54"/>
        <v>16.666666666666668</v>
      </c>
      <c r="N611" s="17">
        <f>IF(OR(L611="",L611=0),"",Параметры!$B$3/L611)</f>
        <v>133.33333333333334</v>
      </c>
      <c r="O611" s="15">
        <f>IF(L611="","",IFERROR(INDEX('Почасовка — ставки и план'!$D$5:$D$24,MATCH($D611,'Почасовка — ставки и план'!$A$5:$A$24,0)),""))</f>
        <v>800</v>
      </c>
      <c r="P611" s="15">
        <f>IF(L611="","",IFERROR(INDEX('Почасовка — ставки и план'!$E$5:$E$24,MATCH($D611,'Почасовка — ставки и план'!$A$5:$A$24,0)),""))</f>
        <v>950</v>
      </c>
      <c r="Q611" s="15">
        <f t="shared" si="55"/>
        <v>48</v>
      </c>
      <c r="R611" s="13" t="str">
        <f>IF(D611="TEX","аренда техники — сделка/счёт",IF(OR(Q611="",H611="",H611=0),"—",IF(Q611&lt;H611*(1-Параметры!$B$7),"почасовка",IF(Q611&gt;H611*(1+Параметры!$B$7),"сделка","любой способ"))))</f>
        <v>почасовка</v>
      </c>
      <c r="S611">
        <v>0</v>
      </c>
      <c r="T611">
        <v>0</v>
      </c>
    </row>
    <row r="612" spans="1:20" x14ac:dyDescent="0.25">
      <c r="A612" s="18" t="s">
        <v>1275</v>
      </c>
      <c r="B612" s="13" t="s">
        <v>1276</v>
      </c>
      <c r="C612" s="13" t="s">
        <v>72</v>
      </c>
      <c r="D612" s="13" t="s">
        <v>88</v>
      </c>
      <c r="E612" s="13" t="str">
        <f>IFERROR(INDEX('Почасовка — ставки и план'!$B$5:$B$24,MATCH(D612,'Почасовка — ставки и план'!$A$5:$A$24,0)),"Аренда техники / механизмы")</f>
        <v>Кровельщик</v>
      </c>
      <c r="F612" s="14">
        <v>220</v>
      </c>
      <c r="G612" s="14">
        <v>260</v>
      </c>
      <c r="H612" s="15">
        <v>130</v>
      </c>
      <c r="I612" s="15">
        <f>IF(OR(H612="",F612=""),"",MAX(H612,MIN(ROUND(H612*(1+Параметры!$B$5),IF(H612*(1+Параметры!$B$5)&gt;=1000,-1,0)),ROUND(F612*Параметры!$B$6,IF(F612*Параметры!$B$6&gt;=1000,-1,0)))))</f>
        <v>150</v>
      </c>
      <c r="J612" s="15">
        <v>150</v>
      </c>
      <c r="K612" s="15">
        <f>IF(OR(J612="",G612=""),"",MAX(J612,MIN(ROUND(J612*(1+Параметры!$B$5),IF(J612*(1+Параметры!$B$5)&gt;=1000,-1,0)),ROUND(G612*Параметры!$B$6,IF(G612*Параметры!$B$6&gt;=1000,-1,0)))))</f>
        <v>173</v>
      </c>
      <c r="L612" s="16">
        <v>0.08</v>
      </c>
      <c r="M612" s="17">
        <f t="shared" si="54"/>
        <v>12.5</v>
      </c>
      <c r="N612" s="17">
        <f>IF(OR(L612="",L612=0),"",Параметры!$B$3/L612)</f>
        <v>100</v>
      </c>
      <c r="O612" s="15">
        <f>IF(L612="","",IFERROR(INDEX('Почасовка — ставки и план'!$D$5:$D$24,MATCH($D612,'Почасовка — ставки и план'!$A$5:$A$24,0)),""))</f>
        <v>800</v>
      </c>
      <c r="P612" s="15">
        <f>IF(L612="","",IFERROR(INDEX('Почасовка — ставки и план'!$E$5:$E$24,MATCH($D612,'Почасовка — ставки и план'!$A$5:$A$24,0)),""))</f>
        <v>950</v>
      </c>
      <c r="Q612" s="15">
        <f t="shared" si="55"/>
        <v>64</v>
      </c>
      <c r="R612" s="13" t="str">
        <f>IF(D612="TEX","аренда техники — сделка/счёт",IF(OR(Q612="",H612="",H612=0),"—",IF(Q612&lt;H612*(1-Параметры!$B$7),"почасовка",IF(Q612&gt;H612*(1+Параметры!$B$7),"сделка","любой способ"))))</f>
        <v>почасовка</v>
      </c>
      <c r="S612">
        <v>0</v>
      </c>
      <c r="T612">
        <v>0</v>
      </c>
    </row>
    <row r="613" spans="1:20" x14ac:dyDescent="0.25">
      <c r="A613" s="18" t="s">
        <v>1277</v>
      </c>
      <c r="B613" s="13" t="s">
        <v>1278</v>
      </c>
      <c r="C613" s="13" t="s">
        <v>144</v>
      </c>
      <c r="D613" s="13" t="s">
        <v>88</v>
      </c>
      <c r="E613" s="13" t="str">
        <f>IFERROR(INDEX('Почасовка — ставки и план'!$B$5:$B$24,MATCH(D613,'Почасовка — ставки и план'!$A$5:$A$24,0)),"Аренда техники / механизмы")</f>
        <v>Кровельщик</v>
      </c>
      <c r="F613" s="14">
        <v>1200</v>
      </c>
      <c r="G613" s="14">
        <v>1400</v>
      </c>
      <c r="H613" s="15">
        <v>700</v>
      </c>
      <c r="I613" s="15">
        <f>IF(OR(H613="",F613=""),"",MAX(H613,MIN(ROUND(H613*(1+Параметры!$B$5),IF(H613*(1+Параметры!$B$5)&gt;=1000,-1,0)),ROUND(F613*Параметры!$B$6,IF(F613*Параметры!$B$6&gt;=1000,-1,0)))))</f>
        <v>805</v>
      </c>
      <c r="J613" s="15">
        <v>800</v>
      </c>
      <c r="K613" s="15">
        <f>IF(OR(J613="",G613=""),"",MAX(J613,MIN(ROUND(J613*(1+Параметры!$B$5),IF(J613*(1+Параметры!$B$5)&gt;=1000,-1,0)),ROUND(G613*Параметры!$B$6,IF(G613*Параметры!$B$6&gt;=1000,-1,0)))))</f>
        <v>920</v>
      </c>
      <c r="L613" s="16">
        <v>0.8</v>
      </c>
      <c r="M613" s="17">
        <f t="shared" si="54"/>
        <v>1.25</v>
      </c>
      <c r="N613" s="17">
        <f>IF(OR(L613="",L613=0),"",Параметры!$B$3/L613)</f>
        <v>10</v>
      </c>
      <c r="O613" s="15">
        <f>IF(L613="","",IFERROR(INDEX('Почасовка — ставки и план'!$D$5:$D$24,MATCH($D613,'Почасовка — ставки и план'!$A$5:$A$24,0)),""))</f>
        <v>800</v>
      </c>
      <c r="P613" s="15">
        <f>IF(L613="","",IFERROR(INDEX('Почасовка — ставки и план'!$E$5:$E$24,MATCH($D613,'Почасовка — ставки и план'!$A$5:$A$24,0)),""))</f>
        <v>950</v>
      </c>
      <c r="Q613" s="15">
        <f t="shared" si="55"/>
        <v>640</v>
      </c>
      <c r="R613" s="13" t="str">
        <f>IF(D613="TEX","аренда техники — сделка/счёт",IF(OR(Q613="",H613="",H613=0),"—",IF(Q613&lt;H613*(1-Параметры!$B$7),"почасовка",IF(Q613&gt;H613*(1+Параметры!$B$7),"сделка","любой способ"))))</f>
        <v>любой способ</v>
      </c>
      <c r="S613">
        <v>0</v>
      </c>
      <c r="T613">
        <v>0</v>
      </c>
    </row>
    <row r="614" spans="1:20" x14ac:dyDescent="0.25">
      <c r="A614" s="18" t="s">
        <v>1279</v>
      </c>
      <c r="B614" s="13" t="s">
        <v>1280</v>
      </c>
      <c r="C614" s="13" t="s">
        <v>72</v>
      </c>
      <c r="D614" s="13" t="s">
        <v>88</v>
      </c>
      <c r="E614" s="13" t="str">
        <f>IFERROR(INDEX('Почасовка — ставки и план'!$B$5:$B$24,MATCH(D614,'Почасовка — ставки и план'!$A$5:$A$24,0)),"Аренда техники / механизмы")</f>
        <v>Кровельщик</v>
      </c>
      <c r="F614" s="14">
        <v>200</v>
      </c>
      <c r="G614" s="14">
        <v>230</v>
      </c>
      <c r="H614" s="15">
        <v>115</v>
      </c>
      <c r="I614" s="15">
        <f>IF(OR(H614="",F614=""),"",MAX(H614,MIN(ROUND(H614*(1+Параметры!$B$5),IF(H614*(1+Параметры!$B$5)&gt;=1000,-1,0)),ROUND(F614*Параметры!$B$6,IF(F614*Параметры!$B$6&gt;=1000,-1,0)))))</f>
        <v>132</v>
      </c>
      <c r="J614" s="15">
        <v>130</v>
      </c>
      <c r="K614" s="15">
        <f>IF(OR(J614="",G614=""),"",MAX(J614,MIN(ROUND(J614*(1+Параметры!$B$5),IF(J614*(1+Параметры!$B$5)&gt;=1000,-1,0)),ROUND(G614*Параметры!$B$6,IF(G614*Параметры!$B$6&gt;=1000,-1,0)))))</f>
        <v>150</v>
      </c>
      <c r="L614" s="16">
        <v>0.1</v>
      </c>
      <c r="M614" s="17">
        <f t="shared" si="54"/>
        <v>10</v>
      </c>
      <c r="N614" s="17">
        <f>IF(OR(L614="",L614=0),"",Параметры!$B$3/L614)</f>
        <v>80</v>
      </c>
      <c r="O614" s="15">
        <f>IF(L614="","",IFERROR(INDEX('Почасовка — ставки и план'!$D$5:$D$24,MATCH($D614,'Почасовка — ставки и план'!$A$5:$A$24,0)),""))</f>
        <v>800</v>
      </c>
      <c r="P614" s="15">
        <f>IF(L614="","",IFERROR(INDEX('Почасовка — ставки и план'!$E$5:$E$24,MATCH($D614,'Почасовка — ставки и план'!$A$5:$A$24,0)),""))</f>
        <v>950</v>
      </c>
      <c r="Q614" s="15">
        <f t="shared" si="55"/>
        <v>80</v>
      </c>
      <c r="R614" s="13" t="str">
        <f>IF(D614="TEX","аренда техники — сделка/счёт",IF(OR(Q614="",H614="",H614=0),"—",IF(Q614&lt;H614*(1-Параметры!$B$7),"почасовка",IF(Q614&gt;H614*(1+Параметры!$B$7),"сделка","любой способ"))))</f>
        <v>почасовка</v>
      </c>
      <c r="S614">
        <v>0</v>
      </c>
      <c r="T614">
        <v>0</v>
      </c>
    </row>
    <row r="615" spans="1:20" x14ac:dyDescent="0.25">
      <c r="A615" s="18" t="s">
        <v>1281</v>
      </c>
      <c r="B615" s="13" t="s">
        <v>1282</v>
      </c>
      <c r="C615" s="13" t="s">
        <v>72</v>
      </c>
      <c r="D615" s="13" t="s">
        <v>88</v>
      </c>
      <c r="E615" s="13" t="str">
        <f>IFERROR(INDEX('Почасовка — ставки и план'!$B$5:$B$24,MATCH(D615,'Почасовка — ставки и план'!$A$5:$A$24,0)),"Аренда техники / механизмы")</f>
        <v>Кровельщик</v>
      </c>
      <c r="F615" s="14">
        <v>50</v>
      </c>
      <c r="G615" s="14">
        <v>60</v>
      </c>
      <c r="H615" s="15">
        <v>30</v>
      </c>
      <c r="I615" s="15">
        <f>IF(OR(H615="",F615=""),"",MAX(H615,MIN(ROUND(H615*(1+Параметры!$B$5),IF(H615*(1+Параметры!$B$5)&gt;=1000,-1,0)),ROUND(F615*Параметры!$B$6,IF(F615*Параметры!$B$6&gt;=1000,-1,0)))))</f>
        <v>35</v>
      </c>
      <c r="J615" s="15">
        <v>35</v>
      </c>
      <c r="K615" s="15">
        <f>IF(OR(J615="",G615=""),"",MAX(J615,MIN(ROUND(J615*(1+Параметры!$B$5),IF(J615*(1+Параметры!$B$5)&gt;=1000,-1,0)),ROUND(G615*Параметры!$B$6,IF(G615*Параметры!$B$6&gt;=1000,-1,0)))))</f>
        <v>40</v>
      </c>
      <c r="L615" s="16">
        <v>0.04</v>
      </c>
      <c r="M615" s="17">
        <f t="shared" si="54"/>
        <v>25</v>
      </c>
      <c r="N615" s="17">
        <f>IF(OR(L615="",L615=0),"",Параметры!$B$3/L615)</f>
        <v>200</v>
      </c>
      <c r="O615" s="15">
        <f>IF(L615="","",IFERROR(INDEX('Почасовка — ставки и план'!$D$5:$D$24,MATCH($D615,'Почасовка — ставки и план'!$A$5:$A$24,0)),""))</f>
        <v>800</v>
      </c>
      <c r="P615" s="15">
        <f>IF(L615="","",IFERROR(INDEX('Почасовка — ставки и план'!$E$5:$E$24,MATCH($D615,'Почасовка — ставки и план'!$A$5:$A$24,0)),""))</f>
        <v>950</v>
      </c>
      <c r="Q615" s="15">
        <f t="shared" si="55"/>
        <v>32</v>
      </c>
      <c r="R615" s="13" t="str">
        <f>IF(D615="TEX","аренда техники — сделка/счёт",IF(OR(Q615="",H615="",H615=0),"—",IF(Q615&lt;H615*(1-Параметры!$B$7),"почасовка",IF(Q615&gt;H615*(1+Параметры!$B$7),"сделка","любой способ"))))</f>
        <v>любой способ</v>
      </c>
      <c r="S615">
        <v>0</v>
      </c>
      <c r="T615">
        <v>0</v>
      </c>
    </row>
    <row r="616" spans="1:20" x14ac:dyDescent="0.25">
      <c r="A616" s="18" t="s">
        <v>1283</v>
      </c>
      <c r="B616" s="13" t="s">
        <v>1284</v>
      </c>
      <c r="C616" s="13" t="s">
        <v>72</v>
      </c>
      <c r="D616" s="13" t="s">
        <v>88</v>
      </c>
      <c r="E616" s="13" t="str">
        <f>IFERROR(INDEX('Почасовка — ставки и план'!$B$5:$B$24,MATCH(D616,'Почасовка — ставки и план'!$A$5:$A$24,0)),"Аренда техники / механизмы")</f>
        <v>Кровельщик</v>
      </c>
      <c r="F616" s="14">
        <v>30</v>
      </c>
      <c r="G616" s="14">
        <v>35</v>
      </c>
      <c r="H616" s="15">
        <v>17</v>
      </c>
      <c r="I616" s="15">
        <f>IF(OR(H616="",F616=""),"",MAX(H616,MIN(ROUND(H616*(1+Параметры!$B$5),IF(H616*(1+Параметры!$B$5)&gt;=1000,-1,0)),ROUND(F616*Параметры!$B$6,IF(F616*Параметры!$B$6&gt;=1000,-1,0)))))</f>
        <v>20</v>
      </c>
      <c r="J616" s="15">
        <v>20</v>
      </c>
      <c r="K616" s="15">
        <f>IF(OR(J616="",G616=""),"",MAX(J616,MIN(ROUND(J616*(1+Параметры!$B$5),IF(J616*(1+Параметры!$B$5)&gt;=1000,-1,0)),ROUND(G616*Параметры!$B$6,IF(G616*Параметры!$B$6&gt;=1000,-1,0)))))</f>
        <v>23</v>
      </c>
      <c r="L616" s="16">
        <v>0.01</v>
      </c>
      <c r="M616" s="17">
        <f t="shared" si="54"/>
        <v>100</v>
      </c>
      <c r="N616" s="17">
        <f>IF(OR(L616="",L616=0),"",Параметры!$B$3/L616)</f>
        <v>800</v>
      </c>
      <c r="O616" s="15">
        <f>IF(L616="","",IFERROR(INDEX('Почасовка — ставки и план'!$D$5:$D$24,MATCH($D616,'Почасовка — ставки и план'!$A$5:$A$24,0)),""))</f>
        <v>800</v>
      </c>
      <c r="P616" s="15">
        <f>IF(L616="","",IFERROR(INDEX('Почасовка — ставки и план'!$E$5:$E$24,MATCH($D616,'Почасовка — ставки и план'!$A$5:$A$24,0)),""))</f>
        <v>950</v>
      </c>
      <c r="Q616" s="15">
        <f t="shared" si="55"/>
        <v>8</v>
      </c>
      <c r="R616" s="13" t="str">
        <f>IF(D616="TEX","аренда техники — сделка/счёт",IF(OR(Q616="",H616="",H616=0),"—",IF(Q616&lt;H616*(1-Параметры!$B$7),"почасовка",IF(Q616&gt;H616*(1+Параметры!$B$7),"сделка","любой способ"))))</f>
        <v>почасовка</v>
      </c>
      <c r="S616">
        <v>0</v>
      </c>
      <c r="T616">
        <v>0</v>
      </c>
    </row>
    <row r="617" spans="1:20" x14ac:dyDescent="0.25">
      <c r="A617" s="18" t="s">
        <v>1285</v>
      </c>
      <c r="B617" s="13" t="s">
        <v>1286</v>
      </c>
      <c r="C617" s="13" t="s">
        <v>69</v>
      </c>
      <c r="D617" s="13" t="s">
        <v>88</v>
      </c>
      <c r="E617" s="13" t="str">
        <f>IFERROR(INDEX('Почасовка — ставки и план'!$B$5:$B$24,MATCH(D617,'Почасовка — ставки и план'!$A$5:$A$24,0)),"Аренда техники / механизмы")</f>
        <v>Кровельщик</v>
      </c>
      <c r="F617" s="14">
        <v>550</v>
      </c>
      <c r="G617" s="14">
        <v>630</v>
      </c>
      <c r="H617" s="15">
        <v>320</v>
      </c>
      <c r="I617" s="15">
        <f>IF(OR(H617="",F617=""),"",MAX(H617,MIN(ROUND(H617*(1+Параметры!$B$5),IF(H617*(1+Параметры!$B$5)&gt;=1000,-1,0)),ROUND(F617*Параметры!$B$6,IF(F617*Параметры!$B$6&gt;=1000,-1,0)))))</f>
        <v>368</v>
      </c>
      <c r="J617" s="15">
        <v>370</v>
      </c>
      <c r="K617" s="15">
        <f>IF(OR(J617="",G617=""),"",MAX(J617,MIN(ROUND(J617*(1+Параметры!$B$5),IF(J617*(1+Параметры!$B$5)&gt;=1000,-1,0)),ROUND(G617*Параметры!$B$6,IF(G617*Параметры!$B$6&gt;=1000,-1,0)))))</f>
        <v>426</v>
      </c>
      <c r="L617" s="16">
        <v>0.4</v>
      </c>
      <c r="M617" s="17">
        <f t="shared" si="54"/>
        <v>2.5</v>
      </c>
      <c r="N617" s="17">
        <f>IF(OR(L617="",L617=0),"",Параметры!$B$3/L617)</f>
        <v>20</v>
      </c>
      <c r="O617" s="15">
        <f>IF(L617="","",IFERROR(INDEX('Почасовка — ставки и план'!$D$5:$D$24,MATCH($D617,'Почасовка — ставки и план'!$A$5:$A$24,0)),""))</f>
        <v>800</v>
      </c>
      <c r="P617" s="15">
        <f>IF(L617="","",IFERROR(INDEX('Почасовка — ставки и план'!$E$5:$E$24,MATCH($D617,'Почасовка — ставки и план'!$A$5:$A$24,0)),""))</f>
        <v>950</v>
      </c>
      <c r="Q617" s="15">
        <f t="shared" si="55"/>
        <v>320</v>
      </c>
      <c r="R617" s="13" t="str">
        <f>IF(D617="TEX","аренда техники — сделка/счёт",IF(OR(Q617="",H617="",H617=0),"—",IF(Q617&lt;H617*(1-Параметры!$B$7),"почасовка",IF(Q617&gt;H617*(1+Параметры!$B$7),"сделка","любой способ"))))</f>
        <v>любой способ</v>
      </c>
      <c r="S617">
        <v>0</v>
      </c>
      <c r="T617">
        <v>0</v>
      </c>
    </row>
    <row r="618" spans="1:20" x14ac:dyDescent="0.25">
      <c r="A618" s="11" t="s">
        <v>1287</v>
      </c>
      <c r="B618" s="12"/>
      <c r="C618" s="12"/>
      <c r="D618" s="12"/>
      <c r="E618" s="12"/>
      <c r="F618" s="12"/>
      <c r="G618" s="12"/>
      <c r="H618" s="12"/>
      <c r="I618" s="12"/>
      <c r="J618" s="12"/>
      <c r="K618" s="12"/>
      <c r="L618" s="12"/>
      <c r="M618" s="12"/>
      <c r="N618" s="12"/>
      <c r="O618" s="12"/>
      <c r="P618" s="12"/>
      <c r="Q618" s="12"/>
      <c r="R618" s="12"/>
    </row>
    <row r="619" spans="1:20" x14ac:dyDescent="0.25">
      <c r="A619" s="13" t="s">
        <v>1288</v>
      </c>
      <c r="B619" s="13" t="s">
        <v>1289</v>
      </c>
      <c r="C619" s="13" t="s">
        <v>1290</v>
      </c>
      <c r="D619" s="13" t="s">
        <v>326</v>
      </c>
      <c r="E619" s="13" t="str">
        <f>IFERROR(INDEX('Почасовка — ставки и план'!$B$5:$B$24,MATCH(D619,'Почасовка — ставки и план'!$A$5:$A$24,0)),"Аренда техники / механизмы")</f>
        <v>Сантехник</v>
      </c>
      <c r="F619" s="14">
        <v>3500</v>
      </c>
      <c r="G619" s="14">
        <v>4000</v>
      </c>
      <c r="H619" s="15">
        <v>2000</v>
      </c>
      <c r="I619" s="15">
        <f>IF(OR(H619="",F619=""),"",MAX(H619,MIN(ROUND(H619*(1+Параметры!$B$5),IF(H619*(1+Параметры!$B$5)&gt;=1000,-1,0)),ROUND(F619*Параметры!$B$6,IF(F619*Параметры!$B$6&gt;=1000,-1,0)))))</f>
        <v>2300</v>
      </c>
      <c r="J619" s="15">
        <v>2300</v>
      </c>
      <c r="K619" s="15">
        <f>IF(OR(J619="",G619=""),"",MAX(J619,MIN(ROUND(J619*(1+Параметры!$B$5),IF(J619*(1+Параметры!$B$5)&gt;=1000,-1,0)),ROUND(G619*Параметры!$B$6,IF(G619*Параметры!$B$6&gt;=1000,-1,0)))))</f>
        <v>2650</v>
      </c>
      <c r="L619" s="16">
        <v>1.5</v>
      </c>
      <c r="M619" s="17">
        <f t="shared" ref="M619:M628" si="56">IF(OR(L619="",L619=0),"",1/L619)</f>
        <v>0.66666666666666663</v>
      </c>
      <c r="N619" s="17">
        <f>IF(OR(L619="",L619=0),"",Параметры!$B$3/L619)</f>
        <v>5.333333333333333</v>
      </c>
      <c r="O619" s="15">
        <f>IF(L619="","",IFERROR(INDEX('Почасовка — ставки и план'!$D$5:$D$24,MATCH($D619,'Почасовка — ставки и план'!$A$5:$A$24,0)),""))</f>
        <v>850</v>
      </c>
      <c r="P619" s="15">
        <f>IF(L619="","",IFERROR(INDEX('Почасовка — ставки и план'!$E$5:$E$24,MATCH($D619,'Почасовка — ставки и план'!$A$5:$A$24,0)),""))</f>
        <v>1020</v>
      </c>
      <c r="Q619" s="15">
        <f t="shared" ref="Q619:Q628" si="57">IF(OR(L619="",O619=""),"",ROUND(L619*O619,0))</f>
        <v>1275</v>
      </c>
      <c r="R619" s="13" t="str">
        <f>IF(D619="TEX","аренда техники — сделка/счёт",IF(OR(Q619="",H619="",H619=0),"—",IF(Q619&lt;H619*(1-Параметры!$B$7),"почасовка",IF(Q619&gt;H619*(1+Параметры!$B$7),"сделка","любой способ"))))</f>
        <v>почасовка</v>
      </c>
      <c r="S619">
        <v>0</v>
      </c>
      <c r="T619">
        <v>0</v>
      </c>
    </row>
    <row r="620" spans="1:20" x14ac:dyDescent="0.25">
      <c r="A620" s="13" t="s">
        <v>1291</v>
      </c>
      <c r="B620" s="13" t="s">
        <v>1292</v>
      </c>
      <c r="C620" s="13" t="s">
        <v>144</v>
      </c>
      <c r="D620" s="13" t="s">
        <v>88</v>
      </c>
      <c r="E620" s="13" t="str">
        <f>IFERROR(INDEX('Почасовка — ставки и план'!$B$5:$B$24,MATCH(D620,'Почасовка — ставки и план'!$A$5:$A$24,0)),"Аренда техники / механизмы")</f>
        <v>Кровельщик</v>
      </c>
      <c r="F620" s="14">
        <v>1800</v>
      </c>
      <c r="G620" s="14">
        <v>2100</v>
      </c>
      <c r="H620" s="15">
        <v>1050</v>
      </c>
      <c r="I620" s="15">
        <f>IF(OR(H620="",F620=""),"",MAX(H620,MIN(ROUND(H620*(1+Параметры!$B$5),IF(H620*(1+Параметры!$B$5)&gt;=1000,-1,0)),ROUND(F620*Параметры!$B$6,IF(F620*Параметры!$B$6&gt;=1000,-1,0)))))</f>
        <v>1210</v>
      </c>
      <c r="J620" s="15">
        <v>1200</v>
      </c>
      <c r="K620" s="15">
        <f>IF(OR(J620="",G620=""),"",MAX(J620,MIN(ROUND(J620*(1+Параметры!$B$5),IF(J620*(1+Параметры!$B$5)&gt;=1000,-1,0)),ROUND(G620*Параметры!$B$6,IF(G620*Параметры!$B$6&gt;=1000,-1,0)))))</f>
        <v>1380</v>
      </c>
      <c r="L620" s="16">
        <v>1.2</v>
      </c>
      <c r="M620" s="17">
        <f t="shared" si="56"/>
        <v>0.83333333333333337</v>
      </c>
      <c r="N620" s="17">
        <f>IF(OR(L620="",L620=0),"",Параметры!$B$3/L620)</f>
        <v>6.666666666666667</v>
      </c>
      <c r="O620" s="15">
        <f>IF(L620="","",IFERROR(INDEX('Почасовка — ставки и план'!$D$5:$D$24,MATCH($D620,'Почасовка — ставки и план'!$A$5:$A$24,0)),""))</f>
        <v>800</v>
      </c>
      <c r="P620" s="15">
        <f>IF(L620="","",IFERROR(INDEX('Почасовка — ставки и план'!$E$5:$E$24,MATCH($D620,'Почасовка — ставки и план'!$A$5:$A$24,0)),""))</f>
        <v>950</v>
      </c>
      <c r="Q620" s="15">
        <f t="shared" si="57"/>
        <v>960</v>
      </c>
      <c r="R620" s="13" t="str">
        <f>IF(D620="TEX","аренда техники — сделка/счёт",IF(OR(Q620="",H620="",H620=0),"—",IF(Q620&lt;H620*(1-Параметры!$B$7),"почасовка",IF(Q620&gt;H620*(1+Параметры!$B$7),"сделка","любой способ"))))</f>
        <v>любой способ</v>
      </c>
      <c r="S620">
        <v>0</v>
      </c>
      <c r="T620">
        <v>0</v>
      </c>
    </row>
    <row r="621" spans="1:20" x14ac:dyDescent="0.25">
      <c r="A621" s="13" t="s">
        <v>1293</v>
      </c>
      <c r="B621" s="13" t="s">
        <v>1294</v>
      </c>
      <c r="C621" s="13" t="s">
        <v>144</v>
      </c>
      <c r="D621" s="13" t="s">
        <v>88</v>
      </c>
      <c r="E621" s="13" t="str">
        <f>IFERROR(INDEX('Почасовка — ставки и план'!$B$5:$B$24,MATCH(D621,'Почасовка — ставки и план'!$A$5:$A$24,0)),"Аренда техники / механизмы")</f>
        <v>Кровельщик</v>
      </c>
      <c r="F621" s="14">
        <v>3500</v>
      </c>
      <c r="G621" s="14">
        <v>4000</v>
      </c>
      <c r="H621" s="15">
        <v>2000</v>
      </c>
      <c r="I621" s="15">
        <f>IF(OR(H621="",F621=""),"",MAX(H621,MIN(ROUND(H621*(1+Параметры!$B$5),IF(H621*(1+Параметры!$B$5)&gt;=1000,-1,0)),ROUND(F621*Параметры!$B$6,IF(F621*Параметры!$B$6&gt;=1000,-1,0)))))</f>
        <v>2300</v>
      </c>
      <c r="J621" s="15">
        <v>2300</v>
      </c>
      <c r="K621" s="15">
        <f>IF(OR(J621="",G621=""),"",MAX(J621,MIN(ROUND(J621*(1+Параметры!$B$5),IF(J621*(1+Параметры!$B$5)&gt;=1000,-1,0)),ROUND(G621*Параметры!$B$6,IF(G621*Параметры!$B$6&gt;=1000,-1,0)))))</f>
        <v>2650</v>
      </c>
      <c r="L621" s="16">
        <v>2.5</v>
      </c>
      <c r="M621" s="17">
        <f t="shared" si="56"/>
        <v>0.4</v>
      </c>
      <c r="N621" s="17">
        <f>IF(OR(L621="",L621=0),"",Параметры!$B$3/L621)</f>
        <v>3.2</v>
      </c>
      <c r="O621" s="15">
        <f>IF(L621="","",IFERROR(INDEX('Почасовка — ставки и план'!$D$5:$D$24,MATCH($D621,'Почасовка — ставки и план'!$A$5:$A$24,0)),""))</f>
        <v>800</v>
      </c>
      <c r="P621" s="15">
        <f>IF(L621="","",IFERROR(INDEX('Почасовка — ставки и план'!$E$5:$E$24,MATCH($D621,'Почасовка — ставки и план'!$A$5:$A$24,0)),""))</f>
        <v>950</v>
      </c>
      <c r="Q621" s="15">
        <f t="shared" si="57"/>
        <v>2000</v>
      </c>
      <c r="R621" s="13" t="str">
        <f>IF(D621="TEX","аренда техники — сделка/счёт",IF(OR(Q621="",H621="",H621=0),"—",IF(Q621&lt;H621*(1-Параметры!$B$7),"почасовка",IF(Q621&gt;H621*(1+Параметры!$B$7),"сделка","любой способ"))))</f>
        <v>любой способ</v>
      </c>
      <c r="S621">
        <v>0</v>
      </c>
      <c r="T621">
        <v>0</v>
      </c>
    </row>
    <row r="622" spans="1:20" x14ac:dyDescent="0.25">
      <c r="A622" s="13" t="s">
        <v>1295</v>
      </c>
      <c r="B622" s="13" t="s">
        <v>1296</v>
      </c>
      <c r="C622" s="13" t="s">
        <v>69</v>
      </c>
      <c r="D622" s="13" t="s">
        <v>88</v>
      </c>
      <c r="E622" s="13" t="str">
        <f>IFERROR(INDEX('Почасовка — ставки и план'!$B$5:$B$24,MATCH(D622,'Почасовка — ставки и план'!$A$5:$A$24,0)),"Аренда техники / механизмы")</f>
        <v>Кровельщик</v>
      </c>
      <c r="F622" s="14">
        <v>550</v>
      </c>
      <c r="G622" s="14">
        <v>650</v>
      </c>
      <c r="H622" s="15">
        <v>320</v>
      </c>
      <c r="I622" s="15">
        <f>IF(OR(H622="",F622=""),"",MAX(H622,MIN(ROUND(H622*(1+Параметры!$B$5),IF(H622*(1+Параметры!$B$5)&gt;=1000,-1,0)),ROUND(F622*Параметры!$B$6,IF(F622*Параметры!$B$6&gt;=1000,-1,0)))))</f>
        <v>368</v>
      </c>
      <c r="J622" s="15">
        <v>370</v>
      </c>
      <c r="K622" s="15">
        <f>IF(OR(J622="",G622=""),"",MAX(J622,MIN(ROUND(J622*(1+Параметры!$B$5),IF(J622*(1+Параметры!$B$5)&gt;=1000,-1,0)),ROUND(G622*Параметры!$B$6,IF(G622*Параметры!$B$6&gt;=1000,-1,0)))))</f>
        <v>426</v>
      </c>
      <c r="L622" s="16">
        <v>0.4</v>
      </c>
      <c r="M622" s="17">
        <f t="shared" si="56"/>
        <v>2.5</v>
      </c>
      <c r="N622" s="17">
        <f>IF(OR(L622="",L622=0),"",Параметры!$B$3/L622)</f>
        <v>20</v>
      </c>
      <c r="O622" s="15">
        <f>IF(L622="","",IFERROR(INDEX('Почасовка — ставки и план'!$D$5:$D$24,MATCH($D622,'Почасовка — ставки и план'!$A$5:$A$24,0)),""))</f>
        <v>800</v>
      </c>
      <c r="P622" s="15">
        <f>IF(L622="","",IFERROR(INDEX('Почасовка — ставки и план'!$E$5:$E$24,MATCH($D622,'Почасовка — ставки и план'!$A$5:$A$24,0)),""))</f>
        <v>950</v>
      </c>
      <c r="Q622" s="15">
        <f t="shared" si="57"/>
        <v>320</v>
      </c>
      <c r="R622" s="13" t="str">
        <f>IF(D622="TEX","аренда техники — сделка/счёт",IF(OR(Q622="",H622="",H622=0),"—",IF(Q622&lt;H622*(1-Параметры!$B$7),"почасовка",IF(Q622&gt;H622*(1+Параметры!$B$7),"сделка","любой способ"))))</f>
        <v>любой способ</v>
      </c>
      <c r="S622">
        <v>0</v>
      </c>
      <c r="T622">
        <v>0</v>
      </c>
    </row>
    <row r="623" spans="1:20" x14ac:dyDescent="0.25">
      <c r="A623" s="13" t="s">
        <v>1297</v>
      </c>
      <c r="B623" s="13" t="s">
        <v>1298</v>
      </c>
      <c r="C623" s="13" t="s">
        <v>69</v>
      </c>
      <c r="D623" s="13" t="s">
        <v>88</v>
      </c>
      <c r="E623" s="13" t="str">
        <f>IFERROR(INDEX('Почасовка — ставки и план'!$B$5:$B$24,MATCH(D623,'Почасовка — ставки и план'!$A$5:$A$24,0)),"Аренда техники / механизмы")</f>
        <v>Кровельщик</v>
      </c>
      <c r="F623" s="14">
        <v>700</v>
      </c>
      <c r="G623" s="14">
        <v>800</v>
      </c>
      <c r="H623" s="15">
        <v>400</v>
      </c>
      <c r="I623" s="15">
        <f>IF(OR(H623="",F623=""),"",MAX(H623,MIN(ROUND(H623*(1+Параметры!$B$5),IF(H623*(1+Параметры!$B$5)&gt;=1000,-1,0)),ROUND(F623*Параметры!$B$6,IF(F623*Параметры!$B$6&gt;=1000,-1,0)))))</f>
        <v>460</v>
      </c>
      <c r="J623" s="15">
        <v>460</v>
      </c>
      <c r="K623" s="15">
        <f>IF(OR(J623="",G623=""),"",MAX(J623,MIN(ROUND(J623*(1+Параметры!$B$5),IF(J623*(1+Параметры!$B$5)&gt;=1000,-1,0)),ROUND(G623*Параметры!$B$6,IF(G623*Параметры!$B$6&gt;=1000,-1,0)))))</f>
        <v>529</v>
      </c>
      <c r="L623" s="16">
        <v>0.5</v>
      </c>
      <c r="M623" s="17">
        <f t="shared" si="56"/>
        <v>2</v>
      </c>
      <c r="N623" s="17">
        <f>IF(OR(L623="",L623=0),"",Параметры!$B$3/L623)</f>
        <v>16</v>
      </c>
      <c r="O623" s="15">
        <f>IF(L623="","",IFERROR(INDEX('Почасовка — ставки и план'!$D$5:$D$24,MATCH($D623,'Почасовка — ставки и план'!$A$5:$A$24,0)),""))</f>
        <v>800</v>
      </c>
      <c r="P623" s="15">
        <f>IF(L623="","",IFERROR(INDEX('Почасовка — ставки и план'!$E$5:$E$24,MATCH($D623,'Почасовка — ставки и план'!$A$5:$A$24,0)),""))</f>
        <v>950</v>
      </c>
      <c r="Q623" s="15">
        <f t="shared" si="57"/>
        <v>400</v>
      </c>
      <c r="R623" s="13" t="str">
        <f>IF(D623="TEX","аренда техники — сделка/счёт",IF(OR(Q623="",H623="",H623=0),"—",IF(Q623&lt;H623*(1-Параметры!$B$7),"почасовка",IF(Q623&gt;H623*(1+Параметры!$B$7),"сделка","любой способ"))))</f>
        <v>любой способ</v>
      </c>
      <c r="S623">
        <v>0</v>
      </c>
      <c r="T623">
        <v>0</v>
      </c>
    </row>
    <row r="624" spans="1:20" x14ac:dyDescent="0.25">
      <c r="A624" s="13" t="s">
        <v>1299</v>
      </c>
      <c r="B624" s="13" t="s">
        <v>1300</v>
      </c>
      <c r="C624" s="13" t="s">
        <v>69</v>
      </c>
      <c r="D624" s="13" t="s">
        <v>88</v>
      </c>
      <c r="E624" s="13" t="str">
        <f>IFERROR(INDEX('Почасовка — ставки и план'!$B$5:$B$24,MATCH(D624,'Почасовка — ставки и план'!$A$5:$A$24,0)),"Аренда техники / механизмы")</f>
        <v>Кровельщик</v>
      </c>
      <c r="F624" s="14">
        <v>600</v>
      </c>
      <c r="G624" s="14">
        <v>700</v>
      </c>
      <c r="H624" s="15">
        <v>350</v>
      </c>
      <c r="I624" s="15">
        <f>IF(OR(H624="",F624=""),"",MAX(H624,MIN(ROUND(H624*(1+Параметры!$B$5),IF(H624*(1+Параметры!$B$5)&gt;=1000,-1,0)),ROUND(F624*Параметры!$B$6,IF(F624*Параметры!$B$6&gt;=1000,-1,0)))))</f>
        <v>403</v>
      </c>
      <c r="J624" s="15">
        <v>400</v>
      </c>
      <c r="K624" s="15">
        <f>IF(OR(J624="",G624=""),"",MAX(J624,MIN(ROUND(J624*(1+Параметры!$B$5),IF(J624*(1+Параметры!$B$5)&gt;=1000,-1,0)),ROUND(G624*Параметры!$B$6,IF(G624*Параметры!$B$6&gt;=1000,-1,0)))))</f>
        <v>460</v>
      </c>
      <c r="L624" s="16">
        <v>0.4</v>
      </c>
      <c r="M624" s="17">
        <f t="shared" si="56"/>
        <v>2.5</v>
      </c>
      <c r="N624" s="17">
        <f>IF(OR(L624="",L624=0),"",Параметры!$B$3/L624)</f>
        <v>20</v>
      </c>
      <c r="O624" s="15">
        <f>IF(L624="","",IFERROR(INDEX('Почасовка — ставки и план'!$D$5:$D$24,MATCH($D624,'Почасовка — ставки и план'!$A$5:$A$24,0)),""))</f>
        <v>800</v>
      </c>
      <c r="P624" s="15">
        <f>IF(L624="","",IFERROR(INDEX('Почасовка — ставки и план'!$E$5:$E$24,MATCH($D624,'Почасовка — ставки и план'!$A$5:$A$24,0)),""))</f>
        <v>950</v>
      </c>
      <c r="Q624" s="15">
        <f t="shared" si="57"/>
        <v>320</v>
      </c>
      <c r="R624" s="13" t="str">
        <f>IF(D624="TEX","аренда техники — сделка/счёт",IF(OR(Q624="",H624="",H624=0),"—",IF(Q624&lt;H624*(1-Параметры!$B$7),"почасовка",IF(Q624&gt;H624*(1+Параметры!$B$7),"сделка","любой способ"))))</f>
        <v>любой способ</v>
      </c>
      <c r="S624">
        <v>0</v>
      </c>
      <c r="T624">
        <v>0</v>
      </c>
    </row>
    <row r="625" spans="1:20" x14ac:dyDescent="0.25">
      <c r="A625" s="13" t="s">
        <v>1301</v>
      </c>
      <c r="B625" s="13" t="s">
        <v>1302</v>
      </c>
      <c r="C625" s="13" t="s">
        <v>72</v>
      </c>
      <c r="D625" s="13" t="s">
        <v>56</v>
      </c>
      <c r="E625" s="13" t="str">
        <f>IFERROR(INDEX('Почасовка — ставки и план'!$B$5:$B$24,MATCH(D625,'Почасовка — ставки и план'!$A$5:$A$24,0)),"Аренда техники / механизмы")</f>
        <v>Дорожный рабочий / благоустройство</v>
      </c>
      <c r="F625" s="14">
        <v>600</v>
      </c>
      <c r="G625" s="14">
        <v>700</v>
      </c>
      <c r="H625" s="15">
        <v>350</v>
      </c>
      <c r="I625" s="15">
        <f>IF(OR(H625="",F625=""),"",MAX(H625,MIN(ROUND(H625*(1+Параметры!$B$5),IF(H625*(1+Параметры!$B$5)&gt;=1000,-1,0)),ROUND(F625*Параметры!$B$6,IF(F625*Параметры!$B$6&gt;=1000,-1,0)))))</f>
        <v>403</v>
      </c>
      <c r="J625" s="15">
        <v>400</v>
      </c>
      <c r="K625" s="15">
        <f>IF(OR(J625="",G625=""),"",MAX(J625,MIN(ROUND(J625*(1+Параметры!$B$5),IF(J625*(1+Параметры!$B$5)&gt;=1000,-1,0)),ROUND(G625*Параметры!$B$6,IF(G625*Параметры!$B$6&gt;=1000,-1,0)))))</f>
        <v>460</v>
      </c>
      <c r="L625" s="16">
        <v>0.5</v>
      </c>
      <c r="M625" s="17">
        <f t="shared" si="56"/>
        <v>2</v>
      </c>
      <c r="N625" s="17">
        <f>IF(OR(L625="",L625=0),"",Параметры!$B$3/L625)</f>
        <v>16</v>
      </c>
      <c r="O625" s="15">
        <f>IF(L625="","",IFERROR(INDEX('Почасовка — ставки и план'!$D$5:$D$24,MATCH($D625,'Почасовка — ставки и план'!$A$5:$A$24,0)),""))</f>
        <v>650</v>
      </c>
      <c r="P625" s="15">
        <f>IF(L625="","",IFERROR(INDEX('Почасовка — ставки и план'!$E$5:$E$24,MATCH($D625,'Почасовка — ставки и план'!$A$5:$A$24,0)),""))</f>
        <v>780</v>
      </c>
      <c r="Q625" s="15">
        <f t="shared" si="57"/>
        <v>325</v>
      </c>
      <c r="R625" s="13" t="str">
        <f>IF(D625="TEX","аренда техники — сделка/счёт",IF(OR(Q625="",H625="",H625=0),"—",IF(Q625&lt;H625*(1-Параметры!$B$7),"почасовка",IF(Q625&gt;H625*(1+Параметры!$B$7),"сделка","любой способ"))))</f>
        <v>любой способ</v>
      </c>
      <c r="S625">
        <v>0</v>
      </c>
      <c r="T625">
        <v>0</v>
      </c>
    </row>
    <row r="626" spans="1:20" x14ac:dyDescent="0.25">
      <c r="A626" s="18" t="s">
        <v>1303</v>
      </c>
      <c r="B626" s="13" t="s">
        <v>1304</v>
      </c>
      <c r="C626" s="13" t="s">
        <v>144</v>
      </c>
      <c r="D626" s="13" t="s">
        <v>88</v>
      </c>
      <c r="E626" s="13" t="str">
        <f>IFERROR(INDEX('Почасовка — ставки и план'!$B$5:$B$24,MATCH(D626,'Почасовка — ставки и план'!$A$5:$A$24,0)),"Аренда техники / механизмы")</f>
        <v>Кровельщик</v>
      </c>
      <c r="F626" s="14">
        <v>3500</v>
      </c>
      <c r="G626" s="14">
        <v>4000</v>
      </c>
      <c r="H626" s="15">
        <v>2000</v>
      </c>
      <c r="I626" s="15">
        <f>IF(OR(H626="",F626=""),"",MAX(H626,MIN(ROUND(H626*(1+Параметры!$B$5),IF(H626*(1+Параметры!$B$5)&gt;=1000,-1,0)),ROUND(F626*Параметры!$B$6,IF(F626*Параметры!$B$6&gt;=1000,-1,0)))))</f>
        <v>2300</v>
      </c>
      <c r="J626" s="15">
        <v>2300</v>
      </c>
      <c r="K626" s="15">
        <f>IF(OR(J626="",G626=""),"",MAX(J626,MIN(ROUND(J626*(1+Параметры!$B$5),IF(J626*(1+Параметры!$B$5)&gt;=1000,-1,0)),ROUND(G626*Параметры!$B$6,IF(G626*Параметры!$B$6&gt;=1000,-1,0)))))</f>
        <v>2650</v>
      </c>
      <c r="L626" s="16">
        <v>2.5</v>
      </c>
      <c r="M626" s="17">
        <f t="shared" si="56"/>
        <v>0.4</v>
      </c>
      <c r="N626" s="17">
        <f>IF(OR(L626="",L626=0),"",Параметры!$B$3/L626)</f>
        <v>3.2</v>
      </c>
      <c r="O626" s="15">
        <f>IF(L626="","",IFERROR(INDEX('Почасовка — ставки и план'!$D$5:$D$24,MATCH($D626,'Почасовка — ставки и план'!$A$5:$A$24,0)),""))</f>
        <v>800</v>
      </c>
      <c r="P626" s="15">
        <f>IF(L626="","",IFERROR(INDEX('Почасовка — ставки и план'!$E$5:$E$24,MATCH($D626,'Почасовка — ставки и план'!$A$5:$A$24,0)),""))</f>
        <v>950</v>
      </c>
      <c r="Q626" s="15">
        <f t="shared" si="57"/>
        <v>2000</v>
      </c>
      <c r="R626" s="13" t="str">
        <f>IF(D626="TEX","аренда техники — сделка/счёт",IF(OR(Q626="",H626="",H626=0),"—",IF(Q626&lt;H626*(1-Параметры!$B$7),"почасовка",IF(Q626&gt;H626*(1+Параметры!$B$7),"сделка","любой способ"))))</f>
        <v>любой способ</v>
      </c>
      <c r="S626">
        <v>0</v>
      </c>
      <c r="T626">
        <v>0</v>
      </c>
    </row>
    <row r="627" spans="1:20" x14ac:dyDescent="0.25">
      <c r="A627" s="18" t="s">
        <v>1305</v>
      </c>
      <c r="B627" s="13" t="s">
        <v>1306</v>
      </c>
      <c r="C627" s="13" t="s">
        <v>69</v>
      </c>
      <c r="D627" s="13" t="s">
        <v>273</v>
      </c>
      <c r="E627" s="13" t="str">
        <f>IFERROR(INDEX('Почасовка — ставки и план'!$B$5:$B$24,MATCH(D627,'Почасовка — ставки и план'!$A$5:$A$24,0)),"Аренда техники / механизмы")</f>
        <v>Электромонтажник</v>
      </c>
      <c r="F627" s="14">
        <v>450</v>
      </c>
      <c r="G627" s="14">
        <v>520</v>
      </c>
      <c r="H627" s="15">
        <v>260</v>
      </c>
      <c r="I627" s="15">
        <f>IF(OR(H627="",F627=""),"",MAX(H627,MIN(ROUND(H627*(1+Параметры!$B$5),IF(H627*(1+Параметры!$B$5)&gt;=1000,-1,0)),ROUND(F627*Параметры!$B$6,IF(F627*Параметры!$B$6&gt;=1000,-1,0)))))</f>
        <v>299</v>
      </c>
      <c r="J627" s="15">
        <v>300</v>
      </c>
      <c r="K627" s="15">
        <f>IF(OR(J627="",G627=""),"",MAX(J627,MIN(ROUND(J627*(1+Параметры!$B$5),IF(J627*(1+Параметры!$B$5)&gt;=1000,-1,0)),ROUND(G627*Параметры!$B$6,IF(G627*Параметры!$B$6&gt;=1000,-1,0)))))</f>
        <v>345</v>
      </c>
      <c r="L627" s="16">
        <v>0.25</v>
      </c>
      <c r="M627" s="17">
        <f t="shared" si="56"/>
        <v>4</v>
      </c>
      <c r="N627" s="17">
        <f>IF(OR(L627="",L627=0),"",Параметры!$B$3/L627)</f>
        <v>32</v>
      </c>
      <c r="O627" s="15">
        <f>IF(L627="","",IFERROR(INDEX('Почасовка — ставки и план'!$D$5:$D$24,MATCH($D627,'Почасовка — ставки и план'!$A$5:$A$24,0)),""))</f>
        <v>850</v>
      </c>
      <c r="P627" s="15">
        <f>IF(L627="","",IFERROR(INDEX('Почасовка — ставки и план'!$E$5:$E$24,MATCH($D627,'Почасовка — ставки и план'!$A$5:$A$24,0)),""))</f>
        <v>1020</v>
      </c>
      <c r="Q627" s="15">
        <f t="shared" si="57"/>
        <v>213</v>
      </c>
      <c r="R627" s="13" t="str">
        <f>IF(D627="TEX","аренда техники — сделка/счёт",IF(OR(Q627="",H627="",H627=0),"—",IF(Q627&lt;H627*(1-Параметры!$B$7),"почасовка",IF(Q627&gt;H627*(1+Параметры!$B$7),"сделка","любой способ"))))</f>
        <v>почасовка</v>
      </c>
      <c r="S627">
        <v>0</v>
      </c>
      <c r="T627">
        <v>0</v>
      </c>
    </row>
    <row r="628" spans="1:20" x14ac:dyDescent="0.25">
      <c r="A628" s="18" t="s">
        <v>1307</v>
      </c>
      <c r="B628" s="13" t="s">
        <v>1308</v>
      </c>
      <c r="C628" s="13" t="s">
        <v>144</v>
      </c>
      <c r="D628" s="13" t="s">
        <v>88</v>
      </c>
      <c r="E628" s="13" t="str">
        <f>IFERROR(INDEX('Почасовка — ставки и план'!$B$5:$B$24,MATCH(D628,'Почасовка — ставки и план'!$A$5:$A$24,0)),"Аренда техники / механизмы")</f>
        <v>Кровельщик</v>
      </c>
      <c r="F628" s="14">
        <v>400</v>
      </c>
      <c r="G628" s="14">
        <v>460</v>
      </c>
      <c r="H628" s="15">
        <v>230</v>
      </c>
      <c r="I628" s="15">
        <f>IF(OR(H628="",F628=""),"",MAX(H628,MIN(ROUND(H628*(1+Параметры!$B$5),IF(H628*(1+Параметры!$B$5)&gt;=1000,-1,0)),ROUND(F628*Параметры!$B$6,IF(F628*Параметры!$B$6&gt;=1000,-1,0)))))</f>
        <v>265</v>
      </c>
      <c r="J628" s="15">
        <v>265</v>
      </c>
      <c r="K628" s="15">
        <f>IF(OR(J628="",G628=""),"",MAX(J628,MIN(ROUND(J628*(1+Параметры!$B$5),IF(J628*(1+Параметры!$B$5)&gt;=1000,-1,0)),ROUND(G628*Параметры!$B$6,IF(G628*Параметры!$B$6&gt;=1000,-1,0)))))</f>
        <v>305</v>
      </c>
      <c r="L628" s="16">
        <v>0.3</v>
      </c>
      <c r="M628" s="17">
        <f t="shared" si="56"/>
        <v>3.3333333333333335</v>
      </c>
      <c r="N628" s="17">
        <f>IF(OR(L628="",L628=0),"",Параметры!$B$3/L628)</f>
        <v>26.666666666666668</v>
      </c>
      <c r="O628" s="15">
        <f>IF(L628="","",IFERROR(INDEX('Почасовка — ставки и план'!$D$5:$D$24,MATCH($D628,'Почасовка — ставки и план'!$A$5:$A$24,0)),""))</f>
        <v>800</v>
      </c>
      <c r="P628" s="15">
        <f>IF(L628="","",IFERROR(INDEX('Почасовка — ставки и план'!$E$5:$E$24,MATCH($D628,'Почасовка — ставки и план'!$A$5:$A$24,0)),""))</f>
        <v>950</v>
      </c>
      <c r="Q628" s="15">
        <f t="shared" si="57"/>
        <v>240</v>
      </c>
      <c r="R628" s="13" t="str">
        <f>IF(D628="TEX","аренда техники — сделка/счёт",IF(OR(Q628="",H628="",H628=0),"—",IF(Q628&lt;H628*(1-Параметры!$B$7),"почасовка",IF(Q628&gt;H628*(1+Параметры!$B$7),"сделка","любой способ"))))</f>
        <v>любой способ</v>
      </c>
      <c r="S628">
        <v>0</v>
      </c>
      <c r="T628">
        <v>0</v>
      </c>
    </row>
    <row r="629" spans="1:20" x14ac:dyDescent="0.25">
      <c r="A629" s="11" t="s">
        <v>1309</v>
      </c>
      <c r="B629" s="12"/>
      <c r="C629" s="12"/>
      <c r="D629" s="12"/>
      <c r="E629" s="12"/>
      <c r="F629" s="12"/>
      <c r="G629" s="12"/>
      <c r="H629" s="12"/>
      <c r="I629" s="12"/>
      <c r="J629" s="12"/>
      <c r="K629" s="12"/>
      <c r="L629" s="12"/>
      <c r="M629" s="12"/>
      <c r="N629" s="12"/>
      <c r="O629" s="12"/>
      <c r="P629" s="12"/>
      <c r="Q629" s="12"/>
      <c r="R629" s="12"/>
    </row>
    <row r="630" spans="1:20" x14ac:dyDescent="0.25">
      <c r="A630" s="13" t="s">
        <v>1310</v>
      </c>
      <c r="B630" s="13" t="s">
        <v>1311</v>
      </c>
      <c r="C630" s="13" t="s">
        <v>152</v>
      </c>
      <c r="D630" s="13" t="s">
        <v>64</v>
      </c>
      <c r="E630" s="13" t="str">
        <f>IFERROR(INDEX('Почасовка — ставки и план'!$B$5:$B$24,MATCH(D630,'Почасовка — ставки и план'!$A$5:$A$24,0)),"Аренда техники / механизмы")</f>
        <v>Сварщик / монтажник МК</v>
      </c>
      <c r="F630" s="14">
        <v>95000</v>
      </c>
      <c r="G630" s="14">
        <v>110000</v>
      </c>
      <c r="H630" s="15">
        <v>55000</v>
      </c>
      <c r="I630" s="15">
        <f>IF(OR(H630="",F630=""),"",MAX(H630,MIN(ROUND(H630*(1+Параметры!$B$5),IF(H630*(1+Параметры!$B$5)&gt;=1000,-1,0)),ROUND(F630*Параметры!$B$6,IF(F630*Параметры!$B$6&gt;=1000,-1,0)))))</f>
        <v>63250</v>
      </c>
      <c r="J630" s="15">
        <v>63000</v>
      </c>
      <c r="K630" s="15">
        <f>IF(OR(J630="",G630=""),"",MAX(J630,MIN(ROUND(J630*(1+Параметры!$B$5),IF(J630*(1+Параметры!$B$5)&gt;=1000,-1,0)),ROUND(G630*Параметры!$B$6,IF(G630*Параметры!$B$6&gt;=1000,-1,0)))))</f>
        <v>72450</v>
      </c>
      <c r="L630" s="16">
        <v>70</v>
      </c>
      <c r="M630" s="17">
        <f>IF(OR(L630="",L630=0),"",1/L630)</f>
        <v>1.4285714285714285E-2</v>
      </c>
      <c r="N630" s="17">
        <f>IF(OR(L630="",L630=0),"",Параметры!$B$3/L630)</f>
        <v>0.11428571428571428</v>
      </c>
      <c r="O630" s="15">
        <f>IF(L630="","",IFERROR(INDEX('Почасовка — ставки и план'!$D$5:$D$24,MATCH($D630,'Почасовка — ставки и план'!$A$5:$A$24,0)),""))</f>
        <v>900</v>
      </c>
      <c r="P630" s="15">
        <f>IF(L630="","",IFERROR(INDEX('Почасовка — ставки и план'!$E$5:$E$24,MATCH($D630,'Почасовка — ставки и план'!$A$5:$A$24,0)),""))</f>
        <v>1080</v>
      </c>
      <c r="Q630" s="15">
        <f>IF(OR(L630="",O630=""),"",ROUND(L630*O630,0))</f>
        <v>63000</v>
      </c>
      <c r="R630" s="13" t="str">
        <f>IF(D630="TEX","аренда техники — сделка/счёт",IF(OR(Q630="",H630="",H630=0),"—",IF(Q630&lt;H630*(1-Параметры!$B$7),"почасовка",IF(Q630&gt;H630*(1+Параметры!$B$7),"сделка","любой способ"))))</f>
        <v>сделка</v>
      </c>
      <c r="S630">
        <v>0</v>
      </c>
      <c r="T630">
        <v>0</v>
      </c>
    </row>
    <row r="631" spans="1:20" x14ac:dyDescent="0.25">
      <c r="A631" s="13" t="s">
        <v>1312</v>
      </c>
      <c r="B631" s="13" t="s">
        <v>1313</v>
      </c>
      <c r="C631" s="13" t="s">
        <v>152</v>
      </c>
      <c r="D631" s="13" t="s">
        <v>64</v>
      </c>
      <c r="E631" s="13" t="str">
        <f>IFERROR(INDEX('Почасовка — ставки и план'!$B$5:$B$24,MATCH(D631,'Почасовка — ставки и план'!$A$5:$A$24,0)),"Аренда техники / механизмы")</f>
        <v>Сварщик / монтажник МК</v>
      </c>
      <c r="F631" s="14">
        <v>55000</v>
      </c>
      <c r="G631" s="14">
        <v>63000</v>
      </c>
      <c r="H631" s="15">
        <v>32000</v>
      </c>
      <c r="I631" s="15">
        <f>IF(OR(H631="",F631=""),"",MAX(H631,MIN(ROUND(H631*(1+Параметры!$B$5),IF(H631*(1+Параметры!$B$5)&gt;=1000,-1,0)),ROUND(F631*Параметры!$B$6,IF(F631*Параметры!$B$6&gt;=1000,-1,0)))))</f>
        <v>36800</v>
      </c>
      <c r="J631" s="15">
        <v>36500</v>
      </c>
      <c r="K631" s="15">
        <f>IF(OR(J631="",G631=""),"",MAX(J631,MIN(ROUND(J631*(1+Параметры!$B$5),IF(J631*(1+Параметры!$B$5)&gt;=1000,-1,0)),ROUND(G631*Параметры!$B$6,IF(G631*Параметры!$B$6&gt;=1000,-1,0)))))</f>
        <v>41980</v>
      </c>
      <c r="L631" s="16">
        <v>40</v>
      </c>
      <c r="M631" s="17">
        <f>IF(OR(L631="",L631=0),"",1/L631)</f>
        <v>2.5000000000000001E-2</v>
      </c>
      <c r="N631" s="17">
        <f>IF(OR(L631="",L631=0),"",Параметры!$B$3/L631)</f>
        <v>0.2</v>
      </c>
      <c r="O631" s="15">
        <f>IF(L631="","",IFERROR(INDEX('Почасовка — ставки и план'!$D$5:$D$24,MATCH($D631,'Почасовка — ставки и план'!$A$5:$A$24,0)),""))</f>
        <v>900</v>
      </c>
      <c r="P631" s="15">
        <f>IF(L631="","",IFERROR(INDEX('Почасовка — ставки и план'!$E$5:$E$24,MATCH($D631,'Почасовка — ставки и план'!$A$5:$A$24,0)),""))</f>
        <v>1080</v>
      </c>
      <c r="Q631" s="15">
        <f>IF(OR(L631="",O631=""),"",ROUND(L631*O631,0))</f>
        <v>36000</v>
      </c>
      <c r="R631" s="13" t="str">
        <f>IF(D631="TEX","аренда техники — сделка/счёт",IF(OR(Q631="",H631="",H631=0),"—",IF(Q631&lt;H631*(1-Параметры!$B$7),"почасовка",IF(Q631&gt;H631*(1+Параметры!$B$7),"сделка","любой способ"))))</f>
        <v>сделка</v>
      </c>
      <c r="S631">
        <v>0</v>
      </c>
      <c r="T631">
        <v>0</v>
      </c>
    </row>
    <row r="632" spans="1:20" x14ac:dyDescent="0.25">
      <c r="A632" s="18" t="s">
        <v>1314</v>
      </c>
      <c r="B632" s="13" t="s">
        <v>1315</v>
      </c>
      <c r="C632" s="13" t="s">
        <v>144</v>
      </c>
      <c r="D632" s="13" t="s">
        <v>88</v>
      </c>
      <c r="E632" s="13" t="str">
        <f>IFERROR(INDEX('Почасовка — ставки и план'!$B$5:$B$24,MATCH(D632,'Почасовка — ставки и план'!$A$5:$A$24,0)),"Аренда техники / механизмы")</f>
        <v>Кровельщик</v>
      </c>
      <c r="F632" s="14">
        <v>900</v>
      </c>
      <c r="G632" s="14">
        <v>1050</v>
      </c>
      <c r="H632" s="15">
        <v>520</v>
      </c>
      <c r="I632" s="15">
        <f>IF(OR(H632="",F632=""),"",MAX(H632,MIN(ROUND(H632*(1+Параметры!$B$5),IF(H632*(1+Параметры!$B$5)&gt;=1000,-1,0)),ROUND(F632*Параметры!$B$6,IF(F632*Параметры!$B$6&gt;=1000,-1,0)))))</f>
        <v>598</v>
      </c>
      <c r="J632" s="15">
        <v>600</v>
      </c>
      <c r="K632" s="15">
        <f>IF(OR(J632="",G632=""),"",MAX(J632,MIN(ROUND(J632*(1+Параметры!$B$5),IF(J632*(1+Параметры!$B$5)&gt;=1000,-1,0)),ROUND(G632*Параметры!$B$6,IF(G632*Параметры!$B$6&gt;=1000,-1,0)))))</f>
        <v>690</v>
      </c>
      <c r="L632" s="16">
        <v>0.6</v>
      </c>
      <c r="M632" s="17">
        <f>IF(OR(L632="",L632=0),"",1/L632)</f>
        <v>1.6666666666666667</v>
      </c>
      <c r="N632" s="17">
        <f>IF(OR(L632="",L632=0),"",Параметры!$B$3/L632)</f>
        <v>13.333333333333334</v>
      </c>
      <c r="O632" s="15">
        <f>IF(L632="","",IFERROR(INDEX('Почасовка — ставки и план'!$D$5:$D$24,MATCH($D632,'Почасовка — ставки и план'!$A$5:$A$24,0)),""))</f>
        <v>800</v>
      </c>
      <c r="P632" s="15">
        <f>IF(L632="","",IFERROR(INDEX('Почасовка — ставки и план'!$E$5:$E$24,MATCH($D632,'Почасовка — ставки и план'!$A$5:$A$24,0)),""))</f>
        <v>950</v>
      </c>
      <c r="Q632" s="15">
        <f>IF(OR(L632="",O632=""),"",ROUND(L632*O632,0))</f>
        <v>480</v>
      </c>
      <c r="R632" s="13" t="str">
        <f>IF(D632="TEX","аренда техники — сделка/счёт",IF(OR(Q632="",H632="",H632=0),"—",IF(Q632&lt;H632*(1-Параметры!$B$7),"почасовка",IF(Q632&gt;H632*(1+Параметры!$B$7),"сделка","любой способ"))))</f>
        <v>любой способ</v>
      </c>
      <c r="S632">
        <v>0</v>
      </c>
      <c r="T632">
        <v>0</v>
      </c>
    </row>
    <row r="633" spans="1:20" x14ac:dyDescent="0.25">
      <c r="A633" s="11" t="s">
        <v>1316</v>
      </c>
      <c r="B633" s="12"/>
      <c r="C633" s="12"/>
      <c r="D633" s="12"/>
      <c r="E633" s="12"/>
      <c r="F633" s="12"/>
      <c r="G633" s="12"/>
      <c r="H633" s="12"/>
      <c r="I633" s="12"/>
      <c r="J633" s="12"/>
      <c r="K633" s="12"/>
      <c r="L633" s="12"/>
      <c r="M633" s="12"/>
      <c r="N633" s="12"/>
      <c r="O633" s="12"/>
      <c r="P633" s="12"/>
      <c r="Q633" s="12"/>
      <c r="R633" s="12"/>
    </row>
    <row r="634" spans="1:20" x14ac:dyDescent="0.25">
      <c r="A634" s="13" t="s">
        <v>1317</v>
      </c>
      <c r="B634" s="13" t="s">
        <v>1318</v>
      </c>
      <c r="C634" s="13" t="s">
        <v>69</v>
      </c>
      <c r="D634" s="13" t="s">
        <v>200</v>
      </c>
      <c r="E634" s="13" t="str">
        <f>IFERROR(INDEX('Почасовка — ставки и план'!$B$5:$B$24,MATCH(D634,'Почасовка — ставки и план'!$A$5:$A$24,0)),"Аренда техники / механизмы")</f>
        <v>Плиточник / укладчик полов</v>
      </c>
      <c r="F634" s="14">
        <v>180</v>
      </c>
      <c r="G634" s="14">
        <v>210</v>
      </c>
      <c r="H634" s="15">
        <v>110</v>
      </c>
      <c r="I634" s="15">
        <f>IF(OR(H634="",F634=""),"",MAX(H634,MIN(ROUND(H634*(1+Параметры!$B$5),IF(H634*(1+Параметры!$B$5)&gt;=1000,-1,0)),ROUND(F634*Параметры!$B$6,IF(F634*Параметры!$B$6&gt;=1000,-1,0)))))</f>
        <v>127</v>
      </c>
      <c r="J634" s="15">
        <v>125</v>
      </c>
      <c r="K634" s="15">
        <f>IF(OR(J634="",G634=""),"",MAX(J634,MIN(ROUND(J634*(1+Параметры!$B$5),IF(J634*(1+Параметры!$B$5)&gt;=1000,-1,0)),ROUND(G634*Параметры!$B$6,IF(G634*Параметры!$B$6&gt;=1000,-1,0)))))</f>
        <v>144</v>
      </c>
      <c r="L634" s="16">
        <v>0.08</v>
      </c>
      <c r="M634" s="17">
        <f t="shared" ref="M634:M656" si="58">IF(OR(L634="",L634=0),"",1/L634)</f>
        <v>12.5</v>
      </c>
      <c r="N634" s="17">
        <f>IF(OR(L634="",L634=0),"",Параметры!$B$3/L634)</f>
        <v>100</v>
      </c>
      <c r="O634" s="15">
        <f>IF(L634="","",IFERROR(INDEX('Почасовка — ставки и план'!$D$5:$D$24,MATCH($D634,'Почасовка — ставки и план'!$A$5:$A$24,0)),""))</f>
        <v>900</v>
      </c>
      <c r="P634" s="15">
        <f>IF(L634="","",IFERROR(INDEX('Почасовка — ставки и план'!$E$5:$E$24,MATCH($D634,'Почасовка — ставки и план'!$A$5:$A$24,0)),""))</f>
        <v>1080</v>
      </c>
      <c r="Q634" s="15">
        <f t="shared" ref="Q634:Q656" si="59">IF(OR(L634="",O634=""),"",ROUND(L634*O634,0))</f>
        <v>72</v>
      </c>
      <c r="R634" s="13" t="str">
        <f>IF(D634="TEX","аренда техники — сделка/счёт",IF(OR(Q634="",H634="",H634=0),"—",IF(Q634&lt;H634*(1-Параметры!$B$7),"почасовка",IF(Q634&gt;H634*(1+Параметры!$B$7),"сделка","любой способ"))))</f>
        <v>почасовка</v>
      </c>
      <c r="S634">
        <v>0</v>
      </c>
      <c r="T634">
        <v>0</v>
      </c>
    </row>
    <row r="635" spans="1:20" x14ac:dyDescent="0.25">
      <c r="A635" s="13" t="s">
        <v>1319</v>
      </c>
      <c r="B635" s="13" t="s">
        <v>1320</v>
      </c>
      <c r="C635" s="13" t="s">
        <v>72</v>
      </c>
      <c r="D635" s="13" t="s">
        <v>162</v>
      </c>
      <c r="E635" s="13" t="str">
        <f>IFERROR(INDEX('Почасовка — ставки и план'!$B$5:$B$24,MATCH(D635,'Почасовка — ставки и план'!$A$5:$A$24,0)),"Аренда техники / механизмы")</f>
        <v>Бетонщик / арматурщик</v>
      </c>
      <c r="F635" s="14">
        <v>150</v>
      </c>
      <c r="G635" s="14">
        <v>180</v>
      </c>
      <c r="H635" s="15">
        <v>90</v>
      </c>
      <c r="I635" s="15">
        <f>IF(OR(H635="",F635=""),"",MAX(H635,MIN(ROUND(H635*(1+Параметры!$B$5),IF(H635*(1+Параметры!$B$5)&gt;=1000,-1,0)),ROUND(F635*Параметры!$B$6,IF(F635*Параметры!$B$6&gt;=1000,-1,0)))))</f>
        <v>104</v>
      </c>
      <c r="J635" s="15">
        <v>105</v>
      </c>
      <c r="K635" s="15">
        <f>IF(OR(J635="",G635=""),"",MAX(J635,MIN(ROUND(J635*(1+Параметры!$B$5),IF(J635*(1+Параметры!$B$5)&gt;=1000,-1,0)),ROUND(G635*Параметры!$B$6,IF(G635*Параметры!$B$6&gt;=1000,-1,0)))))</f>
        <v>121</v>
      </c>
      <c r="L635" s="16">
        <v>0.12</v>
      </c>
      <c r="M635" s="17">
        <f t="shared" si="58"/>
        <v>8.3333333333333339</v>
      </c>
      <c r="N635" s="17">
        <f>IF(OR(L635="",L635=0),"",Параметры!$B$3/L635)</f>
        <v>66.666666666666671</v>
      </c>
      <c r="O635" s="15">
        <f>IF(L635="","",IFERROR(INDEX('Почасовка — ставки и план'!$D$5:$D$24,MATCH($D635,'Почасовка — ставки и план'!$A$5:$A$24,0)),""))</f>
        <v>800</v>
      </c>
      <c r="P635" s="15">
        <f>IF(L635="","",IFERROR(INDEX('Почасовка — ставки и план'!$E$5:$E$24,MATCH($D635,'Почасовка — ставки и план'!$A$5:$A$24,0)),""))</f>
        <v>950</v>
      </c>
      <c r="Q635" s="15">
        <f t="shared" si="59"/>
        <v>96</v>
      </c>
      <c r="R635" s="13" t="str">
        <f>IF(D635="TEX","аренда техники — сделка/счёт",IF(OR(Q635="",H635="",H635=0),"—",IF(Q635&lt;H635*(1-Параметры!$B$7),"почасовка",IF(Q635&gt;H635*(1+Параметры!$B$7),"сделка","любой способ"))))</f>
        <v>любой способ</v>
      </c>
      <c r="S635">
        <v>0</v>
      </c>
      <c r="T635">
        <v>0</v>
      </c>
    </row>
    <row r="636" spans="1:20" x14ac:dyDescent="0.25">
      <c r="A636" s="13" t="s">
        <v>1321</v>
      </c>
      <c r="B636" s="13" t="s">
        <v>1322</v>
      </c>
      <c r="C636" s="13" t="s">
        <v>72</v>
      </c>
      <c r="D636" s="13" t="s">
        <v>200</v>
      </c>
      <c r="E636" s="13" t="str">
        <f>IFERROR(INDEX('Почасовка — ставки и план'!$B$5:$B$24,MATCH(D636,'Почасовка — ставки и план'!$A$5:$A$24,0)),"Аренда техники / механизмы")</f>
        <v>Плиточник / укладчик полов</v>
      </c>
      <c r="F636" s="14">
        <v>60</v>
      </c>
      <c r="G636" s="14">
        <v>70</v>
      </c>
      <c r="H636" s="15">
        <v>35</v>
      </c>
      <c r="I636" s="15">
        <f>IF(OR(H636="",F636=""),"",MAX(H636,MIN(ROUND(H636*(1+Параметры!$B$5),IF(H636*(1+Параметры!$B$5)&gt;=1000,-1,0)),ROUND(F636*Параметры!$B$6,IF(F636*Параметры!$B$6&gt;=1000,-1,0)))))</f>
        <v>40</v>
      </c>
      <c r="J636" s="15">
        <v>42</v>
      </c>
      <c r="K636" s="15">
        <f>IF(OR(J636="",G636=""),"",MAX(J636,MIN(ROUND(J636*(1+Параметры!$B$5),IF(J636*(1+Параметры!$B$5)&gt;=1000,-1,0)),ROUND(G636*Параметры!$B$6,IF(G636*Параметры!$B$6&gt;=1000,-1,0)))))</f>
        <v>48</v>
      </c>
      <c r="L636" s="16">
        <v>0.03</v>
      </c>
      <c r="M636" s="17">
        <f t="shared" si="58"/>
        <v>33.333333333333336</v>
      </c>
      <c r="N636" s="17">
        <f>IF(OR(L636="",L636=0),"",Параметры!$B$3/L636)</f>
        <v>266.66666666666669</v>
      </c>
      <c r="O636" s="15">
        <f>IF(L636="","",IFERROR(INDEX('Почасовка — ставки и план'!$D$5:$D$24,MATCH($D636,'Почасовка — ставки и план'!$A$5:$A$24,0)),""))</f>
        <v>900</v>
      </c>
      <c r="P636" s="15">
        <f>IF(L636="","",IFERROR(INDEX('Почасовка — ставки и план'!$E$5:$E$24,MATCH($D636,'Почасовка — ставки и план'!$A$5:$A$24,0)),""))</f>
        <v>1080</v>
      </c>
      <c r="Q636" s="15">
        <f t="shared" si="59"/>
        <v>27</v>
      </c>
      <c r="R636" s="13" t="str">
        <f>IF(D636="TEX","аренда техники — сделка/счёт",IF(OR(Q636="",H636="",H636=0),"—",IF(Q636&lt;H636*(1-Параметры!$B$7),"почасовка",IF(Q636&gt;H636*(1+Параметры!$B$7),"сделка","любой способ"))))</f>
        <v>почасовка</v>
      </c>
      <c r="S636">
        <v>0</v>
      </c>
      <c r="T636">
        <v>0</v>
      </c>
    </row>
    <row r="637" spans="1:20" x14ac:dyDescent="0.25">
      <c r="A637" s="13" t="s">
        <v>1323</v>
      </c>
      <c r="B637" s="13" t="s">
        <v>1324</v>
      </c>
      <c r="C637" s="13" t="s">
        <v>72</v>
      </c>
      <c r="D637" s="13" t="s">
        <v>162</v>
      </c>
      <c r="E637" s="13" t="str">
        <f>IFERROR(INDEX('Почасовка — ставки и план'!$B$5:$B$24,MATCH(D637,'Почасовка — ставки и план'!$A$5:$A$24,0)),"Аренда техники / механизмы")</f>
        <v>Бетонщик / арматурщик</v>
      </c>
      <c r="F637" s="14">
        <v>45</v>
      </c>
      <c r="G637" s="14">
        <v>55</v>
      </c>
      <c r="H637" s="15">
        <v>28</v>
      </c>
      <c r="I637" s="15">
        <f>IF(OR(H637="",F637=""),"",MAX(H637,MIN(ROUND(H637*(1+Параметры!$B$5),IF(H637*(1+Параметры!$B$5)&gt;=1000,-1,0)),ROUND(F637*Параметры!$B$6,IF(F637*Параметры!$B$6&gt;=1000,-1,0)))))</f>
        <v>32</v>
      </c>
      <c r="J637" s="15">
        <v>33</v>
      </c>
      <c r="K637" s="15">
        <f>IF(OR(J637="",G637=""),"",MAX(J637,MIN(ROUND(J637*(1+Параметры!$B$5),IF(J637*(1+Параметры!$B$5)&gt;=1000,-1,0)),ROUND(G637*Параметры!$B$6,IF(G637*Параметры!$B$6&gt;=1000,-1,0)))))</f>
        <v>38</v>
      </c>
      <c r="L637" s="16">
        <v>0.04</v>
      </c>
      <c r="M637" s="17">
        <f t="shared" si="58"/>
        <v>25</v>
      </c>
      <c r="N637" s="17">
        <f>IF(OR(L637="",L637=0),"",Параметры!$B$3/L637)</f>
        <v>200</v>
      </c>
      <c r="O637" s="15">
        <f>IF(L637="","",IFERROR(INDEX('Почасовка — ставки и план'!$D$5:$D$24,MATCH($D637,'Почасовка — ставки и план'!$A$5:$A$24,0)),""))</f>
        <v>800</v>
      </c>
      <c r="P637" s="15">
        <f>IF(L637="","",IFERROR(INDEX('Почасовка — ставки и план'!$E$5:$E$24,MATCH($D637,'Почасовка — ставки и план'!$A$5:$A$24,0)),""))</f>
        <v>950</v>
      </c>
      <c r="Q637" s="15">
        <f t="shared" si="59"/>
        <v>32</v>
      </c>
      <c r="R637" s="13" t="str">
        <f>IF(D637="TEX","аренда техники — сделка/счёт",IF(OR(Q637="",H637="",H637=0),"—",IF(Q637&lt;H637*(1-Параметры!$B$7),"почасовка",IF(Q637&gt;H637*(1+Параметры!$B$7),"сделка","любой способ"))))</f>
        <v>сделка</v>
      </c>
      <c r="S637">
        <v>0</v>
      </c>
      <c r="T637">
        <v>0</v>
      </c>
    </row>
    <row r="638" spans="1:20" x14ac:dyDescent="0.25">
      <c r="A638" s="13" t="s">
        <v>1325</v>
      </c>
      <c r="B638" s="13" t="s">
        <v>1326</v>
      </c>
      <c r="C638" s="13" t="s">
        <v>72</v>
      </c>
      <c r="D638" s="13" t="s">
        <v>162</v>
      </c>
      <c r="E638" s="13" t="str">
        <f>IFERROR(INDEX('Почасовка — ставки и план'!$B$5:$B$24,MATCH(D638,'Почасовка — ставки и план'!$A$5:$A$24,0)),"Аренда техники / механизмы")</f>
        <v>Бетонщик / арматурщик</v>
      </c>
      <c r="F638" s="14">
        <v>45</v>
      </c>
      <c r="G638" s="14">
        <v>55</v>
      </c>
      <c r="H638" s="15">
        <v>28</v>
      </c>
      <c r="I638" s="15">
        <f>IF(OR(H638="",F638=""),"",MAX(H638,MIN(ROUND(H638*(1+Параметры!$B$5),IF(H638*(1+Параметры!$B$5)&gt;=1000,-1,0)),ROUND(F638*Параметры!$B$6,IF(F638*Параметры!$B$6&gt;=1000,-1,0)))))</f>
        <v>32</v>
      </c>
      <c r="J638" s="15">
        <v>33</v>
      </c>
      <c r="K638" s="15">
        <f>IF(OR(J638="",G638=""),"",MAX(J638,MIN(ROUND(J638*(1+Параметры!$B$5),IF(J638*(1+Параметры!$B$5)&gt;=1000,-1,0)),ROUND(G638*Параметры!$B$6,IF(G638*Параметры!$B$6&gt;=1000,-1,0)))))</f>
        <v>38</v>
      </c>
      <c r="L638" s="16">
        <v>0.04</v>
      </c>
      <c r="M638" s="17">
        <f t="shared" si="58"/>
        <v>25</v>
      </c>
      <c r="N638" s="17">
        <f>IF(OR(L638="",L638=0),"",Параметры!$B$3/L638)</f>
        <v>200</v>
      </c>
      <c r="O638" s="15">
        <f>IF(L638="","",IFERROR(INDEX('Почасовка — ставки и план'!$D$5:$D$24,MATCH($D638,'Почасовка — ставки и план'!$A$5:$A$24,0)),""))</f>
        <v>800</v>
      </c>
      <c r="P638" s="15">
        <f>IF(L638="","",IFERROR(INDEX('Почасовка — ставки и план'!$E$5:$E$24,MATCH($D638,'Почасовка — ставки и план'!$A$5:$A$24,0)),""))</f>
        <v>950</v>
      </c>
      <c r="Q638" s="15">
        <f t="shared" si="59"/>
        <v>32</v>
      </c>
      <c r="R638" s="13" t="str">
        <f>IF(D638="TEX","аренда техники — сделка/счёт",IF(OR(Q638="",H638="",H638=0),"—",IF(Q638&lt;H638*(1-Параметры!$B$7),"почасовка",IF(Q638&gt;H638*(1+Параметры!$B$7),"сделка","любой способ"))))</f>
        <v>сделка</v>
      </c>
      <c r="S638">
        <v>0</v>
      </c>
      <c r="T638">
        <v>0</v>
      </c>
    </row>
    <row r="639" spans="1:20" x14ac:dyDescent="0.25">
      <c r="A639" s="13" t="s">
        <v>1327</v>
      </c>
      <c r="B639" s="13" t="s">
        <v>1328</v>
      </c>
      <c r="C639" s="13" t="s">
        <v>55</v>
      </c>
      <c r="D639" s="13" t="s">
        <v>162</v>
      </c>
      <c r="E639" s="13" t="str">
        <f>IFERROR(INDEX('Почасовка — ставки и план'!$B$5:$B$24,MATCH(D639,'Почасовка — ставки и план'!$A$5:$A$24,0)),"Аренда техники / механизмы")</f>
        <v>Бетонщик / арматурщик</v>
      </c>
      <c r="F639" s="14">
        <v>5500</v>
      </c>
      <c r="G639" s="14">
        <v>6500</v>
      </c>
      <c r="H639" s="15">
        <v>3500</v>
      </c>
      <c r="I639" s="15">
        <f>IF(OR(H639="",F639=""),"",MAX(H639,MIN(ROUND(H639*(1+Параметры!$B$5),IF(H639*(1+Параметры!$B$5)&gt;=1000,-1,0)),ROUND(F639*Параметры!$B$6,IF(F639*Параметры!$B$6&gt;=1000,-1,0)))))</f>
        <v>4030</v>
      </c>
      <c r="J639" s="15">
        <v>4100</v>
      </c>
      <c r="K639" s="15">
        <f>IF(OR(J639="",G639=""),"",MAX(J639,MIN(ROUND(J639*(1+Параметры!$B$5),IF(J639*(1+Параметры!$B$5)&gt;=1000,-1,0)),ROUND(G639*Параметры!$B$6,IF(G639*Параметры!$B$6&gt;=1000,-1,0)))))</f>
        <v>4720</v>
      </c>
      <c r="L639" s="16">
        <v>4.5</v>
      </c>
      <c r="M639" s="17">
        <f t="shared" si="58"/>
        <v>0.22222222222222221</v>
      </c>
      <c r="N639" s="17">
        <f>IF(OR(L639="",L639=0),"",Параметры!$B$3/L639)</f>
        <v>1.7777777777777777</v>
      </c>
      <c r="O639" s="15">
        <f>IF(L639="","",IFERROR(INDEX('Почасовка — ставки и план'!$D$5:$D$24,MATCH($D639,'Почасовка — ставки и план'!$A$5:$A$24,0)),""))</f>
        <v>800</v>
      </c>
      <c r="P639" s="15">
        <f>IF(L639="","",IFERROR(INDEX('Почасовка — ставки и план'!$E$5:$E$24,MATCH($D639,'Почасовка — ставки и план'!$A$5:$A$24,0)),""))</f>
        <v>950</v>
      </c>
      <c r="Q639" s="15">
        <f t="shared" si="59"/>
        <v>3600</v>
      </c>
      <c r="R639" s="13" t="str">
        <f>IF(D639="TEX","аренда техники — сделка/счёт",IF(OR(Q639="",H639="",H639=0),"—",IF(Q639&lt;H639*(1-Параметры!$B$7),"почасовка",IF(Q639&gt;H639*(1+Параметры!$B$7),"сделка","любой способ"))))</f>
        <v>любой способ</v>
      </c>
      <c r="S639">
        <v>0</v>
      </c>
      <c r="T639">
        <v>0</v>
      </c>
    </row>
    <row r="640" spans="1:20" x14ac:dyDescent="0.25">
      <c r="A640" s="13" t="s">
        <v>1329</v>
      </c>
      <c r="B640" s="13" t="s">
        <v>1330</v>
      </c>
      <c r="C640" s="13" t="s">
        <v>55</v>
      </c>
      <c r="D640" s="13" t="s">
        <v>200</v>
      </c>
      <c r="E640" s="13" t="str">
        <f>IFERROR(INDEX('Почасовка — ставки и план'!$B$5:$B$24,MATCH(D640,'Почасовка — ставки и план'!$A$5:$A$24,0)),"Аренда техники / механизмы")</f>
        <v>Плиточник / укладчик полов</v>
      </c>
      <c r="F640" s="14">
        <v>5000</v>
      </c>
      <c r="G640" s="14">
        <v>5800</v>
      </c>
      <c r="H640" s="15">
        <v>3000</v>
      </c>
      <c r="I640" s="15">
        <f>IF(OR(H640="",F640=""),"",MAX(H640,MIN(ROUND(H640*(1+Параметры!$B$5),IF(H640*(1+Параметры!$B$5)&gt;=1000,-1,0)),ROUND(F640*Параметры!$B$6,IF(F640*Параметры!$B$6&gt;=1000,-1,0)))))</f>
        <v>3450</v>
      </c>
      <c r="J640" s="15">
        <v>3500</v>
      </c>
      <c r="K640" s="15">
        <f>IF(OR(J640="",G640=""),"",MAX(J640,MIN(ROUND(J640*(1+Параметры!$B$5),IF(J640*(1+Параметры!$B$5)&gt;=1000,-1,0)),ROUND(G640*Параметры!$B$6,IF(G640*Параметры!$B$6&gt;=1000,-1,0)))))</f>
        <v>4030</v>
      </c>
      <c r="L640" s="16">
        <v>3</v>
      </c>
      <c r="M640" s="17">
        <f t="shared" si="58"/>
        <v>0.33333333333333331</v>
      </c>
      <c r="N640" s="17">
        <f>IF(OR(L640="",L640=0),"",Параметры!$B$3/L640)</f>
        <v>2.6666666666666665</v>
      </c>
      <c r="O640" s="15">
        <f>IF(L640="","",IFERROR(INDEX('Почасовка — ставки и план'!$D$5:$D$24,MATCH($D640,'Почасовка — ставки и план'!$A$5:$A$24,0)),""))</f>
        <v>900</v>
      </c>
      <c r="P640" s="15">
        <f>IF(L640="","",IFERROR(INDEX('Почасовка — ставки и план'!$E$5:$E$24,MATCH($D640,'Почасовка — ставки и план'!$A$5:$A$24,0)),""))</f>
        <v>1080</v>
      </c>
      <c r="Q640" s="15">
        <f t="shared" si="59"/>
        <v>2700</v>
      </c>
      <c r="R640" s="13" t="str">
        <f>IF(D640="TEX","аренда техники — сделка/счёт",IF(OR(Q640="",H640="",H640=0),"—",IF(Q640&lt;H640*(1-Параметры!$B$7),"почасовка",IF(Q640&gt;H640*(1+Параметры!$B$7),"сделка","любой способ"))))</f>
        <v>любой способ</v>
      </c>
      <c r="S640">
        <v>0</v>
      </c>
      <c r="T640">
        <v>0</v>
      </c>
    </row>
    <row r="641" spans="1:20" x14ac:dyDescent="0.25">
      <c r="A641" s="13" t="s">
        <v>1331</v>
      </c>
      <c r="B641" s="13" t="s">
        <v>1332</v>
      </c>
      <c r="C641" s="13" t="s">
        <v>72</v>
      </c>
      <c r="D641" s="13" t="s">
        <v>200</v>
      </c>
      <c r="E641" s="13" t="str">
        <f>IFERROR(INDEX('Почасовка — ставки и план'!$B$5:$B$24,MATCH(D641,'Почасовка — ставки и план'!$A$5:$A$24,0)),"Аренда техники / механизмы")</f>
        <v>Плиточник / укладчик полов</v>
      </c>
      <c r="F641" s="14">
        <v>300</v>
      </c>
      <c r="G641" s="14">
        <v>350</v>
      </c>
      <c r="H641" s="15">
        <v>180</v>
      </c>
      <c r="I641" s="15">
        <f>IF(OR(H641="",F641=""),"",MAX(H641,MIN(ROUND(H641*(1+Параметры!$B$5),IF(H641*(1+Параметры!$B$5)&gt;=1000,-1,0)),ROUND(F641*Параметры!$B$6,IF(F641*Параметры!$B$6&gt;=1000,-1,0)))))</f>
        <v>207</v>
      </c>
      <c r="J641" s="15">
        <v>210</v>
      </c>
      <c r="K641" s="15">
        <f>IF(OR(J641="",G641=""),"",MAX(J641,MIN(ROUND(J641*(1+Параметры!$B$5),IF(J641*(1+Параметры!$B$5)&gt;=1000,-1,0)),ROUND(G641*Параметры!$B$6,IF(G641*Параметры!$B$6&gt;=1000,-1,0)))))</f>
        <v>242</v>
      </c>
      <c r="L641" s="16">
        <v>0.15</v>
      </c>
      <c r="M641" s="17">
        <f t="shared" si="58"/>
        <v>6.666666666666667</v>
      </c>
      <c r="N641" s="17">
        <f>IF(OR(L641="",L641=0),"",Параметры!$B$3/L641)</f>
        <v>53.333333333333336</v>
      </c>
      <c r="O641" s="15">
        <f>IF(L641="","",IFERROR(INDEX('Почасовка — ставки и план'!$D$5:$D$24,MATCH($D641,'Почасовка — ставки и план'!$A$5:$A$24,0)),""))</f>
        <v>900</v>
      </c>
      <c r="P641" s="15">
        <f>IF(L641="","",IFERROR(INDEX('Почасовка — ставки и план'!$E$5:$E$24,MATCH($D641,'Почасовка — ставки и план'!$A$5:$A$24,0)),""))</f>
        <v>1080</v>
      </c>
      <c r="Q641" s="15">
        <f t="shared" si="59"/>
        <v>135</v>
      </c>
      <c r="R641" s="13" t="str">
        <f>IF(D641="TEX","аренда техники — сделка/счёт",IF(OR(Q641="",H641="",H641=0),"—",IF(Q641&lt;H641*(1-Параметры!$B$7),"почасовка",IF(Q641&gt;H641*(1+Параметры!$B$7),"сделка","любой способ"))))</f>
        <v>почасовка</v>
      </c>
      <c r="S641">
        <v>0</v>
      </c>
      <c r="T641">
        <v>0</v>
      </c>
    </row>
    <row r="642" spans="1:20" x14ac:dyDescent="0.25">
      <c r="A642" s="13" t="s">
        <v>1333</v>
      </c>
      <c r="B642" s="13" t="s">
        <v>1334</v>
      </c>
      <c r="C642" s="13" t="s">
        <v>72</v>
      </c>
      <c r="D642" s="13" t="s">
        <v>200</v>
      </c>
      <c r="E642" s="13" t="str">
        <f>IFERROR(INDEX('Почасовка — ставки и план'!$B$5:$B$24,MATCH(D642,'Почасовка — ставки и план'!$A$5:$A$24,0)),"Аренда техники / механизмы")</f>
        <v>Плиточник / укладчик полов</v>
      </c>
      <c r="F642" s="14">
        <v>150</v>
      </c>
      <c r="G642" s="14">
        <v>175</v>
      </c>
      <c r="H642" s="15">
        <v>90</v>
      </c>
      <c r="I642" s="15">
        <f>IF(OR(H642="",F642=""),"",MAX(H642,MIN(ROUND(H642*(1+Параметры!$B$5),IF(H642*(1+Параметры!$B$5)&gt;=1000,-1,0)),ROUND(F642*Параметры!$B$6,IF(F642*Параметры!$B$6&gt;=1000,-1,0)))))</f>
        <v>104</v>
      </c>
      <c r="J642" s="15">
        <v>105</v>
      </c>
      <c r="K642" s="15">
        <f>IF(OR(J642="",G642=""),"",MAX(J642,MIN(ROUND(J642*(1+Параметры!$B$5),IF(J642*(1+Параметры!$B$5)&gt;=1000,-1,0)),ROUND(G642*Параметры!$B$6,IF(G642*Параметры!$B$6&gt;=1000,-1,0)))))</f>
        <v>121</v>
      </c>
      <c r="L642" s="16">
        <v>0.1</v>
      </c>
      <c r="M642" s="17">
        <f t="shared" si="58"/>
        <v>10</v>
      </c>
      <c r="N642" s="17">
        <f>IF(OR(L642="",L642=0),"",Параметры!$B$3/L642)</f>
        <v>80</v>
      </c>
      <c r="O642" s="15">
        <f>IF(L642="","",IFERROR(INDEX('Почасовка — ставки и план'!$D$5:$D$24,MATCH($D642,'Почасовка — ставки и план'!$A$5:$A$24,0)),""))</f>
        <v>900</v>
      </c>
      <c r="P642" s="15">
        <f>IF(L642="","",IFERROR(INDEX('Почасовка — ставки и план'!$E$5:$E$24,MATCH($D642,'Почасовка — ставки и план'!$A$5:$A$24,0)),""))</f>
        <v>1080</v>
      </c>
      <c r="Q642" s="15">
        <f t="shared" si="59"/>
        <v>90</v>
      </c>
      <c r="R642" s="13" t="str">
        <f>IF(D642="TEX","аренда техники — сделка/счёт",IF(OR(Q642="",H642="",H642=0),"—",IF(Q642&lt;H642*(1-Параметры!$B$7),"почасовка",IF(Q642&gt;H642*(1+Параметры!$B$7),"сделка","любой способ"))))</f>
        <v>любой способ</v>
      </c>
      <c r="S642">
        <v>0</v>
      </c>
      <c r="T642">
        <v>0</v>
      </c>
    </row>
    <row r="643" spans="1:20" x14ac:dyDescent="0.25">
      <c r="A643" s="13" t="s">
        <v>1335</v>
      </c>
      <c r="B643" s="13" t="s">
        <v>1336</v>
      </c>
      <c r="C643" s="13" t="s">
        <v>72</v>
      </c>
      <c r="D643" s="13" t="s">
        <v>200</v>
      </c>
      <c r="E643" s="13" t="str">
        <f>IFERROR(INDEX('Почасовка — ставки и план'!$B$5:$B$24,MATCH(D643,'Почасовка — ставки и план'!$A$5:$A$24,0)),"Аренда техники / механизмы")</f>
        <v>Плиточник / укладчик полов</v>
      </c>
      <c r="F643" s="14">
        <v>380</v>
      </c>
      <c r="G643" s="14">
        <v>440</v>
      </c>
      <c r="H643" s="15">
        <v>230</v>
      </c>
      <c r="I643" s="15">
        <f>IF(OR(H643="",F643=""),"",MAX(H643,MIN(ROUND(H643*(1+Параметры!$B$5),IF(H643*(1+Параметры!$B$5)&gt;=1000,-1,0)),ROUND(F643*Параметры!$B$6,IF(F643*Параметры!$B$6&gt;=1000,-1,0)))))</f>
        <v>265</v>
      </c>
      <c r="J643" s="15">
        <v>265</v>
      </c>
      <c r="K643" s="15">
        <f>IF(OR(J643="",G643=""),"",MAX(J643,MIN(ROUND(J643*(1+Параметры!$B$5),IF(J643*(1+Параметры!$B$5)&gt;=1000,-1,0)),ROUND(G643*Параметры!$B$6,IF(G643*Параметры!$B$6&gt;=1000,-1,0)))))</f>
        <v>305</v>
      </c>
      <c r="L643" s="16">
        <v>0.2</v>
      </c>
      <c r="M643" s="17">
        <f t="shared" si="58"/>
        <v>5</v>
      </c>
      <c r="N643" s="17">
        <f>IF(OR(L643="",L643=0),"",Параметры!$B$3/L643)</f>
        <v>40</v>
      </c>
      <c r="O643" s="15">
        <f>IF(L643="","",IFERROR(INDEX('Почасовка — ставки и план'!$D$5:$D$24,MATCH($D643,'Почасовка — ставки и план'!$A$5:$A$24,0)),""))</f>
        <v>900</v>
      </c>
      <c r="P643" s="15">
        <f>IF(L643="","",IFERROR(INDEX('Почасовка — ставки и план'!$E$5:$E$24,MATCH($D643,'Почасовка — ставки и план'!$A$5:$A$24,0)),""))</f>
        <v>1080</v>
      </c>
      <c r="Q643" s="15">
        <f t="shared" si="59"/>
        <v>180</v>
      </c>
      <c r="R643" s="13" t="str">
        <f>IF(D643="TEX","аренда техники — сделка/счёт",IF(OR(Q643="",H643="",H643=0),"—",IF(Q643&lt;H643*(1-Параметры!$B$7),"почасовка",IF(Q643&gt;H643*(1+Параметры!$B$7),"сделка","любой способ"))))</f>
        <v>почасовка</v>
      </c>
      <c r="S643">
        <v>0</v>
      </c>
      <c r="T643">
        <v>0</v>
      </c>
    </row>
    <row r="644" spans="1:20" x14ac:dyDescent="0.25">
      <c r="A644" s="13" t="s">
        <v>1337</v>
      </c>
      <c r="B644" s="13" t="s">
        <v>1338</v>
      </c>
      <c r="C644" s="13" t="s">
        <v>72</v>
      </c>
      <c r="D644" s="13" t="s">
        <v>88</v>
      </c>
      <c r="E644" s="13" t="str">
        <f>IFERROR(INDEX('Почасовка — ставки и план'!$B$5:$B$24,MATCH(D644,'Почасовка — ставки и план'!$A$5:$A$24,0)),"Аренда техники / механизмы")</f>
        <v>Кровельщик</v>
      </c>
      <c r="F644" s="14">
        <v>450</v>
      </c>
      <c r="G644" s="14">
        <v>520</v>
      </c>
      <c r="H644" s="15">
        <v>270</v>
      </c>
      <c r="I644" s="15">
        <f>IF(OR(H644="",F644=""),"",MAX(H644,MIN(ROUND(H644*(1+Параметры!$B$5),IF(H644*(1+Параметры!$B$5)&gt;=1000,-1,0)),ROUND(F644*Параметры!$B$6,IF(F644*Параметры!$B$6&gt;=1000,-1,0)))))</f>
        <v>311</v>
      </c>
      <c r="J644" s="15">
        <v>310</v>
      </c>
      <c r="K644" s="15">
        <f>IF(OR(J644="",G644=""),"",MAX(J644,MIN(ROUND(J644*(1+Параметры!$B$5),IF(J644*(1+Параметры!$B$5)&gt;=1000,-1,0)),ROUND(G644*Параметры!$B$6,IF(G644*Параметры!$B$6&gt;=1000,-1,0)))))</f>
        <v>357</v>
      </c>
      <c r="L644" s="16">
        <v>0.35</v>
      </c>
      <c r="M644" s="17">
        <f t="shared" si="58"/>
        <v>2.8571428571428572</v>
      </c>
      <c r="N644" s="17">
        <f>IF(OR(L644="",L644=0),"",Параметры!$B$3/L644)</f>
        <v>22.857142857142858</v>
      </c>
      <c r="O644" s="15">
        <f>IF(L644="","",IFERROR(INDEX('Почасовка — ставки и план'!$D$5:$D$24,MATCH($D644,'Почасовка — ставки и план'!$A$5:$A$24,0)),""))</f>
        <v>800</v>
      </c>
      <c r="P644" s="15">
        <f>IF(L644="","",IFERROR(INDEX('Почасовка — ставки и план'!$E$5:$E$24,MATCH($D644,'Почасовка — ставки и план'!$A$5:$A$24,0)),""))</f>
        <v>950</v>
      </c>
      <c r="Q644" s="15">
        <f t="shared" si="59"/>
        <v>280</v>
      </c>
      <c r="R644" s="13" t="str">
        <f>IF(D644="TEX","аренда техники — сделка/счёт",IF(OR(Q644="",H644="",H644=0),"—",IF(Q644&lt;H644*(1-Параметры!$B$7),"почасовка",IF(Q644&gt;H644*(1+Параметры!$B$7),"сделка","любой способ"))))</f>
        <v>любой способ</v>
      </c>
      <c r="S644">
        <v>0</v>
      </c>
      <c r="T644">
        <v>0</v>
      </c>
    </row>
    <row r="645" spans="1:20" x14ac:dyDescent="0.25">
      <c r="A645" s="13" t="s">
        <v>1339</v>
      </c>
      <c r="B645" s="13" t="s">
        <v>1340</v>
      </c>
      <c r="C645" s="13" t="s">
        <v>55</v>
      </c>
      <c r="D645" s="13" t="s">
        <v>200</v>
      </c>
      <c r="E645" s="13" t="str">
        <f>IFERROR(INDEX('Почасовка — ставки и план'!$B$5:$B$24,MATCH(D645,'Почасовка — ставки и план'!$A$5:$A$24,0)),"Аренда техники / механизмы")</f>
        <v>Плиточник / укладчик полов</v>
      </c>
      <c r="F645" s="14">
        <v>1440</v>
      </c>
      <c r="G645" s="14">
        <v>1728</v>
      </c>
      <c r="H645" s="15">
        <v>800</v>
      </c>
      <c r="I645" s="15">
        <f>IF(OR(H645="",F645=""),"",MAX(H645,MIN(ROUND(H645*(1+Параметры!$B$5),IF(H645*(1+Параметры!$B$5)&gt;=1000,-1,0)),ROUND(F645*Параметры!$B$6,IF(F645*Параметры!$B$6&gt;=1000,-1,0)))))</f>
        <v>920</v>
      </c>
      <c r="J645" s="15">
        <v>920</v>
      </c>
      <c r="K645" s="15">
        <f>IF(OR(J645="",G645=""),"",MAX(J645,MIN(ROUND(J645*(1+Параметры!$B$5),IF(J645*(1+Параметры!$B$5)&gt;=1000,-1,0)),ROUND(G645*Параметры!$B$6,IF(G645*Параметры!$B$6&gt;=1000,-1,0)))))</f>
        <v>1060</v>
      </c>
      <c r="L645" s="16">
        <v>1.2</v>
      </c>
      <c r="M645" s="17">
        <f t="shared" si="58"/>
        <v>0.83333333333333337</v>
      </c>
      <c r="N645" s="17">
        <f>IF(OR(L645="",L645=0),"",Параметры!$B$3/L645)</f>
        <v>6.666666666666667</v>
      </c>
      <c r="O645" s="15">
        <f>IF(L645="","",IFERROR(INDEX('Почасовка — ставки и план'!$D$5:$D$24,MATCH($D645,'Почасовка — ставки и план'!$A$5:$A$24,0)),""))</f>
        <v>900</v>
      </c>
      <c r="P645" s="15">
        <f>IF(L645="","",IFERROR(INDEX('Почасовка — ставки и план'!$E$5:$E$24,MATCH($D645,'Почасовка — ставки и план'!$A$5:$A$24,0)),""))</f>
        <v>1080</v>
      </c>
      <c r="Q645" s="15">
        <f t="shared" si="59"/>
        <v>1080</v>
      </c>
      <c r="R645" s="13" t="str">
        <f>IF(D645="TEX","аренда техники — сделка/счёт",IF(OR(Q645="",H645="",H645=0),"—",IF(Q645&lt;H645*(1-Параметры!$B$7),"почасовка",IF(Q645&gt;H645*(1+Параметры!$B$7),"сделка","любой способ"))))</f>
        <v>сделка</v>
      </c>
      <c r="S645">
        <v>0.1076923076923078</v>
      </c>
      <c r="T645">
        <v>0.15199999999999991</v>
      </c>
    </row>
    <row r="646" spans="1:20" x14ac:dyDescent="0.25">
      <c r="A646" s="13" t="s">
        <v>1341</v>
      </c>
      <c r="B646" s="13" t="s">
        <v>1342</v>
      </c>
      <c r="C646" s="13" t="s">
        <v>72</v>
      </c>
      <c r="D646" s="13" t="s">
        <v>947</v>
      </c>
      <c r="E646" s="13" t="str">
        <f>IFERROR(INDEX('Почасовка — ставки и план'!$B$5:$B$24,MATCH(D646,'Почасовка — ставки и план'!$A$5:$A$24,0)),"Аренда техники / механизмы")</f>
        <v>Землекоп / рабочий земляных работ</v>
      </c>
      <c r="F646" s="14">
        <v>200</v>
      </c>
      <c r="G646" s="14">
        <v>230</v>
      </c>
      <c r="H646" s="15">
        <v>120</v>
      </c>
      <c r="I646" s="15">
        <f>IF(OR(H646="",F646=""),"",MAX(H646,MIN(ROUND(H646*(1+Параметры!$B$5),IF(H646*(1+Параметры!$B$5)&gt;=1000,-1,0)),ROUND(F646*Параметры!$B$6,IF(F646*Параметры!$B$6&gt;=1000,-1,0)))))</f>
        <v>138</v>
      </c>
      <c r="J646" s="15">
        <v>140</v>
      </c>
      <c r="K646" s="15">
        <f>IF(OR(J646="",G646=""),"",MAX(J646,MIN(ROUND(J646*(1+Параметры!$B$5),IF(J646*(1+Параметры!$B$5)&gt;=1000,-1,0)),ROUND(G646*Параметры!$B$6,IF(G646*Параметры!$B$6&gt;=1000,-1,0)))))</f>
        <v>161</v>
      </c>
      <c r="L646" s="16">
        <v>0.25</v>
      </c>
      <c r="M646" s="17">
        <f t="shared" si="58"/>
        <v>4</v>
      </c>
      <c r="N646" s="17">
        <f>IF(OR(L646="",L646=0),"",Параметры!$B$3/L646)</f>
        <v>32</v>
      </c>
      <c r="O646" s="15">
        <f>IF(L646="","",IFERROR(INDEX('Почасовка — ставки и план'!$D$5:$D$24,MATCH($D646,'Почасовка — ставки и план'!$A$5:$A$24,0)),""))</f>
        <v>550</v>
      </c>
      <c r="P646" s="15">
        <f>IF(L646="","",IFERROR(INDEX('Почасовка — ставки и план'!$E$5:$E$24,MATCH($D646,'Почасовка — ставки и план'!$A$5:$A$24,0)),""))</f>
        <v>660</v>
      </c>
      <c r="Q646" s="15">
        <f t="shared" si="59"/>
        <v>138</v>
      </c>
      <c r="R646" s="13" t="str">
        <f>IF(D646="TEX","аренда техники — сделка/счёт",IF(OR(Q646="",H646="",H646=0),"—",IF(Q646&lt;H646*(1-Параметры!$B$7),"почасовка",IF(Q646&gt;H646*(1+Параметры!$B$7),"сделка","любой способ"))))</f>
        <v>сделка</v>
      </c>
      <c r="S646">
        <v>0</v>
      </c>
      <c r="T646">
        <v>0</v>
      </c>
    </row>
    <row r="647" spans="1:20" x14ac:dyDescent="0.25">
      <c r="A647" s="13" t="s">
        <v>1343</v>
      </c>
      <c r="B647" s="13" t="s">
        <v>1344</v>
      </c>
      <c r="C647" s="13" t="s">
        <v>55</v>
      </c>
      <c r="D647" s="13" t="s">
        <v>947</v>
      </c>
      <c r="E647" s="13" t="str">
        <f>IFERROR(INDEX('Почасовка — ставки и план'!$B$5:$B$24,MATCH(D647,'Почасовка — ставки и план'!$A$5:$A$24,0)),"Аренда техники / механизмы")</f>
        <v>Землекоп / рабочий земляных работ</v>
      </c>
      <c r="F647" s="14">
        <v>1614</v>
      </c>
      <c r="G647" s="14">
        <v>1936</v>
      </c>
      <c r="H647" s="15">
        <v>850</v>
      </c>
      <c r="I647" s="15">
        <f>IF(OR(H647="",F647=""),"",MAX(H647,MIN(ROUND(H647*(1+Параметры!$B$5),IF(H647*(1+Параметры!$B$5)&gt;=1000,-1,0)),ROUND(F647*Параметры!$B$6,IF(F647*Параметры!$B$6&gt;=1000,-1,0)))))</f>
        <v>978</v>
      </c>
      <c r="J647" s="15">
        <v>980</v>
      </c>
      <c r="K647" s="15">
        <f>IF(OR(J647="",G647=""),"",MAX(J647,MIN(ROUND(J647*(1+Параметры!$B$5),IF(J647*(1+Параметры!$B$5)&gt;=1000,-1,0)),ROUND(G647*Параметры!$B$6,IF(G647*Параметры!$B$6&gt;=1000,-1,0)))))</f>
        <v>1130</v>
      </c>
      <c r="L647" s="16">
        <v>2.2000000000000002</v>
      </c>
      <c r="M647" s="17">
        <f t="shared" si="58"/>
        <v>0.45454545454545453</v>
      </c>
      <c r="N647" s="17">
        <f>IF(OR(L647="",L647=0),"",Параметры!$B$3/L647)</f>
        <v>3.6363636363636362</v>
      </c>
      <c r="O647" s="15">
        <f>IF(L647="","",IFERROR(INDEX('Почасовка — ставки и план'!$D$5:$D$24,MATCH($D647,'Почасовка — ставки и план'!$A$5:$A$24,0)),""))</f>
        <v>550</v>
      </c>
      <c r="P647" s="15">
        <f>IF(L647="","",IFERROR(INDEX('Почасовка — ставки и план'!$E$5:$E$24,MATCH($D647,'Почасовка — ставки и план'!$A$5:$A$24,0)),""))</f>
        <v>660</v>
      </c>
      <c r="Q647" s="15">
        <f t="shared" si="59"/>
        <v>1210</v>
      </c>
      <c r="R647" s="13" t="str">
        <f>IF(D647="TEX","аренда техники — сделка/счёт",IF(OR(Q647="",H647="",H647=0),"—",IF(Q647&lt;H647*(1-Параметры!$B$7),"почасовка",IF(Q647&gt;H647*(1+Параметры!$B$7),"сделка","любой способ"))))</f>
        <v>сделка</v>
      </c>
      <c r="S647">
        <v>0.1528571428571428</v>
      </c>
      <c r="T647">
        <v>0.21</v>
      </c>
    </row>
    <row r="648" spans="1:20" x14ac:dyDescent="0.25">
      <c r="A648" s="13" t="s">
        <v>1345</v>
      </c>
      <c r="B648" s="13" t="s">
        <v>1346</v>
      </c>
      <c r="C648" s="13" t="s">
        <v>72</v>
      </c>
      <c r="D648" s="13" t="s">
        <v>162</v>
      </c>
      <c r="E648" s="13" t="str">
        <f>IFERROR(INDEX('Почасовка — ставки и план'!$B$5:$B$24,MATCH(D648,'Почасовка — ставки и план'!$A$5:$A$24,0)),"Аренда техники / механизмы")</f>
        <v>Бетонщик / арматурщик</v>
      </c>
      <c r="F648" s="14">
        <v>450</v>
      </c>
      <c r="G648" s="14">
        <v>550</v>
      </c>
      <c r="H648" s="15">
        <v>280</v>
      </c>
      <c r="I648" s="15">
        <f>IF(OR(H648="",F648=""),"",MAX(H648,MIN(ROUND(H648*(1+Параметры!$B$5),IF(H648*(1+Параметры!$B$5)&gt;=1000,-1,0)),ROUND(F648*Параметры!$B$6,IF(F648*Параметры!$B$6&gt;=1000,-1,0)))))</f>
        <v>322</v>
      </c>
      <c r="J648" s="15">
        <v>330</v>
      </c>
      <c r="K648" s="15">
        <f>IF(OR(J648="",G648=""),"",MAX(J648,MIN(ROUND(J648*(1+Параметры!$B$5),IF(J648*(1+Параметры!$B$5)&gt;=1000,-1,0)),ROUND(G648*Параметры!$B$6,IF(G648*Параметры!$B$6&gt;=1000,-1,0)))))</f>
        <v>380</v>
      </c>
      <c r="L648" s="16">
        <v>0.3</v>
      </c>
      <c r="M648" s="17">
        <f t="shared" si="58"/>
        <v>3.3333333333333335</v>
      </c>
      <c r="N648" s="17">
        <f>IF(OR(L648="",L648=0),"",Параметры!$B$3/L648)</f>
        <v>26.666666666666668</v>
      </c>
      <c r="O648" s="15">
        <f>IF(L648="","",IFERROR(INDEX('Почасовка — ставки и план'!$D$5:$D$24,MATCH($D648,'Почасовка — ставки и план'!$A$5:$A$24,0)),""))</f>
        <v>800</v>
      </c>
      <c r="P648" s="15">
        <f>IF(L648="","",IFERROR(INDEX('Почасовка — ставки и план'!$E$5:$E$24,MATCH($D648,'Почасовка — ставки и план'!$A$5:$A$24,0)),""))</f>
        <v>950</v>
      </c>
      <c r="Q648" s="15">
        <f t="shared" si="59"/>
        <v>240</v>
      </c>
      <c r="R648" s="13" t="str">
        <f>IF(D648="TEX","аренда техники — сделка/счёт",IF(OR(Q648="",H648="",H648=0),"—",IF(Q648&lt;H648*(1-Параметры!$B$7),"почасовка",IF(Q648&gt;H648*(1+Параметры!$B$7),"сделка","любой способ"))))</f>
        <v>почасовка</v>
      </c>
      <c r="S648">
        <v>0</v>
      </c>
      <c r="T648">
        <v>0</v>
      </c>
    </row>
    <row r="649" spans="1:20" x14ac:dyDescent="0.25">
      <c r="A649" s="13" t="s">
        <v>1347</v>
      </c>
      <c r="B649" s="13" t="s">
        <v>1348</v>
      </c>
      <c r="C649" s="13" t="s">
        <v>72</v>
      </c>
      <c r="D649" s="13" t="s">
        <v>200</v>
      </c>
      <c r="E649" s="13" t="str">
        <f>IFERROR(INDEX('Почасовка — ставки и план'!$B$5:$B$24,MATCH(D649,'Почасовка — ставки и план'!$A$5:$A$24,0)),"Аренда техники / механизмы")</f>
        <v>Плиточник / укладчик полов</v>
      </c>
      <c r="F649" s="14">
        <v>380</v>
      </c>
      <c r="G649" s="14">
        <v>450</v>
      </c>
      <c r="H649" s="15">
        <v>230</v>
      </c>
      <c r="I649" s="15">
        <f>IF(OR(H649="",F649=""),"",MAX(H649,MIN(ROUND(H649*(1+Параметры!$B$5),IF(H649*(1+Параметры!$B$5)&gt;=1000,-1,0)),ROUND(F649*Параметры!$B$6,IF(F649*Параметры!$B$6&gt;=1000,-1,0)))))</f>
        <v>265</v>
      </c>
      <c r="J649" s="15">
        <v>270</v>
      </c>
      <c r="K649" s="15">
        <f>IF(OR(J649="",G649=""),"",MAX(J649,MIN(ROUND(J649*(1+Параметры!$B$5),IF(J649*(1+Параметры!$B$5)&gt;=1000,-1,0)),ROUND(G649*Параметры!$B$6,IF(G649*Параметры!$B$6&gt;=1000,-1,0)))))</f>
        <v>311</v>
      </c>
      <c r="L649" s="16">
        <v>0.15</v>
      </c>
      <c r="M649" s="17">
        <f t="shared" si="58"/>
        <v>6.666666666666667</v>
      </c>
      <c r="N649" s="17">
        <f>IF(OR(L649="",L649=0),"",Параметры!$B$3/L649)</f>
        <v>53.333333333333336</v>
      </c>
      <c r="O649" s="15">
        <f>IF(L649="","",IFERROR(INDEX('Почасовка — ставки и план'!$D$5:$D$24,MATCH($D649,'Почасовка — ставки и план'!$A$5:$A$24,0)),""))</f>
        <v>900</v>
      </c>
      <c r="P649" s="15">
        <f>IF(L649="","",IFERROR(INDEX('Почасовка — ставки и план'!$E$5:$E$24,MATCH($D649,'Почасовка — ставки и план'!$A$5:$A$24,0)),""))</f>
        <v>1080</v>
      </c>
      <c r="Q649" s="15">
        <f t="shared" si="59"/>
        <v>135</v>
      </c>
      <c r="R649" s="13" t="str">
        <f>IF(D649="TEX","аренда техники — сделка/счёт",IF(OR(Q649="",H649="",H649=0),"—",IF(Q649&lt;H649*(1-Параметры!$B$7),"почасовка",IF(Q649&gt;H649*(1+Параметры!$B$7),"сделка","любой способ"))))</f>
        <v>почасовка</v>
      </c>
      <c r="S649">
        <v>0</v>
      </c>
      <c r="T649">
        <v>0</v>
      </c>
    </row>
    <row r="650" spans="1:20" x14ac:dyDescent="0.25">
      <c r="A650" s="13" t="s">
        <v>1349</v>
      </c>
      <c r="B650" s="13" t="s">
        <v>1350</v>
      </c>
      <c r="C650" s="13" t="s">
        <v>72</v>
      </c>
      <c r="D650" s="13" t="s">
        <v>200</v>
      </c>
      <c r="E650" s="13" t="str">
        <f>IFERROR(INDEX('Почасовка — ставки и план'!$B$5:$B$24,MATCH(D650,'Почасовка — ставки и план'!$A$5:$A$24,0)),"Аренда техники / механизмы")</f>
        <v>Плиточник / укладчик полов</v>
      </c>
      <c r="F650" s="14">
        <v>15</v>
      </c>
      <c r="G650" s="14">
        <v>18</v>
      </c>
      <c r="H650" s="15">
        <v>9</v>
      </c>
      <c r="I650" s="15">
        <f>IF(OR(H650="",F650=""),"",MAX(H650,MIN(ROUND(H650*(1+Параметры!$B$5),IF(H650*(1+Параметры!$B$5)&gt;=1000,-1,0)),ROUND(F650*Параметры!$B$6,IF(F650*Параметры!$B$6&gt;=1000,-1,0)))))</f>
        <v>10</v>
      </c>
      <c r="J650" s="15">
        <v>11</v>
      </c>
      <c r="K650" s="15">
        <f>IF(OR(J650="",G650=""),"",MAX(J650,MIN(ROUND(J650*(1+Параметры!$B$5),IF(J650*(1+Параметры!$B$5)&gt;=1000,-1,0)),ROUND(G650*Параметры!$B$6,IF(G650*Параметры!$B$6&gt;=1000,-1,0)))))</f>
        <v>13</v>
      </c>
      <c r="L650" s="16">
        <v>0.01</v>
      </c>
      <c r="M650" s="17">
        <f t="shared" si="58"/>
        <v>100</v>
      </c>
      <c r="N650" s="17">
        <f>IF(OR(L650="",L650=0),"",Параметры!$B$3/L650)</f>
        <v>800</v>
      </c>
      <c r="O650" s="15">
        <f>IF(L650="","",IFERROR(INDEX('Почасовка — ставки и план'!$D$5:$D$24,MATCH($D650,'Почасовка — ставки и план'!$A$5:$A$24,0)),""))</f>
        <v>900</v>
      </c>
      <c r="P650" s="15">
        <f>IF(L650="","",IFERROR(INDEX('Почасовка — ставки и план'!$E$5:$E$24,MATCH($D650,'Почасовка — ставки и план'!$A$5:$A$24,0)),""))</f>
        <v>1080</v>
      </c>
      <c r="Q650" s="15">
        <f t="shared" si="59"/>
        <v>9</v>
      </c>
      <c r="R650" s="13" t="str">
        <f>IF(D650="TEX","аренда техники — сделка/счёт",IF(OR(Q650="",H650="",H650=0),"—",IF(Q650&lt;H650*(1-Параметры!$B$7),"почасовка",IF(Q650&gt;H650*(1+Параметры!$B$7),"сделка","любой способ"))))</f>
        <v>любой способ</v>
      </c>
      <c r="S650">
        <v>0</v>
      </c>
      <c r="T650">
        <v>0</v>
      </c>
    </row>
    <row r="651" spans="1:20" x14ac:dyDescent="0.25">
      <c r="A651" s="13" t="s">
        <v>1351</v>
      </c>
      <c r="B651" s="13" t="s">
        <v>1352</v>
      </c>
      <c r="C651" s="13" t="s">
        <v>72</v>
      </c>
      <c r="D651" s="13" t="s">
        <v>162</v>
      </c>
      <c r="E651" s="13" t="str">
        <f>IFERROR(INDEX('Почасовка — ставки и план'!$B$5:$B$24,MATCH(D651,'Почасовка — ставки и план'!$A$5:$A$24,0)),"Аренда техники / механизмы")</f>
        <v>Бетонщик / арматурщик</v>
      </c>
      <c r="F651" s="14">
        <v>450</v>
      </c>
      <c r="G651" s="14">
        <v>550</v>
      </c>
      <c r="H651" s="15">
        <v>280</v>
      </c>
      <c r="I651" s="15">
        <f>IF(OR(H651="",F651=""),"",MAX(H651,MIN(ROUND(H651*(1+Параметры!$B$5),IF(H651*(1+Параметры!$B$5)&gt;=1000,-1,0)),ROUND(F651*Параметры!$B$6,IF(F651*Параметры!$B$6&gt;=1000,-1,0)))))</f>
        <v>322</v>
      </c>
      <c r="J651" s="15">
        <v>330</v>
      </c>
      <c r="K651" s="15">
        <f>IF(OR(J651="",G651=""),"",MAX(J651,MIN(ROUND(J651*(1+Параметры!$B$5),IF(J651*(1+Параметры!$B$5)&gt;=1000,-1,0)),ROUND(G651*Параметры!$B$6,IF(G651*Параметры!$B$6&gt;=1000,-1,0)))))</f>
        <v>380</v>
      </c>
      <c r="L651" s="16">
        <v>0.3</v>
      </c>
      <c r="M651" s="17">
        <f t="shared" si="58"/>
        <v>3.3333333333333335</v>
      </c>
      <c r="N651" s="17">
        <f>IF(OR(L651="",L651=0),"",Параметры!$B$3/L651)</f>
        <v>26.666666666666668</v>
      </c>
      <c r="O651" s="15">
        <f>IF(L651="","",IFERROR(INDEX('Почасовка — ставки и план'!$D$5:$D$24,MATCH($D651,'Почасовка — ставки и план'!$A$5:$A$24,0)),""))</f>
        <v>800</v>
      </c>
      <c r="P651" s="15">
        <f>IF(L651="","",IFERROR(INDEX('Почасовка — ставки и план'!$E$5:$E$24,MATCH($D651,'Почасовка — ставки и план'!$A$5:$A$24,0)),""))</f>
        <v>950</v>
      </c>
      <c r="Q651" s="15">
        <f t="shared" si="59"/>
        <v>240</v>
      </c>
      <c r="R651" s="13" t="str">
        <f>IF(D651="TEX","аренда техники — сделка/счёт",IF(OR(Q651="",H651="",H651=0),"—",IF(Q651&lt;H651*(1-Параметры!$B$7),"почасовка",IF(Q651&gt;H651*(1+Параметры!$B$7),"сделка","любой способ"))))</f>
        <v>почасовка</v>
      </c>
      <c r="S651">
        <v>0</v>
      </c>
      <c r="T651">
        <v>0</v>
      </c>
    </row>
    <row r="652" spans="1:20" x14ac:dyDescent="0.25">
      <c r="A652" s="18" t="s">
        <v>1353</v>
      </c>
      <c r="B652" s="13" t="s">
        <v>1354</v>
      </c>
      <c r="C652" s="13" t="s">
        <v>72</v>
      </c>
      <c r="D652" s="13" t="s">
        <v>60</v>
      </c>
      <c r="E652" s="13" t="str">
        <f>IFERROR(INDEX('Почасовка — ставки и план'!$B$5:$B$24,MATCH(D652,'Почасовка — ставки и план'!$A$5:$A$24,0)),"Аренда техники / механизмы")</f>
        <v>Разнорабочий / демонтажник</v>
      </c>
      <c r="F652" s="14">
        <v>440</v>
      </c>
      <c r="G652" s="14">
        <v>528</v>
      </c>
      <c r="H652" s="15">
        <v>240</v>
      </c>
      <c r="I652" s="15">
        <f>IF(OR(H652="",F652=""),"",MAX(H652,MIN(ROUND(H652*(1+Параметры!$B$5),IF(H652*(1+Параметры!$B$5)&gt;=1000,-1,0)),ROUND(F652*Параметры!$B$6,IF(F652*Параметры!$B$6&gt;=1000,-1,0)))))</f>
        <v>276</v>
      </c>
      <c r="J652" s="15">
        <v>280</v>
      </c>
      <c r="K652" s="15">
        <f>IF(OR(J652="",G652=""),"",MAX(J652,MIN(ROUND(J652*(1+Параметры!$B$5),IF(J652*(1+Параметры!$B$5)&gt;=1000,-1,0)),ROUND(G652*Параметры!$B$6,IF(G652*Параметры!$B$6&gt;=1000,-1,0)))))</f>
        <v>322</v>
      </c>
      <c r="L652" s="16">
        <v>0.6</v>
      </c>
      <c r="M652" s="17">
        <f t="shared" si="58"/>
        <v>1.6666666666666667</v>
      </c>
      <c r="N652" s="17">
        <f>IF(OR(L652="",L652=0),"",Параметры!$B$3/L652)</f>
        <v>13.333333333333334</v>
      </c>
      <c r="O652" s="15">
        <f>IF(L652="","",IFERROR(INDEX('Почасовка — ставки и план'!$D$5:$D$24,MATCH($D652,'Почасовка — ставки и план'!$A$5:$A$24,0)),""))</f>
        <v>550</v>
      </c>
      <c r="P652" s="15">
        <f>IF(L652="","",IFERROR(INDEX('Почасовка — ставки и план'!$E$5:$E$24,MATCH($D652,'Почасовка — ставки и план'!$A$5:$A$24,0)),""))</f>
        <v>660</v>
      </c>
      <c r="Q652" s="15">
        <f t="shared" si="59"/>
        <v>330</v>
      </c>
      <c r="R652" s="13" t="str">
        <f>IF(D652="TEX","аренда техники — сделка/счёт",IF(OR(Q652="",H652="",H652=0),"—",IF(Q652&lt;H652*(1-Параметры!$B$7),"почасовка",IF(Q652&gt;H652*(1+Параметры!$B$7),"сделка","любой способ"))))</f>
        <v>сделка</v>
      </c>
      <c r="S652">
        <v>0.1000000000000001</v>
      </c>
      <c r="T652">
        <v>0.123404255319149</v>
      </c>
    </row>
    <row r="653" spans="1:20" x14ac:dyDescent="0.25">
      <c r="A653" s="18" t="s">
        <v>1355</v>
      </c>
      <c r="B653" s="13" t="s">
        <v>1356</v>
      </c>
      <c r="C653" s="13" t="s">
        <v>72</v>
      </c>
      <c r="D653" s="13" t="s">
        <v>162</v>
      </c>
      <c r="E653" s="13" t="str">
        <f>IFERROR(INDEX('Почасовка — ставки и план'!$B$5:$B$24,MATCH(D653,'Почасовка — ставки и план'!$A$5:$A$24,0)),"Аренда техники / механизмы")</f>
        <v>Бетонщик / арматурщик</v>
      </c>
      <c r="F653" s="14">
        <v>250</v>
      </c>
      <c r="G653" s="14">
        <v>290</v>
      </c>
      <c r="H653" s="15">
        <v>150</v>
      </c>
      <c r="I653" s="15">
        <f>IF(OR(H653="",F653=""),"",MAX(H653,MIN(ROUND(H653*(1+Параметры!$B$5),IF(H653*(1+Параметры!$B$5)&gt;=1000,-1,0)),ROUND(F653*Параметры!$B$6,IF(F653*Параметры!$B$6&gt;=1000,-1,0)))))</f>
        <v>173</v>
      </c>
      <c r="J653" s="15">
        <v>175</v>
      </c>
      <c r="K653" s="15">
        <f>IF(OR(J653="",G653=""),"",MAX(J653,MIN(ROUND(J653*(1+Параметры!$B$5),IF(J653*(1+Параметры!$B$5)&gt;=1000,-1,0)),ROUND(G653*Параметры!$B$6,IF(G653*Параметры!$B$6&gt;=1000,-1,0)))))</f>
        <v>201</v>
      </c>
      <c r="L653" s="16">
        <v>0.1</v>
      </c>
      <c r="M653" s="17">
        <f t="shared" si="58"/>
        <v>10</v>
      </c>
      <c r="N653" s="17">
        <f>IF(OR(L653="",L653=0),"",Параметры!$B$3/L653)</f>
        <v>80</v>
      </c>
      <c r="O653" s="15">
        <f>IF(L653="","",IFERROR(INDEX('Почасовка — ставки и план'!$D$5:$D$24,MATCH($D653,'Почасовка — ставки и план'!$A$5:$A$24,0)),""))</f>
        <v>800</v>
      </c>
      <c r="P653" s="15">
        <f>IF(L653="","",IFERROR(INDEX('Почасовка — ставки и план'!$E$5:$E$24,MATCH($D653,'Почасовка — ставки и план'!$A$5:$A$24,0)),""))</f>
        <v>950</v>
      </c>
      <c r="Q653" s="15">
        <f t="shared" si="59"/>
        <v>80</v>
      </c>
      <c r="R653" s="13" t="str">
        <f>IF(D653="TEX","аренда техники — сделка/счёт",IF(OR(Q653="",H653="",H653=0),"—",IF(Q653&lt;H653*(1-Параметры!$B$7),"почасовка",IF(Q653&gt;H653*(1+Параметры!$B$7),"сделка","любой способ"))))</f>
        <v>почасовка</v>
      </c>
      <c r="S653">
        <v>0</v>
      </c>
      <c r="T653">
        <v>0</v>
      </c>
    </row>
    <row r="654" spans="1:20" x14ac:dyDescent="0.25">
      <c r="A654" s="18" t="s">
        <v>1357</v>
      </c>
      <c r="B654" s="13" t="s">
        <v>1358</v>
      </c>
      <c r="C654" s="13" t="s">
        <v>69</v>
      </c>
      <c r="D654" s="13" t="s">
        <v>162</v>
      </c>
      <c r="E654" s="13" t="str">
        <f>IFERROR(INDEX('Почасовка — ставки и план'!$B$5:$B$24,MATCH(D654,'Почасовка — ставки и план'!$A$5:$A$24,0)),"Аренда техники / механизмы")</f>
        <v>Бетонщик / арматурщик</v>
      </c>
      <c r="F654" s="14">
        <v>400</v>
      </c>
      <c r="G654" s="14">
        <v>470</v>
      </c>
      <c r="H654" s="15">
        <v>240</v>
      </c>
      <c r="I654" s="15">
        <f>IF(OR(H654="",F654=""),"",MAX(H654,MIN(ROUND(H654*(1+Параметры!$B$5),IF(H654*(1+Параметры!$B$5)&gt;=1000,-1,0)),ROUND(F654*Параметры!$B$6,IF(F654*Параметры!$B$6&gt;=1000,-1,0)))))</f>
        <v>276</v>
      </c>
      <c r="J654" s="15">
        <v>280</v>
      </c>
      <c r="K654" s="15">
        <f>IF(OR(J654="",G654=""),"",MAX(J654,MIN(ROUND(J654*(1+Параметры!$B$5),IF(J654*(1+Параметры!$B$5)&gt;=1000,-1,0)),ROUND(G654*Параметры!$B$6,IF(G654*Параметры!$B$6&gt;=1000,-1,0)))))</f>
        <v>322</v>
      </c>
      <c r="L654" s="16">
        <v>0.3</v>
      </c>
      <c r="M654" s="17">
        <f t="shared" si="58"/>
        <v>3.3333333333333335</v>
      </c>
      <c r="N654" s="17">
        <f>IF(OR(L654="",L654=0),"",Параметры!$B$3/L654)</f>
        <v>26.666666666666668</v>
      </c>
      <c r="O654" s="15">
        <f>IF(L654="","",IFERROR(INDEX('Почасовка — ставки и план'!$D$5:$D$24,MATCH($D654,'Почасовка — ставки и план'!$A$5:$A$24,0)),""))</f>
        <v>800</v>
      </c>
      <c r="P654" s="15">
        <f>IF(L654="","",IFERROR(INDEX('Почасовка — ставки и план'!$E$5:$E$24,MATCH($D654,'Почасовка — ставки и план'!$A$5:$A$24,0)),""))</f>
        <v>950</v>
      </c>
      <c r="Q654" s="15">
        <f t="shared" si="59"/>
        <v>240</v>
      </c>
      <c r="R654" s="13" t="str">
        <f>IF(D654="TEX","аренда техники — сделка/счёт",IF(OR(Q654="",H654="",H654=0),"—",IF(Q654&lt;H654*(1-Параметры!$B$7),"почасовка",IF(Q654&gt;H654*(1+Параметры!$B$7),"сделка","любой способ"))))</f>
        <v>любой способ</v>
      </c>
      <c r="S654">
        <v>0</v>
      </c>
      <c r="T654">
        <v>0</v>
      </c>
    </row>
    <row r="655" spans="1:20" x14ac:dyDescent="0.25">
      <c r="A655" s="18" t="s">
        <v>1359</v>
      </c>
      <c r="B655" s="13" t="s">
        <v>1360</v>
      </c>
      <c r="C655" s="13" t="s">
        <v>72</v>
      </c>
      <c r="D655" s="13" t="s">
        <v>162</v>
      </c>
      <c r="E655" s="13" t="str">
        <f>IFERROR(INDEX('Почасовка — ставки и план'!$B$5:$B$24,MATCH(D655,'Почасовка — ставки и план'!$A$5:$A$24,0)),"Аренда техники / механизмы")</f>
        <v>Бетонщик / арматурщик</v>
      </c>
      <c r="F655" s="14">
        <v>600</v>
      </c>
      <c r="G655" s="14">
        <v>700</v>
      </c>
      <c r="H655" s="15">
        <v>360</v>
      </c>
      <c r="I655" s="15">
        <f>IF(OR(H655="",F655=""),"",MAX(H655,MIN(ROUND(H655*(1+Параметры!$B$5),IF(H655*(1+Параметры!$B$5)&gt;=1000,-1,0)),ROUND(F655*Параметры!$B$6,IF(F655*Параметры!$B$6&gt;=1000,-1,0)))))</f>
        <v>414</v>
      </c>
      <c r="J655" s="15">
        <v>420</v>
      </c>
      <c r="K655" s="15">
        <f>IF(OR(J655="",G655=""),"",MAX(J655,MIN(ROUND(J655*(1+Параметры!$B$5),IF(J655*(1+Параметры!$B$5)&gt;=1000,-1,0)),ROUND(G655*Параметры!$B$6,IF(G655*Параметры!$B$6&gt;=1000,-1,0)))))</f>
        <v>483</v>
      </c>
      <c r="L655" s="16">
        <v>0.25</v>
      </c>
      <c r="M655" s="17">
        <f t="shared" si="58"/>
        <v>4</v>
      </c>
      <c r="N655" s="17">
        <f>IF(OR(L655="",L655=0),"",Параметры!$B$3/L655)</f>
        <v>32</v>
      </c>
      <c r="O655" s="15">
        <f>IF(L655="","",IFERROR(INDEX('Почасовка — ставки и план'!$D$5:$D$24,MATCH($D655,'Почасовка — ставки и план'!$A$5:$A$24,0)),""))</f>
        <v>800</v>
      </c>
      <c r="P655" s="15">
        <f>IF(L655="","",IFERROR(INDEX('Почасовка — ставки и план'!$E$5:$E$24,MATCH($D655,'Почасовка — ставки и план'!$A$5:$A$24,0)),""))</f>
        <v>950</v>
      </c>
      <c r="Q655" s="15">
        <f t="shared" si="59"/>
        <v>200</v>
      </c>
      <c r="R655" s="13" t="str">
        <f>IF(D655="TEX","аренда техники — сделка/счёт",IF(OR(Q655="",H655="",H655=0),"—",IF(Q655&lt;H655*(1-Параметры!$B$7),"почасовка",IF(Q655&gt;H655*(1+Параметры!$B$7),"сделка","любой способ"))))</f>
        <v>почасовка</v>
      </c>
      <c r="S655">
        <v>0</v>
      </c>
      <c r="T655">
        <v>0</v>
      </c>
    </row>
    <row r="656" spans="1:20" x14ac:dyDescent="0.25">
      <c r="A656" s="18" t="s">
        <v>1361</v>
      </c>
      <c r="B656" s="13" t="s">
        <v>1362</v>
      </c>
      <c r="C656" s="13" t="s">
        <v>72</v>
      </c>
      <c r="D656" s="13" t="s">
        <v>162</v>
      </c>
      <c r="E656" s="13" t="str">
        <f>IFERROR(INDEX('Почасовка — ставки и план'!$B$5:$B$24,MATCH(D656,'Почасовка — ставки и план'!$A$5:$A$24,0)),"Аренда техники / механизмы")</f>
        <v>Бетонщик / арматурщик</v>
      </c>
      <c r="F656" s="14">
        <v>50</v>
      </c>
      <c r="G656" s="14">
        <v>60</v>
      </c>
      <c r="H656" s="15">
        <v>30</v>
      </c>
      <c r="I656" s="15">
        <f>IF(OR(H656="",F656=""),"",MAX(H656,MIN(ROUND(H656*(1+Параметры!$B$5),IF(H656*(1+Параметры!$B$5)&gt;=1000,-1,0)),ROUND(F656*Параметры!$B$6,IF(F656*Параметры!$B$6&gt;=1000,-1,0)))))</f>
        <v>35</v>
      </c>
      <c r="J656" s="15">
        <v>35</v>
      </c>
      <c r="K656" s="15">
        <f>IF(OR(J656="",G656=""),"",MAX(J656,MIN(ROUND(J656*(1+Параметры!$B$5),IF(J656*(1+Параметры!$B$5)&gt;=1000,-1,0)),ROUND(G656*Параметры!$B$6,IF(G656*Параметры!$B$6&gt;=1000,-1,0)))))</f>
        <v>40</v>
      </c>
      <c r="L656" s="16">
        <v>0.03</v>
      </c>
      <c r="M656" s="17">
        <f t="shared" si="58"/>
        <v>33.333333333333336</v>
      </c>
      <c r="N656" s="17">
        <f>IF(OR(L656="",L656=0),"",Параметры!$B$3/L656)</f>
        <v>266.66666666666669</v>
      </c>
      <c r="O656" s="15">
        <f>IF(L656="","",IFERROR(INDEX('Почасовка — ставки и план'!$D$5:$D$24,MATCH($D656,'Почасовка — ставки и план'!$A$5:$A$24,0)),""))</f>
        <v>800</v>
      </c>
      <c r="P656" s="15">
        <f>IF(L656="","",IFERROR(INDEX('Почасовка — ставки и план'!$E$5:$E$24,MATCH($D656,'Почасовка — ставки и план'!$A$5:$A$24,0)),""))</f>
        <v>950</v>
      </c>
      <c r="Q656" s="15">
        <f t="shared" si="59"/>
        <v>24</v>
      </c>
      <c r="R656" s="13" t="str">
        <f>IF(D656="TEX","аренда техники — сделка/счёт",IF(OR(Q656="",H656="",H656=0),"—",IF(Q656&lt;H656*(1-Параметры!$B$7),"почасовка",IF(Q656&gt;H656*(1+Параметры!$B$7),"сделка","любой способ"))))</f>
        <v>почасовка</v>
      </c>
      <c r="S656">
        <v>0</v>
      </c>
      <c r="T656">
        <v>0</v>
      </c>
    </row>
    <row r="657" spans="1:20" x14ac:dyDescent="0.25">
      <c r="A657" s="11" t="s">
        <v>1363</v>
      </c>
      <c r="B657" s="12"/>
      <c r="C657" s="12"/>
      <c r="D657" s="12"/>
      <c r="E657" s="12"/>
      <c r="F657" s="12"/>
      <c r="G657" s="12"/>
      <c r="H657" s="12"/>
      <c r="I657" s="12"/>
      <c r="J657" s="12"/>
      <c r="K657" s="12"/>
      <c r="L657" s="12"/>
      <c r="M657" s="12"/>
      <c r="N657" s="12"/>
      <c r="O657" s="12"/>
      <c r="P657" s="12"/>
      <c r="Q657" s="12"/>
      <c r="R657" s="12"/>
    </row>
    <row r="658" spans="1:20" x14ac:dyDescent="0.25">
      <c r="A658" s="13" t="s">
        <v>1364</v>
      </c>
      <c r="B658" s="13" t="s">
        <v>1365</v>
      </c>
      <c r="C658" s="13" t="s">
        <v>144</v>
      </c>
      <c r="D658" s="13" t="s">
        <v>200</v>
      </c>
      <c r="E658" s="13" t="str">
        <f>IFERROR(INDEX('Почасовка — ставки и план'!$B$5:$B$24,MATCH(D658,'Почасовка — ставки и план'!$A$5:$A$24,0)),"Аренда техники / механизмы")</f>
        <v>Плиточник / укладчик полов</v>
      </c>
      <c r="F658" s="14">
        <v>720</v>
      </c>
      <c r="G658" s="14">
        <v>864</v>
      </c>
      <c r="H658" s="15">
        <v>300</v>
      </c>
      <c r="I658" s="15">
        <f>IF(OR(H658="",F658=""),"",MAX(H658,MIN(ROUND(H658*(1+Параметры!$B$5),IF(H658*(1+Параметры!$B$5)&gt;=1000,-1,0)),ROUND(F658*Параметры!$B$6,IF(F658*Параметры!$B$6&gt;=1000,-1,0)))))</f>
        <v>345</v>
      </c>
      <c r="J658" s="15">
        <v>350</v>
      </c>
      <c r="K658" s="15">
        <f>IF(OR(J658="",G658=""),"",MAX(J658,MIN(ROUND(J658*(1+Параметры!$B$5),IF(J658*(1+Параметры!$B$5)&gt;=1000,-1,0)),ROUND(G658*Параметры!$B$6,IF(G658*Параметры!$B$6&gt;=1000,-1,0)))))</f>
        <v>403</v>
      </c>
      <c r="L658" s="16">
        <v>0.6</v>
      </c>
      <c r="M658" s="17">
        <f t="shared" ref="M658:M699" si="60">IF(OR(L658="",L658=0),"",1/L658)</f>
        <v>1.6666666666666667</v>
      </c>
      <c r="N658" s="17">
        <f>IF(OR(L658="",L658=0),"",Параметры!$B$3/L658)</f>
        <v>13.333333333333334</v>
      </c>
      <c r="O658" s="15">
        <f>IF(L658="","",IFERROR(INDEX('Почасовка — ставки и план'!$D$5:$D$24,MATCH($D658,'Почасовка — ставки и план'!$A$5:$A$24,0)),""))</f>
        <v>900</v>
      </c>
      <c r="P658" s="15">
        <f>IF(L658="","",IFERROR(INDEX('Почасовка — ставки и план'!$E$5:$E$24,MATCH($D658,'Почасовка — ставки и план'!$A$5:$A$24,0)),""))</f>
        <v>1080</v>
      </c>
      <c r="Q658" s="15">
        <f t="shared" ref="Q658:Q699" si="61">IF(OR(L658="",O658=""),"",ROUND(L658*O658,0))</f>
        <v>540</v>
      </c>
      <c r="R658" s="13" t="str">
        <f>IF(D658="TEX","аренда техники — сделка/счёт",IF(OR(Q658="",H658="",H658=0),"—",IF(Q658&lt;H658*(1-Параметры!$B$7),"почасовка",IF(Q658&gt;H658*(1+Параметры!$B$7),"сделка","любой способ"))))</f>
        <v>сделка</v>
      </c>
      <c r="S658">
        <v>0.43999999999999989</v>
      </c>
      <c r="T658">
        <v>0.43999999999999989</v>
      </c>
    </row>
    <row r="659" spans="1:20" x14ac:dyDescent="0.25">
      <c r="A659" s="13" t="s">
        <v>1366</v>
      </c>
      <c r="B659" s="13" t="s">
        <v>1367</v>
      </c>
      <c r="C659" s="13" t="s">
        <v>144</v>
      </c>
      <c r="D659" s="13" t="s">
        <v>200</v>
      </c>
      <c r="E659" s="13" t="str">
        <f>IFERROR(INDEX('Почасовка — ставки и план'!$B$5:$B$24,MATCH(D659,'Почасовка — ставки и план'!$A$5:$A$24,0)),"Аренда техники / механизмы")</f>
        <v>Плиточник / укладчик полов</v>
      </c>
      <c r="F659" s="14">
        <v>840</v>
      </c>
      <c r="G659" s="14">
        <v>1008</v>
      </c>
      <c r="H659" s="15">
        <v>360</v>
      </c>
      <c r="I659" s="15">
        <f>IF(OR(H659="",F659=""),"",MAX(H659,MIN(ROUND(H659*(1+Параметры!$B$5),IF(H659*(1+Параметры!$B$5)&gt;=1000,-1,0)),ROUND(F659*Параметры!$B$6,IF(F659*Параметры!$B$6&gt;=1000,-1,0)))))</f>
        <v>414</v>
      </c>
      <c r="J659" s="15">
        <v>420</v>
      </c>
      <c r="K659" s="15">
        <f>IF(OR(J659="",G659=""),"",MAX(J659,MIN(ROUND(J659*(1+Параметры!$B$5),IF(J659*(1+Параметры!$B$5)&gt;=1000,-1,0)),ROUND(G659*Параметры!$B$6,IF(G659*Параметры!$B$6&gt;=1000,-1,0)))))</f>
        <v>483</v>
      </c>
      <c r="L659" s="16">
        <v>0.7</v>
      </c>
      <c r="M659" s="17">
        <f t="shared" si="60"/>
        <v>1.4285714285714286</v>
      </c>
      <c r="N659" s="17">
        <f>IF(OR(L659="",L659=0),"",Параметры!$B$3/L659)</f>
        <v>11.428571428571429</v>
      </c>
      <c r="O659" s="15">
        <f>IF(L659="","",IFERROR(INDEX('Почасовка — ставки и план'!$D$5:$D$24,MATCH($D659,'Почасовка — ставки и план'!$A$5:$A$24,0)),""))</f>
        <v>900</v>
      </c>
      <c r="P659" s="15">
        <f>IF(L659="","",IFERROR(INDEX('Почасовка — ставки и план'!$E$5:$E$24,MATCH($D659,'Почасовка — ставки и план'!$A$5:$A$24,0)),""))</f>
        <v>1080</v>
      </c>
      <c r="Q659" s="15">
        <f t="shared" si="61"/>
        <v>630</v>
      </c>
      <c r="R659" s="13" t="str">
        <f>IF(D659="TEX","аренда техники — сделка/счёт",IF(OR(Q659="",H659="",H659=0),"—",IF(Q659&lt;H659*(1-Параметры!$B$7),"почасовка",IF(Q659&gt;H659*(1+Параметры!$B$7),"сделка","любой способ"))))</f>
        <v>сделка</v>
      </c>
      <c r="S659">
        <v>0.39999999999999991</v>
      </c>
      <c r="T659">
        <v>0.43999999999999989</v>
      </c>
    </row>
    <row r="660" spans="1:20" x14ac:dyDescent="0.25">
      <c r="A660" s="13" t="s">
        <v>1368</v>
      </c>
      <c r="B660" s="13" t="s">
        <v>1369</v>
      </c>
      <c r="C660" s="13" t="s">
        <v>144</v>
      </c>
      <c r="D660" s="13" t="s">
        <v>200</v>
      </c>
      <c r="E660" s="13" t="str">
        <f>IFERROR(INDEX('Почасовка — ставки и план'!$B$5:$B$24,MATCH(D660,'Почасовка — ставки и план'!$A$5:$A$24,0)),"Аренда техники / механизмы")</f>
        <v>Плиточник / укладчик полов</v>
      </c>
      <c r="F660" s="14">
        <v>1080</v>
      </c>
      <c r="G660" s="14">
        <v>1296</v>
      </c>
      <c r="H660" s="15">
        <v>480</v>
      </c>
      <c r="I660" s="15">
        <f>IF(OR(H660="",F660=""),"",MAX(H660,MIN(ROUND(H660*(1+Параметры!$B$5),IF(H660*(1+Параметры!$B$5)&gt;=1000,-1,0)),ROUND(F660*Параметры!$B$6,IF(F660*Параметры!$B$6&gt;=1000,-1,0)))))</f>
        <v>552</v>
      </c>
      <c r="J660" s="15">
        <v>570</v>
      </c>
      <c r="K660" s="15">
        <f>IF(OR(J660="",G660=""),"",MAX(J660,MIN(ROUND(J660*(1+Параметры!$B$5),IF(J660*(1+Параметры!$B$5)&gt;=1000,-1,0)),ROUND(G660*Параметры!$B$6,IF(G660*Параметры!$B$6&gt;=1000,-1,0)))))</f>
        <v>656</v>
      </c>
      <c r="L660" s="16">
        <v>0.9</v>
      </c>
      <c r="M660" s="17">
        <f t="shared" si="60"/>
        <v>1.1111111111111112</v>
      </c>
      <c r="N660" s="17">
        <f>IF(OR(L660="",L660=0),"",Параметры!$B$3/L660)</f>
        <v>8.8888888888888893</v>
      </c>
      <c r="O660" s="15">
        <f>IF(L660="","",IFERROR(INDEX('Почасовка — ставки и план'!$D$5:$D$24,MATCH($D660,'Почасовка — ставки и план'!$A$5:$A$24,0)),""))</f>
        <v>900</v>
      </c>
      <c r="P660" s="15">
        <f>IF(L660="","",IFERROR(INDEX('Почасовка — ставки и план'!$E$5:$E$24,MATCH($D660,'Почасовка — ставки и план'!$A$5:$A$24,0)),""))</f>
        <v>1080</v>
      </c>
      <c r="Q660" s="15">
        <f t="shared" si="61"/>
        <v>810</v>
      </c>
      <c r="R660" s="13" t="str">
        <f>IF(D660="TEX","аренда техники — сделка/счёт",IF(OR(Q660="",H660="",H660=0),"—",IF(Q660&lt;H660*(1-Параметры!$B$7),"почасовка",IF(Q660&gt;H660*(1+Параметры!$B$7),"сделка","любой способ"))))</f>
        <v>сделка</v>
      </c>
      <c r="S660">
        <v>0.35000000000000009</v>
      </c>
      <c r="T660">
        <v>0.36421052631578948</v>
      </c>
    </row>
    <row r="661" spans="1:20" x14ac:dyDescent="0.25">
      <c r="A661" s="13" t="s">
        <v>1370</v>
      </c>
      <c r="B661" s="13" t="s">
        <v>1371</v>
      </c>
      <c r="C661" s="13" t="s">
        <v>72</v>
      </c>
      <c r="D661" s="13" t="s">
        <v>200</v>
      </c>
      <c r="E661" s="13" t="str">
        <f>IFERROR(INDEX('Почасовка — ставки и план'!$B$5:$B$24,MATCH(D661,'Почасовка — ставки и план'!$A$5:$A$24,0)),"Аренда техники / механизмы")</f>
        <v>Плиточник / укладчик полов</v>
      </c>
      <c r="F661" s="14">
        <v>350</v>
      </c>
      <c r="G661" s="14">
        <v>400</v>
      </c>
      <c r="H661" s="15">
        <v>210</v>
      </c>
      <c r="I661" s="15">
        <f>IF(OR(H661="",F661=""),"",MAX(H661,MIN(ROUND(H661*(1+Параметры!$B$5),IF(H661*(1+Параметры!$B$5)&gt;=1000,-1,0)),ROUND(F661*Параметры!$B$6,IF(F661*Параметры!$B$6&gt;=1000,-1,0)))))</f>
        <v>242</v>
      </c>
      <c r="J661" s="15">
        <v>240</v>
      </c>
      <c r="K661" s="15">
        <f>IF(OR(J661="",G661=""),"",MAX(J661,MIN(ROUND(J661*(1+Параметры!$B$5),IF(J661*(1+Параметры!$B$5)&gt;=1000,-1,0)),ROUND(G661*Параметры!$B$6,IF(G661*Параметры!$B$6&gt;=1000,-1,0)))))</f>
        <v>276</v>
      </c>
      <c r="L661" s="16">
        <v>0.25</v>
      </c>
      <c r="M661" s="17">
        <f t="shared" si="60"/>
        <v>4</v>
      </c>
      <c r="N661" s="17">
        <f>IF(OR(L661="",L661=0),"",Параметры!$B$3/L661)</f>
        <v>32</v>
      </c>
      <c r="O661" s="15">
        <f>IF(L661="","",IFERROR(INDEX('Почасовка — ставки и план'!$D$5:$D$24,MATCH($D661,'Почасовка — ставки и план'!$A$5:$A$24,0)),""))</f>
        <v>900</v>
      </c>
      <c r="P661" s="15">
        <f>IF(L661="","",IFERROR(INDEX('Почасовка — ставки и план'!$E$5:$E$24,MATCH($D661,'Почасовка — ставки и план'!$A$5:$A$24,0)),""))</f>
        <v>1080</v>
      </c>
      <c r="Q661" s="15">
        <f t="shared" si="61"/>
        <v>225</v>
      </c>
      <c r="R661" s="13" t="str">
        <f>IF(D661="TEX","аренда техники — сделка/счёт",IF(OR(Q661="",H661="",H661=0),"—",IF(Q661&lt;H661*(1-Параметры!$B$7),"почасовка",IF(Q661&gt;H661*(1+Параметры!$B$7),"сделка","любой способ"))))</f>
        <v>любой способ</v>
      </c>
      <c r="S661">
        <v>0</v>
      </c>
      <c r="T661">
        <v>0</v>
      </c>
    </row>
    <row r="662" spans="1:20" x14ac:dyDescent="0.25">
      <c r="A662" s="13" t="s">
        <v>1372</v>
      </c>
      <c r="B662" s="13" t="s">
        <v>1373</v>
      </c>
      <c r="C662" s="13" t="s">
        <v>69</v>
      </c>
      <c r="D662" s="13" t="s">
        <v>200</v>
      </c>
      <c r="E662" s="13" t="str">
        <f>IFERROR(INDEX('Почасовка — ставки и план'!$B$5:$B$24,MATCH(D662,'Почасовка — ставки и план'!$A$5:$A$24,0)),"Аренда техники / механизмы")</f>
        <v>Плиточник / укладчик полов</v>
      </c>
      <c r="F662" s="14">
        <v>350</v>
      </c>
      <c r="G662" s="14">
        <v>400</v>
      </c>
      <c r="H662" s="15">
        <v>210</v>
      </c>
      <c r="I662" s="15">
        <f>IF(OR(H662="",F662=""),"",MAX(H662,MIN(ROUND(H662*(1+Параметры!$B$5),IF(H662*(1+Параметры!$B$5)&gt;=1000,-1,0)),ROUND(F662*Параметры!$B$6,IF(F662*Параметры!$B$6&gt;=1000,-1,0)))))</f>
        <v>242</v>
      </c>
      <c r="J662" s="15">
        <v>240</v>
      </c>
      <c r="K662" s="15">
        <f>IF(OR(J662="",G662=""),"",MAX(J662,MIN(ROUND(J662*(1+Параметры!$B$5),IF(J662*(1+Параметры!$B$5)&gt;=1000,-1,0)),ROUND(G662*Параметры!$B$6,IF(G662*Параметры!$B$6&gt;=1000,-1,0)))))</f>
        <v>276</v>
      </c>
      <c r="L662" s="16">
        <v>0.25</v>
      </c>
      <c r="M662" s="17">
        <f t="shared" si="60"/>
        <v>4</v>
      </c>
      <c r="N662" s="17">
        <f>IF(OR(L662="",L662=0),"",Параметры!$B$3/L662)</f>
        <v>32</v>
      </c>
      <c r="O662" s="15">
        <f>IF(L662="","",IFERROR(INDEX('Почасовка — ставки и план'!$D$5:$D$24,MATCH($D662,'Почасовка — ставки и план'!$A$5:$A$24,0)),""))</f>
        <v>900</v>
      </c>
      <c r="P662" s="15">
        <f>IF(L662="","",IFERROR(INDEX('Почасовка — ставки и план'!$E$5:$E$24,MATCH($D662,'Почасовка — ставки и план'!$A$5:$A$24,0)),""))</f>
        <v>1080</v>
      </c>
      <c r="Q662" s="15">
        <f t="shared" si="61"/>
        <v>225</v>
      </c>
      <c r="R662" s="13" t="str">
        <f>IF(D662="TEX","аренда техники — сделка/счёт",IF(OR(Q662="",H662="",H662=0),"—",IF(Q662&lt;H662*(1-Параметры!$B$7),"почасовка",IF(Q662&gt;H662*(1+Параметры!$B$7),"сделка","любой способ"))))</f>
        <v>любой способ</v>
      </c>
      <c r="S662">
        <v>0</v>
      </c>
      <c r="T662">
        <v>0</v>
      </c>
    </row>
    <row r="663" spans="1:20" x14ac:dyDescent="0.25">
      <c r="A663" s="13" t="s">
        <v>1374</v>
      </c>
      <c r="B663" s="13" t="s">
        <v>1375</v>
      </c>
      <c r="C663" s="13" t="s">
        <v>69</v>
      </c>
      <c r="D663" s="13" t="s">
        <v>200</v>
      </c>
      <c r="E663" s="13" t="str">
        <f>IFERROR(INDEX('Почасовка — ставки и план'!$B$5:$B$24,MATCH(D663,'Почасовка — ставки и план'!$A$5:$A$24,0)),"Аренда техники / механизмы")</f>
        <v>Плиточник / укладчик полов</v>
      </c>
      <c r="F663" s="14">
        <v>280</v>
      </c>
      <c r="G663" s="14">
        <v>320</v>
      </c>
      <c r="H663" s="15">
        <v>170</v>
      </c>
      <c r="I663" s="15">
        <f>IF(OR(H663="",F663=""),"",MAX(H663,MIN(ROUND(H663*(1+Параметры!$B$5),IF(H663*(1+Параметры!$B$5)&gt;=1000,-1,0)),ROUND(F663*Параметры!$B$6,IF(F663*Параметры!$B$6&gt;=1000,-1,0)))))</f>
        <v>196</v>
      </c>
      <c r="J663" s="15">
        <v>195</v>
      </c>
      <c r="K663" s="15">
        <f>IF(OR(J663="",G663=""),"",MAX(J663,MIN(ROUND(J663*(1+Параметры!$B$5),IF(J663*(1+Параметры!$B$5)&gt;=1000,-1,0)),ROUND(G663*Параметры!$B$6,IF(G663*Параметры!$B$6&gt;=1000,-1,0)))))</f>
        <v>224</v>
      </c>
      <c r="L663" s="16">
        <v>0.2</v>
      </c>
      <c r="M663" s="17">
        <f t="shared" si="60"/>
        <v>5</v>
      </c>
      <c r="N663" s="17">
        <f>IF(OR(L663="",L663=0),"",Параметры!$B$3/L663)</f>
        <v>40</v>
      </c>
      <c r="O663" s="15">
        <f>IF(L663="","",IFERROR(INDEX('Почасовка — ставки и план'!$D$5:$D$24,MATCH($D663,'Почасовка — ставки и план'!$A$5:$A$24,0)),""))</f>
        <v>900</v>
      </c>
      <c r="P663" s="15">
        <f>IF(L663="","",IFERROR(INDEX('Почасовка — ставки и план'!$E$5:$E$24,MATCH($D663,'Почасовка — ставки и план'!$A$5:$A$24,0)),""))</f>
        <v>1080</v>
      </c>
      <c r="Q663" s="15">
        <f t="shared" si="61"/>
        <v>180</v>
      </c>
      <c r="R663" s="13" t="str">
        <f>IF(D663="TEX","аренда техники — сделка/счёт",IF(OR(Q663="",H663="",H663=0),"—",IF(Q663&lt;H663*(1-Параметры!$B$7),"почасовка",IF(Q663&gt;H663*(1+Параметры!$B$7),"сделка","любой способ"))))</f>
        <v>любой способ</v>
      </c>
      <c r="S663">
        <v>0</v>
      </c>
      <c r="T663">
        <v>0</v>
      </c>
    </row>
    <row r="664" spans="1:20" x14ac:dyDescent="0.25">
      <c r="A664" s="13" t="s">
        <v>1376</v>
      </c>
      <c r="B664" s="13" t="s">
        <v>1377</v>
      </c>
      <c r="C664" s="13" t="s">
        <v>69</v>
      </c>
      <c r="D664" s="13" t="s">
        <v>200</v>
      </c>
      <c r="E664" s="13" t="str">
        <f>IFERROR(INDEX('Почасовка — ставки и план'!$B$5:$B$24,MATCH(D664,'Почасовка — ставки и план'!$A$5:$A$24,0)),"Аренда техники / механизмы")</f>
        <v>Плиточник / укладчик полов</v>
      </c>
      <c r="F664" s="14">
        <v>90</v>
      </c>
      <c r="G664" s="14">
        <v>100</v>
      </c>
      <c r="H664" s="15">
        <v>55</v>
      </c>
      <c r="I664" s="15">
        <f>IF(OR(H664="",F664=""),"",MAX(H664,MIN(ROUND(H664*(1+Параметры!$B$5),IF(H664*(1+Параметры!$B$5)&gt;=1000,-1,0)),ROUND(F664*Параметры!$B$6,IF(F664*Параметры!$B$6&gt;=1000,-1,0)))))</f>
        <v>63</v>
      </c>
      <c r="J664" s="15">
        <v>60</v>
      </c>
      <c r="K664" s="15">
        <f>IF(OR(J664="",G664=""),"",MAX(J664,MIN(ROUND(J664*(1+Параметры!$B$5),IF(J664*(1+Параметры!$B$5)&gt;=1000,-1,0)),ROUND(G664*Параметры!$B$6,IF(G664*Параметры!$B$6&gt;=1000,-1,0)))))</f>
        <v>69</v>
      </c>
      <c r="L664" s="16">
        <v>0.05</v>
      </c>
      <c r="M664" s="17">
        <f t="shared" si="60"/>
        <v>20</v>
      </c>
      <c r="N664" s="17">
        <f>IF(OR(L664="",L664=0),"",Параметры!$B$3/L664)</f>
        <v>160</v>
      </c>
      <c r="O664" s="15">
        <f>IF(L664="","",IFERROR(INDEX('Почасовка — ставки и план'!$D$5:$D$24,MATCH($D664,'Почасовка — ставки и план'!$A$5:$A$24,0)),""))</f>
        <v>900</v>
      </c>
      <c r="P664" s="15">
        <f>IF(L664="","",IFERROR(INDEX('Почасовка — ставки и план'!$E$5:$E$24,MATCH($D664,'Почасовка — ставки и план'!$A$5:$A$24,0)),""))</f>
        <v>1080</v>
      </c>
      <c r="Q664" s="15">
        <f t="shared" si="61"/>
        <v>45</v>
      </c>
      <c r="R664" s="13" t="str">
        <f>IF(D664="TEX","аренда техники — сделка/счёт",IF(OR(Q664="",H664="",H664=0),"—",IF(Q664&lt;H664*(1-Параметры!$B$7),"почасовка",IF(Q664&gt;H664*(1+Параметры!$B$7),"сделка","любой способ"))))</f>
        <v>почасовка</v>
      </c>
      <c r="S664">
        <v>0</v>
      </c>
      <c r="T664">
        <v>0</v>
      </c>
    </row>
    <row r="665" spans="1:20" x14ac:dyDescent="0.25">
      <c r="A665" s="13" t="s">
        <v>1378</v>
      </c>
      <c r="B665" s="13" t="s">
        <v>1379</v>
      </c>
      <c r="C665" s="13" t="s">
        <v>69</v>
      </c>
      <c r="D665" s="13" t="s">
        <v>200</v>
      </c>
      <c r="E665" s="13" t="str">
        <f>IFERROR(INDEX('Почасовка — ставки и план'!$B$5:$B$24,MATCH(D665,'Почасовка — ставки и план'!$A$5:$A$24,0)),"Аренда техники / механизмы")</f>
        <v>Плиточник / укладчик полов</v>
      </c>
      <c r="F665" s="14">
        <v>320</v>
      </c>
      <c r="G665" s="14">
        <v>370</v>
      </c>
      <c r="H665" s="15">
        <v>190</v>
      </c>
      <c r="I665" s="15">
        <f>IF(OR(H665="",F665=""),"",MAX(H665,MIN(ROUND(H665*(1+Параметры!$B$5),IF(H665*(1+Параметры!$B$5)&gt;=1000,-1,0)),ROUND(F665*Параметры!$B$6,IF(F665*Параметры!$B$6&gt;=1000,-1,0)))))</f>
        <v>219</v>
      </c>
      <c r="J665" s="15">
        <v>220</v>
      </c>
      <c r="K665" s="15">
        <f>IF(OR(J665="",G665=""),"",MAX(J665,MIN(ROUND(J665*(1+Параметры!$B$5),IF(J665*(1+Параметры!$B$5)&gt;=1000,-1,0)),ROUND(G665*Параметры!$B$6,IF(G665*Параметры!$B$6&gt;=1000,-1,0)))))</f>
        <v>253</v>
      </c>
      <c r="L665" s="16">
        <v>0.25</v>
      </c>
      <c r="M665" s="17">
        <f t="shared" si="60"/>
        <v>4</v>
      </c>
      <c r="N665" s="17">
        <f>IF(OR(L665="",L665=0),"",Параметры!$B$3/L665)</f>
        <v>32</v>
      </c>
      <c r="O665" s="15">
        <f>IF(L665="","",IFERROR(INDEX('Почасовка — ставки и план'!$D$5:$D$24,MATCH($D665,'Почасовка — ставки и план'!$A$5:$A$24,0)),""))</f>
        <v>900</v>
      </c>
      <c r="P665" s="15">
        <f>IF(L665="","",IFERROR(INDEX('Почасовка — ставки и план'!$E$5:$E$24,MATCH($D665,'Почасовка — ставки и план'!$A$5:$A$24,0)),""))</f>
        <v>1080</v>
      </c>
      <c r="Q665" s="15">
        <f t="shared" si="61"/>
        <v>225</v>
      </c>
      <c r="R665" s="13" t="str">
        <f>IF(D665="TEX","аренда техники — сделка/счёт",IF(OR(Q665="",H665="",H665=0),"—",IF(Q665&lt;H665*(1-Параметры!$B$7),"почасовка",IF(Q665&gt;H665*(1+Параметры!$B$7),"сделка","любой способ"))))</f>
        <v>сделка</v>
      </c>
      <c r="S665">
        <v>0</v>
      </c>
      <c r="T665">
        <v>0</v>
      </c>
    </row>
    <row r="666" spans="1:20" x14ac:dyDescent="0.25">
      <c r="A666" s="13" t="s">
        <v>1380</v>
      </c>
      <c r="B666" s="13" t="s">
        <v>1381</v>
      </c>
      <c r="C666" s="13" t="s">
        <v>69</v>
      </c>
      <c r="D666" s="13" t="s">
        <v>162</v>
      </c>
      <c r="E666" s="13" t="str">
        <f>IFERROR(INDEX('Почасовка — ставки и план'!$B$5:$B$24,MATCH(D666,'Почасовка — ставки и план'!$A$5:$A$24,0)),"Аренда техники / механизмы")</f>
        <v>Бетонщик / арматурщик</v>
      </c>
      <c r="F666" s="14">
        <v>380</v>
      </c>
      <c r="G666" s="14">
        <v>450</v>
      </c>
      <c r="H666" s="15">
        <v>220</v>
      </c>
      <c r="I666" s="15">
        <f>IF(OR(H666="",F666=""),"",MAX(H666,MIN(ROUND(H666*(1+Параметры!$B$5),IF(H666*(1+Параметры!$B$5)&gt;=1000,-1,0)),ROUND(F666*Параметры!$B$6,IF(F666*Параметры!$B$6&gt;=1000,-1,0)))))</f>
        <v>253</v>
      </c>
      <c r="J666" s="15">
        <v>260</v>
      </c>
      <c r="K666" s="15">
        <f>IF(OR(J666="",G666=""),"",MAX(J666,MIN(ROUND(J666*(1+Параметры!$B$5),IF(J666*(1+Параметры!$B$5)&gt;=1000,-1,0)),ROUND(G666*Параметры!$B$6,IF(G666*Параметры!$B$6&gt;=1000,-1,0)))))</f>
        <v>299</v>
      </c>
      <c r="L666" s="16">
        <v>0.15</v>
      </c>
      <c r="M666" s="17">
        <f t="shared" si="60"/>
        <v>6.666666666666667</v>
      </c>
      <c r="N666" s="17">
        <f>IF(OR(L666="",L666=0),"",Параметры!$B$3/L666)</f>
        <v>53.333333333333336</v>
      </c>
      <c r="O666" s="15">
        <f>IF(L666="","",IFERROR(INDEX('Почасовка — ставки и план'!$D$5:$D$24,MATCH($D666,'Почасовка — ставки и план'!$A$5:$A$24,0)),""))</f>
        <v>800</v>
      </c>
      <c r="P666" s="15">
        <f>IF(L666="","",IFERROR(INDEX('Почасовка — ставки и план'!$E$5:$E$24,MATCH($D666,'Почасовка — ставки и план'!$A$5:$A$24,0)),""))</f>
        <v>950</v>
      </c>
      <c r="Q666" s="15">
        <f t="shared" si="61"/>
        <v>120</v>
      </c>
      <c r="R666" s="13" t="str">
        <f>IF(D666="TEX","аренда техники — сделка/счёт",IF(OR(Q666="",H666="",H666=0),"—",IF(Q666&lt;H666*(1-Параметры!$B$7),"почасовка",IF(Q666&gt;H666*(1+Параметры!$B$7),"сделка","любой способ"))))</f>
        <v>почасовка</v>
      </c>
      <c r="S666">
        <v>0</v>
      </c>
      <c r="T666">
        <v>0</v>
      </c>
    </row>
    <row r="667" spans="1:20" x14ac:dyDescent="0.25">
      <c r="A667" s="13" t="s">
        <v>1382</v>
      </c>
      <c r="B667" s="13" t="s">
        <v>1383</v>
      </c>
      <c r="C667" s="13" t="s">
        <v>72</v>
      </c>
      <c r="D667" s="13" t="s">
        <v>200</v>
      </c>
      <c r="E667" s="13" t="str">
        <f>IFERROR(INDEX('Почасовка — ставки и план'!$B$5:$B$24,MATCH(D667,'Почасовка — ставки и план'!$A$5:$A$24,0)),"Аренда техники / механизмы")</f>
        <v>Плиточник / укладчик полов</v>
      </c>
      <c r="F667" s="14">
        <v>2600</v>
      </c>
      <c r="G667" s="14">
        <v>3000</v>
      </c>
      <c r="H667" s="15">
        <v>1600</v>
      </c>
      <c r="I667" s="15">
        <f>IF(OR(H667="",F667=""),"",MAX(H667,MIN(ROUND(H667*(1+Параметры!$B$5),IF(H667*(1+Параметры!$B$5)&gt;=1000,-1,0)),ROUND(F667*Параметры!$B$6,IF(F667*Параметры!$B$6&gt;=1000,-1,0)))))</f>
        <v>1840</v>
      </c>
      <c r="J667" s="15">
        <v>1850</v>
      </c>
      <c r="K667" s="15">
        <f>IF(OR(J667="",G667=""),"",MAX(J667,MIN(ROUND(J667*(1+Параметры!$B$5),IF(J667*(1+Параметры!$B$5)&gt;=1000,-1,0)),ROUND(G667*Параметры!$B$6,IF(G667*Параметры!$B$6&gt;=1000,-1,0)))))</f>
        <v>2130</v>
      </c>
      <c r="L667" s="16">
        <v>2</v>
      </c>
      <c r="M667" s="17">
        <f t="shared" si="60"/>
        <v>0.5</v>
      </c>
      <c r="N667" s="17">
        <f>IF(OR(L667="",L667=0),"",Параметры!$B$3/L667)</f>
        <v>4</v>
      </c>
      <c r="O667" s="15">
        <f>IF(L667="","",IFERROR(INDEX('Почасовка — ставки и план'!$D$5:$D$24,MATCH($D667,'Почасовка — ставки и план'!$A$5:$A$24,0)),""))</f>
        <v>900</v>
      </c>
      <c r="P667" s="15">
        <f>IF(L667="","",IFERROR(INDEX('Почасовка — ставки и план'!$E$5:$E$24,MATCH($D667,'Почасовка — ставки и план'!$A$5:$A$24,0)),""))</f>
        <v>1080</v>
      </c>
      <c r="Q667" s="15">
        <f t="shared" si="61"/>
        <v>1800</v>
      </c>
      <c r="R667" s="13" t="str">
        <f>IF(D667="TEX","аренда техники — сделка/счёт",IF(OR(Q667="",H667="",H667=0),"—",IF(Q667&lt;H667*(1-Параметры!$B$7),"почасовка",IF(Q667&gt;H667*(1+Параметры!$B$7),"сделка","любой способ"))))</f>
        <v>сделка</v>
      </c>
      <c r="S667">
        <v>0</v>
      </c>
      <c r="T667">
        <v>0</v>
      </c>
    </row>
    <row r="668" spans="1:20" x14ac:dyDescent="0.25">
      <c r="A668" s="13" t="s">
        <v>1384</v>
      </c>
      <c r="B668" s="13" t="s">
        <v>1385</v>
      </c>
      <c r="C668" s="13" t="s">
        <v>69</v>
      </c>
      <c r="D668" s="13" t="s">
        <v>200</v>
      </c>
      <c r="E668" s="13" t="str">
        <f>IFERROR(INDEX('Почасовка — ставки и план'!$B$5:$B$24,MATCH(D668,'Почасовка — ставки и план'!$A$5:$A$24,0)),"Аренда техники / механизмы")</f>
        <v>Плиточник / укладчик полов</v>
      </c>
      <c r="F668" s="14">
        <v>90</v>
      </c>
      <c r="G668" s="14">
        <v>100</v>
      </c>
      <c r="H668" s="15">
        <v>55</v>
      </c>
      <c r="I668" s="15">
        <f>IF(OR(H668="",F668=""),"",MAX(H668,MIN(ROUND(H668*(1+Параметры!$B$5),IF(H668*(1+Параметры!$B$5)&gt;=1000,-1,0)),ROUND(F668*Параметры!$B$6,IF(F668*Параметры!$B$6&gt;=1000,-1,0)))))</f>
        <v>63</v>
      </c>
      <c r="J668" s="15">
        <v>60</v>
      </c>
      <c r="K668" s="15">
        <f>IF(OR(J668="",G668=""),"",MAX(J668,MIN(ROUND(J668*(1+Параметры!$B$5),IF(J668*(1+Параметры!$B$5)&gt;=1000,-1,0)),ROUND(G668*Параметры!$B$6,IF(G668*Параметры!$B$6&gt;=1000,-1,0)))))</f>
        <v>69</v>
      </c>
      <c r="L668" s="16">
        <v>0.05</v>
      </c>
      <c r="M668" s="17">
        <f t="shared" si="60"/>
        <v>20</v>
      </c>
      <c r="N668" s="17">
        <f>IF(OR(L668="",L668=0),"",Параметры!$B$3/L668)</f>
        <v>160</v>
      </c>
      <c r="O668" s="15">
        <f>IF(L668="","",IFERROR(INDEX('Почасовка — ставки и план'!$D$5:$D$24,MATCH($D668,'Почасовка — ставки и план'!$A$5:$A$24,0)),""))</f>
        <v>900</v>
      </c>
      <c r="P668" s="15">
        <f>IF(L668="","",IFERROR(INDEX('Почасовка — ставки и план'!$E$5:$E$24,MATCH($D668,'Почасовка — ставки и план'!$A$5:$A$24,0)),""))</f>
        <v>1080</v>
      </c>
      <c r="Q668" s="15">
        <f t="shared" si="61"/>
        <v>45</v>
      </c>
      <c r="R668" s="13" t="str">
        <f>IF(D668="TEX","аренда техники — сделка/счёт",IF(OR(Q668="",H668="",H668=0),"—",IF(Q668&lt;H668*(1-Параметры!$B$7),"почасовка",IF(Q668&gt;H668*(1+Параметры!$B$7),"сделка","любой способ"))))</f>
        <v>почасовка</v>
      </c>
      <c r="S668">
        <v>0</v>
      </c>
      <c r="T668">
        <v>0</v>
      </c>
    </row>
    <row r="669" spans="1:20" x14ac:dyDescent="0.25">
      <c r="A669" s="13" t="s">
        <v>1386</v>
      </c>
      <c r="B669" s="13" t="s">
        <v>1387</v>
      </c>
      <c r="C669" s="13" t="s">
        <v>72</v>
      </c>
      <c r="D669" s="13" t="s">
        <v>200</v>
      </c>
      <c r="E669" s="13" t="str">
        <f>IFERROR(INDEX('Почасовка — ставки и план'!$B$5:$B$24,MATCH(D669,'Почасовка — ставки и план'!$A$5:$A$24,0)),"Аренда техники / механизмы")</f>
        <v>Плиточник / укладчик полов</v>
      </c>
      <c r="F669" s="14">
        <v>200</v>
      </c>
      <c r="G669" s="14">
        <v>230</v>
      </c>
      <c r="H669" s="15">
        <v>120</v>
      </c>
      <c r="I669" s="15">
        <f>IF(OR(H669="",F669=""),"",MAX(H669,MIN(ROUND(H669*(1+Параметры!$B$5),IF(H669*(1+Параметры!$B$5)&gt;=1000,-1,0)),ROUND(F669*Параметры!$B$6,IF(F669*Параметры!$B$6&gt;=1000,-1,0)))))</f>
        <v>138</v>
      </c>
      <c r="J669" s="15">
        <v>140</v>
      </c>
      <c r="K669" s="15">
        <f>IF(OR(J669="",G669=""),"",MAX(J669,MIN(ROUND(J669*(1+Параметры!$B$5),IF(J669*(1+Параметры!$B$5)&gt;=1000,-1,0)),ROUND(G669*Параметры!$B$6,IF(G669*Параметры!$B$6&gt;=1000,-1,0)))))</f>
        <v>161</v>
      </c>
      <c r="L669" s="16">
        <v>0.15</v>
      </c>
      <c r="M669" s="17">
        <f t="shared" si="60"/>
        <v>6.666666666666667</v>
      </c>
      <c r="N669" s="17">
        <f>IF(OR(L669="",L669=0),"",Параметры!$B$3/L669)</f>
        <v>53.333333333333336</v>
      </c>
      <c r="O669" s="15">
        <f>IF(L669="","",IFERROR(INDEX('Почасовка — ставки и план'!$D$5:$D$24,MATCH($D669,'Почасовка — ставки и план'!$A$5:$A$24,0)),""))</f>
        <v>900</v>
      </c>
      <c r="P669" s="15">
        <f>IF(L669="","",IFERROR(INDEX('Почасовка — ставки и план'!$E$5:$E$24,MATCH($D669,'Почасовка — ставки и план'!$A$5:$A$24,0)),""))</f>
        <v>1080</v>
      </c>
      <c r="Q669" s="15">
        <f t="shared" si="61"/>
        <v>135</v>
      </c>
      <c r="R669" s="13" t="str">
        <f>IF(D669="TEX","аренда техники — сделка/счёт",IF(OR(Q669="",H669="",H669=0),"—",IF(Q669&lt;H669*(1-Параметры!$B$7),"почасовка",IF(Q669&gt;H669*(1+Параметры!$B$7),"сделка","любой способ"))))</f>
        <v>сделка</v>
      </c>
      <c r="S669">
        <v>0</v>
      </c>
      <c r="T669">
        <v>0</v>
      </c>
    </row>
    <row r="670" spans="1:20" x14ac:dyDescent="0.25">
      <c r="A670" s="13" t="s">
        <v>1388</v>
      </c>
      <c r="B670" s="13" t="s">
        <v>1389</v>
      </c>
      <c r="C670" s="13" t="s">
        <v>72</v>
      </c>
      <c r="D670" s="13" t="s">
        <v>200</v>
      </c>
      <c r="E670" s="13" t="str">
        <f>IFERROR(INDEX('Почасовка — ставки и план'!$B$5:$B$24,MATCH(D670,'Почасовка — ставки и план'!$A$5:$A$24,0)),"Аренда техники / механизмы")</f>
        <v>Плиточник / укладчик полов</v>
      </c>
      <c r="F670" s="14">
        <v>480</v>
      </c>
      <c r="G670" s="14">
        <v>576</v>
      </c>
      <c r="H670" s="15">
        <v>270</v>
      </c>
      <c r="I670" s="15">
        <f>IF(OR(H670="",F670=""),"",MAX(H670,MIN(ROUND(H670*(1+Параметры!$B$5),IF(H670*(1+Параметры!$B$5)&gt;=1000,-1,0)),ROUND(F670*Параметры!$B$6,IF(F670*Параметры!$B$6&gt;=1000,-1,0)))))</f>
        <v>311</v>
      </c>
      <c r="J670" s="15">
        <v>310</v>
      </c>
      <c r="K670" s="15">
        <f>IF(OR(J670="",G670=""),"",MAX(J670,MIN(ROUND(J670*(1+Параметры!$B$5),IF(J670*(1+Параметры!$B$5)&gt;=1000,-1,0)),ROUND(G670*Параметры!$B$6,IF(G670*Параметры!$B$6&gt;=1000,-1,0)))))</f>
        <v>357</v>
      </c>
      <c r="L670" s="16">
        <v>0.4</v>
      </c>
      <c r="M670" s="17">
        <f t="shared" si="60"/>
        <v>2.5</v>
      </c>
      <c r="N670" s="17">
        <f>IF(OR(L670="",L670=0),"",Параметры!$B$3/L670)</f>
        <v>20</v>
      </c>
      <c r="O670" s="15">
        <f>IF(L670="","",IFERROR(INDEX('Почасовка — ставки и план'!$D$5:$D$24,MATCH($D670,'Почасовка — ставки и план'!$A$5:$A$24,0)),""))</f>
        <v>900</v>
      </c>
      <c r="P670" s="15">
        <f>IF(L670="","",IFERROR(INDEX('Почасовка — ставки и план'!$E$5:$E$24,MATCH($D670,'Почасовка — ставки и план'!$A$5:$A$24,0)),""))</f>
        <v>1080</v>
      </c>
      <c r="Q670" s="15">
        <f t="shared" si="61"/>
        <v>360</v>
      </c>
      <c r="R670" s="13" t="str">
        <f>IF(D670="TEX","аренда техники — сделка/счёт",IF(OR(Q670="",H670="",H670=0),"—",IF(Q670&lt;H670*(1-Параметры!$B$7),"почасовка",IF(Q670&gt;H670*(1+Параметры!$B$7),"сделка","любой способ"))))</f>
        <v>сделка</v>
      </c>
      <c r="S670">
        <v>6.6666666666666652E-2</v>
      </c>
      <c r="T670">
        <v>0.1076923076923078</v>
      </c>
    </row>
    <row r="671" spans="1:20" x14ac:dyDescent="0.25">
      <c r="A671" s="13" t="s">
        <v>1390</v>
      </c>
      <c r="B671" s="13" t="s">
        <v>1391</v>
      </c>
      <c r="C671" s="13" t="s">
        <v>69</v>
      </c>
      <c r="D671" s="13" t="s">
        <v>162</v>
      </c>
      <c r="E671" s="13" t="str">
        <f>IFERROR(INDEX('Почасовка — ставки и план'!$B$5:$B$24,MATCH(D671,'Почасовка — ставки и план'!$A$5:$A$24,0)),"Аренда техники / механизмы")</f>
        <v>Бетонщик / арматурщик</v>
      </c>
      <c r="F671" s="14">
        <v>550</v>
      </c>
      <c r="G671" s="14">
        <v>650</v>
      </c>
      <c r="H671" s="15">
        <v>330</v>
      </c>
      <c r="I671" s="15">
        <f>IF(OR(H671="",F671=""),"",MAX(H671,MIN(ROUND(H671*(1+Параметры!$B$5),IF(H671*(1+Параметры!$B$5)&gt;=1000,-1,0)),ROUND(F671*Параметры!$B$6,IF(F671*Параметры!$B$6&gt;=1000,-1,0)))))</f>
        <v>380</v>
      </c>
      <c r="J671" s="15">
        <v>390</v>
      </c>
      <c r="K671" s="15">
        <f>IF(OR(J671="",G671=""),"",MAX(J671,MIN(ROUND(J671*(1+Параметры!$B$5),IF(J671*(1+Параметры!$B$5)&gt;=1000,-1,0)),ROUND(G671*Параметры!$B$6,IF(G671*Параметры!$B$6&gt;=1000,-1,0)))))</f>
        <v>449</v>
      </c>
      <c r="L671" s="16">
        <v>0.4</v>
      </c>
      <c r="M671" s="17">
        <f t="shared" si="60"/>
        <v>2.5</v>
      </c>
      <c r="N671" s="17">
        <f>IF(OR(L671="",L671=0),"",Параметры!$B$3/L671)</f>
        <v>20</v>
      </c>
      <c r="O671" s="15">
        <f>IF(L671="","",IFERROR(INDEX('Почасовка — ставки и план'!$D$5:$D$24,MATCH($D671,'Почасовка — ставки и план'!$A$5:$A$24,0)),""))</f>
        <v>800</v>
      </c>
      <c r="P671" s="15">
        <f>IF(L671="","",IFERROR(INDEX('Почасовка — ставки и план'!$E$5:$E$24,MATCH($D671,'Почасовка — ставки и план'!$A$5:$A$24,0)),""))</f>
        <v>950</v>
      </c>
      <c r="Q671" s="15">
        <f t="shared" si="61"/>
        <v>320</v>
      </c>
      <c r="R671" s="13" t="str">
        <f>IF(D671="TEX","аренда техники — сделка/счёт",IF(OR(Q671="",H671="",H671=0),"—",IF(Q671&lt;H671*(1-Параметры!$B$7),"почасовка",IF(Q671&gt;H671*(1+Параметры!$B$7),"сделка","любой способ"))))</f>
        <v>любой способ</v>
      </c>
      <c r="S671">
        <v>0</v>
      </c>
      <c r="T671">
        <v>0</v>
      </c>
    </row>
    <row r="672" spans="1:20" x14ac:dyDescent="0.25">
      <c r="A672" s="13" t="s">
        <v>1392</v>
      </c>
      <c r="B672" s="13" t="s">
        <v>1393</v>
      </c>
      <c r="C672" s="13" t="s">
        <v>72</v>
      </c>
      <c r="D672" s="13" t="s">
        <v>200</v>
      </c>
      <c r="E672" s="13" t="str">
        <f>IFERROR(INDEX('Почасовка — ставки и план'!$B$5:$B$24,MATCH(D672,'Почасовка — ставки и план'!$A$5:$A$24,0)),"Аренда техники / механизмы")</f>
        <v>Плиточник / укладчик полов</v>
      </c>
      <c r="F672" s="14">
        <v>650</v>
      </c>
      <c r="G672" s="14">
        <v>750</v>
      </c>
      <c r="H672" s="15">
        <v>400</v>
      </c>
      <c r="I672" s="15">
        <f>IF(OR(H672="",F672=""),"",MAX(H672,MIN(ROUND(H672*(1+Параметры!$B$5),IF(H672*(1+Параметры!$B$5)&gt;=1000,-1,0)),ROUND(F672*Параметры!$B$6,IF(F672*Параметры!$B$6&gt;=1000,-1,0)))))</f>
        <v>460</v>
      </c>
      <c r="J672" s="15">
        <v>460</v>
      </c>
      <c r="K672" s="15">
        <f>IF(OR(J672="",G672=""),"",MAX(J672,MIN(ROUND(J672*(1+Параметры!$B$5),IF(J672*(1+Параметры!$B$5)&gt;=1000,-1,0)),ROUND(G672*Параметры!$B$6,IF(G672*Параметры!$B$6&gt;=1000,-1,0)))))</f>
        <v>529</v>
      </c>
      <c r="L672" s="16">
        <v>0.35</v>
      </c>
      <c r="M672" s="17">
        <f t="shared" si="60"/>
        <v>2.8571428571428572</v>
      </c>
      <c r="N672" s="17">
        <f>IF(OR(L672="",L672=0),"",Параметры!$B$3/L672)</f>
        <v>22.857142857142858</v>
      </c>
      <c r="O672" s="15">
        <f>IF(L672="","",IFERROR(INDEX('Почасовка — ставки и план'!$D$5:$D$24,MATCH($D672,'Почасовка — ставки и план'!$A$5:$A$24,0)),""))</f>
        <v>900</v>
      </c>
      <c r="P672" s="15">
        <f>IF(L672="","",IFERROR(INDEX('Почасовка — ставки и план'!$E$5:$E$24,MATCH($D672,'Почасовка — ставки и план'!$A$5:$A$24,0)),""))</f>
        <v>1080</v>
      </c>
      <c r="Q672" s="15">
        <f t="shared" si="61"/>
        <v>315</v>
      </c>
      <c r="R672" s="13" t="str">
        <f>IF(D672="TEX","аренда техники — сделка/счёт",IF(OR(Q672="",H672="",H672=0),"—",IF(Q672&lt;H672*(1-Параметры!$B$7),"почасовка",IF(Q672&gt;H672*(1+Параметры!$B$7),"сделка","любой способ"))))</f>
        <v>почасовка</v>
      </c>
      <c r="S672">
        <v>0</v>
      </c>
      <c r="T672">
        <v>0</v>
      </c>
    </row>
    <row r="673" spans="1:20" x14ac:dyDescent="0.25">
      <c r="A673" s="13" t="s">
        <v>1394</v>
      </c>
      <c r="B673" s="13" t="s">
        <v>1395</v>
      </c>
      <c r="C673" s="13" t="s">
        <v>72</v>
      </c>
      <c r="D673" s="13" t="s">
        <v>200</v>
      </c>
      <c r="E673" s="13" t="str">
        <f>IFERROR(INDEX('Почасовка — ставки и план'!$B$5:$B$24,MATCH(D673,'Почасовка — ставки и план'!$A$5:$A$24,0)),"Аренда техники / механизмы")</f>
        <v>Плиточник / укладчик полов</v>
      </c>
      <c r="F673" s="14">
        <v>380</v>
      </c>
      <c r="G673" s="14">
        <v>450</v>
      </c>
      <c r="H673" s="15">
        <v>230</v>
      </c>
      <c r="I673" s="15">
        <f>IF(OR(H673="",F673=""),"",MAX(H673,MIN(ROUND(H673*(1+Параметры!$B$5),IF(H673*(1+Параметры!$B$5)&gt;=1000,-1,0)),ROUND(F673*Параметры!$B$6,IF(F673*Параметры!$B$6&gt;=1000,-1,0)))))</f>
        <v>265</v>
      </c>
      <c r="J673" s="15">
        <v>270</v>
      </c>
      <c r="K673" s="15">
        <f>IF(OR(J673="",G673=""),"",MAX(J673,MIN(ROUND(J673*(1+Параметры!$B$5),IF(J673*(1+Параметры!$B$5)&gt;=1000,-1,0)),ROUND(G673*Параметры!$B$6,IF(G673*Параметры!$B$6&gt;=1000,-1,0)))))</f>
        <v>311</v>
      </c>
      <c r="L673" s="16">
        <v>0.15</v>
      </c>
      <c r="M673" s="17">
        <f t="shared" si="60"/>
        <v>6.666666666666667</v>
      </c>
      <c r="N673" s="17">
        <f>IF(OR(L673="",L673=0),"",Параметры!$B$3/L673)</f>
        <v>53.333333333333336</v>
      </c>
      <c r="O673" s="15">
        <f>IF(L673="","",IFERROR(INDEX('Почасовка — ставки и план'!$D$5:$D$24,MATCH($D673,'Почасовка — ставки и план'!$A$5:$A$24,0)),""))</f>
        <v>900</v>
      </c>
      <c r="P673" s="15">
        <f>IF(L673="","",IFERROR(INDEX('Почасовка — ставки и план'!$E$5:$E$24,MATCH($D673,'Почасовка — ставки и план'!$A$5:$A$24,0)),""))</f>
        <v>1080</v>
      </c>
      <c r="Q673" s="15">
        <f t="shared" si="61"/>
        <v>135</v>
      </c>
      <c r="R673" s="13" t="str">
        <f>IF(D673="TEX","аренда техники — сделка/счёт",IF(OR(Q673="",H673="",H673=0),"—",IF(Q673&lt;H673*(1-Параметры!$B$7),"почасовка",IF(Q673&gt;H673*(1+Параметры!$B$7),"сделка","любой способ"))))</f>
        <v>почасовка</v>
      </c>
      <c r="S673">
        <v>0</v>
      </c>
      <c r="T673">
        <v>0</v>
      </c>
    </row>
    <row r="674" spans="1:20" x14ac:dyDescent="0.25">
      <c r="A674" s="13" t="s">
        <v>1396</v>
      </c>
      <c r="B674" s="13" t="s">
        <v>1397</v>
      </c>
      <c r="C674" s="13" t="s">
        <v>72</v>
      </c>
      <c r="D674" s="13" t="s">
        <v>200</v>
      </c>
      <c r="E674" s="13" t="str">
        <f>IFERROR(INDEX('Почасовка — ставки и план'!$B$5:$B$24,MATCH(D674,'Почасовка — ставки и план'!$A$5:$A$24,0)),"Аренда техники / механизмы")</f>
        <v>Плиточник / укладчик полов</v>
      </c>
      <c r="F674" s="14">
        <v>380</v>
      </c>
      <c r="G674" s="14">
        <v>450</v>
      </c>
      <c r="H674" s="15">
        <v>230</v>
      </c>
      <c r="I674" s="15">
        <f>IF(OR(H674="",F674=""),"",MAX(H674,MIN(ROUND(H674*(1+Параметры!$B$5),IF(H674*(1+Параметры!$B$5)&gt;=1000,-1,0)),ROUND(F674*Параметры!$B$6,IF(F674*Параметры!$B$6&gt;=1000,-1,0)))))</f>
        <v>265</v>
      </c>
      <c r="J674" s="15">
        <v>270</v>
      </c>
      <c r="K674" s="15">
        <f>IF(OR(J674="",G674=""),"",MAX(J674,MIN(ROUND(J674*(1+Параметры!$B$5),IF(J674*(1+Параметры!$B$5)&gt;=1000,-1,0)),ROUND(G674*Параметры!$B$6,IF(G674*Параметры!$B$6&gt;=1000,-1,0)))))</f>
        <v>311</v>
      </c>
      <c r="L674" s="16">
        <v>0.25</v>
      </c>
      <c r="M674" s="17">
        <f t="shared" si="60"/>
        <v>4</v>
      </c>
      <c r="N674" s="17">
        <f>IF(OR(L674="",L674=0),"",Параметры!$B$3/L674)</f>
        <v>32</v>
      </c>
      <c r="O674" s="15">
        <f>IF(L674="","",IFERROR(INDEX('Почасовка — ставки и план'!$D$5:$D$24,MATCH($D674,'Почасовка — ставки и план'!$A$5:$A$24,0)),""))</f>
        <v>900</v>
      </c>
      <c r="P674" s="15">
        <f>IF(L674="","",IFERROR(INDEX('Почасовка — ставки и план'!$E$5:$E$24,MATCH($D674,'Почасовка — ставки и план'!$A$5:$A$24,0)),""))</f>
        <v>1080</v>
      </c>
      <c r="Q674" s="15">
        <f t="shared" si="61"/>
        <v>225</v>
      </c>
      <c r="R674" s="13" t="str">
        <f>IF(D674="TEX","аренда техники — сделка/счёт",IF(OR(Q674="",H674="",H674=0),"—",IF(Q674&lt;H674*(1-Параметры!$B$7),"почасовка",IF(Q674&gt;H674*(1+Параметры!$B$7),"сделка","любой способ"))))</f>
        <v>любой способ</v>
      </c>
      <c r="S674">
        <v>0</v>
      </c>
      <c r="T674">
        <v>0</v>
      </c>
    </row>
    <row r="675" spans="1:20" x14ac:dyDescent="0.25">
      <c r="A675" s="13" t="s">
        <v>1398</v>
      </c>
      <c r="B675" s="13" t="s">
        <v>1399</v>
      </c>
      <c r="C675" s="13" t="s">
        <v>72</v>
      </c>
      <c r="D675" s="13" t="s">
        <v>200</v>
      </c>
      <c r="E675" s="13" t="str">
        <f>IFERROR(INDEX('Почасовка — ставки и план'!$B$5:$B$24,MATCH(D675,'Почасовка — ставки и план'!$A$5:$A$24,0)),"Аренда техники / механизмы")</f>
        <v>Плиточник / укладчик полов</v>
      </c>
      <c r="F675" s="14">
        <v>650</v>
      </c>
      <c r="G675" s="14">
        <v>750</v>
      </c>
      <c r="H675" s="15">
        <v>400</v>
      </c>
      <c r="I675" s="15">
        <f>IF(OR(H675="",F675=""),"",MAX(H675,MIN(ROUND(H675*(1+Параметры!$B$5),IF(H675*(1+Параметры!$B$5)&gt;=1000,-1,0)),ROUND(F675*Параметры!$B$6,IF(F675*Параметры!$B$6&gt;=1000,-1,0)))))</f>
        <v>460</v>
      </c>
      <c r="J675" s="15">
        <v>460</v>
      </c>
      <c r="K675" s="15">
        <f>IF(OR(J675="",G675=""),"",MAX(J675,MIN(ROUND(J675*(1+Параметры!$B$5),IF(J675*(1+Параметры!$B$5)&gt;=1000,-1,0)),ROUND(G675*Параметры!$B$6,IF(G675*Параметры!$B$6&gt;=1000,-1,0)))))</f>
        <v>529</v>
      </c>
      <c r="L675" s="16">
        <v>0.5</v>
      </c>
      <c r="M675" s="17">
        <f t="shared" si="60"/>
        <v>2</v>
      </c>
      <c r="N675" s="17">
        <f>IF(OR(L675="",L675=0),"",Параметры!$B$3/L675)</f>
        <v>16</v>
      </c>
      <c r="O675" s="15">
        <f>IF(L675="","",IFERROR(INDEX('Почасовка — ставки и план'!$D$5:$D$24,MATCH($D675,'Почасовка — ставки и план'!$A$5:$A$24,0)),""))</f>
        <v>900</v>
      </c>
      <c r="P675" s="15">
        <f>IF(L675="","",IFERROR(INDEX('Почасовка — ставки и план'!$E$5:$E$24,MATCH($D675,'Почасовка — ставки и план'!$A$5:$A$24,0)),""))</f>
        <v>1080</v>
      </c>
      <c r="Q675" s="15">
        <f t="shared" si="61"/>
        <v>450</v>
      </c>
      <c r="R675" s="13" t="str">
        <f>IF(D675="TEX","аренда техники — сделка/счёт",IF(OR(Q675="",H675="",H675=0),"—",IF(Q675&lt;H675*(1-Параметры!$B$7),"почасовка",IF(Q675&gt;H675*(1+Параметры!$B$7),"сделка","любой способ"))))</f>
        <v>сделка</v>
      </c>
      <c r="S675">
        <v>0</v>
      </c>
      <c r="T675">
        <v>0</v>
      </c>
    </row>
    <row r="676" spans="1:20" x14ac:dyDescent="0.25">
      <c r="A676" s="13" t="s">
        <v>1400</v>
      </c>
      <c r="B676" s="13" t="s">
        <v>1401</v>
      </c>
      <c r="C676" s="13" t="s">
        <v>72</v>
      </c>
      <c r="D676" s="13" t="s">
        <v>64</v>
      </c>
      <c r="E676" s="13" t="str">
        <f>IFERROR(INDEX('Почасовка — ставки и план'!$B$5:$B$24,MATCH(D676,'Почасовка — ставки и план'!$A$5:$A$24,0)),"Аренда техники / механизмы")</f>
        <v>Сварщик / монтажник МК</v>
      </c>
      <c r="F676" s="14">
        <v>960</v>
      </c>
      <c r="G676" s="14">
        <v>1152</v>
      </c>
      <c r="H676" s="15">
        <v>550</v>
      </c>
      <c r="I676" s="15">
        <f>IF(OR(H676="",F676=""),"",MAX(H676,MIN(ROUND(H676*(1+Параметры!$B$5),IF(H676*(1+Параметры!$B$5)&gt;=1000,-1,0)),ROUND(F676*Параметры!$B$6,IF(F676*Параметры!$B$6&gt;=1000,-1,0)))))</f>
        <v>633</v>
      </c>
      <c r="J676" s="15">
        <v>640</v>
      </c>
      <c r="K676" s="15">
        <f>IF(OR(J676="",G676=""),"",MAX(J676,MIN(ROUND(J676*(1+Параметры!$B$5),IF(J676*(1+Параметры!$B$5)&gt;=1000,-1,0)),ROUND(G676*Параметры!$B$6,IF(G676*Параметры!$B$6&gt;=1000,-1,0)))))</f>
        <v>736</v>
      </c>
      <c r="L676" s="16">
        <v>0.8</v>
      </c>
      <c r="M676" s="17">
        <f t="shared" si="60"/>
        <v>1.25</v>
      </c>
      <c r="N676" s="17">
        <f>IF(OR(L676="",L676=0),"",Параметры!$B$3/L676)</f>
        <v>10</v>
      </c>
      <c r="O676" s="15">
        <f>IF(L676="","",IFERROR(INDEX('Почасовка — ставки и план'!$D$5:$D$24,MATCH($D676,'Почасовка — ставки и план'!$A$5:$A$24,0)),""))</f>
        <v>900</v>
      </c>
      <c r="P676" s="15">
        <f>IF(L676="","",IFERROR(INDEX('Почасовка — ставки и план'!$E$5:$E$24,MATCH($D676,'Почасовка — ставки и план'!$A$5:$A$24,0)),""))</f>
        <v>1080</v>
      </c>
      <c r="Q676" s="15">
        <f t="shared" si="61"/>
        <v>720</v>
      </c>
      <c r="R676" s="13" t="str">
        <f>IF(D676="TEX","аренда техники — сделка/счёт",IF(OR(Q676="",H676="",H676=0),"—",IF(Q676&lt;H676*(1-Параметры!$B$7),"почасовка",IF(Q676&gt;H676*(1+Параметры!$B$7),"сделка","любой способ"))))</f>
        <v>сделка</v>
      </c>
      <c r="S676">
        <v>6.6666666666666652E-2</v>
      </c>
      <c r="T676">
        <v>9.7142857142857197E-2</v>
      </c>
    </row>
    <row r="677" spans="1:20" x14ac:dyDescent="0.25">
      <c r="A677" s="13" t="s">
        <v>1402</v>
      </c>
      <c r="B677" s="13" t="s">
        <v>1403</v>
      </c>
      <c r="C677" s="13" t="s">
        <v>72</v>
      </c>
      <c r="D677" s="13" t="s">
        <v>200</v>
      </c>
      <c r="E677" s="13" t="str">
        <f>IFERROR(INDEX('Почасовка — ставки и план'!$B$5:$B$24,MATCH(D677,'Почасовка — ставки и план'!$A$5:$A$24,0)),"Аренда техники / механизмы")</f>
        <v>Плиточник / укладчик полов</v>
      </c>
      <c r="F677" s="14">
        <v>220</v>
      </c>
      <c r="G677" s="14">
        <v>260</v>
      </c>
      <c r="H677" s="15">
        <v>130</v>
      </c>
      <c r="I677" s="15">
        <f>IF(OR(H677="",F677=""),"",MAX(H677,MIN(ROUND(H677*(1+Параметры!$B$5),IF(H677*(1+Параметры!$B$5)&gt;=1000,-1,0)),ROUND(F677*Параметры!$B$6,IF(F677*Параметры!$B$6&gt;=1000,-1,0)))))</f>
        <v>150</v>
      </c>
      <c r="J677" s="15">
        <v>150</v>
      </c>
      <c r="K677" s="15">
        <f>IF(OR(J677="",G677=""),"",MAX(J677,MIN(ROUND(J677*(1+Параметры!$B$5),IF(J677*(1+Параметры!$B$5)&gt;=1000,-1,0)),ROUND(G677*Параметры!$B$6,IF(G677*Параметры!$B$6&gt;=1000,-1,0)))))</f>
        <v>173</v>
      </c>
      <c r="L677" s="16">
        <v>0.12</v>
      </c>
      <c r="M677" s="17">
        <f t="shared" si="60"/>
        <v>8.3333333333333339</v>
      </c>
      <c r="N677" s="17">
        <f>IF(OR(L677="",L677=0),"",Параметры!$B$3/L677)</f>
        <v>66.666666666666671</v>
      </c>
      <c r="O677" s="15">
        <f>IF(L677="","",IFERROR(INDEX('Почасовка — ставки и план'!$D$5:$D$24,MATCH($D677,'Почасовка — ставки и план'!$A$5:$A$24,0)),""))</f>
        <v>900</v>
      </c>
      <c r="P677" s="15">
        <f>IF(L677="","",IFERROR(INDEX('Почасовка — ставки и план'!$E$5:$E$24,MATCH($D677,'Почасовка — ставки и план'!$A$5:$A$24,0)),""))</f>
        <v>1080</v>
      </c>
      <c r="Q677" s="15">
        <f t="shared" si="61"/>
        <v>108</v>
      </c>
      <c r="R677" s="13" t="str">
        <f>IF(D677="TEX","аренда техники — сделка/счёт",IF(OR(Q677="",H677="",H677=0),"—",IF(Q677&lt;H677*(1-Параметры!$B$7),"почасовка",IF(Q677&gt;H677*(1+Параметры!$B$7),"сделка","любой способ"))))</f>
        <v>почасовка</v>
      </c>
      <c r="S677">
        <v>0</v>
      </c>
      <c r="T677">
        <v>0</v>
      </c>
    </row>
    <row r="678" spans="1:20" x14ac:dyDescent="0.25">
      <c r="A678" s="13" t="s">
        <v>1404</v>
      </c>
      <c r="B678" s="13" t="s">
        <v>1405</v>
      </c>
      <c r="C678" s="13" t="s">
        <v>72</v>
      </c>
      <c r="D678" s="13" t="s">
        <v>200</v>
      </c>
      <c r="E678" s="13" t="str">
        <f>IFERROR(INDEX('Почасовка — ставки и план'!$B$5:$B$24,MATCH(D678,'Почасовка — ставки и план'!$A$5:$A$24,0)),"Аренда техники / механизмы")</f>
        <v>Плиточник / укладчик полов</v>
      </c>
      <c r="F678" s="14">
        <v>380</v>
      </c>
      <c r="G678" s="14">
        <v>450</v>
      </c>
      <c r="H678" s="15">
        <v>230</v>
      </c>
      <c r="I678" s="15">
        <f>IF(OR(H678="",F678=""),"",MAX(H678,MIN(ROUND(H678*(1+Параметры!$B$5),IF(H678*(1+Параметры!$B$5)&gt;=1000,-1,0)),ROUND(F678*Параметры!$B$6,IF(F678*Параметры!$B$6&gt;=1000,-1,0)))))</f>
        <v>265</v>
      </c>
      <c r="J678" s="15">
        <v>270</v>
      </c>
      <c r="K678" s="15">
        <f>IF(OR(J678="",G678=""),"",MAX(J678,MIN(ROUND(J678*(1+Параметры!$B$5),IF(J678*(1+Параметры!$B$5)&gt;=1000,-1,0)),ROUND(G678*Параметры!$B$6,IF(G678*Параметры!$B$6&gt;=1000,-1,0)))))</f>
        <v>311</v>
      </c>
      <c r="L678" s="16">
        <v>0.25</v>
      </c>
      <c r="M678" s="17">
        <f t="shared" si="60"/>
        <v>4</v>
      </c>
      <c r="N678" s="17">
        <f>IF(OR(L678="",L678=0),"",Параметры!$B$3/L678)</f>
        <v>32</v>
      </c>
      <c r="O678" s="15">
        <f>IF(L678="","",IFERROR(INDEX('Почасовка — ставки и план'!$D$5:$D$24,MATCH($D678,'Почасовка — ставки и план'!$A$5:$A$24,0)),""))</f>
        <v>900</v>
      </c>
      <c r="P678" s="15">
        <f>IF(L678="","",IFERROR(INDEX('Почасовка — ставки и план'!$E$5:$E$24,MATCH($D678,'Почасовка — ставки и план'!$A$5:$A$24,0)),""))</f>
        <v>1080</v>
      </c>
      <c r="Q678" s="15">
        <f t="shared" si="61"/>
        <v>225</v>
      </c>
      <c r="R678" s="13" t="str">
        <f>IF(D678="TEX","аренда техники — сделка/счёт",IF(OR(Q678="",H678="",H678=0),"—",IF(Q678&lt;H678*(1-Параметры!$B$7),"почасовка",IF(Q678&gt;H678*(1+Параметры!$B$7),"сделка","любой способ"))))</f>
        <v>любой способ</v>
      </c>
      <c r="S678">
        <v>0</v>
      </c>
      <c r="T678">
        <v>0</v>
      </c>
    </row>
    <row r="679" spans="1:20" x14ac:dyDescent="0.25">
      <c r="A679" s="13" t="s">
        <v>1406</v>
      </c>
      <c r="B679" s="13" t="s">
        <v>1407</v>
      </c>
      <c r="C679" s="13" t="s">
        <v>72</v>
      </c>
      <c r="D679" s="13" t="s">
        <v>200</v>
      </c>
      <c r="E679" s="13" t="str">
        <f>IFERROR(INDEX('Почасовка — ставки и план'!$B$5:$B$24,MATCH(D679,'Почасовка — ставки и план'!$A$5:$A$24,0)),"Аренда техники / механизмы")</f>
        <v>Плиточник / укладчик полов</v>
      </c>
      <c r="F679" s="14">
        <v>750</v>
      </c>
      <c r="G679" s="14">
        <v>870</v>
      </c>
      <c r="H679" s="15">
        <v>450</v>
      </c>
      <c r="I679" s="15">
        <f>IF(OR(H679="",F679=""),"",MAX(H679,MIN(ROUND(H679*(1+Параметры!$B$5),IF(H679*(1+Параметры!$B$5)&gt;=1000,-1,0)),ROUND(F679*Параметры!$B$6,IF(F679*Параметры!$B$6&gt;=1000,-1,0)))))</f>
        <v>518</v>
      </c>
      <c r="J679" s="15">
        <v>520</v>
      </c>
      <c r="K679" s="15">
        <f>IF(OR(J679="",G679=""),"",MAX(J679,MIN(ROUND(J679*(1+Параметры!$B$5),IF(J679*(1+Параметры!$B$5)&gt;=1000,-1,0)),ROUND(G679*Параметры!$B$6,IF(G679*Параметры!$B$6&gt;=1000,-1,0)))))</f>
        <v>598</v>
      </c>
      <c r="L679" s="16">
        <v>0.45</v>
      </c>
      <c r="M679" s="17">
        <f t="shared" si="60"/>
        <v>2.2222222222222223</v>
      </c>
      <c r="N679" s="17">
        <f>IF(OR(L679="",L679=0),"",Параметры!$B$3/L679)</f>
        <v>17.777777777777779</v>
      </c>
      <c r="O679" s="15">
        <f>IF(L679="","",IFERROR(INDEX('Почасовка — ставки и план'!$D$5:$D$24,MATCH($D679,'Почасовка — ставки и план'!$A$5:$A$24,0)),""))</f>
        <v>900</v>
      </c>
      <c r="P679" s="15">
        <f>IF(L679="","",IFERROR(INDEX('Почасовка — ставки и план'!$E$5:$E$24,MATCH($D679,'Почасовка — ставки и план'!$A$5:$A$24,0)),""))</f>
        <v>1080</v>
      </c>
      <c r="Q679" s="15">
        <f t="shared" si="61"/>
        <v>405</v>
      </c>
      <c r="R679" s="13" t="str">
        <f>IF(D679="TEX","аренда техники — сделка/счёт",IF(OR(Q679="",H679="",H679=0),"—",IF(Q679&lt;H679*(1-Параметры!$B$7),"почасовка",IF(Q679&gt;H679*(1+Параметры!$B$7),"сделка","любой способ"))))</f>
        <v>любой способ</v>
      </c>
      <c r="S679">
        <v>0</v>
      </c>
      <c r="T679">
        <v>0</v>
      </c>
    </row>
    <row r="680" spans="1:20" x14ac:dyDescent="0.25">
      <c r="A680" s="13" t="s">
        <v>1408</v>
      </c>
      <c r="B680" s="13" t="s">
        <v>1409</v>
      </c>
      <c r="C680" s="13" t="s">
        <v>69</v>
      </c>
      <c r="D680" s="13" t="s">
        <v>200</v>
      </c>
      <c r="E680" s="13" t="str">
        <f>IFERROR(INDEX('Почасовка — ставки и план'!$B$5:$B$24,MATCH(D680,'Почасовка — ставки и план'!$A$5:$A$24,0)),"Аренда техники / механизмы")</f>
        <v>Плиточник / укладчик полов</v>
      </c>
      <c r="F680" s="14">
        <v>900</v>
      </c>
      <c r="G680" s="14">
        <v>1050</v>
      </c>
      <c r="H680" s="15">
        <v>550</v>
      </c>
      <c r="I680" s="15">
        <f>IF(OR(H680="",F680=""),"",MAX(H680,MIN(ROUND(H680*(1+Параметры!$B$5),IF(H680*(1+Параметры!$B$5)&gt;=1000,-1,0)),ROUND(F680*Параметры!$B$6,IF(F680*Параметры!$B$6&gt;=1000,-1,0)))))</f>
        <v>633</v>
      </c>
      <c r="J680" s="15">
        <v>640</v>
      </c>
      <c r="K680" s="15">
        <f>IF(OR(J680="",G680=""),"",MAX(J680,MIN(ROUND(J680*(1+Параметры!$B$5),IF(J680*(1+Параметры!$B$5)&gt;=1000,-1,0)),ROUND(G680*Параметры!$B$6,IF(G680*Параметры!$B$6&gt;=1000,-1,0)))))</f>
        <v>736</v>
      </c>
      <c r="L680" s="16">
        <v>0.6</v>
      </c>
      <c r="M680" s="17">
        <f t="shared" si="60"/>
        <v>1.6666666666666667</v>
      </c>
      <c r="N680" s="17">
        <f>IF(OR(L680="",L680=0),"",Параметры!$B$3/L680)</f>
        <v>13.333333333333334</v>
      </c>
      <c r="O680" s="15">
        <f>IF(L680="","",IFERROR(INDEX('Почасовка — ставки и план'!$D$5:$D$24,MATCH($D680,'Почасовка — ставки и план'!$A$5:$A$24,0)),""))</f>
        <v>900</v>
      </c>
      <c r="P680" s="15">
        <f>IF(L680="","",IFERROR(INDEX('Почасовка — ставки и план'!$E$5:$E$24,MATCH($D680,'Почасовка — ставки и план'!$A$5:$A$24,0)),""))</f>
        <v>1080</v>
      </c>
      <c r="Q680" s="15">
        <f t="shared" si="61"/>
        <v>540</v>
      </c>
      <c r="R680" s="13" t="str">
        <f>IF(D680="TEX","аренда техники — сделка/счёт",IF(OR(Q680="",H680="",H680=0),"—",IF(Q680&lt;H680*(1-Параметры!$B$7),"почасовка",IF(Q680&gt;H680*(1+Параметры!$B$7),"сделка","любой способ"))))</f>
        <v>любой способ</v>
      </c>
      <c r="S680">
        <v>0</v>
      </c>
      <c r="T680">
        <v>0</v>
      </c>
    </row>
    <row r="681" spans="1:20" x14ac:dyDescent="0.25">
      <c r="A681" s="13" t="s">
        <v>1410</v>
      </c>
      <c r="B681" s="13" t="s">
        <v>1411</v>
      </c>
      <c r="C681" s="13" t="s">
        <v>72</v>
      </c>
      <c r="D681" s="13" t="s">
        <v>200</v>
      </c>
      <c r="E681" s="13" t="str">
        <f>IFERROR(INDEX('Почасовка — ставки и план'!$B$5:$B$24,MATCH(D681,'Почасовка — ставки и план'!$A$5:$A$24,0)),"Аренда техники / механизмы")</f>
        <v>Плиточник / укладчик полов</v>
      </c>
      <c r="F681" s="14">
        <v>420</v>
      </c>
      <c r="G681" s="14">
        <v>500</v>
      </c>
      <c r="H681" s="15">
        <v>250</v>
      </c>
      <c r="I681" s="15">
        <f>IF(OR(H681="",F681=""),"",MAX(H681,MIN(ROUND(H681*(1+Параметры!$B$5),IF(H681*(1+Параметры!$B$5)&gt;=1000,-1,0)),ROUND(F681*Параметры!$B$6,IF(F681*Параметры!$B$6&gt;=1000,-1,0)))))</f>
        <v>288</v>
      </c>
      <c r="J681" s="15">
        <v>300</v>
      </c>
      <c r="K681" s="15">
        <f>IF(OR(J681="",G681=""),"",MAX(J681,MIN(ROUND(J681*(1+Параметры!$B$5),IF(J681*(1+Параметры!$B$5)&gt;=1000,-1,0)),ROUND(G681*Параметры!$B$6,IF(G681*Параметры!$B$6&gt;=1000,-1,0)))))</f>
        <v>345</v>
      </c>
      <c r="L681" s="16">
        <v>0.15</v>
      </c>
      <c r="M681" s="17">
        <f t="shared" si="60"/>
        <v>6.666666666666667</v>
      </c>
      <c r="N681" s="17">
        <f>IF(OR(L681="",L681=0),"",Параметры!$B$3/L681)</f>
        <v>53.333333333333336</v>
      </c>
      <c r="O681" s="15">
        <f>IF(L681="","",IFERROR(INDEX('Почасовка — ставки и план'!$D$5:$D$24,MATCH($D681,'Почасовка — ставки и план'!$A$5:$A$24,0)),""))</f>
        <v>900</v>
      </c>
      <c r="P681" s="15">
        <f>IF(L681="","",IFERROR(INDEX('Почасовка — ставки и план'!$E$5:$E$24,MATCH($D681,'Почасовка — ставки и план'!$A$5:$A$24,0)),""))</f>
        <v>1080</v>
      </c>
      <c r="Q681" s="15">
        <f t="shared" si="61"/>
        <v>135</v>
      </c>
      <c r="R681" s="13" t="str">
        <f>IF(D681="TEX","аренда техники — сделка/счёт",IF(OR(Q681="",H681="",H681=0),"—",IF(Q681&lt;H681*(1-Параметры!$B$7),"почасовка",IF(Q681&gt;H681*(1+Параметры!$B$7),"сделка","любой способ"))))</f>
        <v>почасовка</v>
      </c>
      <c r="S681">
        <v>0</v>
      </c>
      <c r="T681">
        <v>0</v>
      </c>
    </row>
    <row r="682" spans="1:20" x14ac:dyDescent="0.25">
      <c r="A682" s="13" t="s">
        <v>1412</v>
      </c>
      <c r="B682" s="13" t="s">
        <v>1413</v>
      </c>
      <c r="C682" s="13" t="s">
        <v>72</v>
      </c>
      <c r="D682" s="13" t="s">
        <v>200</v>
      </c>
      <c r="E682" s="13" t="str">
        <f>IFERROR(INDEX('Почасовка — ставки и план'!$B$5:$B$24,MATCH(D682,'Почасовка — ставки и план'!$A$5:$A$24,0)),"Аренда техники / механизмы")</f>
        <v>Плиточник / укладчик полов</v>
      </c>
      <c r="F682" s="14">
        <v>1800</v>
      </c>
      <c r="G682" s="14">
        <v>2160</v>
      </c>
      <c r="H682" s="15">
        <v>1000</v>
      </c>
      <c r="I682" s="15">
        <f>IF(OR(H682="",F682=""),"",MAX(H682,MIN(ROUND(H682*(1+Параметры!$B$5),IF(H682*(1+Параметры!$B$5)&gt;=1000,-1,0)),ROUND(F682*Параметры!$B$6,IF(F682*Параметры!$B$6&gt;=1000,-1,0)))))</f>
        <v>1150</v>
      </c>
      <c r="J682" s="15">
        <v>1150</v>
      </c>
      <c r="K682" s="15">
        <f>IF(OR(J682="",G682=""),"",MAX(J682,MIN(ROUND(J682*(1+Параметры!$B$5),IF(J682*(1+Параметры!$B$5)&gt;=1000,-1,0)),ROUND(G682*Параметры!$B$6,IF(G682*Параметры!$B$6&gt;=1000,-1,0)))))</f>
        <v>1320</v>
      </c>
      <c r="L682" s="16">
        <v>1.5</v>
      </c>
      <c r="M682" s="17">
        <f t="shared" si="60"/>
        <v>0.66666666666666663</v>
      </c>
      <c r="N682" s="17">
        <f>IF(OR(L682="",L682=0),"",Параметры!$B$3/L682)</f>
        <v>5.333333333333333</v>
      </c>
      <c r="O682" s="15">
        <f>IF(L682="","",IFERROR(INDEX('Почасовка — ставки и план'!$D$5:$D$24,MATCH($D682,'Почасовка — ставки и план'!$A$5:$A$24,0)),""))</f>
        <v>900</v>
      </c>
      <c r="P682" s="15">
        <f>IF(L682="","",IFERROR(INDEX('Почасовка — ставки и план'!$E$5:$E$24,MATCH($D682,'Почасовка — ставки и план'!$A$5:$A$24,0)),""))</f>
        <v>1080</v>
      </c>
      <c r="Q682" s="15">
        <f t="shared" si="61"/>
        <v>1350</v>
      </c>
      <c r="R682" s="13" t="str">
        <f>IF(D682="TEX","аренда техники — сделка/счёт",IF(OR(Q682="",H682="",H682=0),"—",IF(Q682&lt;H682*(1-Параметры!$B$7),"почасовка",IF(Q682&gt;H682*(1+Параметры!$B$7),"сделка","любой способ"))))</f>
        <v>сделка</v>
      </c>
      <c r="S682">
        <v>0.125</v>
      </c>
      <c r="T682">
        <v>0.1368421052631579</v>
      </c>
    </row>
    <row r="683" spans="1:20" x14ac:dyDescent="0.25">
      <c r="A683" s="13" t="s">
        <v>1414</v>
      </c>
      <c r="B683" s="13" t="s">
        <v>1415</v>
      </c>
      <c r="C683" s="13" t="s">
        <v>69</v>
      </c>
      <c r="D683" s="13" t="s">
        <v>200</v>
      </c>
      <c r="E683" s="13" t="str">
        <f>IFERROR(INDEX('Почасовка — ставки и план'!$B$5:$B$24,MATCH(D683,'Почасовка — ставки и план'!$A$5:$A$24,0)),"Аренда техники / механизмы")</f>
        <v>Плиточник / укладчик полов</v>
      </c>
      <c r="F683" s="14">
        <v>2400</v>
      </c>
      <c r="G683" s="14">
        <v>2800</v>
      </c>
      <c r="H683" s="15">
        <v>1500</v>
      </c>
      <c r="I683" s="15">
        <f>IF(OR(H683="",F683=""),"",MAX(H683,MIN(ROUND(H683*(1+Параметры!$B$5),IF(H683*(1+Параметры!$B$5)&gt;=1000,-1,0)),ROUND(F683*Параметры!$B$6,IF(F683*Параметры!$B$6&gt;=1000,-1,0)))))</f>
        <v>1730</v>
      </c>
      <c r="J683" s="15">
        <v>1750</v>
      </c>
      <c r="K683" s="15">
        <f>IF(OR(J683="",G683=""),"",MAX(J683,MIN(ROUND(J683*(1+Параметры!$B$5),IF(J683*(1+Параметры!$B$5)&gt;=1000,-1,0)),ROUND(G683*Параметры!$B$6,IF(G683*Параметры!$B$6&gt;=1000,-1,0)))))</f>
        <v>2010</v>
      </c>
      <c r="L683" s="16">
        <v>1.5</v>
      </c>
      <c r="M683" s="17">
        <f t="shared" si="60"/>
        <v>0.66666666666666663</v>
      </c>
      <c r="N683" s="17">
        <f>IF(OR(L683="",L683=0),"",Параметры!$B$3/L683)</f>
        <v>5.333333333333333</v>
      </c>
      <c r="O683" s="15">
        <f>IF(L683="","",IFERROR(INDEX('Почасовка — ставки и план'!$D$5:$D$24,MATCH($D683,'Почасовка — ставки и план'!$A$5:$A$24,0)),""))</f>
        <v>900</v>
      </c>
      <c r="P683" s="15">
        <f>IF(L683="","",IFERROR(INDEX('Почасовка — ставки и план'!$E$5:$E$24,MATCH($D683,'Почасовка — ставки и план'!$A$5:$A$24,0)),""))</f>
        <v>1080</v>
      </c>
      <c r="Q683" s="15">
        <f t="shared" si="61"/>
        <v>1350</v>
      </c>
      <c r="R683" s="13" t="str">
        <f>IF(D683="TEX","аренда техники — сделка/счёт",IF(OR(Q683="",H683="",H683=0),"—",IF(Q683&lt;H683*(1-Параметры!$B$7),"почасовка",IF(Q683&gt;H683*(1+Параметры!$B$7),"сделка","любой способ"))))</f>
        <v>любой способ</v>
      </c>
      <c r="S683">
        <v>0</v>
      </c>
      <c r="T683">
        <v>0</v>
      </c>
    </row>
    <row r="684" spans="1:20" x14ac:dyDescent="0.25">
      <c r="A684" s="13" t="s">
        <v>1416</v>
      </c>
      <c r="B684" s="13" t="s">
        <v>1417</v>
      </c>
      <c r="C684" s="13" t="s">
        <v>72</v>
      </c>
      <c r="D684" s="13" t="s">
        <v>162</v>
      </c>
      <c r="E684" s="13" t="str">
        <f>IFERROR(INDEX('Почасовка — ставки и план'!$B$5:$B$24,MATCH(D684,'Почасовка — ставки и план'!$A$5:$A$24,0)),"Аренда техники / механизмы")</f>
        <v>Бетонщик / арматурщик</v>
      </c>
      <c r="F684" s="14">
        <v>600</v>
      </c>
      <c r="G684" s="14">
        <v>700</v>
      </c>
      <c r="H684" s="15">
        <v>370</v>
      </c>
      <c r="I684" s="15">
        <f>IF(OR(H684="",F684=""),"",MAX(H684,MIN(ROUND(H684*(1+Параметры!$B$5),IF(H684*(1+Параметры!$B$5)&gt;=1000,-1,0)),ROUND(F684*Параметры!$B$6,IF(F684*Параметры!$B$6&gt;=1000,-1,0)))))</f>
        <v>426</v>
      </c>
      <c r="J684" s="15">
        <v>430</v>
      </c>
      <c r="K684" s="15">
        <f>IF(OR(J684="",G684=""),"",MAX(J684,MIN(ROUND(J684*(1+Параметры!$B$5),IF(J684*(1+Параметры!$B$5)&gt;=1000,-1,0)),ROUND(G684*Параметры!$B$6,IF(G684*Параметры!$B$6&gt;=1000,-1,0)))))</f>
        <v>495</v>
      </c>
      <c r="L684" s="16">
        <v>0.45</v>
      </c>
      <c r="M684" s="17">
        <f t="shared" si="60"/>
        <v>2.2222222222222223</v>
      </c>
      <c r="N684" s="17">
        <f>IF(OR(L684="",L684=0),"",Параметры!$B$3/L684)</f>
        <v>17.777777777777779</v>
      </c>
      <c r="O684" s="15">
        <f>IF(L684="","",IFERROR(INDEX('Почасовка — ставки и план'!$D$5:$D$24,MATCH($D684,'Почасовка — ставки и план'!$A$5:$A$24,0)),""))</f>
        <v>800</v>
      </c>
      <c r="P684" s="15">
        <f>IF(L684="","",IFERROR(INDEX('Почасовка — ставки и план'!$E$5:$E$24,MATCH($D684,'Почасовка — ставки и план'!$A$5:$A$24,0)),""))</f>
        <v>950</v>
      </c>
      <c r="Q684" s="15">
        <f t="shared" si="61"/>
        <v>360</v>
      </c>
      <c r="R684" s="13" t="str">
        <f>IF(D684="TEX","аренда техники — сделка/счёт",IF(OR(Q684="",H684="",H684=0),"—",IF(Q684&lt;H684*(1-Параметры!$B$7),"почасовка",IF(Q684&gt;H684*(1+Параметры!$B$7),"сделка","любой способ"))))</f>
        <v>любой способ</v>
      </c>
      <c r="S684">
        <v>0</v>
      </c>
      <c r="T684">
        <v>0</v>
      </c>
    </row>
    <row r="685" spans="1:20" x14ac:dyDescent="0.25">
      <c r="A685" s="13" t="s">
        <v>1418</v>
      </c>
      <c r="B685" s="13" t="s">
        <v>1419</v>
      </c>
      <c r="C685" s="13" t="s">
        <v>72</v>
      </c>
      <c r="D685" s="13" t="s">
        <v>162</v>
      </c>
      <c r="E685" s="13" t="str">
        <f>IFERROR(INDEX('Почасовка — ставки и план'!$B$5:$B$24,MATCH(D685,'Почасовка — ставки и план'!$A$5:$A$24,0)),"Аренда техники / механизмы")</f>
        <v>Бетонщик / арматурщик</v>
      </c>
      <c r="F685" s="14">
        <v>660</v>
      </c>
      <c r="G685" s="14">
        <v>770</v>
      </c>
      <c r="H685" s="15">
        <v>400</v>
      </c>
      <c r="I685" s="15">
        <f>IF(OR(H685="",F685=""),"",MAX(H685,MIN(ROUND(H685*(1+Параметры!$B$5),IF(H685*(1+Параметры!$B$5)&gt;=1000,-1,0)),ROUND(F685*Параметры!$B$6,IF(F685*Параметры!$B$6&gt;=1000,-1,0)))))</f>
        <v>460</v>
      </c>
      <c r="J685" s="15">
        <v>470</v>
      </c>
      <c r="K685" s="15">
        <f>IF(OR(J685="",G685=""),"",MAX(J685,MIN(ROUND(J685*(1+Параметры!$B$5),IF(J685*(1+Параметры!$B$5)&gt;=1000,-1,0)),ROUND(G685*Параметры!$B$6,IF(G685*Параметры!$B$6&gt;=1000,-1,0)))))</f>
        <v>541</v>
      </c>
      <c r="L685" s="16">
        <v>0.52</v>
      </c>
      <c r="M685" s="17">
        <f t="shared" si="60"/>
        <v>1.9230769230769229</v>
      </c>
      <c r="N685" s="17">
        <f>IF(OR(L685="",L685=0),"",Параметры!$B$3/L685)</f>
        <v>15.384615384615383</v>
      </c>
      <c r="O685" s="15">
        <f>IF(L685="","",IFERROR(INDEX('Почасовка — ставки и план'!$D$5:$D$24,MATCH($D685,'Почасовка — ставки и план'!$A$5:$A$24,0)),""))</f>
        <v>800</v>
      </c>
      <c r="P685" s="15">
        <f>IF(L685="","",IFERROR(INDEX('Почасовка — ставки и план'!$E$5:$E$24,MATCH($D685,'Почасовка — ставки и план'!$A$5:$A$24,0)),""))</f>
        <v>950</v>
      </c>
      <c r="Q685" s="15">
        <f t="shared" si="61"/>
        <v>416</v>
      </c>
      <c r="R685" s="13" t="str">
        <f>IF(D685="TEX","аренда техники — сделка/счёт",IF(OR(Q685="",H685="",H685=0),"—",IF(Q685&lt;H685*(1-Параметры!$B$7),"почасовка",IF(Q685&gt;H685*(1+Параметры!$B$7),"сделка","любой способ"))))</f>
        <v>любой способ</v>
      </c>
      <c r="S685">
        <v>0</v>
      </c>
      <c r="T685">
        <v>0</v>
      </c>
    </row>
    <row r="686" spans="1:20" x14ac:dyDescent="0.25">
      <c r="A686" s="13" t="s">
        <v>1420</v>
      </c>
      <c r="B686" s="13" t="s">
        <v>1421</v>
      </c>
      <c r="C686" s="13" t="s">
        <v>72</v>
      </c>
      <c r="D686" s="13" t="s">
        <v>162</v>
      </c>
      <c r="E686" s="13" t="str">
        <f>IFERROR(INDEX('Почасовка — ставки и план'!$B$5:$B$24,MATCH(D686,'Почасовка — ставки и план'!$A$5:$A$24,0)),"Аренда техники / механизмы")</f>
        <v>Бетонщик / арматурщик</v>
      </c>
      <c r="F686" s="14">
        <v>720</v>
      </c>
      <c r="G686" s="14">
        <v>840</v>
      </c>
      <c r="H686" s="15">
        <v>440</v>
      </c>
      <c r="I686" s="15">
        <f>IF(OR(H686="",F686=""),"",MAX(H686,MIN(ROUND(H686*(1+Параметры!$B$5),IF(H686*(1+Параметры!$B$5)&gt;=1000,-1,0)),ROUND(F686*Параметры!$B$6,IF(F686*Параметры!$B$6&gt;=1000,-1,0)))))</f>
        <v>506</v>
      </c>
      <c r="J686" s="15">
        <v>510</v>
      </c>
      <c r="K686" s="15">
        <f>IF(OR(J686="",G686=""),"",MAX(J686,MIN(ROUND(J686*(1+Параметры!$B$5),IF(J686*(1+Параметры!$B$5)&gt;=1000,-1,0)),ROUND(G686*Параметры!$B$6,IF(G686*Параметры!$B$6&gt;=1000,-1,0)))))</f>
        <v>587</v>
      </c>
      <c r="L686" s="16">
        <v>0.6</v>
      </c>
      <c r="M686" s="17">
        <f t="shared" si="60"/>
        <v>1.6666666666666667</v>
      </c>
      <c r="N686" s="17">
        <f>IF(OR(L686="",L686=0),"",Параметры!$B$3/L686)</f>
        <v>13.333333333333334</v>
      </c>
      <c r="O686" s="15">
        <f>IF(L686="","",IFERROR(INDEX('Почасовка — ставки и план'!$D$5:$D$24,MATCH($D686,'Почасовка — ставки и план'!$A$5:$A$24,0)),""))</f>
        <v>800</v>
      </c>
      <c r="P686" s="15">
        <f>IF(L686="","",IFERROR(INDEX('Почасовка — ставки и план'!$E$5:$E$24,MATCH($D686,'Почасовка — ставки и план'!$A$5:$A$24,0)),""))</f>
        <v>950</v>
      </c>
      <c r="Q686" s="15">
        <f t="shared" si="61"/>
        <v>480</v>
      </c>
      <c r="R686" s="13" t="str">
        <f>IF(D686="TEX","аренда техники — сделка/счёт",IF(OR(Q686="",H686="",H686=0),"—",IF(Q686&lt;H686*(1-Параметры!$B$7),"почасовка",IF(Q686&gt;H686*(1+Параметры!$B$7),"сделка","любой способ"))))</f>
        <v>любой способ</v>
      </c>
      <c r="S686">
        <v>0</v>
      </c>
      <c r="T686">
        <v>0</v>
      </c>
    </row>
    <row r="687" spans="1:20" x14ac:dyDescent="0.25">
      <c r="A687" s="13" t="s">
        <v>1422</v>
      </c>
      <c r="B687" s="13" t="s">
        <v>1423</v>
      </c>
      <c r="C687" s="13" t="s">
        <v>72</v>
      </c>
      <c r="D687" s="13" t="s">
        <v>162</v>
      </c>
      <c r="E687" s="13" t="str">
        <f>IFERROR(INDEX('Почасовка — ставки и план'!$B$5:$B$24,MATCH(D687,'Почасовка — ставки и план'!$A$5:$A$24,0)),"Аренда техники / механизмы")</f>
        <v>Бетонщик / арматурщик</v>
      </c>
      <c r="F687" s="14">
        <v>780</v>
      </c>
      <c r="G687" s="14">
        <v>910</v>
      </c>
      <c r="H687" s="15">
        <v>480</v>
      </c>
      <c r="I687" s="15">
        <f>IF(OR(H687="",F687=""),"",MAX(H687,MIN(ROUND(H687*(1+Параметры!$B$5),IF(H687*(1+Параметры!$B$5)&gt;=1000,-1,0)),ROUND(F687*Параметры!$B$6,IF(F687*Параметры!$B$6&gt;=1000,-1,0)))))</f>
        <v>552</v>
      </c>
      <c r="J687" s="15">
        <v>560</v>
      </c>
      <c r="K687" s="15">
        <f>IF(OR(J687="",G687=""),"",MAX(J687,MIN(ROUND(J687*(1+Параметры!$B$5),IF(J687*(1+Параметры!$B$5)&gt;=1000,-1,0)),ROUND(G687*Параметры!$B$6,IF(G687*Параметры!$B$6&gt;=1000,-1,0)))))</f>
        <v>644</v>
      </c>
      <c r="L687" s="16">
        <v>0.68</v>
      </c>
      <c r="M687" s="17">
        <f t="shared" si="60"/>
        <v>1.4705882352941175</v>
      </c>
      <c r="N687" s="17">
        <f>IF(OR(L687="",L687=0),"",Параметры!$B$3/L687)</f>
        <v>11.76470588235294</v>
      </c>
      <c r="O687" s="15">
        <f>IF(L687="","",IFERROR(INDEX('Почасовка — ставки и план'!$D$5:$D$24,MATCH($D687,'Почасовка — ставки и план'!$A$5:$A$24,0)),""))</f>
        <v>800</v>
      </c>
      <c r="P687" s="15">
        <f>IF(L687="","",IFERROR(INDEX('Почасовка — ставки и план'!$E$5:$E$24,MATCH($D687,'Почасовка — ставки и план'!$A$5:$A$24,0)),""))</f>
        <v>950</v>
      </c>
      <c r="Q687" s="15">
        <f t="shared" si="61"/>
        <v>544</v>
      </c>
      <c r="R687" s="13" t="str">
        <f>IF(D687="TEX","аренда техники — сделка/счёт",IF(OR(Q687="",H687="",H687=0),"—",IF(Q687&lt;H687*(1-Параметры!$B$7),"почасовка",IF(Q687&gt;H687*(1+Параметры!$B$7),"сделка","любой способ"))))</f>
        <v>сделка</v>
      </c>
      <c r="S687">
        <v>0</v>
      </c>
      <c r="T687">
        <v>0</v>
      </c>
    </row>
    <row r="688" spans="1:20" x14ac:dyDescent="0.25">
      <c r="A688" s="13" t="s">
        <v>1424</v>
      </c>
      <c r="B688" s="13" t="s">
        <v>1425</v>
      </c>
      <c r="C688" s="13" t="s">
        <v>72</v>
      </c>
      <c r="D688" s="13" t="s">
        <v>162</v>
      </c>
      <c r="E688" s="13" t="str">
        <f>IFERROR(INDEX('Почасовка — ставки и план'!$B$5:$B$24,MATCH(D688,'Почасовка — ставки и план'!$A$5:$A$24,0)),"Аренда техники / механизмы")</f>
        <v>Бетонщик / арматурщик</v>
      </c>
      <c r="F688" s="14">
        <v>750</v>
      </c>
      <c r="G688" s="14">
        <v>870</v>
      </c>
      <c r="H688" s="15">
        <v>460</v>
      </c>
      <c r="I688" s="15">
        <f>IF(OR(H688="",F688=""),"",MAX(H688,MIN(ROUND(H688*(1+Параметры!$B$5),IF(H688*(1+Параметры!$B$5)&gt;=1000,-1,0)),ROUND(F688*Параметры!$B$6,IF(F688*Параметры!$B$6&gt;=1000,-1,0)))))</f>
        <v>529</v>
      </c>
      <c r="J688" s="15">
        <v>530</v>
      </c>
      <c r="K688" s="15">
        <f>IF(OR(J688="",G688=""),"",MAX(J688,MIN(ROUND(J688*(1+Параметры!$B$5),IF(J688*(1+Параметры!$B$5)&gt;=1000,-1,0)),ROUND(G688*Параметры!$B$6,IF(G688*Параметры!$B$6&gt;=1000,-1,0)))))</f>
        <v>610</v>
      </c>
      <c r="L688" s="16">
        <v>0.55000000000000004</v>
      </c>
      <c r="M688" s="17">
        <f t="shared" si="60"/>
        <v>1.8181818181818181</v>
      </c>
      <c r="N688" s="17">
        <f>IF(OR(L688="",L688=0),"",Параметры!$B$3/L688)</f>
        <v>14.545454545454545</v>
      </c>
      <c r="O688" s="15">
        <f>IF(L688="","",IFERROR(INDEX('Почасовка — ставки и план'!$D$5:$D$24,MATCH($D688,'Почасовка — ставки и план'!$A$5:$A$24,0)),""))</f>
        <v>800</v>
      </c>
      <c r="P688" s="15">
        <f>IF(L688="","",IFERROR(INDEX('Почасовка — ставки и план'!$E$5:$E$24,MATCH($D688,'Почасовка — ставки и план'!$A$5:$A$24,0)),""))</f>
        <v>950</v>
      </c>
      <c r="Q688" s="15">
        <f t="shared" si="61"/>
        <v>440</v>
      </c>
      <c r="R688" s="13" t="str">
        <f>IF(D688="TEX","аренда техники — сделка/счёт",IF(OR(Q688="",H688="",H688=0),"—",IF(Q688&lt;H688*(1-Параметры!$B$7),"почасовка",IF(Q688&gt;H688*(1+Параметры!$B$7),"сделка","любой способ"))))</f>
        <v>любой способ</v>
      </c>
      <c r="S688">
        <v>0</v>
      </c>
      <c r="T688">
        <v>0</v>
      </c>
    </row>
    <row r="689" spans="1:20" x14ac:dyDescent="0.25">
      <c r="A689" s="13" t="s">
        <v>1426</v>
      </c>
      <c r="B689" s="13" t="s">
        <v>1427</v>
      </c>
      <c r="C689" s="13" t="s">
        <v>69</v>
      </c>
      <c r="D689" s="13" t="s">
        <v>208</v>
      </c>
      <c r="E689" s="13" t="str">
        <f>IFERROR(INDEX('Почасовка — ставки и план'!$B$5:$B$24,MATCH(D689,'Почасовка — ставки и план'!$A$5:$A$24,0)),"Аренда техники / механизмы")</f>
        <v>Отделочник (штукатур, маляр, ГКЛ)</v>
      </c>
      <c r="F689" s="14">
        <v>150</v>
      </c>
      <c r="G689" s="14">
        <v>180</v>
      </c>
      <c r="H689" s="15">
        <v>70</v>
      </c>
      <c r="I689" s="15">
        <f>IF(OR(H689="",F689=""),"",MAX(H689,MIN(ROUND(H689*(1+Параметры!$B$5),IF(H689*(1+Параметры!$B$5)&gt;=1000,-1,0)),ROUND(F689*Параметры!$B$6,IF(F689*Параметры!$B$6&gt;=1000,-1,0)))))</f>
        <v>81</v>
      </c>
      <c r="J689" s="15">
        <v>80</v>
      </c>
      <c r="K689" s="15">
        <f>IF(OR(J689="",G689=""),"",MAX(J689,MIN(ROUND(J689*(1+Параметры!$B$5),IF(J689*(1+Параметры!$B$5)&gt;=1000,-1,0)),ROUND(G689*Параметры!$B$6,IF(G689*Параметры!$B$6&gt;=1000,-1,0)))))</f>
        <v>92</v>
      </c>
      <c r="L689" s="16">
        <v>0.06</v>
      </c>
      <c r="M689" s="17">
        <f t="shared" si="60"/>
        <v>16.666666666666668</v>
      </c>
      <c r="N689" s="17">
        <f>IF(OR(L689="",L689=0),"",Параметры!$B$3/L689)</f>
        <v>133.33333333333334</v>
      </c>
      <c r="O689" s="15">
        <f>IF(L689="","",IFERROR(INDEX('Почасовка — ставки и план'!$D$5:$D$24,MATCH($D689,'Почасовка — ставки и план'!$A$5:$A$24,0)),""))</f>
        <v>750</v>
      </c>
      <c r="P689" s="15">
        <f>IF(L689="","",IFERROR(INDEX('Почасовка — ставки и план'!$E$5:$E$24,MATCH($D689,'Почасовка — ставки и план'!$A$5:$A$24,0)),""))</f>
        <v>900</v>
      </c>
      <c r="Q689" s="15">
        <f t="shared" si="61"/>
        <v>45</v>
      </c>
      <c r="R689" s="13" t="str">
        <f>IF(D689="TEX","аренда техники — сделка/счёт",IF(OR(Q689="",H689="",H689=0),"—",IF(Q689&lt;H689*(1-Параметры!$B$7),"почасовка",IF(Q689&gt;H689*(1+Параметры!$B$7),"сделка","любой способ"))))</f>
        <v>почасовка</v>
      </c>
      <c r="S689">
        <v>0</v>
      </c>
      <c r="T689">
        <v>0</v>
      </c>
    </row>
    <row r="690" spans="1:20" x14ac:dyDescent="0.25">
      <c r="A690" s="18" t="s">
        <v>1428</v>
      </c>
      <c r="B690" s="13" t="s">
        <v>1429</v>
      </c>
      <c r="C690" s="13" t="s">
        <v>72</v>
      </c>
      <c r="D690" s="13" t="s">
        <v>60</v>
      </c>
      <c r="E690" s="13" t="str">
        <f>IFERROR(INDEX('Почасовка — ставки и план'!$B$5:$B$24,MATCH(D690,'Почасовка — ставки и план'!$A$5:$A$24,0)),"Аренда техники / механизмы")</f>
        <v>Разнорабочий / демонтажник</v>
      </c>
      <c r="F690" s="14">
        <v>367</v>
      </c>
      <c r="G690" s="14">
        <v>440</v>
      </c>
      <c r="H690" s="15">
        <v>210</v>
      </c>
      <c r="I690" s="15">
        <f>IF(OR(H690="",F690=""),"",MAX(H690,MIN(ROUND(H690*(1+Параметры!$B$5),IF(H690*(1+Параметры!$B$5)&gt;=1000,-1,0)),ROUND(F690*Параметры!$B$6,IF(F690*Параметры!$B$6&gt;=1000,-1,0)))))</f>
        <v>242</v>
      </c>
      <c r="J690" s="15">
        <v>240</v>
      </c>
      <c r="K690" s="15">
        <f>IF(OR(J690="",G690=""),"",MAX(J690,MIN(ROUND(J690*(1+Параметры!$B$5),IF(J690*(1+Параметры!$B$5)&gt;=1000,-1,0)),ROUND(G690*Параметры!$B$6,IF(G690*Параметры!$B$6&gt;=1000,-1,0)))))</f>
        <v>276</v>
      </c>
      <c r="L690" s="16">
        <v>0.5</v>
      </c>
      <c r="M690" s="17">
        <f t="shared" si="60"/>
        <v>2</v>
      </c>
      <c r="N690" s="17">
        <f>IF(OR(L690="",L690=0),"",Параметры!$B$3/L690)</f>
        <v>16</v>
      </c>
      <c r="O690" s="15">
        <f>IF(L690="","",IFERROR(INDEX('Почасовка — ставки и план'!$D$5:$D$24,MATCH($D690,'Почасовка — ставки и план'!$A$5:$A$24,0)),""))</f>
        <v>550</v>
      </c>
      <c r="P690" s="15">
        <f>IF(L690="","",IFERROR(INDEX('Почасовка — ставки и план'!$E$5:$E$24,MATCH($D690,'Почасовка — ставки и план'!$A$5:$A$24,0)),""))</f>
        <v>660</v>
      </c>
      <c r="Q690" s="15">
        <f t="shared" si="61"/>
        <v>275</v>
      </c>
      <c r="R690" s="13" t="str">
        <f>IF(D690="TEX","аренда техники — сделка/счёт",IF(OR(Q690="",H690="",H690=0),"—",IF(Q690&lt;H690*(1-Параметры!$B$7),"почасовка",IF(Q690&gt;H690*(1+Параметры!$B$7),"сделка","любой способ"))))</f>
        <v>сделка</v>
      </c>
      <c r="S690">
        <v>4.8571428571428488E-2</v>
      </c>
      <c r="T690">
        <v>0.1000000000000001</v>
      </c>
    </row>
    <row r="691" spans="1:20" x14ac:dyDescent="0.25">
      <c r="A691" s="18" t="s">
        <v>1430</v>
      </c>
      <c r="B691" s="13" t="s">
        <v>1431</v>
      </c>
      <c r="C691" s="13" t="s">
        <v>72</v>
      </c>
      <c r="D691" s="13" t="s">
        <v>60</v>
      </c>
      <c r="E691" s="13" t="str">
        <f>IFERROR(INDEX('Почасовка — ставки и план'!$B$5:$B$24,MATCH(D691,'Почасовка — ставки и план'!$A$5:$A$24,0)),"Аренда техники / механизмы")</f>
        <v>Разнорабочий / демонтажник</v>
      </c>
      <c r="F691" s="14">
        <v>80</v>
      </c>
      <c r="G691" s="14">
        <v>95</v>
      </c>
      <c r="H691" s="15">
        <v>50</v>
      </c>
      <c r="I691" s="15">
        <f>IF(OR(H691="",F691=""),"",MAX(H691,MIN(ROUND(H691*(1+Параметры!$B$5),IF(H691*(1+Параметры!$B$5)&gt;=1000,-1,0)),ROUND(F691*Параметры!$B$6,IF(F691*Параметры!$B$6&gt;=1000,-1,0)))))</f>
        <v>58</v>
      </c>
      <c r="J691" s="15">
        <v>55</v>
      </c>
      <c r="K691" s="15">
        <f>IF(OR(J691="",G691=""),"",MAX(J691,MIN(ROUND(J691*(1+Параметры!$B$5),IF(J691*(1+Параметры!$B$5)&gt;=1000,-1,0)),ROUND(G691*Параметры!$B$6,IF(G691*Параметры!$B$6&gt;=1000,-1,0)))))</f>
        <v>63</v>
      </c>
      <c r="L691" s="16">
        <v>0.08</v>
      </c>
      <c r="M691" s="17">
        <f t="shared" si="60"/>
        <v>12.5</v>
      </c>
      <c r="N691" s="17">
        <f>IF(OR(L691="",L691=0),"",Параметры!$B$3/L691)</f>
        <v>100</v>
      </c>
      <c r="O691" s="15">
        <f>IF(L691="","",IFERROR(INDEX('Почасовка — ставки и план'!$D$5:$D$24,MATCH($D691,'Почасовка — ставки и план'!$A$5:$A$24,0)),""))</f>
        <v>550</v>
      </c>
      <c r="P691" s="15">
        <f>IF(L691="","",IFERROR(INDEX('Почасовка — ставки и план'!$E$5:$E$24,MATCH($D691,'Почасовка — ставки и план'!$A$5:$A$24,0)),""))</f>
        <v>660</v>
      </c>
      <c r="Q691" s="15">
        <f t="shared" si="61"/>
        <v>44</v>
      </c>
      <c r="R691" s="13" t="str">
        <f>IF(D691="TEX","аренда техники — сделка/счёт",IF(OR(Q691="",H691="",H691=0),"—",IF(Q691&lt;H691*(1-Параметры!$B$7),"почасовка",IF(Q691&gt;H691*(1+Параметры!$B$7),"сделка","любой способ"))))</f>
        <v>почасовка</v>
      </c>
      <c r="S691">
        <v>0</v>
      </c>
      <c r="T691">
        <v>0</v>
      </c>
    </row>
    <row r="692" spans="1:20" x14ac:dyDescent="0.25">
      <c r="A692" s="18" t="s">
        <v>1432</v>
      </c>
      <c r="B692" s="13" t="s">
        <v>1433</v>
      </c>
      <c r="C692" s="13" t="s">
        <v>72</v>
      </c>
      <c r="D692" s="13" t="s">
        <v>200</v>
      </c>
      <c r="E692" s="13" t="str">
        <f>IFERROR(INDEX('Почасовка — ставки и план'!$B$5:$B$24,MATCH(D692,'Почасовка — ставки и план'!$A$5:$A$24,0)),"Аренда техники / механизмы")</f>
        <v>Плиточник / укладчик полов</v>
      </c>
      <c r="F692" s="14">
        <v>300</v>
      </c>
      <c r="G692" s="14">
        <v>350</v>
      </c>
      <c r="H692" s="15">
        <v>180</v>
      </c>
      <c r="I692" s="15">
        <f>IF(OR(H692="",F692=""),"",MAX(H692,MIN(ROUND(H692*(1+Параметры!$B$5),IF(H692*(1+Параметры!$B$5)&gt;=1000,-1,0)),ROUND(F692*Параметры!$B$6,IF(F692*Параметры!$B$6&gt;=1000,-1,0)))))</f>
        <v>207</v>
      </c>
      <c r="J692" s="15">
        <v>210</v>
      </c>
      <c r="K692" s="15">
        <f>IF(OR(J692="",G692=""),"",MAX(J692,MIN(ROUND(J692*(1+Параметры!$B$5),IF(J692*(1+Параметры!$B$5)&gt;=1000,-1,0)),ROUND(G692*Параметры!$B$6,IF(G692*Параметры!$B$6&gt;=1000,-1,0)))))</f>
        <v>242</v>
      </c>
      <c r="L692" s="16">
        <v>0.15</v>
      </c>
      <c r="M692" s="17">
        <f t="shared" si="60"/>
        <v>6.666666666666667</v>
      </c>
      <c r="N692" s="17">
        <f>IF(OR(L692="",L692=0),"",Параметры!$B$3/L692)</f>
        <v>53.333333333333336</v>
      </c>
      <c r="O692" s="15">
        <f>IF(L692="","",IFERROR(INDEX('Почасовка — ставки и план'!$D$5:$D$24,MATCH($D692,'Почасовка — ставки и план'!$A$5:$A$24,0)),""))</f>
        <v>900</v>
      </c>
      <c r="P692" s="15">
        <f>IF(L692="","",IFERROR(INDEX('Почасовка — ставки и план'!$E$5:$E$24,MATCH($D692,'Почасовка — ставки и план'!$A$5:$A$24,0)),""))</f>
        <v>1080</v>
      </c>
      <c r="Q692" s="15">
        <f t="shared" si="61"/>
        <v>135</v>
      </c>
      <c r="R692" s="13" t="str">
        <f>IF(D692="TEX","аренда техники — сделка/счёт",IF(OR(Q692="",H692="",H692=0),"—",IF(Q692&lt;H692*(1-Параметры!$B$7),"почасовка",IF(Q692&gt;H692*(1+Параметры!$B$7),"сделка","любой способ"))))</f>
        <v>почасовка</v>
      </c>
      <c r="S692">
        <v>0</v>
      </c>
      <c r="T692">
        <v>0</v>
      </c>
    </row>
    <row r="693" spans="1:20" x14ac:dyDescent="0.25">
      <c r="A693" s="18" t="s">
        <v>1434</v>
      </c>
      <c r="B693" s="13" t="s">
        <v>1435</v>
      </c>
      <c r="C693" s="13" t="s">
        <v>69</v>
      </c>
      <c r="D693" s="13" t="s">
        <v>200</v>
      </c>
      <c r="E693" s="13" t="str">
        <f>IFERROR(INDEX('Почасовка — ставки и план'!$B$5:$B$24,MATCH(D693,'Почасовка — ставки и план'!$A$5:$A$24,0)),"Аренда техники / механизмы")</f>
        <v>Плиточник / укладчик полов</v>
      </c>
      <c r="F693" s="14">
        <v>150</v>
      </c>
      <c r="G693" s="14">
        <v>180</v>
      </c>
      <c r="H693" s="15">
        <v>90</v>
      </c>
      <c r="I693" s="15">
        <f>IF(OR(H693="",F693=""),"",MAX(H693,MIN(ROUND(H693*(1+Параметры!$B$5),IF(H693*(1+Параметры!$B$5)&gt;=1000,-1,0)),ROUND(F693*Параметры!$B$6,IF(F693*Параметры!$B$6&gt;=1000,-1,0)))))</f>
        <v>104</v>
      </c>
      <c r="J693" s="15">
        <v>105</v>
      </c>
      <c r="K693" s="15">
        <f>IF(OR(J693="",G693=""),"",MAX(J693,MIN(ROUND(J693*(1+Параметры!$B$5),IF(J693*(1+Параметры!$B$5)&gt;=1000,-1,0)),ROUND(G693*Параметры!$B$6,IF(G693*Параметры!$B$6&gt;=1000,-1,0)))))</f>
        <v>121</v>
      </c>
      <c r="L693" s="16">
        <v>0.05</v>
      </c>
      <c r="M693" s="17">
        <f t="shared" si="60"/>
        <v>20</v>
      </c>
      <c r="N693" s="17">
        <f>IF(OR(L693="",L693=0),"",Параметры!$B$3/L693)</f>
        <v>160</v>
      </c>
      <c r="O693" s="15">
        <f>IF(L693="","",IFERROR(INDEX('Почасовка — ставки и план'!$D$5:$D$24,MATCH($D693,'Почасовка — ставки и план'!$A$5:$A$24,0)),""))</f>
        <v>900</v>
      </c>
      <c r="P693" s="15">
        <f>IF(L693="","",IFERROR(INDEX('Почасовка — ставки и план'!$E$5:$E$24,MATCH($D693,'Почасовка — ставки и план'!$A$5:$A$24,0)),""))</f>
        <v>1080</v>
      </c>
      <c r="Q693" s="15">
        <f t="shared" si="61"/>
        <v>45</v>
      </c>
      <c r="R693" s="13" t="str">
        <f>IF(D693="TEX","аренда техники — сделка/счёт",IF(OR(Q693="",H693="",H693=0),"—",IF(Q693&lt;H693*(1-Параметры!$B$7),"почасовка",IF(Q693&gt;H693*(1+Параметры!$B$7),"сделка","любой способ"))))</f>
        <v>почасовка</v>
      </c>
      <c r="S693">
        <v>0</v>
      </c>
      <c r="T693">
        <v>0</v>
      </c>
    </row>
    <row r="694" spans="1:20" x14ac:dyDescent="0.25">
      <c r="A694" s="18" t="s">
        <v>1436</v>
      </c>
      <c r="B694" s="13" t="s">
        <v>1437</v>
      </c>
      <c r="C694" s="13" t="s">
        <v>72</v>
      </c>
      <c r="D694" s="13" t="s">
        <v>200</v>
      </c>
      <c r="E694" s="13" t="str">
        <f>IFERROR(INDEX('Почасовка — ставки и план'!$B$5:$B$24,MATCH(D694,'Почасовка — ставки и план'!$A$5:$A$24,0)),"Аренда техники / механизмы")</f>
        <v>Плиточник / укладчик полов</v>
      </c>
      <c r="F694" s="14">
        <v>350</v>
      </c>
      <c r="G694" s="14">
        <v>400</v>
      </c>
      <c r="H694" s="15">
        <v>210</v>
      </c>
      <c r="I694" s="15">
        <f>IF(OR(H694="",F694=""),"",MAX(H694,MIN(ROUND(H694*(1+Параметры!$B$5),IF(H694*(1+Параметры!$B$5)&gt;=1000,-1,0)),ROUND(F694*Параметры!$B$6,IF(F694*Параметры!$B$6&gt;=1000,-1,0)))))</f>
        <v>242</v>
      </c>
      <c r="J694" s="15">
        <v>240</v>
      </c>
      <c r="K694" s="15">
        <f>IF(OR(J694="",G694=""),"",MAX(J694,MIN(ROUND(J694*(1+Параметры!$B$5),IF(J694*(1+Параметры!$B$5)&gt;=1000,-1,0)),ROUND(G694*Параметры!$B$6,IF(G694*Параметры!$B$6&gt;=1000,-1,0)))))</f>
        <v>276</v>
      </c>
      <c r="L694" s="16">
        <v>0.15</v>
      </c>
      <c r="M694" s="17">
        <f t="shared" si="60"/>
        <v>6.666666666666667</v>
      </c>
      <c r="N694" s="17">
        <f>IF(OR(L694="",L694=0),"",Параметры!$B$3/L694)</f>
        <v>53.333333333333336</v>
      </c>
      <c r="O694" s="15">
        <f>IF(L694="","",IFERROR(INDEX('Почасовка — ставки и план'!$D$5:$D$24,MATCH($D694,'Почасовка — ставки и план'!$A$5:$A$24,0)),""))</f>
        <v>900</v>
      </c>
      <c r="P694" s="15">
        <f>IF(L694="","",IFERROR(INDEX('Почасовка — ставки и план'!$E$5:$E$24,MATCH($D694,'Почасовка — ставки и план'!$A$5:$A$24,0)),""))</f>
        <v>1080</v>
      </c>
      <c r="Q694" s="15">
        <f t="shared" si="61"/>
        <v>135</v>
      </c>
      <c r="R694" s="13" t="str">
        <f>IF(D694="TEX","аренда техники — сделка/счёт",IF(OR(Q694="",H694="",H694=0),"—",IF(Q694&lt;H694*(1-Параметры!$B$7),"почасовка",IF(Q694&gt;H694*(1+Параметры!$B$7),"сделка","любой способ"))))</f>
        <v>почасовка</v>
      </c>
      <c r="S694">
        <v>0</v>
      </c>
      <c r="T694">
        <v>0</v>
      </c>
    </row>
    <row r="695" spans="1:20" x14ac:dyDescent="0.25">
      <c r="A695" s="18" t="s">
        <v>1438</v>
      </c>
      <c r="B695" s="13" t="s">
        <v>1439</v>
      </c>
      <c r="C695" s="13" t="s">
        <v>72</v>
      </c>
      <c r="D695" s="13" t="s">
        <v>162</v>
      </c>
      <c r="E695" s="13" t="str">
        <f>IFERROR(INDEX('Почасовка — ставки и план'!$B$5:$B$24,MATCH(D695,'Почасовка — ставки и план'!$A$5:$A$24,0)),"Аренда техники / механизмы")</f>
        <v>Бетонщик / арматурщик</v>
      </c>
      <c r="F695" s="14">
        <v>500</v>
      </c>
      <c r="G695" s="14">
        <v>580</v>
      </c>
      <c r="H695" s="15">
        <v>300</v>
      </c>
      <c r="I695" s="15">
        <f>IF(OR(H695="",F695=""),"",MAX(H695,MIN(ROUND(H695*(1+Параметры!$B$5),IF(H695*(1+Параметры!$B$5)&gt;=1000,-1,0)),ROUND(F695*Параметры!$B$6,IF(F695*Параметры!$B$6&gt;=1000,-1,0)))))</f>
        <v>345</v>
      </c>
      <c r="J695" s="15">
        <v>350</v>
      </c>
      <c r="K695" s="15">
        <f>IF(OR(J695="",G695=""),"",MAX(J695,MIN(ROUND(J695*(1+Параметры!$B$5),IF(J695*(1+Параметры!$B$5)&gt;=1000,-1,0)),ROUND(G695*Параметры!$B$6,IF(G695*Параметры!$B$6&gt;=1000,-1,0)))))</f>
        <v>403</v>
      </c>
      <c r="L695" s="16">
        <v>0.2</v>
      </c>
      <c r="M695" s="17">
        <f t="shared" si="60"/>
        <v>5</v>
      </c>
      <c r="N695" s="17">
        <f>IF(OR(L695="",L695=0),"",Параметры!$B$3/L695)</f>
        <v>40</v>
      </c>
      <c r="O695" s="15">
        <f>IF(L695="","",IFERROR(INDEX('Почасовка — ставки и план'!$D$5:$D$24,MATCH($D695,'Почасовка — ставки и план'!$A$5:$A$24,0)),""))</f>
        <v>800</v>
      </c>
      <c r="P695" s="15">
        <f>IF(L695="","",IFERROR(INDEX('Почасовка — ставки и план'!$E$5:$E$24,MATCH($D695,'Почасовка — ставки и план'!$A$5:$A$24,0)),""))</f>
        <v>950</v>
      </c>
      <c r="Q695" s="15">
        <f t="shared" si="61"/>
        <v>160</v>
      </c>
      <c r="R695" s="13" t="str">
        <f>IF(D695="TEX","аренда техники — сделка/счёт",IF(OR(Q695="",H695="",H695=0),"—",IF(Q695&lt;H695*(1-Параметры!$B$7),"почасовка",IF(Q695&gt;H695*(1+Параметры!$B$7),"сделка","любой способ"))))</f>
        <v>почасовка</v>
      </c>
      <c r="S695">
        <v>0</v>
      </c>
      <c r="T695">
        <v>0</v>
      </c>
    </row>
    <row r="696" spans="1:20" x14ac:dyDescent="0.25">
      <c r="A696" s="18" t="s">
        <v>1440</v>
      </c>
      <c r="B696" s="13" t="s">
        <v>1441</v>
      </c>
      <c r="C696" s="13" t="s">
        <v>72</v>
      </c>
      <c r="D696" s="13" t="s">
        <v>162</v>
      </c>
      <c r="E696" s="13" t="str">
        <f>IFERROR(INDEX('Почасовка — ставки и план'!$B$5:$B$24,MATCH(D696,'Почасовка — ставки и план'!$A$5:$A$24,0)),"Аренда техники / механизмы")</f>
        <v>Бетонщик / арматурщик</v>
      </c>
      <c r="F696" s="14">
        <v>80</v>
      </c>
      <c r="G696" s="14">
        <v>95</v>
      </c>
      <c r="H696" s="15">
        <v>50</v>
      </c>
      <c r="I696" s="15">
        <f>IF(OR(H696="",F696=""),"",MAX(H696,MIN(ROUND(H696*(1+Параметры!$B$5),IF(H696*(1+Параметры!$B$5)&gt;=1000,-1,0)),ROUND(F696*Параметры!$B$6,IF(F696*Параметры!$B$6&gt;=1000,-1,0)))))</f>
        <v>58</v>
      </c>
      <c r="J696" s="15">
        <v>55</v>
      </c>
      <c r="K696" s="15">
        <f>IF(OR(J696="",G696=""),"",MAX(J696,MIN(ROUND(J696*(1+Параметры!$B$5),IF(J696*(1+Параметры!$B$5)&gt;=1000,-1,0)),ROUND(G696*Параметры!$B$6,IF(G696*Параметры!$B$6&gt;=1000,-1,0)))))</f>
        <v>63</v>
      </c>
      <c r="L696" s="16">
        <v>0.04</v>
      </c>
      <c r="M696" s="17">
        <f t="shared" si="60"/>
        <v>25</v>
      </c>
      <c r="N696" s="17">
        <f>IF(OR(L696="",L696=0),"",Параметры!$B$3/L696)</f>
        <v>200</v>
      </c>
      <c r="O696" s="15">
        <f>IF(L696="","",IFERROR(INDEX('Почасовка — ставки и план'!$D$5:$D$24,MATCH($D696,'Почасовка — ставки и план'!$A$5:$A$24,0)),""))</f>
        <v>800</v>
      </c>
      <c r="P696" s="15">
        <f>IF(L696="","",IFERROR(INDEX('Почасовка — ставки и план'!$E$5:$E$24,MATCH($D696,'Почасовка — ставки и план'!$A$5:$A$24,0)),""))</f>
        <v>950</v>
      </c>
      <c r="Q696" s="15">
        <f t="shared" si="61"/>
        <v>32</v>
      </c>
      <c r="R696" s="13" t="str">
        <f>IF(D696="TEX","аренда техники — сделка/счёт",IF(OR(Q696="",H696="",H696=0),"—",IF(Q696&lt;H696*(1-Параметры!$B$7),"почасовка",IF(Q696&gt;H696*(1+Параметры!$B$7),"сделка","любой способ"))))</f>
        <v>почасовка</v>
      </c>
      <c r="S696">
        <v>0</v>
      </c>
      <c r="T696">
        <v>0</v>
      </c>
    </row>
    <row r="697" spans="1:20" x14ac:dyDescent="0.25">
      <c r="A697" s="18" t="s">
        <v>1442</v>
      </c>
      <c r="B697" s="13" t="s">
        <v>1443</v>
      </c>
      <c r="C697" s="13" t="s">
        <v>72</v>
      </c>
      <c r="D697" s="13" t="s">
        <v>162</v>
      </c>
      <c r="E697" s="13" t="str">
        <f>IFERROR(INDEX('Почасовка — ставки и план'!$B$5:$B$24,MATCH(D697,'Почасовка — ставки и план'!$A$5:$A$24,0)),"Аренда техники / механизмы")</f>
        <v>Бетонщик / арматурщик</v>
      </c>
      <c r="F697" s="14">
        <v>1200</v>
      </c>
      <c r="G697" s="14">
        <v>1400</v>
      </c>
      <c r="H697" s="15">
        <v>720</v>
      </c>
      <c r="I697" s="15">
        <f>IF(OR(H697="",F697=""),"",MAX(H697,MIN(ROUND(H697*(1+Параметры!$B$5),IF(H697*(1+Параметры!$B$5)&gt;=1000,-1,0)),ROUND(F697*Параметры!$B$6,IF(F697*Параметры!$B$6&gt;=1000,-1,0)))))</f>
        <v>828</v>
      </c>
      <c r="J697" s="15">
        <v>830</v>
      </c>
      <c r="K697" s="15">
        <f>IF(OR(J697="",G697=""),"",MAX(J697,MIN(ROUND(J697*(1+Параметры!$B$5),IF(J697*(1+Параметры!$B$5)&gt;=1000,-1,0)),ROUND(G697*Параметры!$B$6,IF(G697*Параметры!$B$6&gt;=1000,-1,0)))))</f>
        <v>955</v>
      </c>
      <c r="L697" s="16">
        <v>1</v>
      </c>
      <c r="M697" s="17">
        <f t="shared" si="60"/>
        <v>1</v>
      </c>
      <c r="N697" s="17">
        <f>IF(OR(L697="",L697=0),"",Параметры!$B$3/L697)</f>
        <v>8</v>
      </c>
      <c r="O697" s="15">
        <f>IF(L697="","",IFERROR(INDEX('Почасовка — ставки и план'!$D$5:$D$24,MATCH($D697,'Почасовка — ставки и план'!$A$5:$A$24,0)),""))</f>
        <v>800</v>
      </c>
      <c r="P697" s="15">
        <f>IF(L697="","",IFERROR(INDEX('Почасовка — ставки и план'!$E$5:$E$24,MATCH($D697,'Почасовка — ставки и план'!$A$5:$A$24,0)),""))</f>
        <v>950</v>
      </c>
      <c r="Q697" s="15">
        <f t="shared" si="61"/>
        <v>800</v>
      </c>
      <c r="R697" s="13" t="str">
        <f>IF(D697="TEX","аренда техники — сделка/счёт",IF(OR(Q697="",H697="",H697=0),"—",IF(Q697&lt;H697*(1-Параметры!$B$7),"почасовка",IF(Q697&gt;H697*(1+Параметры!$B$7),"сделка","любой способ"))))</f>
        <v>сделка</v>
      </c>
      <c r="S697">
        <v>0</v>
      </c>
      <c r="T697">
        <v>0</v>
      </c>
    </row>
    <row r="698" spans="1:20" x14ac:dyDescent="0.25">
      <c r="A698" s="18" t="s">
        <v>1444</v>
      </c>
      <c r="B698" s="13" t="s">
        <v>1445</v>
      </c>
      <c r="C698" s="13" t="s">
        <v>72</v>
      </c>
      <c r="D698" s="13" t="s">
        <v>208</v>
      </c>
      <c r="E698" s="13" t="str">
        <f>IFERROR(INDEX('Почасовка — ставки и план'!$B$5:$B$24,MATCH(D698,'Почасовка — ставки и план'!$A$5:$A$24,0)),"Аренда техники / механизмы")</f>
        <v>Отделочник (штукатур, маляр, ГКЛ)</v>
      </c>
      <c r="F698" s="14">
        <v>480</v>
      </c>
      <c r="G698" s="14">
        <v>550</v>
      </c>
      <c r="H698" s="15">
        <v>290</v>
      </c>
      <c r="I698" s="15">
        <f>IF(OR(H698="",F698=""),"",MAX(H698,MIN(ROUND(H698*(1+Параметры!$B$5),IF(H698*(1+Параметры!$B$5)&gt;=1000,-1,0)),ROUND(F698*Параметры!$B$6,IF(F698*Параметры!$B$6&gt;=1000,-1,0)))))</f>
        <v>334</v>
      </c>
      <c r="J698" s="15">
        <v>330</v>
      </c>
      <c r="K698" s="15">
        <f>IF(OR(J698="",G698=""),"",MAX(J698,MIN(ROUND(J698*(1+Параметры!$B$5),IF(J698*(1+Параметры!$B$5)&gt;=1000,-1,0)),ROUND(G698*Параметры!$B$6,IF(G698*Параметры!$B$6&gt;=1000,-1,0)))))</f>
        <v>380</v>
      </c>
      <c r="L698" s="16">
        <v>0.3</v>
      </c>
      <c r="M698" s="17">
        <f t="shared" si="60"/>
        <v>3.3333333333333335</v>
      </c>
      <c r="N698" s="17">
        <f>IF(OR(L698="",L698=0),"",Параметры!$B$3/L698)</f>
        <v>26.666666666666668</v>
      </c>
      <c r="O698" s="15">
        <f>IF(L698="","",IFERROR(INDEX('Почасовка — ставки и план'!$D$5:$D$24,MATCH($D698,'Почасовка — ставки и план'!$A$5:$A$24,0)),""))</f>
        <v>750</v>
      </c>
      <c r="P698" s="15">
        <f>IF(L698="","",IFERROR(INDEX('Почасовка — ставки и план'!$E$5:$E$24,MATCH($D698,'Почасовка — ставки и план'!$A$5:$A$24,0)),""))</f>
        <v>900</v>
      </c>
      <c r="Q698" s="15">
        <f t="shared" si="61"/>
        <v>225</v>
      </c>
      <c r="R698" s="13" t="str">
        <f>IF(D698="TEX","аренда техники — сделка/счёт",IF(OR(Q698="",H698="",H698=0),"—",IF(Q698&lt;H698*(1-Параметры!$B$7),"почасовка",IF(Q698&gt;H698*(1+Параметры!$B$7),"сделка","любой способ"))))</f>
        <v>почасовка</v>
      </c>
      <c r="S698">
        <v>0</v>
      </c>
      <c r="T698">
        <v>0</v>
      </c>
    </row>
    <row r="699" spans="1:20" x14ac:dyDescent="0.25">
      <c r="A699" s="18" t="s">
        <v>1446</v>
      </c>
      <c r="B699" s="13" t="s">
        <v>1447</v>
      </c>
      <c r="C699" s="13" t="s">
        <v>69</v>
      </c>
      <c r="D699" s="13" t="s">
        <v>208</v>
      </c>
      <c r="E699" s="13" t="str">
        <f>IFERROR(INDEX('Почасовка — ставки и план'!$B$5:$B$24,MATCH(D699,'Почасовка — ставки и план'!$A$5:$A$24,0)),"Аренда техники / механизмы")</f>
        <v>Отделочник (штукатур, маляр, ГКЛ)</v>
      </c>
      <c r="F699" s="14">
        <v>60</v>
      </c>
      <c r="G699" s="14">
        <v>70</v>
      </c>
      <c r="H699" s="15">
        <v>35</v>
      </c>
      <c r="I699" s="15">
        <f>IF(OR(H699="",F699=""),"",MAX(H699,MIN(ROUND(H699*(1+Параметры!$B$5),IF(H699*(1+Параметры!$B$5)&gt;=1000,-1,0)),ROUND(F699*Параметры!$B$6,IF(F699*Параметры!$B$6&gt;=1000,-1,0)))))</f>
        <v>40</v>
      </c>
      <c r="J699" s="15">
        <v>42</v>
      </c>
      <c r="K699" s="15">
        <f>IF(OR(J699="",G699=""),"",MAX(J699,MIN(ROUND(J699*(1+Параметры!$B$5),IF(J699*(1+Параметры!$B$5)&gt;=1000,-1,0)),ROUND(G699*Параметры!$B$6,IF(G699*Параметры!$B$6&gt;=1000,-1,0)))))</f>
        <v>48</v>
      </c>
      <c r="L699" s="16">
        <v>0.03</v>
      </c>
      <c r="M699" s="17">
        <f t="shared" si="60"/>
        <v>33.333333333333336</v>
      </c>
      <c r="N699" s="17">
        <f>IF(OR(L699="",L699=0),"",Параметры!$B$3/L699)</f>
        <v>266.66666666666669</v>
      </c>
      <c r="O699" s="15">
        <f>IF(L699="","",IFERROR(INDEX('Почасовка — ставки и план'!$D$5:$D$24,MATCH($D699,'Почасовка — ставки и план'!$A$5:$A$24,0)),""))</f>
        <v>750</v>
      </c>
      <c r="P699" s="15">
        <f>IF(L699="","",IFERROR(INDEX('Почасовка — ставки и план'!$E$5:$E$24,MATCH($D699,'Почасовка — ставки и план'!$A$5:$A$24,0)),""))</f>
        <v>900</v>
      </c>
      <c r="Q699" s="15">
        <f t="shared" si="61"/>
        <v>23</v>
      </c>
      <c r="R699" s="13" t="str">
        <f>IF(D699="TEX","аренда техники — сделка/счёт",IF(OR(Q699="",H699="",H699=0),"—",IF(Q699&lt;H699*(1-Параметры!$B$7),"почасовка",IF(Q699&gt;H699*(1+Параметры!$B$7),"сделка","любой способ"))))</f>
        <v>почасовка</v>
      </c>
      <c r="S699">
        <v>0</v>
      </c>
      <c r="T699">
        <v>0</v>
      </c>
    </row>
    <row r="700" spans="1:20" x14ac:dyDescent="0.25">
      <c r="A700" s="11" t="s">
        <v>1448</v>
      </c>
      <c r="B700" s="12"/>
      <c r="C700" s="12"/>
      <c r="D700" s="12"/>
      <c r="E700" s="12"/>
      <c r="F700" s="12"/>
      <c r="G700" s="12"/>
      <c r="H700" s="12"/>
      <c r="I700" s="12"/>
      <c r="J700" s="12"/>
      <c r="K700" s="12"/>
      <c r="L700" s="12"/>
      <c r="M700" s="12"/>
      <c r="N700" s="12"/>
      <c r="O700" s="12"/>
      <c r="P700" s="12"/>
      <c r="Q700" s="12"/>
      <c r="R700" s="12"/>
    </row>
    <row r="701" spans="1:20" x14ac:dyDescent="0.25">
      <c r="A701" s="13" t="s">
        <v>1449</v>
      </c>
      <c r="B701" s="13" t="s">
        <v>1450</v>
      </c>
      <c r="C701" s="13" t="s">
        <v>69</v>
      </c>
      <c r="D701" s="13" t="s">
        <v>200</v>
      </c>
      <c r="E701" s="13" t="str">
        <f>IFERROR(INDEX('Почасовка — ставки и план'!$B$5:$B$24,MATCH(D701,'Почасовка — ставки и план'!$A$5:$A$24,0)),"Аренда техники / механизмы")</f>
        <v>Плиточник / укладчик полов</v>
      </c>
      <c r="F701" s="14">
        <v>250</v>
      </c>
      <c r="G701" s="14">
        <v>290</v>
      </c>
      <c r="H701" s="15">
        <v>150</v>
      </c>
      <c r="I701" s="15">
        <f>IF(OR(H701="",F701=""),"",MAX(H701,MIN(ROUND(H701*(1+Параметры!$B$5),IF(H701*(1+Параметры!$B$5)&gt;=1000,-1,0)),ROUND(F701*Параметры!$B$6,IF(F701*Параметры!$B$6&gt;=1000,-1,0)))))</f>
        <v>173</v>
      </c>
      <c r="J701" s="15">
        <v>175</v>
      </c>
      <c r="K701" s="15">
        <f>IF(OR(J701="",G701=""),"",MAX(J701,MIN(ROUND(J701*(1+Параметры!$B$5),IF(J701*(1+Параметры!$B$5)&gt;=1000,-1,0)),ROUND(G701*Параметры!$B$6,IF(G701*Параметры!$B$6&gt;=1000,-1,0)))))</f>
        <v>201</v>
      </c>
      <c r="L701" s="16">
        <v>0.2</v>
      </c>
      <c r="M701" s="17">
        <f t="shared" ref="M701:M711" si="62">IF(OR(L701="",L701=0),"",1/L701)</f>
        <v>5</v>
      </c>
      <c r="N701" s="17">
        <f>IF(OR(L701="",L701=0),"",Параметры!$B$3/L701)</f>
        <v>40</v>
      </c>
      <c r="O701" s="15">
        <f>IF(L701="","",IFERROR(INDEX('Почасовка — ставки и план'!$D$5:$D$24,MATCH($D701,'Почасовка — ставки и план'!$A$5:$A$24,0)),""))</f>
        <v>900</v>
      </c>
      <c r="P701" s="15">
        <f>IF(L701="","",IFERROR(INDEX('Почасовка — ставки и план'!$E$5:$E$24,MATCH($D701,'Почасовка — ставки и план'!$A$5:$A$24,0)),""))</f>
        <v>1080</v>
      </c>
      <c r="Q701" s="15">
        <f t="shared" ref="Q701:Q711" si="63">IF(OR(L701="",O701=""),"",ROUND(L701*O701,0))</f>
        <v>180</v>
      </c>
      <c r="R701" s="13" t="str">
        <f>IF(D701="TEX","аренда техники — сделка/счёт",IF(OR(Q701="",H701="",H701=0),"—",IF(Q701&lt;H701*(1-Параметры!$B$7),"почасовка",IF(Q701&gt;H701*(1+Параметры!$B$7),"сделка","любой способ"))))</f>
        <v>сделка</v>
      </c>
      <c r="S701">
        <v>0</v>
      </c>
      <c r="T701">
        <v>0</v>
      </c>
    </row>
    <row r="702" spans="1:20" x14ac:dyDescent="0.25">
      <c r="A702" s="13" t="s">
        <v>1451</v>
      </c>
      <c r="B702" s="13" t="s">
        <v>1452</v>
      </c>
      <c r="C702" s="13" t="s">
        <v>69</v>
      </c>
      <c r="D702" s="13" t="s">
        <v>200</v>
      </c>
      <c r="E702" s="13" t="str">
        <f>IFERROR(INDEX('Почасовка — ставки и план'!$B$5:$B$24,MATCH(D702,'Почасовка — ставки и план'!$A$5:$A$24,0)),"Аренда техники / механизмы")</f>
        <v>Плиточник / укладчик полов</v>
      </c>
      <c r="F702" s="14">
        <v>360</v>
      </c>
      <c r="G702" s="14">
        <v>432</v>
      </c>
      <c r="H702" s="15">
        <v>210</v>
      </c>
      <c r="I702" s="15">
        <f>IF(OR(H702="",F702=""),"",MAX(H702,MIN(ROUND(H702*(1+Параметры!$B$5),IF(H702*(1+Параметры!$B$5)&gt;=1000,-1,0)),ROUND(F702*Параметры!$B$6,IF(F702*Параметры!$B$6&gt;=1000,-1,0)))))</f>
        <v>242</v>
      </c>
      <c r="J702" s="15">
        <v>240</v>
      </c>
      <c r="K702" s="15">
        <f>IF(OR(J702="",G702=""),"",MAX(J702,MIN(ROUND(J702*(1+Параметры!$B$5),IF(J702*(1+Параметры!$B$5)&gt;=1000,-1,0)),ROUND(G702*Параметры!$B$6,IF(G702*Параметры!$B$6&gt;=1000,-1,0)))))</f>
        <v>276</v>
      </c>
      <c r="L702" s="16">
        <v>0.3</v>
      </c>
      <c r="M702" s="17">
        <f t="shared" si="62"/>
        <v>3.3333333333333335</v>
      </c>
      <c r="N702" s="17">
        <f>IF(OR(L702="",L702=0),"",Параметры!$B$3/L702)</f>
        <v>26.666666666666668</v>
      </c>
      <c r="O702" s="15">
        <f>IF(L702="","",IFERROR(INDEX('Почасовка — ставки и план'!$D$5:$D$24,MATCH($D702,'Почасовка — ставки и план'!$A$5:$A$24,0)),""))</f>
        <v>900</v>
      </c>
      <c r="P702" s="15">
        <f>IF(L702="","",IFERROR(INDEX('Почасовка — ставки и план'!$E$5:$E$24,MATCH($D702,'Почасовка — ставки и план'!$A$5:$A$24,0)),""))</f>
        <v>1080</v>
      </c>
      <c r="Q702" s="15">
        <f t="shared" si="63"/>
        <v>270</v>
      </c>
      <c r="R702" s="13" t="str">
        <f>IF(D702="TEX","аренда техники — сделка/счёт",IF(OR(Q702="",H702="",H702=0),"—",IF(Q702&lt;H702*(1-Параметры!$B$7),"почасовка",IF(Q702&gt;H702*(1+Параметры!$B$7),"сделка","любой способ"))))</f>
        <v>сделка</v>
      </c>
      <c r="S702">
        <v>2.857142857142847E-2</v>
      </c>
      <c r="T702">
        <v>8.0000000000000071E-2</v>
      </c>
    </row>
    <row r="703" spans="1:20" x14ac:dyDescent="0.25">
      <c r="A703" s="13" t="s">
        <v>1453</v>
      </c>
      <c r="B703" s="13" t="s">
        <v>1454</v>
      </c>
      <c r="C703" s="13" t="s">
        <v>69</v>
      </c>
      <c r="D703" s="13" t="s">
        <v>200</v>
      </c>
      <c r="E703" s="13" t="str">
        <f>IFERROR(INDEX('Почасовка — ставки и план'!$B$5:$B$24,MATCH(D703,'Почасовка — ставки и план'!$A$5:$A$24,0)),"Аренда техники / механизмы")</f>
        <v>Плиточник / укладчик полов</v>
      </c>
      <c r="F703" s="14">
        <v>300</v>
      </c>
      <c r="G703" s="14">
        <v>350</v>
      </c>
      <c r="H703" s="15">
        <v>180</v>
      </c>
      <c r="I703" s="15">
        <f>IF(OR(H703="",F703=""),"",MAX(H703,MIN(ROUND(H703*(1+Параметры!$B$5),IF(H703*(1+Параметры!$B$5)&gt;=1000,-1,0)),ROUND(F703*Параметры!$B$6,IF(F703*Параметры!$B$6&gt;=1000,-1,0)))))</f>
        <v>207</v>
      </c>
      <c r="J703" s="15">
        <v>210</v>
      </c>
      <c r="K703" s="15">
        <f>IF(OR(J703="",G703=""),"",MAX(J703,MIN(ROUND(J703*(1+Параметры!$B$5),IF(J703*(1+Параметры!$B$5)&gt;=1000,-1,0)),ROUND(G703*Параметры!$B$6,IF(G703*Параметры!$B$6&gt;=1000,-1,0)))))</f>
        <v>242</v>
      </c>
      <c r="L703" s="16">
        <v>0.2</v>
      </c>
      <c r="M703" s="17">
        <f t="shared" si="62"/>
        <v>5</v>
      </c>
      <c r="N703" s="17">
        <f>IF(OR(L703="",L703=0),"",Параметры!$B$3/L703)</f>
        <v>40</v>
      </c>
      <c r="O703" s="15">
        <f>IF(L703="","",IFERROR(INDEX('Почасовка — ставки и план'!$D$5:$D$24,MATCH($D703,'Почасовка — ставки и план'!$A$5:$A$24,0)),""))</f>
        <v>900</v>
      </c>
      <c r="P703" s="15">
        <f>IF(L703="","",IFERROR(INDEX('Почасовка — ставки и план'!$E$5:$E$24,MATCH($D703,'Почасовка — ставки и план'!$A$5:$A$24,0)),""))</f>
        <v>1080</v>
      </c>
      <c r="Q703" s="15">
        <f t="shared" si="63"/>
        <v>180</v>
      </c>
      <c r="R703" s="13" t="str">
        <f>IF(D703="TEX","аренда техники — сделка/счёт",IF(OR(Q703="",H703="",H703=0),"—",IF(Q703&lt;H703*(1-Параметры!$B$7),"почасовка",IF(Q703&gt;H703*(1+Параметры!$B$7),"сделка","любой способ"))))</f>
        <v>любой способ</v>
      </c>
      <c r="S703">
        <v>0</v>
      </c>
      <c r="T703">
        <v>0</v>
      </c>
    </row>
    <row r="704" spans="1:20" x14ac:dyDescent="0.25">
      <c r="A704" s="13" t="s">
        <v>1455</v>
      </c>
      <c r="B704" s="13" t="s">
        <v>1456</v>
      </c>
      <c r="C704" s="13" t="s">
        <v>69</v>
      </c>
      <c r="D704" s="13" t="s">
        <v>200</v>
      </c>
      <c r="E704" s="13" t="str">
        <f>IFERROR(INDEX('Почасовка — ставки и план'!$B$5:$B$24,MATCH(D704,'Почасовка — ставки и план'!$A$5:$A$24,0)),"Аренда техники / механизмы")</f>
        <v>Плиточник / укладчик полов</v>
      </c>
      <c r="F704" s="14">
        <v>220</v>
      </c>
      <c r="G704" s="14">
        <v>260</v>
      </c>
      <c r="H704" s="15">
        <v>130</v>
      </c>
      <c r="I704" s="15">
        <f>IF(OR(H704="",F704=""),"",MAX(H704,MIN(ROUND(H704*(1+Параметры!$B$5),IF(H704*(1+Параметры!$B$5)&gt;=1000,-1,0)),ROUND(F704*Параметры!$B$6,IF(F704*Параметры!$B$6&gt;=1000,-1,0)))))</f>
        <v>150</v>
      </c>
      <c r="J704" s="15">
        <v>150</v>
      </c>
      <c r="K704" s="15">
        <f>IF(OR(J704="",G704=""),"",MAX(J704,MIN(ROUND(J704*(1+Параметры!$B$5),IF(J704*(1+Параметры!$B$5)&gt;=1000,-1,0)),ROUND(G704*Параметры!$B$6,IF(G704*Параметры!$B$6&gt;=1000,-1,0)))))</f>
        <v>173</v>
      </c>
      <c r="L704" s="16">
        <v>0.15</v>
      </c>
      <c r="M704" s="17">
        <f t="shared" si="62"/>
        <v>6.666666666666667</v>
      </c>
      <c r="N704" s="17">
        <f>IF(OR(L704="",L704=0),"",Параметры!$B$3/L704)</f>
        <v>53.333333333333336</v>
      </c>
      <c r="O704" s="15">
        <f>IF(L704="","",IFERROR(INDEX('Почасовка — ставки и план'!$D$5:$D$24,MATCH($D704,'Почасовка — ставки и план'!$A$5:$A$24,0)),""))</f>
        <v>900</v>
      </c>
      <c r="P704" s="15">
        <f>IF(L704="","",IFERROR(INDEX('Почасовка — ставки и план'!$E$5:$E$24,MATCH($D704,'Почасовка — ставки и план'!$A$5:$A$24,0)),""))</f>
        <v>1080</v>
      </c>
      <c r="Q704" s="15">
        <f t="shared" si="63"/>
        <v>135</v>
      </c>
      <c r="R704" s="13" t="str">
        <f>IF(D704="TEX","аренда техники — сделка/счёт",IF(OR(Q704="",H704="",H704=0),"—",IF(Q704&lt;H704*(1-Параметры!$B$7),"почасовка",IF(Q704&gt;H704*(1+Параметры!$B$7),"сделка","любой способ"))))</f>
        <v>любой способ</v>
      </c>
      <c r="S704">
        <v>0</v>
      </c>
      <c r="T704">
        <v>0</v>
      </c>
    </row>
    <row r="705" spans="1:20" x14ac:dyDescent="0.25">
      <c r="A705" s="13" t="s">
        <v>1457</v>
      </c>
      <c r="B705" s="13" t="s">
        <v>1458</v>
      </c>
      <c r="C705" s="13" t="s">
        <v>69</v>
      </c>
      <c r="D705" s="13" t="s">
        <v>200</v>
      </c>
      <c r="E705" s="13" t="str">
        <f>IFERROR(INDEX('Почасовка — ставки и план'!$B$5:$B$24,MATCH(D705,'Почасовка — ставки и план'!$A$5:$A$24,0)),"Аренда техники / механизмы")</f>
        <v>Плиточник / укладчик полов</v>
      </c>
      <c r="F705" s="14">
        <v>260</v>
      </c>
      <c r="G705" s="14">
        <v>300</v>
      </c>
      <c r="H705" s="15">
        <v>155</v>
      </c>
      <c r="I705" s="15">
        <f>IF(OR(H705="",F705=""),"",MAX(H705,MIN(ROUND(H705*(1+Параметры!$B$5),IF(H705*(1+Параметры!$B$5)&gt;=1000,-1,0)),ROUND(F705*Параметры!$B$6,IF(F705*Параметры!$B$6&gt;=1000,-1,0)))))</f>
        <v>178</v>
      </c>
      <c r="J705" s="15">
        <v>180</v>
      </c>
      <c r="K705" s="15">
        <f>IF(OR(J705="",G705=""),"",MAX(J705,MIN(ROUND(J705*(1+Параметры!$B$5),IF(J705*(1+Параметры!$B$5)&gt;=1000,-1,0)),ROUND(G705*Параметры!$B$6,IF(G705*Параметры!$B$6&gt;=1000,-1,0)))))</f>
        <v>207</v>
      </c>
      <c r="L705" s="16">
        <v>0.18</v>
      </c>
      <c r="M705" s="17">
        <f t="shared" si="62"/>
        <v>5.5555555555555554</v>
      </c>
      <c r="N705" s="17">
        <f>IF(OR(L705="",L705=0),"",Параметры!$B$3/L705)</f>
        <v>44.444444444444443</v>
      </c>
      <c r="O705" s="15">
        <f>IF(L705="","",IFERROR(INDEX('Почасовка — ставки и план'!$D$5:$D$24,MATCH($D705,'Почасовка — ставки и план'!$A$5:$A$24,0)),""))</f>
        <v>900</v>
      </c>
      <c r="P705" s="15">
        <f>IF(L705="","",IFERROR(INDEX('Почасовка — ставки и план'!$E$5:$E$24,MATCH($D705,'Почасовка — ставки и план'!$A$5:$A$24,0)),""))</f>
        <v>1080</v>
      </c>
      <c r="Q705" s="15">
        <f t="shared" si="63"/>
        <v>162</v>
      </c>
      <c r="R705" s="13" t="str">
        <f>IF(D705="TEX","аренда техники — сделка/счёт",IF(OR(Q705="",H705="",H705=0),"—",IF(Q705&lt;H705*(1-Параметры!$B$7),"почасовка",IF(Q705&gt;H705*(1+Параметры!$B$7),"сделка","любой способ"))))</f>
        <v>любой способ</v>
      </c>
      <c r="S705">
        <v>0</v>
      </c>
      <c r="T705">
        <v>0</v>
      </c>
    </row>
    <row r="706" spans="1:20" x14ac:dyDescent="0.25">
      <c r="A706" s="13" t="s">
        <v>1459</v>
      </c>
      <c r="B706" s="13" t="s">
        <v>1460</v>
      </c>
      <c r="C706" s="13" t="s">
        <v>69</v>
      </c>
      <c r="D706" s="13" t="s">
        <v>200</v>
      </c>
      <c r="E706" s="13" t="str">
        <f>IFERROR(INDEX('Почасовка — ставки и план'!$B$5:$B$24,MATCH(D706,'Почасовка — ставки и план'!$A$5:$A$24,0)),"Аренда техники / механизмы")</f>
        <v>Плиточник / укладчик полов</v>
      </c>
      <c r="F706" s="14">
        <v>400</v>
      </c>
      <c r="G706" s="14">
        <v>460</v>
      </c>
      <c r="H706" s="15">
        <v>240</v>
      </c>
      <c r="I706" s="15">
        <f>IF(OR(H706="",F706=""),"",MAX(H706,MIN(ROUND(H706*(1+Параметры!$B$5),IF(H706*(1+Параметры!$B$5)&gt;=1000,-1,0)),ROUND(F706*Параметры!$B$6,IF(F706*Параметры!$B$6&gt;=1000,-1,0)))))</f>
        <v>276</v>
      </c>
      <c r="J706" s="15">
        <v>280</v>
      </c>
      <c r="K706" s="15">
        <f>IF(OR(J706="",G706=""),"",MAX(J706,MIN(ROUND(J706*(1+Параметры!$B$5),IF(J706*(1+Параметры!$B$5)&gt;=1000,-1,0)),ROUND(G706*Параметры!$B$6,IF(G706*Параметры!$B$6&gt;=1000,-1,0)))))</f>
        <v>322</v>
      </c>
      <c r="L706" s="16">
        <v>0.3</v>
      </c>
      <c r="M706" s="17">
        <f t="shared" si="62"/>
        <v>3.3333333333333335</v>
      </c>
      <c r="N706" s="17">
        <f>IF(OR(L706="",L706=0),"",Параметры!$B$3/L706)</f>
        <v>26.666666666666668</v>
      </c>
      <c r="O706" s="15">
        <f>IF(L706="","",IFERROR(INDEX('Почасовка — ставки и план'!$D$5:$D$24,MATCH($D706,'Почасовка — ставки и план'!$A$5:$A$24,0)),""))</f>
        <v>900</v>
      </c>
      <c r="P706" s="15">
        <f>IF(L706="","",IFERROR(INDEX('Почасовка — ставки и план'!$E$5:$E$24,MATCH($D706,'Почасовка — ставки и план'!$A$5:$A$24,0)),""))</f>
        <v>1080</v>
      </c>
      <c r="Q706" s="15">
        <f t="shared" si="63"/>
        <v>270</v>
      </c>
      <c r="R706" s="13" t="str">
        <f>IF(D706="TEX","аренда техники — сделка/счёт",IF(OR(Q706="",H706="",H706=0),"—",IF(Q706&lt;H706*(1-Параметры!$B$7),"почасовка",IF(Q706&gt;H706*(1+Параметры!$B$7),"сделка","любой способ"))))</f>
        <v>сделка</v>
      </c>
      <c r="S706">
        <v>0</v>
      </c>
      <c r="T706">
        <v>0</v>
      </c>
    </row>
    <row r="707" spans="1:20" x14ac:dyDescent="0.25">
      <c r="A707" s="13" t="s">
        <v>1461</v>
      </c>
      <c r="B707" s="13" t="s">
        <v>1462</v>
      </c>
      <c r="C707" s="13" t="s">
        <v>69</v>
      </c>
      <c r="D707" s="13" t="s">
        <v>200</v>
      </c>
      <c r="E707" s="13" t="str">
        <f>IFERROR(INDEX('Почасовка — ставки и план'!$B$5:$B$24,MATCH(D707,'Почасовка — ставки и план'!$A$5:$A$24,0)),"Аренда техники / механизмы")</f>
        <v>Плиточник / укладчик полов</v>
      </c>
      <c r="F707" s="14">
        <v>360</v>
      </c>
      <c r="G707" s="14">
        <v>432</v>
      </c>
      <c r="H707" s="15">
        <v>210</v>
      </c>
      <c r="I707" s="15">
        <f>IF(OR(H707="",F707=""),"",MAX(H707,MIN(ROUND(H707*(1+Параметры!$B$5),IF(H707*(1+Параметры!$B$5)&gt;=1000,-1,0)),ROUND(F707*Параметры!$B$6,IF(F707*Параметры!$B$6&gt;=1000,-1,0)))))</f>
        <v>242</v>
      </c>
      <c r="J707" s="15">
        <v>240</v>
      </c>
      <c r="K707" s="15">
        <f>IF(OR(J707="",G707=""),"",MAX(J707,MIN(ROUND(J707*(1+Параметры!$B$5),IF(J707*(1+Параметры!$B$5)&gt;=1000,-1,0)),ROUND(G707*Параметры!$B$6,IF(G707*Параметры!$B$6&gt;=1000,-1,0)))))</f>
        <v>276</v>
      </c>
      <c r="L707" s="16">
        <v>0.3</v>
      </c>
      <c r="M707" s="17">
        <f t="shared" si="62"/>
        <v>3.3333333333333335</v>
      </c>
      <c r="N707" s="17">
        <f>IF(OR(L707="",L707=0),"",Параметры!$B$3/L707)</f>
        <v>26.666666666666668</v>
      </c>
      <c r="O707" s="15">
        <f>IF(L707="","",IFERROR(INDEX('Почасовка — ставки и план'!$D$5:$D$24,MATCH($D707,'Почасовка — ставки и план'!$A$5:$A$24,0)),""))</f>
        <v>900</v>
      </c>
      <c r="P707" s="15">
        <f>IF(L707="","",IFERROR(INDEX('Почасовка — ставки и план'!$E$5:$E$24,MATCH($D707,'Почасовка — ставки и план'!$A$5:$A$24,0)),""))</f>
        <v>1080</v>
      </c>
      <c r="Q707" s="15">
        <f t="shared" si="63"/>
        <v>270</v>
      </c>
      <c r="R707" s="13" t="str">
        <f>IF(D707="TEX","аренда техники — сделка/счёт",IF(OR(Q707="",H707="",H707=0),"—",IF(Q707&lt;H707*(1-Параметры!$B$7),"почасовка",IF(Q707&gt;H707*(1+Параметры!$B$7),"сделка","любой способ"))))</f>
        <v>сделка</v>
      </c>
      <c r="S707">
        <v>2.857142857142847E-2</v>
      </c>
      <c r="T707">
        <v>8.0000000000000071E-2</v>
      </c>
    </row>
    <row r="708" spans="1:20" x14ac:dyDescent="0.25">
      <c r="A708" s="13" t="s">
        <v>1463</v>
      </c>
      <c r="B708" s="13" t="s">
        <v>1464</v>
      </c>
      <c r="C708" s="13" t="s">
        <v>69</v>
      </c>
      <c r="D708" s="13" t="s">
        <v>200</v>
      </c>
      <c r="E708" s="13" t="str">
        <f>IFERROR(INDEX('Почасовка — ставки и план'!$B$5:$B$24,MATCH(D708,'Почасовка — ставки и план'!$A$5:$A$24,0)),"Аренда техники / механизмы")</f>
        <v>Плиточник / укладчик полов</v>
      </c>
      <c r="F708" s="14">
        <v>170</v>
      </c>
      <c r="G708" s="14">
        <v>200</v>
      </c>
      <c r="H708" s="15">
        <v>100</v>
      </c>
      <c r="I708" s="15">
        <f>IF(OR(H708="",F708=""),"",MAX(H708,MIN(ROUND(H708*(1+Параметры!$B$5),IF(H708*(1+Параметры!$B$5)&gt;=1000,-1,0)),ROUND(F708*Параметры!$B$6,IF(F708*Параметры!$B$6&gt;=1000,-1,0)))))</f>
        <v>115</v>
      </c>
      <c r="J708" s="15">
        <v>120</v>
      </c>
      <c r="K708" s="15">
        <f>IF(OR(J708="",G708=""),"",MAX(J708,MIN(ROUND(J708*(1+Параметры!$B$5),IF(J708*(1+Параметры!$B$5)&gt;=1000,-1,0)),ROUND(G708*Параметры!$B$6,IF(G708*Параметры!$B$6&gt;=1000,-1,0)))))</f>
        <v>138</v>
      </c>
      <c r="L708" s="16">
        <v>0.12</v>
      </c>
      <c r="M708" s="17">
        <f t="shared" si="62"/>
        <v>8.3333333333333339</v>
      </c>
      <c r="N708" s="17">
        <f>IF(OR(L708="",L708=0),"",Параметры!$B$3/L708)</f>
        <v>66.666666666666671</v>
      </c>
      <c r="O708" s="15">
        <f>IF(L708="","",IFERROR(INDEX('Почасовка — ставки и план'!$D$5:$D$24,MATCH($D708,'Почасовка — ставки и план'!$A$5:$A$24,0)),""))</f>
        <v>900</v>
      </c>
      <c r="P708" s="15">
        <f>IF(L708="","",IFERROR(INDEX('Почасовка — ставки и план'!$E$5:$E$24,MATCH($D708,'Почасовка — ставки и план'!$A$5:$A$24,0)),""))</f>
        <v>1080</v>
      </c>
      <c r="Q708" s="15">
        <f t="shared" si="63"/>
        <v>108</v>
      </c>
      <c r="R708" s="13" t="str">
        <f>IF(D708="TEX","аренда техники — сделка/счёт",IF(OR(Q708="",H708="",H708=0),"—",IF(Q708&lt;H708*(1-Параметры!$B$7),"почасовка",IF(Q708&gt;H708*(1+Параметры!$B$7),"сделка","любой способ"))))</f>
        <v>любой способ</v>
      </c>
      <c r="S708">
        <v>0</v>
      </c>
      <c r="T708">
        <v>0</v>
      </c>
    </row>
    <row r="709" spans="1:20" x14ac:dyDescent="0.25">
      <c r="A709" s="13" t="s">
        <v>1465</v>
      </c>
      <c r="B709" s="13" t="s">
        <v>1466</v>
      </c>
      <c r="C709" s="13" t="s">
        <v>69</v>
      </c>
      <c r="D709" s="13" t="s">
        <v>200</v>
      </c>
      <c r="E709" s="13" t="str">
        <f>IFERROR(INDEX('Почасовка — ставки и план'!$B$5:$B$24,MATCH(D709,'Почасовка — ставки и план'!$A$5:$A$24,0)),"Аренда техники / механизмы")</f>
        <v>Плиточник / укладчик полов</v>
      </c>
      <c r="F709" s="14">
        <v>150</v>
      </c>
      <c r="G709" s="14">
        <v>175</v>
      </c>
      <c r="H709" s="15">
        <v>90</v>
      </c>
      <c r="I709" s="15">
        <f>IF(OR(H709="",F709=""),"",MAX(H709,MIN(ROUND(H709*(1+Параметры!$B$5),IF(H709*(1+Параметры!$B$5)&gt;=1000,-1,0)),ROUND(F709*Параметры!$B$6,IF(F709*Параметры!$B$6&gt;=1000,-1,0)))))</f>
        <v>104</v>
      </c>
      <c r="J709" s="15">
        <v>105</v>
      </c>
      <c r="K709" s="15">
        <f>IF(OR(J709="",G709=""),"",MAX(J709,MIN(ROUND(J709*(1+Параметры!$B$5),IF(J709*(1+Параметры!$B$5)&gt;=1000,-1,0)),ROUND(G709*Параметры!$B$6,IF(G709*Параметры!$B$6&gt;=1000,-1,0)))))</f>
        <v>121</v>
      </c>
      <c r="L709" s="16">
        <v>0.1</v>
      </c>
      <c r="M709" s="17">
        <f t="shared" si="62"/>
        <v>10</v>
      </c>
      <c r="N709" s="17">
        <f>IF(OR(L709="",L709=0),"",Параметры!$B$3/L709)</f>
        <v>80</v>
      </c>
      <c r="O709" s="15">
        <f>IF(L709="","",IFERROR(INDEX('Почасовка — ставки и план'!$D$5:$D$24,MATCH($D709,'Почасовка — ставки и план'!$A$5:$A$24,0)),""))</f>
        <v>900</v>
      </c>
      <c r="P709" s="15">
        <f>IF(L709="","",IFERROR(INDEX('Почасовка — ставки и план'!$E$5:$E$24,MATCH($D709,'Почасовка — ставки и план'!$A$5:$A$24,0)),""))</f>
        <v>1080</v>
      </c>
      <c r="Q709" s="15">
        <f t="shared" si="63"/>
        <v>90</v>
      </c>
      <c r="R709" s="13" t="str">
        <f>IF(D709="TEX","аренда техники — сделка/счёт",IF(OR(Q709="",H709="",H709=0),"—",IF(Q709&lt;H709*(1-Параметры!$B$7),"почасовка",IF(Q709&gt;H709*(1+Параметры!$B$7),"сделка","любой способ"))))</f>
        <v>любой способ</v>
      </c>
      <c r="S709">
        <v>0</v>
      </c>
      <c r="T709">
        <v>0</v>
      </c>
    </row>
    <row r="710" spans="1:20" x14ac:dyDescent="0.25">
      <c r="A710" s="18" t="s">
        <v>1467</v>
      </c>
      <c r="B710" s="13" t="s">
        <v>1468</v>
      </c>
      <c r="C710" s="13" t="s">
        <v>69</v>
      </c>
      <c r="D710" s="13" t="s">
        <v>60</v>
      </c>
      <c r="E710" s="13" t="str">
        <f>IFERROR(INDEX('Почасовка — ставки и план'!$B$5:$B$24,MATCH(D710,'Почасовка — ставки и план'!$A$5:$A$24,0)),"Аренда техники / механизмы")</f>
        <v>Разнорабочий / демонтажник</v>
      </c>
      <c r="F710" s="14">
        <v>60</v>
      </c>
      <c r="G710" s="14">
        <v>70</v>
      </c>
      <c r="H710" s="15">
        <v>36</v>
      </c>
      <c r="I710" s="15">
        <f>IF(OR(H710="",F710=""),"",MAX(H710,MIN(ROUND(H710*(1+Параметры!$B$5),IF(H710*(1+Параметры!$B$5)&gt;=1000,-1,0)),ROUND(F710*Параметры!$B$6,IF(F710*Параметры!$B$6&gt;=1000,-1,0)))))</f>
        <v>41</v>
      </c>
      <c r="J710" s="15">
        <v>42</v>
      </c>
      <c r="K710" s="15">
        <f>IF(OR(J710="",G710=""),"",MAX(J710,MIN(ROUND(J710*(1+Параметры!$B$5),IF(J710*(1+Параметры!$B$5)&gt;=1000,-1,0)),ROUND(G710*Параметры!$B$6,IF(G710*Параметры!$B$6&gt;=1000,-1,0)))))</f>
        <v>48</v>
      </c>
      <c r="L710" s="16">
        <v>0.04</v>
      </c>
      <c r="M710" s="17">
        <f t="shared" si="62"/>
        <v>25</v>
      </c>
      <c r="N710" s="17">
        <f>IF(OR(L710="",L710=0),"",Параметры!$B$3/L710)</f>
        <v>200</v>
      </c>
      <c r="O710" s="15">
        <f>IF(L710="","",IFERROR(INDEX('Почасовка — ставки и план'!$D$5:$D$24,MATCH($D710,'Почасовка — ставки и план'!$A$5:$A$24,0)),""))</f>
        <v>550</v>
      </c>
      <c r="P710" s="15">
        <f>IF(L710="","",IFERROR(INDEX('Почасовка — ставки и план'!$E$5:$E$24,MATCH($D710,'Почасовка — ставки и план'!$A$5:$A$24,0)),""))</f>
        <v>660</v>
      </c>
      <c r="Q710" s="15">
        <f t="shared" si="63"/>
        <v>22</v>
      </c>
      <c r="R710" s="13" t="str">
        <f>IF(D710="TEX","аренда техники — сделка/счёт",IF(OR(Q710="",H710="",H710=0),"—",IF(Q710&lt;H710*(1-Параметры!$B$7),"почасовка",IF(Q710&gt;H710*(1+Параметры!$B$7),"сделка","любой способ"))))</f>
        <v>почасовка</v>
      </c>
      <c r="S710">
        <v>0</v>
      </c>
      <c r="T710">
        <v>0</v>
      </c>
    </row>
    <row r="711" spans="1:20" x14ac:dyDescent="0.25">
      <c r="A711" s="18" t="s">
        <v>1469</v>
      </c>
      <c r="B711" s="13" t="s">
        <v>1470</v>
      </c>
      <c r="C711" s="13" t="s">
        <v>69</v>
      </c>
      <c r="D711" s="13" t="s">
        <v>200</v>
      </c>
      <c r="E711" s="13" t="str">
        <f>IFERROR(INDEX('Почасовка — ставки и план'!$B$5:$B$24,MATCH(D711,'Почасовка — ставки и план'!$A$5:$A$24,0)),"Аренда техники / механизмы")</f>
        <v>Плиточник / укладчик полов</v>
      </c>
      <c r="F711" s="14">
        <v>400</v>
      </c>
      <c r="G711" s="14">
        <v>460</v>
      </c>
      <c r="H711" s="15">
        <v>240</v>
      </c>
      <c r="I711" s="15">
        <f>IF(OR(H711="",F711=""),"",MAX(H711,MIN(ROUND(H711*(1+Параметры!$B$5),IF(H711*(1+Параметры!$B$5)&gt;=1000,-1,0)),ROUND(F711*Параметры!$B$6,IF(F711*Параметры!$B$6&gt;=1000,-1,0)))))</f>
        <v>276</v>
      </c>
      <c r="J711" s="15">
        <v>280</v>
      </c>
      <c r="K711" s="15">
        <f>IF(OR(J711="",G711=""),"",MAX(J711,MIN(ROUND(J711*(1+Параметры!$B$5),IF(J711*(1+Параметры!$B$5)&gt;=1000,-1,0)),ROUND(G711*Параметры!$B$6,IF(G711*Параметры!$B$6&gt;=1000,-1,0)))))</f>
        <v>322</v>
      </c>
      <c r="L711" s="16">
        <v>0.3</v>
      </c>
      <c r="M711" s="17">
        <f t="shared" si="62"/>
        <v>3.3333333333333335</v>
      </c>
      <c r="N711" s="17">
        <f>IF(OR(L711="",L711=0),"",Параметры!$B$3/L711)</f>
        <v>26.666666666666668</v>
      </c>
      <c r="O711" s="15">
        <f>IF(L711="","",IFERROR(INDEX('Почасовка — ставки и план'!$D$5:$D$24,MATCH($D711,'Почасовка — ставки и план'!$A$5:$A$24,0)),""))</f>
        <v>900</v>
      </c>
      <c r="P711" s="15">
        <f>IF(L711="","",IFERROR(INDEX('Почасовка — ставки и план'!$E$5:$E$24,MATCH($D711,'Почасовка — ставки и план'!$A$5:$A$24,0)),""))</f>
        <v>1080</v>
      </c>
      <c r="Q711" s="15">
        <f t="shared" si="63"/>
        <v>270</v>
      </c>
      <c r="R711" s="13" t="str">
        <f>IF(D711="TEX","аренда техники — сделка/счёт",IF(OR(Q711="",H711="",H711=0),"—",IF(Q711&lt;H711*(1-Параметры!$B$7),"почасовка",IF(Q711&gt;H711*(1+Параметры!$B$7),"сделка","любой способ"))))</f>
        <v>сделка</v>
      </c>
      <c r="S711">
        <v>0</v>
      </c>
      <c r="T711">
        <v>0</v>
      </c>
    </row>
    <row r="712" spans="1:20" x14ac:dyDescent="0.25">
      <c r="A712" s="11" t="s">
        <v>1471</v>
      </c>
      <c r="B712" s="12"/>
      <c r="C712" s="12"/>
      <c r="D712" s="12"/>
      <c r="E712" s="12"/>
      <c r="F712" s="12"/>
      <c r="G712" s="12"/>
      <c r="H712" s="12"/>
      <c r="I712" s="12"/>
      <c r="J712" s="12"/>
      <c r="K712" s="12"/>
      <c r="L712" s="12"/>
      <c r="M712" s="12"/>
      <c r="N712" s="12"/>
      <c r="O712" s="12"/>
      <c r="P712" s="12"/>
      <c r="Q712" s="12"/>
      <c r="R712" s="12"/>
    </row>
    <row r="713" spans="1:20" x14ac:dyDescent="0.25">
      <c r="A713" s="13" t="s">
        <v>1472</v>
      </c>
      <c r="B713" s="13" t="s">
        <v>1473</v>
      </c>
      <c r="C713" s="13" t="s">
        <v>72</v>
      </c>
      <c r="D713" s="13" t="s">
        <v>200</v>
      </c>
      <c r="E713" s="13" t="str">
        <f>IFERROR(INDEX('Почасовка — ставки и план'!$B$5:$B$24,MATCH(D713,'Почасовка — ставки и план'!$A$5:$A$24,0)),"Аренда техники / механизмы")</f>
        <v>Плиточник / укладчик полов</v>
      </c>
      <c r="F713" s="14">
        <v>720</v>
      </c>
      <c r="G713" s="14">
        <v>864</v>
      </c>
      <c r="H713" s="15">
        <v>360</v>
      </c>
      <c r="I713" s="15">
        <f>IF(OR(H713="",F713=""),"",MAX(H713,MIN(ROUND(H713*(1+Параметры!$B$5),IF(H713*(1+Параметры!$B$5)&gt;=1000,-1,0)),ROUND(F713*Параметры!$B$6,IF(F713*Параметры!$B$6&gt;=1000,-1,0)))))</f>
        <v>414</v>
      </c>
      <c r="J713" s="15">
        <v>420</v>
      </c>
      <c r="K713" s="15">
        <f>IF(OR(J713="",G713=""),"",MAX(J713,MIN(ROUND(J713*(1+Параметры!$B$5),IF(J713*(1+Параметры!$B$5)&gt;=1000,-1,0)),ROUND(G713*Параметры!$B$6,IF(G713*Параметры!$B$6&gt;=1000,-1,0)))))</f>
        <v>483</v>
      </c>
      <c r="L713" s="16">
        <v>0.6</v>
      </c>
      <c r="M713" s="17">
        <f>IF(OR(L713="",L713=0),"",1/L713)</f>
        <v>1.6666666666666667</v>
      </c>
      <c r="N713" s="17">
        <f>IF(OR(L713="",L713=0),"",Параметры!$B$3/L713)</f>
        <v>13.333333333333334</v>
      </c>
      <c r="O713" s="15">
        <f>IF(L713="","",IFERROR(INDEX('Почасовка — ставки и план'!$D$5:$D$24,MATCH($D713,'Почасовка — ставки и план'!$A$5:$A$24,0)),""))</f>
        <v>900</v>
      </c>
      <c r="P713" s="15">
        <f>IF(L713="","",IFERROR(INDEX('Почасовка — ставки и план'!$E$5:$E$24,MATCH($D713,'Почасовка — ставки и план'!$A$5:$A$24,0)),""))</f>
        <v>1080</v>
      </c>
      <c r="Q713" s="15">
        <f>IF(OR(L713="",O713=""),"",ROUND(L713*O713,0))</f>
        <v>540</v>
      </c>
      <c r="R713" s="13" t="str">
        <f>IF(D713="TEX","аренда техники — сделка/счёт",IF(OR(Q713="",H713="",H713=0),"—",IF(Q713&lt;H713*(1-Параметры!$B$7),"почасовка",IF(Q713&gt;H713*(1+Параметры!$B$7),"сделка","любой способ"))))</f>
        <v>сделка</v>
      </c>
      <c r="S713">
        <v>0.2</v>
      </c>
      <c r="T713">
        <v>0.23428571428571421</v>
      </c>
    </row>
    <row r="714" spans="1:20" x14ac:dyDescent="0.25">
      <c r="A714" s="13" t="s">
        <v>1474</v>
      </c>
      <c r="B714" s="13" t="s">
        <v>1475</v>
      </c>
      <c r="C714" s="13" t="s">
        <v>72</v>
      </c>
      <c r="D714" s="13" t="s">
        <v>200</v>
      </c>
      <c r="E714" s="13" t="str">
        <f>IFERROR(INDEX('Почасовка — ставки и план'!$B$5:$B$24,MATCH(D714,'Почасовка — ставки и план'!$A$5:$A$24,0)),"Аренда техники / механизмы")</f>
        <v>Плиточник / укладчик полов</v>
      </c>
      <c r="F714" s="14">
        <v>600</v>
      </c>
      <c r="G714" s="14">
        <v>720</v>
      </c>
      <c r="H714" s="15">
        <v>330</v>
      </c>
      <c r="I714" s="15">
        <f>IF(OR(H714="",F714=""),"",MAX(H714,MIN(ROUND(H714*(1+Параметры!$B$5),IF(H714*(1+Параметры!$B$5)&gt;=1000,-1,0)),ROUND(F714*Параметры!$B$6,IF(F714*Параметры!$B$6&gt;=1000,-1,0)))))</f>
        <v>380</v>
      </c>
      <c r="J714" s="15">
        <v>390</v>
      </c>
      <c r="K714" s="15">
        <f>IF(OR(J714="",G714=""),"",MAX(J714,MIN(ROUND(J714*(1+Параметры!$B$5),IF(J714*(1+Параметры!$B$5)&gt;=1000,-1,0)),ROUND(G714*Параметры!$B$6,IF(G714*Параметры!$B$6&gt;=1000,-1,0)))))</f>
        <v>449</v>
      </c>
      <c r="L714" s="16">
        <v>0.5</v>
      </c>
      <c r="M714" s="17">
        <f>IF(OR(L714="",L714=0),"",1/L714)</f>
        <v>2</v>
      </c>
      <c r="N714" s="17">
        <f>IF(OR(L714="",L714=0),"",Параметры!$B$3/L714)</f>
        <v>16</v>
      </c>
      <c r="O714" s="15">
        <f>IF(L714="","",IFERROR(INDEX('Почасовка — ставки и план'!$D$5:$D$24,MATCH($D714,'Почасовка — ставки и план'!$A$5:$A$24,0)),""))</f>
        <v>900</v>
      </c>
      <c r="P714" s="15">
        <f>IF(L714="","",IFERROR(INDEX('Почасовка — ставки и план'!$E$5:$E$24,MATCH($D714,'Почасовка — ставки и план'!$A$5:$A$24,0)),""))</f>
        <v>1080</v>
      </c>
      <c r="Q714" s="15">
        <f>IF(OR(L714="",O714=""),"",ROUND(L714*O714,0))</f>
        <v>450</v>
      </c>
      <c r="R714" s="13" t="str">
        <f>IF(D714="TEX","аренда техники — сделка/счёт",IF(OR(Q714="",H714="",H714=0),"—",IF(Q714&lt;H714*(1-Параметры!$B$7),"почасовка",IF(Q714&gt;H714*(1+Параметры!$B$7),"сделка","любой способ"))))</f>
        <v>сделка</v>
      </c>
      <c r="S714">
        <v>9.0909090909090828E-2</v>
      </c>
      <c r="T714">
        <v>0.1076923076923078</v>
      </c>
    </row>
    <row r="715" spans="1:20" x14ac:dyDescent="0.25">
      <c r="A715" s="13" t="s">
        <v>1476</v>
      </c>
      <c r="B715" s="13" t="s">
        <v>1477</v>
      </c>
      <c r="C715" s="13" t="s">
        <v>144</v>
      </c>
      <c r="D715" s="13" t="s">
        <v>200</v>
      </c>
      <c r="E715" s="13" t="str">
        <f>IFERROR(INDEX('Почасовка — ставки и план'!$B$5:$B$24,MATCH(D715,'Почасовка — ставки и план'!$A$5:$A$24,0)),"Аренда техники / механизмы")</f>
        <v>Плиточник / укладчик полов</v>
      </c>
      <c r="F715" s="14">
        <v>960</v>
      </c>
      <c r="G715" s="14">
        <v>1152</v>
      </c>
      <c r="H715" s="15">
        <v>540</v>
      </c>
      <c r="I715" s="15">
        <f>IF(OR(H715="",F715=""),"",MAX(H715,MIN(ROUND(H715*(1+Параметры!$B$5),IF(H715*(1+Параметры!$B$5)&gt;=1000,-1,0)),ROUND(F715*Параметры!$B$6,IF(F715*Параметры!$B$6&gt;=1000,-1,0)))))</f>
        <v>621</v>
      </c>
      <c r="J715" s="15">
        <v>630</v>
      </c>
      <c r="K715" s="15">
        <f>IF(OR(J715="",G715=""),"",MAX(J715,MIN(ROUND(J715*(1+Параметры!$B$5),IF(J715*(1+Параметры!$B$5)&gt;=1000,-1,0)),ROUND(G715*Параметры!$B$6,IF(G715*Параметры!$B$6&gt;=1000,-1,0)))))</f>
        <v>725</v>
      </c>
      <c r="L715" s="16">
        <v>0.8</v>
      </c>
      <c r="M715" s="17">
        <f>IF(OR(L715="",L715=0),"",1/L715)</f>
        <v>1.25</v>
      </c>
      <c r="N715" s="17">
        <f>IF(OR(L715="",L715=0),"",Параметры!$B$3/L715)</f>
        <v>10</v>
      </c>
      <c r="O715" s="15">
        <f>IF(L715="","",IFERROR(INDEX('Почасовка — ставки и план'!$D$5:$D$24,MATCH($D715,'Почасовка — ставки и план'!$A$5:$A$24,0)),""))</f>
        <v>900</v>
      </c>
      <c r="P715" s="15">
        <f>IF(L715="","",IFERROR(INDEX('Почасовка — ставки и план'!$E$5:$E$24,MATCH($D715,'Почасовка — ставки и план'!$A$5:$A$24,0)),""))</f>
        <v>1080</v>
      </c>
      <c r="Q715" s="15">
        <f>IF(OR(L715="",O715=""),"",ROUND(L715*O715,0))</f>
        <v>720</v>
      </c>
      <c r="R715" s="13" t="str">
        <f>IF(D715="TEX","аренда техники — сделка/счёт",IF(OR(Q715="",H715="",H715=0),"—",IF(Q715&lt;H715*(1-Параметры!$B$7),"почасовка",IF(Q715&gt;H715*(1+Параметры!$B$7),"сделка","любой способ"))))</f>
        <v>сделка</v>
      </c>
      <c r="S715">
        <v>6.6666666666666652E-2</v>
      </c>
      <c r="T715">
        <v>9.7142857142857197E-2</v>
      </c>
    </row>
    <row r="716" spans="1:20" x14ac:dyDescent="0.25">
      <c r="A716" s="18" t="s">
        <v>1478</v>
      </c>
      <c r="B716" s="13" t="s">
        <v>1479</v>
      </c>
      <c r="C716" s="13" t="s">
        <v>72</v>
      </c>
      <c r="D716" s="13" t="s">
        <v>162</v>
      </c>
      <c r="E716" s="13" t="str">
        <f>IFERROR(INDEX('Почасовка — ставки и план'!$B$5:$B$24,MATCH(D716,'Почасовка — ставки и план'!$A$5:$A$24,0)),"Аренда техники / механизмы")</f>
        <v>Бетонщик / арматурщик</v>
      </c>
      <c r="F716" s="14">
        <v>4000</v>
      </c>
      <c r="G716" s="14">
        <v>4600</v>
      </c>
      <c r="H716" s="15">
        <v>2400</v>
      </c>
      <c r="I716" s="15">
        <f>IF(OR(H716="",F716=""),"",MAX(H716,MIN(ROUND(H716*(1+Параметры!$B$5),IF(H716*(1+Параметры!$B$5)&gt;=1000,-1,0)),ROUND(F716*Параметры!$B$6,IF(F716*Параметры!$B$6&gt;=1000,-1,0)))))</f>
        <v>2760</v>
      </c>
      <c r="J716" s="15">
        <v>2800</v>
      </c>
      <c r="K716" s="15">
        <f>IF(OR(J716="",G716=""),"",MAX(J716,MIN(ROUND(J716*(1+Параметры!$B$5),IF(J716*(1+Параметры!$B$5)&gt;=1000,-1,0)),ROUND(G716*Параметры!$B$6,IF(G716*Параметры!$B$6&gt;=1000,-1,0)))))</f>
        <v>3220</v>
      </c>
      <c r="L716" s="16">
        <v>3</v>
      </c>
      <c r="M716" s="17">
        <f>IF(OR(L716="",L716=0),"",1/L716)</f>
        <v>0.33333333333333331</v>
      </c>
      <c r="N716" s="17">
        <f>IF(OR(L716="",L716=0),"",Параметры!$B$3/L716)</f>
        <v>2.6666666666666665</v>
      </c>
      <c r="O716" s="15">
        <f>IF(L716="","",IFERROR(INDEX('Почасовка — ставки и план'!$D$5:$D$24,MATCH($D716,'Почасовка — ставки и план'!$A$5:$A$24,0)),""))</f>
        <v>800</v>
      </c>
      <c r="P716" s="15">
        <f>IF(L716="","",IFERROR(INDEX('Почасовка — ставки и план'!$E$5:$E$24,MATCH($D716,'Почасовка — ставки и план'!$A$5:$A$24,0)),""))</f>
        <v>950</v>
      </c>
      <c r="Q716" s="15">
        <f>IF(OR(L716="",O716=""),"",ROUND(L716*O716,0))</f>
        <v>2400</v>
      </c>
      <c r="R716" s="13" t="str">
        <f>IF(D716="TEX","аренда техники — сделка/счёт",IF(OR(Q716="",H716="",H716=0),"—",IF(Q716&lt;H716*(1-Параметры!$B$7),"почасовка",IF(Q716&gt;H716*(1+Параметры!$B$7),"сделка","любой способ"))))</f>
        <v>любой способ</v>
      </c>
      <c r="S716">
        <v>0</v>
      </c>
      <c r="T716">
        <v>0</v>
      </c>
    </row>
    <row r="717" spans="1:20" x14ac:dyDescent="0.25">
      <c r="A717" s="18" t="s">
        <v>1480</v>
      </c>
      <c r="B717" s="13" t="s">
        <v>1481</v>
      </c>
      <c r="C717" s="13" t="s">
        <v>72</v>
      </c>
      <c r="D717" s="13" t="s">
        <v>60</v>
      </c>
      <c r="E717" s="13" t="str">
        <f>IFERROR(INDEX('Почасовка — ставки и план'!$B$5:$B$24,MATCH(D717,'Почасовка — ставки и план'!$A$5:$A$24,0)),"Аренда техники / механизмы")</f>
        <v>Разнорабочий / демонтажник</v>
      </c>
      <c r="F717" s="14">
        <v>300</v>
      </c>
      <c r="G717" s="14">
        <v>350</v>
      </c>
      <c r="H717" s="15">
        <v>180</v>
      </c>
      <c r="I717" s="15">
        <f>IF(OR(H717="",F717=""),"",MAX(H717,MIN(ROUND(H717*(1+Параметры!$B$5),IF(H717*(1+Параметры!$B$5)&gt;=1000,-1,0)),ROUND(F717*Параметры!$B$6,IF(F717*Параметры!$B$6&gt;=1000,-1,0)))))</f>
        <v>207</v>
      </c>
      <c r="J717" s="15">
        <v>210</v>
      </c>
      <c r="K717" s="15">
        <f>IF(OR(J717="",G717=""),"",MAX(J717,MIN(ROUND(J717*(1+Параметры!$B$5),IF(J717*(1+Параметры!$B$5)&gt;=1000,-1,0)),ROUND(G717*Параметры!$B$6,IF(G717*Параметры!$B$6&gt;=1000,-1,0)))))</f>
        <v>242</v>
      </c>
      <c r="L717" s="16">
        <v>0.3</v>
      </c>
      <c r="M717" s="17">
        <f>IF(OR(L717="",L717=0),"",1/L717)</f>
        <v>3.3333333333333335</v>
      </c>
      <c r="N717" s="17">
        <f>IF(OR(L717="",L717=0),"",Параметры!$B$3/L717)</f>
        <v>26.666666666666668</v>
      </c>
      <c r="O717" s="15">
        <f>IF(L717="","",IFERROR(INDEX('Почасовка — ставки и план'!$D$5:$D$24,MATCH($D717,'Почасовка — ставки и план'!$A$5:$A$24,0)),""))</f>
        <v>550</v>
      </c>
      <c r="P717" s="15">
        <f>IF(L717="","",IFERROR(INDEX('Почасовка — ставки и план'!$E$5:$E$24,MATCH($D717,'Почасовка — ставки и план'!$A$5:$A$24,0)),""))</f>
        <v>660</v>
      </c>
      <c r="Q717" s="15">
        <f>IF(OR(L717="",O717=""),"",ROUND(L717*O717,0))</f>
        <v>165</v>
      </c>
      <c r="R717" s="13" t="str">
        <f>IF(D717="TEX","аренда техники — сделка/счёт",IF(OR(Q717="",H717="",H717=0),"—",IF(Q717&lt;H717*(1-Параметры!$B$7),"почасовка",IF(Q717&gt;H717*(1+Параметры!$B$7),"сделка","любой способ"))))</f>
        <v>любой способ</v>
      </c>
      <c r="S717">
        <v>0</v>
      </c>
      <c r="T717">
        <v>0</v>
      </c>
    </row>
    <row r="718" spans="1:20" x14ac:dyDescent="0.25">
      <c r="A718" s="11" t="s">
        <v>1482</v>
      </c>
      <c r="B718" s="12"/>
      <c r="C718" s="12"/>
      <c r="D718" s="12"/>
      <c r="E718" s="12"/>
      <c r="F718" s="12"/>
      <c r="G718" s="12"/>
      <c r="H718" s="12"/>
      <c r="I718" s="12"/>
      <c r="J718" s="12"/>
      <c r="K718" s="12"/>
      <c r="L718" s="12"/>
      <c r="M718" s="12"/>
      <c r="N718" s="12"/>
      <c r="O718" s="12"/>
      <c r="P718" s="12"/>
      <c r="Q718" s="12"/>
      <c r="R718" s="12"/>
    </row>
    <row r="719" spans="1:20" x14ac:dyDescent="0.25">
      <c r="A719" s="13" t="s">
        <v>1483</v>
      </c>
      <c r="B719" s="13" t="s">
        <v>1484</v>
      </c>
      <c r="C719" s="13" t="s">
        <v>72</v>
      </c>
      <c r="D719" s="13" t="s">
        <v>276</v>
      </c>
      <c r="E719" s="13" t="str">
        <f>IFERROR(INDEX('Почасовка — ставки и план'!$B$5:$B$24,MATCH(D719,'Почасовка — ставки и план'!$A$5:$A$24,0)),"Аренда техники / механизмы")</f>
        <v>Монтажник дверей, окон, перегородок</v>
      </c>
      <c r="F719" s="14">
        <v>1600</v>
      </c>
      <c r="G719" s="14">
        <v>1900</v>
      </c>
      <c r="H719" s="15">
        <v>900</v>
      </c>
      <c r="I719" s="15">
        <f>IF(OR(H719="",F719=""),"",MAX(H719,MIN(ROUND(H719*(1+Параметры!$B$5),IF(H719*(1+Параметры!$B$5)&gt;=1000,-1,0)),ROUND(F719*Параметры!$B$6,IF(F719*Параметры!$B$6&gt;=1000,-1,0)))))</f>
        <v>1040</v>
      </c>
      <c r="J719" s="15">
        <v>1050</v>
      </c>
      <c r="K719" s="15">
        <f>IF(OR(J719="",G719=""),"",MAX(J719,MIN(ROUND(J719*(1+Параметры!$B$5),IF(J719*(1+Параметры!$B$5)&gt;=1000,-1,0)),ROUND(G719*Параметры!$B$6,IF(G719*Параметры!$B$6&gt;=1000,-1,0)))))</f>
        <v>1210</v>
      </c>
      <c r="L719" s="16">
        <v>1.5</v>
      </c>
      <c r="M719" s="17">
        <f t="shared" ref="M719:M753" si="64">IF(OR(L719="",L719=0),"",1/L719)</f>
        <v>0.66666666666666663</v>
      </c>
      <c r="N719" s="17">
        <f>IF(OR(L719="",L719=0),"",Параметры!$B$3/L719)</f>
        <v>5.333333333333333</v>
      </c>
      <c r="O719" s="15">
        <f>IF(L719="","",IFERROR(INDEX('Почасовка — ставки и план'!$D$5:$D$24,MATCH($D719,'Почасовка — ставки и план'!$A$5:$A$24,0)),""))</f>
        <v>800</v>
      </c>
      <c r="P719" s="15">
        <f>IF(L719="","",IFERROR(INDEX('Почасовка — ставки и план'!$E$5:$E$24,MATCH($D719,'Почасовка — ставки и план'!$A$5:$A$24,0)),""))</f>
        <v>950</v>
      </c>
      <c r="Q719" s="15">
        <f t="shared" ref="Q719:Q753" si="65">IF(OR(L719="",O719=""),"",ROUND(L719*O719,0))</f>
        <v>1200</v>
      </c>
      <c r="R719" s="13" t="str">
        <f>IF(D719="TEX","аренда техники — сделка/счёт",IF(OR(Q719="",H719="",H719=0),"—",IF(Q719&lt;H719*(1-Параметры!$B$7),"почасовка",IF(Q719&gt;H719*(1+Параметры!$B$7),"сделка","любой способ"))))</f>
        <v>сделка</v>
      </c>
      <c r="S719">
        <v>6.6666666666666652E-2</v>
      </c>
      <c r="T719">
        <v>8.5714285714285632E-2</v>
      </c>
    </row>
    <row r="720" spans="1:20" x14ac:dyDescent="0.25">
      <c r="A720" s="13" t="s">
        <v>1485</v>
      </c>
      <c r="B720" s="13" t="s">
        <v>1486</v>
      </c>
      <c r="C720" s="13" t="s">
        <v>72</v>
      </c>
      <c r="D720" s="13" t="s">
        <v>252</v>
      </c>
      <c r="E720" s="13" t="str">
        <f>IFERROR(INDEX('Почасовка — ставки и план'!$B$5:$B$24,MATCH(D720,'Почасовка — ставки и план'!$A$5:$A$24,0)),"Аренда техники / механизмы")</f>
        <v>Каменщик</v>
      </c>
      <c r="F720" s="14">
        <v>1387</v>
      </c>
      <c r="G720" s="14">
        <v>1647</v>
      </c>
      <c r="H720" s="15">
        <v>800</v>
      </c>
      <c r="I720" s="15">
        <f>IF(OR(H720="",F720=""),"",MAX(H720,MIN(ROUND(H720*(1+Параметры!$B$5),IF(H720*(1+Параметры!$B$5)&gt;=1000,-1,0)),ROUND(F720*Параметры!$B$6,IF(F720*Параметры!$B$6&gt;=1000,-1,0)))))</f>
        <v>920</v>
      </c>
      <c r="J720" s="15">
        <v>920</v>
      </c>
      <c r="K720" s="15">
        <f>IF(OR(J720="",G720=""),"",MAX(J720,MIN(ROUND(J720*(1+Параметры!$B$5),IF(J720*(1+Параметры!$B$5)&gt;=1000,-1,0)),ROUND(G720*Параметры!$B$6,IF(G720*Параметры!$B$6&gt;=1000,-1,0)))))</f>
        <v>1060</v>
      </c>
      <c r="L720" s="16">
        <v>1.3</v>
      </c>
      <c r="M720" s="17">
        <f t="shared" si="64"/>
        <v>0.76923076923076916</v>
      </c>
      <c r="N720" s="17">
        <f>IF(OR(L720="",L720=0),"",Параметры!$B$3/L720)</f>
        <v>6.1538461538461533</v>
      </c>
      <c r="O720" s="15">
        <f>IF(L720="","",IFERROR(INDEX('Почасовка — ставки и план'!$D$5:$D$24,MATCH($D720,'Почасовка — ставки и план'!$A$5:$A$24,0)),""))</f>
        <v>800</v>
      </c>
      <c r="P720" s="15">
        <f>IF(L720="","",IFERROR(INDEX('Почасовка — ставки и план'!$E$5:$E$24,MATCH($D720,'Почасовка — ставки и план'!$A$5:$A$24,0)),""))</f>
        <v>950</v>
      </c>
      <c r="Q720" s="15">
        <f t="shared" si="65"/>
        <v>1040</v>
      </c>
      <c r="R720" s="13" t="str">
        <f>IF(D720="TEX","аренда техники — сделка/счёт",IF(OR(Q720="",H720="",H720=0),"—",IF(Q720&lt;H720*(1-Параметры!$B$7),"почасовка",IF(Q720&gt;H720*(1+Параметры!$B$7),"сделка","любой способ"))))</f>
        <v>сделка</v>
      </c>
      <c r="S720">
        <v>6.6923076923076863E-2</v>
      </c>
      <c r="T720">
        <v>9.8000000000000087E-2</v>
      </c>
    </row>
    <row r="721" spans="1:20" x14ac:dyDescent="0.25">
      <c r="A721" s="13" t="s">
        <v>1487</v>
      </c>
      <c r="B721" s="13" t="s">
        <v>1488</v>
      </c>
      <c r="C721" s="13" t="s">
        <v>72</v>
      </c>
      <c r="D721" s="13" t="s">
        <v>252</v>
      </c>
      <c r="E721" s="13" t="str">
        <f>IFERROR(INDEX('Почасовка — ставки и план'!$B$5:$B$24,MATCH(D721,'Почасовка — ставки и план'!$A$5:$A$24,0)),"Аренда техники / механизмы")</f>
        <v>Каменщик</v>
      </c>
      <c r="F721" s="14">
        <v>1100</v>
      </c>
      <c r="G721" s="14">
        <v>1300</v>
      </c>
      <c r="H721" s="15">
        <v>680</v>
      </c>
      <c r="I721" s="15">
        <f>IF(OR(H721="",F721=""),"",MAX(H721,MIN(ROUND(H721*(1+Параметры!$B$5),IF(H721*(1+Параметры!$B$5)&gt;=1000,-1,0)),ROUND(F721*Параметры!$B$6,IF(F721*Параметры!$B$6&gt;=1000,-1,0)))))</f>
        <v>782</v>
      </c>
      <c r="J721" s="15">
        <v>790</v>
      </c>
      <c r="K721" s="15">
        <f>IF(OR(J721="",G721=""),"",MAX(J721,MIN(ROUND(J721*(1+Параметры!$B$5),IF(J721*(1+Параметры!$B$5)&gt;=1000,-1,0)),ROUND(G721*Параметры!$B$6,IF(G721*Параметры!$B$6&gt;=1000,-1,0)))))</f>
        <v>909</v>
      </c>
      <c r="L721" s="16">
        <v>1</v>
      </c>
      <c r="M721" s="17">
        <f t="shared" si="64"/>
        <v>1</v>
      </c>
      <c r="N721" s="17">
        <f>IF(OR(L721="",L721=0),"",Параметры!$B$3/L721)</f>
        <v>8</v>
      </c>
      <c r="O721" s="15">
        <f>IF(L721="","",IFERROR(INDEX('Почасовка — ставки и план'!$D$5:$D$24,MATCH($D721,'Почасовка — ставки и план'!$A$5:$A$24,0)),""))</f>
        <v>800</v>
      </c>
      <c r="P721" s="15">
        <f>IF(L721="","",IFERROR(INDEX('Почасовка — ставки и план'!$E$5:$E$24,MATCH($D721,'Почасовка — ставки и план'!$A$5:$A$24,0)),""))</f>
        <v>950</v>
      </c>
      <c r="Q721" s="15">
        <f t="shared" si="65"/>
        <v>800</v>
      </c>
      <c r="R721" s="13" t="str">
        <f>IF(D721="TEX","аренда техники — сделка/счёт",IF(OR(Q721="",H721="",H721=0),"—",IF(Q721&lt;H721*(1-Параметры!$B$7),"почасовка",IF(Q721&gt;H721*(1+Параметры!$B$7),"сделка","любой способ"))))</f>
        <v>сделка</v>
      </c>
      <c r="S721">
        <v>0</v>
      </c>
      <c r="T721">
        <v>0</v>
      </c>
    </row>
    <row r="722" spans="1:20" x14ac:dyDescent="0.25">
      <c r="A722" s="13" t="s">
        <v>1489</v>
      </c>
      <c r="B722" s="13" t="s">
        <v>1490</v>
      </c>
      <c r="C722" s="13" t="s">
        <v>55</v>
      </c>
      <c r="D722" s="13" t="s">
        <v>252</v>
      </c>
      <c r="E722" s="13" t="str">
        <f>IFERROR(INDEX('Почасовка — ставки и план'!$B$5:$B$24,MATCH(D722,'Почасовка — ставки и план'!$A$5:$A$24,0)),"Аренда техники / механизмы")</f>
        <v>Каменщик</v>
      </c>
      <c r="F722" s="14">
        <v>4800</v>
      </c>
      <c r="G722" s="14">
        <v>5700</v>
      </c>
      <c r="H722" s="15">
        <v>2800</v>
      </c>
      <c r="I722" s="15">
        <f>IF(OR(H722="",F722=""),"",MAX(H722,MIN(ROUND(H722*(1+Параметры!$B$5),IF(H722*(1+Параметры!$B$5)&gt;=1000,-1,0)),ROUND(F722*Параметры!$B$6,IF(F722*Параметры!$B$6&gt;=1000,-1,0)))))</f>
        <v>3220</v>
      </c>
      <c r="J722" s="15">
        <v>3200</v>
      </c>
      <c r="K722" s="15">
        <f>IF(OR(J722="",G722=""),"",MAX(J722,MIN(ROUND(J722*(1+Параметры!$B$5),IF(J722*(1+Параметры!$B$5)&gt;=1000,-1,0)),ROUND(G722*Параметры!$B$6,IF(G722*Параметры!$B$6&gt;=1000,-1,0)))))</f>
        <v>3680</v>
      </c>
      <c r="L722" s="16">
        <v>4.5</v>
      </c>
      <c r="M722" s="17">
        <f t="shared" si="64"/>
        <v>0.22222222222222221</v>
      </c>
      <c r="N722" s="17">
        <f>IF(OR(L722="",L722=0),"",Параметры!$B$3/L722)</f>
        <v>1.7777777777777777</v>
      </c>
      <c r="O722" s="15">
        <f>IF(L722="","",IFERROR(INDEX('Почасовка — ставки и план'!$D$5:$D$24,MATCH($D722,'Почасовка — ставки и план'!$A$5:$A$24,0)),""))</f>
        <v>800</v>
      </c>
      <c r="P722" s="15">
        <f>IF(L722="","",IFERROR(INDEX('Почасовка — ставки и план'!$E$5:$E$24,MATCH($D722,'Почасовка — ставки и план'!$A$5:$A$24,0)),""))</f>
        <v>950</v>
      </c>
      <c r="Q722" s="15">
        <f t="shared" si="65"/>
        <v>3600</v>
      </c>
      <c r="R722" s="13" t="str">
        <f>IF(D722="TEX","аренда техники — сделка/счёт",IF(OR(Q722="",H722="",H722=0),"—",IF(Q722&lt;H722*(1-Параметры!$B$7),"почасовка",IF(Q722&gt;H722*(1+Параметры!$B$7),"сделка","любой способ"))))</f>
        <v>сделка</v>
      </c>
      <c r="S722">
        <v>6.6666666666666652E-2</v>
      </c>
      <c r="T722">
        <v>9.6153846153846256E-2</v>
      </c>
    </row>
    <row r="723" spans="1:20" x14ac:dyDescent="0.25">
      <c r="A723" s="13" t="s">
        <v>1491</v>
      </c>
      <c r="B723" s="13" t="s">
        <v>1492</v>
      </c>
      <c r="C723" s="13" t="s">
        <v>72</v>
      </c>
      <c r="D723" s="13" t="s">
        <v>252</v>
      </c>
      <c r="E723" s="13" t="str">
        <f>IFERROR(INDEX('Почасовка — ставки и план'!$B$5:$B$24,MATCH(D723,'Почасовка — ставки и план'!$A$5:$A$24,0)),"Аренда техники / механизмы")</f>
        <v>Каменщик</v>
      </c>
      <c r="F723" s="14">
        <v>1300</v>
      </c>
      <c r="G723" s="14">
        <v>1500</v>
      </c>
      <c r="H723" s="15">
        <v>800</v>
      </c>
      <c r="I723" s="15">
        <f>IF(OR(H723="",F723=""),"",MAX(H723,MIN(ROUND(H723*(1+Параметры!$B$5),IF(H723*(1+Параметры!$B$5)&gt;=1000,-1,0)),ROUND(F723*Параметры!$B$6,IF(F723*Параметры!$B$6&gt;=1000,-1,0)))))</f>
        <v>920</v>
      </c>
      <c r="J723" s="15">
        <v>920</v>
      </c>
      <c r="K723" s="15">
        <f>IF(OR(J723="",G723=""),"",MAX(J723,MIN(ROUND(J723*(1+Параметры!$B$5),IF(J723*(1+Параметры!$B$5)&gt;=1000,-1,0)),ROUND(G723*Параметры!$B$6,IF(G723*Параметры!$B$6&gt;=1000,-1,0)))))</f>
        <v>1060</v>
      </c>
      <c r="L723" s="16">
        <v>1.1000000000000001</v>
      </c>
      <c r="M723" s="17">
        <f t="shared" si="64"/>
        <v>0.90909090909090906</v>
      </c>
      <c r="N723" s="17">
        <f>IF(OR(L723="",L723=0),"",Параметры!$B$3/L723)</f>
        <v>7.2727272727272725</v>
      </c>
      <c r="O723" s="15">
        <f>IF(L723="","",IFERROR(INDEX('Почасовка — ставки и план'!$D$5:$D$24,MATCH($D723,'Почасовка — ставки и план'!$A$5:$A$24,0)),""))</f>
        <v>800</v>
      </c>
      <c r="P723" s="15">
        <f>IF(L723="","",IFERROR(INDEX('Почасовка — ставки и план'!$E$5:$E$24,MATCH($D723,'Почасовка — ставки и план'!$A$5:$A$24,0)),""))</f>
        <v>950</v>
      </c>
      <c r="Q723" s="15">
        <f t="shared" si="65"/>
        <v>880</v>
      </c>
      <c r="R723" s="13" t="str">
        <f>IF(D723="TEX","аренда техники — сделка/счёт",IF(OR(Q723="",H723="",H723=0),"—",IF(Q723&lt;H723*(1-Параметры!$B$7),"почасовка",IF(Q723&gt;H723*(1+Параметры!$B$7),"сделка","любой способ"))))</f>
        <v>любой способ</v>
      </c>
      <c r="S723">
        <v>0</v>
      </c>
      <c r="T723">
        <v>0</v>
      </c>
    </row>
    <row r="724" spans="1:20" x14ac:dyDescent="0.25">
      <c r="A724" s="13" t="s">
        <v>1493</v>
      </c>
      <c r="B724" s="13" t="s">
        <v>1494</v>
      </c>
      <c r="C724" s="13" t="s">
        <v>72</v>
      </c>
      <c r="D724" s="13" t="s">
        <v>276</v>
      </c>
      <c r="E724" s="13" t="str">
        <f>IFERROR(INDEX('Почасовка — ставки и план'!$B$5:$B$24,MATCH(D724,'Почасовка — ставки и план'!$A$5:$A$24,0)),"Аренда техники / механизмы")</f>
        <v>Монтажник дверей, окон, перегородок</v>
      </c>
      <c r="F724" s="14">
        <v>2667</v>
      </c>
      <c r="G724" s="14">
        <v>3167</v>
      </c>
      <c r="H724" s="15">
        <v>1000</v>
      </c>
      <c r="I724" s="15">
        <f>IF(OR(H724="",F724=""),"",MAX(H724,MIN(ROUND(H724*(1+Параметры!$B$5),IF(H724*(1+Параметры!$B$5)&gt;=1000,-1,0)),ROUND(F724*Параметры!$B$6,IF(F724*Параметры!$B$6&gt;=1000,-1,0)))))</f>
        <v>1150</v>
      </c>
      <c r="J724" s="15">
        <v>1150</v>
      </c>
      <c r="K724" s="15">
        <f>IF(OR(J724="",G724=""),"",MAX(J724,MIN(ROUND(J724*(1+Параметры!$B$5),IF(J724*(1+Параметры!$B$5)&gt;=1000,-1,0)),ROUND(G724*Параметры!$B$6,IF(G724*Параметры!$B$6&gt;=1000,-1,0)))))</f>
        <v>1320</v>
      </c>
      <c r="L724" s="16">
        <v>2.5</v>
      </c>
      <c r="M724" s="17">
        <f t="shared" si="64"/>
        <v>0.4</v>
      </c>
      <c r="N724" s="17">
        <f>IF(OR(L724="",L724=0),"",Параметры!$B$3/L724)</f>
        <v>3.2</v>
      </c>
      <c r="O724" s="15">
        <f>IF(L724="","",IFERROR(INDEX('Почасовка — ставки и план'!$D$5:$D$24,MATCH($D724,'Почасовка — ставки и план'!$A$5:$A$24,0)),""))</f>
        <v>800</v>
      </c>
      <c r="P724" s="15">
        <f>IF(L724="","",IFERROR(INDEX('Почасовка — ставки и план'!$E$5:$E$24,MATCH($D724,'Почасовка — ставки и план'!$A$5:$A$24,0)),""))</f>
        <v>950</v>
      </c>
      <c r="Q724" s="15">
        <f t="shared" si="65"/>
        <v>2000</v>
      </c>
      <c r="R724" s="13" t="str">
        <f>IF(D724="TEX","аренда техники — сделка/счёт",IF(OR(Q724="",H724="",H724=0),"—",IF(Q724&lt;H724*(1-Параметры!$B$7),"почасовка",IF(Q724&gt;H724*(1+Параметры!$B$7),"сделка","любой способ"))))</f>
        <v>сделка</v>
      </c>
      <c r="S724">
        <v>0.66687500000000011</v>
      </c>
      <c r="T724">
        <v>0.75944444444444437</v>
      </c>
    </row>
    <row r="725" spans="1:20" x14ac:dyDescent="0.25">
      <c r="A725" s="13" t="s">
        <v>1495</v>
      </c>
      <c r="B725" s="13" t="s">
        <v>1496</v>
      </c>
      <c r="C725" s="13" t="s">
        <v>72</v>
      </c>
      <c r="D725" s="13" t="s">
        <v>276</v>
      </c>
      <c r="E725" s="13" t="str">
        <f>IFERROR(INDEX('Почасовка — ставки и план'!$B$5:$B$24,MATCH(D725,'Почасовка — ставки и план'!$A$5:$A$24,0)),"Аренда техники / механизмы")</f>
        <v>Монтажник дверей, окон, перегородок</v>
      </c>
      <c r="F725" s="14">
        <v>2134</v>
      </c>
      <c r="G725" s="14">
        <v>2534</v>
      </c>
      <c r="H725" s="15">
        <v>850</v>
      </c>
      <c r="I725" s="15">
        <f>IF(OR(H725="",F725=""),"",MAX(H725,MIN(ROUND(H725*(1+Параметры!$B$5),IF(H725*(1+Параметры!$B$5)&gt;=1000,-1,0)),ROUND(F725*Параметры!$B$6,IF(F725*Параметры!$B$6&gt;=1000,-1,0)))))</f>
        <v>978</v>
      </c>
      <c r="J725" s="15">
        <v>980</v>
      </c>
      <c r="K725" s="15">
        <f>IF(OR(J725="",G725=""),"",MAX(J725,MIN(ROUND(J725*(1+Параметры!$B$5),IF(J725*(1+Параметры!$B$5)&gt;=1000,-1,0)),ROUND(G725*Параметры!$B$6,IF(G725*Параметры!$B$6&gt;=1000,-1,0)))))</f>
        <v>1130</v>
      </c>
      <c r="L725" s="16">
        <v>2</v>
      </c>
      <c r="M725" s="17">
        <f t="shared" si="64"/>
        <v>0.5</v>
      </c>
      <c r="N725" s="17">
        <f>IF(OR(L725="",L725=0),"",Параметры!$B$3/L725)</f>
        <v>4</v>
      </c>
      <c r="O725" s="15">
        <f>IF(L725="","",IFERROR(INDEX('Почасовка — ставки и план'!$D$5:$D$24,MATCH($D725,'Почасовка — ставки и план'!$A$5:$A$24,0)),""))</f>
        <v>800</v>
      </c>
      <c r="P725" s="15">
        <f>IF(L725="","",IFERROR(INDEX('Почасовка — ставки и план'!$E$5:$E$24,MATCH($D725,'Почасовка — ставки и план'!$A$5:$A$24,0)),""))</f>
        <v>950</v>
      </c>
      <c r="Q725" s="15">
        <f t="shared" si="65"/>
        <v>1600</v>
      </c>
      <c r="R725" s="13" t="str">
        <f>IF(D725="TEX","аренда техники — сделка/счёт",IF(OR(Q725="",H725="",H725=0),"—",IF(Q725&lt;H725*(1-Параметры!$B$7),"почасовка",IF(Q725&gt;H725*(1+Параметры!$B$7),"сделка","любой способ"))))</f>
        <v>сделка</v>
      </c>
      <c r="S725">
        <v>0.52428571428571424</v>
      </c>
      <c r="T725">
        <v>0.58374999999999999</v>
      </c>
    </row>
    <row r="726" spans="1:20" x14ac:dyDescent="0.25">
      <c r="A726" s="13" t="s">
        <v>1497</v>
      </c>
      <c r="B726" s="13" t="s">
        <v>1498</v>
      </c>
      <c r="C726" s="13" t="s">
        <v>72</v>
      </c>
      <c r="D726" s="13" t="s">
        <v>276</v>
      </c>
      <c r="E726" s="13" t="str">
        <f>IFERROR(INDEX('Почасовка — ставки и план'!$B$5:$B$24,MATCH(D726,'Почасовка — ставки и план'!$A$5:$A$24,0)),"Аренда техники / механизмы")</f>
        <v>Монтажник дверей, окон, перегородок</v>
      </c>
      <c r="F726" s="14">
        <v>2667</v>
      </c>
      <c r="G726" s="14">
        <v>3167</v>
      </c>
      <c r="H726" s="15">
        <v>1000</v>
      </c>
      <c r="I726" s="15">
        <f>IF(OR(H726="",F726=""),"",MAX(H726,MIN(ROUND(H726*(1+Параметры!$B$5),IF(H726*(1+Параметры!$B$5)&gt;=1000,-1,0)),ROUND(F726*Параметры!$B$6,IF(F726*Параметры!$B$6&gt;=1000,-1,0)))))</f>
        <v>1150</v>
      </c>
      <c r="J726" s="15">
        <v>1150</v>
      </c>
      <c r="K726" s="15">
        <f>IF(OR(J726="",G726=""),"",MAX(J726,MIN(ROUND(J726*(1+Параметры!$B$5),IF(J726*(1+Параметры!$B$5)&gt;=1000,-1,0)),ROUND(G726*Параметры!$B$6,IF(G726*Параметры!$B$6&gt;=1000,-1,0)))))</f>
        <v>1320</v>
      </c>
      <c r="L726" s="16">
        <v>2.5</v>
      </c>
      <c r="M726" s="17">
        <f t="shared" si="64"/>
        <v>0.4</v>
      </c>
      <c r="N726" s="17">
        <f>IF(OR(L726="",L726=0),"",Параметры!$B$3/L726)</f>
        <v>3.2</v>
      </c>
      <c r="O726" s="15">
        <f>IF(L726="","",IFERROR(INDEX('Почасовка — ставки и план'!$D$5:$D$24,MATCH($D726,'Почасовка — ставки и план'!$A$5:$A$24,0)),""))</f>
        <v>800</v>
      </c>
      <c r="P726" s="15">
        <f>IF(L726="","",IFERROR(INDEX('Почасовка — ставки и план'!$E$5:$E$24,MATCH($D726,'Почасовка — ставки и план'!$A$5:$A$24,0)),""))</f>
        <v>950</v>
      </c>
      <c r="Q726" s="15">
        <f t="shared" si="65"/>
        <v>2000</v>
      </c>
      <c r="R726" s="13" t="str">
        <f>IF(D726="TEX","аренда техники — сделка/счёт",IF(OR(Q726="",H726="",H726=0),"—",IF(Q726&lt;H726*(1-Параметры!$B$7),"почасовка",IF(Q726&gt;H726*(1+Параметры!$B$7),"сделка","любой способ"))))</f>
        <v>сделка</v>
      </c>
      <c r="S726">
        <v>0.66687500000000011</v>
      </c>
      <c r="T726">
        <v>0.75944444444444437</v>
      </c>
    </row>
    <row r="727" spans="1:20" x14ac:dyDescent="0.25">
      <c r="A727" s="13" t="s">
        <v>1499</v>
      </c>
      <c r="B727" s="13" t="s">
        <v>1500</v>
      </c>
      <c r="C727" s="13" t="s">
        <v>72</v>
      </c>
      <c r="D727" s="13" t="s">
        <v>276</v>
      </c>
      <c r="E727" s="13" t="str">
        <f>IFERROR(INDEX('Почасовка — ставки и план'!$B$5:$B$24,MATCH(D727,'Почасовка — ставки и план'!$A$5:$A$24,0)),"Аренда техники / механизмы")</f>
        <v>Монтажник дверей, окон, перегородок</v>
      </c>
      <c r="F727" s="14">
        <v>1920</v>
      </c>
      <c r="G727" s="14">
        <v>2280</v>
      </c>
      <c r="H727" s="15">
        <v>1100</v>
      </c>
      <c r="I727" s="15">
        <f>IF(OR(H727="",F727=""),"",MAX(H727,MIN(ROUND(H727*(1+Параметры!$B$5),IF(H727*(1+Параметры!$B$5)&gt;=1000,-1,0)),ROUND(F727*Параметры!$B$6,IF(F727*Параметры!$B$6&gt;=1000,-1,0)))))</f>
        <v>1270</v>
      </c>
      <c r="J727" s="15">
        <v>1270</v>
      </c>
      <c r="K727" s="15">
        <f>IF(OR(J727="",G727=""),"",MAX(J727,MIN(ROUND(J727*(1+Параметры!$B$5),IF(J727*(1+Параметры!$B$5)&gt;=1000,-1,0)),ROUND(G727*Параметры!$B$6,IF(G727*Параметры!$B$6&gt;=1000,-1,0)))))</f>
        <v>1460</v>
      </c>
      <c r="L727" s="16">
        <v>1.8</v>
      </c>
      <c r="M727" s="17">
        <f t="shared" si="64"/>
        <v>0.55555555555555558</v>
      </c>
      <c r="N727" s="17">
        <f>IF(OR(L727="",L727=0),"",Параметры!$B$3/L727)</f>
        <v>4.4444444444444446</v>
      </c>
      <c r="O727" s="15">
        <f>IF(L727="","",IFERROR(INDEX('Почасовка — ставки и план'!$D$5:$D$24,MATCH($D727,'Почасовка — ставки и план'!$A$5:$A$24,0)),""))</f>
        <v>800</v>
      </c>
      <c r="P727" s="15">
        <f>IF(L727="","",IFERROR(INDEX('Почасовка — ставки и план'!$E$5:$E$24,MATCH($D727,'Почасовка — ставки и план'!$A$5:$A$24,0)),""))</f>
        <v>950</v>
      </c>
      <c r="Q727" s="15">
        <f t="shared" si="65"/>
        <v>1440</v>
      </c>
      <c r="R727" s="13" t="str">
        <f>IF(D727="TEX","аренда техники — сделка/счёт",IF(OR(Q727="",H727="",H727=0),"—",IF(Q727&lt;H727*(1-Параметры!$B$7),"почасовка",IF(Q727&gt;H727*(1+Параметры!$B$7),"сделка","любой способ"))))</f>
        <v>сделка</v>
      </c>
      <c r="S727">
        <v>6.6666666666666652E-2</v>
      </c>
      <c r="T727">
        <v>8.5714285714285632E-2</v>
      </c>
    </row>
    <row r="728" spans="1:20" x14ac:dyDescent="0.25">
      <c r="A728" s="13" t="s">
        <v>1501</v>
      </c>
      <c r="B728" s="13" t="s">
        <v>1502</v>
      </c>
      <c r="C728" s="13" t="s">
        <v>72</v>
      </c>
      <c r="D728" s="13" t="s">
        <v>208</v>
      </c>
      <c r="E728" s="13" t="str">
        <f>IFERROR(INDEX('Почасовка — ставки и план'!$B$5:$B$24,MATCH(D728,'Почасовка — ставки и план'!$A$5:$A$24,0)),"Аренда техники / механизмы")</f>
        <v>Отделочник (штукатур, маляр, ГКЛ)</v>
      </c>
      <c r="F728" s="14">
        <v>280</v>
      </c>
      <c r="G728" s="14">
        <v>320</v>
      </c>
      <c r="H728" s="15">
        <v>170</v>
      </c>
      <c r="I728" s="15">
        <f>IF(OR(H728="",F728=""),"",MAX(H728,MIN(ROUND(H728*(1+Параметры!$B$5),IF(H728*(1+Параметры!$B$5)&gt;=1000,-1,0)),ROUND(F728*Параметры!$B$6,IF(F728*Параметры!$B$6&gt;=1000,-1,0)))))</f>
        <v>196</v>
      </c>
      <c r="J728" s="15">
        <v>195</v>
      </c>
      <c r="K728" s="15">
        <f>IF(OR(J728="",G728=""),"",MAX(J728,MIN(ROUND(J728*(1+Параметры!$B$5),IF(J728*(1+Параметры!$B$5)&gt;=1000,-1,0)),ROUND(G728*Параметры!$B$6,IF(G728*Параметры!$B$6&gt;=1000,-1,0)))))</f>
        <v>224</v>
      </c>
      <c r="L728" s="16">
        <v>0.25</v>
      </c>
      <c r="M728" s="17">
        <f t="shared" si="64"/>
        <v>4</v>
      </c>
      <c r="N728" s="17">
        <f>IF(OR(L728="",L728=0),"",Параметры!$B$3/L728)</f>
        <v>32</v>
      </c>
      <c r="O728" s="15">
        <f>IF(L728="","",IFERROR(INDEX('Почасовка — ставки и план'!$D$5:$D$24,MATCH($D728,'Почасовка — ставки и план'!$A$5:$A$24,0)),""))</f>
        <v>750</v>
      </c>
      <c r="P728" s="15">
        <f>IF(L728="","",IFERROR(INDEX('Почасовка — ставки и план'!$E$5:$E$24,MATCH($D728,'Почасовка — ставки и план'!$A$5:$A$24,0)),""))</f>
        <v>900</v>
      </c>
      <c r="Q728" s="15">
        <f t="shared" si="65"/>
        <v>188</v>
      </c>
      <c r="R728" s="13" t="str">
        <f>IF(D728="TEX","аренда техники — сделка/счёт",IF(OR(Q728="",H728="",H728=0),"—",IF(Q728&lt;H728*(1-Параметры!$B$7),"почасовка",IF(Q728&gt;H728*(1+Параметры!$B$7),"сделка","любой способ"))))</f>
        <v>сделка</v>
      </c>
      <c r="S728">
        <v>0</v>
      </c>
      <c r="T728">
        <v>0</v>
      </c>
    </row>
    <row r="729" spans="1:20" x14ac:dyDescent="0.25">
      <c r="A729" s="13" t="s">
        <v>1503</v>
      </c>
      <c r="B729" s="13" t="s">
        <v>1504</v>
      </c>
      <c r="C729" s="13" t="s">
        <v>72</v>
      </c>
      <c r="D729" s="13" t="s">
        <v>252</v>
      </c>
      <c r="E729" s="13" t="str">
        <f>IFERROR(INDEX('Почасовка — ставки и план'!$B$5:$B$24,MATCH(D729,'Почасовка — ставки и план'!$A$5:$A$24,0)),"Аренда техники / механизмы")</f>
        <v>Каменщик</v>
      </c>
      <c r="F729" s="14">
        <v>1400</v>
      </c>
      <c r="G729" s="14">
        <v>1647</v>
      </c>
      <c r="H729" s="15">
        <v>850</v>
      </c>
      <c r="I729" s="15">
        <f>IF(OR(H729="",F729=""),"",MAX(H729,MIN(ROUND(H729*(1+Параметры!$B$5),IF(H729*(1+Параметры!$B$5)&gt;=1000,-1,0)),ROUND(F729*Параметры!$B$6,IF(F729*Параметры!$B$6&gt;=1000,-1,0)))))</f>
        <v>978</v>
      </c>
      <c r="J729" s="15">
        <v>980</v>
      </c>
      <c r="K729" s="15">
        <f>IF(OR(J729="",G729=""),"",MAX(J729,MIN(ROUND(J729*(1+Параметры!$B$5),IF(J729*(1+Параметры!$B$5)&gt;=1000,-1,0)),ROUND(G729*Параметры!$B$6,IF(G729*Параметры!$B$6&gt;=1000,-1,0)))))</f>
        <v>1130</v>
      </c>
      <c r="L729" s="16">
        <v>1.3</v>
      </c>
      <c r="M729" s="17">
        <f t="shared" si="64"/>
        <v>0.76923076923076916</v>
      </c>
      <c r="N729" s="17">
        <f>IF(OR(L729="",L729=0),"",Параметры!$B$3/L729)</f>
        <v>6.1538461538461533</v>
      </c>
      <c r="O729" s="15">
        <f>IF(L729="","",IFERROR(INDEX('Почасовка — ставки и план'!$D$5:$D$24,MATCH($D729,'Почасовка — ставки и план'!$A$5:$A$24,0)),""))</f>
        <v>800</v>
      </c>
      <c r="P729" s="15">
        <f>IF(L729="","",IFERROR(INDEX('Почасовка — ставки и план'!$E$5:$E$24,MATCH($D729,'Почасовка — ставки и план'!$A$5:$A$24,0)),""))</f>
        <v>950</v>
      </c>
      <c r="Q729" s="15">
        <f t="shared" si="65"/>
        <v>1040</v>
      </c>
      <c r="R729" s="13" t="str">
        <f>IF(D729="TEX","аренда техники — сделка/счёт",IF(OR(Q729="",H729="",H729=0),"—",IF(Q729&lt;H729*(1-Параметры!$B$7),"почасовка",IF(Q729&gt;H729*(1+Параметры!$B$7),"сделка","любой способ"))))</f>
        <v>сделка</v>
      </c>
      <c r="S729">
        <v>0</v>
      </c>
      <c r="T729">
        <v>2.9374999999999929E-2</v>
      </c>
    </row>
    <row r="730" spans="1:20" x14ac:dyDescent="0.25">
      <c r="A730" s="13" t="s">
        <v>1505</v>
      </c>
      <c r="B730" s="13" t="s">
        <v>1506</v>
      </c>
      <c r="C730" s="13" t="s">
        <v>72</v>
      </c>
      <c r="D730" s="13" t="s">
        <v>252</v>
      </c>
      <c r="E730" s="13" t="str">
        <f>IFERROR(INDEX('Почасовка — ставки и план'!$B$5:$B$24,MATCH(D730,'Почасовка — ставки и план'!$A$5:$A$24,0)),"Аренда техники / механизмы")</f>
        <v>Каменщик</v>
      </c>
      <c r="F730" s="14">
        <v>1814</v>
      </c>
      <c r="G730" s="14">
        <v>2154</v>
      </c>
      <c r="H730" s="15">
        <v>1050</v>
      </c>
      <c r="I730" s="15">
        <f>IF(OR(H730="",F730=""),"",MAX(H730,MIN(ROUND(H730*(1+Параметры!$B$5),IF(H730*(1+Параметры!$B$5)&gt;=1000,-1,0)),ROUND(F730*Параметры!$B$6,IF(F730*Параметры!$B$6&gt;=1000,-1,0)))))</f>
        <v>1210</v>
      </c>
      <c r="J730" s="15">
        <v>1220</v>
      </c>
      <c r="K730" s="15">
        <f>IF(OR(J730="",G730=""),"",MAX(J730,MIN(ROUND(J730*(1+Параметры!$B$5),IF(J730*(1+Параметры!$B$5)&gt;=1000,-1,0)),ROUND(G730*Параметры!$B$6,IF(G730*Параметры!$B$6&gt;=1000,-1,0)))))</f>
        <v>1400</v>
      </c>
      <c r="L730" s="16">
        <v>1.7</v>
      </c>
      <c r="M730" s="17">
        <f t="shared" si="64"/>
        <v>0.58823529411764708</v>
      </c>
      <c r="N730" s="17">
        <f>IF(OR(L730="",L730=0),"",Параметры!$B$3/L730)</f>
        <v>4.7058823529411766</v>
      </c>
      <c r="O730" s="15">
        <f>IF(L730="","",IFERROR(INDEX('Почасовка — ставки и план'!$D$5:$D$24,MATCH($D730,'Почасовка — ставки и план'!$A$5:$A$24,0)),""))</f>
        <v>800</v>
      </c>
      <c r="P730" s="15">
        <f>IF(L730="","",IFERROR(INDEX('Почасовка — ставки и план'!$E$5:$E$24,MATCH($D730,'Почасовка — ставки и план'!$A$5:$A$24,0)),""))</f>
        <v>950</v>
      </c>
      <c r="Q730" s="15">
        <f t="shared" si="65"/>
        <v>1360</v>
      </c>
      <c r="R730" s="13" t="str">
        <f>IF(D730="TEX","аренда техники — сделка/счёт",IF(OR(Q730="",H730="",H730=0),"—",IF(Q730&lt;H730*(1-Параметры!$B$7),"почасовка",IF(Q730&gt;H730*(1+Параметры!$B$7),"сделка","любой способ"))))</f>
        <v>сделка</v>
      </c>
      <c r="S730">
        <v>6.7058823529411837E-2</v>
      </c>
      <c r="T730">
        <v>7.6999999999999957E-2</v>
      </c>
    </row>
    <row r="731" spans="1:20" x14ac:dyDescent="0.25">
      <c r="A731" s="13" t="s">
        <v>1507</v>
      </c>
      <c r="B731" s="13" t="s">
        <v>1508</v>
      </c>
      <c r="C731" s="13" t="s">
        <v>72</v>
      </c>
      <c r="D731" s="13" t="s">
        <v>252</v>
      </c>
      <c r="E731" s="13" t="str">
        <f>IFERROR(INDEX('Почасовка — ставки и план'!$B$5:$B$24,MATCH(D731,'Почасовка — ставки и план'!$A$5:$A$24,0)),"Аренда техники / механизмы")</f>
        <v>Каменщик</v>
      </c>
      <c r="F731" s="14">
        <v>1200</v>
      </c>
      <c r="G731" s="14">
        <v>1400</v>
      </c>
      <c r="H731" s="15">
        <v>750</v>
      </c>
      <c r="I731" s="15">
        <f>IF(OR(H731="",F731=""),"",MAX(H731,MIN(ROUND(H731*(1+Параметры!$B$5),IF(H731*(1+Параметры!$B$5)&gt;=1000,-1,0)),ROUND(F731*Параметры!$B$6,IF(F731*Параметры!$B$6&gt;=1000,-1,0)))))</f>
        <v>863</v>
      </c>
      <c r="J731" s="15">
        <v>860</v>
      </c>
      <c r="K731" s="15">
        <f>IF(OR(J731="",G731=""),"",MAX(J731,MIN(ROUND(J731*(1+Параметры!$B$5),IF(J731*(1+Параметры!$B$5)&gt;=1000,-1,0)),ROUND(G731*Параметры!$B$6,IF(G731*Параметры!$B$6&gt;=1000,-1,0)))))</f>
        <v>989</v>
      </c>
      <c r="L731" s="16">
        <v>1</v>
      </c>
      <c r="M731" s="17">
        <f t="shared" si="64"/>
        <v>1</v>
      </c>
      <c r="N731" s="17">
        <f>IF(OR(L731="",L731=0),"",Параметры!$B$3/L731)</f>
        <v>8</v>
      </c>
      <c r="O731" s="15">
        <f>IF(L731="","",IFERROR(INDEX('Почасовка — ставки и план'!$D$5:$D$24,MATCH($D731,'Почасовка — ставки и план'!$A$5:$A$24,0)),""))</f>
        <v>800</v>
      </c>
      <c r="P731" s="15">
        <f>IF(L731="","",IFERROR(INDEX('Почасовка — ставки и план'!$E$5:$E$24,MATCH($D731,'Почасовка — ставки и план'!$A$5:$A$24,0)),""))</f>
        <v>950</v>
      </c>
      <c r="Q731" s="15">
        <f t="shared" si="65"/>
        <v>800</v>
      </c>
      <c r="R731" s="13" t="str">
        <f>IF(D731="TEX","аренда техники — сделка/счёт",IF(OR(Q731="",H731="",H731=0),"—",IF(Q731&lt;H731*(1-Параметры!$B$7),"почасовка",IF(Q731&gt;H731*(1+Параметры!$B$7),"сделка","любой способ"))))</f>
        <v>любой способ</v>
      </c>
      <c r="S731">
        <v>0</v>
      </c>
      <c r="T731">
        <v>0</v>
      </c>
    </row>
    <row r="732" spans="1:20" x14ac:dyDescent="0.25">
      <c r="A732" s="13" t="s">
        <v>1509</v>
      </c>
      <c r="B732" s="13" t="s">
        <v>1510</v>
      </c>
      <c r="C732" s="13" t="s">
        <v>72</v>
      </c>
      <c r="D732" s="13" t="s">
        <v>252</v>
      </c>
      <c r="E732" s="13" t="str">
        <f>IFERROR(INDEX('Почасовка — ставки и план'!$B$5:$B$24,MATCH(D732,'Почасовка — ставки и план'!$A$5:$A$24,0)),"Аренда техники / механизмы")</f>
        <v>Каменщик</v>
      </c>
      <c r="F732" s="14">
        <v>1100</v>
      </c>
      <c r="G732" s="14">
        <v>1300</v>
      </c>
      <c r="H732" s="15">
        <v>680</v>
      </c>
      <c r="I732" s="15">
        <f>IF(OR(H732="",F732=""),"",MAX(H732,MIN(ROUND(H732*(1+Параметры!$B$5),IF(H732*(1+Параметры!$B$5)&gt;=1000,-1,0)),ROUND(F732*Параметры!$B$6,IF(F732*Параметры!$B$6&gt;=1000,-1,0)))))</f>
        <v>782</v>
      </c>
      <c r="J732" s="15">
        <v>790</v>
      </c>
      <c r="K732" s="15">
        <f>IF(OR(J732="",G732=""),"",MAX(J732,MIN(ROUND(J732*(1+Параметры!$B$5),IF(J732*(1+Параметры!$B$5)&gt;=1000,-1,0)),ROUND(G732*Параметры!$B$6,IF(G732*Параметры!$B$6&gt;=1000,-1,0)))))</f>
        <v>909</v>
      </c>
      <c r="L732" s="16">
        <v>0.9</v>
      </c>
      <c r="M732" s="17">
        <f t="shared" si="64"/>
        <v>1.1111111111111112</v>
      </c>
      <c r="N732" s="17">
        <f>IF(OR(L732="",L732=0),"",Параметры!$B$3/L732)</f>
        <v>8.8888888888888893</v>
      </c>
      <c r="O732" s="15">
        <f>IF(L732="","",IFERROR(INDEX('Почасовка — ставки и план'!$D$5:$D$24,MATCH($D732,'Почасовка — ставки и план'!$A$5:$A$24,0)),""))</f>
        <v>800</v>
      </c>
      <c r="P732" s="15">
        <f>IF(L732="","",IFERROR(INDEX('Почасовка — ставки и план'!$E$5:$E$24,MATCH($D732,'Почасовка — ставки и план'!$A$5:$A$24,0)),""))</f>
        <v>950</v>
      </c>
      <c r="Q732" s="15">
        <f t="shared" si="65"/>
        <v>720</v>
      </c>
      <c r="R732" s="13" t="str">
        <f>IF(D732="TEX","аренда техники — сделка/счёт",IF(OR(Q732="",H732="",H732=0),"—",IF(Q732&lt;H732*(1-Параметры!$B$7),"почасовка",IF(Q732&gt;H732*(1+Параметры!$B$7),"сделка","любой способ"))))</f>
        <v>любой способ</v>
      </c>
      <c r="S732">
        <v>0</v>
      </c>
      <c r="T732">
        <v>0</v>
      </c>
    </row>
    <row r="733" spans="1:20" x14ac:dyDescent="0.25">
      <c r="A733" s="13" t="s">
        <v>1511</v>
      </c>
      <c r="B733" s="13" t="s">
        <v>1512</v>
      </c>
      <c r="C733" s="13" t="s">
        <v>72</v>
      </c>
      <c r="D733" s="13" t="s">
        <v>252</v>
      </c>
      <c r="E733" s="13" t="str">
        <f>IFERROR(INDEX('Почасовка — ставки и план'!$B$5:$B$24,MATCH(D733,'Почасовка — ставки и план'!$A$5:$A$24,0)),"Аренда техники / механизмы")</f>
        <v>Каменщик</v>
      </c>
      <c r="F733" s="14">
        <v>1100</v>
      </c>
      <c r="G733" s="14">
        <v>1300</v>
      </c>
      <c r="H733" s="15">
        <v>680</v>
      </c>
      <c r="I733" s="15">
        <f>IF(OR(H733="",F733=""),"",MAX(H733,MIN(ROUND(H733*(1+Параметры!$B$5),IF(H733*(1+Параметры!$B$5)&gt;=1000,-1,0)),ROUND(F733*Параметры!$B$6,IF(F733*Параметры!$B$6&gt;=1000,-1,0)))))</f>
        <v>782</v>
      </c>
      <c r="J733" s="15">
        <v>790</v>
      </c>
      <c r="K733" s="15">
        <f>IF(OR(J733="",G733=""),"",MAX(J733,MIN(ROUND(J733*(1+Параметры!$B$5),IF(J733*(1+Параметры!$B$5)&gt;=1000,-1,0)),ROUND(G733*Параметры!$B$6,IF(G733*Параметры!$B$6&gt;=1000,-1,0)))))</f>
        <v>909</v>
      </c>
      <c r="L733" s="16">
        <v>0.9</v>
      </c>
      <c r="M733" s="17">
        <f t="shared" si="64"/>
        <v>1.1111111111111112</v>
      </c>
      <c r="N733" s="17">
        <f>IF(OR(L733="",L733=0),"",Параметры!$B$3/L733)</f>
        <v>8.8888888888888893</v>
      </c>
      <c r="O733" s="15">
        <f>IF(L733="","",IFERROR(INDEX('Почасовка — ставки и план'!$D$5:$D$24,MATCH($D733,'Почасовка — ставки и план'!$A$5:$A$24,0)),""))</f>
        <v>800</v>
      </c>
      <c r="P733" s="15">
        <f>IF(L733="","",IFERROR(INDEX('Почасовка — ставки и план'!$E$5:$E$24,MATCH($D733,'Почасовка — ставки и план'!$A$5:$A$24,0)),""))</f>
        <v>950</v>
      </c>
      <c r="Q733" s="15">
        <f t="shared" si="65"/>
        <v>720</v>
      </c>
      <c r="R733" s="13" t="str">
        <f>IF(D733="TEX","аренда техники — сделка/счёт",IF(OR(Q733="",H733="",H733=0),"—",IF(Q733&lt;H733*(1-Параметры!$B$7),"почасовка",IF(Q733&gt;H733*(1+Параметры!$B$7),"сделка","любой способ"))))</f>
        <v>любой способ</v>
      </c>
      <c r="S733">
        <v>0</v>
      </c>
      <c r="T733">
        <v>0</v>
      </c>
    </row>
    <row r="734" spans="1:20" x14ac:dyDescent="0.25">
      <c r="A734" s="13" t="s">
        <v>1513</v>
      </c>
      <c r="B734" s="13" t="s">
        <v>1514</v>
      </c>
      <c r="C734" s="13" t="s">
        <v>72</v>
      </c>
      <c r="D734" s="13" t="s">
        <v>252</v>
      </c>
      <c r="E734" s="13" t="str">
        <f>IFERROR(INDEX('Почасовка — ставки и план'!$B$5:$B$24,MATCH(D734,'Почасовка — ставки и план'!$A$5:$A$24,0)),"Аренда техники / механизмы")</f>
        <v>Каменщик</v>
      </c>
      <c r="F734" s="14">
        <v>950</v>
      </c>
      <c r="G734" s="14">
        <v>1100</v>
      </c>
      <c r="H734" s="15">
        <v>580</v>
      </c>
      <c r="I734" s="15">
        <f>IF(OR(H734="",F734=""),"",MAX(H734,MIN(ROUND(H734*(1+Параметры!$B$5),IF(H734*(1+Параметры!$B$5)&gt;=1000,-1,0)),ROUND(F734*Параметры!$B$6,IF(F734*Параметры!$B$6&gt;=1000,-1,0)))))</f>
        <v>667</v>
      </c>
      <c r="J734" s="15">
        <v>670</v>
      </c>
      <c r="K734" s="15">
        <f>IF(OR(J734="",G734=""),"",MAX(J734,MIN(ROUND(J734*(1+Параметры!$B$5),IF(J734*(1+Параметры!$B$5)&gt;=1000,-1,0)),ROUND(G734*Параметры!$B$6,IF(G734*Параметры!$B$6&gt;=1000,-1,0)))))</f>
        <v>771</v>
      </c>
      <c r="L734" s="16">
        <v>0.75</v>
      </c>
      <c r="M734" s="17">
        <f t="shared" si="64"/>
        <v>1.3333333333333333</v>
      </c>
      <c r="N734" s="17">
        <f>IF(OR(L734="",L734=0),"",Параметры!$B$3/L734)</f>
        <v>10.666666666666666</v>
      </c>
      <c r="O734" s="15">
        <f>IF(L734="","",IFERROR(INDEX('Почасовка — ставки и план'!$D$5:$D$24,MATCH($D734,'Почасовка — ставки и план'!$A$5:$A$24,0)),""))</f>
        <v>800</v>
      </c>
      <c r="P734" s="15">
        <f>IF(L734="","",IFERROR(INDEX('Почасовка — ставки и план'!$E$5:$E$24,MATCH($D734,'Почасовка — ставки и план'!$A$5:$A$24,0)),""))</f>
        <v>950</v>
      </c>
      <c r="Q734" s="15">
        <f t="shared" si="65"/>
        <v>600</v>
      </c>
      <c r="R734" s="13" t="str">
        <f>IF(D734="TEX","аренда техники — сделка/счёт",IF(OR(Q734="",H734="",H734=0),"—",IF(Q734&lt;H734*(1-Параметры!$B$7),"почасовка",IF(Q734&gt;H734*(1+Параметры!$B$7),"сделка","любой способ"))))</f>
        <v>любой способ</v>
      </c>
      <c r="S734">
        <v>0</v>
      </c>
      <c r="T734">
        <v>0</v>
      </c>
    </row>
    <row r="735" spans="1:20" x14ac:dyDescent="0.25">
      <c r="A735" s="13" t="s">
        <v>1515</v>
      </c>
      <c r="B735" s="13" t="s">
        <v>1516</v>
      </c>
      <c r="C735" s="13" t="s">
        <v>72</v>
      </c>
      <c r="D735" s="13" t="s">
        <v>252</v>
      </c>
      <c r="E735" s="13" t="str">
        <f>IFERROR(INDEX('Почасовка — ставки и план'!$B$5:$B$24,MATCH(D735,'Почасовка — ставки и план'!$A$5:$A$24,0)),"Аренда техники / механизмы")</f>
        <v>Каменщик</v>
      </c>
      <c r="F735" s="14">
        <v>1050</v>
      </c>
      <c r="G735" s="14">
        <v>1200</v>
      </c>
      <c r="H735" s="15">
        <v>650</v>
      </c>
      <c r="I735" s="15">
        <f>IF(OR(H735="",F735=""),"",MAX(H735,MIN(ROUND(H735*(1+Параметры!$B$5),IF(H735*(1+Параметры!$B$5)&gt;=1000,-1,0)),ROUND(F735*Параметры!$B$6,IF(F735*Параметры!$B$6&gt;=1000,-1,0)))))</f>
        <v>748</v>
      </c>
      <c r="J735" s="15">
        <v>750</v>
      </c>
      <c r="K735" s="15">
        <f>IF(OR(J735="",G735=""),"",MAX(J735,MIN(ROUND(J735*(1+Параметры!$B$5),IF(J735*(1+Параметры!$B$5)&gt;=1000,-1,0)),ROUND(G735*Параметры!$B$6,IF(G735*Параметры!$B$6&gt;=1000,-1,0)))))</f>
        <v>863</v>
      </c>
      <c r="L735" s="16">
        <v>0.85</v>
      </c>
      <c r="M735" s="17">
        <f t="shared" si="64"/>
        <v>1.1764705882352942</v>
      </c>
      <c r="N735" s="17">
        <f>IF(OR(L735="",L735=0),"",Параметры!$B$3/L735)</f>
        <v>9.4117647058823533</v>
      </c>
      <c r="O735" s="15">
        <f>IF(L735="","",IFERROR(INDEX('Почасовка — ставки и план'!$D$5:$D$24,MATCH($D735,'Почасовка — ставки и план'!$A$5:$A$24,0)),""))</f>
        <v>800</v>
      </c>
      <c r="P735" s="15">
        <f>IF(L735="","",IFERROR(INDEX('Почасовка — ставки и план'!$E$5:$E$24,MATCH($D735,'Почасовка — ставки и план'!$A$5:$A$24,0)),""))</f>
        <v>950</v>
      </c>
      <c r="Q735" s="15">
        <f t="shared" si="65"/>
        <v>680</v>
      </c>
      <c r="R735" s="13" t="str">
        <f>IF(D735="TEX","аренда техники — сделка/счёт",IF(OR(Q735="",H735="",H735=0),"—",IF(Q735&lt;H735*(1-Параметры!$B$7),"почасовка",IF(Q735&gt;H735*(1+Параметры!$B$7),"сделка","любой способ"))))</f>
        <v>любой способ</v>
      </c>
      <c r="S735">
        <v>0</v>
      </c>
      <c r="T735">
        <v>0</v>
      </c>
    </row>
    <row r="736" spans="1:20" x14ac:dyDescent="0.25">
      <c r="A736" s="13" t="s">
        <v>1517</v>
      </c>
      <c r="B736" s="13" t="s">
        <v>1518</v>
      </c>
      <c r="C736" s="13" t="s">
        <v>72</v>
      </c>
      <c r="D736" s="13" t="s">
        <v>208</v>
      </c>
      <c r="E736" s="13" t="str">
        <f>IFERROR(INDEX('Почасовка — ставки и план'!$B$5:$B$24,MATCH(D736,'Почасовка — ставки и план'!$A$5:$A$24,0)),"Аренда техники / механизмы")</f>
        <v>Отделочник (штукатур, маляр, ГКЛ)</v>
      </c>
      <c r="F736" s="14">
        <v>2600</v>
      </c>
      <c r="G736" s="14">
        <v>3000</v>
      </c>
      <c r="H736" s="15">
        <v>1600</v>
      </c>
      <c r="I736" s="15">
        <f>IF(OR(H736="",F736=""),"",MAX(H736,MIN(ROUND(H736*(1+Параметры!$B$5),IF(H736*(1+Параметры!$B$5)&gt;=1000,-1,0)),ROUND(F736*Параметры!$B$6,IF(F736*Параметры!$B$6&gt;=1000,-1,0)))))</f>
        <v>1840</v>
      </c>
      <c r="J736" s="15">
        <v>1850</v>
      </c>
      <c r="K736" s="15">
        <f>IF(OR(J736="",G736=""),"",MAX(J736,MIN(ROUND(J736*(1+Параметры!$B$5),IF(J736*(1+Параметры!$B$5)&gt;=1000,-1,0)),ROUND(G736*Параметры!$B$6,IF(G736*Параметры!$B$6&gt;=1000,-1,0)))))</f>
        <v>2130</v>
      </c>
      <c r="L736" s="16">
        <v>2.2000000000000002</v>
      </c>
      <c r="M736" s="17">
        <f t="shared" si="64"/>
        <v>0.45454545454545453</v>
      </c>
      <c r="N736" s="17">
        <f>IF(OR(L736="",L736=0),"",Параметры!$B$3/L736)</f>
        <v>3.6363636363636362</v>
      </c>
      <c r="O736" s="15">
        <f>IF(L736="","",IFERROR(INDEX('Почасовка — ставки и план'!$D$5:$D$24,MATCH($D736,'Почасовка — ставки и план'!$A$5:$A$24,0)),""))</f>
        <v>750</v>
      </c>
      <c r="P736" s="15">
        <f>IF(L736="","",IFERROR(INDEX('Почасовка — ставки и план'!$E$5:$E$24,MATCH($D736,'Почасовка — ставки и план'!$A$5:$A$24,0)),""))</f>
        <v>900</v>
      </c>
      <c r="Q736" s="15">
        <f t="shared" si="65"/>
        <v>1650</v>
      </c>
      <c r="R736" s="13" t="str">
        <f>IF(D736="TEX","аренда техники — сделка/счёт",IF(OR(Q736="",H736="",H736=0),"—",IF(Q736&lt;H736*(1-Параметры!$B$7),"почасовка",IF(Q736&gt;H736*(1+Параметры!$B$7),"сделка","любой способ"))))</f>
        <v>любой способ</v>
      </c>
      <c r="S736">
        <v>0</v>
      </c>
      <c r="T736">
        <v>0</v>
      </c>
    </row>
    <row r="737" spans="1:20" x14ac:dyDescent="0.25">
      <c r="A737" s="13" t="s">
        <v>1519</v>
      </c>
      <c r="B737" s="13" t="s">
        <v>1520</v>
      </c>
      <c r="C737" s="13" t="s">
        <v>72</v>
      </c>
      <c r="D737" s="13" t="s">
        <v>208</v>
      </c>
      <c r="E737" s="13" t="str">
        <f>IFERROR(INDEX('Почасовка — ставки и план'!$B$5:$B$24,MATCH(D737,'Почасовка — ставки и план'!$A$5:$A$24,0)),"Аренда техники / механизмы")</f>
        <v>Отделочник (штукатур, маляр, ГКЛ)</v>
      </c>
      <c r="F737" s="14">
        <v>1800</v>
      </c>
      <c r="G737" s="14">
        <v>2100</v>
      </c>
      <c r="H737" s="15">
        <v>1100</v>
      </c>
      <c r="I737" s="15">
        <f>IF(OR(H737="",F737=""),"",MAX(H737,MIN(ROUND(H737*(1+Параметры!$B$5),IF(H737*(1+Параметры!$B$5)&gt;=1000,-1,0)),ROUND(F737*Параметры!$B$6,IF(F737*Параметры!$B$6&gt;=1000,-1,0)))))</f>
        <v>1270</v>
      </c>
      <c r="J737" s="15">
        <v>1270</v>
      </c>
      <c r="K737" s="15">
        <f>IF(OR(J737="",G737=""),"",MAX(J737,MIN(ROUND(J737*(1+Параметры!$B$5),IF(J737*(1+Параметры!$B$5)&gt;=1000,-1,0)),ROUND(G737*Параметры!$B$6,IF(G737*Параметры!$B$6&gt;=1000,-1,0)))))</f>
        <v>1460</v>
      </c>
      <c r="L737" s="16">
        <v>1.5</v>
      </c>
      <c r="M737" s="17">
        <f t="shared" si="64"/>
        <v>0.66666666666666663</v>
      </c>
      <c r="N737" s="17">
        <f>IF(OR(L737="",L737=0),"",Параметры!$B$3/L737)</f>
        <v>5.333333333333333</v>
      </c>
      <c r="O737" s="15">
        <f>IF(L737="","",IFERROR(INDEX('Почасовка — ставки и план'!$D$5:$D$24,MATCH($D737,'Почасовка — ставки и план'!$A$5:$A$24,0)),""))</f>
        <v>750</v>
      </c>
      <c r="P737" s="15">
        <f>IF(L737="","",IFERROR(INDEX('Почасовка — ставки и план'!$E$5:$E$24,MATCH($D737,'Почасовка — ставки и план'!$A$5:$A$24,0)),""))</f>
        <v>900</v>
      </c>
      <c r="Q737" s="15">
        <f t="shared" si="65"/>
        <v>1125</v>
      </c>
      <c r="R737" s="13" t="str">
        <f>IF(D737="TEX","аренда техники — сделка/счёт",IF(OR(Q737="",H737="",H737=0),"—",IF(Q737&lt;H737*(1-Параметры!$B$7),"почасовка",IF(Q737&gt;H737*(1+Параметры!$B$7),"сделка","любой способ"))))</f>
        <v>любой способ</v>
      </c>
      <c r="S737">
        <v>0</v>
      </c>
      <c r="T737">
        <v>0</v>
      </c>
    </row>
    <row r="738" spans="1:20" x14ac:dyDescent="0.25">
      <c r="A738" s="13" t="s">
        <v>1521</v>
      </c>
      <c r="B738" s="13" t="s">
        <v>1522</v>
      </c>
      <c r="C738" s="13" t="s">
        <v>72</v>
      </c>
      <c r="D738" s="13" t="s">
        <v>208</v>
      </c>
      <c r="E738" s="13" t="str">
        <f>IFERROR(INDEX('Почасовка — ставки и план'!$B$5:$B$24,MATCH(D738,'Почасовка — ставки и план'!$A$5:$A$24,0)),"Аренда техники / механизмы")</f>
        <v>Отделочник (штукатур, маляр, ГКЛ)</v>
      </c>
      <c r="F738" s="14">
        <v>2000</v>
      </c>
      <c r="G738" s="14">
        <v>2300</v>
      </c>
      <c r="H738" s="15">
        <v>1250</v>
      </c>
      <c r="I738" s="15">
        <f>IF(OR(H738="",F738=""),"",MAX(H738,MIN(ROUND(H738*(1+Параметры!$B$5),IF(H738*(1+Параметры!$B$5)&gt;=1000,-1,0)),ROUND(F738*Параметры!$B$6,IF(F738*Параметры!$B$6&gt;=1000,-1,0)))))</f>
        <v>1440</v>
      </c>
      <c r="J738" s="15">
        <v>1440</v>
      </c>
      <c r="K738" s="15">
        <f>IF(OR(J738="",G738=""),"",MAX(J738,MIN(ROUND(J738*(1+Параметры!$B$5),IF(J738*(1+Параметры!$B$5)&gt;=1000,-1,0)),ROUND(G738*Параметры!$B$6,IF(G738*Параметры!$B$6&gt;=1000,-1,0)))))</f>
        <v>1660</v>
      </c>
      <c r="L738" s="16">
        <v>1.7</v>
      </c>
      <c r="M738" s="17">
        <f t="shared" si="64"/>
        <v>0.58823529411764708</v>
      </c>
      <c r="N738" s="17">
        <f>IF(OR(L738="",L738=0),"",Параметры!$B$3/L738)</f>
        <v>4.7058823529411766</v>
      </c>
      <c r="O738" s="15">
        <f>IF(L738="","",IFERROR(INDEX('Почасовка — ставки и план'!$D$5:$D$24,MATCH($D738,'Почасовка — ставки и план'!$A$5:$A$24,0)),""))</f>
        <v>750</v>
      </c>
      <c r="P738" s="15">
        <f>IF(L738="","",IFERROR(INDEX('Почасовка — ставки и план'!$E$5:$E$24,MATCH($D738,'Почасовка — ставки и план'!$A$5:$A$24,0)),""))</f>
        <v>900</v>
      </c>
      <c r="Q738" s="15">
        <f t="shared" si="65"/>
        <v>1275</v>
      </c>
      <c r="R738" s="13" t="str">
        <f>IF(D738="TEX","аренда техники — сделка/счёт",IF(OR(Q738="",H738="",H738=0),"—",IF(Q738&lt;H738*(1-Параметры!$B$7),"почасовка",IF(Q738&gt;H738*(1+Параметры!$B$7),"сделка","любой способ"))))</f>
        <v>любой способ</v>
      </c>
      <c r="S738">
        <v>0</v>
      </c>
      <c r="T738">
        <v>0</v>
      </c>
    </row>
    <row r="739" spans="1:20" x14ac:dyDescent="0.25">
      <c r="A739" s="13" t="s">
        <v>1523</v>
      </c>
      <c r="B739" s="13" t="s">
        <v>1524</v>
      </c>
      <c r="C739" s="13" t="s">
        <v>72</v>
      </c>
      <c r="D739" s="13" t="s">
        <v>208</v>
      </c>
      <c r="E739" s="13" t="str">
        <f>IFERROR(INDEX('Почасовка — ставки и план'!$B$5:$B$24,MATCH(D739,'Почасовка — ставки и план'!$A$5:$A$24,0)),"Аренда техники / механизмы")</f>
        <v>Отделочник (штукатур, маляр, ГКЛ)</v>
      </c>
      <c r="F739" s="14">
        <v>1400</v>
      </c>
      <c r="G739" s="14">
        <v>1600</v>
      </c>
      <c r="H739" s="15">
        <v>850</v>
      </c>
      <c r="I739" s="15">
        <f>IF(OR(H739="",F739=""),"",MAX(H739,MIN(ROUND(H739*(1+Параметры!$B$5),IF(H739*(1+Параметры!$B$5)&gt;=1000,-1,0)),ROUND(F739*Параметры!$B$6,IF(F739*Параметры!$B$6&gt;=1000,-1,0)))))</f>
        <v>978</v>
      </c>
      <c r="J739" s="15">
        <v>980</v>
      </c>
      <c r="K739" s="15">
        <f>IF(OR(J739="",G739=""),"",MAX(J739,MIN(ROUND(J739*(1+Параметры!$B$5),IF(J739*(1+Параметры!$B$5)&gt;=1000,-1,0)),ROUND(G739*Параметры!$B$6,IF(G739*Параметры!$B$6&gt;=1000,-1,0)))))</f>
        <v>1130</v>
      </c>
      <c r="L739" s="16">
        <v>1.1000000000000001</v>
      </c>
      <c r="M739" s="17">
        <f t="shared" si="64"/>
        <v>0.90909090909090906</v>
      </c>
      <c r="N739" s="17">
        <f>IF(OR(L739="",L739=0),"",Параметры!$B$3/L739)</f>
        <v>7.2727272727272725</v>
      </c>
      <c r="O739" s="15">
        <f>IF(L739="","",IFERROR(INDEX('Почасовка — ставки и план'!$D$5:$D$24,MATCH($D739,'Почасовка — ставки и план'!$A$5:$A$24,0)),""))</f>
        <v>750</v>
      </c>
      <c r="P739" s="15">
        <f>IF(L739="","",IFERROR(INDEX('Почасовка — ставки и план'!$E$5:$E$24,MATCH($D739,'Почасовка — ставки и план'!$A$5:$A$24,0)),""))</f>
        <v>900</v>
      </c>
      <c r="Q739" s="15">
        <f t="shared" si="65"/>
        <v>825</v>
      </c>
      <c r="R739" s="13" t="str">
        <f>IF(D739="TEX","аренда техники — сделка/счёт",IF(OR(Q739="",H739="",H739=0),"—",IF(Q739&lt;H739*(1-Параметры!$B$7),"почасовка",IF(Q739&gt;H739*(1+Параметры!$B$7),"сделка","любой способ"))))</f>
        <v>любой способ</v>
      </c>
      <c r="S739">
        <v>0</v>
      </c>
      <c r="T739">
        <v>0</v>
      </c>
    </row>
    <row r="740" spans="1:20" x14ac:dyDescent="0.25">
      <c r="A740" s="13" t="s">
        <v>1525</v>
      </c>
      <c r="B740" s="13" t="s">
        <v>1526</v>
      </c>
      <c r="C740" s="13" t="s">
        <v>72</v>
      </c>
      <c r="D740" s="13" t="s">
        <v>208</v>
      </c>
      <c r="E740" s="13" t="str">
        <f>IFERROR(INDEX('Почасовка — ставки и план'!$B$5:$B$24,MATCH(D740,'Почасовка — ставки и план'!$A$5:$A$24,0)),"Аренда техники / механизмы")</f>
        <v>Отделочник (штукатур, маляр, ГКЛ)</v>
      </c>
      <c r="F740" s="14">
        <v>1300</v>
      </c>
      <c r="G740" s="14">
        <v>1500</v>
      </c>
      <c r="H740" s="15">
        <v>800</v>
      </c>
      <c r="I740" s="15">
        <f>IF(OR(H740="",F740=""),"",MAX(H740,MIN(ROUND(H740*(1+Параметры!$B$5),IF(H740*(1+Параметры!$B$5)&gt;=1000,-1,0)),ROUND(F740*Параметры!$B$6,IF(F740*Параметры!$B$6&gt;=1000,-1,0)))))</f>
        <v>920</v>
      </c>
      <c r="J740" s="15">
        <v>920</v>
      </c>
      <c r="K740" s="15">
        <f>IF(OR(J740="",G740=""),"",MAX(J740,MIN(ROUND(J740*(1+Параметры!$B$5),IF(J740*(1+Параметры!$B$5)&gt;=1000,-1,0)),ROUND(G740*Параметры!$B$6,IF(G740*Параметры!$B$6&gt;=1000,-1,0)))))</f>
        <v>1060</v>
      </c>
      <c r="L740" s="16">
        <v>1</v>
      </c>
      <c r="M740" s="17">
        <f t="shared" si="64"/>
        <v>1</v>
      </c>
      <c r="N740" s="17">
        <f>IF(OR(L740="",L740=0),"",Параметры!$B$3/L740)</f>
        <v>8</v>
      </c>
      <c r="O740" s="15">
        <f>IF(L740="","",IFERROR(INDEX('Почасовка — ставки и план'!$D$5:$D$24,MATCH($D740,'Почасовка — ставки и план'!$A$5:$A$24,0)),""))</f>
        <v>750</v>
      </c>
      <c r="P740" s="15">
        <f>IF(L740="","",IFERROR(INDEX('Почасовка — ставки и план'!$E$5:$E$24,MATCH($D740,'Почасовка — ставки и план'!$A$5:$A$24,0)),""))</f>
        <v>900</v>
      </c>
      <c r="Q740" s="15">
        <f t="shared" si="65"/>
        <v>750</v>
      </c>
      <c r="R740" s="13" t="str">
        <f>IF(D740="TEX","аренда техники — сделка/счёт",IF(OR(Q740="",H740="",H740=0),"—",IF(Q740&lt;H740*(1-Параметры!$B$7),"почасовка",IF(Q740&gt;H740*(1+Параметры!$B$7),"сделка","любой способ"))))</f>
        <v>любой способ</v>
      </c>
      <c r="S740">
        <v>0</v>
      </c>
      <c r="T740">
        <v>0</v>
      </c>
    </row>
    <row r="741" spans="1:20" x14ac:dyDescent="0.25">
      <c r="A741" s="13" t="s">
        <v>1527</v>
      </c>
      <c r="B741" s="13" t="s">
        <v>1528</v>
      </c>
      <c r="C741" s="13" t="s">
        <v>72</v>
      </c>
      <c r="D741" s="13" t="s">
        <v>208</v>
      </c>
      <c r="E741" s="13" t="str">
        <f>IFERROR(INDEX('Почасовка — ставки и план'!$B$5:$B$24,MATCH(D741,'Почасовка — ставки и план'!$A$5:$A$24,0)),"Аренда техники / механизмы")</f>
        <v>Отделочник (штукатур, маляр, ГКЛ)</v>
      </c>
      <c r="F741" s="14">
        <v>1700</v>
      </c>
      <c r="G741" s="14">
        <v>1950</v>
      </c>
      <c r="H741" s="15">
        <v>1050</v>
      </c>
      <c r="I741" s="15">
        <f>IF(OR(H741="",F741=""),"",MAX(H741,MIN(ROUND(H741*(1+Параметры!$B$5),IF(H741*(1+Параметры!$B$5)&gt;=1000,-1,0)),ROUND(F741*Параметры!$B$6,IF(F741*Параметры!$B$6&gt;=1000,-1,0)))))</f>
        <v>1210</v>
      </c>
      <c r="J741" s="15">
        <v>1210</v>
      </c>
      <c r="K741" s="15">
        <f>IF(OR(J741="",G741=""),"",MAX(J741,MIN(ROUND(J741*(1+Параметры!$B$5),IF(J741*(1+Параметры!$B$5)&gt;=1000,-1,0)),ROUND(G741*Параметры!$B$6,IF(G741*Параметры!$B$6&gt;=1000,-1,0)))))</f>
        <v>1390</v>
      </c>
      <c r="L741" s="16">
        <v>1.4</v>
      </c>
      <c r="M741" s="17">
        <f t="shared" si="64"/>
        <v>0.7142857142857143</v>
      </c>
      <c r="N741" s="17">
        <f>IF(OR(L741="",L741=0),"",Параметры!$B$3/L741)</f>
        <v>5.7142857142857144</v>
      </c>
      <c r="O741" s="15">
        <f>IF(L741="","",IFERROR(INDEX('Почасовка — ставки и план'!$D$5:$D$24,MATCH($D741,'Почасовка — ставки и план'!$A$5:$A$24,0)),""))</f>
        <v>750</v>
      </c>
      <c r="P741" s="15">
        <f>IF(L741="","",IFERROR(INDEX('Почасовка — ставки и план'!$E$5:$E$24,MATCH($D741,'Почасовка — ставки и план'!$A$5:$A$24,0)),""))</f>
        <v>900</v>
      </c>
      <c r="Q741" s="15">
        <f t="shared" si="65"/>
        <v>1050</v>
      </c>
      <c r="R741" s="13" t="str">
        <f>IF(D741="TEX","аренда техники — сделка/счёт",IF(OR(Q741="",H741="",H741=0),"—",IF(Q741&lt;H741*(1-Параметры!$B$7),"почасовка",IF(Q741&gt;H741*(1+Параметры!$B$7),"сделка","любой способ"))))</f>
        <v>любой способ</v>
      </c>
      <c r="S741">
        <v>0</v>
      </c>
      <c r="T741">
        <v>0</v>
      </c>
    </row>
    <row r="742" spans="1:20" x14ac:dyDescent="0.25">
      <c r="A742" s="13" t="s">
        <v>1529</v>
      </c>
      <c r="B742" s="13" t="s">
        <v>1530</v>
      </c>
      <c r="C742" s="13" t="s">
        <v>72</v>
      </c>
      <c r="D742" s="13" t="s">
        <v>208</v>
      </c>
      <c r="E742" s="13" t="str">
        <f>IFERROR(INDEX('Почасовка — ставки и план'!$B$5:$B$24,MATCH(D742,'Почасовка — ставки и план'!$A$5:$A$24,0)),"Аренда техники / механизмы")</f>
        <v>Отделочник (штукатур, маляр, ГКЛ)</v>
      </c>
      <c r="F742" s="14">
        <v>2400</v>
      </c>
      <c r="G742" s="14">
        <v>2800</v>
      </c>
      <c r="H742" s="15">
        <v>1500</v>
      </c>
      <c r="I742" s="15">
        <f>IF(OR(H742="",F742=""),"",MAX(H742,MIN(ROUND(H742*(1+Параметры!$B$5),IF(H742*(1+Параметры!$B$5)&gt;=1000,-1,0)),ROUND(F742*Параметры!$B$6,IF(F742*Параметры!$B$6&gt;=1000,-1,0)))))</f>
        <v>1730</v>
      </c>
      <c r="J742" s="15">
        <v>1730</v>
      </c>
      <c r="K742" s="15">
        <f>IF(OR(J742="",G742=""),"",MAX(J742,MIN(ROUND(J742*(1+Параметры!$B$5),IF(J742*(1+Параметры!$B$5)&gt;=1000,-1,0)),ROUND(G742*Параметры!$B$6,IF(G742*Параметры!$B$6&gt;=1000,-1,0)))))</f>
        <v>1990</v>
      </c>
      <c r="L742" s="16">
        <v>2</v>
      </c>
      <c r="M742" s="17">
        <f t="shared" si="64"/>
        <v>0.5</v>
      </c>
      <c r="N742" s="17">
        <f>IF(OR(L742="",L742=0),"",Параметры!$B$3/L742)</f>
        <v>4</v>
      </c>
      <c r="O742" s="15">
        <f>IF(L742="","",IFERROR(INDEX('Почасовка — ставки и план'!$D$5:$D$24,MATCH($D742,'Почасовка — ставки и план'!$A$5:$A$24,0)),""))</f>
        <v>750</v>
      </c>
      <c r="P742" s="15">
        <f>IF(L742="","",IFERROR(INDEX('Почасовка — ставки и план'!$E$5:$E$24,MATCH($D742,'Почасовка — ставки и план'!$A$5:$A$24,0)),""))</f>
        <v>900</v>
      </c>
      <c r="Q742" s="15">
        <f t="shared" si="65"/>
        <v>1500</v>
      </c>
      <c r="R742" s="13" t="str">
        <f>IF(D742="TEX","аренда техники — сделка/счёт",IF(OR(Q742="",H742="",H742=0),"—",IF(Q742&lt;H742*(1-Параметры!$B$7),"почасовка",IF(Q742&gt;H742*(1+Параметры!$B$7),"сделка","любой способ"))))</f>
        <v>любой способ</v>
      </c>
      <c r="S742">
        <v>0</v>
      </c>
      <c r="T742">
        <v>0</v>
      </c>
    </row>
    <row r="743" spans="1:20" x14ac:dyDescent="0.25">
      <c r="A743" s="13" t="s">
        <v>1531</v>
      </c>
      <c r="B743" s="13" t="s">
        <v>1532</v>
      </c>
      <c r="C743" s="13" t="s">
        <v>72</v>
      </c>
      <c r="D743" s="13" t="s">
        <v>208</v>
      </c>
      <c r="E743" s="13" t="str">
        <f>IFERROR(INDEX('Почасовка — ставки и план'!$B$5:$B$24,MATCH(D743,'Почасовка — ставки и план'!$A$5:$A$24,0)),"Аренда техники / механизмы")</f>
        <v>Отделочник (штукатур, маляр, ГКЛ)</v>
      </c>
      <c r="F743" s="14">
        <v>2400</v>
      </c>
      <c r="G743" s="14">
        <v>2800</v>
      </c>
      <c r="H743" s="15">
        <v>1500</v>
      </c>
      <c r="I743" s="15">
        <f>IF(OR(H743="",F743=""),"",MAX(H743,MIN(ROUND(H743*(1+Параметры!$B$5),IF(H743*(1+Параметры!$B$5)&gt;=1000,-1,0)),ROUND(F743*Параметры!$B$6,IF(F743*Параметры!$B$6&gt;=1000,-1,0)))))</f>
        <v>1730</v>
      </c>
      <c r="J743" s="15">
        <v>1730</v>
      </c>
      <c r="K743" s="15">
        <f>IF(OR(J743="",G743=""),"",MAX(J743,MIN(ROUND(J743*(1+Параметры!$B$5),IF(J743*(1+Параметры!$B$5)&gt;=1000,-1,0)),ROUND(G743*Параметры!$B$6,IF(G743*Параметры!$B$6&gt;=1000,-1,0)))))</f>
        <v>1990</v>
      </c>
      <c r="L743" s="16">
        <v>2</v>
      </c>
      <c r="M743" s="17">
        <f t="shared" si="64"/>
        <v>0.5</v>
      </c>
      <c r="N743" s="17">
        <f>IF(OR(L743="",L743=0),"",Параметры!$B$3/L743)</f>
        <v>4</v>
      </c>
      <c r="O743" s="15">
        <f>IF(L743="","",IFERROR(INDEX('Почасовка — ставки и план'!$D$5:$D$24,MATCH($D743,'Почасовка — ставки и план'!$A$5:$A$24,0)),""))</f>
        <v>750</v>
      </c>
      <c r="P743" s="15">
        <f>IF(L743="","",IFERROR(INDEX('Почасовка — ставки и план'!$E$5:$E$24,MATCH($D743,'Почасовка — ставки и план'!$A$5:$A$24,0)),""))</f>
        <v>900</v>
      </c>
      <c r="Q743" s="15">
        <f t="shared" si="65"/>
        <v>1500</v>
      </c>
      <c r="R743" s="13" t="str">
        <f>IF(D743="TEX","аренда техники — сделка/счёт",IF(OR(Q743="",H743="",H743=0),"—",IF(Q743&lt;H743*(1-Параметры!$B$7),"почасовка",IF(Q743&gt;H743*(1+Параметры!$B$7),"сделка","любой способ"))))</f>
        <v>любой способ</v>
      </c>
      <c r="S743">
        <v>0</v>
      </c>
      <c r="T743">
        <v>0</v>
      </c>
    </row>
    <row r="744" spans="1:20" x14ac:dyDescent="0.25">
      <c r="A744" s="13" t="s">
        <v>1533</v>
      </c>
      <c r="B744" s="13" t="s">
        <v>1534</v>
      </c>
      <c r="C744" s="13" t="s">
        <v>72</v>
      </c>
      <c r="D744" s="13" t="s">
        <v>276</v>
      </c>
      <c r="E744" s="13" t="str">
        <f>IFERROR(INDEX('Почасовка — ставки и план'!$B$5:$B$24,MATCH(D744,'Почасовка — ставки и план'!$A$5:$A$24,0)),"Аренда техники / механизмы")</f>
        <v>Монтажник дверей, окон, перегородок</v>
      </c>
      <c r="F744" s="14">
        <v>640</v>
      </c>
      <c r="G744" s="14">
        <v>760</v>
      </c>
      <c r="H744" s="15">
        <v>360</v>
      </c>
      <c r="I744" s="15">
        <f>IF(OR(H744="",F744=""),"",MAX(H744,MIN(ROUND(H744*(1+Параметры!$B$5),IF(H744*(1+Параметры!$B$5)&gt;=1000,-1,0)),ROUND(F744*Параметры!$B$6,IF(F744*Параметры!$B$6&gt;=1000,-1,0)))))</f>
        <v>414</v>
      </c>
      <c r="J744" s="15">
        <v>420</v>
      </c>
      <c r="K744" s="15">
        <f>IF(OR(J744="",G744=""),"",MAX(J744,MIN(ROUND(J744*(1+Параметры!$B$5),IF(J744*(1+Параметры!$B$5)&gt;=1000,-1,0)),ROUND(G744*Параметры!$B$6,IF(G744*Параметры!$B$6&gt;=1000,-1,0)))))</f>
        <v>483</v>
      </c>
      <c r="L744" s="16">
        <v>0.6</v>
      </c>
      <c r="M744" s="17">
        <f t="shared" si="64"/>
        <v>1.6666666666666667</v>
      </c>
      <c r="N744" s="17">
        <f>IF(OR(L744="",L744=0),"",Параметры!$B$3/L744)</f>
        <v>13.333333333333334</v>
      </c>
      <c r="O744" s="15">
        <f>IF(L744="","",IFERROR(INDEX('Почасовка — ставки и план'!$D$5:$D$24,MATCH($D744,'Почасовка — ставки и план'!$A$5:$A$24,0)),""))</f>
        <v>800</v>
      </c>
      <c r="P744" s="15">
        <f>IF(L744="","",IFERROR(INDEX('Почасовка — ставки и план'!$E$5:$E$24,MATCH($D744,'Почасовка — ставки и план'!$A$5:$A$24,0)),""))</f>
        <v>950</v>
      </c>
      <c r="Q744" s="15">
        <f t="shared" si="65"/>
        <v>480</v>
      </c>
      <c r="R744" s="13" t="str">
        <f>IF(D744="TEX","аренда техники — сделка/счёт",IF(OR(Q744="",H744="",H744=0),"—",IF(Q744&lt;H744*(1-Параметры!$B$7),"почасовка",IF(Q744&gt;H744*(1+Параметры!$B$7),"сделка","любой способ"))))</f>
        <v>сделка</v>
      </c>
      <c r="S744">
        <v>6.6666666666666652E-2</v>
      </c>
      <c r="T744">
        <v>8.5714285714285632E-2</v>
      </c>
    </row>
    <row r="745" spans="1:20" x14ac:dyDescent="0.25">
      <c r="A745" s="13" t="s">
        <v>1535</v>
      </c>
      <c r="B745" s="13" t="s">
        <v>1536</v>
      </c>
      <c r="C745" s="13" t="s">
        <v>55</v>
      </c>
      <c r="D745" s="13" t="s">
        <v>208</v>
      </c>
      <c r="E745" s="13" t="str">
        <f>IFERROR(INDEX('Почасовка — ставки и план'!$B$5:$B$24,MATCH(D745,'Почасовка — ставки и план'!$A$5:$A$24,0)),"Аренда техники / механизмы")</f>
        <v>Отделочник (штукатур, маляр, ГКЛ)</v>
      </c>
      <c r="F745" s="14">
        <v>1200</v>
      </c>
      <c r="G745" s="14">
        <v>1400</v>
      </c>
      <c r="H745" s="15">
        <v>720</v>
      </c>
      <c r="I745" s="15">
        <f>IF(OR(H745="",F745=""),"",MAX(H745,MIN(ROUND(H745*(1+Параметры!$B$5),IF(H745*(1+Параметры!$B$5)&gt;=1000,-1,0)),ROUND(F745*Параметры!$B$6,IF(F745*Параметры!$B$6&gt;=1000,-1,0)))))</f>
        <v>828</v>
      </c>
      <c r="J745" s="15">
        <v>830</v>
      </c>
      <c r="K745" s="15">
        <f>IF(OR(J745="",G745=""),"",MAX(J745,MIN(ROUND(J745*(1+Параметры!$B$5),IF(J745*(1+Параметры!$B$5)&gt;=1000,-1,0)),ROUND(G745*Параметры!$B$6,IF(G745*Параметры!$B$6&gt;=1000,-1,0)))))</f>
        <v>955</v>
      </c>
      <c r="L745" s="16">
        <v>0.8</v>
      </c>
      <c r="M745" s="17">
        <f t="shared" si="64"/>
        <v>1.25</v>
      </c>
      <c r="N745" s="17">
        <f>IF(OR(L745="",L745=0),"",Параметры!$B$3/L745)</f>
        <v>10</v>
      </c>
      <c r="O745" s="15">
        <f>IF(L745="","",IFERROR(INDEX('Почасовка — ставки и план'!$D$5:$D$24,MATCH($D745,'Почасовка — ставки и план'!$A$5:$A$24,0)),""))</f>
        <v>750</v>
      </c>
      <c r="P745" s="15">
        <f>IF(L745="","",IFERROR(INDEX('Почасовка — ставки и план'!$E$5:$E$24,MATCH($D745,'Почасовка — ставки и план'!$A$5:$A$24,0)),""))</f>
        <v>900</v>
      </c>
      <c r="Q745" s="15">
        <f t="shared" si="65"/>
        <v>600</v>
      </c>
      <c r="R745" s="13" t="str">
        <f>IF(D745="TEX","аренда техники — сделка/счёт",IF(OR(Q745="",H745="",H745=0),"—",IF(Q745&lt;H745*(1-Параметры!$B$7),"почасовка",IF(Q745&gt;H745*(1+Параметры!$B$7),"сделка","любой способ"))))</f>
        <v>почасовка</v>
      </c>
      <c r="S745">
        <v>0</v>
      </c>
      <c r="T745">
        <v>0</v>
      </c>
    </row>
    <row r="746" spans="1:20" x14ac:dyDescent="0.25">
      <c r="A746" s="13" t="s">
        <v>1537</v>
      </c>
      <c r="B746" s="13" t="s">
        <v>1538</v>
      </c>
      <c r="C746" s="13" t="s">
        <v>55</v>
      </c>
      <c r="D746" s="13" t="s">
        <v>208</v>
      </c>
      <c r="E746" s="13" t="str">
        <f>IFERROR(INDEX('Почасовка — ставки и план'!$B$5:$B$24,MATCH(D746,'Почасовка — ставки и план'!$A$5:$A$24,0)),"Аренда техники / механизмы")</f>
        <v>Отделочник (штукатур, маляр, ГКЛ)</v>
      </c>
      <c r="F746" s="14">
        <v>1300</v>
      </c>
      <c r="G746" s="14">
        <v>1500</v>
      </c>
      <c r="H746" s="15">
        <v>780</v>
      </c>
      <c r="I746" s="15">
        <f>IF(OR(H746="",F746=""),"",MAX(H746,MIN(ROUND(H746*(1+Параметры!$B$5),IF(H746*(1+Параметры!$B$5)&gt;=1000,-1,0)),ROUND(F746*Параметры!$B$6,IF(F746*Параметры!$B$6&gt;=1000,-1,0)))))</f>
        <v>897</v>
      </c>
      <c r="J746" s="15">
        <v>900</v>
      </c>
      <c r="K746" s="15">
        <f>IF(OR(J746="",G746=""),"",MAX(J746,MIN(ROUND(J746*(1+Параметры!$B$5),IF(J746*(1+Параметры!$B$5)&gt;=1000,-1,0)),ROUND(G746*Параметры!$B$6,IF(G746*Параметры!$B$6&gt;=1000,-1,0)))))</f>
        <v>1040</v>
      </c>
      <c r="L746" s="16">
        <v>0.9</v>
      </c>
      <c r="M746" s="17">
        <f t="shared" si="64"/>
        <v>1.1111111111111112</v>
      </c>
      <c r="N746" s="17">
        <f>IF(OR(L746="",L746=0),"",Параметры!$B$3/L746)</f>
        <v>8.8888888888888893</v>
      </c>
      <c r="O746" s="15">
        <f>IF(L746="","",IFERROR(INDEX('Почасовка — ставки и план'!$D$5:$D$24,MATCH($D746,'Почасовка — ставки и план'!$A$5:$A$24,0)),""))</f>
        <v>750</v>
      </c>
      <c r="P746" s="15">
        <f>IF(L746="","",IFERROR(INDEX('Почасовка — ставки и план'!$E$5:$E$24,MATCH($D746,'Почасовка — ставки и план'!$A$5:$A$24,0)),""))</f>
        <v>900</v>
      </c>
      <c r="Q746" s="15">
        <f t="shared" si="65"/>
        <v>675</v>
      </c>
      <c r="R746" s="13" t="str">
        <f>IF(D746="TEX","аренда техники — сделка/счёт",IF(OR(Q746="",H746="",H746=0),"—",IF(Q746&lt;H746*(1-Параметры!$B$7),"почасовка",IF(Q746&gt;H746*(1+Параметры!$B$7),"сделка","любой способ"))))</f>
        <v>почасовка</v>
      </c>
      <c r="S746">
        <v>0</v>
      </c>
      <c r="T746">
        <v>0</v>
      </c>
    </row>
    <row r="747" spans="1:20" x14ac:dyDescent="0.25">
      <c r="A747" s="18" t="s">
        <v>1539</v>
      </c>
      <c r="B747" s="13" t="s">
        <v>1540</v>
      </c>
      <c r="C747" s="13" t="s">
        <v>72</v>
      </c>
      <c r="D747" s="13" t="s">
        <v>60</v>
      </c>
      <c r="E747" s="13" t="str">
        <f>IFERROR(INDEX('Почасовка — ставки и план'!$B$5:$B$24,MATCH(D747,'Почасовка — ставки и план'!$A$5:$A$24,0)),"Аренда техники / механизмы")</f>
        <v>Разнорабочий / демонтажник</v>
      </c>
      <c r="F747" s="14">
        <v>350</v>
      </c>
      <c r="G747" s="14">
        <v>400</v>
      </c>
      <c r="H747" s="15">
        <v>210</v>
      </c>
      <c r="I747" s="15">
        <f>IF(OR(H747="",F747=""),"",MAX(H747,MIN(ROUND(H747*(1+Параметры!$B$5),IF(H747*(1+Параметры!$B$5)&gt;=1000,-1,0)),ROUND(F747*Параметры!$B$6,IF(F747*Параметры!$B$6&gt;=1000,-1,0)))))</f>
        <v>242</v>
      </c>
      <c r="J747" s="15">
        <v>240</v>
      </c>
      <c r="K747" s="15">
        <f>IF(OR(J747="",G747=""),"",MAX(J747,MIN(ROUND(J747*(1+Параметры!$B$5),IF(J747*(1+Параметры!$B$5)&gt;=1000,-1,0)),ROUND(G747*Параметры!$B$6,IF(G747*Параметры!$B$6&gt;=1000,-1,0)))))</f>
        <v>276</v>
      </c>
      <c r="L747" s="16">
        <v>0.3</v>
      </c>
      <c r="M747" s="17">
        <f t="shared" si="64"/>
        <v>3.3333333333333335</v>
      </c>
      <c r="N747" s="17">
        <f>IF(OR(L747="",L747=0),"",Параметры!$B$3/L747)</f>
        <v>26.666666666666668</v>
      </c>
      <c r="O747" s="15">
        <f>IF(L747="","",IFERROR(INDEX('Почасовка — ставки и план'!$D$5:$D$24,MATCH($D747,'Почасовка — ставки и план'!$A$5:$A$24,0)),""))</f>
        <v>550</v>
      </c>
      <c r="P747" s="15">
        <f>IF(L747="","",IFERROR(INDEX('Почасовка — ставки и план'!$E$5:$E$24,MATCH($D747,'Почасовка — ставки и план'!$A$5:$A$24,0)),""))</f>
        <v>660</v>
      </c>
      <c r="Q747" s="15">
        <f t="shared" si="65"/>
        <v>165</v>
      </c>
      <c r="R747" s="13" t="str">
        <f>IF(D747="TEX","аренда техники — сделка/счёт",IF(OR(Q747="",H747="",H747=0),"—",IF(Q747&lt;H747*(1-Параметры!$B$7),"почасовка",IF(Q747&gt;H747*(1+Параметры!$B$7),"сделка","любой способ"))))</f>
        <v>почасовка</v>
      </c>
      <c r="S747">
        <v>0</v>
      </c>
      <c r="T747">
        <v>0</v>
      </c>
    </row>
    <row r="748" spans="1:20" x14ac:dyDescent="0.25">
      <c r="A748" s="18" t="s">
        <v>1541</v>
      </c>
      <c r="B748" s="13" t="s">
        <v>1542</v>
      </c>
      <c r="C748" s="13" t="s">
        <v>72</v>
      </c>
      <c r="D748" s="13" t="s">
        <v>60</v>
      </c>
      <c r="E748" s="13" t="str">
        <f>IFERROR(INDEX('Почасовка — ставки и план'!$B$5:$B$24,MATCH(D748,'Почасовка — ставки и план'!$A$5:$A$24,0)),"Аренда техники / механизмы")</f>
        <v>Разнорабочий / демонтажник</v>
      </c>
      <c r="F748" s="14">
        <v>700</v>
      </c>
      <c r="G748" s="14">
        <v>800</v>
      </c>
      <c r="H748" s="15">
        <v>420</v>
      </c>
      <c r="I748" s="15">
        <f>IF(OR(H748="",F748=""),"",MAX(H748,MIN(ROUND(H748*(1+Параметры!$B$5),IF(H748*(1+Параметры!$B$5)&gt;=1000,-1,0)),ROUND(F748*Параметры!$B$6,IF(F748*Параметры!$B$6&gt;=1000,-1,0)))))</f>
        <v>483</v>
      </c>
      <c r="J748" s="15">
        <v>480</v>
      </c>
      <c r="K748" s="15">
        <f>IF(OR(J748="",G748=""),"",MAX(J748,MIN(ROUND(J748*(1+Параметры!$B$5),IF(J748*(1+Параметры!$B$5)&gt;=1000,-1,0)),ROUND(G748*Параметры!$B$6,IF(G748*Параметры!$B$6&gt;=1000,-1,0)))))</f>
        <v>552</v>
      </c>
      <c r="L748" s="16">
        <v>0.8</v>
      </c>
      <c r="M748" s="17">
        <f t="shared" si="64"/>
        <v>1.25</v>
      </c>
      <c r="N748" s="17">
        <f>IF(OR(L748="",L748=0),"",Параметры!$B$3/L748)</f>
        <v>10</v>
      </c>
      <c r="O748" s="15">
        <f>IF(L748="","",IFERROR(INDEX('Почасовка — ставки и план'!$D$5:$D$24,MATCH($D748,'Почасовка — ставки и план'!$A$5:$A$24,0)),""))</f>
        <v>550</v>
      </c>
      <c r="P748" s="15">
        <f>IF(L748="","",IFERROR(INDEX('Почасовка — ставки и план'!$E$5:$E$24,MATCH($D748,'Почасовка — ставки и план'!$A$5:$A$24,0)),""))</f>
        <v>660</v>
      </c>
      <c r="Q748" s="15">
        <f t="shared" si="65"/>
        <v>440</v>
      </c>
      <c r="R748" s="13" t="str">
        <f>IF(D748="TEX","аренда техники — сделка/счёт",IF(OR(Q748="",H748="",H748=0),"—",IF(Q748&lt;H748*(1-Параметры!$B$7),"почасовка",IF(Q748&gt;H748*(1+Параметры!$B$7),"сделка","любой способ"))))</f>
        <v>любой способ</v>
      </c>
      <c r="S748">
        <v>0</v>
      </c>
      <c r="T748">
        <v>0</v>
      </c>
    </row>
    <row r="749" spans="1:20" x14ac:dyDescent="0.25">
      <c r="A749" s="18" t="s">
        <v>1543</v>
      </c>
      <c r="B749" s="13" t="s">
        <v>1544</v>
      </c>
      <c r="C749" s="13" t="s">
        <v>144</v>
      </c>
      <c r="D749" s="13" t="s">
        <v>208</v>
      </c>
      <c r="E749" s="13" t="str">
        <f>IFERROR(INDEX('Почасовка — ставки и план'!$B$5:$B$24,MATCH(D749,'Почасовка — ставки и план'!$A$5:$A$24,0)),"Аренда техники / механизмы")</f>
        <v>Отделочник (штукатур, маляр, ГКЛ)</v>
      </c>
      <c r="F749" s="14">
        <v>2200</v>
      </c>
      <c r="G749" s="14">
        <v>2500</v>
      </c>
      <c r="H749" s="15">
        <v>1300</v>
      </c>
      <c r="I749" s="15">
        <f>IF(OR(H749="",F749=""),"",MAX(H749,MIN(ROUND(H749*(1+Параметры!$B$5),IF(H749*(1+Параметры!$B$5)&gt;=1000,-1,0)),ROUND(F749*Параметры!$B$6,IF(F749*Параметры!$B$6&gt;=1000,-1,0)))))</f>
        <v>1500</v>
      </c>
      <c r="J749" s="15">
        <v>1500</v>
      </c>
      <c r="K749" s="15">
        <f>IF(OR(J749="",G749=""),"",MAX(J749,MIN(ROUND(J749*(1+Параметры!$B$5),IF(J749*(1+Параметры!$B$5)&gt;=1000,-1,0)),ROUND(G749*Параметры!$B$6,IF(G749*Параметры!$B$6&gt;=1000,-1,0)))))</f>
        <v>1730</v>
      </c>
      <c r="L749" s="16">
        <v>1.5</v>
      </c>
      <c r="M749" s="17">
        <f t="shared" si="64"/>
        <v>0.66666666666666663</v>
      </c>
      <c r="N749" s="17">
        <f>IF(OR(L749="",L749=0),"",Параметры!$B$3/L749)</f>
        <v>5.333333333333333</v>
      </c>
      <c r="O749" s="15">
        <f>IF(L749="","",IFERROR(INDEX('Почасовка — ставки и план'!$D$5:$D$24,MATCH($D749,'Почасовка — ставки и план'!$A$5:$A$24,0)),""))</f>
        <v>750</v>
      </c>
      <c r="P749" s="15">
        <f>IF(L749="","",IFERROR(INDEX('Почасовка — ставки и план'!$E$5:$E$24,MATCH($D749,'Почасовка — ставки и план'!$A$5:$A$24,0)),""))</f>
        <v>900</v>
      </c>
      <c r="Q749" s="15">
        <f t="shared" si="65"/>
        <v>1125</v>
      </c>
      <c r="R749" s="13" t="str">
        <f>IF(D749="TEX","аренда техники — сделка/счёт",IF(OR(Q749="",H749="",H749=0),"—",IF(Q749&lt;H749*(1-Параметры!$B$7),"почасовка",IF(Q749&gt;H749*(1+Параметры!$B$7),"сделка","любой способ"))))</f>
        <v>почасовка</v>
      </c>
      <c r="S749">
        <v>0</v>
      </c>
      <c r="T749">
        <v>0</v>
      </c>
    </row>
    <row r="750" spans="1:20" x14ac:dyDescent="0.25">
      <c r="A750" s="18" t="s">
        <v>1545</v>
      </c>
      <c r="B750" s="13" t="s">
        <v>1546</v>
      </c>
      <c r="C750" s="13" t="s">
        <v>69</v>
      </c>
      <c r="D750" s="13" t="s">
        <v>208</v>
      </c>
      <c r="E750" s="13" t="str">
        <f>IFERROR(INDEX('Почасовка — ставки и план'!$B$5:$B$24,MATCH(D750,'Почасовка — ставки и план'!$A$5:$A$24,0)),"Аренда техники / механизмы")</f>
        <v>Отделочник (штукатур, маляр, ГКЛ)</v>
      </c>
      <c r="F750" s="14">
        <v>1300</v>
      </c>
      <c r="G750" s="14">
        <v>1500</v>
      </c>
      <c r="H750" s="15">
        <v>780</v>
      </c>
      <c r="I750" s="15">
        <f>IF(OR(H750="",F750=""),"",MAX(H750,MIN(ROUND(H750*(1+Параметры!$B$5),IF(H750*(1+Параметры!$B$5)&gt;=1000,-1,0)),ROUND(F750*Параметры!$B$6,IF(F750*Параметры!$B$6&gt;=1000,-1,0)))))</f>
        <v>897</v>
      </c>
      <c r="J750" s="15">
        <v>900</v>
      </c>
      <c r="K750" s="15">
        <f>IF(OR(J750="",G750=""),"",MAX(J750,MIN(ROUND(J750*(1+Параметры!$B$5),IF(J750*(1+Параметры!$B$5)&gt;=1000,-1,0)),ROUND(G750*Параметры!$B$6,IF(G750*Параметры!$B$6&gt;=1000,-1,0)))))</f>
        <v>1040</v>
      </c>
      <c r="L750" s="16">
        <v>0.8</v>
      </c>
      <c r="M750" s="17">
        <f t="shared" si="64"/>
        <v>1.25</v>
      </c>
      <c r="N750" s="17">
        <f>IF(OR(L750="",L750=0),"",Параметры!$B$3/L750)</f>
        <v>10</v>
      </c>
      <c r="O750" s="15">
        <f>IF(L750="","",IFERROR(INDEX('Почасовка — ставки и план'!$D$5:$D$24,MATCH($D750,'Почасовка — ставки и план'!$A$5:$A$24,0)),""))</f>
        <v>750</v>
      </c>
      <c r="P750" s="15">
        <f>IF(L750="","",IFERROR(INDEX('Почасовка — ставки и план'!$E$5:$E$24,MATCH($D750,'Почасовка — ставки и план'!$A$5:$A$24,0)),""))</f>
        <v>900</v>
      </c>
      <c r="Q750" s="15">
        <f t="shared" si="65"/>
        <v>600</v>
      </c>
      <c r="R750" s="13" t="str">
        <f>IF(D750="TEX","аренда техники — сделка/счёт",IF(OR(Q750="",H750="",H750=0),"—",IF(Q750&lt;H750*(1-Параметры!$B$7),"почасовка",IF(Q750&gt;H750*(1+Параметры!$B$7),"сделка","любой способ"))))</f>
        <v>почасовка</v>
      </c>
      <c r="S750">
        <v>0</v>
      </c>
      <c r="T750">
        <v>0</v>
      </c>
    </row>
    <row r="751" spans="1:20" x14ac:dyDescent="0.25">
      <c r="A751" s="18" t="s">
        <v>1547</v>
      </c>
      <c r="B751" s="13" t="s">
        <v>1548</v>
      </c>
      <c r="C751" s="13" t="s">
        <v>72</v>
      </c>
      <c r="D751" s="13" t="s">
        <v>252</v>
      </c>
      <c r="E751" s="13" t="str">
        <f>IFERROR(INDEX('Почасовка — ставки и план'!$B$5:$B$24,MATCH(D751,'Почасовка — ставки и план'!$A$5:$A$24,0)),"Аренда техники / механизмы")</f>
        <v>Каменщик</v>
      </c>
      <c r="F751" s="14">
        <v>2667</v>
      </c>
      <c r="G751" s="14">
        <v>3167</v>
      </c>
      <c r="H751" s="15">
        <v>1500</v>
      </c>
      <c r="I751" s="15">
        <f>IF(OR(H751="",F751=""),"",MAX(H751,MIN(ROUND(H751*(1+Параметры!$B$5),IF(H751*(1+Параметры!$B$5)&gt;=1000,-1,0)),ROUND(F751*Параметры!$B$6,IF(F751*Параметры!$B$6&gt;=1000,-1,0)))))</f>
        <v>1730</v>
      </c>
      <c r="J751" s="15">
        <v>1750</v>
      </c>
      <c r="K751" s="15">
        <f>IF(OR(J751="",G751=""),"",MAX(J751,MIN(ROUND(J751*(1+Параметры!$B$5),IF(J751*(1+Параметры!$B$5)&gt;=1000,-1,0)),ROUND(G751*Параметры!$B$6,IF(G751*Параметры!$B$6&gt;=1000,-1,0)))))</f>
        <v>2010</v>
      </c>
      <c r="L751" s="16">
        <v>2.5</v>
      </c>
      <c r="M751" s="17">
        <f t="shared" si="64"/>
        <v>0.4</v>
      </c>
      <c r="N751" s="17">
        <f>IF(OR(L751="",L751=0),"",Параметры!$B$3/L751)</f>
        <v>3.2</v>
      </c>
      <c r="O751" s="15">
        <f>IF(L751="","",IFERROR(INDEX('Почасовка — ставки и план'!$D$5:$D$24,MATCH($D751,'Почасовка — ставки и план'!$A$5:$A$24,0)),""))</f>
        <v>800</v>
      </c>
      <c r="P751" s="15">
        <f>IF(L751="","",IFERROR(INDEX('Почасовка — ставки и план'!$E$5:$E$24,MATCH($D751,'Почасовка — ставки и план'!$A$5:$A$24,0)),""))</f>
        <v>950</v>
      </c>
      <c r="Q751" s="15">
        <f t="shared" si="65"/>
        <v>2000</v>
      </c>
      <c r="R751" s="13" t="str">
        <f>IF(D751="TEX","аренда техники — сделка/счёт",IF(OR(Q751="",H751="",H751=0),"—",IF(Q751&lt;H751*(1-Параметры!$B$7),"почасовка",IF(Q751&gt;H751*(1+Параметры!$B$7),"сделка","любой способ"))))</f>
        <v>сделка</v>
      </c>
      <c r="S751">
        <v>6.6799999999999971E-2</v>
      </c>
      <c r="T751">
        <v>9.2068965517241308E-2</v>
      </c>
    </row>
    <row r="752" spans="1:20" x14ac:dyDescent="0.25">
      <c r="A752" s="18" t="s">
        <v>1549</v>
      </c>
      <c r="B752" s="13" t="s">
        <v>1550</v>
      </c>
      <c r="C752" s="13" t="s">
        <v>72</v>
      </c>
      <c r="D752" s="13" t="s">
        <v>208</v>
      </c>
      <c r="E752" s="13" t="str">
        <f>IFERROR(INDEX('Почасовка — ставки и план'!$B$5:$B$24,MATCH(D752,'Почасовка — ставки и план'!$A$5:$A$24,0)),"Аренда техники / механизмы")</f>
        <v>Отделочник (штукатур, маляр, ГКЛ)</v>
      </c>
      <c r="F752" s="14">
        <v>1500</v>
      </c>
      <c r="G752" s="14">
        <v>1700</v>
      </c>
      <c r="H752" s="15">
        <v>900</v>
      </c>
      <c r="I752" s="15">
        <f>IF(OR(H752="",F752=""),"",MAX(H752,MIN(ROUND(H752*(1+Параметры!$B$5),IF(H752*(1+Параметры!$B$5)&gt;=1000,-1,0)),ROUND(F752*Параметры!$B$6,IF(F752*Параметры!$B$6&gt;=1000,-1,0)))))</f>
        <v>1040</v>
      </c>
      <c r="J752" s="15">
        <v>1050</v>
      </c>
      <c r="K752" s="15">
        <f>IF(OR(J752="",G752=""),"",MAX(J752,MIN(ROUND(J752*(1+Параметры!$B$5),IF(J752*(1+Параметры!$B$5)&gt;=1000,-1,0)),ROUND(G752*Параметры!$B$6,IF(G752*Параметры!$B$6&gt;=1000,-1,0)))))</f>
        <v>1210</v>
      </c>
      <c r="L752" s="16">
        <v>1.2</v>
      </c>
      <c r="M752" s="17">
        <f t="shared" si="64"/>
        <v>0.83333333333333337</v>
      </c>
      <c r="N752" s="17">
        <f>IF(OR(L752="",L752=0),"",Параметры!$B$3/L752)</f>
        <v>6.666666666666667</v>
      </c>
      <c r="O752" s="15">
        <f>IF(L752="","",IFERROR(INDEX('Почасовка — ставки и план'!$D$5:$D$24,MATCH($D752,'Почасовка — ставки и план'!$A$5:$A$24,0)),""))</f>
        <v>750</v>
      </c>
      <c r="P752" s="15">
        <f>IF(L752="","",IFERROR(INDEX('Почасовка — ставки и план'!$E$5:$E$24,MATCH($D752,'Почасовка — ставки и план'!$A$5:$A$24,0)),""))</f>
        <v>900</v>
      </c>
      <c r="Q752" s="15">
        <f t="shared" si="65"/>
        <v>900</v>
      </c>
      <c r="R752" s="13" t="str">
        <f>IF(D752="TEX","аренда техники — сделка/счёт",IF(OR(Q752="",H752="",H752=0),"—",IF(Q752&lt;H752*(1-Параметры!$B$7),"почасовка",IF(Q752&gt;H752*(1+Параметры!$B$7),"сделка","любой способ"))))</f>
        <v>любой способ</v>
      </c>
      <c r="S752">
        <v>0</v>
      </c>
      <c r="T752">
        <v>0</v>
      </c>
    </row>
    <row r="753" spans="1:20" x14ac:dyDescent="0.25">
      <c r="A753" s="18" t="s">
        <v>1551</v>
      </c>
      <c r="B753" s="13" t="s">
        <v>1552</v>
      </c>
      <c r="C753" s="13" t="s">
        <v>144</v>
      </c>
      <c r="D753" s="13" t="s">
        <v>208</v>
      </c>
      <c r="E753" s="13" t="str">
        <f>IFERROR(INDEX('Почасовка — ставки и план'!$B$5:$B$24,MATCH(D753,'Почасовка — ставки и план'!$A$5:$A$24,0)),"Аренда техники / механизмы")</f>
        <v>Отделочник (штукатур, маляр, ГКЛ)</v>
      </c>
      <c r="F753" s="14">
        <v>900</v>
      </c>
      <c r="G753" s="14">
        <v>1050</v>
      </c>
      <c r="H753" s="15">
        <v>540</v>
      </c>
      <c r="I753" s="15">
        <f>IF(OR(H753="",F753=""),"",MAX(H753,MIN(ROUND(H753*(1+Параметры!$B$5),IF(H753*(1+Параметры!$B$5)&gt;=1000,-1,0)),ROUND(F753*Параметры!$B$6,IF(F753*Параметры!$B$6&gt;=1000,-1,0)))))</f>
        <v>621</v>
      </c>
      <c r="J753" s="15">
        <v>630</v>
      </c>
      <c r="K753" s="15">
        <f>IF(OR(J753="",G753=""),"",MAX(J753,MIN(ROUND(J753*(1+Параметры!$B$5),IF(J753*(1+Параметры!$B$5)&gt;=1000,-1,0)),ROUND(G753*Параметры!$B$6,IF(G753*Параметры!$B$6&gt;=1000,-1,0)))))</f>
        <v>725</v>
      </c>
      <c r="L753" s="16">
        <v>0.7</v>
      </c>
      <c r="M753" s="17">
        <f t="shared" si="64"/>
        <v>1.4285714285714286</v>
      </c>
      <c r="N753" s="17">
        <f>IF(OR(L753="",L753=0),"",Параметры!$B$3/L753)</f>
        <v>11.428571428571429</v>
      </c>
      <c r="O753" s="15">
        <f>IF(L753="","",IFERROR(INDEX('Почасовка — ставки и план'!$D$5:$D$24,MATCH($D753,'Почасовка — ставки и план'!$A$5:$A$24,0)),""))</f>
        <v>750</v>
      </c>
      <c r="P753" s="15">
        <f>IF(L753="","",IFERROR(INDEX('Почасовка — ставки и план'!$E$5:$E$24,MATCH($D753,'Почасовка — ставки и план'!$A$5:$A$24,0)),""))</f>
        <v>900</v>
      </c>
      <c r="Q753" s="15">
        <f t="shared" si="65"/>
        <v>525</v>
      </c>
      <c r="R753" s="13" t="str">
        <f>IF(D753="TEX","аренда техники — сделка/счёт",IF(OR(Q753="",H753="",H753=0),"—",IF(Q753&lt;H753*(1-Параметры!$B$7),"почасовка",IF(Q753&gt;H753*(1+Параметры!$B$7),"сделка","любой способ"))))</f>
        <v>любой способ</v>
      </c>
      <c r="S753">
        <v>0</v>
      </c>
      <c r="T753">
        <v>0</v>
      </c>
    </row>
    <row r="754" spans="1:20" x14ac:dyDescent="0.25">
      <c r="A754" s="11" t="s">
        <v>1553</v>
      </c>
      <c r="B754" s="12"/>
      <c r="C754" s="12"/>
      <c r="D754" s="12"/>
      <c r="E754" s="12"/>
      <c r="F754" s="12"/>
      <c r="G754" s="12"/>
      <c r="H754" s="12"/>
      <c r="I754" s="12"/>
      <c r="J754" s="12"/>
      <c r="K754" s="12"/>
      <c r="L754" s="12"/>
      <c r="M754" s="12"/>
      <c r="N754" s="12"/>
      <c r="O754" s="12"/>
      <c r="P754" s="12"/>
      <c r="Q754" s="12"/>
      <c r="R754" s="12"/>
    </row>
    <row r="755" spans="1:20" x14ac:dyDescent="0.25">
      <c r="A755" s="13" t="s">
        <v>1554</v>
      </c>
      <c r="B755" s="13" t="s">
        <v>1555</v>
      </c>
      <c r="C755" s="13" t="s">
        <v>72</v>
      </c>
      <c r="D755" s="13" t="s">
        <v>208</v>
      </c>
      <c r="E755" s="13" t="str">
        <f>IFERROR(INDEX('Почасовка — ставки и план'!$B$5:$B$24,MATCH(D755,'Почасовка — ставки и план'!$A$5:$A$24,0)),"Аренда техники / механизмы")</f>
        <v>Отделочник (штукатур, маляр, ГКЛ)</v>
      </c>
      <c r="F755" s="14">
        <v>280</v>
      </c>
      <c r="G755" s="14">
        <v>330</v>
      </c>
      <c r="H755" s="15">
        <v>170</v>
      </c>
      <c r="I755" s="15">
        <f>IF(OR(H755="",F755=""),"",MAX(H755,MIN(ROUND(H755*(1+Параметры!$B$5),IF(H755*(1+Параметры!$B$5)&gt;=1000,-1,0)),ROUND(F755*Параметры!$B$6,IF(F755*Параметры!$B$6&gt;=1000,-1,0)))))</f>
        <v>196</v>
      </c>
      <c r="J755" s="15">
        <v>195</v>
      </c>
      <c r="K755" s="15">
        <f>IF(OR(J755="",G755=""),"",MAX(J755,MIN(ROUND(J755*(1+Параметры!$B$5),IF(J755*(1+Параметры!$B$5)&gt;=1000,-1,0)),ROUND(G755*Параметры!$B$6,IF(G755*Параметры!$B$6&gt;=1000,-1,0)))))</f>
        <v>224</v>
      </c>
      <c r="L755" s="16">
        <v>0.15</v>
      </c>
      <c r="M755" s="17">
        <f t="shared" ref="M755:M786" si="66">IF(OR(L755="",L755=0),"",1/L755)</f>
        <v>6.666666666666667</v>
      </c>
      <c r="N755" s="17">
        <f>IF(OR(L755="",L755=0),"",Параметры!$B$3/L755)</f>
        <v>53.333333333333336</v>
      </c>
      <c r="O755" s="15">
        <f>IF(L755="","",IFERROR(INDEX('Почасовка — ставки и план'!$D$5:$D$24,MATCH($D755,'Почасовка — ставки и план'!$A$5:$A$24,0)),""))</f>
        <v>750</v>
      </c>
      <c r="P755" s="15">
        <f>IF(L755="","",IFERROR(INDEX('Почасовка — ставки и план'!$E$5:$E$24,MATCH($D755,'Почасовка — ставки и план'!$A$5:$A$24,0)),""))</f>
        <v>900</v>
      </c>
      <c r="Q755" s="15">
        <f t="shared" ref="Q755:Q786" si="67">IF(OR(L755="",O755=""),"",ROUND(L755*O755,0))</f>
        <v>113</v>
      </c>
      <c r="R755" s="13" t="str">
        <f>IF(D755="TEX","аренда техники — сделка/счёт",IF(OR(Q755="",H755="",H755=0),"—",IF(Q755&lt;H755*(1-Параметры!$B$7),"почасовка",IF(Q755&gt;H755*(1+Параметры!$B$7),"сделка","любой способ"))))</f>
        <v>почасовка</v>
      </c>
      <c r="S755">
        <v>0</v>
      </c>
      <c r="T755">
        <v>0</v>
      </c>
    </row>
    <row r="756" spans="1:20" x14ac:dyDescent="0.25">
      <c r="A756" s="13" t="s">
        <v>1556</v>
      </c>
      <c r="B756" s="13" t="s">
        <v>1557</v>
      </c>
      <c r="C756" s="13" t="s">
        <v>72</v>
      </c>
      <c r="D756" s="13" t="s">
        <v>208</v>
      </c>
      <c r="E756" s="13" t="str">
        <f>IFERROR(INDEX('Почасовка — ставки и план'!$B$5:$B$24,MATCH(D756,'Почасовка — ставки и план'!$A$5:$A$24,0)),"Аренда техники / механизмы")</f>
        <v>Отделочник (штукатур, маляр, ГКЛ)</v>
      </c>
      <c r="F756" s="14">
        <v>300</v>
      </c>
      <c r="G756" s="14">
        <v>350</v>
      </c>
      <c r="H756" s="15">
        <v>180</v>
      </c>
      <c r="I756" s="15">
        <f>IF(OR(H756="",F756=""),"",MAX(H756,MIN(ROUND(H756*(1+Параметры!$B$5),IF(H756*(1+Параметры!$B$5)&gt;=1000,-1,0)),ROUND(F756*Параметры!$B$6,IF(F756*Параметры!$B$6&gt;=1000,-1,0)))))</f>
        <v>207</v>
      </c>
      <c r="J756" s="15">
        <v>210</v>
      </c>
      <c r="K756" s="15">
        <f>IF(OR(J756="",G756=""),"",MAX(J756,MIN(ROUND(J756*(1+Параметры!$B$5),IF(J756*(1+Параметры!$B$5)&gt;=1000,-1,0)),ROUND(G756*Параметры!$B$6,IF(G756*Параметры!$B$6&gt;=1000,-1,0)))))</f>
        <v>242</v>
      </c>
      <c r="L756" s="16">
        <v>0.2</v>
      </c>
      <c r="M756" s="17">
        <f t="shared" si="66"/>
        <v>5</v>
      </c>
      <c r="N756" s="17">
        <f>IF(OR(L756="",L756=0),"",Параметры!$B$3/L756)</f>
        <v>40</v>
      </c>
      <c r="O756" s="15">
        <f>IF(L756="","",IFERROR(INDEX('Почасовка — ставки и план'!$D$5:$D$24,MATCH($D756,'Почасовка — ставки и план'!$A$5:$A$24,0)),""))</f>
        <v>750</v>
      </c>
      <c r="P756" s="15">
        <f>IF(L756="","",IFERROR(INDEX('Почасовка — ставки и план'!$E$5:$E$24,MATCH($D756,'Почасовка — ставки и план'!$A$5:$A$24,0)),""))</f>
        <v>900</v>
      </c>
      <c r="Q756" s="15">
        <f t="shared" si="67"/>
        <v>150</v>
      </c>
      <c r="R756" s="13" t="str">
        <f>IF(D756="TEX","аренда техники — сделка/счёт",IF(OR(Q756="",H756="",H756=0),"—",IF(Q756&lt;H756*(1-Параметры!$B$7),"почасовка",IF(Q756&gt;H756*(1+Параметры!$B$7),"сделка","любой способ"))))</f>
        <v>почасовка</v>
      </c>
      <c r="S756">
        <v>0</v>
      </c>
      <c r="T756">
        <v>0</v>
      </c>
    </row>
    <row r="757" spans="1:20" x14ac:dyDescent="0.25">
      <c r="A757" s="13" t="s">
        <v>1558</v>
      </c>
      <c r="B757" s="13" t="s">
        <v>1559</v>
      </c>
      <c r="C757" s="13" t="s">
        <v>72</v>
      </c>
      <c r="D757" s="13" t="s">
        <v>88</v>
      </c>
      <c r="E757" s="13" t="str">
        <f>IFERROR(INDEX('Почасовка — ставки и план'!$B$5:$B$24,MATCH(D757,'Почасовка — ставки и план'!$A$5:$A$24,0)),"Аренда техники / механизмы")</f>
        <v>Кровельщик</v>
      </c>
      <c r="F757" s="14">
        <v>450</v>
      </c>
      <c r="G757" s="14">
        <v>520</v>
      </c>
      <c r="H757" s="15">
        <v>270</v>
      </c>
      <c r="I757" s="15">
        <f>IF(OR(H757="",F757=""),"",MAX(H757,MIN(ROUND(H757*(1+Параметры!$B$5),IF(H757*(1+Параметры!$B$5)&gt;=1000,-1,0)),ROUND(F757*Параметры!$B$6,IF(F757*Параметры!$B$6&gt;=1000,-1,0)))))</f>
        <v>311</v>
      </c>
      <c r="J757" s="15">
        <v>310</v>
      </c>
      <c r="K757" s="15">
        <f>IF(OR(J757="",G757=""),"",MAX(J757,MIN(ROUND(J757*(1+Параметры!$B$5),IF(J757*(1+Параметры!$B$5)&gt;=1000,-1,0)),ROUND(G757*Параметры!$B$6,IF(G757*Параметры!$B$6&gt;=1000,-1,0)))))</f>
        <v>357</v>
      </c>
      <c r="L757" s="16">
        <v>0.35</v>
      </c>
      <c r="M757" s="17">
        <f t="shared" si="66"/>
        <v>2.8571428571428572</v>
      </c>
      <c r="N757" s="17">
        <f>IF(OR(L757="",L757=0),"",Параметры!$B$3/L757)</f>
        <v>22.857142857142858</v>
      </c>
      <c r="O757" s="15">
        <f>IF(L757="","",IFERROR(INDEX('Почасовка — ставки и план'!$D$5:$D$24,MATCH($D757,'Почасовка — ставки и план'!$A$5:$A$24,0)),""))</f>
        <v>800</v>
      </c>
      <c r="P757" s="15">
        <f>IF(L757="","",IFERROR(INDEX('Почасовка — ставки и план'!$E$5:$E$24,MATCH($D757,'Почасовка — ставки и план'!$A$5:$A$24,0)),""))</f>
        <v>950</v>
      </c>
      <c r="Q757" s="15">
        <f t="shared" si="67"/>
        <v>280</v>
      </c>
      <c r="R757" s="13" t="str">
        <f>IF(D757="TEX","аренда техники — сделка/счёт",IF(OR(Q757="",H757="",H757=0),"—",IF(Q757&lt;H757*(1-Параметры!$B$7),"почасовка",IF(Q757&gt;H757*(1+Параметры!$B$7),"сделка","любой способ"))))</f>
        <v>любой способ</v>
      </c>
      <c r="S757">
        <v>0</v>
      </c>
      <c r="T757">
        <v>0</v>
      </c>
    </row>
    <row r="758" spans="1:20" x14ac:dyDescent="0.25">
      <c r="A758" s="13" t="s">
        <v>1560</v>
      </c>
      <c r="B758" s="13" t="s">
        <v>1561</v>
      </c>
      <c r="C758" s="13" t="s">
        <v>72</v>
      </c>
      <c r="D758" s="13" t="s">
        <v>208</v>
      </c>
      <c r="E758" s="13" t="str">
        <f>IFERROR(INDEX('Почасовка — ставки и план'!$B$5:$B$24,MATCH(D758,'Почасовка — ставки и план'!$A$5:$A$24,0)),"Аренда техники / механизмы")</f>
        <v>Отделочник (штукатур, маляр, ГКЛ)</v>
      </c>
      <c r="F758" s="14">
        <v>700</v>
      </c>
      <c r="G758" s="14">
        <v>850</v>
      </c>
      <c r="H758" s="15">
        <v>430</v>
      </c>
      <c r="I758" s="15">
        <f>IF(OR(H758="",F758=""),"",MAX(H758,MIN(ROUND(H758*(1+Параметры!$B$5),IF(H758*(1+Параметры!$B$5)&gt;=1000,-1,0)),ROUND(F758*Параметры!$B$6,IF(F758*Параметры!$B$6&gt;=1000,-1,0)))))</f>
        <v>495</v>
      </c>
      <c r="J758" s="15">
        <v>500</v>
      </c>
      <c r="K758" s="15">
        <f>IF(OR(J758="",G758=""),"",MAX(J758,MIN(ROUND(J758*(1+Параметры!$B$5),IF(J758*(1+Параметры!$B$5)&gt;=1000,-1,0)),ROUND(G758*Параметры!$B$6,IF(G758*Параметры!$B$6&gt;=1000,-1,0)))))</f>
        <v>575</v>
      </c>
      <c r="L758" s="16">
        <v>0.7</v>
      </c>
      <c r="M758" s="17">
        <f t="shared" si="66"/>
        <v>1.4285714285714286</v>
      </c>
      <c r="N758" s="17">
        <f>IF(OR(L758="",L758=0),"",Параметры!$B$3/L758)</f>
        <v>11.428571428571429</v>
      </c>
      <c r="O758" s="15">
        <f>IF(L758="","",IFERROR(INDEX('Почасовка — ставки и план'!$D$5:$D$24,MATCH($D758,'Почасовка — ставки и план'!$A$5:$A$24,0)),""))</f>
        <v>750</v>
      </c>
      <c r="P758" s="15">
        <f>IF(L758="","",IFERROR(INDEX('Почасовка — ставки и план'!$E$5:$E$24,MATCH($D758,'Почасовка — ставки и план'!$A$5:$A$24,0)),""))</f>
        <v>900</v>
      </c>
      <c r="Q758" s="15">
        <f t="shared" si="67"/>
        <v>525</v>
      </c>
      <c r="R758" s="13" t="str">
        <f>IF(D758="TEX","аренда техники — сделка/счёт",IF(OR(Q758="",H758="",H758=0),"—",IF(Q758&lt;H758*(1-Параметры!$B$7),"почасовка",IF(Q758&gt;H758*(1+Параметры!$B$7),"сделка","любой способ"))))</f>
        <v>сделка</v>
      </c>
      <c r="S758">
        <v>0</v>
      </c>
      <c r="T758">
        <v>0</v>
      </c>
    </row>
    <row r="759" spans="1:20" x14ac:dyDescent="0.25">
      <c r="A759" s="13" t="s">
        <v>1562</v>
      </c>
      <c r="B759" s="13" t="s">
        <v>1563</v>
      </c>
      <c r="C759" s="13" t="s">
        <v>72</v>
      </c>
      <c r="D759" s="13" t="s">
        <v>208</v>
      </c>
      <c r="E759" s="13" t="str">
        <f>IFERROR(INDEX('Почасовка — ставки и план'!$B$5:$B$24,MATCH(D759,'Почасовка — ставки и план'!$A$5:$A$24,0)),"Аренда техники / механизмы")</f>
        <v>Отделочник (штукатур, маляр, ГКЛ)</v>
      </c>
      <c r="F759" s="14">
        <v>550</v>
      </c>
      <c r="G759" s="14">
        <v>650</v>
      </c>
      <c r="H759" s="15">
        <v>330</v>
      </c>
      <c r="I759" s="15">
        <f>IF(OR(H759="",F759=""),"",MAX(H759,MIN(ROUND(H759*(1+Параметры!$B$5),IF(H759*(1+Параметры!$B$5)&gt;=1000,-1,0)),ROUND(F759*Параметры!$B$6,IF(F759*Параметры!$B$6&gt;=1000,-1,0)))))</f>
        <v>380</v>
      </c>
      <c r="J759" s="15">
        <v>390</v>
      </c>
      <c r="K759" s="15">
        <f>IF(OR(J759="",G759=""),"",MAX(J759,MIN(ROUND(J759*(1+Параметры!$B$5),IF(J759*(1+Параметры!$B$5)&gt;=1000,-1,0)),ROUND(G759*Параметры!$B$6,IF(G759*Параметры!$B$6&gt;=1000,-1,0)))))</f>
        <v>449</v>
      </c>
      <c r="L759" s="16">
        <v>0.5</v>
      </c>
      <c r="M759" s="17">
        <f t="shared" si="66"/>
        <v>2</v>
      </c>
      <c r="N759" s="17">
        <f>IF(OR(L759="",L759=0),"",Параметры!$B$3/L759)</f>
        <v>16</v>
      </c>
      <c r="O759" s="15">
        <f>IF(L759="","",IFERROR(INDEX('Почасовка — ставки и план'!$D$5:$D$24,MATCH($D759,'Почасовка — ставки и план'!$A$5:$A$24,0)),""))</f>
        <v>750</v>
      </c>
      <c r="P759" s="15">
        <f>IF(L759="","",IFERROR(INDEX('Почасовка — ставки и план'!$E$5:$E$24,MATCH($D759,'Почасовка — ставки и план'!$A$5:$A$24,0)),""))</f>
        <v>900</v>
      </c>
      <c r="Q759" s="15">
        <f t="shared" si="67"/>
        <v>375</v>
      </c>
      <c r="R759" s="13" t="str">
        <f>IF(D759="TEX","аренда техники — сделка/счёт",IF(OR(Q759="",H759="",H759=0),"—",IF(Q759&lt;H759*(1-Параметры!$B$7),"почасовка",IF(Q759&gt;H759*(1+Параметры!$B$7),"сделка","любой способ"))))</f>
        <v>сделка</v>
      </c>
      <c r="S759">
        <v>0</v>
      </c>
      <c r="T759">
        <v>0</v>
      </c>
    </row>
    <row r="760" spans="1:20" x14ac:dyDescent="0.25">
      <c r="A760" s="13" t="s">
        <v>1564</v>
      </c>
      <c r="B760" s="13" t="s">
        <v>1565</v>
      </c>
      <c r="C760" s="13" t="s">
        <v>144</v>
      </c>
      <c r="D760" s="13" t="s">
        <v>200</v>
      </c>
      <c r="E760" s="13" t="str">
        <f>IFERROR(INDEX('Почасовка — ставки и план'!$B$5:$B$24,MATCH(D760,'Почасовка — ставки и план'!$A$5:$A$24,0)),"Аренда техники / механизмы")</f>
        <v>Плиточник / укладчик полов</v>
      </c>
      <c r="F760" s="14">
        <v>600</v>
      </c>
      <c r="G760" s="14">
        <v>720</v>
      </c>
      <c r="H760" s="15">
        <v>270</v>
      </c>
      <c r="I760" s="15">
        <f>IF(OR(H760="",F760=""),"",MAX(H760,MIN(ROUND(H760*(1+Параметры!$B$5),IF(H760*(1+Параметры!$B$5)&gt;=1000,-1,0)),ROUND(F760*Параметры!$B$6,IF(F760*Параметры!$B$6&gt;=1000,-1,0)))))</f>
        <v>311</v>
      </c>
      <c r="J760" s="15">
        <v>310</v>
      </c>
      <c r="K760" s="15">
        <f>IF(OR(J760="",G760=""),"",MAX(J760,MIN(ROUND(J760*(1+Параметры!$B$5),IF(J760*(1+Параметры!$B$5)&gt;=1000,-1,0)),ROUND(G760*Параметры!$B$6,IF(G760*Параметры!$B$6&gt;=1000,-1,0)))))</f>
        <v>357</v>
      </c>
      <c r="L760" s="16">
        <v>0.5</v>
      </c>
      <c r="M760" s="17">
        <f t="shared" si="66"/>
        <v>2</v>
      </c>
      <c r="N760" s="17">
        <f>IF(OR(L760="",L760=0),"",Параметры!$B$3/L760)</f>
        <v>16</v>
      </c>
      <c r="O760" s="15">
        <f>IF(L760="","",IFERROR(INDEX('Почасовка — ставки и план'!$D$5:$D$24,MATCH($D760,'Почасовка — ставки и план'!$A$5:$A$24,0)),""))</f>
        <v>900</v>
      </c>
      <c r="P760" s="15">
        <f>IF(L760="","",IFERROR(INDEX('Почасовка — ставки и план'!$E$5:$E$24,MATCH($D760,'Почасовка — ставки и план'!$A$5:$A$24,0)),""))</f>
        <v>1080</v>
      </c>
      <c r="Q760" s="15">
        <f t="shared" si="67"/>
        <v>450</v>
      </c>
      <c r="R760" s="13" t="str">
        <f>IF(D760="TEX","аренда техники — сделка/счёт",IF(OR(Q760="",H760="",H760=0),"—",IF(Q760&lt;H760*(1-Параметры!$B$7),"почасовка",IF(Q760&gt;H760*(1+Параметры!$B$7),"сделка","любой способ"))))</f>
        <v>сделка</v>
      </c>
      <c r="S760">
        <v>0.33333333333333331</v>
      </c>
      <c r="T760">
        <v>0.38461538461538458</v>
      </c>
    </row>
    <row r="761" spans="1:20" x14ac:dyDescent="0.25">
      <c r="A761" s="13" t="s">
        <v>1566</v>
      </c>
      <c r="B761" s="13" t="s">
        <v>1567</v>
      </c>
      <c r="C761" s="13" t="s">
        <v>144</v>
      </c>
      <c r="D761" s="13" t="s">
        <v>200</v>
      </c>
      <c r="E761" s="13" t="str">
        <f>IFERROR(INDEX('Почасовка — ставки и план'!$B$5:$B$24,MATCH(D761,'Почасовка — ставки и план'!$A$5:$A$24,0)),"Аренда техники / механизмы")</f>
        <v>Плиточник / укладчик полов</v>
      </c>
      <c r="F761" s="14">
        <v>660</v>
      </c>
      <c r="G761" s="14">
        <v>792</v>
      </c>
      <c r="H761" s="15">
        <v>300</v>
      </c>
      <c r="I761" s="15">
        <f>IF(OR(H761="",F761=""),"",MAX(H761,MIN(ROUND(H761*(1+Параметры!$B$5),IF(H761*(1+Параметры!$B$5)&gt;=1000,-1,0)),ROUND(F761*Параметры!$B$6,IF(F761*Параметры!$B$6&gt;=1000,-1,0)))))</f>
        <v>345</v>
      </c>
      <c r="J761" s="15">
        <v>350</v>
      </c>
      <c r="K761" s="15">
        <f>IF(OR(J761="",G761=""),"",MAX(J761,MIN(ROUND(J761*(1+Параметры!$B$5),IF(J761*(1+Параметры!$B$5)&gt;=1000,-1,0)),ROUND(G761*Параметры!$B$6,IF(G761*Параметры!$B$6&gt;=1000,-1,0)))))</f>
        <v>403</v>
      </c>
      <c r="L761" s="16">
        <v>0.55000000000000004</v>
      </c>
      <c r="M761" s="17">
        <f t="shared" si="66"/>
        <v>1.8181818181818181</v>
      </c>
      <c r="N761" s="17">
        <f>IF(OR(L761="",L761=0),"",Параметры!$B$3/L761)</f>
        <v>14.545454545454545</v>
      </c>
      <c r="O761" s="15">
        <f>IF(L761="","",IFERROR(INDEX('Почасовка — ставки и план'!$D$5:$D$24,MATCH($D761,'Почасовка — ставки и план'!$A$5:$A$24,0)),""))</f>
        <v>900</v>
      </c>
      <c r="P761" s="15">
        <f>IF(L761="","",IFERROR(INDEX('Почасовка — ставки и план'!$E$5:$E$24,MATCH($D761,'Почасовка — ставки и план'!$A$5:$A$24,0)),""))</f>
        <v>1080</v>
      </c>
      <c r="Q761" s="15">
        <f t="shared" si="67"/>
        <v>495</v>
      </c>
      <c r="R761" s="13" t="str">
        <f>IF(D761="TEX","аренда техники — сделка/счёт",IF(OR(Q761="",H761="",H761=0),"—",IF(Q761&lt;H761*(1-Параметры!$B$7),"почасовка",IF(Q761&gt;H761*(1+Параметры!$B$7),"сделка","любой способ"))))</f>
        <v>сделка</v>
      </c>
      <c r="S761">
        <v>0.32000000000000012</v>
      </c>
      <c r="T761">
        <v>0.36551724137931041</v>
      </c>
    </row>
    <row r="762" spans="1:20" x14ac:dyDescent="0.25">
      <c r="A762" s="13" t="s">
        <v>1568</v>
      </c>
      <c r="B762" s="13" t="s">
        <v>1569</v>
      </c>
      <c r="C762" s="13" t="s">
        <v>144</v>
      </c>
      <c r="D762" s="13" t="s">
        <v>200</v>
      </c>
      <c r="E762" s="13" t="str">
        <f>IFERROR(INDEX('Почасовка — ставки и план'!$B$5:$B$24,MATCH(D762,'Почасовка — ставки и план'!$A$5:$A$24,0)),"Аренда техники / механизмы")</f>
        <v>Плиточник / укладчик полов</v>
      </c>
      <c r="F762" s="14">
        <v>780</v>
      </c>
      <c r="G762" s="14">
        <v>936</v>
      </c>
      <c r="H762" s="15">
        <v>360</v>
      </c>
      <c r="I762" s="15">
        <f>IF(OR(H762="",F762=""),"",MAX(H762,MIN(ROUND(H762*(1+Параметры!$B$5),IF(H762*(1+Параметры!$B$5)&gt;=1000,-1,0)),ROUND(F762*Параметры!$B$6,IF(F762*Параметры!$B$6&gt;=1000,-1,0)))))</f>
        <v>414</v>
      </c>
      <c r="J762" s="15">
        <v>420</v>
      </c>
      <c r="K762" s="15">
        <f>IF(OR(J762="",G762=""),"",MAX(J762,MIN(ROUND(J762*(1+Параметры!$B$5),IF(J762*(1+Параметры!$B$5)&gt;=1000,-1,0)),ROUND(G762*Параметры!$B$6,IF(G762*Параметры!$B$6&gt;=1000,-1,0)))))</f>
        <v>483</v>
      </c>
      <c r="L762" s="16">
        <v>0.65</v>
      </c>
      <c r="M762" s="17">
        <f t="shared" si="66"/>
        <v>1.5384615384615383</v>
      </c>
      <c r="N762" s="17">
        <f>IF(OR(L762="",L762=0),"",Параметры!$B$3/L762)</f>
        <v>12.307692307692307</v>
      </c>
      <c r="O762" s="15">
        <f>IF(L762="","",IFERROR(INDEX('Почасовка — ставки и план'!$D$5:$D$24,MATCH($D762,'Почасовка — ставки и план'!$A$5:$A$24,0)),""))</f>
        <v>900</v>
      </c>
      <c r="P762" s="15">
        <f>IF(L762="","",IFERROR(INDEX('Почасовка — ставки и план'!$E$5:$E$24,MATCH($D762,'Почасовка — ставки и план'!$A$5:$A$24,0)),""))</f>
        <v>1080</v>
      </c>
      <c r="Q762" s="15">
        <f t="shared" si="67"/>
        <v>585</v>
      </c>
      <c r="R762" s="13" t="str">
        <f>IF(D762="TEX","аренда техники — сделка/счёт",IF(OR(Q762="",H762="",H762=0),"—",IF(Q762&lt;H762*(1-Параметры!$B$7),"почасовка",IF(Q762&gt;H762*(1+Параметры!$B$7),"сделка","любой способ"))))</f>
        <v>сделка</v>
      </c>
      <c r="S762">
        <v>0.3</v>
      </c>
      <c r="T762">
        <v>0.33714285714285719</v>
      </c>
    </row>
    <row r="763" spans="1:20" x14ac:dyDescent="0.25">
      <c r="A763" s="13" t="s">
        <v>1570</v>
      </c>
      <c r="B763" s="13" t="s">
        <v>1571</v>
      </c>
      <c r="C763" s="13" t="s">
        <v>144</v>
      </c>
      <c r="D763" s="13" t="s">
        <v>200</v>
      </c>
      <c r="E763" s="13" t="str">
        <f>IFERROR(INDEX('Почасовка — ставки и план'!$B$5:$B$24,MATCH(D763,'Почасовка — ставки и план'!$A$5:$A$24,0)),"Аренда техники / механизмы")</f>
        <v>Плиточник / укладчик полов</v>
      </c>
      <c r="F763" s="14">
        <v>1020</v>
      </c>
      <c r="G763" s="14">
        <v>1224</v>
      </c>
      <c r="H763" s="15">
        <v>480</v>
      </c>
      <c r="I763" s="15">
        <f>IF(OR(H763="",F763=""),"",MAX(H763,MIN(ROUND(H763*(1+Параметры!$B$5),IF(H763*(1+Параметры!$B$5)&gt;=1000,-1,0)),ROUND(F763*Параметры!$B$6,IF(F763*Параметры!$B$6&gt;=1000,-1,0)))))</f>
        <v>552</v>
      </c>
      <c r="J763" s="15">
        <v>570</v>
      </c>
      <c r="K763" s="15">
        <f>IF(OR(J763="",G763=""),"",MAX(J763,MIN(ROUND(J763*(1+Параметры!$B$5),IF(J763*(1+Параметры!$B$5)&gt;=1000,-1,0)),ROUND(G763*Параметры!$B$6,IF(G763*Параметры!$B$6&gt;=1000,-1,0)))))</f>
        <v>656</v>
      </c>
      <c r="L763" s="16">
        <v>0.85</v>
      </c>
      <c r="M763" s="17">
        <f t="shared" si="66"/>
        <v>1.1764705882352942</v>
      </c>
      <c r="N763" s="17">
        <f>IF(OR(L763="",L763=0),"",Параметры!$B$3/L763)</f>
        <v>9.4117647058823533</v>
      </c>
      <c r="O763" s="15">
        <f>IF(L763="","",IFERROR(INDEX('Почасовка — ставки и план'!$D$5:$D$24,MATCH($D763,'Почасовка — ставки и план'!$A$5:$A$24,0)),""))</f>
        <v>900</v>
      </c>
      <c r="P763" s="15">
        <f>IF(L763="","",IFERROR(INDEX('Почасовка — ставки и план'!$E$5:$E$24,MATCH($D763,'Почасовка — ставки и план'!$A$5:$A$24,0)),""))</f>
        <v>1080</v>
      </c>
      <c r="Q763" s="15">
        <f t="shared" si="67"/>
        <v>765</v>
      </c>
      <c r="R763" s="13" t="str">
        <f>IF(D763="TEX","аренда техники — сделка/счёт",IF(OR(Q763="",H763="",H763=0),"—",IF(Q763&lt;H763*(1-Параметры!$B$7),"почасовка",IF(Q763&gt;H763*(1+Параметры!$B$7),"сделка","любой способ"))))</f>
        <v>сделка</v>
      </c>
      <c r="S763">
        <v>0.27499999999999991</v>
      </c>
      <c r="T763">
        <v>0.28842105263157891</v>
      </c>
    </row>
    <row r="764" spans="1:20" x14ac:dyDescent="0.25">
      <c r="A764" s="13" t="s">
        <v>1572</v>
      </c>
      <c r="B764" s="13" t="s">
        <v>1573</v>
      </c>
      <c r="C764" s="13" t="s">
        <v>69</v>
      </c>
      <c r="D764" s="13" t="s">
        <v>208</v>
      </c>
      <c r="E764" s="13" t="str">
        <f>IFERROR(INDEX('Почасовка — ставки и план'!$B$5:$B$24,MATCH(D764,'Почасовка — ставки и план'!$A$5:$A$24,0)),"Аренда техники / механизмы")</f>
        <v>Отделочник (штукатур, маляр, ГКЛ)</v>
      </c>
      <c r="F764" s="14">
        <v>180</v>
      </c>
      <c r="G764" s="14">
        <v>210</v>
      </c>
      <c r="H764" s="15">
        <v>110</v>
      </c>
      <c r="I764" s="15">
        <f>IF(OR(H764="",F764=""),"",MAX(H764,MIN(ROUND(H764*(1+Параметры!$B$5),IF(H764*(1+Параметры!$B$5)&gt;=1000,-1,0)),ROUND(F764*Параметры!$B$6,IF(F764*Параметры!$B$6&gt;=1000,-1,0)))))</f>
        <v>127</v>
      </c>
      <c r="J764" s="15">
        <v>125</v>
      </c>
      <c r="K764" s="15">
        <f>IF(OR(J764="",G764=""),"",MAX(J764,MIN(ROUND(J764*(1+Параметры!$B$5),IF(J764*(1+Параметры!$B$5)&gt;=1000,-1,0)),ROUND(G764*Параметры!$B$6,IF(G764*Параметры!$B$6&gt;=1000,-1,0)))))</f>
        <v>144</v>
      </c>
      <c r="L764" s="16">
        <v>0.1</v>
      </c>
      <c r="M764" s="17">
        <f t="shared" si="66"/>
        <v>10</v>
      </c>
      <c r="N764" s="17">
        <f>IF(OR(L764="",L764=0),"",Параметры!$B$3/L764)</f>
        <v>80</v>
      </c>
      <c r="O764" s="15">
        <f>IF(L764="","",IFERROR(INDEX('Почасовка — ставки и план'!$D$5:$D$24,MATCH($D764,'Почасовка — ставки и план'!$A$5:$A$24,0)),""))</f>
        <v>750</v>
      </c>
      <c r="P764" s="15">
        <f>IF(L764="","",IFERROR(INDEX('Почасовка — ставки и план'!$E$5:$E$24,MATCH($D764,'Почасовка — ставки и план'!$A$5:$A$24,0)),""))</f>
        <v>900</v>
      </c>
      <c r="Q764" s="15">
        <f t="shared" si="67"/>
        <v>75</v>
      </c>
      <c r="R764" s="13" t="str">
        <f>IF(D764="TEX","аренда техники — сделка/счёт",IF(OR(Q764="",H764="",H764=0),"—",IF(Q764&lt;H764*(1-Параметры!$B$7),"почасовка",IF(Q764&gt;H764*(1+Параметры!$B$7),"сделка","любой способ"))))</f>
        <v>почасовка</v>
      </c>
      <c r="S764">
        <v>0</v>
      </c>
      <c r="T764">
        <v>0</v>
      </c>
    </row>
    <row r="765" spans="1:20" x14ac:dyDescent="0.25">
      <c r="A765" s="13" t="s">
        <v>1574</v>
      </c>
      <c r="B765" s="13" t="s">
        <v>1575</v>
      </c>
      <c r="C765" s="13" t="s">
        <v>69</v>
      </c>
      <c r="D765" s="13" t="s">
        <v>208</v>
      </c>
      <c r="E765" s="13" t="str">
        <f>IFERROR(INDEX('Почасовка — ставки и план'!$B$5:$B$24,MATCH(D765,'Почасовка — ставки и план'!$A$5:$A$24,0)),"Аренда техники / механизмы")</f>
        <v>Отделочник (штукатур, маляр, ГКЛ)</v>
      </c>
      <c r="F765" s="14">
        <v>220</v>
      </c>
      <c r="G765" s="14">
        <v>260</v>
      </c>
      <c r="H765" s="15">
        <v>130</v>
      </c>
      <c r="I765" s="15">
        <f>IF(OR(H765="",F765=""),"",MAX(H765,MIN(ROUND(H765*(1+Параметры!$B$5),IF(H765*(1+Параметры!$B$5)&gt;=1000,-1,0)),ROUND(F765*Параметры!$B$6,IF(F765*Параметры!$B$6&gt;=1000,-1,0)))))</f>
        <v>150</v>
      </c>
      <c r="J765" s="15">
        <v>155</v>
      </c>
      <c r="K765" s="15">
        <f>IF(OR(J765="",G765=""),"",MAX(J765,MIN(ROUND(J765*(1+Параметры!$B$5),IF(J765*(1+Параметры!$B$5)&gt;=1000,-1,0)),ROUND(G765*Параметры!$B$6,IF(G765*Параметры!$B$6&gt;=1000,-1,0)))))</f>
        <v>178</v>
      </c>
      <c r="L765" s="16">
        <v>0.15</v>
      </c>
      <c r="M765" s="17">
        <f t="shared" si="66"/>
        <v>6.666666666666667</v>
      </c>
      <c r="N765" s="17">
        <f>IF(OR(L765="",L765=0),"",Параметры!$B$3/L765)</f>
        <v>53.333333333333336</v>
      </c>
      <c r="O765" s="15">
        <f>IF(L765="","",IFERROR(INDEX('Почасовка — ставки и план'!$D$5:$D$24,MATCH($D765,'Почасовка — ставки и план'!$A$5:$A$24,0)),""))</f>
        <v>750</v>
      </c>
      <c r="P765" s="15">
        <f>IF(L765="","",IFERROR(INDEX('Почасовка — ставки и план'!$E$5:$E$24,MATCH($D765,'Почасовка — ставки и план'!$A$5:$A$24,0)),""))</f>
        <v>900</v>
      </c>
      <c r="Q765" s="15">
        <f t="shared" si="67"/>
        <v>113</v>
      </c>
      <c r="R765" s="13" t="str">
        <f>IF(D765="TEX","аренда техники — сделка/счёт",IF(OR(Q765="",H765="",H765=0),"—",IF(Q765&lt;H765*(1-Параметры!$B$7),"почасовка",IF(Q765&gt;H765*(1+Параметры!$B$7),"сделка","любой способ"))))</f>
        <v>почасовка</v>
      </c>
      <c r="S765">
        <v>0</v>
      </c>
      <c r="T765">
        <v>0</v>
      </c>
    </row>
    <row r="766" spans="1:20" x14ac:dyDescent="0.25">
      <c r="A766" s="13" t="s">
        <v>1576</v>
      </c>
      <c r="B766" s="13" t="s">
        <v>1577</v>
      </c>
      <c r="C766" s="13" t="s">
        <v>69</v>
      </c>
      <c r="D766" s="13" t="s">
        <v>208</v>
      </c>
      <c r="E766" s="13" t="str">
        <f>IFERROR(INDEX('Почасовка — ставки и план'!$B$5:$B$24,MATCH(D766,'Почасовка — ставки и план'!$A$5:$A$24,0)),"Аренда техники / механизмы")</f>
        <v>Отделочник (штукатур, маляр, ГКЛ)</v>
      </c>
      <c r="F766" s="14">
        <v>280</v>
      </c>
      <c r="G766" s="14">
        <v>320</v>
      </c>
      <c r="H766" s="15">
        <v>170</v>
      </c>
      <c r="I766" s="15">
        <f>IF(OR(H766="",F766=""),"",MAX(H766,MIN(ROUND(H766*(1+Параметры!$B$5),IF(H766*(1+Параметры!$B$5)&gt;=1000,-1,0)),ROUND(F766*Параметры!$B$6,IF(F766*Параметры!$B$6&gt;=1000,-1,0)))))</f>
        <v>196</v>
      </c>
      <c r="J766" s="15">
        <v>195</v>
      </c>
      <c r="K766" s="15">
        <f>IF(OR(J766="",G766=""),"",MAX(J766,MIN(ROUND(J766*(1+Параметры!$B$5),IF(J766*(1+Параметры!$B$5)&gt;=1000,-1,0)),ROUND(G766*Параметры!$B$6,IF(G766*Параметры!$B$6&gt;=1000,-1,0)))))</f>
        <v>224</v>
      </c>
      <c r="L766" s="16">
        <v>0.2</v>
      </c>
      <c r="M766" s="17">
        <f t="shared" si="66"/>
        <v>5</v>
      </c>
      <c r="N766" s="17">
        <f>IF(OR(L766="",L766=0),"",Параметры!$B$3/L766)</f>
        <v>40</v>
      </c>
      <c r="O766" s="15">
        <f>IF(L766="","",IFERROR(INDEX('Почасовка — ставки и план'!$D$5:$D$24,MATCH($D766,'Почасовка — ставки и план'!$A$5:$A$24,0)),""))</f>
        <v>750</v>
      </c>
      <c r="P766" s="15">
        <f>IF(L766="","",IFERROR(INDEX('Почасовка — ставки и план'!$E$5:$E$24,MATCH($D766,'Почасовка — ставки и план'!$A$5:$A$24,0)),""))</f>
        <v>900</v>
      </c>
      <c r="Q766" s="15">
        <f t="shared" si="67"/>
        <v>150</v>
      </c>
      <c r="R766" s="13" t="str">
        <f>IF(D766="TEX","аренда техники — сделка/счёт",IF(OR(Q766="",H766="",H766=0),"—",IF(Q766&lt;H766*(1-Параметры!$B$7),"почасовка",IF(Q766&gt;H766*(1+Параметры!$B$7),"сделка","любой способ"))))</f>
        <v>почасовка</v>
      </c>
      <c r="S766">
        <v>0</v>
      </c>
      <c r="T766">
        <v>0</v>
      </c>
    </row>
    <row r="767" spans="1:20" x14ac:dyDescent="0.25">
      <c r="A767" s="13" t="s">
        <v>1578</v>
      </c>
      <c r="B767" s="13" t="s">
        <v>1579</v>
      </c>
      <c r="C767" s="13" t="s">
        <v>69</v>
      </c>
      <c r="D767" s="13" t="s">
        <v>208</v>
      </c>
      <c r="E767" s="13" t="str">
        <f>IFERROR(INDEX('Почасовка — ставки и план'!$B$5:$B$24,MATCH(D767,'Почасовка — ставки и план'!$A$5:$A$24,0)),"Аренда техники / механизмы")</f>
        <v>Отделочник (штукатур, маляр, ГКЛ)</v>
      </c>
      <c r="F767" s="14">
        <v>220</v>
      </c>
      <c r="G767" s="14">
        <v>260</v>
      </c>
      <c r="H767" s="15">
        <v>130</v>
      </c>
      <c r="I767" s="15">
        <f>IF(OR(H767="",F767=""),"",MAX(H767,MIN(ROUND(H767*(1+Параметры!$B$5),IF(H767*(1+Параметры!$B$5)&gt;=1000,-1,0)),ROUND(F767*Параметры!$B$6,IF(F767*Параметры!$B$6&gt;=1000,-1,0)))))</f>
        <v>150</v>
      </c>
      <c r="J767" s="15">
        <v>155</v>
      </c>
      <c r="K767" s="15">
        <f>IF(OR(J767="",G767=""),"",MAX(J767,MIN(ROUND(J767*(1+Параметры!$B$5),IF(J767*(1+Параметры!$B$5)&gt;=1000,-1,0)),ROUND(G767*Параметры!$B$6,IF(G767*Параметры!$B$6&gt;=1000,-1,0)))))</f>
        <v>178</v>
      </c>
      <c r="L767" s="16">
        <v>0.12</v>
      </c>
      <c r="M767" s="17">
        <f t="shared" si="66"/>
        <v>8.3333333333333339</v>
      </c>
      <c r="N767" s="17">
        <f>IF(OR(L767="",L767=0),"",Параметры!$B$3/L767)</f>
        <v>66.666666666666671</v>
      </c>
      <c r="O767" s="15">
        <f>IF(L767="","",IFERROR(INDEX('Почасовка — ставки и план'!$D$5:$D$24,MATCH($D767,'Почасовка — ставки и план'!$A$5:$A$24,0)),""))</f>
        <v>750</v>
      </c>
      <c r="P767" s="15">
        <f>IF(L767="","",IFERROR(INDEX('Почасовка — ставки и план'!$E$5:$E$24,MATCH($D767,'Почасовка — ставки и план'!$A$5:$A$24,0)),""))</f>
        <v>900</v>
      </c>
      <c r="Q767" s="15">
        <f t="shared" si="67"/>
        <v>90</v>
      </c>
      <c r="R767" s="13" t="str">
        <f>IF(D767="TEX","аренда техники — сделка/счёт",IF(OR(Q767="",H767="",H767=0),"—",IF(Q767&lt;H767*(1-Параметры!$B$7),"почасовка",IF(Q767&gt;H767*(1+Параметры!$B$7),"сделка","любой способ"))))</f>
        <v>почасовка</v>
      </c>
      <c r="S767">
        <v>0</v>
      </c>
      <c r="T767">
        <v>0</v>
      </c>
    </row>
    <row r="768" spans="1:20" x14ac:dyDescent="0.25">
      <c r="A768" s="13" t="s">
        <v>1580</v>
      </c>
      <c r="B768" s="13" t="s">
        <v>1581</v>
      </c>
      <c r="C768" s="13" t="s">
        <v>69</v>
      </c>
      <c r="D768" s="13" t="s">
        <v>208</v>
      </c>
      <c r="E768" s="13" t="str">
        <f>IFERROR(INDEX('Почасовка — ставки и план'!$B$5:$B$24,MATCH(D768,'Почасовка — ставки и план'!$A$5:$A$24,0)),"Аренда техники / механизмы")</f>
        <v>Отделочник (штукатур, маляр, ГКЛ)</v>
      </c>
      <c r="F768" s="14">
        <v>300</v>
      </c>
      <c r="G768" s="14">
        <v>350</v>
      </c>
      <c r="H768" s="15">
        <v>180</v>
      </c>
      <c r="I768" s="15">
        <f>IF(OR(H768="",F768=""),"",MAX(H768,MIN(ROUND(H768*(1+Параметры!$B$5),IF(H768*(1+Параметры!$B$5)&gt;=1000,-1,0)),ROUND(F768*Параметры!$B$6,IF(F768*Параметры!$B$6&gt;=1000,-1,0)))))</f>
        <v>207</v>
      </c>
      <c r="J768" s="15">
        <v>210</v>
      </c>
      <c r="K768" s="15">
        <f>IF(OR(J768="",G768=""),"",MAX(J768,MIN(ROUND(J768*(1+Параметры!$B$5),IF(J768*(1+Параметры!$B$5)&gt;=1000,-1,0)),ROUND(G768*Параметры!$B$6,IF(G768*Параметры!$B$6&gt;=1000,-1,0)))))</f>
        <v>242</v>
      </c>
      <c r="L768" s="16">
        <v>0.2</v>
      </c>
      <c r="M768" s="17">
        <f t="shared" si="66"/>
        <v>5</v>
      </c>
      <c r="N768" s="17">
        <f>IF(OR(L768="",L768=0),"",Параметры!$B$3/L768)</f>
        <v>40</v>
      </c>
      <c r="O768" s="15">
        <f>IF(L768="","",IFERROR(INDEX('Почасовка — ставки и план'!$D$5:$D$24,MATCH($D768,'Почасовка — ставки и план'!$A$5:$A$24,0)),""))</f>
        <v>750</v>
      </c>
      <c r="P768" s="15">
        <f>IF(L768="","",IFERROR(INDEX('Почасовка — ставки и план'!$E$5:$E$24,MATCH($D768,'Почасовка — ставки и план'!$A$5:$A$24,0)),""))</f>
        <v>900</v>
      </c>
      <c r="Q768" s="15">
        <f t="shared" si="67"/>
        <v>150</v>
      </c>
      <c r="R768" s="13" t="str">
        <f>IF(D768="TEX","аренда техники — сделка/счёт",IF(OR(Q768="",H768="",H768=0),"—",IF(Q768&lt;H768*(1-Параметры!$B$7),"почасовка",IF(Q768&gt;H768*(1+Параметры!$B$7),"сделка","любой способ"))))</f>
        <v>почасовка</v>
      </c>
      <c r="S768">
        <v>0</v>
      </c>
      <c r="T768">
        <v>0</v>
      </c>
    </row>
    <row r="769" spans="1:20" x14ac:dyDescent="0.25">
      <c r="A769" s="13" t="s">
        <v>1582</v>
      </c>
      <c r="B769" s="13" t="s">
        <v>1583</v>
      </c>
      <c r="C769" s="13" t="s">
        <v>72</v>
      </c>
      <c r="D769" s="13" t="s">
        <v>208</v>
      </c>
      <c r="E769" s="13" t="str">
        <f>IFERROR(INDEX('Почасовка — ставки и план'!$B$5:$B$24,MATCH(D769,'Почасовка — ставки и план'!$A$5:$A$24,0)),"Аренда техники / механизмы")</f>
        <v>Отделочник (штукатур, маляр, ГКЛ)</v>
      </c>
      <c r="F769" s="14">
        <v>550</v>
      </c>
      <c r="G769" s="14">
        <v>650</v>
      </c>
      <c r="H769" s="15">
        <v>330</v>
      </c>
      <c r="I769" s="15">
        <f>IF(OR(H769="",F769=""),"",MAX(H769,MIN(ROUND(H769*(1+Параметры!$B$5),IF(H769*(1+Параметры!$B$5)&gt;=1000,-1,0)),ROUND(F769*Параметры!$B$6,IF(F769*Параметры!$B$6&gt;=1000,-1,0)))))</f>
        <v>380</v>
      </c>
      <c r="J769" s="15">
        <v>390</v>
      </c>
      <c r="K769" s="15">
        <f>IF(OR(J769="",G769=""),"",MAX(J769,MIN(ROUND(J769*(1+Параметры!$B$5),IF(J769*(1+Параметры!$B$5)&gt;=1000,-1,0)),ROUND(G769*Параметры!$B$6,IF(G769*Параметры!$B$6&gt;=1000,-1,0)))))</f>
        <v>449</v>
      </c>
      <c r="L769" s="16">
        <v>0.4</v>
      </c>
      <c r="M769" s="17">
        <f t="shared" si="66"/>
        <v>2.5</v>
      </c>
      <c r="N769" s="17">
        <f>IF(OR(L769="",L769=0),"",Параметры!$B$3/L769)</f>
        <v>20</v>
      </c>
      <c r="O769" s="15">
        <f>IF(L769="","",IFERROR(INDEX('Почасовка — ставки и план'!$D$5:$D$24,MATCH($D769,'Почасовка — ставки и план'!$A$5:$A$24,0)),""))</f>
        <v>750</v>
      </c>
      <c r="P769" s="15">
        <f>IF(L769="","",IFERROR(INDEX('Почасовка — ставки и план'!$E$5:$E$24,MATCH($D769,'Почасовка — ставки и план'!$A$5:$A$24,0)),""))</f>
        <v>900</v>
      </c>
      <c r="Q769" s="15">
        <f t="shared" si="67"/>
        <v>300</v>
      </c>
      <c r="R769" s="13" t="str">
        <f>IF(D769="TEX","аренда техники — сделка/счёт",IF(OR(Q769="",H769="",H769=0),"—",IF(Q769&lt;H769*(1-Параметры!$B$7),"почасовка",IF(Q769&gt;H769*(1+Параметры!$B$7),"сделка","любой способ"))))</f>
        <v>любой способ</v>
      </c>
      <c r="S769">
        <v>0</v>
      </c>
      <c r="T769">
        <v>0</v>
      </c>
    </row>
    <row r="770" spans="1:20" x14ac:dyDescent="0.25">
      <c r="A770" s="13" t="s">
        <v>1584</v>
      </c>
      <c r="B770" s="13" t="s">
        <v>1585</v>
      </c>
      <c r="C770" s="13" t="s">
        <v>72</v>
      </c>
      <c r="D770" s="13" t="s">
        <v>208</v>
      </c>
      <c r="E770" s="13" t="str">
        <f>IFERROR(INDEX('Почасовка — ставки и план'!$B$5:$B$24,MATCH(D770,'Почасовка — ставки и план'!$A$5:$A$24,0)),"Аренда техники / механизмы")</f>
        <v>Отделочник (штукатур, маляр, ГКЛ)</v>
      </c>
      <c r="F770" s="14">
        <v>500</v>
      </c>
      <c r="G770" s="14">
        <v>580</v>
      </c>
      <c r="H770" s="15">
        <v>300</v>
      </c>
      <c r="I770" s="15">
        <f>IF(OR(H770="",F770=""),"",MAX(H770,MIN(ROUND(H770*(1+Параметры!$B$5),IF(H770*(1+Параметры!$B$5)&gt;=1000,-1,0)),ROUND(F770*Параметры!$B$6,IF(F770*Параметры!$B$6&gt;=1000,-1,0)))))</f>
        <v>345</v>
      </c>
      <c r="J770" s="15">
        <v>350</v>
      </c>
      <c r="K770" s="15">
        <f>IF(OR(J770="",G770=""),"",MAX(J770,MIN(ROUND(J770*(1+Параметры!$B$5),IF(J770*(1+Параметры!$B$5)&gt;=1000,-1,0)),ROUND(G770*Параметры!$B$6,IF(G770*Параметры!$B$6&gt;=1000,-1,0)))))</f>
        <v>403</v>
      </c>
      <c r="L770" s="16">
        <v>0.35</v>
      </c>
      <c r="M770" s="17">
        <f t="shared" si="66"/>
        <v>2.8571428571428572</v>
      </c>
      <c r="N770" s="17">
        <f>IF(OR(L770="",L770=0),"",Параметры!$B$3/L770)</f>
        <v>22.857142857142858</v>
      </c>
      <c r="O770" s="15">
        <f>IF(L770="","",IFERROR(INDEX('Почасовка — ставки и план'!$D$5:$D$24,MATCH($D770,'Почасовка — ставки и план'!$A$5:$A$24,0)),""))</f>
        <v>750</v>
      </c>
      <c r="P770" s="15">
        <f>IF(L770="","",IFERROR(INDEX('Почасовка — ставки и план'!$E$5:$E$24,MATCH($D770,'Почасовка — ставки и план'!$A$5:$A$24,0)),""))</f>
        <v>900</v>
      </c>
      <c r="Q770" s="15">
        <f t="shared" si="67"/>
        <v>263</v>
      </c>
      <c r="R770" s="13" t="str">
        <f>IF(D770="TEX","аренда техники — сделка/счёт",IF(OR(Q770="",H770="",H770=0),"—",IF(Q770&lt;H770*(1-Параметры!$B$7),"почасовка",IF(Q770&gt;H770*(1+Параметры!$B$7),"сделка","любой способ"))))</f>
        <v>почасовка</v>
      </c>
      <c r="S770">
        <v>0</v>
      </c>
      <c r="T770">
        <v>0</v>
      </c>
    </row>
    <row r="771" spans="1:20" x14ac:dyDescent="0.25">
      <c r="A771" s="13" t="s">
        <v>1586</v>
      </c>
      <c r="B771" s="13" t="s">
        <v>1587</v>
      </c>
      <c r="C771" s="13" t="s">
        <v>72</v>
      </c>
      <c r="D771" s="13" t="s">
        <v>208</v>
      </c>
      <c r="E771" s="13" t="str">
        <f>IFERROR(INDEX('Почасовка — ставки и план'!$B$5:$B$24,MATCH(D771,'Почасовка — ставки и план'!$A$5:$A$24,0)),"Аренда техники / механизмы")</f>
        <v>Отделочник (штукатур, маляр, ГКЛ)</v>
      </c>
      <c r="F771" s="14">
        <v>450</v>
      </c>
      <c r="G771" s="14">
        <v>520</v>
      </c>
      <c r="H771" s="15">
        <v>270</v>
      </c>
      <c r="I771" s="15">
        <f>IF(OR(H771="",F771=""),"",MAX(H771,MIN(ROUND(H771*(1+Параметры!$B$5),IF(H771*(1+Параметры!$B$5)&gt;=1000,-1,0)),ROUND(F771*Параметры!$B$6,IF(F771*Параметры!$B$6&gt;=1000,-1,0)))))</f>
        <v>311</v>
      </c>
      <c r="J771" s="15">
        <v>310</v>
      </c>
      <c r="K771" s="15">
        <f>IF(OR(J771="",G771=""),"",MAX(J771,MIN(ROUND(J771*(1+Параметры!$B$5),IF(J771*(1+Параметры!$B$5)&gt;=1000,-1,0)),ROUND(G771*Параметры!$B$6,IF(G771*Параметры!$B$6&gt;=1000,-1,0)))))</f>
        <v>357</v>
      </c>
      <c r="L771" s="16">
        <v>0.35</v>
      </c>
      <c r="M771" s="17">
        <f t="shared" si="66"/>
        <v>2.8571428571428572</v>
      </c>
      <c r="N771" s="17">
        <f>IF(OR(L771="",L771=0),"",Параметры!$B$3/L771)</f>
        <v>22.857142857142858</v>
      </c>
      <c r="O771" s="15">
        <f>IF(L771="","",IFERROR(INDEX('Почасовка — ставки и план'!$D$5:$D$24,MATCH($D771,'Почасовка — ставки и план'!$A$5:$A$24,0)),""))</f>
        <v>750</v>
      </c>
      <c r="P771" s="15">
        <f>IF(L771="","",IFERROR(INDEX('Почасовка — ставки и план'!$E$5:$E$24,MATCH($D771,'Почасовка — ставки и план'!$A$5:$A$24,0)),""))</f>
        <v>900</v>
      </c>
      <c r="Q771" s="15">
        <f t="shared" si="67"/>
        <v>263</v>
      </c>
      <c r="R771" s="13" t="str">
        <f>IF(D771="TEX","аренда техники — сделка/счёт",IF(OR(Q771="",H771="",H771=0),"—",IF(Q771&lt;H771*(1-Параметры!$B$7),"почасовка",IF(Q771&gt;H771*(1+Параметры!$B$7),"сделка","любой способ"))))</f>
        <v>любой способ</v>
      </c>
      <c r="S771">
        <v>0</v>
      </c>
      <c r="T771">
        <v>0</v>
      </c>
    </row>
    <row r="772" spans="1:20" x14ac:dyDescent="0.25">
      <c r="A772" s="13" t="s">
        <v>1588</v>
      </c>
      <c r="B772" s="13" t="s">
        <v>1589</v>
      </c>
      <c r="C772" s="13" t="s">
        <v>72</v>
      </c>
      <c r="D772" s="13" t="s">
        <v>64</v>
      </c>
      <c r="E772" s="13" t="str">
        <f>IFERROR(INDEX('Почасовка — ставки и план'!$B$5:$B$24,MATCH(D772,'Почасовка — ставки и план'!$A$5:$A$24,0)),"Аренда техники / механизмы")</f>
        <v>Сварщик / монтажник МК</v>
      </c>
      <c r="F772" s="14">
        <v>650</v>
      </c>
      <c r="G772" s="14">
        <v>750</v>
      </c>
      <c r="H772" s="15">
        <v>400</v>
      </c>
      <c r="I772" s="15">
        <f>IF(OR(H772="",F772=""),"",MAX(H772,MIN(ROUND(H772*(1+Параметры!$B$5),IF(H772*(1+Параметры!$B$5)&gt;=1000,-1,0)),ROUND(F772*Параметры!$B$6,IF(F772*Параметры!$B$6&gt;=1000,-1,0)))))</f>
        <v>460</v>
      </c>
      <c r="J772" s="15">
        <v>460</v>
      </c>
      <c r="K772" s="15">
        <f>IF(OR(J772="",G772=""),"",MAX(J772,MIN(ROUND(J772*(1+Параметры!$B$5),IF(J772*(1+Параметры!$B$5)&gt;=1000,-1,0)),ROUND(G772*Параметры!$B$6,IF(G772*Параметры!$B$6&gt;=1000,-1,0)))))</f>
        <v>529</v>
      </c>
      <c r="L772" s="16">
        <v>0.5</v>
      </c>
      <c r="M772" s="17">
        <f t="shared" si="66"/>
        <v>2</v>
      </c>
      <c r="N772" s="17">
        <f>IF(OR(L772="",L772=0),"",Параметры!$B$3/L772)</f>
        <v>16</v>
      </c>
      <c r="O772" s="15">
        <f>IF(L772="","",IFERROR(INDEX('Почасовка — ставки и план'!$D$5:$D$24,MATCH($D772,'Почасовка — ставки и план'!$A$5:$A$24,0)),""))</f>
        <v>900</v>
      </c>
      <c r="P772" s="15">
        <f>IF(L772="","",IFERROR(INDEX('Почасовка — ставки и план'!$E$5:$E$24,MATCH($D772,'Почасовка — ставки и план'!$A$5:$A$24,0)),""))</f>
        <v>1080</v>
      </c>
      <c r="Q772" s="15">
        <f t="shared" si="67"/>
        <v>450</v>
      </c>
      <c r="R772" s="13" t="str">
        <f>IF(D772="TEX","аренда техники — сделка/счёт",IF(OR(Q772="",H772="",H772=0),"—",IF(Q772&lt;H772*(1-Параметры!$B$7),"почасовка",IF(Q772&gt;H772*(1+Параметры!$B$7),"сделка","любой способ"))))</f>
        <v>сделка</v>
      </c>
      <c r="S772">
        <v>0</v>
      </c>
      <c r="T772">
        <v>0</v>
      </c>
    </row>
    <row r="773" spans="1:20" x14ac:dyDescent="0.25">
      <c r="A773" s="13" t="s">
        <v>1590</v>
      </c>
      <c r="B773" s="13" t="s">
        <v>1591</v>
      </c>
      <c r="C773" s="13" t="s">
        <v>72</v>
      </c>
      <c r="D773" s="13" t="s">
        <v>64</v>
      </c>
      <c r="E773" s="13" t="str">
        <f>IFERROR(INDEX('Почасовка — ставки и план'!$B$5:$B$24,MATCH(D773,'Почасовка — ставки и план'!$A$5:$A$24,0)),"Аренда техники / механизмы")</f>
        <v>Сварщик / монтажник МК</v>
      </c>
      <c r="F773" s="14">
        <v>650</v>
      </c>
      <c r="G773" s="14">
        <v>750</v>
      </c>
      <c r="H773" s="15">
        <v>400</v>
      </c>
      <c r="I773" s="15">
        <f>IF(OR(H773="",F773=""),"",MAX(H773,MIN(ROUND(H773*(1+Параметры!$B$5),IF(H773*(1+Параметры!$B$5)&gt;=1000,-1,0)),ROUND(F773*Параметры!$B$6,IF(F773*Параметры!$B$6&gt;=1000,-1,0)))))</f>
        <v>460</v>
      </c>
      <c r="J773" s="15">
        <v>460</v>
      </c>
      <c r="K773" s="15">
        <f>IF(OR(J773="",G773=""),"",MAX(J773,MIN(ROUND(J773*(1+Параметры!$B$5),IF(J773*(1+Параметры!$B$5)&gt;=1000,-1,0)),ROUND(G773*Параметры!$B$6,IF(G773*Параметры!$B$6&gt;=1000,-1,0)))))</f>
        <v>529</v>
      </c>
      <c r="L773" s="16">
        <v>0.5</v>
      </c>
      <c r="M773" s="17">
        <f t="shared" si="66"/>
        <v>2</v>
      </c>
      <c r="N773" s="17">
        <f>IF(OR(L773="",L773=0),"",Параметры!$B$3/L773)</f>
        <v>16</v>
      </c>
      <c r="O773" s="15">
        <f>IF(L773="","",IFERROR(INDEX('Почасовка — ставки и план'!$D$5:$D$24,MATCH($D773,'Почасовка — ставки и план'!$A$5:$A$24,0)),""))</f>
        <v>900</v>
      </c>
      <c r="P773" s="15">
        <f>IF(L773="","",IFERROR(INDEX('Почасовка — ставки и план'!$E$5:$E$24,MATCH($D773,'Почасовка — ставки и план'!$A$5:$A$24,0)),""))</f>
        <v>1080</v>
      </c>
      <c r="Q773" s="15">
        <f t="shared" si="67"/>
        <v>450</v>
      </c>
      <c r="R773" s="13" t="str">
        <f>IF(D773="TEX","аренда техники — сделка/счёт",IF(OR(Q773="",H773="",H773=0),"—",IF(Q773&lt;H773*(1-Параметры!$B$7),"почасовка",IF(Q773&gt;H773*(1+Параметры!$B$7),"сделка","любой способ"))))</f>
        <v>сделка</v>
      </c>
      <c r="S773">
        <v>0</v>
      </c>
      <c r="T773">
        <v>0</v>
      </c>
    </row>
    <row r="774" spans="1:20" x14ac:dyDescent="0.25">
      <c r="A774" s="13" t="s">
        <v>1592</v>
      </c>
      <c r="B774" s="13" t="s">
        <v>1593</v>
      </c>
      <c r="C774" s="13" t="s">
        <v>72</v>
      </c>
      <c r="D774" s="13" t="s">
        <v>64</v>
      </c>
      <c r="E774" s="13" t="str">
        <f>IFERROR(INDEX('Почасовка — ставки и план'!$B$5:$B$24,MATCH(D774,'Почасовка — ставки и план'!$A$5:$A$24,0)),"Аренда техники / механизмы")</f>
        <v>Сварщик / монтажник МК</v>
      </c>
      <c r="F774" s="14">
        <v>1000</v>
      </c>
      <c r="G774" s="14">
        <v>1152</v>
      </c>
      <c r="H774" s="15">
        <v>600</v>
      </c>
      <c r="I774" s="15">
        <f>IF(OR(H774="",F774=""),"",MAX(H774,MIN(ROUND(H774*(1+Параметры!$B$5),IF(H774*(1+Параметры!$B$5)&gt;=1000,-1,0)),ROUND(F774*Параметры!$B$6,IF(F774*Параметры!$B$6&gt;=1000,-1,0)))))</f>
        <v>690</v>
      </c>
      <c r="J774" s="15">
        <v>690</v>
      </c>
      <c r="K774" s="15">
        <f>IF(OR(J774="",G774=""),"",MAX(J774,MIN(ROUND(J774*(1+Параметры!$B$5),IF(J774*(1+Параметры!$B$5)&gt;=1000,-1,0)),ROUND(G774*Параметры!$B$6,IF(G774*Параметры!$B$6&gt;=1000,-1,0)))))</f>
        <v>794</v>
      </c>
      <c r="L774" s="16">
        <v>0.8</v>
      </c>
      <c r="M774" s="17">
        <f t="shared" si="66"/>
        <v>1.25</v>
      </c>
      <c r="N774" s="17">
        <f>IF(OR(L774="",L774=0),"",Параметры!$B$3/L774)</f>
        <v>10</v>
      </c>
      <c r="O774" s="15">
        <f>IF(L774="","",IFERROR(INDEX('Почасовка — ставки и план'!$D$5:$D$24,MATCH($D774,'Почасовка — ставки и план'!$A$5:$A$24,0)),""))</f>
        <v>900</v>
      </c>
      <c r="P774" s="15">
        <f>IF(L774="","",IFERROR(INDEX('Почасовка — ставки и план'!$E$5:$E$24,MATCH($D774,'Почасовка — ставки и план'!$A$5:$A$24,0)),""))</f>
        <v>1080</v>
      </c>
      <c r="Q774" s="15">
        <f t="shared" si="67"/>
        <v>720</v>
      </c>
      <c r="R774" s="13" t="str">
        <f>IF(D774="TEX","аренда техники — сделка/счёт",IF(OR(Q774="",H774="",H774=0),"—",IF(Q774&lt;H774*(1-Параметры!$B$7),"почасовка",IF(Q774&gt;H774*(1+Параметры!$B$7),"сделка","любой способ"))))</f>
        <v>сделка</v>
      </c>
      <c r="S774">
        <v>0</v>
      </c>
      <c r="T774">
        <v>1.739130434782687E-3</v>
      </c>
    </row>
    <row r="775" spans="1:20" x14ac:dyDescent="0.25">
      <c r="A775" s="13" t="s">
        <v>1594</v>
      </c>
      <c r="B775" s="13" t="s">
        <v>1595</v>
      </c>
      <c r="C775" s="13" t="s">
        <v>72</v>
      </c>
      <c r="D775" s="13" t="s">
        <v>64</v>
      </c>
      <c r="E775" s="13" t="str">
        <f>IFERROR(INDEX('Почасовка — ставки и план'!$B$5:$B$24,MATCH(D775,'Почасовка — ставки и план'!$A$5:$A$24,0)),"Аренда техники / механизмы")</f>
        <v>Сварщик / монтажник МК</v>
      </c>
      <c r="F775" s="14">
        <v>750</v>
      </c>
      <c r="G775" s="14">
        <v>870</v>
      </c>
      <c r="H775" s="15">
        <v>450</v>
      </c>
      <c r="I775" s="15">
        <f>IF(OR(H775="",F775=""),"",MAX(H775,MIN(ROUND(H775*(1+Параметры!$B$5),IF(H775*(1+Параметры!$B$5)&gt;=1000,-1,0)),ROUND(F775*Параметры!$B$6,IF(F775*Параметры!$B$6&gt;=1000,-1,0)))))</f>
        <v>518</v>
      </c>
      <c r="J775" s="15">
        <v>520</v>
      </c>
      <c r="K775" s="15">
        <f>IF(OR(J775="",G775=""),"",MAX(J775,MIN(ROUND(J775*(1+Параметры!$B$5),IF(J775*(1+Параметры!$B$5)&gt;=1000,-1,0)),ROUND(G775*Параметры!$B$6,IF(G775*Параметры!$B$6&gt;=1000,-1,0)))))</f>
        <v>598</v>
      </c>
      <c r="L775" s="16">
        <v>0.6</v>
      </c>
      <c r="M775" s="17">
        <f t="shared" si="66"/>
        <v>1.6666666666666667</v>
      </c>
      <c r="N775" s="17">
        <f>IF(OR(L775="",L775=0),"",Параметры!$B$3/L775)</f>
        <v>13.333333333333334</v>
      </c>
      <c r="O775" s="15">
        <f>IF(L775="","",IFERROR(INDEX('Почасовка — ставки и план'!$D$5:$D$24,MATCH($D775,'Почасовка — ставки и план'!$A$5:$A$24,0)),""))</f>
        <v>900</v>
      </c>
      <c r="P775" s="15">
        <f>IF(L775="","",IFERROR(INDEX('Почасовка — ставки и план'!$E$5:$E$24,MATCH($D775,'Почасовка — ставки и план'!$A$5:$A$24,0)),""))</f>
        <v>1080</v>
      </c>
      <c r="Q775" s="15">
        <f t="shared" si="67"/>
        <v>540</v>
      </c>
      <c r="R775" s="13" t="str">
        <f>IF(D775="TEX","аренда техники — сделка/счёт",IF(OR(Q775="",H775="",H775=0),"—",IF(Q775&lt;H775*(1-Параметры!$B$7),"почасовка",IF(Q775&gt;H775*(1+Параметры!$B$7),"сделка","любой способ"))))</f>
        <v>сделка</v>
      </c>
      <c r="S775">
        <v>0</v>
      </c>
      <c r="T775">
        <v>0</v>
      </c>
    </row>
    <row r="776" spans="1:20" x14ac:dyDescent="0.25">
      <c r="A776" s="13" t="s">
        <v>1596</v>
      </c>
      <c r="B776" s="13" t="s">
        <v>1597</v>
      </c>
      <c r="C776" s="13" t="s">
        <v>72</v>
      </c>
      <c r="D776" s="13" t="s">
        <v>200</v>
      </c>
      <c r="E776" s="13" t="str">
        <f>IFERROR(INDEX('Почасовка — ставки и план'!$B$5:$B$24,MATCH(D776,'Почасовка — ставки и план'!$A$5:$A$24,0)),"Аренда техники / механизмы")</f>
        <v>Плиточник / укладчик полов</v>
      </c>
      <c r="F776" s="14">
        <v>1920</v>
      </c>
      <c r="G776" s="14">
        <v>2304</v>
      </c>
      <c r="H776" s="15">
        <v>1050</v>
      </c>
      <c r="I776" s="15">
        <f>IF(OR(H776="",F776=""),"",MAX(H776,MIN(ROUND(H776*(1+Параметры!$B$5),IF(H776*(1+Параметры!$B$5)&gt;=1000,-1,0)),ROUND(F776*Параметры!$B$6,IF(F776*Параметры!$B$6&gt;=1000,-1,0)))))</f>
        <v>1210</v>
      </c>
      <c r="J776" s="15">
        <v>1210</v>
      </c>
      <c r="K776" s="15">
        <f>IF(OR(J776="",G776=""),"",MAX(J776,MIN(ROUND(J776*(1+Параметры!$B$5),IF(J776*(1+Параметры!$B$5)&gt;=1000,-1,0)),ROUND(G776*Параметры!$B$6,IF(G776*Параметры!$B$6&gt;=1000,-1,0)))))</f>
        <v>1390</v>
      </c>
      <c r="L776" s="16">
        <v>1.6</v>
      </c>
      <c r="M776" s="17">
        <f t="shared" si="66"/>
        <v>0.625</v>
      </c>
      <c r="N776" s="17">
        <f>IF(OR(L776="",L776=0),"",Параметры!$B$3/L776)</f>
        <v>5</v>
      </c>
      <c r="O776" s="15">
        <f>IF(L776="","",IFERROR(INDEX('Почасовка — ставки и план'!$D$5:$D$24,MATCH($D776,'Почасовка — ставки и план'!$A$5:$A$24,0)),""))</f>
        <v>900</v>
      </c>
      <c r="P776" s="15">
        <f>IF(L776="","",IFERROR(INDEX('Почасовка — ставки и план'!$E$5:$E$24,MATCH($D776,'Почасовка — ставки и план'!$A$5:$A$24,0)),""))</f>
        <v>1080</v>
      </c>
      <c r="Q776" s="15">
        <f t="shared" si="67"/>
        <v>1440</v>
      </c>
      <c r="R776" s="13" t="str">
        <f>IF(D776="TEX","аренда техники — сделка/счёт",IF(OR(Q776="",H776="",H776=0),"—",IF(Q776&lt;H776*(1-Параметры!$B$7),"почасовка",IF(Q776&gt;H776*(1+Параметры!$B$7),"сделка","любой способ"))))</f>
        <v>сделка</v>
      </c>
      <c r="S776">
        <v>0.12941176470588231</v>
      </c>
      <c r="T776">
        <v>0.15199999999999991</v>
      </c>
    </row>
    <row r="777" spans="1:20" x14ac:dyDescent="0.25">
      <c r="A777" s="13" t="s">
        <v>1598</v>
      </c>
      <c r="B777" s="13" t="s">
        <v>1599</v>
      </c>
      <c r="C777" s="13" t="s">
        <v>72</v>
      </c>
      <c r="D777" s="13" t="s">
        <v>208</v>
      </c>
      <c r="E777" s="13" t="str">
        <f>IFERROR(INDEX('Почасовка — ставки и план'!$B$5:$B$24,MATCH(D777,'Почасовка — ставки и план'!$A$5:$A$24,0)),"Аренда техники / механизмы")</f>
        <v>Отделочник (штукатур, маляр, ГКЛ)</v>
      </c>
      <c r="F777" s="14">
        <v>450</v>
      </c>
      <c r="G777" s="14">
        <v>520</v>
      </c>
      <c r="H777" s="15">
        <v>270</v>
      </c>
      <c r="I777" s="15">
        <f>IF(OR(H777="",F777=""),"",MAX(H777,MIN(ROUND(H777*(1+Параметры!$B$5),IF(H777*(1+Параметры!$B$5)&gt;=1000,-1,0)),ROUND(F777*Параметры!$B$6,IF(F777*Параметры!$B$6&gt;=1000,-1,0)))))</f>
        <v>311</v>
      </c>
      <c r="J777" s="15">
        <v>310</v>
      </c>
      <c r="K777" s="15">
        <f>IF(OR(J777="",G777=""),"",MAX(J777,MIN(ROUND(J777*(1+Параметры!$B$5),IF(J777*(1+Параметры!$B$5)&gt;=1000,-1,0)),ROUND(G777*Параметры!$B$6,IF(G777*Параметры!$B$6&gt;=1000,-1,0)))))</f>
        <v>357</v>
      </c>
      <c r="L777" s="16">
        <v>0.35</v>
      </c>
      <c r="M777" s="17">
        <f t="shared" si="66"/>
        <v>2.8571428571428572</v>
      </c>
      <c r="N777" s="17">
        <f>IF(OR(L777="",L777=0),"",Параметры!$B$3/L777)</f>
        <v>22.857142857142858</v>
      </c>
      <c r="O777" s="15">
        <f>IF(L777="","",IFERROR(INDEX('Почасовка — ставки и план'!$D$5:$D$24,MATCH($D777,'Почасовка — ставки и план'!$A$5:$A$24,0)),""))</f>
        <v>750</v>
      </c>
      <c r="P777" s="15">
        <f>IF(L777="","",IFERROR(INDEX('Почасовка — ставки и план'!$E$5:$E$24,MATCH($D777,'Почасовка — ставки и план'!$A$5:$A$24,0)),""))</f>
        <v>900</v>
      </c>
      <c r="Q777" s="15">
        <f t="shared" si="67"/>
        <v>263</v>
      </c>
      <c r="R777" s="13" t="str">
        <f>IF(D777="TEX","аренда техники — сделка/счёт",IF(OR(Q777="",H777="",H777=0),"—",IF(Q777&lt;H777*(1-Параметры!$B$7),"почасовка",IF(Q777&gt;H777*(1+Параметры!$B$7),"сделка","любой способ"))))</f>
        <v>любой способ</v>
      </c>
      <c r="S777">
        <v>0</v>
      </c>
      <c r="T777">
        <v>0</v>
      </c>
    </row>
    <row r="778" spans="1:20" x14ac:dyDescent="0.25">
      <c r="A778" s="13" t="s">
        <v>1600</v>
      </c>
      <c r="B778" s="13" t="s">
        <v>1601</v>
      </c>
      <c r="C778" s="13" t="s">
        <v>72</v>
      </c>
      <c r="D778" s="13" t="s">
        <v>208</v>
      </c>
      <c r="E778" s="13" t="str">
        <f>IFERROR(INDEX('Почасовка — ставки и план'!$B$5:$B$24,MATCH(D778,'Почасовка — ставки и план'!$A$5:$A$24,0)),"Аренда техники / механизмы")</f>
        <v>Отделочник (штукатур, маляр, ГКЛ)</v>
      </c>
      <c r="F778" s="14">
        <v>1300</v>
      </c>
      <c r="G778" s="14">
        <v>1500</v>
      </c>
      <c r="H778" s="15">
        <v>800</v>
      </c>
      <c r="I778" s="15">
        <f>IF(OR(H778="",F778=""),"",MAX(H778,MIN(ROUND(H778*(1+Параметры!$B$5),IF(H778*(1+Параметры!$B$5)&gt;=1000,-1,0)),ROUND(F778*Параметры!$B$6,IF(F778*Параметры!$B$6&gt;=1000,-1,0)))))</f>
        <v>920</v>
      </c>
      <c r="J778" s="15">
        <v>920</v>
      </c>
      <c r="K778" s="15">
        <f>IF(OR(J778="",G778=""),"",MAX(J778,MIN(ROUND(J778*(1+Параметры!$B$5),IF(J778*(1+Параметры!$B$5)&gt;=1000,-1,0)),ROUND(G778*Параметры!$B$6,IF(G778*Параметры!$B$6&gt;=1000,-1,0)))))</f>
        <v>1060</v>
      </c>
      <c r="L778" s="16">
        <v>1</v>
      </c>
      <c r="M778" s="17">
        <f t="shared" si="66"/>
        <v>1</v>
      </c>
      <c r="N778" s="17">
        <f>IF(OR(L778="",L778=0),"",Параметры!$B$3/L778)</f>
        <v>8</v>
      </c>
      <c r="O778" s="15">
        <f>IF(L778="","",IFERROR(INDEX('Почасовка — ставки и план'!$D$5:$D$24,MATCH($D778,'Почасовка — ставки и план'!$A$5:$A$24,0)),""))</f>
        <v>750</v>
      </c>
      <c r="P778" s="15">
        <f>IF(L778="","",IFERROR(INDEX('Почасовка — ставки и план'!$E$5:$E$24,MATCH($D778,'Почасовка — ставки и план'!$A$5:$A$24,0)),""))</f>
        <v>900</v>
      </c>
      <c r="Q778" s="15">
        <f t="shared" si="67"/>
        <v>750</v>
      </c>
      <c r="R778" s="13" t="str">
        <f>IF(D778="TEX","аренда техники — сделка/счёт",IF(OR(Q778="",H778="",H778=0),"—",IF(Q778&lt;H778*(1-Параметры!$B$7),"почасовка",IF(Q778&gt;H778*(1+Параметры!$B$7),"сделка","любой способ"))))</f>
        <v>любой способ</v>
      </c>
      <c r="S778">
        <v>0</v>
      </c>
      <c r="T778">
        <v>0</v>
      </c>
    </row>
    <row r="779" spans="1:20" x14ac:dyDescent="0.25">
      <c r="A779" s="13" t="s">
        <v>1602</v>
      </c>
      <c r="B779" s="13" t="s">
        <v>1603</v>
      </c>
      <c r="C779" s="13" t="s">
        <v>72</v>
      </c>
      <c r="D779" s="13" t="s">
        <v>208</v>
      </c>
      <c r="E779" s="13" t="str">
        <f>IFERROR(INDEX('Почасовка — ставки и план'!$B$5:$B$24,MATCH(D779,'Почасовка — ставки и план'!$A$5:$A$24,0)),"Аренда техники / механизмы")</f>
        <v>Отделочник (штукатур, маляр, ГКЛ)</v>
      </c>
      <c r="F779" s="14">
        <v>1000</v>
      </c>
      <c r="G779" s="14">
        <v>1150</v>
      </c>
      <c r="H779" s="15">
        <v>620</v>
      </c>
      <c r="I779" s="15">
        <f>IF(OR(H779="",F779=""),"",MAX(H779,MIN(ROUND(H779*(1+Параметры!$B$5),IF(H779*(1+Параметры!$B$5)&gt;=1000,-1,0)),ROUND(F779*Параметры!$B$6,IF(F779*Параметры!$B$6&gt;=1000,-1,0)))))</f>
        <v>713</v>
      </c>
      <c r="J779" s="15">
        <v>710</v>
      </c>
      <c r="K779" s="15">
        <f>IF(OR(J779="",G779=""),"",MAX(J779,MIN(ROUND(J779*(1+Параметры!$B$5),IF(J779*(1+Параметры!$B$5)&gt;=1000,-1,0)),ROUND(G779*Параметры!$B$6,IF(G779*Параметры!$B$6&gt;=1000,-1,0)))))</f>
        <v>817</v>
      </c>
      <c r="L779" s="16">
        <v>0.75</v>
      </c>
      <c r="M779" s="17">
        <f t="shared" si="66"/>
        <v>1.3333333333333333</v>
      </c>
      <c r="N779" s="17">
        <f>IF(OR(L779="",L779=0),"",Параметры!$B$3/L779)</f>
        <v>10.666666666666666</v>
      </c>
      <c r="O779" s="15">
        <f>IF(L779="","",IFERROR(INDEX('Почасовка — ставки и план'!$D$5:$D$24,MATCH($D779,'Почасовка — ставки и план'!$A$5:$A$24,0)),""))</f>
        <v>750</v>
      </c>
      <c r="P779" s="15">
        <f>IF(L779="","",IFERROR(INDEX('Почасовка — ставки и план'!$E$5:$E$24,MATCH($D779,'Почасовка — ставки и план'!$A$5:$A$24,0)),""))</f>
        <v>900</v>
      </c>
      <c r="Q779" s="15">
        <f t="shared" si="67"/>
        <v>563</v>
      </c>
      <c r="R779" s="13" t="str">
        <f>IF(D779="TEX","аренда техники — сделка/счёт",IF(OR(Q779="",H779="",H779=0),"—",IF(Q779&lt;H779*(1-Параметры!$B$7),"почасовка",IF(Q779&gt;H779*(1+Параметры!$B$7),"сделка","любой способ"))))</f>
        <v>любой способ</v>
      </c>
      <c r="S779">
        <v>0</v>
      </c>
      <c r="T779">
        <v>0</v>
      </c>
    </row>
    <row r="780" spans="1:20" x14ac:dyDescent="0.25">
      <c r="A780" s="13" t="s">
        <v>1604</v>
      </c>
      <c r="B780" s="13" t="s">
        <v>1605</v>
      </c>
      <c r="C780" s="13" t="s">
        <v>72</v>
      </c>
      <c r="D780" s="13" t="s">
        <v>208</v>
      </c>
      <c r="E780" s="13" t="str">
        <f>IFERROR(INDEX('Почасовка — ставки и план'!$B$5:$B$24,MATCH(D780,'Почасовка — ставки и план'!$A$5:$A$24,0)),"Аренда техники / механизмы")</f>
        <v>Отделочник (штукатур, маляр, ГКЛ)</v>
      </c>
      <c r="F780" s="14">
        <v>850</v>
      </c>
      <c r="G780" s="14">
        <v>1000</v>
      </c>
      <c r="H780" s="15">
        <v>520</v>
      </c>
      <c r="I780" s="15">
        <f>IF(OR(H780="",F780=""),"",MAX(H780,MIN(ROUND(H780*(1+Параметры!$B$5),IF(H780*(1+Параметры!$B$5)&gt;=1000,-1,0)),ROUND(F780*Параметры!$B$6,IF(F780*Параметры!$B$6&gt;=1000,-1,0)))))</f>
        <v>598</v>
      </c>
      <c r="J780" s="15">
        <v>600</v>
      </c>
      <c r="K780" s="15">
        <f>IF(OR(J780="",G780=""),"",MAX(J780,MIN(ROUND(J780*(1+Параметры!$B$5),IF(J780*(1+Параметры!$B$5)&gt;=1000,-1,0)),ROUND(G780*Параметры!$B$6,IF(G780*Параметры!$B$6&gt;=1000,-1,0)))))</f>
        <v>690</v>
      </c>
      <c r="L780" s="16">
        <v>0.7</v>
      </c>
      <c r="M780" s="17">
        <f t="shared" si="66"/>
        <v>1.4285714285714286</v>
      </c>
      <c r="N780" s="17">
        <f>IF(OR(L780="",L780=0),"",Параметры!$B$3/L780)</f>
        <v>11.428571428571429</v>
      </c>
      <c r="O780" s="15">
        <f>IF(L780="","",IFERROR(INDEX('Почасовка — ставки и план'!$D$5:$D$24,MATCH($D780,'Почасовка — ставки и план'!$A$5:$A$24,0)),""))</f>
        <v>750</v>
      </c>
      <c r="P780" s="15">
        <f>IF(L780="","",IFERROR(INDEX('Почасовка — ставки и план'!$E$5:$E$24,MATCH($D780,'Почасовка — ставки и план'!$A$5:$A$24,0)),""))</f>
        <v>900</v>
      </c>
      <c r="Q780" s="15">
        <f t="shared" si="67"/>
        <v>525</v>
      </c>
      <c r="R780" s="13" t="str">
        <f>IF(D780="TEX","аренда техники — сделка/счёт",IF(OR(Q780="",H780="",H780=0),"—",IF(Q780&lt;H780*(1-Параметры!$B$7),"почасовка",IF(Q780&gt;H780*(1+Параметры!$B$7),"сделка","любой способ"))))</f>
        <v>любой способ</v>
      </c>
      <c r="S780">
        <v>0</v>
      </c>
      <c r="T780">
        <v>0</v>
      </c>
    </row>
    <row r="781" spans="1:20" x14ac:dyDescent="0.25">
      <c r="A781" s="13" t="s">
        <v>1606</v>
      </c>
      <c r="B781" s="13" t="s">
        <v>1607</v>
      </c>
      <c r="C781" s="13" t="s">
        <v>72</v>
      </c>
      <c r="D781" s="13" t="s">
        <v>208</v>
      </c>
      <c r="E781" s="13" t="str">
        <f>IFERROR(INDEX('Почасовка — ставки и план'!$B$5:$B$24,MATCH(D781,'Почасовка — ставки и план'!$A$5:$A$24,0)),"Аренда техники / механизмы")</f>
        <v>Отделочник (штукатур, маляр, ГКЛ)</v>
      </c>
      <c r="F781" s="14">
        <v>480</v>
      </c>
      <c r="G781" s="14">
        <v>560</v>
      </c>
      <c r="H781" s="15">
        <v>290</v>
      </c>
      <c r="I781" s="15">
        <f>IF(OR(H781="",F781=""),"",MAX(H781,MIN(ROUND(H781*(1+Параметры!$B$5),IF(H781*(1+Параметры!$B$5)&gt;=1000,-1,0)),ROUND(F781*Параметры!$B$6,IF(F781*Параметры!$B$6&gt;=1000,-1,0)))))</f>
        <v>334</v>
      </c>
      <c r="J781" s="15">
        <v>335</v>
      </c>
      <c r="K781" s="15">
        <f>IF(OR(J781="",G781=""),"",MAX(J781,MIN(ROUND(J781*(1+Параметры!$B$5),IF(J781*(1+Параметры!$B$5)&gt;=1000,-1,0)),ROUND(G781*Параметры!$B$6,IF(G781*Параметры!$B$6&gt;=1000,-1,0)))))</f>
        <v>385</v>
      </c>
      <c r="L781" s="16">
        <v>0.35</v>
      </c>
      <c r="M781" s="17">
        <f t="shared" si="66"/>
        <v>2.8571428571428572</v>
      </c>
      <c r="N781" s="17">
        <f>IF(OR(L781="",L781=0),"",Параметры!$B$3/L781)</f>
        <v>22.857142857142858</v>
      </c>
      <c r="O781" s="15">
        <f>IF(L781="","",IFERROR(INDEX('Почасовка — ставки и план'!$D$5:$D$24,MATCH($D781,'Почасовка — ставки и план'!$A$5:$A$24,0)),""))</f>
        <v>750</v>
      </c>
      <c r="P781" s="15">
        <f>IF(L781="","",IFERROR(INDEX('Почасовка — ставки и план'!$E$5:$E$24,MATCH($D781,'Почасовка — ставки и план'!$A$5:$A$24,0)),""))</f>
        <v>900</v>
      </c>
      <c r="Q781" s="15">
        <f t="shared" si="67"/>
        <v>263</v>
      </c>
      <c r="R781" s="13" t="str">
        <f>IF(D781="TEX","аренда техники — сделка/счёт",IF(OR(Q781="",H781="",H781=0),"—",IF(Q781&lt;H781*(1-Параметры!$B$7),"почасовка",IF(Q781&gt;H781*(1+Параметры!$B$7),"сделка","любой способ"))))</f>
        <v>любой способ</v>
      </c>
      <c r="S781">
        <v>0</v>
      </c>
      <c r="T781">
        <v>0</v>
      </c>
    </row>
    <row r="782" spans="1:20" x14ac:dyDescent="0.25">
      <c r="A782" s="13" t="s">
        <v>1608</v>
      </c>
      <c r="B782" s="13" t="s">
        <v>1609</v>
      </c>
      <c r="C782" s="13" t="s">
        <v>72</v>
      </c>
      <c r="D782" s="13" t="s">
        <v>208</v>
      </c>
      <c r="E782" s="13" t="str">
        <f>IFERROR(INDEX('Почасовка — ставки и план'!$B$5:$B$24,MATCH(D782,'Почасовка — ставки и план'!$A$5:$A$24,0)),"Аренда техники / механизмы")</f>
        <v>Отделочник (штукатур, маляр, ГКЛ)</v>
      </c>
      <c r="F782" s="14">
        <v>450</v>
      </c>
      <c r="G782" s="14">
        <v>520</v>
      </c>
      <c r="H782" s="15">
        <v>270</v>
      </c>
      <c r="I782" s="15">
        <f>IF(OR(H782="",F782=""),"",MAX(H782,MIN(ROUND(H782*(1+Параметры!$B$5),IF(H782*(1+Параметры!$B$5)&gt;=1000,-1,0)),ROUND(F782*Параметры!$B$6,IF(F782*Параметры!$B$6&gt;=1000,-1,0)))))</f>
        <v>311</v>
      </c>
      <c r="J782" s="15">
        <v>310</v>
      </c>
      <c r="K782" s="15">
        <f>IF(OR(J782="",G782=""),"",MAX(J782,MIN(ROUND(J782*(1+Параметры!$B$5),IF(J782*(1+Параметры!$B$5)&gt;=1000,-1,0)),ROUND(G782*Параметры!$B$6,IF(G782*Параметры!$B$6&gt;=1000,-1,0)))))</f>
        <v>357</v>
      </c>
      <c r="L782" s="16">
        <v>0.35</v>
      </c>
      <c r="M782" s="17">
        <f t="shared" si="66"/>
        <v>2.8571428571428572</v>
      </c>
      <c r="N782" s="17">
        <f>IF(OR(L782="",L782=0),"",Параметры!$B$3/L782)</f>
        <v>22.857142857142858</v>
      </c>
      <c r="O782" s="15">
        <f>IF(L782="","",IFERROR(INDEX('Почасовка — ставки и план'!$D$5:$D$24,MATCH($D782,'Почасовка — ставки и план'!$A$5:$A$24,0)),""))</f>
        <v>750</v>
      </c>
      <c r="P782" s="15">
        <f>IF(L782="","",IFERROR(INDEX('Почасовка — ставки и план'!$E$5:$E$24,MATCH($D782,'Почасовка — ставки и план'!$A$5:$A$24,0)),""))</f>
        <v>900</v>
      </c>
      <c r="Q782" s="15">
        <f t="shared" si="67"/>
        <v>263</v>
      </c>
      <c r="R782" s="13" t="str">
        <f>IF(D782="TEX","аренда техники — сделка/счёт",IF(OR(Q782="",H782="",H782=0),"—",IF(Q782&lt;H782*(1-Параметры!$B$7),"почасовка",IF(Q782&gt;H782*(1+Параметры!$B$7),"сделка","любой способ"))))</f>
        <v>любой способ</v>
      </c>
      <c r="S782">
        <v>0</v>
      </c>
      <c r="T782">
        <v>0</v>
      </c>
    </row>
    <row r="783" spans="1:20" x14ac:dyDescent="0.25">
      <c r="A783" s="13" t="s">
        <v>1610</v>
      </c>
      <c r="B783" s="13" t="s">
        <v>1611</v>
      </c>
      <c r="C783" s="13" t="s">
        <v>69</v>
      </c>
      <c r="D783" s="13" t="s">
        <v>208</v>
      </c>
      <c r="E783" s="13" t="str">
        <f>IFERROR(INDEX('Почасовка — ставки и план'!$B$5:$B$24,MATCH(D783,'Почасовка — ставки и план'!$A$5:$A$24,0)),"Аренда техники / механизмы")</f>
        <v>Отделочник (штукатур, маляр, ГКЛ)</v>
      </c>
      <c r="F783" s="14">
        <v>100</v>
      </c>
      <c r="G783" s="14">
        <v>120</v>
      </c>
      <c r="H783" s="15">
        <v>60</v>
      </c>
      <c r="I783" s="15">
        <f>IF(OR(H783="",F783=""),"",MAX(H783,MIN(ROUND(H783*(1+Параметры!$B$5),IF(H783*(1+Параметры!$B$5)&gt;=1000,-1,0)),ROUND(F783*Параметры!$B$6,IF(F783*Параметры!$B$6&gt;=1000,-1,0)))))</f>
        <v>69</v>
      </c>
      <c r="J783" s="15">
        <v>70</v>
      </c>
      <c r="K783" s="15">
        <f>IF(OR(J783="",G783=""),"",MAX(J783,MIN(ROUND(J783*(1+Параметры!$B$5),IF(J783*(1+Параметры!$B$5)&gt;=1000,-1,0)),ROUND(G783*Параметры!$B$6,IF(G783*Параметры!$B$6&gt;=1000,-1,0)))))</f>
        <v>81</v>
      </c>
      <c r="L783" s="16">
        <v>0.06</v>
      </c>
      <c r="M783" s="17">
        <f t="shared" si="66"/>
        <v>16.666666666666668</v>
      </c>
      <c r="N783" s="17">
        <f>IF(OR(L783="",L783=0),"",Параметры!$B$3/L783)</f>
        <v>133.33333333333334</v>
      </c>
      <c r="O783" s="15">
        <f>IF(L783="","",IFERROR(INDEX('Почасовка — ставки и план'!$D$5:$D$24,MATCH($D783,'Почасовка — ставки и план'!$A$5:$A$24,0)),""))</f>
        <v>750</v>
      </c>
      <c r="P783" s="15">
        <f>IF(L783="","",IFERROR(INDEX('Почасовка — ставки и план'!$E$5:$E$24,MATCH($D783,'Почасовка — ставки и план'!$A$5:$A$24,0)),""))</f>
        <v>900</v>
      </c>
      <c r="Q783" s="15">
        <f t="shared" si="67"/>
        <v>45</v>
      </c>
      <c r="R783" s="13" t="str">
        <f>IF(D783="TEX","аренда техники — сделка/счёт",IF(OR(Q783="",H783="",H783=0),"—",IF(Q783&lt;H783*(1-Параметры!$B$7),"почасовка",IF(Q783&gt;H783*(1+Параметры!$B$7),"сделка","любой способ"))))</f>
        <v>почасовка</v>
      </c>
      <c r="S783">
        <v>0</v>
      </c>
      <c r="T783">
        <v>0</v>
      </c>
    </row>
    <row r="784" spans="1:20" x14ac:dyDescent="0.25">
      <c r="A784" s="13" t="s">
        <v>1612</v>
      </c>
      <c r="B784" s="13" t="s">
        <v>1613</v>
      </c>
      <c r="C784" s="13" t="s">
        <v>72</v>
      </c>
      <c r="D784" s="13" t="s">
        <v>208</v>
      </c>
      <c r="E784" s="13" t="str">
        <f>IFERROR(INDEX('Почасовка — ставки и план'!$B$5:$B$24,MATCH(D784,'Почасовка — ставки и план'!$A$5:$A$24,0)),"Аренда техники / механизмы")</f>
        <v>Отделочник (штукатур, маляр, ГКЛ)</v>
      </c>
      <c r="F784" s="14">
        <v>110</v>
      </c>
      <c r="G784" s="14">
        <v>130</v>
      </c>
      <c r="H784" s="15">
        <v>65</v>
      </c>
      <c r="I784" s="15">
        <f>IF(OR(H784="",F784=""),"",MAX(H784,MIN(ROUND(H784*(1+Параметры!$B$5),IF(H784*(1+Параметры!$B$5)&gt;=1000,-1,0)),ROUND(F784*Параметры!$B$6,IF(F784*Параметры!$B$6&gt;=1000,-1,0)))))</f>
        <v>75</v>
      </c>
      <c r="J784" s="15">
        <v>75</v>
      </c>
      <c r="K784" s="15">
        <f>IF(OR(J784="",G784=""),"",MAX(J784,MIN(ROUND(J784*(1+Параметры!$B$5),IF(J784*(1+Параметры!$B$5)&gt;=1000,-1,0)),ROUND(G784*Параметры!$B$6,IF(G784*Параметры!$B$6&gt;=1000,-1,0)))))</f>
        <v>86</v>
      </c>
      <c r="L784" s="16">
        <v>0.04</v>
      </c>
      <c r="M784" s="17">
        <f t="shared" si="66"/>
        <v>25</v>
      </c>
      <c r="N784" s="17">
        <f>IF(OR(L784="",L784=0),"",Параметры!$B$3/L784)</f>
        <v>200</v>
      </c>
      <c r="O784" s="15">
        <f>IF(L784="","",IFERROR(INDEX('Почасовка — ставки и план'!$D$5:$D$24,MATCH($D784,'Почасовка — ставки и план'!$A$5:$A$24,0)),""))</f>
        <v>750</v>
      </c>
      <c r="P784" s="15">
        <f>IF(L784="","",IFERROR(INDEX('Почасовка — ставки и план'!$E$5:$E$24,MATCH($D784,'Почасовка — ставки и план'!$A$5:$A$24,0)),""))</f>
        <v>900</v>
      </c>
      <c r="Q784" s="15">
        <f t="shared" si="67"/>
        <v>30</v>
      </c>
      <c r="R784" s="13" t="str">
        <f>IF(D784="TEX","аренда техники — сделка/счёт",IF(OR(Q784="",H784="",H784=0),"—",IF(Q784&lt;H784*(1-Параметры!$B$7),"почасовка",IF(Q784&gt;H784*(1+Параметры!$B$7),"сделка","любой способ"))))</f>
        <v>почасовка</v>
      </c>
      <c r="S784">
        <v>0</v>
      </c>
      <c r="T784">
        <v>0</v>
      </c>
    </row>
    <row r="785" spans="1:20" x14ac:dyDescent="0.25">
      <c r="A785" s="13" t="s">
        <v>1614</v>
      </c>
      <c r="B785" s="13" t="s">
        <v>1615</v>
      </c>
      <c r="C785" s="13" t="s">
        <v>72</v>
      </c>
      <c r="D785" s="13" t="s">
        <v>208</v>
      </c>
      <c r="E785" s="13" t="str">
        <f>IFERROR(INDEX('Почасовка — ставки и план'!$B$5:$B$24,MATCH(D785,'Почасовка — ставки и план'!$A$5:$A$24,0)),"Аренда техники / механизмы")</f>
        <v>Отделочник (штукатур, маляр, ГКЛ)</v>
      </c>
      <c r="F785" s="14">
        <v>500</v>
      </c>
      <c r="G785" s="14">
        <v>580</v>
      </c>
      <c r="H785" s="15">
        <v>300</v>
      </c>
      <c r="I785" s="15">
        <f>IF(OR(H785="",F785=""),"",MAX(H785,MIN(ROUND(H785*(1+Параметры!$B$5),IF(H785*(1+Параметры!$B$5)&gt;=1000,-1,0)),ROUND(F785*Параметры!$B$6,IF(F785*Параметры!$B$6&gt;=1000,-1,0)))))</f>
        <v>345</v>
      </c>
      <c r="J785" s="15">
        <v>350</v>
      </c>
      <c r="K785" s="15">
        <f>IF(OR(J785="",G785=""),"",MAX(J785,MIN(ROUND(J785*(1+Параметры!$B$5),IF(J785*(1+Параметры!$B$5)&gt;=1000,-1,0)),ROUND(G785*Параметры!$B$6,IF(G785*Параметры!$B$6&gt;=1000,-1,0)))))</f>
        <v>403</v>
      </c>
      <c r="L785" s="16">
        <v>0.4</v>
      </c>
      <c r="M785" s="17">
        <f t="shared" si="66"/>
        <v>2.5</v>
      </c>
      <c r="N785" s="17">
        <f>IF(OR(L785="",L785=0),"",Параметры!$B$3/L785)</f>
        <v>20</v>
      </c>
      <c r="O785" s="15">
        <f>IF(L785="","",IFERROR(INDEX('Почасовка — ставки и план'!$D$5:$D$24,MATCH($D785,'Почасовка — ставки и план'!$A$5:$A$24,0)),""))</f>
        <v>750</v>
      </c>
      <c r="P785" s="15">
        <f>IF(L785="","",IFERROR(INDEX('Почасовка — ставки и план'!$E$5:$E$24,MATCH($D785,'Почасовка — ставки и план'!$A$5:$A$24,0)),""))</f>
        <v>900</v>
      </c>
      <c r="Q785" s="15">
        <f t="shared" si="67"/>
        <v>300</v>
      </c>
      <c r="R785" s="13" t="str">
        <f>IF(D785="TEX","аренда техники — сделка/счёт",IF(OR(Q785="",H785="",H785=0),"—",IF(Q785&lt;H785*(1-Параметры!$B$7),"почасовка",IF(Q785&gt;H785*(1+Параметры!$B$7),"сделка","любой способ"))))</f>
        <v>любой способ</v>
      </c>
      <c r="S785">
        <v>0</v>
      </c>
      <c r="T785">
        <v>0</v>
      </c>
    </row>
    <row r="786" spans="1:20" x14ac:dyDescent="0.25">
      <c r="A786" s="13" t="s">
        <v>1616</v>
      </c>
      <c r="B786" s="13" t="s">
        <v>1617</v>
      </c>
      <c r="C786" s="13" t="s">
        <v>72</v>
      </c>
      <c r="D786" s="13" t="s">
        <v>208</v>
      </c>
      <c r="E786" s="13" t="str">
        <f>IFERROR(INDEX('Почасовка — ставки и план'!$B$5:$B$24,MATCH(D786,'Почасовка — ставки и план'!$A$5:$A$24,0)),"Аренда техники / механизмы")</f>
        <v>Отделочник (штукатур, маляр, ГКЛ)</v>
      </c>
      <c r="F786" s="14">
        <v>520</v>
      </c>
      <c r="G786" s="14">
        <v>600</v>
      </c>
      <c r="H786" s="15">
        <v>310</v>
      </c>
      <c r="I786" s="15">
        <f>IF(OR(H786="",F786=""),"",MAX(H786,MIN(ROUND(H786*(1+Параметры!$B$5),IF(H786*(1+Параметры!$B$5)&gt;=1000,-1,0)),ROUND(F786*Параметры!$B$6,IF(F786*Параметры!$B$6&gt;=1000,-1,0)))))</f>
        <v>357</v>
      </c>
      <c r="J786" s="15">
        <v>360</v>
      </c>
      <c r="K786" s="15">
        <f>IF(OR(J786="",G786=""),"",MAX(J786,MIN(ROUND(J786*(1+Параметры!$B$5),IF(J786*(1+Параметры!$B$5)&gt;=1000,-1,0)),ROUND(G786*Параметры!$B$6,IF(G786*Параметры!$B$6&gt;=1000,-1,0)))))</f>
        <v>414</v>
      </c>
      <c r="L786" s="16">
        <v>0.45</v>
      </c>
      <c r="M786" s="17">
        <f t="shared" si="66"/>
        <v>2.2222222222222223</v>
      </c>
      <c r="N786" s="17">
        <f>IF(OR(L786="",L786=0),"",Параметры!$B$3/L786)</f>
        <v>17.777777777777779</v>
      </c>
      <c r="O786" s="15">
        <f>IF(L786="","",IFERROR(INDEX('Почасовка — ставки и план'!$D$5:$D$24,MATCH($D786,'Почасовка — ставки и план'!$A$5:$A$24,0)),""))</f>
        <v>750</v>
      </c>
      <c r="P786" s="15">
        <f>IF(L786="","",IFERROR(INDEX('Почасовка — ставки и план'!$E$5:$E$24,MATCH($D786,'Почасовка — ставки и план'!$A$5:$A$24,0)),""))</f>
        <v>900</v>
      </c>
      <c r="Q786" s="15">
        <f t="shared" si="67"/>
        <v>338</v>
      </c>
      <c r="R786" s="13" t="str">
        <f>IF(D786="TEX","аренда техники — сделка/счёт",IF(OR(Q786="",H786="",H786=0),"—",IF(Q786&lt;H786*(1-Параметры!$B$7),"почасовка",IF(Q786&gt;H786*(1+Параметры!$B$7),"сделка","любой способ"))))</f>
        <v>любой способ</v>
      </c>
      <c r="S786">
        <v>0</v>
      </c>
      <c r="T786">
        <v>0</v>
      </c>
    </row>
    <row r="787" spans="1:20" x14ac:dyDescent="0.25">
      <c r="A787" s="13" t="s">
        <v>1618</v>
      </c>
      <c r="B787" s="13" t="s">
        <v>1619</v>
      </c>
      <c r="C787" s="13" t="s">
        <v>72</v>
      </c>
      <c r="D787" s="13" t="s">
        <v>208</v>
      </c>
      <c r="E787" s="13" t="str">
        <f>IFERROR(INDEX('Почасовка — ставки и план'!$B$5:$B$24,MATCH(D787,'Почасовка — ставки и план'!$A$5:$A$24,0)),"Аренда техники / механизмы")</f>
        <v>Отделочник (штукатур, маляр, ГКЛ)</v>
      </c>
      <c r="F787" s="14">
        <v>300</v>
      </c>
      <c r="G787" s="14">
        <v>360</v>
      </c>
      <c r="H787" s="15">
        <v>180</v>
      </c>
      <c r="I787" s="15">
        <f>IF(OR(H787="",F787=""),"",MAX(H787,MIN(ROUND(H787*(1+Параметры!$B$5),IF(H787*(1+Параметры!$B$5)&gt;=1000,-1,0)),ROUND(F787*Параметры!$B$6,IF(F787*Параметры!$B$6&gt;=1000,-1,0)))))</f>
        <v>207</v>
      </c>
      <c r="J787" s="15">
        <v>210</v>
      </c>
      <c r="K787" s="15">
        <f>IF(OR(J787="",G787=""),"",MAX(J787,MIN(ROUND(J787*(1+Параметры!$B$5),IF(J787*(1+Параметры!$B$5)&gt;=1000,-1,0)),ROUND(G787*Параметры!$B$6,IF(G787*Параметры!$B$6&gt;=1000,-1,0)))))</f>
        <v>242</v>
      </c>
      <c r="L787" s="16">
        <v>0.3</v>
      </c>
      <c r="M787" s="17">
        <f t="shared" ref="M787:M818" si="68">IF(OR(L787="",L787=0),"",1/L787)</f>
        <v>3.3333333333333335</v>
      </c>
      <c r="N787" s="17">
        <f>IF(OR(L787="",L787=0),"",Параметры!$B$3/L787)</f>
        <v>26.666666666666668</v>
      </c>
      <c r="O787" s="15">
        <f>IF(L787="","",IFERROR(INDEX('Почасовка — ставки и план'!$D$5:$D$24,MATCH($D787,'Почасовка — ставки и план'!$A$5:$A$24,0)),""))</f>
        <v>750</v>
      </c>
      <c r="P787" s="15">
        <f>IF(L787="","",IFERROR(INDEX('Почасовка — ставки и план'!$E$5:$E$24,MATCH($D787,'Почасовка — ставки и план'!$A$5:$A$24,0)),""))</f>
        <v>900</v>
      </c>
      <c r="Q787" s="15">
        <f t="shared" ref="Q787:Q807" si="69">IF(OR(L787="",O787=""),"",ROUND(L787*O787,0))</f>
        <v>225</v>
      </c>
      <c r="R787" s="13" t="str">
        <f>IF(D787="TEX","аренда техники — сделка/счёт",IF(OR(Q787="",H787="",H787=0),"—",IF(Q787&lt;H787*(1-Параметры!$B$7),"почасовка",IF(Q787&gt;H787*(1+Параметры!$B$7),"сделка","любой способ"))))</f>
        <v>сделка</v>
      </c>
      <c r="S787">
        <v>0</v>
      </c>
      <c r="T787">
        <v>2.857142857142847E-2</v>
      </c>
    </row>
    <row r="788" spans="1:20" x14ac:dyDescent="0.25">
      <c r="A788" s="13" t="s">
        <v>1620</v>
      </c>
      <c r="B788" s="13" t="s">
        <v>1621</v>
      </c>
      <c r="C788" s="13" t="s">
        <v>72</v>
      </c>
      <c r="D788" s="13" t="s">
        <v>208</v>
      </c>
      <c r="E788" s="13" t="str">
        <f>IFERROR(INDEX('Почасовка — ставки и план'!$B$5:$B$24,MATCH(D788,'Почасовка — ставки и план'!$A$5:$A$24,0)),"Аренда техники / механизмы")</f>
        <v>Отделочник (штукатур, маляр, ГКЛ)</v>
      </c>
      <c r="F788" s="14">
        <v>300</v>
      </c>
      <c r="G788" s="14">
        <v>360</v>
      </c>
      <c r="H788" s="15">
        <v>180</v>
      </c>
      <c r="I788" s="15">
        <f>IF(OR(H788="",F788=""),"",MAX(H788,MIN(ROUND(H788*(1+Параметры!$B$5),IF(H788*(1+Параметры!$B$5)&gt;=1000,-1,0)),ROUND(F788*Параметры!$B$6,IF(F788*Параметры!$B$6&gt;=1000,-1,0)))))</f>
        <v>207</v>
      </c>
      <c r="J788" s="15">
        <v>210</v>
      </c>
      <c r="K788" s="15">
        <f>IF(OR(J788="",G788=""),"",MAX(J788,MIN(ROUND(J788*(1+Параметры!$B$5),IF(J788*(1+Параметры!$B$5)&gt;=1000,-1,0)),ROUND(G788*Параметры!$B$6,IF(G788*Параметры!$B$6&gt;=1000,-1,0)))))</f>
        <v>242</v>
      </c>
      <c r="L788" s="16">
        <v>0.2</v>
      </c>
      <c r="M788" s="17">
        <f t="shared" si="68"/>
        <v>5</v>
      </c>
      <c r="N788" s="17">
        <f>IF(OR(L788="",L788=0),"",Параметры!$B$3/L788)</f>
        <v>40</v>
      </c>
      <c r="O788" s="15">
        <f>IF(L788="","",IFERROR(INDEX('Почасовка — ставки и план'!$D$5:$D$24,MATCH($D788,'Почасовка — ставки и план'!$A$5:$A$24,0)),""))</f>
        <v>750</v>
      </c>
      <c r="P788" s="15">
        <f>IF(L788="","",IFERROR(INDEX('Почасовка — ставки и план'!$E$5:$E$24,MATCH($D788,'Почасовка — ставки и план'!$A$5:$A$24,0)),""))</f>
        <v>900</v>
      </c>
      <c r="Q788" s="15">
        <f t="shared" si="69"/>
        <v>150</v>
      </c>
      <c r="R788" s="13" t="str">
        <f>IF(D788="TEX","аренда техники — сделка/счёт",IF(OR(Q788="",H788="",H788=0),"—",IF(Q788&lt;H788*(1-Параметры!$B$7),"почасовка",IF(Q788&gt;H788*(1+Параметры!$B$7),"сделка","любой способ"))))</f>
        <v>почасовка</v>
      </c>
      <c r="S788">
        <v>0</v>
      </c>
      <c r="T788">
        <v>0</v>
      </c>
    </row>
    <row r="789" spans="1:20" x14ac:dyDescent="0.25">
      <c r="A789" s="13" t="s">
        <v>1622</v>
      </c>
      <c r="B789" s="13" t="s">
        <v>1623</v>
      </c>
      <c r="C789" s="13" t="s">
        <v>72</v>
      </c>
      <c r="D789" s="13" t="s">
        <v>208</v>
      </c>
      <c r="E789" s="13" t="str">
        <f>IFERROR(INDEX('Почасовка — ставки и план'!$B$5:$B$24,MATCH(D789,'Почасовка — ставки и план'!$A$5:$A$24,0)),"Аренда техники / механизмы")</f>
        <v>Отделочник (штукатур, маляр, ГКЛ)</v>
      </c>
      <c r="F789" s="14">
        <v>300</v>
      </c>
      <c r="G789" s="14">
        <v>360</v>
      </c>
      <c r="H789" s="15">
        <v>180</v>
      </c>
      <c r="I789" s="15">
        <f>IF(OR(H789="",F789=""),"",MAX(H789,MIN(ROUND(H789*(1+Параметры!$B$5),IF(H789*(1+Параметры!$B$5)&gt;=1000,-1,0)),ROUND(F789*Параметры!$B$6,IF(F789*Параметры!$B$6&gt;=1000,-1,0)))))</f>
        <v>207</v>
      </c>
      <c r="J789" s="15">
        <v>210</v>
      </c>
      <c r="K789" s="15">
        <f>IF(OR(J789="",G789=""),"",MAX(J789,MIN(ROUND(J789*(1+Параметры!$B$5),IF(J789*(1+Параметры!$B$5)&gt;=1000,-1,0)),ROUND(G789*Параметры!$B$6,IF(G789*Параметры!$B$6&gt;=1000,-1,0)))))</f>
        <v>242</v>
      </c>
      <c r="L789" s="16">
        <v>0.2</v>
      </c>
      <c r="M789" s="17">
        <f t="shared" si="68"/>
        <v>5</v>
      </c>
      <c r="N789" s="17">
        <f>IF(OR(L789="",L789=0),"",Параметры!$B$3/L789)</f>
        <v>40</v>
      </c>
      <c r="O789" s="15">
        <f>IF(L789="","",IFERROR(INDEX('Почасовка — ставки и план'!$D$5:$D$24,MATCH($D789,'Почасовка — ставки и план'!$A$5:$A$24,0)),""))</f>
        <v>750</v>
      </c>
      <c r="P789" s="15">
        <f>IF(L789="","",IFERROR(INDEX('Почасовка — ставки и план'!$E$5:$E$24,MATCH($D789,'Почасовка — ставки и план'!$A$5:$A$24,0)),""))</f>
        <v>900</v>
      </c>
      <c r="Q789" s="15">
        <f t="shared" si="69"/>
        <v>150</v>
      </c>
      <c r="R789" s="13" t="str">
        <f>IF(D789="TEX","аренда техники — сделка/счёт",IF(OR(Q789="",H789="",H789=0),"—",IF(Q789&lt;H789*(1-Параметры!$B$7),"почасовка",IF(Q789&gt;H789*(1+Параметры!$B$7),"сделка","любой способ"))))</f>
        <v>почасовка</v>
      </c>
      <c r="S789">
        <v>0</v>
      </c>
      <c r="T789">
        <v>0</v>
      </c>
    </row>
    <row r="790" spans="1:20" x14ac:dyDescent="0.25">
      <c r="A790" s="13" t="s">
        <v>1624</v>
      </c>
      <c r="B790" s="13" t="s">
        <v>1625</v>
      </c>
      <c r="C790" s="13" t="s">
        <v>72</v>
      </c>
      <c r="D790" s="13" t="s">
        <v>208</v>
      </c>
      <c r="E790" s="13" t="str">
        <f>IFERROR(INDEX('Почасовка — ставки и план'!$B$5:$B$24,MATCH(D790,'Почасовка — ставки и план'!$A$5:$A$24,0)),"Аренда техники / механизмы")</f>
        <v>Отделочник (штукатур, маляр, ГКЛ)</v>
      </c>
      <c r="F790" s="14">
        <v>380</v>
      </c>
      <c r="G790" s="14">
        <v>450</v>
      </c>
      <c r="H790" s="15">
        <v>230</v>
      </c>
      <c r="I790" s="15">
        <f>IF(OR(H790="",F790=""),"",MAX(H790,MIN(ROUND(H790*(1+Параметры!$B$5),IF(H790*(1+Параметры!$B$5)&gt;=1000,-1,0)),ROUND(F790*Параметры!$B$6,IF(F790*Параметры!$B$6&gt;=1000,-1,0)))))</f>
        <v>265</v>
      </c>
      <c r="J790" s="15">
        <v>265</v>
      </c>
      <c r="K790" s="15">
        <f>IF(OR(J790="",G790=""),"",MAX(J790,MIN(ROUND(J790*(1+Параметры!$B$5),IF(J790*(1+Параметры!$B$5)&gt;=1000,-1,0)),ROUND(G790*Параметры!$B$6,IF(G790*Параметры!$B$6&gt;=1000,-1,0)))))</f>
        <v>305</v>
      </c>
      <c r="L790" s="16">
        <v>0.28000000000000003</v>
      </c>
      <c r="M790" s="17">
        <f t="shared" si="68"/>
        <v>3.5714285714285712</v>
      </c>
      <c r="N790" s="17">
        <f>IF(OR(L790="",L790=0),"",Параметры!$B$3/L790)</f>
        <v>28.571428571428569</v>
      </c>
      <c r="O790" s="15">
        <f>IF(L790="","",IFERROR(INDEX('Почасовка — ставки и план'!$D$5:$D$24,MATCH($D790,'Почасовка — ставки и план'!$A$5:$A$24,0)),""))</f>
        <v>750</v>
      </c>
      <c r="P790" s="15">
        <f>IF(L790="","",IFERROR(INDEX('Почасовка — ставки и план'!$E$5:$E$24,MATCH($D790,'Почасовка — ставки и план'!$A$5:$A$24,0)),""))</f>
        <v>900</v>
      </c>
      <c r="Q790" s="15">
        <f t="shared" si="69"/>
        <v>210</v>
      </c>
      <c r="R790" s="13" t="str">
        <f>IF(D790="TEX","аренда техники — сделка/счёт",IF(OR(Q790="",H790="",H790=0),"—",IF(Q790&lt;H790*(1-Параметры!$B$7),"почасовка",IF(Q790&gt;H790*(1+Параметры!$B$7),"сделка","любой способ"))))</f>
        <v>любой способ</v>
      </c>
      <c r="S790">
        <v>0</v>
      </c>
      <c r="T790">
        <v>0</v>
      </c>
    </row>
    <row r="791" spans="1:20" x14ac:dyDescent="0.25">
      <c r="A791" s="13" t="s">
        <v>1626</v>
      </c>
      <c r="B791" s="13" t="s">
        <v>1627</v>
      </c>
      <c r="C791" s="13" t="s">
        <v>72</v>
      </c>
      <c r="D791" s="13" t="s">
        <v>208</v>
      </c>
      <c r="E791" s="13" t="str">
        <f>IFERROR(INDEX('Почасовка — ставки и план'!$B$5:$B$24,MATCH(D791,'Почасовка — ставки и план'!$A$5:$A$24,0)),"Аренда техники / механизмы")</f>
        <v>Отделочник (штукатур, маляр, ГКЛ)</v>
      </c>
      <c r="F791" s="14">
        <v>80</v>
      </c>
      <c r="G791" s="14">
        <v>95</v>
      </c>
      <c r="H791" s="15">
        <v>48</v>
      </c>
      <c r="I791" s="15">
        <f>IF(OR(H791="",F791=""),"",MAX(H791,MIN(ROUND(H791*(1+Параметры!$B$5),IF(H791*(1+Параметры!$B$5)&gt;=1000,-1,0)),ROUND(F791*Параметры!$B$6,IF(F791*Параметры!$B$6&gt;=1000,-1,0)))))</f>
        <v>55</v>
      </c>
      <c r="J791" s="15">
        <v>55</v>
      </c>
      <c r="K791" s="15">
        <f>IF(OR(J791="",G791=""),"",MAX(J791,MIN(ROUND(J791*(1+Параметры!$B$5),IF(J791*(1+Параметры!$B$5)&gt;=1000,-1,0)),ROUND(G791*Параметры!$B$6,IF(G791*Параметры!$B$6&gt;=1000,-1,0)))))</f>
        <v>63</v>
      </c>
      <c r="L791" s="16">
        <v>0.05</v>
      </c>
      <c r="M791" s="17">
        <f t="shared" si="68"/>
        <v>20</v>
      </c>
      <c r="N791" s="17">
        <f>IF(OR(L791="",L791=0),"",Параметры!$B$3/L791)</f>
        <v>160</v>
      </c>
      <c r="O791" s="15">
        <f>IF(L791="","",IFERROR(INDEX('Почасовка — ставки и план'!$D$5:$D$24,MATCH($D791,'Почасовка — ставки и план'!$A$5:$A$24,0)),""))</f>
        <v>750</v>
      </c>
      <c r="P791" s="15">
        <f>IF(L791="","",IFERROR(INDEX('Почасовка — ставки и план'!$E$5:$E$24,MATCH($D791,'Почасовка — ставки и план'!$A$5:$A$24,0)),""))</f>
        <v>900</v>
      </c>
      <c r="Q791" s="15">
        <f t="shared" si="69"/>
        <v>38</v>
      </c>
      <c r="R791" s="13" t="str">
        <f>IF(D791="TEX","аренда техники — сделка/счёт",IF(OR(Q791="",H791="",H791=0),"—",IF(Q791&lt;H791*(1-Параметры!$B$7),"почасовка",IF(Q791&gt;H791*(1+Параметры!$B$7),"сделка","любой способ"))))</f>
        <v>почасовка</v>
      </c>
      <c r="S791">
        <v>0</v>
      </c>
      <c r="T791">
        <v>0</v>
      </c>
    </row>
    <row r="792" spans="1:20" x14ac:dyDescent="0.25">
      <c r="A792" s="13" t="s">
        <v>1628</v>
      </c>
      <c r="B792" s="13" t="s">
        <v>1629</v>
      </c>
      <c r="C792" s="13" t="s">
        <v>72</v>
      </c>
      <c r="D792" s="13" t="s">
        <v>208</v>
      </c>
      <c r="E792" s="13" t="str">
        <f>IFERROR(INDEX('Почасовка — ставки и план'!$B$5:$B$24,MATCH(D792,'Почасовка — ставки и план'!$A$5:$A$24,0)),"Аренда техники / механизмы")</f>
        <v>Отделочник (штукатур, маляр, ГКЛ)</v>
      </c>
      <c r="F792" s="14">
        <v>451</v>
      </c>
      <c r="G792" s="14">
        <v>540</v>
      </c>
      <c r="H792" s="15">
        <v>270</v>
      </c>
      <c r="I792" s="15">
        <f>IF(OR(H792="",F792=""),"",MAX(H792,MIN(ROUND(H792*(1+Параметры!$B$5),IF(H792*(1+Параметры!$B$5)&gt;=1000,-1,0)),ROUND(F792*Параметры!$B$6,IF(F792*Параметры!$B$6&gt;=1000,-1,0)))))</f>
        <v>311</v>
      </c>
      <c r="J792" s="15">
        <v>310</v>
      </c>
      <c r="K792" s="15">
        <f>IF(OR(J792="",G792=""),"",MAX(J792,MIN(ROUND(J792*(1+Параметры!$B$5),IF(J792*(1+Параметры!$B$5)&gt;=1000,-1,0)),ROUND(G792*Параметры!$B$6,IF(G792*Параметры!$B$6&gt;=1000,-1,0)))))</f>
        <v>357</v>
      </c>
      <c r="L792" s="16">
        <v>0.45</v>
      </c>
      <c r="M792" s="17">
        <f t="shared" si="68"/>
        <v>2.2222222222222223</v>
      </c>
      <c r="N792" s="17">
        <f>IF(OR(L792="",L792=0),"",Параметры!$B$3/L792)</f>
        <v>17.777777777777779</v>
      </c>
      <c r="O792" s="15">
        <f>IF(L792="","",IFERROR(INDEX('Почасовка — ставки и план'!$D$5:$D$24,MATCH($D792,'Почасовка — ставки и план'!$A$5:$A$24,0)),""))</f>
        <v>750</v>
      </c>
      <c r="P792" s="15">
        <f>IF(L792="","",IFERROR(INDEX('Почасовка — ставки и план'!$E$5:$E$24,MATCH($D792,'Почасовка — ставки и план'!$A$5:$A$24,0)),""))</f>
        <v>900</v>
      </c>
      <c r="Q792" s="15">
        <f t="shared" si="69"/>
        <v>338</v>
      </c>
      <c r="R792" s="13" t="str">
        <f>IF(D792="TEX","аренда техники — сделка/счёт",IF(OR(Q792="",H792="",H792=0),"—",IF(Q792&lt;H792*(1-Параметры!$B$7),"почасовка",IF(Q792&gt;H792*(1+Параметры!$B$7),"сделка","любой способ"))))</f>
        <v>сделка</v>
      </c>
      <c r="S792">
        <v>2.2222222222221259E-3</v>
      </c>
      <c r="T792">
        <v>3.8461538461538547E-2</v>
      </c>
    </row>
    <row r="793" spans="1:20" x14ac:dyDescent="0.25">
      <c r="A793" s="13" t="s">
        <v>1630</v>
      </c>
      <c r="B793" s="13" t="s">
        <v>1631</v>
      </c>
      <c r="C793" s="13" t="s">
        <v>72</v>
      </c>
      <c r="D793" s="13" t="s">
        <v>208</v>
      </c>
      <c r="E793" s="13" t="str">
        <f>IFERROR(INDEX('Почасовка — ставки и план'!$B$5:$B$24,MATCH(D793,'Почасовка — ставки и план'!$A$5:$A$24,0)),"Аренда техники / механизмы")</f>
        <v>Отделочник (штукатур, маляр, ГКЛ)</v>
      </c>
      <c r="F793" s="14">
        <v>500</v>
      </c>
      <c r="G793" s="14">
        <v>600</v>
      </c>
      <c r="H793" s="15">
        <v>300</v>
      </c>
      <c r="I793" s="15">
        <f>IF(OR(H793="",F793=""),"",MAX(H793,MIN(ROUND(H793*(1+Параметры!$B$5),IF(H793*(1+Параметры!$B$5)&gt;=1000,-1,0)),ROUND(F793*Параметры!$B$6,IF(F793*Параметры!$B$6&gt;=1000,-1,0)))))</f>
        <v>345</v>
      </c>
      <c r="J793" s="15">
        <v>350</v>
      </c>
      <c r="K793" s="15">
        <f>IF(OR(J793="",G793=""),"",MAX(J793,MIN(ROUND(J793*(1+Параметры!$B$5),IF(J793*(1+Параметры!$B$5)&gt;=1000,-1,0)),ROUND(G793*Параметры!$B$6,IF(G793*Параметры!$B$6&gt;=1000,-1,0)))))</f>
        <v>403</v>
      </c>
      <c r="L793" s="16">
        <v>0.45</v>
      </c>
      <c r="M793" s="17">
        <f t="shared" si="68"/>
        <v>2.2222222222222223</v>
      </c>
      <c r="N793" s="17">
        <f>IF(OR(L793="",L793=0),"",Параметры!$B$3/L793)</f>
        <v>17.777777777777779</v>
      </c>
      <c r="O793" s="15">
        <f>IF(L793="","",IFERROR(INDEX('Почасовка — ставки и план'!$D$5:$D$24,MATCH($D793,'Почасовка — ставки и план'!$A$5:$A$24,0)),""))</f>
        <v>750</v>
      </c>
      <c r="P793" s="15">
        <f>IF(L793="","",IFERROR(INDEX('Почасовка — ставки и план'!$E$5:$E$24,MATCH($D793,'Почасовка — ставки и план'!$A$5:$A$24,0)),""))</f>
        <v>900</v>
      </c>
      <c r="Q793" s="15">
        <f t="shared" si="69"/>
        <v>338</v>
      </c>
      <c r="R793" s="13" t="str">
        <f>IF(D793="TEX","аренда техники — сделка/счёт",IF(OR(Q793="",H793="",H793=0),"—",IF(Q793&lt;H793*(1-Параметры!$B$7),"почасовка",IF(Q793&gt;H793*(1+Параметры!$B$7),"сделка","любой способ"))))</f>
        <v>сделка</v>
      </c>
      <c r="S793">
        <v>0</v>
      </c>
      <c r="T793">
        <v>0</v>
      </c>
    </row>
    <row r="794" spans="1:20" x14ac:dyDescent="0.25">
      <c r="A794" s="13" t="s">
        <v>1632</v>
      </c>
      <c r="B794" s="13" t="s">
        <v>1633</v>
      </c>
      <c r="C794" s="13" t="s">
        <v>72</v>
      </c>
      <c r="D794" s="13" t="s">
        <v>208</v>
      </c>
      <c r="E794" s="13" t="str">
        <f>IFERROR(INDEX('Почасовка — ставки и план'!$B$5:$B$24,MATCH(D794,'Почасовка — ставки и план'!$A$5:$A$24,0)),"Аренда техники / механизмы")</f>
        <v>Отделочник (штукатур, маляр, ГКЛ)</v>
      </c>
      <c r="F794" s="14">
        <v>150</v>
      </c>
      <c r="G794" s="14">
        <v>180</v>
      </c>
      <c r="H794" s="15">
        <v>90</v>
      </c>
      <c r="I794" s="15">
        <f>IF(OR(H794="",F794=""),"",MAX(H794,MIN(ROUND(H794*(1+Параметры!$B$5),IF(H794*(1+Параметры!$B$5)&gt;=1000,-1,0)),ROUND(F794*Параметры!$B$6,IF(F794*Параметры!$B$6&gt;=1000,-1,0)))))</f>
        <v>104</v>
      </c>
      <c r="J794" s="15">
        <v>105</v>
      </c>
      <c r="K794" s="15">
        <f>IF(OR(J794="",G794=""),"",MAX(J794,MIN(ROUND(J794*(1+Параметры!$B$5),IF(J794*(1+Параметры!$B$5)&gt;=1000,-1,0)),ROUND(G794*Параметры!$B$6,IF(G794*Параметры!$B$6&gt;=1000,-1,0)))))</f>
        <v>121</v>
      </c>
      <c r="L794" s="16">
        <v>0.12</v>
      </c>
      <c r="M794" s="17">
        <f t="shared" si="68"/>
        <v>8.3333333333333339</v>
      </c>
      <c r="N794" s="17">
        <f>IF(OR(L794="",L794=0),"",Параметры!$B$3/L794)</f>
        <v>66.666666666666671</v>
      </c>
      <c r="O794" s="15">
        <f>IF(L794="","",IFERROR(INDEX('Почасовка — ставки и план'!$D$5:$D$24,MATCH($D794,'Почасовка — ставки и план'!$A$5:$A$24,0)),""))</f>
        <v>750</v>
      </c>
      <c r="P794" s="15">
        <f>IF(L794="","",IFERROR(INDEX('Почасовка — ставки и план'!$E$5:$E$24,MATCH($D794,'Почасовка — ставки и план'!$A$5:$A$24,0)),""))</f>
        <v>900</v>
      </c>
      <c r="Q794" s="15">
        <f t="shared" si="69"/>
        <v>90</v>
      </c>
      <c r="R794" s="13" t="str">
        <f>IF(D794="TEX","аренда техники — сделка/счёт",IF(OR(Q794="",H794="",H794=0),"—",IF(Q794&lt;H794*(1-Параметры!$B$7),"почасовка",IF(Q794&gt;H794*(1+Параметры!$B$7),"сделка","любой способ"))))</f>
        <v>любой способ</v>
      </c>
      <c r="S794">
        <v>0</v>
      </c>
      <c r="T794">
        <v>0</v>
      </c>
    </row>
    <row r="795" spans="1:20" x14ac:dyDescent="0.25">
      <c r="A795" s="13" t="s">
        <v>1634</v>
      </c>
      <c r="B795" s="13" t="s">
        <v>1635</v>
      </c>
      <c r="C795" s="13" t="s">
        <v>72</v>
      </c>
      <c r="D795" s="13" t="s">
        <v>208</v>
      </c>
      <c r="E795" s="13" t="str">
        <f>IFERROR(INDEX('Почасовка — ставки и план'!$B$5:$B$24,MATCH(D795,'Почасовка — ставки и план'!$A$5:$A$24,0)),"Аренда техники / механизмы")</f>
        <v>Отделочник (штукатур, маляр, ГКЛ)</v>
      </c>
      <c r="F795" s="14">
        <v>800</v>
      </c>
      <c r="G795" s="14">
        <v>960</v>
      </c>
      <c r="H795" s="15">
        <v>480</v>
      </c>
      <c r="I795" s="15">
        <f>IF(OR(H795="",F795=""),"",MAX(H795,MIN(ROUND(H795*(1+Параметры!$B$5),IF(H795*(1+Параметры!$B$5)&gt;=1000,-1,0)),ROUND(F795*Параметры!$B$6,IF(F795*Параметры!$B$6&gt;=1000,-1,0)))))</f>
        <v>552</v>
      </c>
      <c r="J795" s="15">
        <v>560</v>
      </c>
      <c r="K795" s="15">
        <f>IF(OR(J795="",G795=""),"",MAX(J795,MIN(ROUND(J795*(1+Параметры!$B$5),IF(J795*(1+Параметры!$B$5)&gt;=1000,-1,0)),ROUND(G795*Параметры!$B$6,IF(G795*Параметры!$B$6&gt;=1000,-1,0)))))</f>
        <v>644</v>
      </c>
      <c r="L795" s="16">
        <v>0.8</v>
      </c>
      <c r="M795" s="17">
        <f t="shared" si="68"/>
        <v>1.25</v>
      </c>
      <c r="N795" s="17">
        <f>IF(OR(L795="",L795=0),"",Параметры!$B$3/L795)</f>
        <v>10</v>
      </c>
      <c r="O795" s="15">
        <f>IF(L795="","",IFERROR(INDEX('Почасовка — ставки и план'!$D$5:$D$24,MATCH($D795,'Почасовка — ставки и план'!$A$5:$A$24,0)),""))</f>
        <v>750</v>
      </c>
      <c r="P795" s="15">
        <f>IF(L795="","",IFERROR(INDEX('Почасовка — ставки и план'!$E$5:$E$24,MATCH($D795,'Почасовка — ставки и план'!$A$5:$A$24,0)),""))</f>
        <v>900</v>
      </c>
      <c r="Q795" s="15">
        <f t="shared" si="69"/>
        <v>600</v>
      </c>
      <c r="R795" s="13" t="str">
        <f>IF(D795="TEX","аренда техники — сделка/счёт",IF(OR(Q795="",H795="",H795=0),"—",IF(Q795&lt;H795*(1-Параметры!$B$7),"почасовка",IF(Q795&gt;H795*(1+Параметры!$B$7),"сделка","любой способ"))))</f>
        <v>сделка</v>
      </c>
      <c r="S795">
        <v>0</v>
      </c>
      <c r="T795">
        <v>1.052631578947372E-2</v>
      </c>
    </row>
    <row r="796" spans="1:20" x14ac:dyDescent="0.25">
      <c r="A796" s="13" t="s">
        <v>1636</v>
      </c>
      <c r="B796" s="13" t="s">
        <v>1637</v>
      </c>
      <c r="C796" s="13" t="s">
        <v>72</v>
      </c>
      <c r="D796" s="13" t="s">
        <v>208</v>
      </c>
      <c r="E796" s="13" t="str">
        <f>IFERROR(INDEX('Почасовка — ставки и план'!$B$5:$B$24,MATCH(D796,'Почасовка — ставки и план'!$A$5:$A$24,0)),"Аренда техники / механизмы")</f>
        <v>Отделочник (штукатур, маляр, ГКЛ)</v>
      </c>
      <c r="F796" s="14">
        <v>600</v>
      </c>
      <c r="G796" s="14">
        <v>720</v>
      </c>
      <c r="H796" s="15">
        <v>360</v>
      </c>
      <c r="I796" s="15">
        <f>IF(OR(H796="",F796=""),"",MAX(H796,MIN(ROUND(H796*(1+Параметры!$B$5),IF(H796*(1+Параметры!$B$5)&gt;=1000,-1,0)),ROUND(F796*Параметры!$B$6,IF(F796*Параметры!$B$6&gt;=1000,-1,0)))))</f>
        <v>414</v>
      </c>
      <c r="J796" s="15">
        <v>420</v>
      </c>
      <c r="K796" s="15">
        <f>IF(OR(J796="",G796=""),"",MAX(J796,MIN(ROUND(J796*(1+Параметры!$B$5),IF(J796*(1+Параметры!$B$5)&gt;=1000,-1,0)),ROUND(G796*Параметры!$B$6,IF(G796*Параметры!$B$6&gt;=1000,-1,0)))))</f>
        <v>483</v>
      </c>
      <c r="L796" s="16">
        <v>0.6</v>
      </c>
      <c r="M796" s="17">
        <f t="shared" si="68"/>
        <v>1.6666666666666667</v>
      </c>
      <c r="N796" s="17">
        <f>IF(OR(L796="",L796=0),"",Параметры!$B$3/L796)</f>
        <v>13.333333333333334</v>
      </c>
      <c r="O796" s="15">
        <f>IF(L796="","",IFERROR(INDEX('Почасовка — ставки и план'!$D$5:$D$24,MATCH($D796,'Почасовка — ставки и план'!$A$5:$A$24,0)),""))</f>
        <v>750</v>
      </c>
      <c r="P796" s="15">
        <f>IF(L796="","",IFERROR(INDEX('Почасовка — ставки и план'!$E$5:$E$24,MATCH($D796,'Почасовка — ставки и план'!$A$5:$A$24,0)),""))</f>
        <v>900</v>
      </c>
      <c r="Q796" s="15">
        <f t="shared" si="69"/>
        <v>450</v>
      </c>
      <c r="R796" s="13" t="str">
        <f>IF(D796="TEX","аренда техники — сделка/счёт",IF(OR(Q796="",H796="",H796=0),"—",IF(Q796&lt;H796*(1-Параметры!$B$7),"почасовка",IF(Q796&gt;H796*(1+Параметры!$B$7),"сделка","любой способ"))))</f>
        <v>сделка</v>
      </c>
      <c r="S796">
        <v>0</v>
      </c>
      <c r="T796">
        <v>2.857142857142847E-2</v>
      </c>
    </row>
    <row r="797" spans="1:20" x14ac:dyDescent="0.25">
      <c r="A797" s="13" t="s">
        <v>1638</v>
      </c>
      <c r="B797" s="13" t="s">
        <v>1639</v>
      </c>
      <c r="C797" s="13" t="s">
        <v>72</v>
      </c>
      <c r="D797" s="13" t="s">
        <v>208</v>
      </c>
      <c r="E797" s="13" t="str">
        <f>IFERROR(INDEX('Почасовка — ставки и план'!$B$5:$B$24,MATCH(D797,'Почасовка — ставки и план'!$A$5:$A$24,0)),"Аренда техники / механизмы")</f>
        <v>Отделочник (штукатур, маляр, ГКЛ)</v>
      </c>
      <c r="F797" s="14">
        <v>800</v>
      </c>
      <c r="G797" s="14">
        <v>960</v>
      </c>
      <c r="H797" s="15">
        <v>450</v>
      </c>
      <c r="I797" s="15">
        <f>IF(OR(H797="",F797=""),"",MAX(H797,MIN(ROUND(H797*(1+Параметры!$B$5),IF(H797*(1+Параметры!$B$5)&gt;=1000,-1,0)),ROUND(F797*Параметры!$B$6,IF(F797*Параметры!$B$6&gt;=1000,-1,0)))))</f>
        <v>518</v>
      </c>
      <c r="J797" s="15">
        <v>530</v>
      </c>
      <c r="K797" s="15">
        <f>IF(OR(J797="",G797=""),"",MAX(J797,MIN(ROUND(J797*(1+Параметры!$B$5),IF(J797*(1+Параметры!$B$5)&gt;=1000,-1,0)),ROUND(G797*Параметры!$B$6,IF(G797*Параметры!$B$6&gt;=1000,-1,0)))))</f>
        <v>610</v>
      </c>
      <c r="L797" s="16">
        <v>0.8</v>
      </c>
      <c r="M797" s="17">
        <f t="shared" si="68"/>
        <v>1.25</v>
      </c>
      <c r="N797" s="17">
        <f>IF(OR(L797="",L797=0),"",Параметры!$B$3/L797)</f>
        <v>10</v>
      </c>
      <c r="O797" s="15">
        <f>IF(L797="","",IFERROR(INDEX('Почасовка — ставки и план'!$D$5:$D$24,MATCH($D797,'Почасовка — ставки и план'!$A$5:$A$24,0)),""))</f>
        <v>750</v>
      </c>
      <c r="P797" s="15">
        <f>IF(L797="","",IFERROR(INDEX('Почасовка — ставки и план'!$E$5:$E$24,MATCH($D797,'Почасовка — ставки и план'!$A$5:$A$24,0)),""))</f>
        <v>900</v>
      </c>
      <c r="Q797" s="15">
        <f t="shared" si="69"/>
        <v>600</v>
      </c>
      <c r="R797" s="13" t="str">
        <f>IF(D797="TEX","аренда техники — сделка/счёт",IF(OR(Q797="",H797="",H797=0),"—",IF(Q797&lt;H797*(1-Параметры!$B$7),"почасовка",IF(Q797&gt;H797*(1+Параметры!$B$7),"сделка","любой способ"))))</f>
        <v>сделка</v>
      </c>
      <c r="S797">
        <v>6.6666666666666652E-2</v>
      </c>
      <c r="T797">
        <v>6.6666666666666652E-2</v>
      </c>
    </row>
    <row r="798" spans="1:20" x14ac:dyDescent="0.25">
      <c r="A798" s="13" t="s">
        <v>1640</v>
      </c>
      <c r="B798" s="13" t="s">
        <v>1641</v>
      </c>
      <c r="C798" s="13" t="s">
        <v>55</v>
      </c>
      <c r="D798" s="13" t="s">
        <v>208</v>
      </c>
      <c r="E798" s="13" t="str">
        <f>IFERROR(INDEX('Почасовка — ставки и план'!$B$5:$B$24,MATCH(D798,'Почасовка — ставки и план'!$A$5:$A$24,0)),"Аренда техники / механизмы")</f>
        <v>Отделочник (штукатур, маляр, ГКЛ)</v>
      </c>
      <c r="F798" s="14">
        <v>1200</v>
      </c>
      <c r="G798" s="14">
        <v>1400</v>
      </c>
      <c r="H798" s="15">
        <v>720</v>
      </c>
      <c r="I798" s="15">
        <f>IF(OR(H798="",F798=""),"",MAX(H798,MIN(ROUND(H798*(1+Параметры!$B$5),IF(H798*(1+Параметры!$B$5)&gt;=1000,-1,0)),ROUND(F798*Параметры!$B$6,IF(F798*Параметры!$B$6&gt;=1000,-1,0)))))</f>
        <v>828</v>
      </c>
      <c r="J798" s="15">
        <v>830</v>
      </c>
      <c r="K798" s="15">
        <f>IF(OR(J798="",G798=""),"",MAX(J798,MIN(ROUND(J798*(1+Параметры!$B$5),IF(J798*(1+Параметры!$B$5)&gt;=1000,-1,0)),ROUND(G798*Параметры!$B$6,IF(G798*Параметры!$B$6&gt;=1000,-1,0)))))</f>
        <v>955</v>
      </c>
      <c r="L798" s="16">
        <v>1</v>
      </c>
      <c r="M798" s="17">
        <f t="shared" si="68"/>
        <v>1</v>
      </c>
      <c r="N798" s="17">
        <f>IF(OR(L798="",L798=0),"",Параметры!$B$3/L798)</f>
        <v>8</v>
      </c>
      <c r="O798" s="15">
        <f>IF(L798="","",IFERROR(INDEX('Почасовка — ставки и план'!$D$5:$D$24,MATCH($D798,'Почасовка — ставки и план'!$A$5:$A$24,0)),""))</f>
        <v>750</v>
      </c>
      <c r="P798" s="15">
        <f>IF(L798="","",IFERROR(INDEX('Почасовка — ставки и план'!$E$5:$E$24,MATCH($D798,'Почасовка — ставки и план'!$A$5:$A$24,0)),""))</f>
        <v>900</v>
      </c>
      <c r="Q798" s="15">
        <f t="shared" si="69"/>
        <v>750</v>
      </c>
      <c r="R798" s="13" t="str">
        <f>IF(D798="TEX","аренда техники — сделка/счёт",IF(OR(Q798="",H798="",H798=0),"—",IF(Q798&lt;H798*(1-Параметры!$B$7),"почасовка",IF(Q798&gt;H798*(1+Параметры!$B$7),"сделка","любой способ"))))</f>
        <v>любой способ</v>
      </c>
      <c r="S798">
        <v>0</v>
      </c>
      <c r="T798">
        <v>0</v>
      </c>
    </row>
    <row r="799" spans="1:20" x14ac:dyDescent="0.25">
      <c r="A799" s="13" t="s">
        <v>1642</v>
      </c>
      <c r="B799" s="13" t="s">
        <v>1643</v>
      </c>
      <c r="C799" s="13" t="s">
        <v>72</v>
      </c>
      <c r="D799" s="13" t="s">
        <v>208</v>
      </c>
      <c r="E799" s="13" t="str">
        <f>IFERROR(INDEX('Почасовка — ставки и план'!$B$5:$B$24,MATCH(D799,'Почасовка — ставки и план'!$A$5:$A$24,0)),"Аренда техники / механизмы")</f>
        <v>Отделочник (штукатур, маляр, ГКЛ)</v>
      </c>
      <c r="F799" s="14">
        <v>50</v>
      </c>
      <c r="G799" s="14">
        <v>60</v>
      </c>
      <c r="H799" s="15">
        <v>30</v>
      </c>
      <c r="I799" s="15">
        <f>IF(OR(H799="",F799=""),"",MAX(H799,MIN(ROUND(H799*(1+Параметры!$B$5),IF(H799*(1+Параметры!$B$5)&gt;=1000,-1,0)),ROUND(F799*Параметры!$B$6,IF(F799*Параметры!$B$6&gt;=1000,-1,0)))))</f>
        <v>35</v>
      </c>
      <c r="J799" s="15">
        <v>35</v>
      </c>
      <c r="K799" s="15">
        <f>IF(OR(J799="",G799=""),"",MAX(J799,MIN(ROUND(J799*(1+Параметры!$B$5),IF(J799*(1+Параметры!$B$5)&gt;=1000,-1,0)),ROUND(G799*Параметры!$B$6,IF(G799*Параметры!$B$6&gt;=1000,-1,0)))))</f>
        <v>40</v>
      </c>
      <c r="L799" s="16">
        <v>2.5000000000000001E-2</v>
      </c>
      <c r="M799" s="17">
        <f t="shared" si="68"/>
        <v>40</v>
      </c>
      <c r="N799" s="17">
        <f>IF(OR(L799="",L799=0),"",Параметры!$B$3/L799)</f>
        <v>320</v>
      </c>
      <c r="O799" s="15">
        <f>IF(L799="","",IFERROR(INDEX('Почасовка — ставки и план'!$D$5:$D$24,MATCH($D799,'Почасовка — ставки и план'!$A$5:$A$24,0)),""))</f>
        <v>750</v>
      </c>
      <c r="P799" s="15">
        <f>IF(L799="","",IFERROR(INDEX('Почасовка — ставки и план'!$E$5:$E$24,MATCH($D799,'Почасовка — ставки и план'!$A$5:$A$24,0)),""))</f>
        <v>900</v>
      </c>
      <c r="Q799" s="15">
        <f t="shared" si="69"/>
        <v>19</v>
      </c>
      <c r="R799" s="13" t="str">
        <f>IF(D799="TEX","аренда техники — сделка/счёт",IF(OR(Q799="",H799="",H799=0),"—",IF(Q799&lt;H799*(1-Параметры!$B$7),"почасовка",IF(Q799&gt;H799*(1+Параметры!$B$7),"сделка","любой способ"))))</f>
        <v>почасовка</v>
      </c>
      <c r="S799">
        <v>0</v>
      </c>
      <c r="T799">
        <v>0</v>
      </c>
    </row>
    <row r="800" spans="1:20" x14ac:dyDescent="0.25">
      <c r="A800" s="18" t="s">
        <v>1644</v>
      </c>
      <c r="B800" s="13" t="s">
        <v>1645</v>
      </c>
      <c r="C800" s="13" t="s">
        <v>72</v>
      </c>
      <c r="D800" s="13" t="s">
        <v>60</v>
      </c>
      <c r="E800" s="13" t="str">
        <f>IFERROR(INDEX('Почасовка — ставки и план'!$B$5:$B$24,MATCH(D800,'Почасовка — ставки и план'!$A$5:$A$24,0)),"Аренда техники / механизмы")</f>
        <v>Разнорабочий / демонтажник</v>
      </c>
      <c r="F800" s="14">
        <v>331</v>
      </c>
      <c r="G800" s="14">
        <v>396</v>
      </c>
      <c r="H800" s="15">
        <v>200</v>
      </c>
      <c r="I800" s="15">
        <f>IF(OR(H800="",F800=""),"",MAX(H800,MIN(ROUND(H800*(1+Параметры!$B$5),IF(H800*(1+Параметры!$B$5)&gt;=1000,-1,0)),ROUND(F800*Параметры!$B$6,IF(F800*Параметры!$B$6&gt;=1000,-1,0)))))</f>
        <v>230</v>
      </c>
      <c r="J800" s="15">
        <v>230</v>
      </c>
      <c r="K800" s="15">
        <f>IF(OR(J800="",G800=""),"",MAX(J800,MIN(ROUND(J800*(1+Параметры!$B$5),IF(J800*(1+Параметры!$B$5)&gt;=1000,-1,0)),ROUND(G800*Параметры!$B$6,IF(G800*Параметры!$B$6&gt;=1000,-1,0)))))</f>
        <v>265</v>
      </c>
      <c r="L800" s="16">
        <v>0.45</v>
      </c>
      <c r="M800" s="17">
        <f t="shared" si="68"/>
        <v>2.2222222222222223</v>
      </c>
      <c r="N800" s="17">
        <f>IF(OR(L800="",L800=0),"",Параметры!$B$3/L800)</f>
        <v>17.777777777777779</v>
      </c>
      <c r="O800" s="15">
        <f>IF(L800="","",IFERROR(INDEX('Почасовка — ставки и план'!$D$5:$D$24,MATCH($D800,'Почасовка — ставки и план'!$A$5:$A$24,0)),""))</f>
        <v>550</v>
      </c>
      <c r="P800" s="15">
        <f>IF(L800="","",IFERROR(INDEX('Почасовка — ставки и план'!$E$5:$E$24,MATCH($D800,'Почасовка — ставки и план'!$A$5:$A$24,0)),""))</f>
        <v>660</v>
      </c>
      <c r="Q800" s="15">
        <f t="shared" si="69"/>
        <v>248</v>
      </c>
      <c r="R800" s="13" t="str">
        <f>IF(D800="TEX","аренда техники — сделка/счёт",IF(OR(Q800="",H800="",H800=0),"—",IF(Q800&lt;H800*(1-Параметры!$B$7),"почасовка",IF(Q800&gt;H800*(1+Параметры!$B$7),"сделка","любой способ"))))</f>
        <v>сделка</v>
      </c>
      <c r="S800">
        <v>3.0303030303029388E-3</v>
      </c>
      <c r="T800">
        <v>4.2105263157894653E-2</v>
      </c>
    </row>
    <row r="801" spans="1:20" x14ac:dyDescent="0.25">
      <c r="A801" s="18" t="s">
        <v>1646</v>
      </c>
      <c r="B801" s="13" t="s">
        <v>1647</v>
      </c>
      <c r="C801" s="13" t="s">
        <v>72</v>
      </c>
      <c r="D801" s="13" t="s">
        <v>60</v>
      </c>
      <c r="E801" s="13" t="str">
        <f>IFERROR(INDEX('Почасовка — ставки и план'!$B$5:$B$24,MATCH(D801,'Почасовка — ставки и план'!$A$5:$A$24,0)),"Аренда техники / механизмы")</f>
        <v>Разнорабочий / демонтажник</v>
      </c>
      <c r="F801" s="14">
        <v>100</v>
      </c>
      <c r="G801" s="14">
        <v>115</v>
      </c>
      <c r="H801" s="15">
        <v>60</v>
      </c>
      <c r="I801" s="15">
        <f>IF(OR(H801="",F801=""),"",MAX(H801,MIN(ROUND(H801*(1+Параметры!$B$5),IF(H801*(1+Параметры!$B$5)&gt;=1000,-1,0)),ROUND(F801*Параметры!$B$6,IF(F801*Параметры!$B$6&gt;=1000,-1,0)))))</f>
        <v>69</v>
      </c>
      <c r="J801" s="15">
        <v>70</v>
      </c>
      <c r="K801" s="15">
        <f>IF(OR(J801="",G801=""),"",MAX(J801,MIN(ROUND(J801*(1+Параметры!$B$5),IF(J801*(1+Параметры!$B$5)&gt;=1000,-1,0)),ROUND(G801*Параметры!$B$6,IF(G801*Параметры!$B$6&gt;=1000,-1,0)))))</f>
        <v>81</v>
      </c>
      <c r="L801" s="16">
        <v>0.12</v>
      </c>
      <c r="M801" s="17">
        <f t="shared" si="68"/>
        <v>8.3333333333333339</v>
      </c>
      <c r="N801" s="17">
        <f>IF(OR(L801="",L801=0),"",Параметры!$B$3/L801)</f>
        <v>66.666666666666671</v>
      </c>
      <c r="O801" s="15">
        <f>IF(L801="","",IFERROR(INDEX('Почасовка — ставки и план'!$D$5:$D$24,MATCH($D801,'Почасовка — ставки и план'!$A$5:$A$24,0)),""))</f>
        <v>550</v>
      </c>
      <c r="P801" s="15">
        <f>IF(L801="","",IFERROR(INDEX('Почасовка — ставки и план'!$E$5:$E$24,MATCH($D801,'Почасовка — ставки и план'!$A$5:$A$24,0)),""))</f>
        <v>660</v>
      </c>
      <c r="Q801" s="15">
        <f t="shared" si="69"/>
        <v>66</v>
      </c>
      <c r="R801" s="13" t="str">
        <f>IF(D801="TEX","аренда техники — сделка/счёт",IF(OR(Q801="",H801="",H801=0),"—",IF(Q801&lt;H801*(1-Параметры!$B$7),"почасовка",IF(Q801&gt;H801*(1+Параметры!$B$7),"сделка","любой способ"))))</f>
        <v>любой способ</v>
      </c>
      <c r="S801">
        <v>0</v>
      </c>
      <c r="T801">
        <v>0</v>
      </c>
    </row>
    <row r="802" spans="1:20" x14ac:dyDescent="0.25">
      <c r="A802" s="18" t="s">
        <v>1648</v>
      </c>
      <c r="B802" s="13" t="s">
        <v>1649</v>
      </c>
      <c r="C802" s="13" t="s">
        <v>72</v>
      </c>
      <c r="D802" s="13" t="s">
        <v>208</v>
      </c>
      <c r="E802" s="13" t="str">
        <f>IFERROR(INDEX('Почасовка — ставки и план'!$B$5:$B$24,MATCH(D802,'Почасовка — ставки и план'!$A$5:$A$24,0)),"Аренда техники / механизмы")</f>
        <v>Отделочник (штукатур, маляр, ГКЛ)</v>
      </c>
      <c r="F802" s="14">
        <v>251</v>
      </c>
      <c r="G802" s="14">
        <v>300</v>
      </c>
      <c r="H802" s="15">
        <v>150</v>
      </c>
      <c r="I802" s="15">
        <f>IF(OR(H802="",F802=""),"",MAX(H802,MIN(ROUND(H802*(1+Параметры!$B$5),IF(H802*(1+Параметры!$B$5)&gt;=1000,-1,0)),ROUND(F802*Параметры!$B$6,IF(F802*Параметры!$B$6&gt;=1000,-1,0)))))</f>
        <v>173</v>
      </c>
      <c r="J802" s="15">
        <v>175</v>
      </c>
      <c r="K802" s="15">
        <f>IF(OR(J802="",G802=""),"",MAX(J802,MIN(ROUND(J802*(1+Параметры!$B$5),IF(J802*(1+Параметры!$B$5)&gt;=1000,-1,0)),ROUND(G802*Параметры!$B$6,IF(G802*Параметры!$B$6&gt;=1000,-1,0)))))</f>
        <v>201</v>
      </c>
      <c r="L802" s="16">
        <v>0.25</v>
      </c>
      <c r="M802" s="17">
        <f t="shared" si="68"/>
        <v>4</v>
      </c>
      <c r="N802" s="17">
        <f>IF(OR(L802="",L802=0),"",Параметры!$B$3/L802)</f>
        <v>32</v>
      </c>
      <c r="O802" s="15">
        <f>IF(L802="","",IFERROR(INDEX('Почасовка — ставки и план'!$D$5:$D$24,MATCH($D802,'Почасовка — ставки и план'!$A$5:$A$24,0)),""))</f>
        <v>750</v>
      </c>
      <c r="P802" s="15">
        <f>IF(L802="","",IFERROR(INDEX('Почасовка — ставки и план'!$E$5:$E$24,MATCH($D802,'Почасовка — ставки и план'!$A$5:$A$24,0)),""))</f>
        <v>900</v>
      </c>
      <c r="Q802" s="15">
        <f t="shared" si="69"/>
        <v>188</v>
      </c>
      <c r="R802" s="13" t="str">
        <f>IF(D802="TEX","аренда техники — сделка/счёт",IF(OR(Q802="",H802="",H802=0),"—",IF(Q802&lt;H802*(1-Параметры!$B$7),"почасовка",IF(Q802&gt;H802*(1+Параметры!$B$7),"сделка","любой способ"))))</f>
        <v>сделка</v>
      </c>
      <c r="S802">
        <v>4.0000000000000044E-3</v>
      </c>
      <c r="T802">
        <v>3.4482758620689717E-2</v>
      </c>
    </row>
    <row r="803" spans="1:20" x14ac:dyDescent="0.25">
      <c r="A803" s="18" t="s">
        <v>1650</v>
      </c>
      <c r="B803" s="13" t="s">
        <v>1651</v>
      </c>
      <c r="C803" s="13" t="s">
        <v>72</v>
      </c>
      <c r="D803" s="13" t="s">
        <v>208</v>
      </c>
      <c r="E803" s="13" t="str">
        <f>IFERROR(INDEX('Почасовка — ставки и план'!$B$5:$B$24,MATCH(D803,'Почасовка — ставки и план'!$A$5:$A$24,0)),"Аренда техники / механизмы")</f>
        <v>Отделочник (штукатур, маляр, ГКЛ)</v>
      </c>
      <c r="F803" s="14">
        <v>1200</v>
      </c>
      <c r="G803" s="14">
        <v>1440</v>
      </c>
      <c r="H803" s="15">
        <v>720</v>
      </c>
      <c r="I803" s="15">
        <f>IF(OR(H803="",F803=""),"",MAX(H803,MIN(ROUND(H803*(1+Параметры!$B$5),IF(H803*(1+Параметры!$B$5)&gt;=1000,-1,0)),ROUND(F803*Параметры!$B$6,IF(F803*Параметры!$B$6&gt;=1000,-1,0)))))</f>
        <v>828</v>
      </c>
      <c r="J803" s="15">
        <v>830</v>
      </c>
      <c r="K803" s="15">
        <f>IF(OR(J803="",G803=""),"",MAX(J803,MIN(ROUND(J803*(1+Параметры!$B$5),IF(J803*(1+Параметры!$B$5)&gt;=1000,-1,0)),ROUND(G803*Параметры!$B$6,IF(G803*Параметры!$B$6&gt;=1000,-1,0)))))</f>
        <v>955</v>
      </c>
      <c r="L803" s="16">
        <v>1.2</v>
      </c>
      <c r="M803" s="17">
        <f t="shared" si="68"/>
        <v>0.83333333333333337</v>
      </c>
      <c r="N803" s="17">
        <f>IF(OR(L803="",L803=0),"",Параметры!$B$3/L803)</f>
        <v>6.666666666666667</v>
      </c>
      <c r="O803" s="15">
        <f>IF(L803="","",IFERROR(INDEX('Почасовка — ставки и план'!$D$5:$D$24,MATCH($D803,'Почасовка — ставки и план'!$A$5:$A$24,0)),""))</f>
        <v>750</v>
      </c>
      <c r="P803" s="15">
        <f>IF(L803="","",IFERROR(INDEX('Почасовка — ставки и план'!$E$5:$E$24,MATCH($D803,'Почасовка — ставки и план'!$A$5:$A$24,0)),""))</f>
        <v>900</v>
      </c>
      <c r="Q803" s="15">
        <f t="shared" si="69"/>
        <v>900</v>
      </c>
      <c r="R803" s="13" t="str">
        <f>IF(D803="TEX","аренда техники — сделка/счёт",IF(OR(Q803="",H803="",H803=0),"—",IF(Q803&lt;H803*(1-Параметры!$B$7),"почасовка",IF(Q803&gt;H803*(1+Параметры!$B$7),"сделка","любой способ"))))</f>
        <v>сделка</v>
      </c>
      <c r="S803">
        <v>0</v>
      </c>
      <c r="T803">
        <v>2.857142857142847E-2</v>
      </c>
    </row>
    <row r="804" spans="1:20" x14ac:dyDescent="0.25">
      <c r="A804" s="18" t="s">
        <v>1652</v>
      </c>
      <c r="B804" s="13" t="s">
        <v>1653</v>
      </c>
      <c r="C804" s="13" t="s">
        <v>72</v>
      </c>
      <c r="D804" s="13" t="s">
        <v>208</v>
      </c>
      <c r="E804" s="13" t="str">
        <f>IFERROR(INDEX('Почасовка — ставки и план'!$B$5:$B$24,MATCH(D804,'Почасовка — ставки и план'!$A$5:$A$24,0)),"Аренда техники / механизмы")</f>
        <v>Отделочник (штукатур, маляр, ГКЛ)</v>
      </c>
      <c r="F804" s="14">
        <v>150</v>
      </c>
      <c r="G804" s="14">
        <v>180</v>
      </c>
      <c r="H804" s="15">
        <v>90</v>
      </c>
      <c r="I804" s="15">
        <f>IF(OR(H804="",F804=""),"",MAX(H804,MIN(ROUND(H804*(1+Параметры!$B$5),IF(H804*(1+Параметры!$B$5)&gt;=1000,-1,0)),ROUND(F804*Параметры!$B$6,IF(F804*Параметры!$B$6&gt;=1000,-1,0)))))</f>
        <v>104</v>
      </c>
      <c r="J804" s="15">
        <v>105</v>
      </c>
      <c r="K804" s="15">
        <f>IF(OR(J804="",G804=""),"",MAX(J804,MIN(ROUND(J804*(1+Параметры!$B$5),IF(J804*(1+Параметры!$B$5)&gt;=1000,-1,0)),ROUND(G804*Параметры!$B$6,IF(G804*Параметры!$B$6&gt;=1000,-1,0)))))</f>
        <v>121</v>
      </c>
      <c r="L804" s="16">
        <v>0.1</v>
      </c>
      <c r="M804" s="17">
        <f t="shared" si="68"/>
        <v>10</v>
      </c>
      <c r="N804" s="17">
        <f>IF(OR(L804="",L804=0),"",Параметры!$B$3/L804)</f>
        <v>80</v>
      </c>
      <c r="O804" s="15">
        <f>IF(L804="","",IFERROR(INDEX('Почасовка — ставки и план'!$D$5:$D$24,MATCH($D804,'Почасовка — ставки и план'!$A$5:$A$24,0)),""))</f>
        <v>750</v>
      </c>
      <c r="P804" s="15">
        <f>IF(L804="","",IFERROR(INDEX('Почасовка — ставки и план'!$E$5:$E$24,MATCH($D804,'Почасовка — ставки и план'!$A$5:$A$24,0)),""))</f>
        <v>900</v>
      </c>
      <c r="Q804" s="15">
        <f t="shared" si="69"/>
        <v>75</v>
      </c>
      <c r="R804" s="13" t="str">
        <f>IF(D804="TEX","аренда техники — сделка/счёт",IF(OR(Q804="",H804="",H804=0),"—",IF(Q804&lt;H804*(1-Параметры!$B$7),"почасовка",IF(Q804&gt;H804*(1+Параметры!$B$7),"сделка","любой способ"))))</f>
        <v>почасовка</v>
      </c>
      <c r="S804">
        <v>0</v>
      </c>
      <c r="T804">
        <v>0</v>
      </c>
    </row>
    <row r="805" spans="1:20" x14ac:dyDescent="0.25">
      <c r="A805" s="18" t="s">
        <v>1654</v>
      </c>
      <c r="B805" s="13" t="s">
        <v>1655</v>
      </c>
      <c r="C805" s="13" t="s">
        <v>72</v>
      </c>
      <c r="D805" s="13" t="s">
        <v>208</v>
      </c>
      <c r="E805" s="13" t="str">
        <f>IFERROR(INDEX('Почасовка — ставки и план'!$B$5:$B$24,MATCH(D805,'Почасовка — ставки и план'!$A$5:$A$24,0)),"Аренда техники / механизмы")</f>
        <v>Отделочник (штукатур, маляр, ГКЛ)</v>
      </c>
      <c r="F805" s="14">
        <v>140</v>
      </c>
      <c r="G805" s="14">
        <v>160</v>
      </c>
      <c r="H805" s="15">
        <v>85</v>
      </c>
      <c r="I805" s="15">
        <f>IF(OR(H805="",F805=""),"",MAX(H805,MIN(ROUND(H805*(1+Параметры!$B$5),IF(H805*(1+Параметры!$B$5)&gt;=1000,-1,0)),ROUND(F805*Параметры!$B$6,IF(F805*Параметры!$B$6&gt;=1000,-1,0)))))</f>
        <v>98</v>
      </c>
      <c r="J805" s="15">
        <v>95</v>
      </c>
      <c r="K805" s="15">
        <f>IF(OR(J805="",G805=""),"",MAX(J805,MIN(ROUND(J805*(1+Параметры!$B$5),IF(J805*(1+Параметры!$B$5)&gt;=1000,-1,0)),ROUND(G805*Параметры!$B$6,IF(G805*Параметры!$B$6&gt;=1000,-1,0)))))</f>
        <v>109</v>
      </c>
      <c r="L805" s="16">
        <v>0.1</v>
      </c>
      <c r="M805" s="17">
        <f t="shared" si="68"/>
        <v>10</v>
      </c>
      <c r="N805" s="17">
        <f>IF(OR(L805="",L805=0),"",Параметры!$B$3/L805)</f>
        <v>80</v>
      </c>
      <c r="O805" s="15">
        <f>IF(L805="","",IFERROR(INDEX('Почасовка — ставки и план'!$D$5:$D$24,MATCH($D805,'Почасовка — ставки и план'!$A$5:$A$24,0)),""))</f>
        <v>750</v>
      </c>
      <c r="P805" s="15">
        <f>IF(L805="","",IFERROR(INDEX('Почасовка — ставки и план'!$E$5:$E$24,MATCH($D805,'Почасовка — ставки и план'!$A$5:$A$24,0)),""))</f>
        <v>900</v>
      </c>
      <c r="Q805" s="15">
        <f t="shared" si="69"/>
        <v>75</v>
      </c>
      <c r="R805" s="13" t="str">
        <f>IF(D805="TEX","аренда техники — сделка/счёт",IF(OR(Q805="",H805="",H805=0),"—",IF(Q805&lt;H805*(1-Параметры!$B$7),"почасовка",IF(Q805&gt;H805*(1+Параметры!$B$7),"сделка","любой способ"))))</f>
        <v>почасовка</v>
      </c>
      <c r="S805">
        <v>0</v>
      </c>
      <c r="T805">
        <v>0</v>
      </c>
    </row>
    <row r="806" spans="1:20" x14ac:dyDescent="0.25">
      <c r="A806" s="18" t="s">
        <v>1656</v>
      </c>
      <c r="B806" s="13" t="s">
        <v>1657</v>
      </c>
      <c r="C806" s="13" t="s">
        <v>72</v>
      </c>
      <c r="D806" s="13" t="s">
        <v>208</v>
      </c>
      <c r="E806" s="13" t="str">
        <f>IFERROR(INDEX('Почасовка — ставки и план'!$B$5:$B$24,MATCH(D806,'Почасовка — ставки и план'!$A$5:$A$24,0)),"Аренда техники / механизмы")</f>
        <v>Отделочник (штукатур, маляр, ГКЛ)</v>
      </c>
      <c r="F806" s="14">
        <v>380</v>
      </c>
      <c r="G806" s="14">
        <v>440</v>
      </c>
      <c r="H806" s="15">
        <v>230</v>
      </c>
      <c r="I806" s="15">
        <f>IF(OR(H806="",F806=""),"",MAX(H806,MIN(ROUND(H806*(1+Параметры!$B$5),IF(H806*(1+Параметры!$B$5)&gt;=1000,-1,0)),ROUND(F806*Параметры!$B$6,IF(F806*Параметры!$B$6&gt;=1000,-1,0)))))</f>
        <v>265</v>
      </c>
      <c r="J806" s="15">
        <v>265</v>
      </c>
      <c r="K806" s="15">
        <f>IF(OR(J806="",G806=""),"",MAX(J806,MIN(ROUND(J806*(1+Параметры!$B$5),IF(J806*(1+Параметры!$B$5)&gt;=1000,-1,0)),ROUND(G806*Параметры!$B$6,IF(G806*Параметры!$B$6&gt;=1000,-1,0)))))</f>
        <v>305</v>
      </c>
      <c r="L806" s="16">
        <v>0.25</v>
      </c>
      <c r="M806" s="17">
        <f t="shared" si="68"/>
        <v>4</v>
      </c>
      <c r="N806" s="17">
        <f>IF(OR(L806="",L806=0),"",Параметры!$B$3/L806)</f>
        <v>32</v>
      </c>
      <c r="O806" s="15">
        <f>IF(L806="","",IFERROR(INDEX('Почасовка — ставки и план'!$D$5:$D$24,MATCH($D806,'Почасовка — ставки и план'!$A$5:$A$24,0)),""))</f>
        <v>750</v>
      </c>
      <c r="P806" s="15">
        <f>IF(L806="","",IFERROR(INDEX('Почасовка — ставки и план'!$E$5:$E$24,MATCH($D806,'Почасовка — ставки и план'!$A$5:$A$24,0)),""))</f>
        <v>900</v>
      </c>
      <c r="Q806" s="15">
        <f t="shared" si="69"/>
        <v>188</v>
      </c>
      <c r="R806" s="13" t="str">
        <f>IF(D806="TEX","аренда техники — сделка/счёт",IF(OR(Q806="",H806="",H806=0),"—",IF(Q806&lt;H806*(1-Параметры!$B$7),"почасовка",IF(Q806&gt;H806*(1+Параметры!$B$7),"сделка","любой способ"))))</f>
        <v>почасовка</v>
      </c>
      <c r="S806">
        <v>0</v>
      </c>
      <c r="T806">
        <v>0</v>
      </c>
    </row>
    <row r="807" spans="1:20" x14ac:dyDescent="0.25">
      <c r="A807" s="18" t="s">
        <v>1658</v>
      </c>
      <c r="B807" s="13" t="s">
        <v>1659</v>
      </c>
      <c r="C807" s="13" t="s">
        <v>69</v>
      </c>
      <c r="D807" s="13" t="s">
        <v>208</v>
      </c>
      <c r="E807" s="13" t="str">
        <f>IFERROR(INDEX('Почасовка — ставки и план'!$B$5:$B$24,MATCH(D807,'Почасовка — ставки и план'!$A$5:$A$24,0)),"Аренда техники / механизмы")</f>
        <v>Отделочник (штукатур, маляр, ГКЛ)</v>
      </c>
      <c r="F807" s="14">
        <v>350</v>
      </c>
      <c r="G807" s="14">
        <v>400</v>
      </c>
      <c r="H807" s="15">
        <v>210</v>
      </c>
      <c r="I807" s="15">
        <f>IF(OR(H807="",F807=""),"",MAX(H807,MIN(ROUND(H807*(1+Параметры!$B$5),IF(H807*(1+Параметры!$B$5)&gt;=1000,-1,0)),ROUND(F807*Параметры!$B$6,IF(F807*Параметры!$B$6&gt;=1000,-1,0)))))</f>
        <v>242</v>
      </c>
      <c r="J807" s="15">
        <v>240</v>
      </c>
      <c r="K807" s="15">
        <f>IF(OR(J807="",G807=""),"",MAX(J807,MIN(ROUND(J807*(1+Параметры!$B$5),IF(J807*(1+Параметры!$B$5)&gt;=1000,-1,0)),ROUND(G807*Параметры!$B$6,IF(G807*Параметры!$B$6&gt;=1000,-1,0)))))</f>
        <v>276</v>
      </c>
      <c r="L807" s="16">
        <v>0.25</v>
      </c>
      <c r="M807" s="17">
        <f t="shared" si="68"/>
        <v>4</v>
      </c>
      <c r="N807" s="17">
        <f>IF(OR(L807="",L807=0),"",Параметры!$B$3/L807)</f>
        <v>32</v>
      </c>
      <c r="O807" s="15">
        <f>IF(L807="","",IFERROR(INDEX('Почасовка — ставки и план'!$D$5:$D$24,MATCH($D807,'Почасовка — ставки и план'!$A$5:$A$24,0)),""))</f>
        <v>750</v>
      </c>
      <c r="P807" s="15">
        <f>IF(L807="","",IFERROR(INDEX('Почасовка — ставки и план'!$E$5:$E$24,MATCH($D807,'Почасовка — ставки и план'!$A$5:$A$24,0)),""))</f>
        <v>900</v>
      </c>
      <c r="Q807" s="15">
        <f t="shared" si="69"/>
        <v>188</v>
      </c>
      <c r="R807" s="13" t="str">
        <f>IF(D807="TEX","аренда техники — сделка/счёт",IF(OR(Q807="",H807="",H807=0),"—",IF(Q807&lt;H807*(1-Параметры!$B$7),"почасовка",IF(Q807&gt;H807*(1+Параметры!$B$7),"сделка","любой способ"))))</f>
        <v>почасовка</v>
      </c>
      <c r="S807">
        <v>0</v>
      </c>
      <c r="T807">
        <v>0</v>
      </c>
    </row>
    <row r="808" spans="1:20" x14ac:dyDescent="0.25">
      <c r="A808" s="11" t="s">
        <v>1660</v>
      </c>
      <c r="B808" s="12"/>
      <c r="C808" s="12"/>
      <c r="D808" s="12"/>
      <c r="E808" s="12"/>
      <c r="F808" s="12"/>
      <c r="G808" s="12"/>
      <c r="H808" s="12"/>
      <c r="I808" s="12"/>
      <c r="J808" s="12"/>
      <c r="K808" s="12"/>
      <c r="L808" s="12"/>
      <c r="M808" s="12"/>
      <c r="N808" s="12"/>
      <c r="O808" s="12"/>
      <c r="P808" s="12"/>
      <c r="Q808" s="12"/>
      <c r="R808" s="12"/>
    </row>
    <row r="809" spans="1:20" x14ac:dyDescent="0.25">
      <c r="A809" s="13" t="s">
        <v>1661</v>
      </c>
      <c r="B809" s="13" t="s">
        <v>1662</v>
      </c>
      <c r="C809" s="13" t="s">
        <v>72</v>
      </c>
      <c r="D809" s="13" t="s">
        <v>208</v>
      </c>
      <c r="E809" s="13" t="str">
        <f>IFERROR(INDEX('Почасовка — ставки и план'!$B$5:$B$24,MATCH(D809,'Почасовка — ставки и план'!$A$5:$A$24,0)),"Аренда техники / механизмы")</f>
        <v>Отделочник (штукатур, маляр, ГКЛ)</v>
      </c>
      <c r="F809" s="14">
        <v>200</v>
      </c>
      <c r="G809" s="14">
        <v>230</v>
      </c>
      <c r="H809" s="15">
        <v>120</v>
      </c>
      <c r="I809" s="15">
        <f>IF(OR(H809="",F809=""),"",MAX(H809,MIN(ROUND(H809*(1+Параметры!$B$5),IF(H809*(1+Параметры!$B$5)&gt;=1000,-1,0)),ROUND(F809*Параметры!$B$6,IF(F809*Параметры!$B$6&gt;=1000,-1,0)))))</f>
        <v>138</v>
      </c>
      <c r="J809" s="15">
        <v>140</v>
      </c>
      <c r="K809" s="15">
        <f>IF(OR(J809="",G809=""),"",MAX(J809,MIN(ROUND(J809*(1+Параметры!$B$5),IF(J809*(1+Параметры!$B$5)&gt;=1000,-1,0)),ROUND(G809*Параметры!$B$6,IF(G809*Параметры!$B$6&gt;=1000,-1,0)))))</f>
        <v>161</v>
      </c>
      <c r="L809" s="16">
        <v>0.15</v>
      </c>
      <c r="M809" s="17">
        <f t="shared" ref="M809:M834" si="70">IF(OR(L809="",L809=0),"",1/L809)</f>
        <v>6.666666666666667</v>
      </c>
      <c r="N809" s="17">
        <f>IF(OR(L809="",L809=0),"",Параметры!$B$3/L809)</f>
        <v>53.333333333333336</v>
      </c>
      <c r="O809" s="15">
        <f>IF(L809="","",IFERROR(INDEX('Почасовка — ставки и план'!$D$5:$D$24,MATCH($D809,'Почасовка — ставки и план'!$A$5:$A$24,0)),""))</f>
        <v>750</v>
      </c>
      <c r="P809" s="15">
        <f>IF(L809="","",IFERROR(INDEX('Почасовка — ставки и план'!$E$5:$E$24,MATCH($D809,'Почасовка — ставки и план'!$A$5:$A$24,0)),""))</f>
        <v>900</v>
      </c>
      <c r="Q809" s="15">
        <f t="shared" ref="Q809:Q834" si="71">IF(OR(L809="",O809=""),"",ROUND(L809*O809,0))</f>
        <v>113</v>
      </c>
      <c r="R809" s="13" t="str">
        <f>IF(D809="TEX","аренда техники — сделка/счёт",IF(OR(Q809="",H809="",H809=0),"—",IF(Q809&lt;H809*(1-Параметры!$B$7),"почасовка",IF(Q809&gt;H809*(1+Параметры!$B$7),"сделка","любой способ"))))</f>
        <v>любой способ</v>
      </c>
      <c r="S809">
        <v>0</v>
      </c>
      <c r="T809">
        <v>0</v>
      </c>
    </row>
    <row r="810" spans="1:20" x14ac:dyDescent="0.25">
      <c r="A810" s="13" t="s">
        <v>1663</v>
      </c>
      <c r="B810" s="13" t="s">
        <v>1662</v>
      </c>
      <c r="C810" s="13" t="s">
        <v>144</v>
      </c>
      <c r="D810" s="13" t="s">
        <v>208</v>
      </c>
      <c r="E810" s="13" t="str">
        <f>IFERROR(INDEX('Почасовка — ставки и план'!$B$5:$B$24,MATCH(D810,'Почасовка — ставки и план'!$A$5:$A$24,0)),"Аренда техники / механизмы")</f>
        <v>Отделочник (штукатур, маляр, ГКЛ)</v>
      </c>
      <c r="F810" s="14">
        <v>80</v>
      </c>
      <c r="G810" s="14">
        <v>95</v>
      </c>
      <c r="H810" s="15">
        <v>48</v>
      </c>
      <c r="I810" s="15">
        <f>IF(OR(H810="",F810=""),"",MAX(H810,MIN(ROUND(H810*(1+Параметры!$B$5),IF(H810*(1+Параметры!$B$5)&gt;=1000,-1,0)),ROUND(F810*Параметры!$B$6,IF(F810*Параметры!$B$6&gt;=1000,-1,0)))))</f>
        <v>55</v>
      </c>
      <c r="J810" s="15">
        <v>55</v>
      </c>
      <c r="K810" s="15">
        <f>IF(OR(J810="",G810=""),"",MAX(J810,MIN(ROUND(J810*(1+Параметры!$B$5),IF(J810*(1+Параметры!$B$5)&gt;=1000,-1,0)),ROUND(G810*Параметры!$B$6,IF(G810*Параметры!$B$6&gt;=1000,-1,0)))))</f>
        <v>63</v>
      </c>
      <c r="L810" s="16">
        <v>0.06</v>
      </c>
      <c r="M810" s="17">
        <f t="shared" si="70"/>
        <v>16.666666666666668</v>
      </c>
      <c r="N810" s="17">
        <f>IF(OR(L810="",L810=0),"",Параметры!$B$3/L810)</f>
        <v>133.33333333333334</v>
      </c>
      <c r="O810" s="15">
        <f>IF(L810="","",IFERROR(INDEX('Почасовка — ставки и план'!$D$5:$D$24,MATCH($D810,'Почасовка — ставки и план'!$A$5:$A$24,0)),""))</f>
        <v>750</v>
      </c>
      <c r="P810" s="15">
        <f>IF(L810="","",IFERROR(INDEX('Почасовка — ставки и план'!$E$5:$E$24,MATCH($D810,'Почасовка — ставки и план'!$A$5:$A$24,0)),""))</f>
        <v>900</v>
      </c>
      <c r="Q810" s="15">
        <f t="shared" si="71"/>
        <v>45</v>
      </c>
      <c r="R810" s="13" t="str">
        <f>IF(D810="TEX","аренда техники — сделка/счёт",IF(OR(Q810="",H810="",H810=0),"—",IF(Q810&lt;H810*(1-Параметры!$B$7),"почасовка",IF(Q810&gt;H810*(1+Параметры!$B$7),"сделка","любой способ"))))</f>
        <v>любой способ</v>
      </c>
      <c r="S810">
        <v>0</v>
      </c>
      <c r="T810">
        <v>0</v>
      </c>
    </row>
    <row r="811" spans="1:20" x14ac:dyDescent="0.25">
      <c r="A811" s="13" t="s">
        <v>1664</v>
      </c>
      <c r="B811" s="13" t="s">
        <v>1665</v>
      </c>
      <c r="C811" s="13" t="s">
        <v>72</v>
      </c>
      <c r="D811" s="13" t="s">
        <v>208</v>
      </c>
      <c r="E811" s="13" t="str">
        <f>IFERROR(INDEX('Почасовка — ставки и план'!$B$5:$B$24,MATCH(D811,'Почасовка — ставки и план'!$A$5:$A$24,0)),"Аренда техники / механизмы")</f>
        <v>Отделочник (штукатур, маляр, ГКЛ)</v>
      </c>
      <c r="F811" s="14">
        <v>650</v>
      </c>
      <c r="G811" s="14">
        <v>750</v>
      </c>
      <c r="H811" s="15">
        <v>400</v>
      </c>
      <c r="I811" s="15">
        <f>IF(OR(H811="",F811=""),"",MAX(H811,MIN(ROUND(H811*(1+Параметры!$B$5),IF(H811*(1+Параметры!$B$5)&gt;=1000,-1,0)),ROUND(F811*Параметры!$B$6,IF(F811*Параметры!$B$6&gt;=1000,-1,0)))))</f>
        <v>460</v>
      </c>
      <c r="J811" s="15">
        <v>460</v>
      </c>
      <c r="K811" s="15">
        <f>IF(OR(J811="",G811=""),"",MAX(J811,MIN(ROUND(J811*(1+Параметры!$B$5),IF(J811*(1+Параметры!$B$5)&gt;=1000,-1,0)),ROUND(G811*Параметры!$B$6,IF(G811*Параметры!$B$6&gt;=1000,-1,0)))))</f>
        <v>529</v>
      </c>
      <c r="L811" s="16">
        <v>0.5</v>
      </c>
      <c r="M811" s="17">
        <f t="shared" si="70"/>
        <v>2</v>
      </c>
      <c r="N811" s="17">
        <f>IF(OR(L811="",L811=0),"",Параметры!$B$3/L811)</f>
        <v>16</v>
      </c>
      <c r="O811" s="15">
        <f>IF(L811="","",IFERROR(INDEX('Почасовка — ставки и план'!$D$5:$D$24,MATCH($D811,'Почасовка — ставки и план'!$A$5:$A$24,0)),""))</f>
        <v>750</v>
      </c>
      <c r="P811" s="15">
        <f>IF(L811="","",IFERROR(INDEX('Почасовка — ставки и план'!$E$5:$E$24,MATCH($D811,'Почасовка — ставки и план'!$A$5:$A$24,0)),""))</f>
        <v>900</v>
      </c>
      <c r="Q811" s="15">
        <f t="shared" si="71"/>
        <v>375</v>
      </c>
      <c r="R811" s="13" t="str">
        <f>IF(D811="TEX","аренда техники — сделка/счёт",IF(OR(Q811="",H811="",H811=0),"—",IF(Q811&lt;H811*(1-Параметры!$B$7),"почасовка",IF(Q811&gt;H811*(1+Параметры!$B$7),"сделка","любой способ"))))</f>
        <v>любой способ</v>
      </c>
      <c r="S811">
        <v>0</v>
      </c>
      <c r="T811">
        <v>0</v>
      </c>
    </row>
    <row r="812" spans="1:20" x14ac:dyDescent="0.25">
      <c r="A812" s="13" t="s">
        <v>1666</v>
      </c>
      <c r="B812" s="13" t="s">
        <v>1667</v>
      </c>
      <c r="C812" s="13" t="s">
        <v>72</v>
      </c>
      <c r="D812" s="13" t="s">
        <v>208</v>
      </c>
      <c r="E812" s="13" t="str">
        <f>IFERROR(INDEX('Почасовка — ставки и план'!$B$5:$B$24,MATCH(D812,'Почасовка — ставки и план'!$A$5:$A$24,0)),"Аренда техники / механизмы")</f>
        <v>Отделочник (штукатур, маляр, ГКЛ)</v>
      </c>
      <c r="F812" s="14">
        <v>600</v>
      </c>
      <c r="G812" s="14">
        <v>700</v>
      </c>
      <c r="H812" s="15">
        <v>370</v>
      </c>
      <c r="I812" s="15">
        <f>IF(OR(H812="",F812=""),"",MAX(H812,MIN(ROUND(H812*(1+Параметры!$B$5),IF(H812*(1+Параметры!$B$5)&gt;=1000,-1,0)),ROUND(F812*Параметры!$B$6,IF(F812*Параметры!$B$6&gt;=1000,-1,0)))))</f>
        <v>426</v>
      </c>
      <c r="J812" s="15">
        <v>430</v>
      </c>
      <c r="K812" s="15">
        <f>IF(OR(J812="",G812=""),"",MAX(J812,MIN(ROUND(J812*(1+Параметры!$B$5),IF(J812*(1+Параметры!$B$5)&gt;=1000,-1,0)),ROUND(G812*Параметры!$B$6,IF(G812*Параметры!$B$6&gt;=1000,-1,0)))))</f>
        <v>495</v>
      </c>
      <c r="L812" s="16">
        <v>0.5</v>
      </c>
      <c r="M812" s="17">
        <f t="shared" si="70"/>
        <v>2</v>
      </c>
      <c r="N812" s="17">
        <f>IF(OR(L812="",L812=0),"",Параметры!$B$3/L812)</f>
        <v>16</v>
      </c>
      <c r="O812" s="15">
        <f>IF(L812="","",IFERROR(INDEX('Почасовка — ставки и план'!$D$5:$D$24,MATCH($D812,'Почасовка — ставки и план'!$A$5:$A$24,0)),""))</f>
        <v>750</v>
      </c>
      <c r="P812" s="15">
        <f>IF(L812="","",IFERROR(INDEX('Почасовка — ставки и план'!$E$5:$E$24,MATCH($D812,'Почасовка — ставки и план'!$A$5:$A$24,0)),""))</f>
        <v>900</v>
      </c>
      <c r="Q812" s="15">
        <f t="shared" si="71"/>
        <v>375</v>
      </c>
      <c r="R812" s="13" t="str">
        <f>IF(D812="TEX","аренда техники — сделка/счёт",IF(OR(Q812="",H812="",H812=0),"—",IF(Q812&lt;H812*(1-Параметры!$B$7),"почасовка",IF(Q812&gt;H812*(1+Параметры!$B$7),"сделка","любой способ"))))</f>
        <v>любой способ</v>
      </c>
      <c r="S812">
        <v>0</v>
      </c>
      <c r="T812">
        <v>0</v>
      </c>
    </row>
    <row r="813" spans="1:20" x14ac:dyDescent="0.25">
      <c r="A813" s="13" t="s">
        <v>1668</v>
      </c>
      <c r="B813" s="13" t="s">
        <v>1669</v>
      </c>
      <c r="C813" s="13" t="s">
        <v>72</v>
      </c>
      <c r="D813" s="13" t="s">
        <v>208</v>
      </c>
      <c r="E813" s="13" t="str">
        <f>IFERROR(INDEX('Почасовка — ставки и план'!$B$5:$B$24,MATCH(D813,'Почасовка — ставки и план'!$A$5:$A$24,0)),"Аренда техники / механизмы")</f>
        <v>Отделочник (штукатур, маляр, ГКЛ)</v>
      </c>
      <c r="F813" s="14">
        <v>90</v>
      </c>
      <c r="G813" s="14">
        <v>105</v>
      </c>
      <c r="H813" s="15">
        <v>55</v>
      </c>
      <c r="I813" s="15">
        <f>IF(OR(H813="",F813=""),"",MAX(H813,MIN(ROUND(H813*(1+Параметры!$B$5),IF(H813*(1+Параметры!$B$5)&gt;=1000,-1,0)),ROUND(F813*Параметры!$B$6,IF(F813*Параметры!$B$6&gt;=1000,-1,0)))))</f>
        <v>63</v>
      </c>
      <c r="J813" s="15">
        <v>62</v>
      </c>
      <c r="K813" s="15">
        <f>IF(OR(J813="",G813=""),"",MAX(J813,MIN(ROUND(J813*(1+Параметры!$B$5),IF(J813*(1+Параметры!$B$5)&gt;=1000,-1,0)),ROUND(G813*Параметры!$B$6,IF(G813*Параметры!$B$6&gt;=1000,-1,0)))))</f>
        <v>71</v>
      </c>
      <c r="L813" s="16">
        <v>0.06</v>
      </c>
      <c r="M813" s="17">
        <f t="shared" si="70"/>
        <v>16.666666666666668</v>
      </c>
      <c r="N813" s="17">
        <f>IF(OR(L813="",L813=0),"",Параметры!$B$3/L813)</f>
        <v>133.33333333333334</v>
      </c>
      <c r="O813" s="15">
        <f>IF(L813="","",IFERROR(INDEX('Почасовка — ставки и план'!$D$5:$D$24,MATCH($D813,'Почасовка — ставки и план'!$A$5:$A$24,0)),""))</f>
        <v>750</v>
      </c>
      <c r="P813" s="15">
        <f>IF(L813="","",IFERROR(INDEX('Почасовка — ставки и план'!$E$5:$E$24,MATCH($D813,'Почасовка — ставки и план'!$A$5:$A$24,0)),""))</f>
        <v>900</v>
      </c>
      <c r="Q813" s="15">
        <f t="shared" si="71"/>
        <v>45</v>
      </c>
      <c r="R813" s="13" t="str">
        <f>IF(D813="TEX","аренда техники — сделка/счёт",IF(OR(Q813="",H813="",H813=0),"—",IF(Q813&lt;H813*(1-Параметры!$B$7),"почасовка",IF(Q813&gt;H813*(1+Параметры!$B$7),"сделка","любой способ"))))</f>
        <v>почасовка</v>
      </c>
      <c r="S813">
        <v>0</v>
      </c>
      <c r="T813">
        <v>0</v>
      </c>
    </row>
    <row r="814" spans="1:20" x14ac:dyDescent="0.25">
      <c r="A814" s="13" t="s">
        <v>1670</v>
      </c>
      <c r="B814" s="13" t="s">
        <v>1671</v>
      </c>
      <c r="C814" s="13" t="s">
        <v>72</v>
      </c>
      <c r="D814" s="13" t="s">
        <v>208</v>
      </c>
      <c r="E814" s="13" t="str">
        <f>IFERROR(INDEX('Почасовка — ставки и план'!$B$5:$B$24,MATCH(D814,'Почасовка — ставки и план'!$A$5:$A$24,0)),"Аренда техники / механизмы")</f>
        <v>Отделочник (штукатур, маляр, ГКЛ)</v>
      </c>
      <c r="F814" s="14">
        <v>350</v>
      </c>
      <c r="G814" s="14">
        <v>420</v>
      </c>
      <c r="H814" s="15">
        <v>210</v>
      </c>
      <c r="I814" s="15">
        <f>IF(OR(H814="",F814=""),"",MAX(H814,MIN(ROUND(H814*(1+Параметры!$B$5),IF(H814*(1+Параметры!$B$5)&gt;=1000,-1,0)),ROUND(F814*Параметры!$B$6,IF(F814*Параметры!$B$6&gt;=1000,-1,0)))))</f>
        <v>242</v>
      </c>
      <c r="J814" s="15">
        <v>245</v>
      </c>
      <c r="K814" s="15">
        <f>IF(OR(J814="",G814=""),"",MAX(J814,MIN(ROUND(J814*(1+Параметры!$B$5),IF(J814*(1+Параметры!$B$5)&gt;=1000,-1,0)),ROUND(G814*Параметры!$B$6,IF(G814*Параметры!$B$6&gt;=1000,-1,0)))))</f>
        <v>282</v>
      </c>
      <c r="L814" s="16">
        <v>0.25</v>
      </c>
      <c r="M814" s="17">
        <f t="shared" si="70"/>
        <v>4</v>
      </c>
      <c r="N814" s="17">
        <f>IF(OR(L814="",L814=0),"",Параметры!$B$3/L814)</f>
        <v>32</v>
      </c>
      <c r="O814" s="15">
        <f>IF(L814="","",IFERROR(INDEX('Почасовка — ставки и план'!$D$5:$D$24,MATCH($D814,'Почасовка — ставки и план'!$A$5:$A$24,0)),""))</f>
        <v>750</v>
      </c>
      <c r="P814" s="15">
        <f>IF(L814="","",IFERROR(INDEX('Почасовка — ставки и план'!$E$5:$E$24,MATCH($D814,'Почасовка — ставки и план'!$A$5:$A$24,0)),""))</f>
        <v>900</v>
      </c>
      <c r="Q814" s="15">
        <f t="shared" si="71"/>
        <v>188</v>
      </c>
      <c r="R814" s="13" t="str">
        <f>IF(D814="TEX","аренда техники — сделка/счёт",IF(OR(Q814="",H814="",H814=0),"—",IF(Q814&lt;H814*(1-Параметры!$B$7),"почасовка",IF(Q814&gt;H814*(1+Параметры!$B$7),"сделка","любой способ"))))</f>
        <v>почасовка</v>
      </c>
      <c r="S814">
        <v>0</v>
      </c>
      <c r="T814">
        <v>0</v>
      </c>
    </row>
    <row r="815" spans="1:20" x14ac:dyDescent="0.25">
      <c r="A815" s="13" t="s">
        <v>1672</v>
      </c>
      <c r="B815" s="13" t="s">
        <v>1673</v>
      </c>
      <c r="C815" s="13" t="s">
        <v>72</v>
      </c>
      <c r="D815" s="13" t="s">
        <v>208</v>
      </c>
      <c r="E815" s="13" t="str">
        <f>IFERROR(INDEX('Почасовка — ставки и план'!$B$5:$B$24,MATCH(D815,'Почасовка — ставки и план'!$A$5:$A$24,0)),"Аренда техники / механизмы")</f>
        <v>Отделочник (штукатур, маляр, ГКЛ)</v>
      </c>
      <c r="F815" s="14">
        <v>551</v>
      </c>
      <c r="G815" s="14">
        <v>660</v>
      </c>
      <c r="H815" s="15">
        <v>310</v>
      </c>
      <c r="I815" s="15">
        <f>IF(OR(H815="",F815=""),"",MAX(H815,MIN(ROUND(H815*(1+Параметры!$B$5),IF(H815*(1+Параметры!$B$5)&gt;=1000,-1,0)),ROUND(F815*Параметры!$B$6,IF(F815*Параметры!$B$6&gt;=1000,-1,0)))))</f>
        <v>357</v>
      </c>
      <c r="J815" s="15">
        <v>360</v>
      </c>
      <c r="K815" s="15">
        <f>IF(OR(J815="",G815=""),"",MAX(J815,MIN(ROUND(J815*(1+Параметры!$B$5),IF(J815*(1+Параметры!$B$5)&gt;=1000,-1,0)),ROUND(G815*Параметры!$B$6,IF(G815*Параметры!$B$6&gt;=1000,-1,0)))))</f>
        <v>414</v>
      </c>
      <c r="L815" s="16">
        <v>0.55000000000000004</v>
      </c>
      <c r="M815" s="17">
        <f t="shared" si="70"/>
        <v>1.8181818181818181</v>
      </c>
      <c r="N815" s="17">
        <f>IF(OR(L815="",L815=0),"",Параметры!$B$3/L815)</f>
        <v>14.545454545454545</v>
      </c>
      <c r="O815" s="15">
        <f>IF(L815="","",IFERROR(INDEX('Почасовка — ставки и план'!$D$5:$D$24,MATCH($D815,'Почасовка — ставки и план'!$A$5:$A$24,0)),""))</f>
        <v>750</v>
      </c>
      <c r="P815" s="15">
        <f>IF(L815="","",IFERROR(INDEX('Почасовка — ставки и план'!$E$5:$E$24,MATCH($D815,'Почасовка — ставки и план'!$A$5:$A$24,0)),""))</f>
        <v>900</v>
      </c>
      <c r="Q815" s="15">
        <f t="shared" si="71"/>
        <v>413</v>
      </c>
      <c r="R815" s="13" t="str">
        <f>IF(D815="TEX","аренда техники — сделка/счёт",IF(OR(Q815="",H815="",H815=0),"—",IF(Q815&lt;H815*(1-Параметры!$B$7),"почасовка",IF(Q815&gt;H815*(1+Параметры!$B$7),"сделка","любой способ"))))</f>
        <v>сделка</v>
      </c>
      <c r="S815">
        <v>5.9615384615384633E-2</v>
      </c>
      <c r="T815">
        <v>0.1000000000000001</v>
      </c>
    </row>
    <row r="816" spans="1:20" x14ac:dyDescent="0.25">
      <c r="A816" s="13" t="s">
        <v>1674</v>
      </c>
      <c r="B816" s="13" t="s">
        <v>1675</v>
      </c>
      <c r="C816" s="13" t="s">
        <v>72</v>
      </c>
      <c r="D816" s="13" t="s">
        <v>208</v>
      </c>
      <c r="E816" s="13" t="str">
        <f>IFERROR(INDEX('Почасовка — ставки и план'!$B$5:$B$24,MATCH(D816,'Почасовка — ставки и план'!$A$5:$A$24,0)),"Аренда техники / механизмы")</f>
        <v>Отделочник (штукатур, маляр, ГКЛ)</v>
      </c>
      <c r="F816" s="14">
        <v>651</v>
      </c>
      <c r="G816" s="14">
        <v>780</v>
      </c>
      <c r="H816" s="15">
        <v>390</v>
      </c>
      <c r="I816" s="15">
        <f>IF(OR(H816="",F816=""),"",MAX(H816,MIN(ROUND(H816*(1+Параметры!$B$5),IF(H816*(1+Параметры!$B$5)&gt;=1000,-1,0)),ROUND(F816*Параметры!$B$6,IF(F816*Параметры!$B$6&gt;=1000,-1,0)))))</f>
        <v>449</v>
      </c>
      <c r="J816" s="15">
        <v>450</v>
      </c>
      <c r="K816" s="15">
        <f>IF(OR(J816="",G816=""),"",MAX(J816,MIN(ROUND(J816*(1+Параметры!$B$5),IF(J816*(1+Параметры!$B$5)&gt;=1000,-1,0)),ROUND(G816*Параметры!$B$6,IF(G816*Параметры!$B$6&gt;=1000,-1,0)))))</f>
        <v>518</v>
      </c>
      <c r="L816" s="16">
        <v>0.65</v>
      </c>
      <c r="M816" s="17">
        <f t="shared" si="70"/>
        <v>1.5384615384615383</v>
      </c>
      <c r="N816" s="17">
        <f>IF(OR(L816="",L816=0),"",Параметры!$B$3/L816)</f>
        <v>12.307692307692307</v>
      </c>
      <c r="O816" s="15">
        <f>IF(L816="","",IFERROR(INDEX('Почасовка — ставки и план'!$D$5:$D$24,MATCH($D816,'Почасовка — ставки и план'!$A$5:$A$24,0)),""))</f>
        <v>750</v>
      </c>
      <c r="P816" s="15">
        <f>IF(L816="","",IFERROR(INDEX('Почасовка — ставки и план'!$E$5:$E$24,MATCH($D816,'Почасовка — ставки и план'!$A$5:$A$24,0)),""))</f>
        <v>900</v>
      </c>
      <c r="Q816" s="15">
        <f t="shared" si="71"/>
        <v>488</v>
      </c>
      <c r="R816" s="13" t="str">
        <f>IF(D816="TEX","аренда техники — сделка/счёт",IF(OR(Q816="",H816="",H816=0),"—",IF(Q816&lt;H816*(1-Параметры!$B$7),"почасовка",IF(Q816&gt;H816*(1+Параметры!$B$7),"сделка","любой способ"))))</f>
        <v>сделка</v>
      </c>
      <c r="S816">
        <v>1.538461538461489E-3</v>
      </c>
      <c r="T816">
        <v>4.0000000000000042E-2</v>
      </c>
    </row>
    <row r="817" spans="1:20" x14ac:dyDescent="0.25">
      <c r="A817" s="13" t="s">
        <v>1676</v>
      </c>
      <c r="B817" s="13" t="s">
        <v>1677</v>
      </c>
      <c r="C817" s="13" t="s">
        <v>152</v>
      </c>
      <c r="D817" s="13" t="s">
        <v>64</v>
      </c>
      <c r="E817" s="13" t="str">
        <f>IFERROR(INDEX('Почасовка — ставки и план'!$B$5:$B$24,MATCH(D817,'Почасовка — ставки и план'!$A$5:$A$24,0)),"Аренда техники / механизмы")</f>
        <v>Сварщик / монтажник МК</v>
      </c>
      <c r="F817" s="14">
        <v>48000</v>
      </c>
      <c r="G817" s="14">
        <v>57600</v>
      </c>
      <c r="H817" s="15">
        <v>28000</v>
      </c>
      <c r="I817" s="15">
        <f>IF(OR(H817="",F817=""),"",MAX(H817,MIN(ROUND(H817*(1+Параметры!$B$5),IF(H817*(1+Параметры!$B$5)&gt;=1000,-1,0)),ROUND(F817*Параметры!$B$6,IF(F817*Параметры!$B$6&gt;=1000,-1,0)))))</f>
        <v>32200</v>
      </c>
      <c r="J817" s="15">
        <v>32000</v>
      </c>
      <c r="K817" s="15">
        <f>IF(OR(J817="",G817=""),"",MAX(J817,MIN(ROUND(J817*(1+Параметры!$B$5),IF(J817*(1+Параметры!$B$5)&gt;=1000,-1,0)),ROUND(G817*Параметры!$B$6,IF(G817*Параметры!$B$6&gt;=1000,-1,0)))))</f>
        <v>36800</v>
      </c>
      <c r="L817" s="16">
        <v>40</v>
      </c>
      <c r="M817" s="17">
        <f t="shared" si="70"/>
        <v>2.5000000000000001E-2</v>
      </c>
      <c r="N817" s="17">
        <f>IF(OR(L817="",L817=0),"",Параметры!$B$3/L817)</f>
        <v>0.2</v>
      </c>
      <c r="O817" s="15">
        <f>IF(L817="","",IFERROR(INDEX('Почасовка — ставки и план'!$D$5:$D$24,MATCH($D817,'Почасовка — ставки и план'!$A$5:$A$24,0)),""))</f>
        <v>900</v>
      </c>
      <c r="P817" s="15">
        <f>IF(L817="","",IFERROR(INDEX('Почасовка — ставки и план'!$E$5:$E$24,MATCH($D817,'Почасовка — ставки и план'!$A$5:$A$24,0)),""))</f>
        <v>1080</v>
      </c>
      <c r="Q817" s="15">
        <f t="shared" si="71"/>
        <v>36000</v>
      </c>
      <c r="R817" s="13" t="str">
        <f>IF(D817="TEX","аренда техники — сделка/счёт",IF(OR(Q817="",H817="",H817=0),"—",IF(Q817&lt;H817*(1-Параметры!$B$7),"почасовка",IF(Q817&gt;H817*(1+Параметры!$B$7),"сделка","любой способ"))))</f>
        <v>сделка</v>
      </c>
      <c r="S817">
        <v>6.6666666666666652E-2</v>
      </c>
      <c r="T817">
        <v>0.1076923076923078</v>
      </c>
    </row>
    <row r="818" spans="1:20" x14ac:dyDescent="0.25">
      <c r="A818" s="13" t="s">
        <v>1678</v>
      </c>
      <c r="B818" s="13" t="s">
        <v>1679</v>
      </c>
      <c r="C818" s="13" t="s">
        <v>72</v>
      </c>
      <c r="D818" s="13" t="s">
        <v>208</v>
      </c>
      <c r="E818" s="13" t="str">
        <f>IFERROR(INDEX('Почасовка — ставки и план'!$B$5:$B$24,MATCH(D818,'Почасовка — ставки и план'!$A$5:$A$24,0)),"Аренда техники / механизмы")</f>
        <v>Отделочник (штукатур, маляр, ГКЛ)</v>
      </c>
      <c r="F818" s="14">
        <v>150</v>
      </c>
      <c r="G818" s="14">
        <v>175</v>
      </c>
      <c r="H818" s="15">
        <v>90</v>
      </c>
      <c r="I818" s="15">
        <f>IF(OR(H818="",F818=""),"",MAX(H818,MIN(ROUND(H818*(1+Параметры!$B$5),IF(H818*(1+Параметры!$B$5)&gt;=1000,-1,0)),ROUND(F818*Параметры!$B$6,IF(F818*Параметры!$B$6&gt;=1000,-1,0)))))</f>
        <v>104</v>
      </c>
      <c r="J818" s="15">
        <v>105</v>
      </c>
      <c r="K818" s="15">
        <f>IF(OR(J818="",G818=""),"",MAX(J818,MIN(ROUND(J818*(1+Параметры!$B$5),IF(J818*(1+Параметры!$B$5)&gt;=1000,-1,0)),ROUND(G818*Параметры!$B$6,IF(G818*Параметры!$B$6&gt;=1000,-1,0)))))</f>
        <v>121</v>
      </c>
      <c r="L818" s="16">
        <v>0.1</v>
      </c>
      <c r="M818" s="17">
        <f t="shared" si="70"/>
        <v>10</v>
      </c>
      <c r="N818" s="17">
        <f>IF(OR(L818="",L818=0),"",Параметры!$B$3/L818)</f>
        <v>80</v>
      </c>
      <c r="O818" s="15">
        <f>IF(L818="","",IFERROR(INDEX('Почасовка — ставки и план'!$D$5:$D$24,MATCH($D818,'Почасовка — ставки и план'!$A$5:$A$24,0)),""))</f>
        <v>750</v>
      </c>
      <c r="P818" s="15">
        <f>IF(L818="","",IFERROR(INDEX('Почасовка — ставки и план'!$E$5:$E$24,MATCH($D818,'Почасовка — ставки и план'!$A$5:$A$24,0)),""))</f>
        <v>900</v>
      </c>
      <c r="Q818" s="15">
        <f t="shared" si="71"/>
        <v>75</v>
      </c>
      <c r="R818" s="13" t="str">
        <f>IF(D818="TEX","аренда техники — сделка/счёт",IF(OR(Q818="",H818="",H818=0),"—",IF(Q818&lt;H818*(1-Параметры!$B$7),"почасовка",IF(Q818&gt;H818*(1+Параметры!$B$7),"сделка","любой способ"))))</f>
        <v>почасовка</v>
      </c>
      <c r="S818">
        <v>0</v>
      </c>
      <c r="T818">
        <v>0</v>
      </c>
    </row>
    <row r="819" spans="1:20" x14ac:dyDescent="0.25">
      <c r="A819" s="13" t="s">
        <v>1680</v>
      </c>
      <c r="B819" s="13" t="s">
        <v>1681</v>
      </c>
      <c r="C819" s="13" t="s">
        <v>72</v>
      </c>
      <c r="D819" s="13" t="s">
        <v>208</v>
      </c>
      <c r="E819" s="13" t="str">
        <f>IFERROR(INDEX('Почасовка — ставки и план'!$B$5:$B$24,MATCH(D819,'Почасовка — ставки и план'!$A$5:$A$24,0)),"Аренда техники / механизмы")</f>
        <v>Отделочник (штукатур, маляр, ГКЛ)</v>
      </c>
      <c r="F819" s="14">
        <v>600</v>
      </c>
      <c r="G819" s="14">
        <v>700</v>
      </c>
      <c r="H819" s="15">
        <v>370</v>
      </c>
      <c r="I819" s="15">
        <f>IF(OR(H819="",F819=""),"",MAX(H819,MIN(ROUND(H819*(1+Параметры!$B$5),IF(H819*(1+Параметры!$B$5)&gt;=1000,-1,0)),ROUND(F819*Параметры!$B$6,IF(F819*Параметры!$B$6&gt;=1000,-1,0)))))</f>
        <v>426</v>
      </c>
      <c r="J819" s="15">
        <v>430</v>
      </c>
      <c r="K819" s="15">
        <f>IF(OR(J819="",G819=""),"",MAX(J819,MIN(ROUND(J819*(1+Параметры!$B$5),IF(J819*(1+Параметры!$B$5)&gt;=1000,-1,0)),ROUND(G819*Параметры!$B$6,IF(G819*Параметры!$B$6&gt;=1000,-1,0)))))</f>
        <v>495</v>
      </c>
      <c r="L819" s="16">
        <v>0.45</v>
      </c>
      <c r="M819" s="17">
        <f t="shared" si="70"/>
        <v>2.2222222222222223</v>
      </c>
      <c r="N819" s="17">
        <f>IF(OR(L819="",L819=0),"",Параметры!$B$3/L819)</f>
        <v>17.777777777777779</v>
      </c>
      <c r="O819" s="15">
        <f>IF(L819="","",IFERROR(INDEX('Почасовка — ставки и план'!$D$5:$D$24,MATCH($D819,'Почасовка — ставки и план'!$A$5:$A$24,0)),""))</f>
        <v>750</v>
      </c>
      <c r="P819" s="15">
        <f>IF(L819="","",IFERROR(INDEX('Почасовка — ставки и план'!$E$5:$E$24,MATCH($D819,'Почасовка — ставки и план'!$A$5:$A$24,0)),""))</f>
        <v>900</v>
      </c>
      <c r="Q819" s="15">
        <f t="shared" si="71"/>
        <v>338</v>
      </c>
      <c r="R819" s="13" t="str">
        <f>IF(D819="TEX","аренда техники — сделка/счёт",IF(OR(Q819="",H819="",H819=0),"—",IF(Q819&lt;H819*(1-Параметры!$B$7),"почасовка",IF(Q819&gt;H819*(1+Параметры!$B$7),"сделка","любой способ"))))</f>
        <v>любой способ</v>
      </c>
      <c r="S819">
        <v>0</v>
      </c>
      <c r="T819">
        <v>0</v>
      </c>
    </row>
    <row r="820" spans="1:20" x14ac:dyDescent="0.25">
      <c r="A820" s="13" t="s">
        <v>1682</v>
      </c>
      <c r="B820" s="13" t="s">
        <v>1683</v>
      </c>
      <c r="C820" s="13" t="s">
        <v>72</v>
      </c>
      <c r="D820" s="13" t="s">
        <v>208</v>
      </c>
      <c r="E820" s="13" t="str">
        <f>IFERROR(INDEX('Почасовка — ставки и план'!$B$5:$B$24,MATCH(D820,'Почасовка — ставки и план'!$A$5:$A$24,0)),"Аренда техники / механизмы")</f>
        <v>Отделочник (штукатур, маляр, ГКЛ)</v>
      </c>
      <c r="F820" s="14">
        <v>1200</v>
      </c>
      <c r="G820" s="14">
        <v>1400</v>
      </c>
      <c r="H820" s="15">
        <v>750</v>
      </c>
      <c r="I820" s="15">
        <f>IF(OR(H820="",F820=""),"",MAX(H820,MIN(ROUND(H820*(1+Параметры!$B$5),IF(H820*(1+Параметры!$B$5)&gt;=1000,-1,0)),ROUND(F820*Параметры!$B$6,IF(F820*Параметры!$B$6&gt;=1000,-1,0)))))</f>
        <v>863</v>
      </c>
      <c r="J820" s="15">
        <v>860</v>
      </c>
      <c r="K820" s="15">
        <f>IF(OR(J820="",G820=""),"",MAX(J820,MIN(ROUND(J820*(1+Параметры!$B$5),IF(J820*(1+Параметры!$B$5)&gt;=1000,-1,0)),ROUND(G820*Параметры!$B$6,IF(G820*Параметры!$B$6&gt;=1000,-1,0)))))</f>
        <v>989</v>
      </c>
      <c r="L820" s="16">
        <v>1</v>
      </c>
      <c r="M820" s="17">
        <f t="shared" si="70"/>
        <v>1</v>
      </c>
      <c r="N820" s="17">
        <f>IF(OR(L820="",L820=0),"",Параметры!$B$3/L820)</f>
        <v>8</v>
      </c>
      <c r="O820" s="15">
        <f>IF(L820="","",IFERROR(INDEX('Почасовка — ставки и план'!$D$5:$D$24,MATCH($D820,'Почасовка — ставки и план'!$A$5:$A$24,0)),""))</f>
        <v>750</v>
      </c>
      <c r="P820" s="15">
        <f>IF(L820="","",IFERROR(INDEX('Почасовка — ставки и план'!$E$5:$E$24,MATCH($D820,'Почасовка — ставки и план'!$A$5:$A$24,0)),""))</f>
        <v>900</v>
      </c>
      <c r="Q820" s="15">
        <f t="shared" si="71"/>
        <v>750</v>
      </c>
      <c r="R820" s="13" t="str">
        <f>IF(D820="TEX","аренда техники — сделка/счёт",IF(OR(Q820="",H820="",H820=0),"—",IF(Q820&lt;H820*(1-Параметры!$B$7),"почасовка",IF(Q820&gt;H820*(1+Параметры!$B$7),"сделка","любой способ"))))</f>
        <v>любой способ</v>
      </c>
      <c r="S820">
        <v>0</v>
      </c>
      <c r="T820">
        <v>0</v>
      </c>
    </row>
    <row r="821" spans="1:20" x14ac:dyDescent="0.25">
      <c r="A821" s="13" t="s">
        <v>1684</v>
      </c>
      <c r="B821" s="13" t="s">
        <v>1685</v>
      </c>
      <c r="C821" s="13" t="s">
        <v>72</v>
      </c>
      <c r="D821" s="13" t="s">
        <v>208</v>
      </c>
      <c r="E821" s="13" t="str">
        <f>IFERROR(INDEX('Почасовка — ставки и план'!$B$5:$B$24,MATCH(D821,'Почасовка — ставки и план'!$A$5:$A$24,0)),"Аренда техники / механизмы")</f>
        <v>Отделочник (штукатур, маляр, ГКЛ)</v>
      </c>
      <c r="F821" s="14">
        <v>550</v>
      </c>
      <c r="G821" s="14">
        <v>650</v>
      </c>
      <c r="H821" s="15">
        <v>330</v>
      </c>
      <c r="I821" s="15">
        <f>IF(OR(H821="",F821=""),"",MAX(H821,MIN(ROUND(H821*(1+Параметры!$B$5),IF(H821*(1+Параметры!$B$5)&gt;=1000,-1,0)),ROUND(F821*Параметры!$B$6,IF(F821*Параметры!$B$6&gt;=1000,-1,0)))))</f>
        <v>380</v>
      </c>
      <c r="J821" s="15">
        <v>390</v>
      </c>
      <c r="K821" s="15">
        <f>IF(OR(J821="",G821=""),"",MAX(J821,MIN(ROUND(J821*(1+Параметры!$B$5),IF(J821*(1+Параметры!$B$5)&gt;=1000,-1,0)),ROUND(G821*Параметры!$B$6,IF(G821*Параметры!$B$6&gt;=1000,-1,0)))))</f>
        <v>449</v>
      </c>
      <c r="L821" s="16">
        <v>0.35</v>
      </c>
      <c r="M821" s="17">
        <f t="shared" si="70"/>
        <v>2.8571428571428572</v>
      </c>
      <c r="N821" s="17">
        <f>IF(OR(L821="",L821=0),"",Параметры!$B$3/L821)</f>
        <v>22.857142857142858</v>
      </c>
      <c r="O821" s="15">
        <f>IF(L821="","",IFERROR(INDEX('Почасовка — ставки и план'!$D$5:$D$24,MATCH($D821,'Почасовка — ставки и план'!$A$5:$A$24,0)),""))</f>
        <v>750</v>
      </c>
      <c r="P821" s="15">
        <f>IF(L821="","",IFERROR(INDEX('Почасовка — ставки и план'!$E$5:$E$24,MATCH($D821,'Почасовка — ставки и план'!$A$5:$A$24,0)),""))</f>
        <v>900</v>
      </c>
      <c r="Q821" s="15">
        <f t="shared" si="71"/>
        <v>263</v>
      </c>
      <c r="R821" s="13" t="str">
        <f>IF(D821="TEX","аренда техники — сделка/счёт",IF(OR(Q821="",H821="",H821=0),"—",IF(Q821&lt;H821*(1-Параметры!$B$7),"почасовка",IF(Q821&gt;H821*(1+Параметры!$B$7),"сделка","любой способ"))))</f>
        <v>почасовка</v>
      </c>
      <c r="S821">
        <v>0</v>
      </c>
      <c r="T821">
        <v>0</v>
      </c>
    </row>
    <row r="822" spans="1:20" x14ac:dyDescent="0.25">
      <c r="A822" s="13" t="s">
        <v>1686</v>
      </c>
      <c r="B822" s="13" t="s">
        <v>1687</v>
      </c>
      <c r="C822" s="13" t="s">
        <v>72</v>
      </c>
      <c r="D822" s="13" t="s">
        <v>208</v>
      </c>
      <c r="E822" s="13" t="str">
        <f>IFERROR(INDEX('Почасовка — ставки и план'!$B$5:$B$24,MATCH(D822,'Почасовка — ставки и план'!$A$5:$A$24,0)),"Аренда техники / механизмы")</f>
        <v>Отделочник (штукатур, маляр, ГКЛ)</v>
      </c>
      <c r="F822" s="14">
        <v>700</v>
      </c>
      <c r="G822" s="14">
        <v>800</v>
      </c>
      <c r="H822" s="15">
        <v>430</v>
      </c>
      <c r="I822" s="15">
        <f>IF(OR(H822="",F822=""),"",MAX(H822,MIN(ROUND(H822*(1+Параметры!$B$5),IF(H822*(1+Параметры!$B$5)&gt;=1000,-1,0)),ROUND(F822*Параметры!$B$6,IF(F822*Параметры!$B$6&gt;=1000,-1,0)))))</f>
        <v>495</v>
      </c>
      <c r="J822" s="15">
        <v>490</v>
      </c>
      <c r="K822" s="15">
        <f>IF(OR(J822="",G822=""),"",MAX(J822,MIN(ROUND(J822*(1+Параметры!$B$5),IF(J822*(1+Параметры!$B$5)&gt;=1000,-1,0)),ROUND(G822*Параметры!$B$6,IF(G822*Параметры!$B$6&gt;=1000,-1,0)))))</f>
        <v>564</v>
      </c>
      <c r="L822" s="16">
        <v>0.5</v>
      </c>
      <c r="M822" s="17">
        <f t="shared" si="70"/>
        <v>2</v>
      </c>
      <c r="N822" s="17">
        <f>IF(OR(L822="",L822=0),"",Параметры!$B$3/L822)</f>
        <v>16</v>
      </c>
      <c r="O822" s="15">
        <f>IF(L822="","",IFERROR(INDEX('Почасовка — ставки и план'!$D$5:$D$24,MATCH($D822,'Почасовка — ставки и план'!$A$5:$A$24,0)),""))</f>
        <v>750</v>
      </c>
      <c r="P822" s="15">
        <f>IF(L822="","",IFERROR(INDEX('Почасовка — ставки и план'!$E$5:$E$24,MATCH($D822,'Почасовка — ставки и план'!$A$5:$A$24,0)),""))</f>
        <v>900</v>
      </c>
      <c r="Q822" s="15">
        <f t="shared" si="71"/>
        <v>375</v>
      </c>
      <c r="R822" s="13" t="str">
        <f>IF(D822="TEX","аренда техники — сделка/счёт",IF(OR(Q822="",H822="",H822=0),"—",IF(Q822&lt;H822*(1-Параметры!$B$7),"почасовка",IF(Q822&gt;H822*(1+Параметры!$B$7),"сделка","любой способ"))))</f>
        <v>почасовка</v>
      </c>
      <c r="S822">
        <v>0</v>
      </c>
      <c r="T822">
        <v>0</v>
      </c>
    </row>
    <row r="823" spans="1:20" x14ac:dyDescent="0.25">
      <c r="A823" s="13" t="s">
        <v>1688</v>
      </c>
      <c r="B823" s="13" t="s">
        <v>1689</v>
      </c>
      <c r="C823" s="13" t="s">
        <v>72</v>
      </c>
      <c r="D823" s="13" t="s">
        <v>208</v>
      </c>
      <c r="E823" s="13" t="str">
        <f>IFERROR(INDEX('Почасовка — ставки и план'!$B$5:$B$24,MATCH(D823,'Почасовка — ставки и план'!$A$5:$A$24,0)),"Аренда техники / механизмы")</f>
        <v>Отделочник (штукатур, маляр, ГКЛ)</v>
      </c>
      <c r="F823" s="14">
        <v>650</v>
      </c>
      <c r="G823" s="14">
        <v>750</v>
      </c>
      <c r="H823" s="15">
        <v>400</v>
      </c>
      <c r="I823" s="15">
        <f>IF(OR(H823="",F823=""),"",MAX(H823,MIN(ROUND(H823*(1+Параметры!$B$5),IF(H823*(1+Параметры!$B$5)&gt;=1000,-1,0)),ROUND(F823*Параметры!$B$6,IF(F823*Параметры!$B$6&gt;=1000,-1,0)))))</f>
        <v>460</v>
      </c>
      <c r="J823" s="15">
        <v>460</v>
      </c>
      <c r="K823" s="15">
        <f>IF(OR(J823="",G823=""),"",MAX(J823,MIN(ROUND(J823*(1+Параметры!$B$5),IF(J823*(1+Параметры!$B$5)&gt;=1000,-1,0)),ROUND(G823*Параметры!$B$6,IF(G823*Параметры!$B$6&gt;=1000,-1,0)))))</f>
        <v>529</v>
      </c>
      <c r="L823" s="16">
        <v>0.5</v>
      </c>
      <c r="M823" s="17">
        <f t="shared" si="70"/>
        <v>2</v>
      </c>
      <c r="N823" s="17">
        <f>IF(OR(L823="",L823=0),"",Параметры!$B$3/L823)</f>
        <v>16</v>
      </c>
      <c r="O823" s="15">
        <f>IF(L823="","",IFERROR(INDEX('Почасовка — ставки и план'!$D$5:$D$24,MATCH($D823,'Почасовка — ставки и план'!$A$5:$A$24,0)),""))</f>
        <v>750</v>
      </c>
      <c r="P823" s="15">
        <f>IF(L823="","",IFERROR(INDEX('Почасовка — ставки и план'!$E$5:$E$24,MATCH($D823,'Почасовка — ставки и план'!$A$5:$A$24,0)),""))</f>
        <v>900</v>
      </c>
      <c r="Q823" s="15">
        <f t="shared" si="71"/>
        <v>375</v>
      </c>
      <c r="R823" s="13" t="str">
        <f>IF(D823="TEX","аренда техники — сделка/счёт",IF(OR(Q823="",H823="",H823=0),"—",IF(Q823&lt;H823*(1-Параметры!$B$7),"почасовка",IF(Q823&gt;H823*(1+Параметры!$B$7),"сделка","любой способ"))))</f>
        <v>любой способ</v>
      </c>
      <c r="S823">
        <v>0</v>
      </c>
      <c r="T823">
        <v>0</v>
      </c>
    </row>
    <row r="824" spans="1:20" x14ac:dyDescent="0.25">
      <c r="A824" s="13" t="s">
        <v>1690</v>
      </c>
      <c r="B824" s="13" t="s">
        <v>1691</v>
      </c>
      <c r="C824" s="13" t="s">
        <v>72</v>
      </c>
      <c r="D824" s="13" t="s">
        <v>208</v>
      </c>
      <c r="E824" s="13" t="str">
        <f>IFERROR(INDEX('Почасовка — ставки и план'!$B$5:$B$24,MATCH(D824,'Почасовка — ставки и план'!$A$5:$A$24,0)),"Аренда техники / механизмы")</f>
        <v>Отделочник (штукатур, маляр, ГКЛ)</v>
      </c>
      <c r="F824" s="14">
        <v>800</v>
      </c>
      <c r="G824" s="14">
        <v>920</v>
      </c>
      <c r="H824" s="15">
        <v>480</v>
      </c>
      <c r="I824" s="15">
        <f>IF(OR(H824="",F824=""),"",MAX(H824,MIN(ROUND(H824*(1+Параметры!$B$5),IF(H824*(1+Параметры!$B$5)&gt;=1000,-1,0)),ROUND(F824*Параметры!$B$6,IF(F824*Параметры!$B$6&gt;=1000,-1,0)))))</f>
        <v>552</v>
      </c>
      <c r="J824" s="15">
        <v>560</v>
      </c>
      <c r="K824" s="15">
        <f>IF(OR(J824="",G824=""),"",MAX(J824,MIN(ROUND(J824*(1+Параметры!$B$5),IF(J824*(1+Параметры!$B$5)&gt;=1000,-1,0)),ROUND(G824*Параметры!$B$6,IF(G824*Параметры!$B$6&gt;=1000,-1,0)))))</f>
        <v>644</v>
      </c>
      <c r="L824" s="16">
        <v>0.6</v>
      </c>
      <c r="M824" s="17">
        <f t="shared" si="70"/>
        <v>1.6666666666666667</v>
      </c>
      <c r="N824" s="17">
        <f>IF(OR(L824="",L824=0),"",Параметры!$B$3/L824)</f>
        <v>13.333333333333334</v>
      </c>
      <c r="O824" s="15">
        <f>IF(L824="","",IFERROR(INDEX('Почасовка — ставки и план'!$D$5:$D$24,MATCH($D824,'Почасовка — ставки и план'!$A$5:$A$24,0)),""))</f>
        <v>750</v>
      </c>
      <c r="P824" s="15">
        <f>IF(L824="","",IFERROR(INDEX('Почасовка — ставки и план'!$E$5:$E$24,MATCH($D824,'Почасовка — ставки и план'!$A$5:$A$24,0)),""))</f>
        <v>900</v>
      </c>
      <c r="Q824" s="15">
        <f t="shared" si="71"/>
        <v>450</v>
      </c>
      <c r="R824" s="13" t="str">
        <f>IF(D824="TEX","аренда техники — сделка/счёт",IF(OR(Q824="",H824="",H824=0),"—",IF(Q824&lt;H824*(1-Параметры!$B$7),"почасовка",IF(Q824&gt;H824*(1+Параметры!$B$7),"сделка","любой способ"))))</f>
        <v>любой способ</v>
      </c>
      <c r="S824">
        <v>0</v>
      </c>
      <c r="T824">
        <v>0</v>
      </c>
    </row>
    <row r="825" spans="1:20" x14ac:dyDescent="0.25">
      <c r="A825" s="13" t="s">
        <v>1692</v>
      </c>
      <c r="B825" s="13" t="s">
        <v>1693</v>
      </c>
      <c r="C825" s="13" t="s">
        <v>72</v>
      </c>
      <c r="D825" s="13" t="s">
        <v>208</v>
      </c>
      <c r="E825" s="13" t="str">
        <f>IFERROR(INDEX('Почасовка — ставки и план'!$B$5:$B$24,MATCH(D825,'Почасовка — ставки и план'!$A$5:$A$24,0)),"Аренда техники / механизмы")</f>
        <v>Отделочник (штукатур, маляр, ГКЛ)</v>
      </c>
      <c r="F825" s="14">
        <v>1500</v>
      </c>
      <c r="G825" s="14">
        <v>1750</v>
      </c>
      <c r="H825" s="15">
        <v>920</v>
      </c>
      <c r="I825" s="15">
        <f>IF(OR(H825="",F825=""),"",MAX(H825,MIN(ROUND(H825*(1+Параметры!$B$5),IF(H825*(1+Параметры!$B$5)&gt;=1000,-1,0)),ROUND(F825*Параметры!$B$6,IF(F825*Параметры!$B$6&gt;=1000,-1,0)))))</f>
        <v>1060</v>
      </c>
      <c r="J825" s="15">
        <v>1060</v>
      </c>
      <c r="K825" s="15">
        <f>IF(OR(J825="",G825=""),"",MAX(J825,MIN(ROUND(J825*(1+Параметры!$B$5),IF(J825*(1+Параметры!$B$5)&gt;=1000,-1,0)),ROUND(G825*Параметры!$B$6,IF(G825*Параметры!$B$6&gt;=1000,-1,0)))))</f>
        <v>1220</v>
      </c>
      <c r="L825" s="16">
        <v>1.2</v>
      </c>
      <c r="M825" s="17">
        <f t="shared" si="70"/>
        <v>0.83333333333333337</v>
      </c>
      <c r="N825" s="17">
        <f>IF(OR(L825="",L825=0),"",Параметры!$B$3/L825)</f>
        <v>6.666666666666667</v>
      </c>
      <c r="O825" s="15">
        <f>IF(L825="","",IFERROR(INDEX('Почасовка — ставки и план'!$D$5:$D$24,MATCH($D825,'Почасовка — ставки и план'!$A$5:$A$24,0)),""))</f>
        <v>750</v>
      </c>
      <c r="P825" s="15">
        <f>IF(L825="","",IFERROR(INDEX('Почасовка — ставки и план'!$E$5:$E$24,MATCH($D825,'Почасовка — ставки и план'!$A$5:$A$24,0)),""))</f>
        <v>900</v>
      </c>
      <c r="Q825" s="15">
        <f t="shared" si="71"/>
        <v>900</v>
      </c>
      <c r="R825" s="13" t="str">
        <f>IF(D825="TEX","аренда техники — сделка/счёт",IF(OR(Q825="",H825="",H825=0),"—",IF(Q825&lt;H825*(1-Параметры!$B$7),"почасовка",IF(Q825&gt;H825*(1+Параметры!$B$7),"сделка","любой способ"))))</f>
        <v>любой способ</v>
      </c>
      <c r="S825">
        <v>0</v>
      </c>
      <c r="T825">
        <v>0</v>
      </c>
    </row>
    <row r="826" spans="1:20" x14ac:dyDescent="0.25">
      <c r="A826" s="13" t="s">
        <v>1694</v>
      </c>
      <c r="B826" s="13" t="s">
        <v>1695</v>
      </c>
      <c r="C826" s="13" t="s">
        <v>72</v>
      </c>
      <c r="D826" s="13" t="s">
        <v>208</v>
      </c>
      <c r="E826" s="13" t="str">
        <f>IFERROR(INDEX('Почасовка — ставки и план'!$B$5:$B$24,MATCH(D826,'Почасовка — ставки и план'!$A$5:$A$24,0)),"Аренда техники / механизмы")</f>
        <v>Отделочник (штукатур, маляр, ГКЛ)</v>
      </c>
      <c r="F826" s="14">
        <v>300</v>
      </c>
      <c r="G826" s="14">
        <v>350</v>
      </c>
      <c r="H826" s="15">
        <v>180</v>
      </c>
      <c r="I826" s="15">
        <f>IF(OR(H826="",F826=""),"",MAX(H826,MIN(ROUND(H826*(1+Параметры!$B$5),IF(H826*(1+Параметры!$B$5)&gt;=1000,-1,0)),ROUND(F826*Параметры!$B$6,IF(F826*Параметры!$B$6&gt;=1000,-1,0)))))</f>
        <v>207</v>
      </c>
      <c r="J826" s="15">
        <v>210</v>
      </c>
      <c r="K826" s="15">
        <f>IF(OR(J826="",G826=""),"",MAX(J826,MIN(ROUND(J826*(1+Параметры!$B$5),IF(J826*(1+Параметры!$B$5)&gt;=1000,-1,0)),ROUND(G826*Параметры!$B$6,IF(G826*Параметры!$B$6&gt;=1000,-1,0)))))</f>
        <v>242</v>
      </c>
      <c r="L826" s="16">
        <v>0.25</v>
      </c>
      <c r="M826" s="17">
        <f t="shared" si="70"/>
        <v>4</v>
      </c>
      <c r="N826" s="17">
        <f>IF(OR(L826="",L826=0),"",Параметры!$B$3/L826)</f>
        <v>32</v>
      </c>
      <c r="O826" s="15">
        <f>IF(L826="","",IFERROR(INDEX('Почасовка — ставки и план'!$D$5:$D$24,MATCH($D826,'Почасовка — ставки и план'!$A$5:$A$24,0)),""))</f>
        <v>750</v>
      </c>
      <c r="P826" s="15">
        <f>IF(L826="","",IFERROR(INDEX('Почасовка — ставки и план'!$E$5:$E$24,MATCH($D826,'Почасовка — ставки и план'!$A$5:$A$24,0)),""))</f>
        <v>900</v>
      </c>
      <c r="Q826" s="15">
        <f t="shared" si="71"/>
        <v>188</v>
      </c>
      <c r="R826" s="13" t="str">
        <f>IF(D826="TEX","аренда техники — сделка/счёт",IF(OR(Q826="",H826="",H826=0),"—",IF(Q826&lt;H826*(1-Параметры!$B$7),"почасовка",IF(Q826&gt;H826*(1+Параметры!$B$7),"сделка","любой способ"))))</f>
        <v>любой способ</v>
      </c>
      <c r="S826">
        <v>0</v>
      </c>
      <c r="T826">
        <v>0</v>
      </c>
    </row>
    <row r="827" spans="1:20" x14ac:dyDescent="0.25">
      <c r="A827" s="13" t="s">
        <v>1696</v>
      </c>
      <c r="B827" s="13" t="s">
        <v>1697</v>
      </c>
      <c r="C827" s="13" t="s">
        <v>72</v>
      </c>
      <c r="D827" s="13" t="s">
        <v>208</v>
      </c>
      <c r="E827" s="13" t="str">
        <f>IFERROR(INDEX('Почасовка — ставки и план'!$B$5:$B$24,MATCH(D827,'Почасовка — ставки и план'!$A$5:$A$24,0)),"Аренда техники / механизмы")</f>
        <v>Отделочник (штукатур, маляр, ГКЛ)</v>
      </c>
      <c r="F827" s="14">
        <v>250</v>
      </c>
      <c r="G827" s="14">
        <v>290</v>
      </c>
      <c r="H827" s="15">
        <v>150</v>
      </c>
      <c r="I827" s="15">
        <f>IF(OR(H827="",F827=""),"",MAX(H827,MIN(ROUND(H827*(1+Параметры!$B$5),IF(H827*(1+Параметры!$B$5)&gt;=1000,-1,0)),ROUND(F827*Параметры!$B$6,IF(F827*Параметры!$B$6&gt;=1000,-1,0)))))</f>
        <v>173</v>
      </c>
      <c r="J827" s="15">
        <v>175</v>
      </c>
      <c r="K827" s="15">
        <f>IF(OR(J827="",G827=""),"",MAX(J827,MIN(ROUND(J827*(1+Параметры!$B$5),IF(J827*(1+Параметры!$B$5)&gt;=1000,-1,0)),ROUND(G827*Параметры!$B$6,IF(G827*Параметры!$B$6&gt;=1000,-1,0)))))</f>
        <v>201</v>
      </c>
      <c r="L827" s="16">
        <v>0.2</v>
      </c>
      <c r="M827" s="17">
        <f t="shared" si="70"/>
        <v>5</v>
      </c>
      <c r="N827" s="17">
        <f>IF(OR(L827="",L827=0),"",Параметры!$B$3/L827)</f>
        <v>40</v>
      </c>
      <c r="O827" s="15">
        <f>IF(L827="","",IFERROR(INDEX('Почасовка — ставки и план'!$D$5:$D$24,MATCH($D827,'Почасовка — ставки и план'!$A$5:$A$24,0)),""))</f>
        <v>750</v>
      </c>
      <c r="P827" s="15">
        <f>IF(L827="","",IFERROR(INDEX('Почасовка — ставки и план'!$E$5:$E$24,MATCH($D827,'Почасовка — ставки и план'!$A$5:$A$24,0)),""))</f>
        <v>900</v>
      </c>
      <c r="Q827" s="15">
        <f t="shared" si="71"/>
        <v>150</v>
      </c>
      <c r="R827" s="13" t="str">
        <f>IF(D827="TEX","аренда техники — сделка/счёт",IF(OR(Q827="",H827="",H827=0),"—",IF(Q827&lt;H827*(1-Параметры!$B$7),"почасовка",IF(Q827&gt;H827*(1+Параметры!$B$7),"сделка","любой способ"))))</f>
        <v>любой способ</v>
      </c>
      <c r="S827">
        <v>0</v>
      </c>
      <c r="T827">
        <v>0</v>
      </c>
    </row>
    <row r="828" spans="1:20" x14ac:dyDescent="0.25">
      <c r="A828" s="13" t="s">
        <v>1698</v>
      </c>
      <c r="B828" s="13" t="s">
        <v>1699</v>
      </c>
      <c r="C828" s="13" t="s">
        <v>72</v>
      </c>
      <c r="D828" s="13" t="s">
        <v>208</v>
      </c>
      <c r="E828" s="13" t="str">
        <f>IFERROR(INDEX('Почасовка — ставки и план'!$B$5:$B$24,MATCH(D828,'Почасовка — ставки и план'!$A$5:$A$24,0)),"Аренда техники / механизмы")</f>
        <v>Отделочник (штукатур, маляр, ГКЛ)</v>
      </c>
      <c r="F828" s="14">
        <v>55</v>
      </c>
      <c r="G828" s="14">
        <v>65</v>
      </c>
      <c r="H828" s="15">
        <v>33</v>
      </c>
      <c r="I828" s="15">
        <f>IF(OR(H828="",F828=""),"",MAX(H828,MIN(ROUND(H828*(1+Параметры!$B$5),IF(H828*(1+Параметры!$B$5)&gt;=1000,-1,0)),ROUND(F828*Параметры!$B$6,IF(F828*Параметры!$B$6&gt;=1000,-1,0)))))</f>
        <v>38</v>
      </c>
      <c r="J828" s="15">
        <v>38</v>
      </c>
      <c r="K828" s="15">
        <f>IF(OR(J828="",G828=""),"",MAX(J828,MIN(ROUND(J828*(1+Параметры!$B$5),IF(J828*(1+Параметры!$B$5)&gt;=1000,-1,0)),ROUND(G828*Параметры!$B$6,IF(G828*Параметры!$B$6&gt;=1000,-1,0)))))</f>
        <v>44</v>
      </c>
      <c r="L828" s="16">
        <v>0.03</v>
      </c>
      <c r="M828" s="17">
        <f t="shared" si="70"/>
        <v>33.333333333333336</v>
      </c>
      <c r="N828" s="17">
        <f>IF(OR(L828="",L828=0),"",Параметры!$B$3/L828)</f>
        <v>266.66666666666669</v>
      </c>
      <c r="O828" s="15">
        <f>IF(L828="","",IFERROR(INDEX('Почасовка — ставки и план'!$D$5:$D$24,MATCH($D828,'Почасовка — ставки и план'!$A$5:$A$24,0)),""))</f>
        <v>750</v>
      </c>
      <c r="P828" s="15">
        <f>IF(L828="","",IFERROR(INDEX('Почасовка — ставки и план'!$E$5:$E$24,MATCH($D828,'Почасовка — ставки и план'!$A$5:$A$24,0)),""))</f>
        <v>900</v>
      </c>
      <c r="Q828" s="15">
        <f t="shared" si="71"/>
        <v>23</v>
      </c>
      <c r="R828" s="13" t="str">
        <f>IF(D828="TEX","аренда техники — сделка/счёт",IF(OR(Q828="",H828="",H828=0),"—",IF(Q828&lt;H828*(1-Параметры!$B$7),"почасовка",IF(Q828&gt;H828*(1+Параметры!$B$7),"сделка","любой способ"))))</f>
        <v>почасовка</v>
      </c>
      <c r="S828">
        <v>0</v>
      </c>
      <c r="T828">
        <v>0</v>
      </c>
    </row>
    <row r="829" spans="1:20" x14ac:dyDescent="0.25">
      <c r="A829" s="18" t="s">
        <v>1700</v>
      </c>
      <c r="B829" s="13" t="s">
        <v>1701</v>
      </c>
      <c r="C829" s="13" t="s">
        <v>72</v>
      </c>
      <c r="D829" s="13" t="s">
        <v>60</v>
      </c>
      <c r="E829" s="13" t="str">
        <f>IFERROR(INDEX('Почасовка — ставки и план'!$B$5:$B$24,MATCH(D829,'Почасовка — ставки и план'!$A$5:$A$24,0)),"Аренда техники / механизмы")</f>
        <v>Разнорабочий / демонтажник</v>
      </c>
      <c r="F829" s="14">
        <v>150</v>
      </c>
      <c r="G829" s="14">
        <v>180</v>
      </c>
      <c r="H829" s="15">
        <v>90</v>
      </c>
      <c r="I829" s="15">
        <f>IF(OR(H829="",F829=""),"",MAX(H829,MIN(ROUND(H829*(1+Параметры!$B$5),IF(H829*(1+Параметры!$B$5)&gt;=1000,-1,0)),ROUND(F829*Параметры!$B$6,IF(F829*Параметры!$B$6&gt;=1000,-1,0)))))</f>
        <v>104</v>
      </c>
      <c r="J829" s="15">
        <v>105</v>
      </c>
      <c r="K829" s="15">
        <f>IF(OR(J829="",G829=""),"",MAX(J829,MIN(ROUND(J829*(1+Параметры!$B$5),IF(J829*(1+Параметры!$B$5)&gt;=1000,-1,0)),ROUND(G829*Параметры!$B$6,IF(G829*Параметры!$B$6&gt;=1000,-1,0)))))</f>
        <v>121</v>
      </c>
      <c r="L829" s="16">
        <v>0.15</v>
      </c>
      <c r="M829" s="17">
        <f t="shared" si="70"/>
        <v>6.666666666666667</v>
      </c>
      <c r="N829" s="17">
        <f>IF(OR(L829="",L829=0),"",Параметры!$B$3/L829)</f>
        <v>53.333333333333336</v>
      </c>
      <c r="O829" s="15">
        <f>IF(L829="","",IFERROR(INDEX('Почасовка — ставки и план'!$D$5:$D$24,MATCH($D829,'Почасовка — ставки и план'!$A$5:$A$24,0)),""))</f>
        <v>550</v>
      </c>
      <c r="P829" s="15">
        <f>IF(L829="","",IFERROR(INDEX('Почасовка — ставки и план'!$E$5:$E$24,MATCH($D829,'Почасовка — ставки и план'!$A$5:$A$24,0)),""))</f>
        <v>660</v>
      </c>
      <c r="Q829" s="15">
        <f t="shared" si="71"/>
        <v>83</v>
      </c>
      <c r="R829" s="13" t="str">
        <f>IF(D829="TEX","аренда техники — сделка/счёт",IF(OR(Q829="",H829="",H829=0),"—",IF(Q829&lt;H829*(1-Параметры!$B$7),"почасовка",IF(Q829&gt;H829*(1+Параметры!$B$7),"сделка","любой способ"))))</f>
        <v>любой способ</v>
      </c>
      <c r="S829">
        <v>0</v>
      </c>
      <c r="T829">
        <v>0</v>
      </c>
    </row>
    <row r="830" spans="1:20" x14ac:dyDescent="0.25">
      <c r="A830" s="18" t="s">
        <v>1702</v>
      </c>
      <c r="B830" s="13" t="s">
        <v>1703</v>
      </c>
      <c r="C830" s="13" t="s">
        <v>72</v>
      </c>
      <c r="D830" s="13" t="s">
        <v>60</v>
      </c>
      <c r="E830" s="13" t="str">
        <f>IFERROR(INDEX('Почасовка — ставки и план'!$B$5:$B$24,MATCH(D830,'Почасовка — ставки и план'!$A$5:$A$24,0)),"Аренда техники / механизмы")</f>
        <v>Разнорабочий / демонтажник</v>
      </c>
      <c r="F830" s="14">
        <v>350</v>
      </c>
      <c r="G830" s="14">
        <v>400</v>
      </c>
      <c r="H830" s="15">
        <v>210</v>
      </c>
      <c r="I830" s="15">
        <f>IF(OR(H830="",F830=""),"",MAX(H830,MIN(ROUND(H830*(1+Параметры!$B$5),IF(H830*(1+Параметры!$B$5)&gt;=1000,-1,0)),ROUND(F830*Параметры!$B$6,IF(F830*Параметры!$B$6&gt;=1000,-1,0)))))</f>
        <v>242</v>
      </c>
      <c r="J830" s="15">
        <v>240</v>
      </c>
      <c r="K830" s="15">
        <f>IF(OR(J830="",G830=""),"",MAX(J830,MIN(ROUND(J830*(1+Параметры!$B$5),IF(J830*(1+Параметры!$B$5)&gt;=1000,-1,0)),ROUND(G830*Параметры!$B$6,IF(G830*Параметры!$B$6&gt;=1000,-1,0)))))</f>
        <v>276</v>
      </c>
      <c r="L830" s="16">
        <v>0.35</v>
      </c>
      <c r="M830" s="17">
        <f t="shared" si="70"/>
        <v>2.8571428571428572</v>
      </c>
      <c r="N830" s="17">
        <f>IF(OR(L830="",L830=0),"",Параметры!$B$3/L830)</f>
        <v>22.857142857142858</v>
      </c>
      <c r="O830" s="15">
        <f>IF(L830="","",IFERROR(INDEX('Почасовка — ставки и план'!$D$5:$D$24,MATCH($D830,'Почасовка — ставки и план'!$A$5:$A$24,0)),""))</f>
        <v>550</v>
      </c>
      <c r="P830" s="15">
        <f>IF(L830="","",IFERROR(INDEX('Почасовка — ставки и план'!$E$5:$E$24,MATCH($D830,'Почасовка — ставки и план'!$A$5:$A$24,0)),""))</f>
        <v>660</v>
      </c>
      <c r="Q830" s="15">
        <f t="shared" si="71"/>
        <v>193</v>
      </c>
      <c r="R830" s="13" t="str">
        <f>IF(D830="TEX","аренда техники — сделка/счёт",IF(OR(Q830="",H830="",H830=0),"—",IF(Q830&lt;H830*(1-Параметры!$B$7),"почасовка",IF(Q830&gt;H830*(1+Параметры!$B$7),"сделка","любой способ"))))</f>
        <v>любой способ</v>
      </c>
      <c r="S830">
        <v>0</v>
      </c>
      <c r="T830">
        <v>0</v>
      </c>
    </row>
    <row r="831" spans="1:20" x14ac:dyDescent="0.25">
      <c r="A831" s="18" t="s">
        <v>1704</v>
      </c>
      <c r="B831" s="13" t="s">
        <v>1705</v>
      </c>
      <c r="C831" s="13" t="s">
        <v>69</v>
      </c>
      <c r="D831" s="13" t="s">
        <v>208</v>
      </c>
      <c r="E831" s="13" t="str">
        <f>IFERROR(INDEX('Почасовка — ставки и план'!$B$5:$B$24,MATCH(D831,'Почасовка — ставки и план'!$A$5:$A$24,0)),"Аренда техники / механизмы")</f>
        <v>Отделочник (штукатур, маляр, ГКЛ)</v>
      </c>
      <c r="F831" s="14">
        <v>300</v>
      </c>
      <c r="G831" s="14">
        <v>350</v>
      </c>
      <c r="H831" s="15">
        <v>180</v>
      </c>
      <c r="I831" s="15">
        <f>IF(OR(H831="",F831=""),"",MAX(H831,MIN(ROUND(H831*(1+Параметры!$B$5),IF(H831*(1+Параметры!$B$5)&gt;=1000,-1,0)),ROUND(F831*Параметры!$B$6,IF(F831*Параметры!$B$6&gt;=1000,-1,0)))))</f>
        <v>207</v>
      </c>
      <c r="J831" s="15">
        <v>210</v>
      </c>
      <c r="K831" s="15">
        <f>IF(OR(J831="",G831=""),"",MAX(J831,MIN(ROUND(J831*(1+Параметры!$B$5),IF(J831*(1+Параметры!$B$5)&gt;=1000,-1,0)),ROUND(G831*Параметры!$B$6,IF(G831*Параметры!$B$6&gt;=1000,-1,0)))))</f>
        <v>242</v>
      </c>
      <c r="L831" s="16">
        <v>0.2</v>
      </c>
      <c r="M831" s="17">
        <f t="shared" si="70"/>
        <v>5</v>
      </c>
      <c r="N831" s="17">
        <f>IF(OR(L831="",L831=0),"",Параметры!$B$3/L831)</f>
        <v>40</v>
      </c>
      <c r="O831" s="15">
        <f>IF(L831="","",IFERROR(INDEX('Почасовка — ставки и план'!$D$5:$D$24,MATCH($D831,'Почасовка — ставки и план'!$A$5:$A$24,0)),""))</f>
        <v>750</v>
      </c>
      <c r="P831" s="15">
        <f>IF(L831="","",IFERROR(INDEX('Почасовка — ставки и план'!$E$5:$E$24,MATCH($D831,'Почасовка — ставки и план'!$A$5:$A$24,0)),""))</f>
        <v>900</v>
      </c>
      <c r="Q831" s="15">
        <f t="shared" si="71"/>
        <v>150</v>
      </c>
      <c r="R831" s="13" t="str">
        <f>IF(D831="TEX","аренда техники — сделка/счёт",IF(OR(Q831="",H831="",H831=0),"—",IF(Q831&lt;H831*(1-Параметры!$B$7),"почасовка",IF(Q831&gt;H831*(1+Параметры!$B$7),"сделка","любой способ"))))</f>
        <v>почасовка</v>
      </c>
      <c r="S831">
        <v>0</v>
      </c>
      <c r="T831">
        <v>0</v>
      </c>
    </row>
    <row r="832" spans="1:20" x14ac:dyDescent="0.25">
      <c r="A832" s="18" t="s">
        <v>1706</v>
      </c>
      <c r="B832" s="13" t="s">
        <v>1707</v>
      </c>
      <c r="C832" s="13" t="s">
        <v>144</v>
      </c>
      <c r="D832" s="13" t="s">
        <v>208</v>
      </c>
      <c r="E832" s="13" t="str">
        <f>IFERROR(INDEX('Почасовка — ставки и план'!$B$5:$B$24,MATCH(D832,'Почасовка — ставки и план'!$A$5:$A$24,0)),"Аренда техники / механизмы")</f>
        <v>Отделочник (штукатур, маляр, ГКЛ)</v>
      </c>
      <c r="F832" s="14">
        <v>3000</v>
      </c>
      <c r="G832" s="14">
        <v>3500</v>
      </c>
      <c r="H832" s="15">
        <v>1800</v>
      </c>
      <c r="I832" s="15">
        <f>IF(OR(H832="",F832=""),"",MAX(H832,MIN(ROUND(H832*(1+Параметры!$B$5),IF(H832*(1+Параметры!$B$5)&gt;=1000,-1,0)),ROUND(F832*Параметры!$B$6,IF(F832*Параметры!$B$6&gt;=1000,-1,0)))))</f>
        <v>2070</v>
      </c>
      <c r="J832" s="15">
        <v>2100</v>
      </c>
      <c r="K832" s="15">
        <f>IF(OR(J832="",G832=""),"",MAX(J832,MIN(ROUND(J832*(1+Параметры!$B$5),IF(J832*(1+Параметры!$B$5)&gt;=1000,-1,0)),ROUND(G832*Параметры!$B$6,IF(G832*Параметры!$B$6&gt;=1000,-1,0)))))</f>
        <v>2420</v>
      </c>
      <c r="L832" s="16">
        <v>2.5</v>
      </c>
      <c r="M832" s="17">
        <f t="shared" si="70"/>
        <v>0.4</v>
      </c>
      <c r="N832" s="17">
        <f>IF(OR(L832="",L832=0),"",Параметры!$B$3/L832)</f>
        <v>3.2</v>
      </c>
      <c r="O832" s="15">
        <f>IF(L832="","",IFERROR(INDEX('Почасовка — ставки и план'!$D$5:$D$24,MATCH($D832,'Почасовка — ставки и план'!$A$5:$A$24,0)),""))</f>
        <v>750</v>
      </c>
      <c r="P832" s="15">
        <f>IF(L832="","",IFERROR(INDEX('Почасовка — ставки и план'!$E$5:$E$24,MATCH($D832,'Почасовка — ставки и план'!$A$5:$A$24,0)),""))</f>
        <v>900</v>
      </c>
      <c r="Q832" s="15">
        <f t="shared" si="71"/>
        <v>1875</v>
      </c>
      <c r="R832" s="13" t="str">
        <f>IF(D832="TEX","аренда техники — сделка/счёт",IF(OR(Q832="",H832="",H832=0),"—",IF(Q832&lt;H832*(1-Параметры!$B$7),"почасовка",IF(Q832&gt;H832*(1+Параметры!$B$7),"сделка","любой способ"))))</f>
        <v>любой способ</v>
      </c>
      <c r="S832">
        <v>0</v>
      </c>
      <c r="T832">
        <v>0</v>
      </c>
    </row>
    <row r="833" spans="1:20" x14ac:dyDescent="0.25">
      <c r="A833" s="18" t="s">
        <v>1708</v>
      </c>
      <c r="B833" s="13" t="s">
        <v>1709</v>
      </c>
      <c r="C833" s="13" t="s">
        <v>144</v>
      </c>
      <c r="D833" s="13" t="s">
        <v>208</v>
      </c>
      <c r="E833" s="13" t="str">
        <f>IFERROR(INDEX('Почасовка — ставки и план'!$B$5:$B$24,MATCH(D833,'Почасовка — ставки и план'!$A$5:$A$24,0)),"Аренда техники / механизмы")</f>
        <v>Отделочник (штукатур, маляр, ГКЛ)</v>
      </c>
      <c r="F833" s="14">
        <v>1100</v>
      </c>
      <c r="G833" s="14">
        <v>1300</v>
      </c>
      <c r="H833" s="15">
        <v>660</v>
      </c>
      <c r="I833" s="15">
        <f>IF(OR(H833="",F833=""),"",MAX(H833,MIN(ROUND(H833*(1+Параметры!$B$5),IF(H833*(1+Параметры!$B$5)&gt;=1000,-1,0)),ROUND(F833*Параметры!$B$6,IF(F833*Параметры!$B$6&gt;=1000,-1,0)))))</f>
        <v>759</v>
      </c>
      <c r="J833" s="15">
        <v>770</v>
      </c>
      <c r="K833" s="15">
        <f>IF(OR(J833="",G833=""),"",MAX(J833,MIN(ROUND(J833*(1+Параметры!$B$5),IF(J833*(1+Параметры!$B$5)&gt;=1000,-1,0)),ROUND(G833*Параметры!$B$6,IF(G833*Параметры!$B$6&gt;=1000,-1,0)))))</f>
        <v>886</v>
      </c>
      <c r="L833" s="16">
        <v>0.9</v>
      </c>
      <c r="M833" s="17">
        <f t="shared" si="70"/>
        <v>1.1111111111111112</v>
      </c>
      <c r="N833" s="17">
        <f>IF(OR(L833="",L833=0),"",Параметры!$B$3/L833)</f>
        <v>8.8888888888888893</v>
      </c>
      <c r="O833" s="15">
        <f>IF(L833="","",IFERROR(INDEX('Почасовка — ставки и план'!$D$5:$D$24,MATCH($D833,'Почасовка — ставки и план'!$A$5:$A$24,0)),""))</f>
        <v>750</v>
      </c>
      <c r="P833" s="15">
        <f>IF(L833="","",IFERROR(INDEX('Почасовка — ставки и план'!$E$5:$E$24,MATCH($D833,'Почасовка — ставки и план'!$A$5:$A$24,0)),""))</f>
        <v>900</v>
      </c>
      <c r="Q833" s="15">
        <f t="shared" si="71"/>
        <v>675</v>
      </c>
      <c r="R833" s="13" t="str">
        <f>IF(D833="TEX","аренда техники — сделка/счёт",IF(OR(Q833="",H833="",H833=0),"—",IF(Q833&lt;H833*(1-Параметры!$B$7),"почасовка",IF(Q833&gt;H833*(1+Параметры!$B$7),"сделка","любой способ"))))</f>
        <v>любой способ</v>
      </c>
      <c r="S833">
        <v>0</v>
      </c>
      <c r="T833">
        <v>0</v>
      </c>
    </row>
    <row r="834" spans="1:20" x14ac:dyDescent="0.25">
      <c r="A834" s="18" t="s">
        <v>1710</v>
      </c>
      <c r="B834" s="13" t="s">
        <v>1711</v>
      </c>
      <c r="C834" s="13" t="s">
        <v>72</v>
      </c>
      <c r="D834" s="13" t="s">
        <v>208</v>
      </c>
      <c r="E834" s="13" t="str">
        <f>IFERROR(INDEX('Почасовка — ставки и план'!$B$5:$B$24,MATCH(D834,'Почасовка — ставки и план'!$A$5:$A$24,0)),"Аренда техники / механизмы")</f>
        <v>Отделочник (штукатур, маляр, ГКЛ)</v>
      </c>
      <c r="F834" s="14">
        <v>250</v>
      </c>
      <c r="G834" s="14">
        <v>290</v>
      </c>
      <c r="H834" s="15">
        <v>150</v>
      </c>
      <c r="I834" s="15">
        <f>IF(OR(H834="",F834=""),"",MAX(H834,MIN(ROUND(H834*(1+Параметры!$B$5),IF(H834*(1+Параметры!$B$5)&gt;=1000,-1,0)),ROUND(F834*Параметры!$B$6,IF(F834*Параметры!$B$6&gt;=1000,-1,0)))))</f>
        <v>173</v>
      </c>
      <c r="J834" s="15">
        <v>175</v>
      </c>
      <c r="K834" s="15">
        <f>IF(OR(J834="",G834=""),"",MAX(J834,MIN(ROUND(J834*(1+Параметры!$B$5),IF(J834*(1+Параметры!$B$5)&gt;=1000,-1,0)),ROUND(G834*Параметры!$B$6,IF(G834*Параметры!$B$6&gt;=1000,-1,0)))))</f>
        <v>201</v>
      </c>
      <c r="L834" s="16">
        <v>0.08</v>
      </c>
      <c r="M834" s="17">
        <f t="shared" si="70"/>
        <v>12.5</v>
      </c>
      <c r="N834" s="17">
        <f>IF(OR(L834="",L834=0),"",Параметры!$B$3/L834)</f>
        <v>100</v>
      </c>
      <c r="O834" s="15">
        <f>IF(L834="","",IFERROR(INDEX('Почасовка — ставки и план'!$D$5:$D$24,MATCH($D834,'Почасовка — ставки и план'!$A$5:$A$24,0)),""))</f>
        <v>750</v>
      </c>
      <c r="P834" s="15">
        <f>IF(L834="","",IFERROR(INDEX('Почасовка — ставки и план'!$E$5:$E$24,MATCH($D834,'Почасовка — ставки и план'!$A$5:$A$24,0)),""))</f>
        <v>900</v>
      </c>
      <c r="Q834" s="15">
        <f t="shared" si="71"/>
        <v>60</v>
      </c>
      <c r="R834" s="13" t="str">
        <f>IF(D834="TEX","аренда техники — сделка/счёт",IF(OR(Q834="",H834="",H834=0),"—",IF(Q834&lt;H834*(1-Параметры!$B$7),"почасовка",IF(Q834&gt;H834*(1+Параметры!$B$7),"сделка","любой способ"))))</f>
        <v>почасовка</v>
      </c>
      <c r="S834">
        <v>0</v>
      </c>
      <c r="T834">
        <v>0</v>
      </c>
    </row>
    <row r="835" spans="1:20" x14ac:dyDescent="0.25">
      <c r="A835" s="11" t="s">
        <v>1712</v>
      </c>
      <c r="B835" s="12"/>
      <c r="C835" s="12"/>
      <c r="D835" s="12"/>
      <c r="E835" s="12"/>
      <c r="F835" s="12"/>
      <c r="G835" s="12"/>
      <c r="H835" s="12"/>
      <c r="I835" s="12"/>
      <c r="J835" s="12"/>
      <c r="K835" s="12"/>
      <c r="L835" s="12"/>
      <c r="M835" s="12"/>
      <c r="N835" s="12"/>
      <c r="O835" s="12"/>
      <c r="P835" s="12"/>
      <c r="Q835" s="12"/>
      <c r="R835" s="12"/>
    </row>
    <row r="836" spans="1:20" x14ac:dyDescent="0.25">
      <c r="A836" s="13" t="s">
        <v>1713</v>
      </c>
      <c r="B836" s="13" t="s">
        <v>1714</v>
      </c>
      <c r="C836" s="13" t="s">
        <v>69</v>
      </c>
      <c r="D836" s="13" t="s">
        <v>326</v>
      </c>
      <c r="E836" s="13" t="str">
        <f>IFERROR(INDEX('Почасовка — ставки и план'!$B$5:$B$24,MATCH(D836,'Почасовка — ставки и план'!$A$5:$A$24,0)),"Аренда техники / механизмы")</f>
        <v>Сантехник</v>
      </c>
      <c r="F836" s="14">
        <v>350</v>
      </c>
      <c r="G836" s="14">
        <v>402</v>
      </c>
      <c r="H836" s="15">
        <v>217</v>
      </c>
      <c r="I836" s="15">
        <f>IF(OR(H836="",F836=""),"",MAX(H836,MIN(ROUND(H836*(1+Параметры!$B$5),IF(H836*(1+Параметры!$B$5)&gt;=1000,-1,0)),ROUND(F836*Параметры!$B$6,IF(F836*Параметры!$B$6&gt;=1000,-1,0)))))</f>
        <v>250</v>
      </c>
      <c r="J836" s="15">
        <v>250</v>
      </c>
      <c r="K836" s="15">
        <f>IF(OR(J836="",G836=""),"",MAX(J836,MIN(ROUND(J836*(1+Параметры!$B$5),IF(J836*(1+Параметры!$B$5)&gt;=1000,-1,0)),ROUND(G836*Параметры!$B$6,IF(G836*Параметры!$B$6&gt;=1000,-1,0)))))</f>
        <v>288</v>
      </c>
      <c r="L836" s="16">
        <v>0.25</v>
      </c>
      <c r="M836" s="17">
        <f t="shared" ref="M836:M867" si="72">IF(OR(L836="",L836=0),"",1/L836)</f>
        <v>4</v>
      </c>
      <c r="N836" s="17">
        <f>IF(OR(L836="",L836=0),"",Параметры!$B$3/L836)</f>
        <v>32</v>
      </c>
      <c r="O836" s="15">
        <f>IF(L836="","",IFERROR(INDEX('Почасовка — ставки и план'!$D$5:$D$24,MATCH($D836,'Почасовка — ставки и план'!$A$5:$A$24,0)),""))</f>
        <v>850</v>
      </c>
      <c r="P836" s="15">
        <f>IF(L836="","",IFERROR(INDEX('Почасовка — ставки и план'!$E$5:$E$24,MATCH($D836,'Почасовка — ставки и план'!$A$5:$A$24,0)),""))</f>
        <v>1020</v>
      </c>
      <c r="Q836" s="15">
        <f t="shared" ref="Q836:Q867" si="73">IF(OR(L836="",O836=""),"",ROUND(L836*O836,0))</f>
        <v>213</v>
      </c>
      <c r="R836" s="13" t="str">
        <f>IF(D836="TEX","аренда техники — сделка/счёт",IF(OR(Q836="",H836="",H836=0),"—",IF(Q836&lt;H836*(1-Параметры!$B$7),"почасовка",IF(Q836&gt;H836*(1+Параметры!$B$7),"сделка","любой способ"))))</f>
        <v>любой способ</v>
      </c>
      <c r="S836">
        <v>0</v>
      </c>
      <c r="T836">
        <v>0</v>
      </c>
    </row>
    <row r="837" spans="1:20" x14ac:dyDescent="0.25">
      <c r="A837" s="13" t="s">
        <v>1715</v>
      </c>
      <c r="B837" s="13" t="s">
        <v>1716</v>
      </c>
      <c r="C837" s="13" t="s">
        <v>69</v>
      </c>
      <c r="D837" s="13" t="s">
        <v>326</v>
      </c>
      <c r="E837" s="13" t="str">
        <f>IFERROR(INDEX('Почасовка — ставки и план'!$B$5:$B$24,MATCH(D837,'Почасовка — ставки и план'!$A$5:$A$24,0)),"Аренда техники / механизмы")</f>
        <v>Сантехник</v>
      </c>
      <c r="F837" s="14">
        <v>450</v>
      </c>
      <c r="G837" s="14">
        <v>518</v>
      </c>
      <c r="H837" s="15">
        <v>279</v>
      </c>
      <c r="I837" s="15">
        <f>IF(OR(H837="",F837=""),"",MAX(H837,MIN(ROUND(H837*(1+Параметры!$B$5),IF(H837*(1+Параметры!$B$5)&gt;=1000,-1,0)),ROUND(F837*Параметры!$B$6,IF(F837*Параметры!$B$6&gt;=1000,-1,0)))))</f>
        <v>321</v>
      </c>
      <c r="J837" s="15">
        <v>321</v>
      </c>
      <c r="K837" s="15">
        <f>IF(OR(J837="",G837=""),"",MAX(J837,MIN(ROUND(J837*(1+Параметры!$B$5),IF(J837*(1+Параметры!$B$5)&gt;=1000,-1,0)),ROUND(G837*Параметры!$B$6,IF(G837*Параметры!$B$6&gt;=1000,-1,0)))))</f>
        <v>369</v>
      </c>
      <c r="L837" s="16">
        <v>0.2</v>
      </c>
      <c r="M837" s="17">
        <f t="shared" si="72"/>
        <v>5</v>
      </c>
      <c r="N837" s="17">
        <f>IF(OR(L837="",L837=0),"",Параметры!$B$3/L837)</f>
        <v>40</v>
      </c>
      <c r="O837" s="15">
        <f>IF(L837="","",IFERROR(INDEX('Почасовка — ставки и план'!$D$5:$D$24,MATCH($D837,'Почасовка — ставки и план'!$A$5:$A$24,0)),""))</f>
        <v>850</v>
      </c>
      <c r="P837" s="15">
        <f>IF(L837="","",IFERROR(INDEX('Почасовка — ставки и план'!$E$5:$E$24,MATCH($D837,'Почасовка — ставки и план'!$A$5:$A$24,0)),""))</f>
        <v>1020</v>
      </c>
      <c r="Q837" s="15">
        <f t="shared" si="73"/>
        <v>170</v>
      </c>
      <c r="R837" s="13" t="str">
        <f>IF(D837="TEX","аренда техники — сделка/счёт",IF(OR(Q837="",H837="",H837=0),"—",IF(Q837&lt;H837*(1-Параметры!$B$7),"почасовка",IF(Q837&gt;H837*(1+Параметры!$B$7),"сделка","любой способ"))))</f>
        <v>почасовка</v>
      </c>
      <c r="S837">
        <v>0</v>
      </c>
      <c r="T837">
        <v>0</v>
      </c>
    </row>
    <row r="838" spans="1:20" x14ac:dyDescent="0.25">
      <c r="A838" s="13" t="s">
        <v>1717</v>
      </c>
      <c r="B838" s="13" t="s">
        <v>1718</v>
      </c>
      <c r="C838" s="13" t="s">
        <v>144</v>
      </c>
      <c r="D838" s="13" t="s">
        <v>326</v>
      </c>
      <c r="E838" s="13" t="str">
        <f>IFERROR(INDEX('Почасовка — ставки и план'!$B$5:$B$24,MATCH(D838,'Почасовка — ставки и план'!$A$5:$A$24,0)),"Аренда техники / механизмы")</f>
        <v>Сантехник</v>
      </c>
      <c r="F838" s="14">
        <v>1500</v>
      </c>
      <c r="G838" s="14">
        <v>1725</v>
      </c>
      <c r="H838" s="15">
        <v>930</v>
      </c>
      <c r="I838" s="15">
        <f>IF(OR(H838="",F838=""),"",MAX(H838,MIN(ROUND(H838*(1+Параметры!$B$5),IF(H838*(1+Параметры!$B$5)&gt;=1000,-1,0)),ROUND(F838*Параметры!$B$6,IF(F838*Параметры!$B$6&gt;=1000,-1,0)))))</f>
        <v>1070</v>
      </c>
      <c r="J838" s="15">
        <v>1069</v>
      </c>
      <c r="K838" s="15">
        <f>IF(OR(J838="",G838=""),"",MAX(J838,MIN(ROUND(J838*(1+Параметры!$B$5),IF(J838*(1+Параметры!$B$5)&gt;=1000,-1,0)),ROUND(G838*Параметры!$B$6,IF(G838*Параметры!$B$6&gt;=1000,-1,0)))))</f>
        <v>1230</v>
      </c>
      <c r="L838" s="16">
        <v>0.8</v>
      </c>
      <c r="M838" s="17">
        <f t="shared" si="72"/>
        <v>1.25</v>
      </c>
      <c r="N838" s="17">
        <f>IF(OR(L838="",L838=0),"",Параметры!$B$3/L838)</f>
        <v>10</v>
      </c>
      <c r="O838" s="15">
        <f>IF(L838="","",IFERROR(INDEX('Почасовка — ставки и план'!$D$5:$D$24,MATCH($D838,'Почасовка — ставки и план'!$A$5:$A$24,0)),""))</f>
        <v>850</v>
      </c>
      <c r="P838" s="15">
        <f>IF(L838="","",IFERROR(INDEX('Почасовка — ставки и план'!$E$5:$E$24,MATCH($D838,'Почасовка — ставки и план'!$A$5:$A$24,0)),""))</f>
        <v>1020</v>
      </c>
      <c r="Q838" s="15">
        <f t="shared" si="73"/>
        <v>680</v>
      </c>
      <c r="R838" s="13" t="str">
        <f>IF(D838="TEX","аренда техники — сделка/счёт",IF(OR(Q838="",H838="",H838=0),"—",IF(Q838&lt;H838*(1-Параметры!$B$7),"почасовка",IF(Q838&gt;H838*(1+Параметры!$B$7),"сделка","любой способ"))))</f>
        <v>почасовка</v>
      </c>
      <c r="S838">
        <v>0</v>
      </c>
      <c r="T838">
        <v>0</v>
      </c>
    </row>
    <row r="839" spans="1:20" x14ac:dyDescent="0.25">
      <c r="A839" s="13" t="s">
        <v>1719</v>
      </c>
      <c r="B839" s="13" t="s">
        <v>1720</v>
      </c>
      <c r="C839" s="13" t="s">
        <v>144</v>
      </c>
      <c r="D839" s="13" t="s">
        <v>326</v>
      </c>
      <c r="E839" s="13" t="str">
        <f>IFERROR(INDEX('Почасовка — ставки и план'!$B$5:$B$24,MATCH(D839,'Почасовка — ставки и план'!$A$5:$A$24,0)),"Аренда техники / механизмы")</f>
        <v>Сантехник</v>
      </c>
      <c r="F839" s="14">
        <v>800</v>
      </c>
      <c r="G839" s="14">
        <v>920</v>
      </c>
      <c r="H839" s="15">
        <v>496</v>
      </c>
      <c r="I839" s="15">
        <f>IF(OR(H839="",F839=""),"",MAX(H839,MIN(ROUND(H839*(1+Параметры!$B$5),IF(H839*(1+Параметры!$B$5)&gt;=1000,-1,0)),ROUND(F839*Параметры!$B$6,IF(F839*Параметры!$B$6&gt;=1000,-1,0)))))</f>
        <v>570</v>
      </c>
      <c r="J839" s="15">
        <v>570</v>
      </c>
      <c r="K839" s="15">
        <f>IF(OR(J839="",G839=""),"",MAX(J839,MIN(ROUND(J839*(1+Параметры!$B$5),IF(J839*(1+Параметры!$B$5)&gt;=1000,-1,0)),ROUND(G839*Параметры!$B$6,IF(G839*Параметры!$B$6&gt;=1000,-1,0)))))</f>
        <v>656</v>
      </c>
      <c r="L839" s="16">
        <v>0.5</v>
      </c>
      <c r="M839" s="17">
        <f t="shared" si="72"/>
        <v>2</v>
      </c>
      <c r="N839" s="17">
        <f>IF(OR(L839="",L839=0),"",Параметры!$B$3/L839)</f>
        <v>16</v>
      </c>
      <c r="O839" s="15">
        <f>IF(L839="","",IFERROR(INDEX('Почасовка — ставки и план'!$D$5:$D$24,MATCH($D839,'Почасовка — ставки и план'!$A$5:$A$24,0)),""))</f>
        <v>850</v>
      </c>
      <c r="P839" s="15">
        <f>IF(L839="","",IFERROR(INDEX('Почасовка — ставки и план'!$E$5:$E$24,MATCH($D839,'Почасовка — ставки и план'!$A$5:$A$24,0)),""))</f>
        <v>1020</v>
      </c>
      <c r="Q839" s="15">
        <f t="shared" si="73"/>
        <v>425</v>
      </c>
      <c r="R839" s="13" t="str">
        <f>IF(D839="TEX","аренда техники — сделка/счёт",IF(OR(Q839="",H839="",H839=0),"—",IF(Q839&lt;H839*(1-Параметры!$B$7),"почасовка",IF(Q839&gt;H839*(1+Параметры!$B$7),"сделка","любой способ"))))</f>
        <v>почасовка</v>
      </c>
      <c r="S839">
        <v>0</v>
      </c>
      <c r="T839">
        <v>0</v>
      </c>
    </row>
    <row r="840" spans="1:20" x14ac:dyDescent="0.25">
      <c r="A840" s="13" t="s">
        <v>1721</v>
      </c>
      <c r="B840" s="13" t="s">
        <v>1722</v>
      </c>
      <c r="C840" s="13" t="s">
        <v>144</v>
      </c>
      <c r="D840" s="13" t="s">
        <v>326</v>
      </c>
      <c r="E840" s="13" t="str">
        <f>IFERROR(INDEX('Почасовка — ставки и план'!$B$5:$B$24,MATCH(D840,'Почасовка — ставки и план'!$A$5:$A$24,0)),"Аренда техники / механизмы")</f>
        <v>Сантехник</v>
      </c>
      <c r="F840" s="14">
        <v>850</v>
      </c>
      <c r="G840" s="14">
        <v>977</v>
      </c>
      <c r="H840" s="15">
        <v>527</v>
      </c>
      <c r="I840" s="15">
        <f>IF(OR(H840="",F840=""),"",MAX(H840,MIN(ROUND(H840*(1+Параметры!$B$5),IF(H840*(1+Параметры!$B$5)&gt;=1000,-1,0)),ROUND(F840*Параметры!$B$6,IF(F840*Параметры!$B$6&gt;=1000,-1,0)))))</f>
        <v>606</v>
      </c>
      <c r="J840" s="15">
        <v>606</v>
      </c>
      <c r="K840" s="15">
        <f>IF(OR(J840="",G840=""),"",MAX(J840,MIN(ROUND(J840*(1+Параметры!$B$5),IF(J840*(1+Параметры!$B$5)&gt;=1000,-1,0)),ROUND(G840*Параметры!$B$6,IF(G840*Параметры!$B$6&gt;=1000,-1,0)))))</f>
        <v>697</v>
      </c>
      <c r="L840" s="16">
        <v>0.4</v>
      </c>
      <c r="M840" s="17">
        <f t="shared" si="72"/>
        <v>2.5</v>
      </c>
      <c r="N840" s="17">
        <f>IF(OR(L840="",L840=0),"",Параметры!$B$3/L840)</f>
        <v>20</v>
      </c>
      <c r="O840" s="15">
        <f>IF(L840="","",IFERROR(INDEX('Почасовка — ставки и план'!$D$5:$D$24,MATCH($D840,'Почасовка — ставки и план'!$A$5:$A$24,0)),""))</f>
        <v>850</v>
      </c>
      <c r="P840" s="15">
        <f>IF(L840="","",IFERROR(INDEX('Почасовка — ставки и план'!$E$5:$E$24,MATCH($D840,'Почасовка — ставки и план'!$A$5:$A$24,0)),""))</f>
        <v>1020</v>
      </c>
      <c r="Q840" s="15">
        <f t="shared" si="73"/>
        <v>340</v>
      </c>
      <c r="R840" s="13" t="str">
        <f>IF(D840="TEX","аренда техники — сделка/счёт",IF(OR(Q840="",H840="",H840=0),"—",IF(Q840&lt;H840*(1-Параметры!$B$7),"почасовка",IF(Q840&gt;H840*(1+Параметры!$B$7),"сделка","любой способ"))))</f>
        <v>почасовка</v>
      </c>
      <c r="S840">
        <v>0</v>
      </c>
      <c r="T840">
        <v>0</v>
      </c>
    </row>
    <row r="841" spans="1:20" x14ac:dyDescent="0.25">
      <c r="A841" s="13" t="s">
        <v>1723</v>
      </c>
      <c r="B841" s="13" t="s">
        <v>1724</v>
      </c>
      <c r="C841" s="13" t="s">
        <v>144</v>
      </c>
      <c r="D841" s="13" t="s">
        <v>326</v>
      </c>
      <c r="E841" s="13" t="str">
        <f>IFERROR(INDEX('Почасовка — ставки и план'!$B$5:$B$24,MATCH(D841,'Почасовка — ставки и план'!$A$5:$A$24,0)),"Аренда техники / механизмы")</f>
        <v>Сантехник</v>
      </c>
      <c r="F841" s="14">
        <v>1500</v>
      </c>
      <c r="G841" s="14">
        <v>1725</v>
      </c>
      <c r="H841" s="15">
        <v>930</v>
      </c>
      <c r="I841" s="15">
        <f>IF(OR(H841="",F841=""),"",MAX(H841,MIN(ROUND(H841*(1+Параметры!$B$5),IF(H841*(1+Параметры!$B$5)&gt;=1000,-1,0)),ROUND(F841*Параметры!$B$6,IF(F841*Параметры!$B$6&gt;=1000,-1,0)))))</f>
        <v>1070</v>
      </c>
      <c r="J841" s="15">
        <v>1069</v>
      </c>
      <c r="K841" s="15">
        <f>IF(OR(J841="",G841=""),"",MAX(J841,MIN(ROUND(J841*(1+Параметры!$B$5),IF(J841*(1+Параметры!$B$5)&gt;=1000,-1,0)),ROUND(G841*Параметры!$B$6,IF(G841*Параметры!$B$6&gt;=1000,-1,0)))))</f>
        <v>1230</v>
      </c>
      <c r="L841" s="16">
        <v>1</v>
      </c>
      <c r="M841" s="17">
        <f t="shared" si="72"/>
        <v>1</v>
      </c>
      <c r="N841" s="17">
        <f>IF(OR(L841="",L841=0),"",Параметры!$B$3/L841)</f>
        <v>8</v>
      </c>
      <c r="O841" s="15">
        <f>IF(L841="","",IFERROR(INDEX('Почасовка — ставки и план'!$D$5:$D$24,MATCH($D841,'Почасовка — ставки и план'!$A$5:$A$24,0)),""))</f>
        <v>850</v>
      </c>
      <c r="P841" s="15">
        <f>IF(L841="","",IFERROR(INDEX('Почасовка — ставки и план'!$E$5:$E$24,MATCH($D841,'Почасовка — ставки и план'!$A$5:$A$24,0)),""))</f>
        <v>1020</v>
      </c>
      <c r="Q841" s="15">
        <f t="shared" si="73"/>
        <v>850</v>
      </c>
      <c r="R841" s="13" t="str">
        <f>IF(D841="TEX","аренда техники — сделка/счёт",IF(OR(Q841="",H841="",H841=0),"—",IF(Q841&lt;H841*(1-Параметры!$B$7),"почасовка",IF(Q841&gt;H841*(1+Параметры!$B$7),"сделка","любой способ"))))</f>
        <v>любой способ</v>
      </c>
      <c r="S841">
        <v>0</v>
      </c>
      <c r="T841">
        <v>0</v>
      </c>
    </row>
    <row r="842" spans="1:20" x14ac:dyDescent="0.25">
      <c r="A842" s="13" t="s">
        <v>1725</v>
      </c>
      <c r="B842" s="13" t="s">
        <v>1726</v>
      </c>
      <c r="C842" s="13" t="s">
        <v>144</v>
      </c>
      <c r="D842" s="13" t="s">
        <v>326</v>
      </c>
      <c r="E842" s="13" t="str">
        <f>IFERROR(INDEX('Почасовка — ставки и план'!$B$5:$B$24,MATCH(D842,'Почасовка — ставки и план'!$A$5:$A$24,0)),"Аренда техники / механизмы")</f>
        <v>Сантехник</v>
      </c>
      <c r="F842" s="14">
        <v>600</v>
      </c>
      <c r="G842" s="14">
        <v>690</v>
      </c>
      <c r="H842" s="15">
        <v>372</v>
      </c>
      <c r="I842" s="15">
        <f>IF(OR(H842="",F842=""),"",MAX(H842,MIN(ROUND(H842*(1+Параметры!$B$5),IF(H842*(1+Параметры!$B$5)&gt;=1000,-1,0)),ROUND(F842*Параметры!$B$6,IF(F842*Параметры!$B$6&gt;=1000,-1,0)))))</f>
        <v>428</v>
      </c>
      <c r="J842" s="15">
        <v>428</v>
      </c>
      <c r="K842" s="15">
        <f>IF(OR(J842="",G842=""),"",MAX(J842,MIN(ROUND(J842*(1+Параметры!$B$5),IF(J842*(1+Параметры!$B$5)&gt;=1000,-1,0)),ROUND(G842*Параметры!$B$6,IF(G842*Параметры!$B$6&gt;=1000,-1,0)))))</f>
        <v>492</v>
      </c>
      <c r="L842" s="16">
        <v>0.3</v>
      </c>
      <c r="M842" s="17">
        <f t="shared" si="72"/>
        <v>3.3333333333333335</v>
      </c>
      <c r="N842" s="17">
        <f>IF(OR(L842="",L842=0),"",Параметры!$B$3/L842)</f>
        <v>26.666666666666668</v>
      </c>
      <c r="O842" s="15">
        <f>IF(L842="","",IFERROR(INDEX('Почасовка — ставки и план'!$D$5:$D$24,MATCH($D842,'Почасовка — ставки и план'!$A$5:$A$24,0)),""))</f>
        <v>850</v>
      </c>
      <c r="P842" s="15">
        <f>IF(L842="","",IFERROR(INDEX('Почасовка — ставки и план'!$E$5:$E$24,MATCH($D842,'Почасовка — ставки и план'!$A$5:$A$24,0)),""))</f>
        <v>1020</v>
      </c>
      <c r="Q842" s="15">
        <f t="shared" si="73"/>
        <v>255</v>
      </c>
      <c r="R842" s="13" t="str">
        <f>IF(D842="TEX","аренда техники — сделка/счёт",IF(OR(Q842="",H842="",H842=0),"—",IF(Q842&lt;H842*(1-Параметры!$B$7),"почасовка",IF(Q842&gt;H842*(1+Параметры!$B$7),"сделка","любой способ"))))</f>
        <v>почасовка</v>
      </c>
      <c r="S842">
        <v>0</v>
      </c>
      <c r="T842">
        <v>0</v>
      </c>
    </row>
    <row r="843" spans="1:20" x14ac:dyDescent="0.25">
      <c r="A843" s="13" t="s">
        <v>1727</v>
      </c>
      <c r="B843" s="13" t="s">
        <v>1728</v>
      </c>
      <c r="C843" s="13" t="s">
        <v>144</v>
      </c>
      <c r="D843" s="13" t="s">
        <v>326</v>
      </c>
      <c r="E843" s="13" t="str">
        <f>IFERROR(INDEX('Почасовка — ставки и план'!$B$5:$B$24,MATCH(D843,'Почасовка — ставки и план'!$A$5:$A$24,0)),"Аренда техники / механизмы")</f>
        <v>Сантехник</v>
      </c>
      <c r="F843" s="14">
        <v>850</v>
      </c>
      <c r="G843" s="14">
        <v>977</v>
      </c>
      <c r="H843" s="15">
        <v>527</v>
      </c>
      <c r="I843" s="15">
        <f>IF(OR(H843="",F843=""),"",MAX(H843,MIN(ROUND(H843*(1+Параметры!$B$5),IF(H843*(1+Параметры!$B$5)&gt;=1000,-1,0)),ROUND(F843*Параметры!$B$6,IF(F843*Параметры!$B$6&gt;=1000,-1,0)))))</f>
        <v>606</v>
      </c>
      <c r="J843" s="15">
        <v>606</v>
      </c>
      <c r="K843" s="15">
        <f>IF(OR(J843="",G843=""),"",MAX(J843,MIN(ROUND(J843*(1+Параметры!$B$5),IF(J843*(1+Параметры!$B$5)&gt;=1000,-1,0)),ROUND(G843*Параметры!$B$6,IF(G843*Параметры!$B$6&gt;=1000,-1,0)))))</f>
        <v>697</v>
      </c>
      <c r="L843" s="16">
        <v>0.5</v>
      </c>
      <c r="M843" s="17">
        <f t="shared" si="72"/>
        <v>2</v>
      </c>
      <c r="N843" s="17">
        <f>IF(OR(L843="",L843=0),"",Параметры!$B$3/L843)</f>
        <v>16</v>
      </c>
      <c r="O843" s="15">
        <f>IF(L843="","",IFERROR(INDEX('Почасовка — ставки и план'!$D$5:$D$24,MATCH($D843,'Почасовка — ставки и план'!$A$5:$A$24,0)),""))</f>
        <v>850</v>
      </c>
      <c r="P843" s="15">
        <f>IF(L843="","",IFERROR(INDEX('Почасовка — ставки и план'!$E$5:$E$24,MATCH($D843,'Почасовка — ставки и план'!$A$5:$A$24,0)),""))</f>
        <v>1020</v>
      </c>
      <c r="Q843" s="15">
        <f t="shared" si="73"/>
        <v>425</v>
      </c>
      <c r="R843" s="13" t="str">
        <f>IF(D843="TEX","аренда техники — сделка/счёт",IF(OR(Q843="",H843="",H843=0),"—",IF(Q843&lt;H843*(1-Параметры!$B$7),"почасовка",IF(Q843&gt;H843*(1+Параметры!$B$7),"сделка","любой способ"))))</f>
        <v>почасовка</v>
      </c>
      <c r="S843">
        <v>0</v>
      </c>
      <c r="T843">
        <v>0</v>
      </c>
    </row>
    <row r="844" spans="1:20" x14ac:dyDescent="0.25">
      <c r="A844" s="13" t="s">
        <v>1729</v>
      </c>
      <c r="B844" s="13" t="s">
        <v>1730</v>
      </c>
      <c r="C844" s="13" t="s">
        <v>144</v>
      </c>
      <c r="D844" s="13" t="s">
        <v>326</v>
      </c>
      <c r="E844" s="13" t="str">
        <f>IFERROR(INDEX('Почасовка — ставки и план'!$B$5:$B$24,MATCH(D844,'Почасовка — ставки и план'!$A$5:$A$24,0)),"Аренда техники / механизмы")</f>
        <v>Сантехник</v>
      </c>
      <c r="F844" s="14">
        <v>750</v>
      </c>
      <c r="G844" s="14">
        <v>862</v>
      </c>
      <c r="H844" s="15">
        <v>465</v>
      </c>
      <c r="I844" s="15">
        <f>IF(OR(H844="",F844=""),"",MAX(H844,MIN(ROUND(H844*(1+Параметры!$B$5),IF(H844*(1+Параметры!$B$5)&gt;=1000,-1,0)),ROUND(F844*Параметры!$B$6,IF(F844*Параметры!$B$6&gt;=1000,-1,0)))))</f>
        <v>535</v>
      </c>
      <c r="J844" s="15">
        <v>535</v>
      </c>
      <c r="K844" s="15">
        <f>IF(OR(J844="",G844=""),"",MAX(J844,MIN(ROUND(J844*(1+Параметры!$B$5),IF(J844*(1+Параметры!$B$5)&gt;=1000,-1,0)),ROUND(G844*Параметры!$B$6,IF(G844*Параметры!$B$6&gt;=1000,-1,0)))))</f>
        <v>615</v>
      </c>
      <c r="L844" s="16">
        <v>0.6</v>
      </c>
      <c r="M844" s="17">
        <f t="shared" si="72"/>
        <v>1.6666666666666667</v>
      </c>
      <c r="N844" s="17">
        <f>IF(OR(L844="",L844=0),"",Параметры!$B$3/L844)</f>
        <v>13.333333333333334</v>
      </c>
      <c r="O844" s="15">
        <f>IF(L844="","",IFERROR(INDEX('Почасовка — ставки и план'!$D$5:$D$24,MATCH($D844,'Почасовка — ставки и план'!$A$5:$A$24,0)),""))</f>
        <v>850</v>
      </c>
      <c r="P844" s="15">
        <f>IF(L844="","",IFERROR(INDEX('Почасовка — ставки и план'!$E$5:$E$24,MATCH($D844,'Почасовка — ставки и план'!$A$5:$A$24,0)),""))</f>
        <v>1020</v>
      </c>
      <c r="Q844" s="15">
        <f t="shared" si="73"/>
        <v>510</v>
      </c>
      <c r="R844" s="13" t="str">
        <f>IF(D844="TEX","аренда техники — сделка/счёт",IF(OR(Q844="",H844="",H844=0),"—",IF(Q844&lt;H844*(1-Параметры!$B$7),"почасовка",IF(Q844&gt;H844*(1+Параметры!$B$7),"сделка","любой способ"))))</f>
        <v>любой способ</v>
      </c>
      <c r="S844">
        <v>0</v>
      </c>
      <c r="T844">
        <v>0</v>
      </c>
    </row>
    <row r="845" spans="1:20" x14ac:dyDescent="0.25">
      <c r="A845" s="13" t="s">
        <v>1731</v>
      </c>
      <c r="B845" s="13" t="s">
        <v>1732</v>
      </c>
      <c r="C845" s="13" t="s">
        <v>144</v>
      </c>
      <c r="D845" s="13" t="s">
        <v>326</v>
      </c>
      <c r="E845" s="13" t="str">
        <f>IFERROR(INDEX('Почасовка — ставки и план'!$B$5:$B$24,MATCH(D845,'Почасовка — ставки и план'!$A$5:$A$24,0)),"Аренда техники / механизмы")</f>
        <v>Сантехник</v>
      </c>
      <c r="F845" s="14">
        <v>300</v>
      </c>
      <c r="G845" s="14">
        <v>345</v>
      </c>
      <c r="H845" s="15">
        <v>186</v>
      </c>
      <c r="I845" s="15">
        <f>IF(OR(H845="",F845=""),"",MAX(H845,MIN(ROUND(H845*(1+Параметры!$B$5),IF(H845*(1+Параметры!$B$5)&gt;=1000,-1,0)),ROUND(F845*Параметры!$B$6,IF(F845*Параметры!$B$6&gt;=1000,-1,0)))))</f>
        <v>214</v>
      </c>
      <c r="J845" s="15">
        <v>214</v>
      </c>
      <c r="K845" s="15">
        <f>IF(OR(J845="",G845=""),"",MAX(J845,MIN(ROUND(J845*(1+Параметры!$B$5),IF(J845*(1+Параметры!$B$5)&gt;=1000,-1,0)),ROUND(G845*Параметры!$B$6,IF(G845*Параметры!$B$6&gt;=1000,-1,0)))))</f>
        <v>246</v>
      </c>
      <c r="L845" s="16">
        <v>0.25</v>
      </c>
      <c r="M845" s="17">
        <f t="shared" si="72"/>
        <v>4</v>
      </c>
      <c r="N845" s="17">
        <f>IF(OR(L845="",L845=0),"",Параметры!$B$3/L845)</f>
        <v>32</v>
      </c>
      <c r="O845" s="15">
        <f>IF(L845="","",IFERROR(INDEX('Почасовка — ставки и план'!$D$5:$D$24,MATCH($D845,'Почасовка — ставки и план'!$A$5:$A$24,0)),""))</f>
        <v>850</v>
      </c>
      <c r="P845" s="15">
        <f>IF(L845="","",IFERROR(INDEX('Почасовка — ставки и план'!$E$5:$E$24,MATCH($D845,'Почасовка — ставки и план'!$A$5:$A$24,0)),""))</f>
        <v>1020</v>
      </c>
      <c r="Q845" s="15">
        <f t="shared" si="73"/>
        <v>213</v>
      </c>
      <c r="R845" s="13" t="str">
        <f>IF(D845="TEX","аренда техники — сделка/счёт",IF(OR(Q845="",H845="",H845=0),"—",IF(Q845&lt;H845*(1-Параметры!$B$7),"почасовка",IF(Q845&gt;H845*(1+Параметры!$B$7),"сделка","любой способ"))))</f>
        <v>сделка</v>
      </c>
      <c r="S845">
        <v>0</v>
      </c>
      <c r="T845">
        <v>0</v>
      </c>
    </row>
    <row r="846" spans="1:20" x14ac:dyDescent="0.25">
      <c r="A846" s="13" t="s">
        <v>1733</v>
      </c>
      <c r="B846" s="13" t="s">
        <v>1734</v>
      </c>
      <c r="C846" s="13" t="s">
        <v>1735</v>
      </c>
      <c r="D846" s="13" t="s">
        <v>326</v>
      </c>
      <c r="E846" s="13" t="str">
        <f>IFERROR(INDEX('Почасовка — ставки и план'!$B$5:$B$24,MATCH(D846,'Почасовка — ставки и план'!$A$5:$A$24,0)),"Аренда техники / механизмы")</f>
        <v>Сантехник</v>
      </c>
      <c r="F846" s="14">
        <v>2500</v>
      </c>
      <c r="G846" s="14">
        <v>2875</v>
      </c>
      <c r="H846" s="15">
        <v>1550</v>
      </c>
      <c r="I846" s="15">
        <f>IF(OR(H846="",F846=""),"",MAX(H846,MIN(ROUND(H846*(1+Параметры!$B$5),IF(H846*(1+Параметры!$B$5)&gt;=1000,-1,0)),ROUND(F846*Параметры!$B$6,IF(F846*Параметры!$B$6&gt;=1000,-1,0)))))</f>
        <v>1780</v>
      </c>
      <c r="J846" s="15">
        <v>1782</v>
      </c>
      <c r="K846" s="15">
        <f>IF(OR(J846="",G846=""),"",MAX(J846,MIN(ROUND(J846*(1+Параметры!$B$5),IF(J846*(1+Параметры!$B$5)&gt;=1000,-1,0)),ROUND(G846*Параметры!$B$6,IF(G846*Параметры!$B$6&gt;=1000,-1,0)))))</f>
        <v>2050</v>
      </c>
      <c r="L846" s="16">
        <v>2</v>
      </c>
      <c r="M846" s="17">
        <f t="shared" si="72"/>
        <v>0.5</v>
      </c>
      <c r="N846" s="17">
        <f>IF(OR(L846="",L846=0),"",Параметры!$B$3/L846)</f>
        <v>4</v>
      </c>
      <c r="O846" s="15">
        <f>IF(L846="","",IFERROR(INDEX('Почасовка — ставки и план'!$D$5:$D$24,MATCH($D846,'Почасовка — ставки и план'!$A$5:$A$24,0)),""))</f>
        <v>850</v>
      </c>
      <c r="P846" s="15">
        <f>IF(L846="","",IFERROR(INDEX('Почасовка — ставки и план'!$E$5:$E$24,MATCH($D846,'Почасовка — ставки и план'!$A$5:$A$24,0)),""))</f>
        <v>1020</v>
      </c>
      <c r="Q846" s="15">
        <f t="shared" si="73"/>
        <v>1700</v>
      </c>
      <c r="R846" s="13" t="str">
        <f>IF(D846="TEX","аренда техники — сделка/счёт",IF(OR(Q846="",H846="",H846=0),"—",IF(Q846&lt;H846*(1-Параметры!$B$7),"почасовка",IF(Q846&gt;H846*(1+Параметры!$B$7),"сделка","любой способ"))))</f>
        <v>любой способ</v>
      </c>
      <c r="S846">
        <v>0</v>
      </c>
      <c r="T846">
        <v>0</v>
      </c>
    </row>
    <row r="847" spans="1:20" x14ac:dyDescent="0.25">
      <c r="A847" s="13" t="s">
        <v>1736</v>
      </c>
      <c r="B847" s="13" t="s">
        <v>1737</v>
      </c>
      <c r="C847" s="13" t="s">
        <v>865</v>
      </c>
      <c r="D847" s="13" t="s">
        <v>326</v>
      </c>
      <c r="E847" s="13" t="str">
        <f>IFERROR(INDEX('Почасовка — ставки и план'!$B$5:$B$24,MATCH(D847,'Почасовка — ставки и план'!$A$5:$A$24,0)),"Аренда техники / механизмы")</f>
        <v>Сантехник</v>
      </c>
      <c r="F847" s="14">
        <v>4500</v>
      </c>
      <c r="G847" s="14">
        <v>5040</v>
      </c>
      <c r="H847" s="15">
        <v>2790</v>
      </c>
      <c r="I847" s="15">
        <f>IF(OR(H847="",F847=""),"",MAX(H847,MIN(ROUND(H847*(1+Параметры!$B$5),IF(H847*(1+Параметры!$B$5)&gt;=1000,-1,0)),ROUND(F847*Параметры!$B$6,IF(F847*Параметры!$B$6&gt;=1000,-1,0)))))</f>
        <v>3210</v>
      </c>
      <c r="J847" s="15">
        <v>3125</v>
      </c>
      <c r="K847" s="15">
        <f>IF(OR(J847="",G847=""),"",MAX(J847,MIN(ROUND(J847*(1+Параметры!$B$5),IF(J847*(1+Параметры!$B$5)&gt;=1000,-1,0)),ROUND(G847*Параметры!$B$6,IF(G847*Параметры!$B$6&gt;=1000,-1,0)))))</f>
        <v>3590</v>
      </c>
      <c r="L847" s="16">
        <v>3</v>
      </c>
      <c r="M847" s="17">
        <f t="shared" si="72"/>
        <v>0.33333333333333331</v>
      </c>
      <c r="N847" s="17">
        <f>IF(OR(L847="",L847=0),"",Параметры!$B$3/L847)</f>
        <v>2.6666666666666665</v>
      </c>
      <c r="O847" s="15">
        <f>IF(L847="","",IFERROR(INDEX('Почасовка — ставки и план'!$D$5:$D$24,MATCH($D847,'Почасовка — ставки и план'!$A$5:$A$24,0)),""))</f>
        <v>850</v>
      </c>
      <c r="P847" s="15">
        <f>IF(L847="","",IFERROR(INDEX('Почасовка — ставки и план'!$E$5:$E$24,MATCH($D847,'Почасовка — ставки и план'!$A$5:$A$24,0)),""))</f>
        <v>1020</v>
      </c>
      <c r="Q847" s="15">
        <f t="shared" si="73"/>
        <v>2550</v>
      </c>
      <c r="R847" s="13" t="str">
        <f>IF(D847="TEX","аренда техники — сделка/счёт",IF(OR(Q847="",H847="",H847=0),"—",IF(Q847&lt;H847*(1-Параметры!$B$7),"почасовка",IF(Q847&gt;H847*(1+Параметры!$B$7),"сделка","любой способ"))))</f>
        <v>любой способ</v>
      </c>
      <c r="S847">
        <v>0</v>
      </c>
      <c r="T847">
        <v>0</v>
      </c>
    </row>
    <row r="848" spans="1:20" x14ac:dyDescent="0.25">
      <c r="A848" s="13" t="s">
        <v>1738</v>
      </c>
      <c r="B848" s="13" t="s">
        <v>1739</v>
      </c>
      <c r="C848" s="13" t="s">
        <v>144</v>
      </c>
      <c r="D848" s="13" t="s">
        <v>326</v>
      </c>
      <c r="E848" s="13" t="str">
        <f>IFERROR(INDEX('Почасовка — ставки и план'!$B$5:$B$24,MATCH(D848,'Почасовка — ставки и план'!$A$5:$A$24,0)),"Аренда техники / механизмы")</f>
        <v>Сантехник</v>
      </c>
      <c r="F848" s="14">
        <v>1500</v>
      </c>
      <c r="G848" s="14">
        <v>1725</v>
      </c>
      <c r="H848" s="15">
        <v>930</v>
      </c>
      <c r="I848" s="15">
        <f>IF(OR(H848="",F848=""),"",MAX(H848,MIN(ROUND(H848*(1+Параметры!$B$5),IF(H848*(1+Параметры!$B$5)&gt;=1000,-1,0)),ROUND(F848*Параметры!$B$6,IF(F848*Параметры!$B$6&gt;=1000,-1,0)))))</f>
        <v>1070</v>
      </c>
      <c r="J848" s="15">
        <v>1069</v>
      </c>
      <c r="K848" s="15">
        <f>IF(OR(J848="",G848=""),"",MAX(J848,MIN(ROUND(J848*(1+Параметры!$B$5),IF(J848*(1+Параметры!$B$5)&gt;=1000,-1,0)),ROUND(G848*Параметры!$B$6,IF(G848*Параметры!$B$6&gt;=1000,-1,0)))))</f>
        <v>1230</v>
      </c>
      <c r="L848" s="16">
        <v>0.8</v>
      </c>
      <c r="M848" s="17">
        <f t="shared" si="72"/>
        <v>1.25</v>
      </c>
      <c r="N848" s="17">
        <f>IF(OR(L848="",L848=0),"",Параметры!$B$3/L848)</f>
        <v>10</v>
      </c>
      <c r="O848" s="15">
        <f>IF(L848="","",IFERROR(INDEX('Почасовка — ставки и план'!$D$5:$D$24,MATCH($D848,'Почасовка — ставки и план'!$A$5:$A$24,0)),""))</f>
        <v>850</v>
      </c>
      <c r="P848" s="15">
        <f>IF(L848="","",IFERROR(INDEX('Почасовка — ставки и план'!$E$5:$E$24,MATCH($D848,'Почасовка — ставки и план'!$A$5:$A$24,0)),""))</f>
        <v>1020</v>
      </c>
      <c r="Q848" s="15">
        <f t="shared" si="73"/>
        <v>680</v>
      </c>
      <c r="R848" s="13" t="str">
        <f>IF(D848="TEX","аренда техники — сделка/счёт",IF(OR(Q848="",H848="",H848=0),"—",IF(Q848&lt;H848*(1-Параметры!$B$7),"почасовка",IF(Q848&gt;H848*(1+Параметры!$B$7),"сделка","любой способ"))))</f>
        <v>почасовка</v>
      </c>
      <c r="S848">
        <v>0</v>
      </c>
      <c r="T848">
        <v>0</v>
      </c>
    </row>
    <row r="849" spans="1:20" x14ac:dyDescent="0.25">
      <c r="A849" s="13" t="s">
        <v>1740</v>
      </c>
      <c r="B849" s="13" t="s">
        <v>1741</v>
      </c>
      <c r="C849" s="13" t="s">
        <v>144</v>
      </c>
      <c r="D849" s="13" t="s">
        <v>326</v>
      </c>
      <c r="E849" s="13" t="str">
        <f>IFERROR(INDEX('Почасовка — ставки и план'!$B$5:$B$24,MATCH(D849,'Почасовка — ставки и план'!$A$5:$A$24,0)),"Аренда техники / механизмы")</f>
        <v>Сантехник</v>
      </c>
      <c r="F849" s="14">
        <v>1200</v>
      </c>
      <c r="G849" s="14">
        <v>1380</v>
      </c>
      <c r="H849" s="15">
        <v>744</v>
      </c>
      <c r="I849" s="15">
        <f>IF(OR(H849="",F849=""),"",MAX(H849,MIN(ROUND(H849*(1+Параметры!$B$5),IF(H849*(1+Параметры!$B$5)&gt;=1000,-1,0)),ROUND(F849*Параметры!$B$6,IF(F849*Параметры!$B$6&gt;=1000,-1,0)))))</f>
        <v>856</v>
      </c>
      <c r="J849" s="15">
        <v>856</v>
      </c>
      <c r="K849" s="15">
        <f>IF(OR(J849="",G849=""),"",MAX(J849,MIN(ROUND(J849*(1+Параметры!$B$5),IF(J849*(1+Параметры!$B$5)&gt;=1000,-1,0)),ROUND(G849*Параметры!$B$6,IF(G849*Параметры!$B$6&gt;=1000,-1,0)))))</f>
        <v>984</v>
      </c>
      <c r="L849" s="16">
        <v>0.7</v>
      </c>
      <c r="M849" s="17">
        <f t="shared" si="72"/>
        <v>1.4285714285714286</v>
      </c>
      <c r="N849" s="17">
        <f>IF(OR(L849="",L849=0),"",Параметры!$B$3/L849)</f>
        <v>11.428571428571429</v>
      </c>
      <c r="O849" s="15">
        <f>IF(L849="","",IFERROR(INDEX('Почасовка — ставки и план'!$D$5:$D$24,MATCH($D849,'Почасовка — ставки и план'!$A$5:$A$24,0)),""))</f>
        <v>850</v>
      </c>
      <c r="P849" s="15">
        <f>IF(L849="","",IFERROR(INDEX('Почасовка — ставки и план'!$E$5:$E$24,MATCH($D849,'Почасовка — ставки и план'!$A$5:$A$24,0)),""))</f>
        <v>1020</v>
      </c>
      <c r="Q849" s="15">
        <f t="shared" si="73"/>
        <v>595</v>
      </c>
      <c r="R849" s="13" t="str">
        <f>IF(D849="TEX","аренда техники — сделка/счёт",IF(OR(Q849="",H849="",H849=0),"—",IF(Q849&lt;H849*(1-Параметры!$B$7),"почасовка",IF(Q849&gt;H849*(1+Параметры!$B$7),"сделка","любой способ"))))</f>
        <v>почасовка</v>
      </c>
      <c r="S849">
        <v>0</v>
      </c>
      <c r="T849">
        <v>0</v>
      </c>
    </row>
    <row r="850" spans="1:20" x14ac:dyDescent="0.25">
      <c r="A850" s="13" t="s">
        <v>1742</v>
      </c>
      <c r="B850" s="13" t="s">
        <v>1743</v>
      </c>
      <c r="C850" s="13" t="s">
        <v>144</v>
      </c>
      <c r="D850" s="13" t="s">
        <v>326</v>
      </c>
      <c r="E850" s="13" t="str">
        <f>IFERROR(INDEX('Почасовка — ставки и план'!$B$5:$B$24,MATCH(D850,'Почасовка — ставки и план'!$A$5:$A$24,0)),"Аренда техники / механизмы")</f>
        <v>Сантехник</v>
      </c>
      <c r="F850" s="14">
        <v>1500</v>
      </c>
      <c r="G850" s="14">
        <v>1725</v>
      </c>
      <c r="H850" s="15">
        <v>930</v>
      </c>
      <c r="I850" s="15">
        <f>IF(OR(H850="",F850=""),"",MAX(H850,MIN(ROUND(H850*(1+Параметры!$B$5),IF(H850*(1+Параметры!$B$5)&gt;=1000,-1,0)),ROUND(F850*Параметры!$B$6,IF(F850*Параметры!$B$6&gt;=1000,-1,0)))))</f>
        <v>1070</v>
      </c>
      <c r="J850" s="15">
        <v>1069</v>
      </c>
      <c r="K850" s="15">
        <f>IF(OR(J850="",G850=""),"",MAX(J850,MIN(ROUND(J850*(1+Параметры!$B$5),IF(J850*(1+Параметры!$B$5)&gt;=1000,-1,0)),ROUND(G850*Параметры!$B$6,IF(G850*Параметры!$B$6&gt;=1000,-1,0)))))</f>
        <v>1230</v>
      </c>
      <c r="L850" s="16">
        <v>1</v>
      </c>
      <c r="M850" s="17">
        <f t="shared" si="72"/>
        <v>1</v>
      </c>
      <c r="N850" s="17">
        <f>IF(OR(L850="",L850=0),"",Параметры!$B$3/L850)</f>
        <v>8</v>
      </c>
      <c r="O850" s="15">
        <f>IF(L850="","",IFERROR(INDEX('Почасовка — ставки и план'!$D$5:$D$24,MATCH($D850,'Почасовка — ставки и план'!$A$5:$A$24,0)),""))</f>
        <v>850</v>
      </c>
      <c r="P850" s="15">
        <f>IF(L850="","",IFERROR(INDEX('Почасовка — ставки и план'!$E$5:$E$24,MATCH($D850,'Почасовка — ставки и план'!$A$5:$A$24,0)),""))</f>
        <v>1020</v>
      </c>
      <c r="Q850" s="15">
        <f t="shared" si="73"/>
        <v>850</v>
      </c>
      <c r="R850" s="13" t="str">
        <f>IF(D850="TEX","аренда техники — сделка/счёт",IF(OR(Q850="",H850="",H850=0),"—",IF(Q850&lt;H850*(1-Параметры!$B$7),"почасовка",IF(Q850&gt;H850*(1+Параметры!$B$7),"сделка","любой способ"))))</f>
        <v>любой способ</v>
      </c>
      <c r="S850">
        <v>0</v>
      </c>
      <c r="T850">
        <v>0</v>
      </c>
    </row>
    <row r="851" spans="1:20" x14ac:dyDescent="0.25">
      <c r="A851" s="13" t="s">
        <v>1744</v>
      </c>
      <c r="B851" s="13" t="s">
        <v>1745</v>
      </c>
      <c r="C851" s="13" t="s">
        <v>144</v>
      </c>
      <c r="D851" s="13" t="s">
        <v>326</v>
      </c>
      <c r="E851" s="13" t="str">
        <f>IFERROR(INDEX('Почасовка — ставки и план'!$B$5:$B$24,MATCH(D851,'Почасовка — ставки и план'!$A$5:$A$24,0)),"Аренда техники / механизмы")</f>
        <v>Сантехник</v>
      </c>
      <c r="F851" s="14">
        <v>250</v>
      </c>
      <c r="G851" s="14">
        <v>288</v>
      </c>
      <c r="H851" s="15">
        <v>155</v>
      </c>
      <c r="I851" s="15">
        <f>IF(OR(H851="",F851=""),"",MAX(H851,MIN(ROUND(H851*(1+Параметры!$B$5),IF(H851*(1+Параметры!$B$5)&gt;=1000,-1,0)),ROUND(F851*Параметры!$B$6,IF(F851*Параметры!$B$6&gt;=1000,-1,0)))))</f>
        <v>178</v>
      </c>
      <c r="J851" s="15">
        <v>178</v>
      </c>
      <c r="K851" s="15">
        <f>IF(OR(J851="",G851=""),"",MAX(J851,MIN(ROUND(J851*(1+Параметры!$B$5),IF(J851*(1+Параметры!$B$5)&gt;=1000,-1,0)),ROUND(G851*Параметры!$B$6,IF(G851*Параметры!$B$6&gt;=1000,-1,0)))))</f>
        <v>205</v>
      </c>
      <c r="L851" s="16">
        <v>0.15</v>
      </c>
      <c r="M851" s="17">
        <f t="shared" si="72"/>
        <v>6.666666666666667</v>
      </c>
      <c r="N851" s="17">
        <f>IF(OR(L851="",L851=0),"",Параметры!$B$3/L851)</f>
        <v>53.333333333333336</v>
      </c>
      <c r="O851" s="15">
        <f>IF(L851="","",IFERROR(INDEX('Почасовка — ставки и план'!$D$5:$D$24,MATCH($D851,'Почасовка — ставки и план'!$A$5:$A$24,0)),""))</f>
        <v>850</v>
      </c>
      <c r="P851" s="15">
        <f>IF(L851="","",IFERROR(INDEX('Почасовка — ставки и план'!$E$5:$E$24,MATCH($D851,'Почасовка — ставки и план'!$A$5:$A$24,0)),""))</f>
        <v>1020</v>
      </c>
      <c r="Q851" s="15">
        <f t="shared" si="73"/>
        <v>128</v>
      </c>
      <c r="R851" s="13" t="str">
        <f>IF(D851="TEX","аренда техники — сделка/счёт",IF(OR(Q851="",H851="",H851=0),"—",IF(Q851&lt;H851*(1-Параметры!$B$7),"почасовка",IF(Q851&gt;H851*(1+Параметры!$B$7),"сделка","любой способ"))))</f>
        <v>почасовка</v>
      </c>
      <c r="S851">
        <v>0</v>
      </c>
      <c r="T851">
        <v>0</v>
      </c>
    </row>
    <row r="852" spans="1:20" x14ac:dyDescent="0.25">
      <c r="A852" s="13" t="s">
        <v>1746</v>
      </c>
      <c r="B852" s="13" t="s">
        <v>1747</v>
      </c>
      <c r="C852" s="13" t="s">
        <v>144</v>
      </c>
      <c r="D852" s="13" t="s">
        <v>326</v>
      </c>
      <c r="E852" s="13" t="str">
        <f>IFERROR(INDEX('Почасовка — ставки и план'!$B$5:$B$24,MATCH(D852,'Почасовка — ставки и план'!$A$5:$A$24,0)),"Аренда техники / механизмы")</f>
        <v>Сантехник</v>
      </c>
      <c r="F852" s="14">
        <v>4500</v>
      </c>
      <c r="G852" s="14">
        <v>5175</v>
      </c>
      <c r="H852" s="15">
        <v>2790</v>
      </c>
      <c r="I852" s="15">
        <f>IF(OR(H852="",F852=""),"",MAX(H852,MIN(ROUND(H852*(1+Параметры!$B$5),IF(H852*(1+Параметры!$B$5)&gt;=1000,-1,0)),ROUND(F852*Параметры!$B$6,IF(F852*Параметры!$B$6&gt;=1000,-1,0)))))</f>
        <v>3210</v>
      </c>
      <c r="J852" s="15">
        <v>3208</v>
      </c>
      <c r="K852" s="15">
        <f>IF(OR(J852="",G852=""),"",MAX(J852,MIN(ROUND(J852*(1+Параметры!$B$5),IF(J852*(1+Параметры!$B$5)&gt;=1000,-1,0)),ROUND(G852*Параметры!$B$6,IF(G852*Параметры!$B$6&gt;=1000,-1,0)))))</f>
        <v>3690</v>
      </c>
      <c r="L852" s="16">
        <v>3</v>
      </c>
      <c r="M852" s="17">
        <f t="shared" si="72"/>
        <v>0.33333333333333331</v>
      </c>
      <c r="N852" s="17">
        <f>IF(OR(L852="",L852=0),"",Параметры!$B$3/L852)</f>
        <v>2.6666666666666665</v>
      </c>
      <c r="O852" s="15">
        <f>IF(L852="","",IFERROR(INDEX('Почасовка — ставки и план'!$D$5:$D$24,MATCH($D852,'Почасовка — ставки и план'!$A$5:$A$24,0)),""))</f>
        <v>850</v>
      </c>
      <c r="P852" s="15">
        <f>IF(L852="","",IFERROR(INDEX('Почасовка — ставки и план'!$E$5:$E$24,MATCH($D852,'Почасовка — ставки и план'!$A$5:$A$24,0)),""))</f>
        <v>1020</v>
      </c>
      <c r="Q852" s="15">
        <f t="shared" si="73"/>
        <v>2550</v>
      </c>
      <c r="R852" s="13" t="str">
        <f>IF(D852="TEX","аренда техники — сделка/счёт",IF(OR(Q852="",H852="",H852=0),"—",IF(Q852&lt;H852*(1-Параметры!$B$7),"почасовка",IF(Q852&gt;H852*(1+Параметры!$B$7),"сделка","любой способ"))))</f>
        <v>любой способ</v>
      </c>
      <c r="S852">
        <v>0</v>
      </c>
      <c r="T852">
        <v>0</v>
      </c>
    </row>
    <row r="853" spans="1:20" x14ac:dyDescent="0.25">
      <c r="A853" s="13" t="s">
        <v>1748</v>
      </c>
      <c r="B853" s="13" t="s">
        <v>1749</v>
      </c>
      <c r="C853" s="13" t="s">
        <v>144</v>
      </c>
      <c r="D853" s="13" t="s">
        <v>326</v>
      </c>
      <c r="E853" s="13" t="str">
        <f>IFERROR(INDEX('Почасовка — ставки и план'!$B$5:$B$24,MATCH(D853,'Почасовка — ставки и план'!$A$5:$A$24,0)),"Аренда техники / механизмы")</f>
        <v>Сантехник</v>
      </c>
      <c r="F853" s="14">
        <v>5500</v>
      </c>
      <c r="G853" s="14">
        <v>6490</v>
      </c>
      <c r="H853" s="15">
        <v>3025</v>
      </c>
      <c r="I853" s="15">
        <f>IF(OR(H853="",F853=""),"",MAX(H853,MIN(ROUND(H853*(1+Параметры!$B$5),IF(H853*(1+Параметры!$B$5)&gt;=1000,-1,0)),ROUND(F853*Параметры!$B$6,IF(F853*Параметры!$B$6&gt;=1000,-1,0)))))</f>
        <v>3480</v>
      </c>
      <c r="J853" s="15">
        <v>3570</v>
      </c>
      <c r="K853" s="15">
        <f>IF(OR(J853="",G853=""),"",MAX(J853,MIN(ROUND(J853*(1+Параметры!$B$5),IF(J853*(1+Параметры!$B$5)&gt;=1000,-1,0)),ROUND(G853*Параметры!$B$6,IF(G853*Параметры!$B$6&gt;=1000,-1,0)))))</f>
        <v>4110</v>
      </c>
      <c r="L853" s="16">
        <v>1.5</v>
      </c>
      <c r="M853" s="17">
        <f t="shared" si="72"/>
        <v>0.66666666666666663</v>
      </c>
      <c r="N853" s="17">
        <f>IF(OR(L853="",L853=0),"",Параметры!$B$3/L853)</f>
        <v>5.333333333333333</v>
      </c>
      <c r="O853" s="15">
        <f>IF(L853="","",IFERROR(INDEX('Почасовка — ставки и план'!$D$5:$D$24,MATCH($D853,'Почасовка — ставки и план'!$A$5:$A$24,0)),""))</f>
        <v>850</v>
      </c>
      <c r="P853" s="15">
        <f>IF(L853="","",IFERROR(INDEX('Почасовка — ставки и план'!$E$5:$E$24,MATCH($D853,'Почасовка — ставки и план'!$A$5:$A$24,0)),""))</f>
        <v>1020</v>
      </c>
      <c r="Q853" s="15">
        <f t="shared" si="73"/>
        <v>1275</v>
      </c>
      <c r="R853" s="13" t="str">
        <f>IF(D853="TEX","аренда техники — сделка/счёт",IF(OR(Q853="",H853="",H853=0),"—",IF(Q853&lt;H853*(1-Параметры!$B$7),"почасовка",IF(Q853&gt;H853*(1+Параметры!$B$7),"сделка","любой способ"))))</f>
        <v>почасовка</v>
      </c>
      <c r="S853">
        <v>0</v>
      </c>
      <c r="T853">
        <v>0</v>
      </c>
    </row>
    <row r="854" spans="1:20" x14ac:dyDescent="0.25">
      <c r="A854" s="13" t="s">
        <v>1750</v>
      </c>
      <c r="B854" s="13" t="s">
        <v>1751</v>
      </c>
      <c r="C854" s="13" t="s">
        <v>69</v>
      </c>
      <c r="D854" s="13" t="s">
        <v>326</v>
      </c>
      <c r="E854" s="13" t="str">
        <f>IFERROR(INDEX('Почасовка — ставки и план'!$B$5:$B$24,MATCH(D854,'Почасовка — ставки и план'!$A$5:$A$24,0)),"Аренда техники / механизмы")</f>
        <v>Сантехник</v>
      </c>
      <c r="F854" s="14">
        <v>1200</v>
      </c>
      <c r="G854" s="14">
        <v>1380</v>
      </c>
      <c r="H854" s="15">
        <v>744</v>
      </c>
      <c r="I854" s="15">
        <f>IF(OR(H854="",F854=""),"",MAX(H854,MIN(ROUND(H854*(1+Параметры!$B$5),IF(H854*(1+Параметры!$B$5)&gt;=1000,-1,0)),ROUND(F854*Параметры!$B$6,IF(F854*Параметры!$B$6&gt;=1000,-1,0)))))</f>
        <v>856</v>
      </c>
      <c r="J854" s="15">
        <v>856</v>
      </c>
      <c r="K854" s="15">
        <f>IF(OR(J854="",G854=""),"",MAX(J854,MIN(ROUND(J854*(1+Параметры!$B$5),IF(J854*(1+Параметры!$B$5)&gt;=1000,-1,0)),ROUND(G854*Параметры!$B$6,IF(G854*Параметры!$B$6&gt;=1000,-1,0)))))</f>
        <v>984</v>
      </c>
      <c r="L854" s="16">
        <v>0.75</v>
      </c>
      <c r="M854" s="17">
        <f t="shared" si="72"/>
        <v>1.3333333333333333</v>
      </c>
      <c r="N854" s="17">
        <f>IF(OR(L854="",L854=0),"",Параметры!$B$3/L854)</f>
        <v>10.666666666666666</v>
      </c>
      <c r="O854" s="15">
        <f>IF(L854="","",IFERROR(INDEX('Почасовка — ставки и план'!$D$5:$D$24,MATCH($D854,'Почасовка — ставки и план'!$A$5:$A$24,0)),""))</f>
        <v>850</v>
      </c>
      <c r="P854" s="15">
        <f>IF(L854="","",IFERROR(INDEX('Почасовка — ставки и план'!$E$5:$E$24,MATCH($D854,'Почасовка — ставки и план'!$A$5:$A$24,0)),""))</f>
        <v>1020</v>
      </c>
      <c r="Q854" s="15">
        <f t="shared" si="73"/>
        <v>638</v>
      </c>
      <c r="R854" s="13" t="str">
        <f>IF(D854="TEX","аренда техники — сделка/счёт",IF(OR(Q854="",H854="",H854=0),"—",IF(Q854&lt;H854*(1-Параметры!$B$7),"почасовка",IF(Q854&gt;H854*(1+Параметры!$B$7),"сделка","любой способ"))))</f>
        <v>почасовка</v>
      </c>
      <c r="S854">
        <v>0</v>
      </c>
      <c r="T854">
        <v>0</v>
      </c>
    </row>
    <row r="855" spans="1:20" x14ac:dyDescent="0.25">
      <c r="A855" s="13" t="s">
        <v>1752</v>
      </c>
      <c r="B855" s="13" t="s">
        <v>1753</v>
      </c>
      <c r="C855" s="13" t="s">
        <v>69</v>
      </c>
      <c r="D855" s="13" t="s">
        <v>326</v>
      </c>
      <c r="E855" s="13" t="str">
        <f>IFERROR(INDEX('Почасовка — ставки и план'!$B$5:$B$24,MATCH(D855,'Почасовка — ставки и план'!$A$5:$A$24,0)),"Аренда техники / механизмы")</f>
        <v>Сантехник</v>
      </c>
      <c r="F855" s="14">
        <v>1400</v>
      </c>
      <c r="G855" s="14">
        <v>1610</v>
      </c>
      <c r="H855" s="15">
        <v>868</v>
      </c>
      <c r="I855" s="15">
        <f>IF(OR(H855="",F855=""),"",MAX(H855,MIN(ROUND(H855*(1+Параметры!$B$5),IF(H855*(1+Параметры!$B$5)&gt;=1000,-1,0)),ROUND(F855*Параметры!$B$6,IF(F855*Параметры!$B$6&gt;=1000,-1,0)))))</f>
        <v>998</v>
      </c>
      <c r="J855" s="15">
        <v>998</v>
      </c>
      <c r="K855" s="15">
        <f>IF(OR(J855="",G855=""),"",MAX(J855,MIN(ROUND(J855*(1+Параметры!$B$5),IF(J855*(1+Параметры!$B$5)&gt;=1000,-1,0)),ROUND(G855*Параметры!$B$6,IF(G855*Параметры!$B$6&gt;=1000,-1,0)))))</f>
        <v>1150</v>
      </c>
      <c r="L855" s="16">
        <v>0.9</v>
      </c>
      <c r="M855" s="17">
        <f t="shared" si="72"/>
        <v>1.1111111111111112</v>
      </c>
      <c r="N855" s="17">
        <f>IF(OR(L855="",L855=0),"",Параметры!$B$3/L855)</f>
        <v>8.8888888888888893</v>
      </c>
      <c r="O855" s="15">
        <f>IF(L855="","",IFERROR(INDEX('Почасовка — ставки и план'!$D$5:$D$24,MATCH($D855,'Почасовка — ставки и план'!$A$5:$A$24,0)),""))</f>
        <v>850</v>
      </c>
      <c r="P855" s="15">
        <f>IF(L855="","",IFERROR(INDEX('Почасовка — ставки и план'!$E$5:$E$24,MATCH($D855,'Почасовка — ставки и план'!$A$5:$A$24,0)),""))</f>
        <v>1020</v>
      </c>
      <c r="Q855" s="15">
        <f t="shared" si="73"/>
        <v>765</v>
      </c>
      <c r="R855" s="13" t="str">
        <f>IF(D855="TEX","аренда техники — сделка/счёт",IF(OR(Q855="",H855="",H855=0),"—",IF(Q855&lt;H855*(1-Параметры!$B$7),"почасовка",IF(Q855&gt;H855*(1+Параметры!$B$7),"сделка","любой способ"))))</f>
        <v>почасовка</v>
      </c>
      <c r="S855">
        <v>0</v>
      </c>
      <c r="T855">
        <v>0</v>
      </c>
    </row>
    <row r="856" spans="1:20" x14ac:dyDescent="0.25">
      <c r="A856" s="13" t="s">
        <v>1754</v>
      </c>
      <c r="B856" s="13" t="s">
        <v>1755</v>
      </c>
      <c r="C856" s="13" t="s">
        <v>69</v>
      </c>
      <c r="D856" s="13" t="s">
        <v>326</v>
      </c>
      <c r="E856" s="13" t="str">
        <f>IFERROR(INDEX('Почасовка — ставки и план'!$B$5:$B$24,MATCH(D856,'Почасовка — ставки и план'!$A$5:$A$24,0)),"Аренда техники / механизмы")</f>
        <v>Сантехник</v>
      </c>
      <c r="F856" s="14">
        <v>1600</v>
      </c>
      <c r="G856" s="14">
        <v>1840</v>
      </c>
      <c r="H856" s="15">
        <v>992</v>
      </c>
      <c r="I856" s="15">
        <f>IF(OR(H856="",F856=""),"",MAX(H856,MIN(ROUND(H856*(1+Параметры!$B$5),IF(H856*(1+Параметры!$B$5)&gt;=1000,-1,0)),ROUND(F856*Параметры!$B$6,IF(F856*Параметры!$B$6&gt;=1000,-1,0)))))</f>
        <v>1140</v>
      </c>
      <c r="J856" s="15">
        <v>1141</v>
      </c>
      <c r="K856" s="15">
        <f>IF(OR(J856="",G856=""),"",MAX(J856,MIN(ROUND(J856*(1+Параметры!$B$5),IF(J856*(1+Параметры!$B$5)&gt;=1000,-1,0)),ROUND(G856*Параметры!$B$6,IF(G856*Параметры!$B$6&gt;=1000,-1,0)))))</f>
        <v>1310</v>
      </c>
      <c r="L856" s="16">
        <v>1.05</v>
      </c>
      <c r="M856" s="17">
        <f t="shared" si="72"/>
        <v>0.95238095238095233</v>
      </c>
      <c r="N856" s="17">
        <f>IF(OR(L856="",L856=0),"",Параметры!$B$3/L856)</f>
        <v>7.6190476190476186</v>
      </c>
      <c r="O856" s="15">
        <f>IF(L856="","",IFERROR(INDEX('Почасовка — ставки и план'!$D$5:$D$24,MATCH($D856,'Почасовка — ставки и план'!$A$5:$A$24,0)),""))</f>
        <v>850</v>
      </c>
      <c r="P856" s="15">
        <f>IF(L856="","",IFERROR(INDEX('Почасовка — ставки и план'!$E$5:$E$24,MATCH($D856,'Почасовка — ставки и план'!$A$5:$A$24,0)),""))</f>
        <v>1020</v>
      </c>
      <c r="Q856" s="15">
        <f t="shared" si="73"/>
        <v>893</v>
      </c>
      <c r="R856" s="13" t="str">
        <f>IF(D856="TEX","аренда техники — сделка/счёт",IF(OR(Q856="",H856="",H856=0),"—",IF(Q856&lt;H856*(1-Параметры!$B$7),"почасовка",IF(Q856&gt;H856*(1+Параметры!$B$7),"сделка","любой способ"))))</f>
        <v>любой способ</v>
      </c>
      <c r="S856">
        <v>0</v>
      </c>
      <c r="T856">
        <v>0</v>
      </c>
    </row>
    <row r="857" spans="1:20" x14ac:dyDescent="0.25">
      <c r="A857" s="13" t="s">
        <v>1756</v>
      </c>
      <c r="B857" s="13" t="s">
        <v>1757</v>
      </c>
      <c r="C857" s="13" t="s">
        <v>69</v>
      </c>
      <c r="D857" s="13" t="s">
        <v>326</v>
      </c>
      <c r="E857" s="13" t="str">
        <f>IFERROR(INDEX('Почасовка — ставки и план'!$B$5:$B$24,MATCH(D857,'Почасовка — ставки и план'!$A$5:$A$24,0)),"Аренда техники / механизмы")</f>
        <v>Сантехник</v>
      </c>
      <c r="F857" s="14">
        <v>900</v>
      </c>
      <c r="G857" s="14">
        <v>1035</v>
      </c>
      <c r="H857" s="15">
        <v>558</v>
      </c>
      <c r="I857" s="15">
        <f>IF(OR(H857="",F857=""),"",MAX(H857,MIN(ROUND(H857*(1+Параметры!$B$5),IF(H857*(1+Параметры!$B$5)&gt;=1000,-1,0)),ROUND(F857*Параметры!$B$6,IF(F857*Параметры!$B$6&gt;=1000,-1,0)))))</f>
        <v>642</v>
      </c>
      <c r="J857" s="15">
        <v>642</v>
      </c>
      <c r="K857" s="15">
        <f>IF(OR(J857="",G857=""),"",MAX(J857,MIN(ROUND(J857*(1+Параметры!$B$5),IF(J857*(1+Параметры!$B$5)&gt;=1000,-1,0)),ROUND(G857*Параметры!$B$6,IF(G857*Параметры!$B$6&gt;=1000,-1,0)))))</f>
        <v>738</v>
      </c>
      <c r="L857" s="16">
        <v>0.55000000000000004</v>
      </c>
      <c r="M857" s="17">
        <f t="shared" si="72"/>
        <v>1.8181818181818181</v>
      </c>
      <c r="N857" s="17">
        <f>IF(OR(L857="",L857=0),"",Параметры!$B$3/L857)</f>
        <v>14.545454545454545</v>
      </c>
      <c r="O857" s="15">
        <f>IF(L857="","",IFERROR(INDEX('Почасовка — ставки и план'!$D$5:$D$24,MATCH($D857,'Почасовка — ставки и план'!$A$5:$A$24,0)),""))</f>
        <v>850</v>
      </c>
      <c r="P857" s="15">
        <f>IF(L857="","",IFERROR(INDEX('Почасовка — ставки и план'!$E$5:$E$24,MATCH($D857,'Почасовка — ставки и план'!$A$5:$A$24,0)),""))</f>
        <v>1020</v>
      </c>
      <c r="Q857" s="15">
        <f t="shared" si="73"/>
        <v>468</v>
      </c>
      <c r="R857" s="13" t="str">
        <f>IF(D857="TEX","аренда техники — сделка/счёт",IF(OR(Q857="",H857="",H857=0),"—",IF(Q857&lt;H857*(1-Параметры!$B$7),"почасовка",IF(Q857&gt;H857*(1+Параметры!$B$7),"сделка","любой способ"))))</f>
        <v>почасовка</v>
      </c>
      <c r="S857">
        <v>0</v>
      </c>
      <c r="T857">
        <v>0</v>
      </c>
    </row>
    <row r="858" spans="1:20" x14ac:dyDescent="0.25">
      <c r="A858" s="13" t="s">
        <v>1758</v>
      </c>
      <c r="B858" s="13" t="s">
        <v>1759</v>
      </c>
      <c r="C858" s="13" t="s">
        <v>69</v>
      </c>
      <c r="D858" s="13" t="s">
        <v>326</v>
      </c>
      <c r="E858" s="13" t="str">
        <f>IFERROR(INDEX('Почасовка — ставки и план'!$B$5:$B$24,MATCH(D858,'Почасовка — ставки и план'!$A$5:$A$24,0)),"Аренда техники / механизмы")</f>
        <v>Сантехник</v>
      </c>
      <c r="F858" s="14">
        <v>1500</v>
      </c>
      <c r="G858" s="14">
        <v>1725</v>
      </c>
      <c r="H858" s="15">
        <v>930</v>
      </c>
      <c r="I858" s="15">
        <f>IF(OR(H858="",F858=""),"",MAX(H858,MIN(ROUND(H858*(1+Параметры!$B$5),IF(H858*(1+Параметры!$B$5)&gt;=1000,-1,0)),ROUND(F858*Параметры!$B$6,IF(F858*Параметры!$B$6&gt;=1000,-1,0)))))</f>
        <v>1070</v>
      </c>
      <c r="J858" s="15">
        <v>1069</v>
      </c>
      <c r="K858" s="15">
        <f>IF(OR(J858="",G858=""),"",MAX(J858,MIN(ROUND(J858*(1+Параметры!$B$5),IF(J858*(1+Параметры!$B$5)&gt;=1000,-1,0)),ROUND(G858*Параметры!$B$6,IF(G858*Параметры!$B$6&gt;=1000,-1,0)))))</f>
        <v>1230</v>
      </c>
      <c r="L858" s="16">
        <v>1</v>
      </c>
      <c r="M858" s="17">
        <f t="shared" si="72"/>
        <v>1</v>
      </c>
      <c r="N858" s="17">
        <f>IF(OR(L858="",L858=0),"",Параметры!$B$3/L858)</f>
        <v>8</v>
      </c>
      <c r="O858" s="15">
        <f>IF(L858="","",IFERROR(INDEX('Почасовка — ставки и план'!$D$5:$D$24,MATCH($D858,'Почасовка — ставки и план'!$A$5:$A$24,0)),""))</f>
        <v>850</v>
      </c>
      <c r="P858" s="15">
        <f>IF(L858="","",IFERROR(INDEX('Почасовка — ставки и план'!$E$5:$E$24,MATCH($D858,'Почасовка — ставки и план'!$A$5:$A$24,0)),""))</f>
        <v>1020</v>
      </c>
      <c r="Q858" s="15">
        <f t="shared" si="73"/>
        <v>850</v>
      </c>
      <c r="R858" s="13" t="str">
        <f>IF(D858="TEX","аренда техники — сделка/счёт",IF(OR(Q858="",H858="",H858=0),"—",IF(Q858&lt;H858*(1-Параметры!$B$7),"почасовка",IF(Q858&gt;H858*(1+Параметры!$B$7),"сделка","любой способ"))))</f>
        <v>любой способ</v>
      </c>
      <c r="S858">
        <v>0</v>
      </c>
      <c r="T858">
        <v>0</v>
      </c>
    </row>
    <row r="859" spans="1:20" x14ac:dyDescent="0.25">
      <c r="A859" s="13" t="s">
        <v>1760</v>
      </c>
      <c r="B859" s="13" t="s">
        <v>1761</v>
      </c>
      <c r="C859" s="13" t="s">
        <v>69</v>
      </c>
      <c r="D859" s="13" t="s">
        <v>326</v>
      </c>
      <c r="E859" s="13" t="str">
        <f>IFERROR(INDEX('Почасовка — ставки и план'!$B$5:$B$24,MATCH(D859,'Почасовка — ставки и план'!$A$5:$A$24,0)),"Аренда техники / механизмы")</f>
        <v>Сантехник</v>
      </c>
      <c r="F859" s="14">
        <v>2000</v>
      </c>
      <c r="G859" s="14">
        <v>2300</v>
      </c>
      <c r="H859" s="15">
        <v>1240</v>
      </c>
      <c r="I859" s="15">
        <f>IF(OR(H859="",F859=""),"",MAX(H859,MIN(ROUND(H859*(1+Параметры!$B$5),IF(H859*(1+Параметры!$B$5)&gt;=1000,-1,0)),ROUND(F859*Параметры!$B$6,IF(F859*Параметры!$B$6&gt;=1000,-1,0)))))</f>
        <v>1430</v>
      </c>
      <c r="J859" s="15">
        <v>1426</v>
      </c>
      <c r="K859" s="15">
        <f>IF(OR(J859="",G859=""),"",MAX(J859,MIN(ROUND(J859*(1+Параметры!$B$5),IF(J859*(1+Параметры!$B$5)&gt;=1000,-1,0)),ROUND(G859*Параметры!$B$6,IF(G859*Параметры!$B$6&gt;=1000,-1,0)))))</f>
        <v>1640</v>
      </c>
      <c r="L859" s="16">
        <v>1.35</v>
      </c>
      <c r="M859" s="17">
        <f t="shared" si="72"/>
        <v>0.7407407407407407</v>
      </c>
      <c r="N859" s="17">
        <f>IF(OR(L859="",L859=0),"",Параметры!$B$3/L859)</f>
        <v>5.9259259259259256</v>
      </c>
      <c r="O859" s="15">
        <f>IF(L859="","",IFERROR(INDEX('Почасовка — ставки и план'!$D$5:$D$24,MATCH($D859,'Почасовка — ставки и план'!$A$5:$A$24,0)),""))</f>
        <v>850</v>
      </c>
      <c r="P859" s="15">
        <f>IF(L859="","",IFERROR(INDEX('Почасовка — ставки и план'!$E$5:$E$24,MATCH($D859,'Почасовка — ставки и план'!$A$5:$A$24,0)),""))</f>
        <v>1020</v>
      </c>
      <c r="Q859" s="15">
        <f t="shared" si="73"/>
        <v>1148</v>
      </c>
      <c r="R859" s="13" t="str">
        <f>IF(D859="TEX","аренда техники — сделка/счёт",IF(OR(Q859="",H859="",H859=0),"—",IF(Q859&lt;H859*(1-Параметры!$B$7),"почасовка",IF(Q859&gt;H859*(1+Параметры!$B$7),"сделка","любой способ"))))</f>
        <v>любой способ</v>
      </c>
      <c r="S859">
        <v>0</v>
      </c>
      <c r="T859">
        <v>0</v>
      </c>
    </row>
    <row r="860" spans="1:20" x14ac:dyDescent="0.25">
      <c r="A860" s="13" t="s">
        <v>1762</v>
      </c>
      <c r="B860" s="13" t="s">
        <v>1763</v>
      </c>
      <c r="C860" s="13" t="s">
        <v>69</v>
      </c>
      <c r="D860" s="13" t="s">
        <v>326</v>
      </c>
      <c r="E860" s="13" t="str">
        <f>IFERROR(INDEX('Почасовка — ставки и план'!$B$5:$B$24,MATCH(D860,'Почасовка — ставки и план'!$A$5:$A$24,0)),"Аренда техники / механизмы")</f>
        <v>Сантехник</v>
      </c>
      <c r="F860" s="14">
        <v>1100</v>
      </c>
      <c r="G860" s="14">
        <v>1265</v>
      </c>
      <c r="H860" s="15">
        <v>682</v>
      </c>
      <c r="I860" s="15">
        <f>IF(OR(H860="",F860=""),"",MAX(H860,MIN(ROUND(H860*(1+Параметры!$B$5),IF(H860*(1+Параметры!$B$5)&gt;=1000,-1,0)),ROUND(F860*Параметры!$B$6,IF(F860*Параметры!$B$6&gt;=1000,-1,0)))))</f>
        <v>784</v>
      </c>
      <c r="J860" s="15">
        <v>784</v>
      </c>
      <c r="K860" s="15">
        <f>IF(OR(J860="",G860=""),"",MAX(J860,MIN(ROUND(J860*(1+Параметры!$B$5),IF(J860*(1+Параметры!$B$5)&gt;=1000,-1,0)),ROUND(G860*Параметры!$B$6,IF(G860*Параметры!$B$6&gt;=1000,-1,0)))))</f>
        <v>902</v>
      </c>
      <c r="L860" s="16">
        <v>0.75</v>
      </c>
      <c r="M860" s="17">
        <f t="shared" si="72"/>
        <v>1.3333333333333333</v>
      </c>
      <c r="N860" s="17">
        <f>IF(OR(L860="",L860=0),"",Параметры!$B$3/L860)</f>
        <v>10.666666666666666</v>
      </c>
      <c r="O860" s="15">
        <f>IF(L860="","",IFERROR(INDEX('Почасовка — ставки и план'!$D$5:$D$24,MATCH($D860,'Почасовка — ставки и план'!$A$5:$A$24,0)),""))</f>
        <v>850</v>
      </c>
      <c r="P860" s="15">
        <f>IF(L860="","",IFERROR(INDEX('Почасовка — ставки и план'!$E$5:$E$24,MATCH($D860,'Почасовка — ставки и план'!$A$5:$A$24,0)),""))</f>
        <v>1020</v>
      </c>
      <c r="Q860" s="15">
        <f t="shared" si="73"/>
        <v>638</v>
      </c>
      <c r="R860" s="13" t="str">
        <f>IF(D860="TEX","аренда техники — сделка/счёт",IF(OR(Q860="",H860="",H860=0),"—",IF(Q860&lt;H860*(1-Параметры!$B$7),"почасовка",IF(Q860&gt;H860*(1+Параметры!$B$7),"сделка","любой способ"))))</f>
        <v>любой способ</v>
      </c>
      <c r="S860">
        <v>0</v>
      </c>
      <c r="T860">
        <v>0</v>
      </c>
    </row>
    <row r="861" spans="1:20" x14ac:dyDescent="0.25">
      <c r="A861" s="13" t="s">
        <v>1764</v>
      </c>
      <c r="B861" s="13" t="s">
        <v>1765</v>
      </c>
      <c r="C861" s="13" t="s">
        <v>69</v>
      </c>
      <c r="D861" s="13" t="s">
        <v>326</v>
      </c>
      <c r="E861" s="13" t="str">
        <f>IFERROR(INDEX('Почасовка — ставки и план'!$B$5:$B$24,MATCH(D861,'Почасовка — ставки и план'!$A$5:$A$24,0)),"Аренда техники / механизмы")</f>
        <v>Сантехник</v>
      </c>
      <c r="F861" s="14">
        <v>600</v>
      </c>
      <c r="G861" s="14">
        <v>690</v>
      </c>
      <c r="H861" s="15">
        <v>372</v>
      </c>
      <c r="I861" s="15">
        <f>IF(OR(H861="",F861=""),"",MAX(H861,MIN(ROUND(H861*(1+Параметры!$B$5),IF(H861*(1+Параметры!$B$5)&gt;=1000,-1,0)),ROUND(F861*Параметры!$B$6,IF(F861*Параметры!$B$6&gt;=1000,-1,0)))))</f>
        <v>428</v>
      </c>
      <c r="J861" s="15">
        <v>428</v>
      </c>
      <c r="K861" s="15">
        <f>IF(OR(J861="",G861=""),"",MAX(J861,MIN(ROUND(J861*(1+Параметры!$B$5),IF(J861*(1+Параметры!$B$5)&gt;=1000,-1,0)),ROUND(G861*Параметры!$B$6,IF(G861*Параметры!$B$6&gt;=1000,-1,0)))))</f>
        <v>492</v>
      </c>
      <c r="L861" s="16">
        <v>0.4</v>
      </c>
      <c r="M861" s="17">
        <f t="shared" si="72"/>
        <v>2.5</v>
      </c>
      <c r="N861" s="17">
        <f>IF(OR(L861="",L861=0),"",Параметры!$B$3/L861)</f>
        <v>20</v>
      </c>
      <c r="O861" s="15">
        <f>IF(L861="","",IFERROR(INDEX('Почасовка — ставки и план'!$D$5:$D$24,MATCH($D861,'Почасовка — ставки и план'!$A$5:$A$24,0)),""))</f>
        <v>850</v>
      </c>
      <c r="P861" s="15">
        <f>IF(L861="","",IFERROR(INDEX('Почасовка — ставки и план'!$E$5:$E$24,MATCH($D861,'Почасовка — ставки и план'!$A$5:$A$24,0)),""))</f>
        <v>1020</v>
      </c>
      <c r="Q861" s="15">
        <f t="shared" si="73"/>
        <v>340</v>
      </c>
      <c r="R861" s="13" t="str">
        <f>IF(D861="TEX","аренда техники — сделка/счёт",IF(OR(Q861="",H861="",H861=0),"—",IF(Q861&lt;H861*(1-Параметры!$B$7),"почасовка",IF(Q861&gt;H861*(1+Параметры!$B$7),"сделка","любой способ"))))</f>
        <v>любой способ</v>
      </c>
      <c r="S861">
        <v>0</v>
      </c>
      <c r="T861">
        <v>0</v>
      </c>
    </row>
    <row r="862" spans="1:20" x14ac:dyDescent="0.25">
      <c r="A862" s="13" t="s">
        <v>1766</v>
      </c>
      <c r="B862" s="13" t="s">
        <v>1767</v>
      </c>
      <c r="C862" s="13" t="s">
        <v>69</v>
      </c>
      <c r="D862" s="13" t="s">
        <v>326</v>
      </c>
      <c r="E862" s="13" t="str">
        <f>IFERROR(INDEX('Почасовка — ставки и план'!$B$5:$B$24,MATCH(D862,'Почасовка — ставки и план'!$A$5:$A$24,0)),"Аренда техники / механизмы")</f>
        <v>Сантехник</v>
      </c>
      <c r="F862" s="14">
        <v>800</v>
      </c>
      <c r="G862" s="14">
        <v>920</v>
      </c>
      <c r="H862" s="15">
        <v>496</v>
      </c>
      <c r="I862" s="15">
        <f>IF(OR(H862="",F862=""),"",MAX(H862,MIN(ROUND(H862*(1+Параметры!$B$5),IF(H862*(1+Параметры!$B$5)&gt;=1000,-1,0)),ROUND(F862*Параметры!$B$6,IF(F862*Параметры!$B$6&gt;=1000,-1,0)))))</f>
        <v>570</v>
      </c>
      <c r="J862" s="15">
        <v>570</v>
      </c>
      <c r="K862" s="15">
        <f>IF(OR(J862="",G862=""),"",MAX(J862,MIN(ROUND(J862*(1+Параметры!$B$5),IF(J862*(1+Параметры!$B$5)&gt;=1000,-1,0)),ROUND(G862*Параметры!$B$6,IF(G862*Параметры!$B$6&gt;=1000,-1,0)))))</f>
        <v>656</v>
      </c>
      <c r="L862" s="16">
        <v>0.55000000000000004</v>
      </c>
      <c r="M862" s="17">
        <f t="shared" si="72"/>
        <v>1.8181818181818181</v>
      </c>
      <c r="N862" s="17">
        <f>IF(OR(L862="",L862=0),"",Параметры!$B$3/L862)</f>
        <v>14.545454545454545</v>
      </c>
      <c r="O862" s="15">
        <f>IF(L862="","",IFERROR(INDEX('Почасовка — ставки и план'!$D$5:$D$24,MATCH($D862,'Почасовка — ставки и план'!$A$5:$A$24,0)),""))</f>
        <v>850</v>
      </c>
      <c r="P862" s="15">
        <f>IF(L862="","",IFERROR(INDEX('Почасовка — ставки и план'!$E$5:$E$24,MATCH($D862,'Почасовка — ставки и план'!$A$5:$A$24,0)),""))</f>
        <v>1020</v>
      </c>
      <c r="Q862" s="15">
        <f t="shared" si="73"/>
        <v>468</v>
      </c>
      <c r="R862" s="13" t="str">
        <f>IF(D862="TEX","аренда техники — сделка/счёт",IF(OR(Q862="",H862="",H862=0),"—",IF(Q862&lt;H862*(1-Параметры!$B$7),"почасовка",IF(Q862&gt;H862*(1+Параметры!$B$7),"сделка","любой способ"))))</f>
        <v>любой способ</v>
      </c>
      <c r="S862">
        <v>0</v>
      </c>
      <c r="T862">
        <v>0</v>
      </c>
    </row>
    <row r="863" spans="1:20" x14ac:dyDescent="0.25">
      <c r="A863" s="13" t="s">
        <v>1768</v>
      </c>
      <c r="B863" s="13" t="s">
        <v>1769</v>
      </c>
      <c r="C863" s="13" t="s">
        <v>69</v>
      </c>
      <c r="D863" s="13" t="s">
        <v>326</v>
      </c>
      <c r="E863" s="13" t="str">
        <f>IFERROR(INDEX('Почасовка — ставки и план'!$B$5:$B$24,MATCH(D863,'Почасовка — ставки и план'!$A$5:$A$24,0)),"Аренда техники / механизмы")</f>
        <v>Сантехник</v>
      </c>
      <c r="F863" s="14">
        <v>450</v>
      </c>
      <c r="G863" s="14">
        <v>518</v>
      </c>
      <c r="H863" s="15">
        <v>279</v>
      </c>
      <c r="I863" s="15">
        <f>IF(OR(H863="",F863=""),"",MAX(H863,MIN(ROUND(H863*(1+Параметры!$B$5),IF(H863*(1+Параметры!$B$5)&gt;=1000,-1,0)),ROUND(F863*Параметры!$B$6,IF(F863*Параметры!$B$6&gt;=1000,-1,0)))))</f>
        <v>321</v>
      </c>
      <c r="J863" s="15">
        <v>321</v>
      </c>
      <c r="K863" s="15">
        <f>IF(OR(J863="",G863=""),"",MAX(J863,MIN(ROUND(J863*(1+Параметры!$B$5),IF(J863*(1+Параметры!$B$5)&gt;=1000,-1,0)),ROUND(G863*Параметры!$B$6,IF(G863*Параметры!$B$6&gt;=1000,-1,0)))))</f>
        <v>369</v>
      </c>
      <c r="L863" s="16">
        <v>0.3</v>
      </c>
      <c r="M863" s="17">
        <f t="shared" si="72"/>
        <v>3.3333333333333335</v>
      </c>
      <c r="N863" s="17">
        <f>IF(OR(L863="",L863=0),"",Параметры!$B$3/L863)</f>
        <v>26.666666666666668</v>
      </c>
      <c r="O863" s="15">
        <f>IF(L863="","",IFERROR(INDEX('Почасовка — ставки и план'!$D$5:$D$24,MATCH($D863,'Почасовка — ставки и план'!$A$5:$A$24,0)),""))</f>
        <v>850</v>
      </c>
      <c r="P863" s="15">
        <f>IF(L863="","",IFERROR(INDEX('Почасовка — ставки и план'!$E$5:$E$24,MATCH($D863,'Почасовка — ставки и план'!$A$5:$A$24,0)),""))</f>
        <v>1020</v>
      </c>
      <c r="Q863" s="15">
        <f t="shared" si="73"/>
        <v>255</v>
      </c>
      <c r="R863" s="13" t="str">
        <f>IF(D863="TEX","аренда техники — сделка/счёт",IF(OR(Q863="",H863="",H863=0),"—",IF(Q863&lt;H863*(1-Параметры!$B$7),"почасовка",IF(Q863&gt;H863*(1+Параметры!$B$7),"сделка","любой способ"))))</f>
        <v>любой способ</v>
      </c>
      <c r="S863">
        <v>0</v>
      </c>
      <c r="T863">
        <v>0</v>
      </c>
    </row>
    <row r="864" spans="1:20" x14ac:dyDescent="0.25">
      <c r="A864" s="13" t="s">
        <v>1770</v>
      </c>
      <c r="B864" s="13" t="s">
        <v>1771</v>
      </c>
      <c r="C864" s="13" t="s">
        <v>69</v>
      </c>
      <c r="D864" s="13" t="s">
        <v>326</v>
      </c>
      <c r="E864" s="13" t="str">
        <f>IFERROR(INDEX('Почасовка — ставки и план'!$B$5:$B$24,MATCH(D864,'Почасовка — ставки и план'!$A$5:$A$24,0)),"Аренда техники / механизмы")</f>
        <v>Сантехник</v>
      </c>
      <c r="F864" s="14">
        <v>750</v>
      </c>
      <c r="G864" s="14">
        <v>862</v>
      </c>
      <c r="H864" s="15">
        <v>465</v>
      </c>
      <c r="I864" s="15">
        <f>IF(OR(H864="",F864=""),"",MAX(H864,MIN(ROUND(H864*(1+Параметры!$B$5),IF(H864*(1+Параметры!$B$5)&gt;=1000,-1,0)),ROUND(F864*Параметры!$B$6,IF(F864*Параметры!$B$6&gt;=1000,-1,0)))))</f>
        <v>535</v>
      </c>
      <c r="J864" s="15">
        <v>535</v>
      </c>
      <c r="K864" s="15">
        <f>IF(OR(J864="",G864=""),"",MAX(J864,MIN(ROUND(J864*(1+Параметры!$B$5),IF(J864*(1+Параметры!$B$5)&gt;=1000,-1,0)),ROUND(G864*Параметры!$B$6,IF(G864*Параметры!$B$6&gt;=1000,-1,0)))))</f>
        <v>615</v>
      </c>
      <c r="L864" s="16">
        <v>0.55000000000000004</v>
      </c>
      <c r="M864" s="17">
        <f t="shared" si="72"/>
        <v>1.8181818181818181</v>
      </c>
      <c r="N864" s="17">
        <f>IF(OR(L864="",L864=0),"",Параметры!$B$3/L864)</f>
        <v>14.545454545454545</v>
      </c>
      <c r="O864" s="15">
        <f>IF(L864="","",IFERROR(INDEX('Почасовка — ставки и план'!$D$5:$D$24,MATCH($D864,'Почасовка — ставки и план'!$A$5:$A$24,0)),""))</f>
        <v>850</v>
      </c>
      <c r="P864" s="15">
        <f>IF(L864="","",IFERROR(INDEX('Почасовка — ставки и план'!$E$5:$E$24,MATCH($D864,'Почасовка — ставки и план'!$A$5:$A$24,0)),""))</f>
        <v>1020</v>
      </c>
      <c r="Q864" s="15">
        <f t="shared" si="73"/>
        <v>468</v>
      </c>
      <c r="R864" s="13" t="str">
        <f>IF(D864="TEX","аренда техники — сделка/счёт",IF(OR(Q864="",H864="",H864=0),"—",IF(Q864&lt;H864*(1-Параметры!$B$7),"почасовка",IF(Q864&gt;H864*(1+Параметры!$B$7),"сделка","любой способ"))))</f>
        <v>любой способ</v>
      </c>
      <c r="S864">
        <v>0</v>
      </c>
      <c r="T864">
        <v>0</v>
      </c>
    </row>
    <row r="865" spans="1:20" x14ac:dyDescent="0.25">
      <c r="A865" s="13" t="s">
        <v>1772</v>
      </c>
      <c r="B865" s="13" t="s">
        <v>1773</v>
      </c>
      <c r="C865" s="13" t="s">
        <v>69</v>
      </c>
      <c r="D865" s="13" t="s">
        <v>326</v>
      </c>
      <c r="E865" s="13" t="str">
        <f>IFERROR(INDEX('Почасовка — ставки и план'!$B$5:$B$24,MATCH(D865,'Почасовка — ставки и план'!$A$5:$A$24,0)),"Аренда техники / механизмы")</f>
        <v>Сантехник</v>
      </c>
      <c r="F865" s="14">
        <v>1000</v>
      </c>
      <c r="G865" s="14">
        <v>1150</v>
      </c>
      <c r="H865" s="15">
        <v>620</v>
      </c>
      <c r="I865" s="15">
        <f>IF(OR(H865="",F865=""),"",MAX(H865,MIN(ROUND(H865*(1+Параметры!$B$5),IF(H865*(1+Параметры!$B$5)&gt;=1000,-1,0)),ROUND(F865*Параметры!$B$6,IF(F865*Параметры!$B$6&gt;=1000,-1,0)))))</f>
        <v>713</v>
      </c>
      <c r="J865" s="15">
        <v>713</v>
      </c>
      <c r="K865" s="15">
        <f>IF(OR(J865="",G865=""),"",MAX(J865,MIN(ROUND(J865*(1+Параметры!$B$5),IF(J865*(1+Параметры!$B$5)&gt;=1000,-1,0)),ROUND(G865*Параметры!$B$6,IF(G865*Параметры!$B$6&gt;=1000,-1,0)))))</f>
        <v>820</v>
      </c>
      <c r="L865" s="16">
        <v>0.75</v>
      </c>
      <c r="M865" s="17">
        <f t="shared" si="72"/>
        <v>1.3333333333333333</v>
      </c>
      <c r="N865" s="17">
        <f>IF(OR(L865="",L865=0),"",Параметры!$B$3/L865)</f>
        <v>10.666666666666666</v>
      </c>
      <c r="O865" s="15">
        <f>IF(L865="","",IFERROR(INDEX('Почасовка — ставки и план'!$D$5:$D$24,MATCH($D865,'Почасовка — ставки и план'!$A$5:$A$24,0)),""))</f>
        <v>850</v>
      </c>
      <c r="P865" s="15">
        <f>IF(L865="","",IFERROR(INDEX('Почасовка — ставки и план'!$E$5:$E$24,MATCH($D865,'Почасовка — ставки и план'!$A$5:$A$24,0)),""))</f>
        <v>1020</v>
      </c>
      <c r="Q865" s="15">
        <f t="shared" si="73"/>
        <v>638</v>
      </c>
      <c r="R865" s="13" t="str">
        <f>IF(D865="TEX","аренда техники — сделка/счёт",IF(OR(Q865="",H865="",H865=0),"—",IF(Q865&lt;H865*(1-Параметры!$B$7),"почасовка",IF(Q865&gt;H865*(1+Параметры!$B$7),"сделка","любой способ"))))</f>
        <v>любой способ</v>
      </c>
      <c r="S865">
        <v>0</v>
      </c>
      <c r="T865">
        <v>0</v>
      </c>
    </row>
    <row r="866" spans="1:20" x14ac:dyDescent="0.25">
      <c r="A866" s="13" t="s">
        <v>1774</v>
      </c>
      <c r="B866" s="13" t="s">
        <v>1775</v>
      </c>
      <c r="C866" s="13" t="s">
        <v>69</v>
      </c>
      <c r="D866" s="13" t="s">
        <v>326</v>
      </c>
      <c r="E866" s="13" t="str">
        <f>IFERROR(INDEX('Почасовка — ставки и план'!$B$5:$B$24,MATCH(D866,'Почасовка — ставки и план'!$A$5:$A$24,0)),"Аренда техники / механизмы")</f>
        <v>Сантехник</v>
      </c>
      <c r="F866" s="14">
        <v>550</v>
      </c>
      <c r="G866" s="14">
        <v>632</v>
      </c>
      <c r="H866" s="15">
        <v>341</v>
      </c>
      <c r="I866" s="15">
        <f>IF(OR(H866="",F866=""),"",MAX(H866,MIN(ROUND(H866*(1+Параметры!$B$5),IF(H866*(1+Параметры!$B$5)&gt;=1000,-1,0)),ROUND(F866*Параметры!$B$6,IF(F866*Параметры!$B$6&gt;=1000,-1,0)))))</f>
        <v>392</v>
      </c>
      <c r="J866" s="15">
        <v>392</v>
      </c>
      <c r="K866" s="15">
        <f>IF(OR(J866="",G866=""),"",MAX(J866,MIN(ROUND(J866*(1+Параметры!$B$5),IF(J866*(1+Параметры!$B$5)&gt;=1000,-1,0)),ROUND(G866*Параметры!$B$6,IF(G866*Параметры!$B$6&gt;=1000,-1,0)))))</f>
        <v>451</v>
      </c>
      <c r="L866" s="16">
        <v>0.4</v>
      </c>
      <c r="M866" s="17">
        <f t="shared" si="72"/>
        <v>2.5</v>
      </c>
      <c r="N866" s="17">
        <f>IF(OR(L866="",L866=0),"",Параметры!$B$3/L866)</f>
        <v>20</v>
      </c>
      <c r="O866" s="15">
        <f>IF(L866="","",IFERROR(INDEX('Почасовка — ставки и план'!$D$5:$D$24,MATCH($D866,'Почасовка — ставки и план'!$A$5:$A$24,0)),""))</f>
        <v>850</v>
      </c>
      <c r="P866" s="15">
        <f>IF(L866="","",IFERROR(INDEX('Почасовка — ставки и план'!$E$5:$E$24,MATCH($D866,'Почасовка — ставки и план'!$A$5:$A$24,0)),""))</f>
        <v>1020</v>
      </c>
      <c r="Q866" s="15">
        <f t="shared" si="73"/>
        <v>340</v>
      </c>
      <c r="R866" s="13" t="str">
        <f>IF(D866="TEX","аренда техники — сделка/счёт",IF(OR(Q866="",H866="",H866=0),"—",IF(Q866&lt;H866*(1-Параметры!$B$7),"почасовка",IF(Q866&gt;H866*(1+Параметры!$B$7),"сделка","любой способ"))))</f>
        <v>любой способ</v>
      </c>
      <c r="S866">
        <v>0</v>
      </c>
      <c r="T866">
        <v>0</v>
      </c>
    </row>
    <row r="867" spans="1:20" x14ac:dyDescent="0.25">
      <c r="A867" s="13" t="s">
        <v>1776</v>
      </c>
      <c r="B867" s="13" t="s">
        <v>1777</v>
      </c>
      <c r="C867" s="13" t="s">
        <v>69</v>
      </c>
      <c r="D867" s="13" t="s">
        <v>326</v>
      </c>
      <c r="E867" s="13" t="str">
        <f>IFERROR(INDEX('Почасовка — ставки и план'!$B$5:$B$24,MATCH(D867,'Почасовка — ставки и план'!$A$5:$A$24,0)),"Аренда техники / механизмы")</f>
        <v>Сантехник</v>
      </c>
      <c r="F867" s="14">
        <v>250</v>
      </c>
      <c r="G867" s="14">
        <v>280</v>
      </c>
      <c r="H867" s="15">
        <v>155</v>
      </c>
      <c r="I867" s="15">
        <f>IF(OR(H867="",F867=""),"",MAX(H867,MIN(ROUND(H867*(1+Параметры!$B$5),IF(H867*(1+Параметры!$B$5)&gt;=1000,-1,0)),ROUND(F867*Параметры!$B$6,IF(F867*Параметры!$B$6&gt;=1000,-1,0)))))</f>
        <v>178</v>
      </c>
      <c r="J867" s="15">
        <v>174</v>
      </c>
      <c r="K867" s="15">
        <f>IF(OR(J867="",G867=""),"",MAX(J867,MIN(ROUND(J867*(1+Параметры!$B$5),IF(J867*(1+Параметры!$B$5)&gt;=1000,-1,0)),ROUND(G867*Параметры!$B$6,IF(G867*Параметры!$B$6&gt;=1000,-1,0)))))</f>
        <v>200</v>
      </c>
      <c r="L867" s="16">
        <v>0.12</v>
      </c>
      <c r="M867" s="17">
        <f t="shared" si="72"/>
        <v>8.3333333333333339</v>
      </c>
      <c r="N867" s="17">
        <f>IF(OR(L867="",L867=0),"",Параметры!$B$3/L867)</f>
        <v>66.666666666666671</v>
      </c>
      <c r="O867" s="15">
        <f>IF(L867="","",IFERROR(INDEX('Почасовка — ставки и план'!$D$5:$D$24,MATCH($D867,'Почасовка — ставки и план'!$A$5:$A$24,0)),""))</f>
        <v>850</v>
      </c>
      <c r="P867" s="15">
        <f>IF(L867="","",IFERROR(INDEX('Почасовка — ставки и план'!$E$5:$E$24,MATCH($D867,'Почасовка — ставки и план'!$A$5:$A$24,0)),""))</f>
        <v>1020</v>
      </c>
      <c r="Q867" s="15">
        <f t="shared" si="73"/>
        <v>102</v>
      </c>
      <c r="R867" s="13" t="str">
        <f>IF(D867="TEX","аренда техники — сделка/счёт",IF(OR(Q867="",H867="",H867=0),"—",IF(Q867&lt;H867*(1-Параметры!$B$7),"почасовка",IF(Q867&gt;H867*(1+Параметры!$B$7),"сделка","любой способ"))))</f>
        <v>почасовка</v>
      </c>
      <c r="S867">
        <v>0</v>
      </c>
      <c r="T867">
        <v>0</v>
      </c>
    </row>
    <row r="868" spans="1:20" x14ac:dyDescent="0.25">
      <c r="A868" s="13" t="s">
        <v>1778</v>
      </c>
      <c r="B868" s="13" t="s">
        <v>1779</v>
      </c>
      <c r="C868" s="13" t="s">
        <v>69</v>
      </c>
      <c r="D868" s="13" t="s">
        <v>326</v>
      </c>
      <c r="E868" s="13" t="str">
        <f>IFERROR(INDEX('Почасовка — ставки и план'!$B$5:$B$24,MATCH(D868,'Почасовка — ставки и план'!$A$5:$A$24,0)),"Аренда техники / механизмы")</f>
        <v>Сантехник</v>
      </c>
      <c r="F868" s="14">
        <v>300</v>
      </c>
      <c r="G868" s="14">
        <v>336</v>
      </c>
      <c r="H868" s="15">
        <v>186</v>
      </c>
      <c r="I868" s="15">
        <f>IF(OR(H868="",F868=""),"",MAX(H868,MIN(ROUND(H868*(1+Параметры!$B$5),IF(H868*(1+Параметры!$B$5)&gt;=1000,-1,0)),ROUND(F868*Параметры!$B$6,IF(F868*Параметры!$B$6&gt;=1000,-1,0)))))</f>
        <v>214</v>
      </c>
      <c r="J868" s="15">
        <v>208</v>
      </c>
      <c r="K868" s="15">
        <f>IF(OR(J868="",G868=""),"",MAX(J868,MIN(ROUND(J868*(1+Параметры!$B$5),IF(J868*(1+Параметры!$B$5)&gt;=1000,-1,0)),ROUND(G868*Параметры!$B$6,IF(G868*Параметры!$B$6&gt;=1000,-1,0)))))</f>
        <v>239</v>
      </c>
      <c r="L868" s="16">
        <v>0.15</v>
      </c>
      <c r="M868" s="17">
        <f t="shared" ref="M868:M899" si="74">IF(OR(L868="",L868=0),"",1/L868)</f>
        <v>6.666666666666667</v>
      </c>
      <c r="N868" s="17">
        <f>IF(OR(L868="",L868=0),"",Параметры!$B$3/L868)</f>
        <v>53.333333333333336</v>
      </c>
      <c r="O868" s="15">
        <f>IF(L868="","",IFERROR(INDEX('Почасовка — ставки и план'!$D$5:$D$24,MATCH($D868,'Почасовка — ставки и план'!$A$5:$A$24,0)),""))</f>
        <v>850</v>
      </c>
      <c r="P868" s="15">
        <f>IF(L868="","",IFERROR(INDEX('Почасовка — ставки и план'!$E$5:$E$24,MATCH($D868,'Почасовка — ставки и план'!$A$5:$A$24,0)),""))</f>
        <v>1020</v>
      </c>
      <c r="Q868" s="15">
        <f t="shared" ref="Q868:Q899" si="75">IF(OR(L868="",O868=""),"",ROUND(L868*O868,0))</f>
        <v>128</v>
      </c>
      <c r="R868" s="13" t="str">
        <f>IF(D868="TEX","аренда техники — сделка/счёт",IF(OR(Q868="",H868="",H868=0),"—",IF(Q868&lt;H868*(1-Параметры!$B$7),"почасовка",IF(Q868&gt;H868*(1+Параметры!$B$7),"сделка","любой способ"))))</f>
        <v>почасовка</v>
      </c>
      <c r="S868">
        <v>0</v>
      </c>
      <c r="T868">
        <v>0</v>
      </c>
    </row>
    <row r="869" spans="1:20" x14ac:dyDescent="0.25">
      <c r="A869" s="13" t="s">
        <v>1780</v>
      </c>
      <c r="B869" s="13" t="s">
        <v>1781</v>
      </c>
      <c r="C869" s="13" t="s">
        <v>69</v>
      </c>
      <c r="D869" s="13" t="s">
        <v>326</v>
      </c>
      <c r="E869" s="13" t="str">
        <f>IFERROR(INDEX('Почасовка — ставки и план'!$B$5:$B$24,MATCH(D869,'Почасовка — ставки и план'!$A$5:$A$24,0)),"Аренда техники / механизмы")</f>
        <v>Сантехник</v>
      </c>
      <c r="F869" s="14">
        <v>180</v>
      </c>
      <c r="G869" s="14">
        <v>202</v>
      </c>
      <c r="H869" s="15">
        <v>112</v>
      </c>
      <c r="I869" s="15">
        <f>IF(OR(H869="",F869=""),"",MAX(H869,MIN(ROUND(H869*(1+Параметры!$B$5),IF(H869*(1+Параметры!$B$5)&gt;=1000,-1,0)),ROUND(F869*Параметры!$B$6,IF(F869*Параметры!$B$6&gt;=1000,-1,0)))))</f>
        <v>129</v>
      </c>
      <c r="J869" s="15">
        <v>125</v>
      </c>
      <c r="K869" s="15">
        <f>IF(OR(J869="",G869=""),"",MAX(J869,MIN(ROUND(J869*(1+Параметры!$B$5),IF(J869*(1+Параметры!$B$5)&gt;=1000,-1,0)),ROUND(G869*Параметры!$B$6,IF(G869*Параметры!$B$6&gt;=1000,-1,0)))))</f>
        <v>144</v>
      </c>
      <c r="L869" s="16">
        <v>0.08</v>
      </c>
      <c r="M869" s="17">
        <f t="shared" si="74"/>
        <v>12.5</v>
      </c>
      <c r="N869" s="17">
        <f>IF(OR(L869="",L869=0),"",Параметры!$B$3/L869)</f>
        <v>100</v>
      </c>
      <c r="O869" s="15">
        <f>IF(L869="","",IFERROR(INDEX('Почасовка — ставки и план'!$D$5:$D$24,MATCH($D869,'Почасовка — ставки и план'!$A$5:$A$24,0)),""))</f>
        <v>850</v>
      </c>
      <c r="P869" s="15">
        <f>IF(L869="","",IFERROR(INDEX('Почасовка — ставки и план'!$E$5:$E$24,MATCH($D869,'Почасовка — ставки и план'!$A$5:$A$24,0)),""))</f>
        <v>1020</v>
      </c>
      <c r="Q869" s="15">
        <f t="shared" si="75"/>
        <v>68</v>
      </c>
      <c r="R869" s="13" t="str">
        <f>IF(D869="TEX","аренда техники — сделка/счёт",IF(OR(Q869="",H869="",H869=0),"—",IF(Q869&lt;H869*(1-Параметры!$B$7),"почасовка",IF(Q869&gt;H869*(1+Параметры!$B$7),"сделка","любой способ"))))</f>
        <v>почасовка</v>
      </c>
      <c r="S869">
        <v>0</v>
      </c>
      <c r="T869">
        <v>0</v>
      </c>
    </row>
    <row r="870" spans="1:20" x14ac:dyDescent="0.25">
      <c r="A870" s="13" t="s">
        <v>1782</v>
      </c>
      <c r="B870" s="13" t="s">
        <v>1783</v>
      </c>
      <c r="C870" s="13" t="s">
        <v>144</v>
      </c>
      <c r="D870" s="13" t="s">
        <v>326</v>
      </c>
      <c r="E870" s="13" t="str">
        <f>IFERROR(INDEX('Почасовка — ставки и план'!$B$5:$B$24,MATCH(D870,'Почасовка — ставки и план'!$A$5:$A$24,0)),"Аренда техники / механизмы")</f>
        <v>Сантехник</v>
      </c>
      <c r="F870" s="14">
        <v>8000</v>
      </c>
      <c r="G870" s="14">
        <v>9200</v>
      </c>
      <c r="H870" s="15">
        <v>4960</v>
      </c>
      <c r="I870" s="15">
        <f>IF(OR(H870="",F870=""),"",MAX(H870,MIN(ROUND(H870*(1+Параметры!$B$5),IF(H870*(1+Параметры!$B$5)&gt;=1000,-1,0)),ROUND(F870*Параметры!$B$6,IF(F870*Параметры!$B$6&gt;=1000,-1,0)))))</f>
        <v>5700</v>
      </c>
      <c r="J870" s="15">
        <v>5704</v>
      </c>
      <c r="K870" s="15">
        <f>IF(OR(J870="",G870=""),"",MAX(J870,MIN(ROUND(J870*(1+Параметры!$B$5),IF(J870*(1+Параметры!$B$5)&gt;=1000,-1,0)),ROUND(G870*Параметры!$B$6,IF(G870*Параметры!$B$6&gt;=1000,-1,0)))))</f>
        <v>6560</v>
      </c>
      <c r="L870" s="16">
        <v>4</v>
      </c>
      <c r="M870" s="17">
        <f t="shared" si="74"/>
        <v>0.25</v>
      </c>
      <c r="N870" s="17">
        <f>IF(OR(L870="",L870=0),"",Параметры!$B$3/L870)</f>
        <v>2</v>
      </c>
      <c r="O870" s="15">
        <f>IF(L870="","",IFERROR(INDEX('Почасовка — ставки и план'!$D$5:$D$24,MATCH($D870,'Почасовка — ставки и план'!$A$5:$A$24,0)),""))</f>
        <v>850</v>
      </c>
      <c r="P870" s="15">
        <f>IF(L870="","",IFERROR(INDEX('Почасовка — ставки и план'!$E$5:$E$24,MATCH($D870,'Почасовка — ставки и план'!$A$5:$A$24,0)),""))</f>
        <v>1020</v>
      </c>
      <c r="Q870" s="15">
        <f t="shared" si="75"/>
        <v>3400</v>
      </c>
      <c r="R870" s="13" t="str">
        <f>IF(D870="TEX","аренда техники — сделка/счёт",IF(OR(Q870="",H870="",H870=0),"—",IF(Q870&lt;H870*(1-Параметры!$B$7),"почасовка",IF(Q870&gt;H870*(1+Параметры!$B$7),"сделка","любой способ"))))</f>
        <v>почасовка</v>
      </c>
      <c r="S870">
        <v>0</v>
      </c>
      <c r="T870">
        <v>0</v>
      </c>
    </row>
    <row r="871" spans="1:20" x14ac:dyDescent="0.25">
      <c r="A871" s="13" t="s">
        <v>1784</v>
      </c>
      <c r="B871" s="13" t="s">
        <v>1785</v>
      </c>
      <c r="C871" s="13" t="s">
        <v>144</v>
      </c>
      <c r="D871" s="13" t="s">
        <v>326</v>
      </c>
      <c r="E871" s="13" t="str">
        <f>IFERROR(INDEX('Почасовка — ставки и план'!$B$5:$B$24,MATCH(D871,'Почасовка — ставки и план'!$A$5:$A$24,0)),"Аренда техники / механизмы")</f>
        <v>Сантехник</v>
      </c>
      <c r="F871" s="14">
        <v>6000</v>
      </c>
      <c r="G871" s="14">
        <v>6900</v>
      </c>
      <c r="H871" s="15">
        <v>3720</v>
      </c>
      <c r="I871" s="15">
        <f>IF(OR(H871="",F871=""),"",MAX(H871,MIN(ROUND(H871*(1+Параметры!$B$5),IF(H871*(1+Параметры!$B$5)&gt;=1000,-1,0)),ROUND(F871*Параметры!$B$6,IF(F871*Параметры!$B$6&gt;=1000,-1,0)))))</f>
        <v>4280</v>
      </c>
      <c r="J871" s="15">
        <v>4278</v>
      </c>
      <c r="K871" s="15">
        <f>IF(OR(J871="",G871=""),"",MAX(J871,MIN(ROUND(J871*(1+Параметры!$B$5),IF(J871*(1+Параметры!$B$5)&gt;=1000,-1,0)),ROUND(G871*Параметры!$B$6,IF(G871*Параметры!$B$6&gt;=1000,-1,0)))))</f>
        <v>4920</v>
      </c>
      <c r="L871" s="16">
        <v>3</v>
      </c>
      <c r="M871" s="17">
        <f t="shared" si="74"/>
        <v>0.33333333333333331</v>
      </c>
      <c r="N871" s="17">
        <f>IF(OR(L871="",L871=0),"",Параметры!$B$3/L871)</f>
        <v>2.6666666666666665</v>
      </c>
      <c r="O871" s="15">
        <f>IF(L871="","",IFERROR(INDEX('Почасовка — ставки и план'!$D$5:$D$24,MATCH($D871,'Почасовка — ставки и план'!$A$5:$A$24,0)),""))</f>
        <v>850</v>
      </c>
      <c r="P871" s="15">
        <f>IF(L871="","",IFERROR(INDEX('Почасовка — ставки и план'!$E$5:$E$24,MATCH($D871,'Почасовка — ставки и план'!$A$5:$A$24,0)),""))</f>
        <v>1020</v>
      </c>
      <c r="Q871" s="15">
        <f t="shared" si="75"/>
        <v>2550</v>
      </c>
      <c r="R871" s="13" t="str">
        <f>IF(D871="TEX","аренда техники — сделка/счёт",IF(OR(Q871="",H871="",H871=0),"—",IF(Q871&lt;H871*(1-Параметры!$B$7),"почасовка",IF(Q871&gt;H871*(1+Параметры!$B$7),"сделка","любой способ"))))</f>
        <v>почасовка</v>
      </c>
      <c r="S871">
        <v>0</v>
      </c>
      <c r="T871">
        <v>0</v>
      </c>
    </row>
    <row r="872" spans="1:20" x14ac:dyDescent="0.25">
      <c r="A872" s="13" t="s">
        <v>1786</v>
      </c>
      <c r="B872" s="13" t="s">
        <v>1787</v>
      </c>
      <c r="C872" s="13" t="s">
        <v>69</v>
      </c>
      <c r="D872" s="13" t="s">
        <v>326</v>
      </c>
      <c r="E872" s="13" t="str">
        <f>IFERROR(INDEX('Почасовка — ставки и план'!$B$5:$B$24,MATCH(D872,'Почасовка — ставки и план'!$A$5:$A$24,0)),"Аренда техники / механизмы")</f>
        <v>Сантехник</v>
      </c>
      <c r="F872" s="14">
        <v>180</v>
      </c>
      <c r="G872" s="14">
        <v>207</v>
      </c>
      <c r="H872" s="15">
        <v>112</v>
      </c>
      <c r="I872" s="15">
        <f>IF(OR(H872="",F872=""),"",MAX(H872,MIN(ROUND(H872*(1+Параметры!$B$5),IF(H872*(1+Параметры!$B$5)&gt;=1000,-1,0)),ROUND(F872*Параметры!$B$6,IF(F872*Параметры!$B$6&gt;=1000,-1,0)))))</f>
        <v>129</v>
      </c>
      <c r="J872" s="15">
        <v>128</v>
      </c>
      <c r="K872" s="15">
        <f>IF(OR(J872="",G872=""),"",MAX(J872,MIN(ROUND(J872*(1+Параметры!$B$5),IF(J872*(1+Параметры!$B$5)&gt;=1000,-1,0)),ROUND(G872*Параметры!$B$6,IF(G872*Параметры!$B$6&gt;=1000,-1,0)))))</f>
        <v>147</v>
      </c>
      <c r="L872" s="16">
        <v>0.12</v>
      </c>
      <c r="M872" s="17">
        <f t="shared" si="74"/>
        <v>8.3333333333333339</v>
      </c>
      <c r="N872" s="17">
        <f>IF(OR(L872="",L872=0),"",Параметры!$B$3/L872)</f>
        <v>66.666666666666671</v>
      </c>
      <c r="O872" s="15">
        <f>IF(L872="","",IFERROR(INDEX('Почасовка — ставки и план'!$D$5:$D$24,MATCH($D872,'Почасовка — ставки и план'!$A$5:$A$24,0)),""))</f>
        <v>850</v>
      </c>
      <c r="P872" s="15">
        <f>IF(L872="","",IFERROR(INDEX('Почасовка — ставки и план'!$E$5:$E$24,MATCH($D872,'Почасовка — ставки и план'!$A$5:$A$24,0)),""))</f>
        <v>1020</v>
      </c>
      <c r="Q872" s="15">
        <f t="shared" si="75"/>
        <v>102</v>
      </c>
      <c r="R872" s="13" t="str">
        <f>IF(D872="TEX","аренда техники — сделка/счёт",IF(OR(Q872="",H872="",H872=0),"—",IF(Q872&lt;H872*(1-Параметры!$B$7),"почасовка",IF(Q872&gt;H872*(1+Параметры!$B$7),"сделка","любой способ"))))</f>
        <v>любой способ</v>
      </c>
      <c r="S872">
        <v>0</v>
      </c>
      <c r="T872">
        <v>0</v>
      </c>
    </row>
    <row r="873" spans="1:20" x14ac:dyDescent="0.25">
      <c r="A873" s="13" t="s">
        <v>1788</v>
      </c>
      <c r="B873" s="13" t="s">
        <v>1789</v>
      </c>
      <c r="C873" s="13" t="s">
        <v>144</v>
      </c>
      <c r="D873" s="13" t="s">
        <v>326</v>
      </c>
      <c r="E873" s="13" t="str">
        <f>IFERROR(INDEX('Почасовка — ставки и план'!$B$5:$B$24,MATCH(D873,'Почасовка — ставки и план'!$A$5:$A$24,0)),"Аренда техники / механизмы")</f>
        <v>Сантехник</v>
      </c>
      <c r="F873" s="14">
        <v>3500</v>
      </c>
      <c r="G873" s="14">
        <v>4025</v>
      </c>
      <c r="H873" s="15">
        <v>2170</v>
      </c>
      <c r="I873" s="15">
        <f>IF(OR(H873="",F873=""),"",MAX(H873,MIN(ROUND(H873*(1+Параметры!$B$5),IF(H873*(1+Параметры!$B$5)&gt;=1000,-1,0)),ROUND(F873*Параметры!$B$6,IF(F873*Параметры!$B$6&gt;=1000,-1,0)))))</f>
        <v>2500</v>
      </c>
      <c r="J873" s="15">
        <v>2495</v>
      </c>
      <c r="K873" s="15">
        <f>IF(OR(J873="",G873=""),"",MAX(J873,MIN(ROUND(J873*(1+Параметры!$B$5),IF(J873*(1+Параметры!$B$5)&gt;=1000,-1,0)),ROUND(G873*Параметры!$B$6,IF(G873*Параметры!$B$6&gt;=1000,-1,0)))))</f>
        <v>2870</v>
      </c>
      <c r="L873" s="16">
        <v>2.5</v>
      </c>
      <c r="M873" s="17">
        <f t="shared" si="74"/>
        <v>0.4</v>
      </c>
      <c r="N873" s="17">
        <f>IF(OR(L873="",L873=0),"",Параметры!$B$3/L873)</f>
        <v>3.2</v>
      </c>
      <c r="O873" s="15">
        <f>IF(L873="","",IFERROR(INDEX('Почасовка — ставки и план'!$D$5:$D$24,MATCH($D873,'Почасовка — ставки и план'!$A$5:$A$24,0)),""))</f>
        <v>850</v>
      </c>
      <c r="P873" s="15">
        <f>IF(L873="","",IFERROR(INDEX('Почасовка — ставки и план'!$E$5:$E$24,MATCH($D873,'Почасовка — ставки и план'!$A$5:$A$24,0)),""))</f>
        <v>1020</v>
      </c>
      <c r="Q873" s="15">
        <f t="shared" si="75"/>
        <v>2125</v>
      </c>
      <c r="R873" s="13" t="str">
        <f>IF(D873="TEX","аренда техники — сделка/счёт",IF(OR(Q873="",H873="",H873=0),"—",IF(Q873&lt;H873*(1-Параметры!$B$7),"почасовка",IF(Q873&gt;H873*(1+Параметры!$B$7),"сделка","любой способ"))))</f>
        <v>любой способ</v>
      </c>
      <c r="S873">
        <v>0</v>
      </c>
      <c r="T873">
        <v>0</v>
      </c>
    </row>
    <row r="874" spans="1:20" x14ac:dyDescent="0.25">
      <c r="A874" s="13" t="s">
        <v>1790</v>
      </c>
      <c r="B874" s="13" t="s">
        <v>1791</v>
      </c>
      <c r="C874" s="13" t="s">
        <v>144</v>
      </c>
      <c r="D874" s="13" t="s">
        <v>326</v>
      </c>
      <c r="E874" s="13" t="str">
        <f>IFERROR(INDEX('Почасовка — ставки и план'!$B$5:$B$24,MATCH(D874,'Почасовка — ставки и план'!$A$5:$A$24,0)),"Аренда техники / механизмы")</f>
        <v>Сантехник</v>
      </c>
      <c r="F874" s="14">
        <v>1200</v>
      </c>
      <c r="G874" s="14">
        <v>1380</v>
      </c>
      <c r="H874" s="15">
        <v>744</v>
      </c>
      <c r="I874" s="15">
        <f>IF(OR(H874="",F874=""),"",MAX(H874,MIN(ROUND(H874*(1+Параметры!$B$5),IF(H874*(1+Параметры!$B$5)&gt;=1000,-1,0)),ROUND(F874*Параметры!$B$6,IF(F874*Параметры!$B$6&gt;=1000,-1,0)))))</f>
        <v>856</v>
      </c>
      <c r="J874" s="15">
        <v>856</v>
      </c>
      <c r="K874" s="15">
        <f>IF(OR(J874="",G874=""),"",MAX(J874,MIN(ROUND(J874*(1+Параметры!$B$5),IF(J874*(1+Параметры!$B$5)&gt;=1000,-1,0)),ROUND(G874*Параметры!$B$6,IF(G874*Параметры!$B$6&gt;=1000,-1,0)))))</f>
        <v>984</v>
      </c>
      <c r="L874" s="16">
        <v>0.6</v>
      </c>
      <c r="M874" s="17">
        <f t="shared" si="74"/>
        <v>1.6666666666666667</v>
      </c>
      <c r="N874" s="17">
        <f>IF(OR(L874="",L874=0),"",Параметры!$B$3/L874)</f>
        <v>13.333333333333334</v>
      </c>
      <c r="O874" s="15">
        <f>IF(L874="","",IFERROR(INDEX('Почасовка — ставки и план'!$D$5:$D$24,MATCH($D874,'Почасовка — ставки и план'!$A$5:$A$24,0)),""))</f>
        <v>850</v>
      </c>
      <c r="P874" s="15">
        <f>IF(L874="","",IFERROR(INDEX('Почасовка — ставки и план'!$E$5:$E$24,MATCH($D874,'Почасовка — ставки и план'!$A$5:$A$24,0)),""))</f>
        <v>1020</v>
      </c>
      <c r="Q874" s="15">
        <f t="shared" si="75"/>
        <v>510</v>
      </c>
      <c r="R874" s="13" t="str">
        <f>IF(D874="TEX","аренда техники — сделка/счёт",IF(OR(Q874="",H874="",H874=0),"—",IF(Q874&lt;H874*(1-Параметры!$B$7),"почасовка",IF(Q874&gt;H874*(1+Параметры!$B$7),"сделка","любой способ"))))</f>
        <v>почасовка</v>
      </c>
      <c r="S874">
        <v>0</v>
      </c>
      <c r="T874">
        <v>0</v>
      </c>
    </row>
    <row r="875" spans="1:20" x14ac:dyDescent="0.25">
      <c r="A875" s="13" t="s">
        <v>1792</v>
      </c>
      <c r="B875" s="13" t="s">
        <v>1793</v>
      </c>
      <c r="C875" s="13" t="s">
        <v>144</v>
      </c>
      <c r="D875" s="13" t="s">
        <v>326</v>
      </c>
      <c r="E875" s="13" t="str">
        <f>IFERROR(INDEX('Почасовка — ставки и план'!$B$5:$B$24,MATCH(D875,'Почасовка — ставки и план'!$A$5:$A$24,0)),"Аренда техники / механизмы")</f>
        <v>Сантехник</v>
      </c>
      <c r="F875" s="14">
        <v>1200</v>
      </c>
      <c r="G875" s="14">
        <v>1380</v>
      </c>
      <c r="H875" s="15">
        <v>744</v>
      </c>
      <c r="I875" s="15">
        <f>IF(OR(H875="",F875=""),"",MAX(H875,MIN(ROUND(H875*(1+Параметры!$B$5),IF(H875*(1+Параметры!$B$5)&gt;=1000,-1,0)),ROUND(F875*Параметры!$B$6,IF(F875*Параметры!$B$6&gt;=1000,-1,0)))))</f>
        <v>856</v>
      </c>
      <c r="J875" s="15">
        <v>856</v>
      </c>
      <c r="K875" s="15">
        <f>IF(OR(J875="",G875=""),"",MAX(J875,MIN(ROUND(J875*(1+Параметры!$B$5),IF(J875*(1+Параметры!$B$5)&gt;=1000,-1,0)),ROUND(G875*Параметры!$B$6,IF(G875*Параметры!$B$6&gt;=1000,-1,0)))))</f>
        <v>984</v>
      </c>
      <c r="L875" s="16">
        <v>0.6</v>
      </c>
      <c r="M875" s="17">
        <f t="shared" si="74"/>
        <v>1.6666666666666667</v>
      </c>
      <c r="N875" s="17">
        <f>IF(OR(L875="",L875=0),"",Параметры!$B$3/L875)</f>
        <v>13.333333333333334</v>
      </c>
      <c r="O875" s="15">
        <f>IF(L875="","",IFERROR(INDEX('Почасовка — ставки и план'!$D$5:$D$24,MATCH($D875,'Почасовка — ставки и план'!$A$5:$A$24,0)),""))</f>
        <v>850</v>
      </c>
      <c r="P875" s="15">
        <f>IF(L875="","",IFERROR(INDEX('Почасовка — ставки и план'!$E$5:$E$24,MATCH($D875,'Почасовка — ставки и план'!$A$5:$A$24,0)),""))</f>
        <v>1020</v>
      </c>
      <c r="Q875" s="15">
        <f t="shared" si="75"/>
        <v>510</v>
      </c>
      <c r="R875" s="13" t="str">
        <f>IF(D875="TEX","аренда техники — сделка/счёт",IF(OR(Q875="",H875="",H875=0),"—",IF(Q875&lt;H875*(1-Параметры!$B$7),"почасовка",IF(Q875&gt;H875*(1+Параметры!$B$7),"сделка","любой способ"))))</f>
        <v>почасовка</v>
      </c>
      <c r="S875">
        <v>0</v>
      </c>
      <c r="T875">
        <v>0</v>
      </c>
    </row>
    <row r="876" spans="1:20" x14ac:dyDescent="0.25">
      <c r="A876" s="13" t="s">
        <v>1794</v>
      </c>
      <c r="B876" s="13" t="s">
        <v>1795</v>
      </c>
      <c r="C876" s="13" t="s">
        <v>144</v>
      </c>
      <c r="D876" s="13" t="s">
        <v>326</v>
      </c>
      <c r="E876" s="13" t="str">
        <f>IFERROR(INDEX('Почасовка — ставки и план'!$B$5:$B$24,MATCH(D876,'Почасовка — ставки и план'!$A$5:$A$24,0)),"Аренда техники / механизмы")</f>
        <v>Сантехник</v>
      </c>
      <c r="F876" s="14">
        <v>1500</v>
      </c>
      <c r="G876" s="14">
        <v>1725</v>
      </c>
      <c r="H876" s="15">
        <v>930</v>
      </c>
      <c r="I876" s="15">
        <f>IF(OR(H876="",F876=""),"",MAX(H876,MIN(ROUND(H876*(1+Параметры!$B$5),IF(H876*(1+Параметры!$B$5)&gt;=1000,-1,0)),ROUND(F876*Параметры!$B$6,IF(F876*Параметры!$B$6&gt;=1000,-1,0)))))</f>
        <v>1070</v>
      </c>
      <c r="J876" s="15">
        <v>1069</v>
      </c>
      <c r="K876" s="15">
        <f>IF(OR(J876="",G876=""),"",MAX(J876,MIN(ROUND(J876*(1+Параметры!$B$5),IF(J876*(1+Параметры!$B$5)&gt;=1000,-1,0)),ROUND(G876*Параметры!$B$6,IF(G876*Параметры!$B$6&gt;=1000,-1,0)))))</f>
        <v>1230</v>
      </c>
      <c r="L876" s="16">
        <v>0.8</v>
      </c>
      <c r="M876" s="17">
        <f t="shared" si="74"/>
        <v>1.25</v>
      </c>
      <c r="N876" s="17">
        <f>IF(OR(L876="",L876=0),"",Параметры!$B$3/L876)</f>
        <v>10</v>
      </c>
      <c r="O876" s="15">
        <f>IF(L876="","",IFERROR(INDEX('Почасовка — ставки и план'!$D$5:$D$24,MATCH($D876,'Почасовка — ставки и план'!$A$5:$A$24,0)),""))</f>
        <v>850</v>
      </c>
      <c r="P876" s="15">
        <f>IF(L876="","",IFERROR(INDEX('Почасовка — ставки и план'!$E$5:$E$24,MATCH($D876,'Почасовка — ставки и план'!$A$5:$A$24,0)),""))</f>
        <v>1020</v>
      </c>
      <c r="Q876" s="15">
        <f t="shared" si="75"/>
        <v>680</v>
      </c>
      <c r="R876" s="13" t="str">
        <f>IF(D876="TEX","аренда техники — сделка/счёт",IF(OR(Q876="",H876="",H876=0),"—",IF(Q876&lt;H876*(1-Параметры!$B$7),"почасовка",IF(Q876&gt;H876*(1+Параметры!$B$7),"сделка","любой способ"))))</f>
        <v>почасовка</v>
      </c>
      <c r="S876">
        <v>0</v>
      </c>
      <c r="T876">
        <v>0</v>
      </c>
    </row>
    <row r="877" spans="1:20" x14ac:dyDescent="0.25">
      <c r="A877" s="13" t="s">
        <v>1796</v>
      </c>
      <c r="B877" s="13" t="s">
        <v>1797</v>
      </c>
      <c r="C877" s="13" t="s">
        <v>144</v>
      </c>
      <c r="D877" s="13" t="s">
        <v>326</v>
      </c>
      <c r="E877" s="13" t="str">
        <f>IFERROR(INDEX('Почасовка — ставки и план'!$B$5:$B$24,MATCH(D877,'Почасовка — ставки и план'!$A$5:$A$24,0)),"Аренда техники / механизмы")</f>
        <v>Сантехник</v>
      </c>
      <c r="F877" s="14">
        <v>2300</v>
      </c>
      <c r="G877" s="14">
        <v>2720</v>
      </c>
      <c r="H877" s="15">
        <v>1426</v>
      </c>
      <c r="I877" s="15">
        <f>IF(OR(H877="",F877=""),"",MAX(H877,MIN(ROUND(H877*(1+Параметры!$B$5),IF(H877*(1+Параметры!$B$5)&gt;=1000,-1,0)),ROUND(F877*Параметры!$B$6,IF(F877*Параметры!$B$6&gt;=1000,-1,0)))))</f>
        <v>1640</v>
      </c>
      <c r="J877" s="15">
        <v>1640</v>
      </c>
      <c r="K877" s="15">
        <f>IF(OR(J877="",G877=""),"",MAX(J877,MIN(ROUND(J877*(1+Параметры!$B$5),IF(J877*(1+Параметры!$B$5)&gt;=1000,-1,0)),ROUND(G877*Параметры!$B$6,IF(G877*Параметры!$B$6&gt;=1000,-1,0)))))</f>
        <v>1890</v>
      </c>
      <c r="L877" s="16">
        <v>2</v>
      </c>
      <c r="M877" s="17">
        <f t="shared" si="74"/>
        <v>0.5</v>
      </c>
      <c r="N877" s="17">
        <f>IF(OR(L877="",L877=0),"",Параметры!$B$3/L877)</f>
        <v>4</v>
      </c>
      <c r="O877" s="15">
        <f>IF(L877="","",IFERROR(INDEX('Почасовка — ставки и план'!$D$5:$D$24,MATCH($D877,'Почасовка — ставки и план'!$A$5:$A$24,0)),""))</f>
        <v>850</v>
      </c>
      <c r="P877" s="15">
        <f>IF(L877="","",IFERROR(INDEX('Почасовка — ставки и план'!$E$5:$E$24,MATCH($D877,'Почасовка — ставки и план'!$A$5:$A$24,0)),""))</f>
        <v>1020</v>
      </c>
      <c r="Q877" s="15">
        <f t="shared" si="75"/>
        <v>1700</v>
      </c>
      <c r="R877" s="13" t="str">
        <f>IF(D877="TEX","аренда техники — сделка/счёт",IF(OR(Q877="",H877="",H877=0),"—",IF(Q877&lt;H877*(1-Параметры!$B$7),"почасовка",IF(Q877&gt;H877*(1+Параметры!$B$7),"сделка","любой способ"))))</f>
        <v>сделка</v>
      </c>
      <c r="S877">
        <v>0</v>
      </c>
      <c r="T877">
        <v>2.8355387523629538E-2</v>
      </c>
    </row>
    <row r="878" spans="1:20" x14ac:dyDescent="0.25">
      <c r="A878" s="13" t="s">
        <v>1798</v>
      </c>
      <c r="B878" s="13" t="s">
        <v>1799</v>
      </c>
      <c r="C878" s="13" t="s">
        <v>144</v>
      </c>
      <c r="D878" s="13" t="s">
        <v>326</v>
      </c>
      <c r="E878" s="13" t="str">
        <f>IFERROR(INDEX('Почасовка — ставки и план'!$B$5:$B$24,MATCH(D878,'Почасовка — ставки и план'!$A$5:$A$24,0)),"Аренда техники / механизмы")</f>
        <v>Сантехник</v>
      </c>
      <c r="F878" s="14">
        <v>900</v>
      </c>
      <c r="G878" s="14">
        <v>1035</v>
      </c>
      <c r="H878" s="15">
        <v>558</v>
      </c>
      <c r="I878" s="15">
        <f>IF(OR(H878="",F878=""),"",MAX(H878,MIN(ROUND(H878*(1+Параметры!$B$5),IF(H878*(1+Параметры!$B$5)&gt;=1000,-1,0)),ROUND(F878*Параметры!$B$6,IF(F878*Параметры!$B$6&gt;=1000,-1,0)))))</f>
        <v>642</v>
      </c>
      <c r="J878" s="15">
        <v>642</v>
      </c>
      <c r="K878" s="15">
        <f>IF(OR(J878="",G878=""),"",MAX(J878,MIN(ROUND(J878*(1+Параметры!$B$5),IF(J878*(1+Параметры!$B$5)&gt;=1000,-1,0)),ROUND(G878*Параметры!$B$6,IF(G878*Параметры!$B$6&gt;=1000,-1,0)))))</f>
        <v>738</v>
      </c>
      <c r="L878" s="16">
        <v>0.45</v>
      </c>
      <c r="M878" s="17">
        <f t="shared" si="74"/>
        <v>2.2222222222222223</v>
      </c>
      <c r="N878" s="17">
        <f>IF(OR(L878="",L878=0),"",Параметры!$B$3/L878)</f>
        <v>17.777777777777779</v>
      </c>
      <c r="O878" s="15">
        <f>IF(L878="","",IFERROR(INDEX('Почасовка — ставки и план'!$D$5:$D$24,MATCH($D878,'Почасовка — ставки и план'!$A$5:$A$24,0)),""))</f>
        <v>850</v>
      </c>
      <c r="P878" s="15">
        <f>IF(L878="","",IFERROR(INDEX('Почасовка — ставки и план'!$E$5:$E$24,MATCH($D878,'Почасовка — ставки и план'!$A$5:$A$24,0)),""))</f>
        <v>1020</v>
      </c>
      <c r="Q878" s="15">
        <f t="shared" si="75"/>
        <v>383</v>
      </c>
      <c r="R878" s="13" t="str">
        <f>IF(D878="TEX","аренда техники — сделка/счёт",IF(OR(Q878="",H878="",H878=0),"—",IF(Q878&lt;H878*(1-Параметры!$B$7),"почасовка",IF(Q878&gt;H878*(1+Параметры!$B$7),"сделка","любой способ"))))</f>
        <v>почасовка</v>
      </c>
      <c r="S878">
        <v>0</v>
      </c>
      <c r="T878">
        <v>0</v>
      </c>
    </row>
    <row r="879" spans="1:20" x14ac:dyDescent="0.25">
      <c r="A879" s="13" t="s">
        <v>1800</v>
      </c>
      <c r="B879" s="13" t="s">
        <v>1801</v>
      </c>
      <c r="C879" s="13" t="s">
        <v>144</v>
      </c>
      <c r="D879" s="13" t="s">
        <v>326</v>
      </c>
      <c r="E879" s="13" t="str">
        <f>IFERROR(INDEX('Почасовка — ставки и план'!$B$5:$B$24,MATCH(D879,'Почасовка — ставки и план'!$A$5:$A$24,0)),"Аренда техники / механизмы")</f>
        <v>Сантехник</v>
      </c>
      <c r="F879" s="14">
        <v>900</v>
      </c>
      <c r="G879" s="14">
        <v>1035</v>
      </c>
      <c r="H879" s="15">
        <v>558</v>
      </c>
      <c r="I879" s="15">
        <f>IF(OR(H879="",F879=""),"",MAX(H879,MIN(ROUND(H879*(1+Параметры!$B$5),IF(H879*(1+Параметры!$B$5)&gt;=1000,-1,0)),ROUND(F879*Параметры!$B$6,IF(F879*Параметры!$B$6&gt;=1000,-1,0)))))</f>
        <v>642</v>
      </c>
      <c r="J879" s="15">
        <v>642</v>
      </c>
      <c r="K879" s="15">
        <f>IF(OR(J879="",G879=""),"",MAX(J879,MIN(ROUND(J879*(1+Параметры!$B$5),IF(J879*(1+Параметры!$B$5)&gt;=1000,-1,0)),ROUND(G879*Параметры!$B$6,IF(G879*Параметры!$B$6&gt;=1000,-1,0)))))</f>
        <v>738</v>
      </c>
      <c r="L879" s="16">
        <v>0.45</v>
      </c>
      <c r="M879" s="17">
        <f t="shared" si="74"/>
        <v>2.2222222222222223</v>
      </c>
      <c r="N879" s="17">
        <f>IF(OR(L879="",L879=0),"",Параметры!$B$3/L879)</f>
        <v>17.777777777777779</v>
      </c>
      <c r="O879" s="15">
        <f>IF(L879="","",IFERROR(INDEX('Почасовка — ставки и план'!$D$5:$D$24,MATCH($D879,'Почасовка — ставки и план'!$A$5:$A$24,0)),""))</f>
        <v>850</v>
      </c>
      <c r="P879" s="15">
        <f>IF(L879="","",IFERROR(INDEX('Почасовка — ставки и план'!$E$5:$E$24,MATCH($D879,'Почасовка — ставки и план'!$A$5:$A$24,0)),""))</f>
        <v>1020</v>
      </c>
      <c r="Q879" s="15">
        <f t="shared" si="75"/>
        <v>383</v>
      </c>
      <c r="R879" s="13" t="str">
        <f>IF(D879="TEX","аренда техники — сделка/счёт",IF(OR(Q879="",H879="",H879=0),"—",IF(Q879&lt;H879*(1-Параметры!$B$7),"почасовка",IF(Q879&gt;H879*(1+Параметры!$B$7),"сделка","любой способ"))))</f>
        <v>почасовка</v>
      </c>
      <c r="S879">
        <v>0</v>
      </c>
      <c r="T879">
        <v>0</v>
      </c>
    </row>
    <row r="880" spans="1:20" x14ac:dyDescent="0.25">
      <c r="A880" s="13" t="s">
        <v>1802</v>
      </c>
      <c r="B880" s="13" t="s">
        <v>1803</v>
      </c>
      <c r="C880" s="13" t="s">
        <v>144</v>
      </c>
      <c r="D880" s="13" t="s">
        <v>326</v>
      </c>
      <c r="E880" s="13" t="str">
        <f>IFERROR(INDEX('Почасовка — ставки и план'!$B$5:$B$24,MATCH(D880,'Почасовка — ставки и план'!$A$5:$A$24,0)),"Аренда техники / механизмы")</f>
        <v>Сантехник</v>
      </c>
      <c r="F880" s="14">
        <v>1600</v>
      </c>
      <c r="G880" s="14">
        <v>1904</v>
      </c>
      <c r="H880" s="15">
        <v>992</v>
      </c>
      <c r="I880" s="15">
        <f>IF(OR(H880="",F880=""),"",MAX(H880,MIN(ROUND(H880*(1+Параметры!$B$5),IF(H880*(1+Параметры!$B$5)&gt;=1000,-1,0)),ROUND(F880*Параметры!$B$6,IF(F880*Параметры!$B$6&gt;=1000,-1,0)))))</f>
        <v>1140</v>
      </c>
      <c r="J880" s="15">
        <v>1141</v>
      </c>
      <c r="K880" s="15">
        <f>IF(OR(J880="",G880=""),"",MAX(J880,MIN(ROUND(J880*(1+Параметры!$B$5),IF(J880*(1+Параметры!$B$5)&gt;=1000,-1,0)),ROUND(G880*Параметры!$B$6,IF(G880*Параметры!$B$6&gt;=1000,-1,0)))))</f>
        <v>1310</v>
      </c>
      <c r="L880" s="16">
        <v>1.4</v>
      </c>
      <c r="M880" s="17">
        <f t="shared" si="74"/>
        <v>0.7142857142857143</v>
      </c>
      <c r="N880" s="17">
        <f>IF(OR(L880="",L880=0),"",Параметры!$B$3/L880)</f>
        <v>5.7142857142857144</v>
      </c>
      <c r="O880" s="15">
        <f>IF(L880="","",IFERROR(INDEX('Почасовка — ставки и план'!$D$5:$D$24,MATCH($D880,'Почасовка — ставки и план'!$A$5:$A$24,0)),""))</f>
        <v>850</v>
      </c>
      <c r="P880" s="15">
        <f>IF(L880="","",IFERROR(INDEX('Почасовка — ставки и план'!$E$5:$E$24,MATCH($D880,'Почасовка — ставки и план'!$A$5:$A$24,0)),""))</f>
        <v>1020</v>
      </c>
      <c r="Q880" s="15">
        <f t="shared" si="75"/>
        <v>1190</v>
      </c>
      <c r="R880" s="13" t="str">
        <f>IF(D880="TEX","аренда техники — сделка/счёт",IF(OR(Q880="",H880="",H880=0),"—",IF(Q880&lt;H880*(1-Параметры!$B$7),"почасовка",IF(Q880&gt;H880*(1+Параметры!$B$7),"сделка","любой способ"))))</f>
        <v>сделка</v>
      </c>
      <c r="S880">
        <v>0</v>
      </c>
      <c r="T880">
        <v>3.4782608695652202E-2</v>
      </c>
    </row>
    <row r="881" spans="1:20" x14ac:dyDescent="0.25">
      <c r="A881" s="13" t="s">
        <v>1804</v>
      </c>
      <c r="B881" s="13" t="s">
        <v>1805</v>
      </c>
      <c r="C881" s="13" t="s">
        <v>144</v>
      </c>
      <c r="D881" s="13" t="s">
        <v>326</v>
      </c>
      <c r="E881" s="13" t="str">
        <f>IFERROR(INDEX('Почасовка — ставки и план'!$B$5:$B$24,MATCH(D881,'Почасовка — ставки и план'!$A$5:$A$24,0)),"Аренда техники / механизмы")</f>
        <v>Сантехник</v>
      </c>
      <c r="F881" s="14">
        <v>450</v>
      </c>
      <c r="G881" s="14">
        <v>518</v>
      </c>
      <c r="H881" s="15">
        <v>279</v>
      </c>
      <c r="I881" s="15">
        <f>IF(OR(H881="",F881=""),"",MAX(H881,MIN(ROUND(H881*(1+Параметры!$B$5),IF(H881*(1+Параметры!$B$5)&gt;=1000,-1,0)),ROUND(F881*Параметры!$B$6,IF(F881*Параметры!$B$6&gt;=1000,-1,0)))))</f>
        <v>321</v>
      </c>
      <c r="J881" s="15">
        <v>321</v>
      </c>
      <c r="K881" s="15">
        <f>IF(OR(J881="",G881=""),"",MAX(J881,MIN(ROUND(J881*(1+Параметры!$B$5),IF(J881*(1+Параметры!$B$5)&gt;=1000,-1,0)),ROUND(G881*Параметры!$B$6,IF(G881*Параметры!$B$6&gt;=1000,-1,0)))))</f>
        <v>369</v>
      </c>
      <c r="L881" s="16">
        <v>0.3</v>
      </c>
      <c r="M881" s="17">
        <f t="shared" si="74"/>
        <v>3.3333333333333335</v>
      </c>
      <c r="N881" s="17">
        <f>IF(OR(L881="",L881=0),"",Параметры!$B$3/L881)</f>
        <v>26.666666666666668</v>
      </c>
      <c r="O881" s="15">
        <f>IF(L881="","",IFERROR(INDEX('Почасовка — ставки и план'!$D$5:$D$24,MATCH($D881,'Почасовка — ставки и план'!$A$5:$A$24,0)),""))</f>
        <v>850</v>
      </c>
      <c r="P881" s="15">
        <f>IF(L881="","",IFERROR(INDEX('Почасовка — ставки и план'!$E$5:$E$24,MATCH($D881,'Почасовка — ставки и план'!$A$5:$A$24,0)),""))</f>
        <v>1020</v>
      </c>
      <c r="Q881" s="15">
        <f t="shared" si="75"/>
        <v>255</v>
      </c>
      <c r="R881" s="13" t="str">
        <f>IF(D881="TEX","аренда техники — сделка/счёт",IF(OR(Q881="",H881="",H881=0),"—",IF(Q881&lt;H881*(1-Параметры!$B$7),"почасовка",IF(Q881&gt;H881*(1+Параметры!$B$7),"сделка","любой способ"))))</f>
        <v>любой способ</v>
      </c>
      <c r="S881">
        <v>0</v>
      </c>
      <c r="T881">
        <v>0</v>
      </c>
    </row>
    <row r="882" spans="1:20" x14ac:dyDescent="0.25">
      <c r="A882" s="13" t="s">
        <v>1806</v>
      </c>
      <c r="B882" s="13" t="s">
        <v>1807</v>
      </c>
      <c r="C882" s="13" t="s">
        <v>144</v>
      </c>
      <c r="D882" s="13" t="s">
        <v>326</v>
      </c>
      <c r="E882" s="13" t="str">
        <f>IFERROR(INDEX('Почасовка — ставки и план'!$B$5:$B$24,MATCH(D882,'Почасовка — ставки и план'!$A$5:$A$24,0)),"Аренда техники / механизмы")</f>
        <v>Сантехник</v>
      </c>
      <c r="F882" s="14">
        <v>4500</v>
      </c>
      <c r="G882" s="14">
        <v>5175</v>
      </c>
      <c r="H882" s="15">
        <v>2790</v>
      </c>
      <c r="I882" s="15">
        <f>IF(OR(H882="",F882=""),"",MAX(H882,MIN(ROUND(H882*(1+Параметры!$B$5),IF(H882*(1+Параметры!$B$5)&gt;=1000,-1,0)),ROUND(F882*Параметры!$B$6,IF(F882*Параметры!$B$6&gt;=1000,-1,0)))))</f>
        <v>3210</v>
      </c>
      <c r="J882" s="15">
        <v>3208</v>
      </c>
      <c r="K882" s="15">
        <f>IF(OR(J882="",G882=""),"",MAX(J882,MIN(ROUND(J882*(1+Параметры!$B$5),IF(J882*(1+Параметры!$B$5)&gt;=1000,-1,0)),ROUND(G882*Параметры!$B$6,IF(G882*Параметры!$B$6&gt;=1000,-1,0)))))</f>
        <v>3690</v>
      </c>
      <c r="L882" s="16">
        <v>3</v>
      </c>
      <c r="M882" s="17">
        <f t="shared" si="74"/>
        <v>0.33333333333333331</v>
      </c>
      <c r="N882" s="17">
        <f>IF(OR(L882="",L882=0),"",Параметры!$B$3/L882)</f>
        <v>2.6666666666666665</v>
      </c>
      <c r="O882" s="15">
        <f>IF(L882="","",IFERROR(INDEX('Почасовка — ставки и план'!$D$5:$D$24,MATCH($D882,'Почасовка — ставки и план'!$A$5:$A$24,0)),""))</f>
        <v>850</v>
      </c>
      <c r="P882" s="15">
        <f>IF(L882="","",IFERROR(INDEX('Почасовка — ставки и план'!$E$5:$E$24,MATCH($D882,'Почасовка — ставки и план'!$A$5:$A$24,0)),""))</f>
        <v>1020</v>
      </c>
      <c r="Q882" s="15">
        <f t="shared" si="75"/>
        <v>2550</v>
      </c>
      <c r="R882" s="13" t="str">
        <f>IF(D882="TEX","аренда техники — сделка/счёт",IF(OR(Q882="",H882="",H882=0),"—",IF(Q882&lt;H882*(1-Параметры!$B$7),"почасовка",IF(Q882&gt;H882*(1+Параметры!$B$7),"сделка","любой способ"))))</f>
        <v>любой способ</v>
      </c>
      <c r="S882">
        <v>0</v>
      </c>
      <c r="T882">
        <v>0</v>
      </c>
    </row>
    <row r="883" spans="1:20" x14ac:dyDescent="0.25">
      <c r="A883" s="13" t="s">
        <v>1808</v>
      </c>
      <c r="B883" s="13" t="s">
        <v>1809</v>
      </c>
      <c r="C883" s="13" t="s">
        <v>144</v>
      </c>
      <c r="D883" s="13" t="s">
        <v>326</v>
      </c>
      <c r="E883" s="13" t="str">
        <f>IFERROR(INDEX('Почасовка — ставки и план'!$B$5:$B$24,MATCH(D883,'Почасовка — ставки и план'!$A$5:$A$24,0)),"Аренда техники / механизмы")</f>
        <v>Сантехник</v>
      </c>
      <c r="F883" s="14">
        <v>2500</v>
      </c>
      <c r="G883" s="14">
        <v>2875</v>
      </c>
      <c r="H883" s="15">
        <v>1550</v>
      </c>
      <c r="I883" s="15">
        <f>IF(OR(H883="",F883=""),"",MAX(H883,MIN(ROUND(H883*(1+Параметры!$B$5),IF(H883*(1+Параметры!$B$5)&gt;=1000,-1,0)),ROUND(F883*Параметры!$B$6,IF(F883*Параметры!$B$6&gt;=1000,-1,0)))))</f>
        <v>1780</v>
      </c>
      <c r="J883" s="15">
        <v>1782</v>
      </c>
      <c r="K883" s="15">
        <f>IF(OR(J883="",G883=""),"",MAX(J883,MIN(ROUND(J883*(1+Параметры!$B$5),IF(J883*(1+Параметры!$B$5)&gt;=1000,-1,0)),ROUND(G883*Параметры!$B$6,IF(G883*Параметры!$B$6&gt;=1000,-1,0)))))</f>
        <v>2050</v>
      </c>
      <c r="L883" s="16">
        <v>1.5</v>
      </c>
      <c r="M883" s="17">
        <f t="shared" si="74"/>
        <v>0.66666666666666663</v>
      </c>
      <c r="N883" s="17">
        <f>IF(OR(L883="",L883=0),"",Параметры!$B$3/L883)</f>
        <v>5.333333333333333</v>
      </c>
      <c r="O883" s="15">
        <f>IF(L883="","",IFERROR(INDEX('Почасовка — ставки и план'!$D$5:$D$24,MATCH($D883,'Почасовка — ставки и план'!$A$5:$A$24,0)),""))</f>
        <v>850</v>
      </c>
      <c r="P883" s="15">
        <f>IF(L883="","",IFERROR(INDEX('Почасовка — ставки и план'!$E$5:$E$24,MATCH($D883,'Почасовка — ставки и план'!$A$5:$A$24,0)),""))</f>
        <v>1020</v>
      </c>
      <c r="Q883" s="15">
        <f t="shared" si="75"/>
        <v>1275</v>
      </c>
      <c r="R883" s="13" t="str">
        <f>IF(D883="TEX","аренда техники — сделка/счёт",IF(OR(Q883="",H883="",H883=0),"—",IF(Q883&lt;H883*(1-Параметры!$B$7),"почасовка",IF(Q883&gt;H883*(1+Параметры!$B$7),"сделка","любой способ"))))</f>
        <v>почасовка</v>
      </c>
      <c r="S883">
        <v>0</v>
      </c>
      <c r="T883">
        <v>0</v>
      </c>
    </row>
    <row r="884" spans="1:20" x14ac:dyDescent="0.25">
      <c r="A884" s="13" t="s">
        <v>1810</v>
      </c>
      <c r="B884" s="13" t="s">
        <v>1811</v>
      </c>
      <c r="C884" s="13" t="s">
        <v>144</v>
      </c>
      <c r="D884" s="13" t="s">
        <v>326</v>
      </c>
      <c r="E884" s="13" t="str">
        <f>IFERROR(INDEX('Почасовка — ставки и план'!$B$5:$B$24,MATCH(D884,'Почасовка — ставки и план'!$A$5:$A$24,0)),"Аренда техники / механизмы")</f>
        <v>Сантехник</v>
      </c>
      <c r="F884" s="14">
        <v>3500</v>
      </c>
      <c r="G884" s="14">
        <v>4025</v>
      </c>
      <c r="H884" s="15">
        <v>2170</v>
      </c>
      <c r="I884" s="15">
        <f>IF(OR(H884="",F884=""),"",MAX(H884,MIN(ROUND(H884*(1+Параметры!$B$5),IF(H884*(1+Параметры!$B$5)&gt;=1000,-1,0)),ROUND(F884*Параметры!$B$6,IF(F884*Параметры!$B$6&gt;=1000,-1,0)))))</f>
        <v>2500</v>
      </c>
      <c r="J884" s="15">
        <v>2495</v>
      </c>
      <c r="K884" s="15">
        <f>IF(OR(J884="",G884=""),"",MAX(J884,MIN(ROUND(J884*(1+Параметры!$B$5),IF(J884*(1+Параметры!$B$5)&gt;=1000,-1,0)),ROUND(G884*Параметры!$B$6,IF(G884*Параметры!$B$6&gt;=1000,-1,0)))))</f>
        <v>2870</v>
      </c>
      <c r="L884" s="16">
        <v>2</v>
      </c>
      <c r="M884" s="17">
        <f t="shared" si="74"/>
        <v>0.5</v>
      </c>
      <c r="N884" s="17">
        <f>IF(OR(L884="",L884=0),"",Параметры!$B$3/L884)</f>
        <v>4</v>
      </c>
      <c r="O884" s="15">
        <f>IF(L884="","",IFERROR(INDEX('Почасовка — ставки и план'!$D$5:$D$24,MATCH($D884,'Почасовка — ставки и план'!$A$5:$A$24,0)),""))</f>
        <v>850</v>
      </c>
      <c r="P884" s="15">
        <f>IF(L884="","",IFERROR(INDEX('Почасовка — ставки и план'!$E$5:$E$24,MATCH($D884,'Почасовка — ставки и план'!$A$5:$A$24,0)),""))</f>
        <v>1020</v>
      </c>
      <c r="Q884" s="15">
        <f t="shared" si="75"/>
        <v>1700</v>
      </c>
      <c r="R884" s="13" t="str">
        <f>IF(D884="TEX","аренда техники — сделка/счёт",IF(OR(Q884="",H884="",H884=0),"—",IF(Q884&lt;H884*(1-Параметры!$B$7),"почасовка",IF(Q884&gt;H884*(1+Параметры!$B$7),"сделка","любой способ"))))</f>
        <v>почасовка</v>
      </c>
      <c r="S884">
        <v>0</v>
      </c>
      <c r="T884">
        <v>0</v>
      </c>
    </row>
    <row r="885" spans="1:20" x14ac:dyDescent="0.25">
      <c r="A885" s="13" t="s">
        <v>1812</v>
      </c>
      <c r="B885" s="13" t="s">
        <v>1813</v>
      </c>
      <c r="C885" s="13" t="s">
        <v>144</v>
      </c>
      <c r="D885" s="13" t="s">
        <v>326</v>
      </c>
      <c r="E885" s="13" t="str">
        <f>IFERROR(INDEX('Почасовка — ставки и план'!$B$5:$B$24,MATCH(D885,'Почасовка — ставки и план'!$A$5:$A$24,0)),"Аренда техники / механизмы")</f>
        <v>Сантехник</v>
      </c>
      <c r="F885" s="14">
        <v>45000</v>
      </c>
      <c r="G885" s="14">
        <v>51750</v>
      </c>
      <c r="H885" s="15">
        <v>27000</v>
      </c>
      <c r="I885" s="15">
        <f>IF(OR(H885="",F885=""),"",MAX(H885,MIN(ROUND(H885*(1+Параметры!$B$5),IF(H885*(1+Параметры!$B$5)&gt;=1000,-1,0)),ROUND(F885*Параметры!$B$6,IF(F885*Параметры!$B$6&gt;=1000,-1,0)))))</f>
        <v>31050</v>
      </c>
      <c r="J885" s="15">
        <v>31050</v>
      </c>
      <c r="K885" s="15">
        <f>IF(OR(J885="",G885=""),"",MAX(J885,MIN(ROUND(J885*(1+Параметры!$B$5),IF(J885*(1+Параметры!$B$5)&gt;=1000,-1,0)),ROUND(G885*Параметры!$B$6,IF(G885*Параметры!$B$6&gt;=1000,-1,0)))))</f>
        <v>35710</v>
      </c>
      <c r="L885" s="16">
        <v>24</v>
      </c>
      <c r="M885" s="17">
        <f t="shared" si="74"/>
        <v>4.1666666666666664E-2</v>
      </c>
      <c r="N885" s="17">
        <f>IF(OR(L885="",L885=0),"",Параметры!$B$3/L885)</f>
        <v>0.33333333333333331</v>
      </c>
      <c r="O885" s="15">
        <f>IF(L885="","",IFERROR(INDEX('Почасовка — ставки и план'!$D$5:$D$24,MATCH($D885,'Почасовка — ставки и план'!$A$5:$A$24,0)),""))</f>
        <v>850</v>
      </c>
      <c r="P885" s="15">
        <f>IF(L885="","",IFERROR(INDEX('Почасовка — ставки и план'!$E$5:$E$24,MATCH($D885,'Почасовка — ставки и план'!$A$5:$A$24,0)),""))</f>
        <v>1020</v>
      </c>
      <c r="Q885" s="15">
        <f t="shared" si="75"/>
        <v>20400</v>
      </c>
      <c r="R885" s="13" t="str">
        <f>IF(D885="TEX","аренда техники — сделка/счёт",IF(OR(Q885="",H885="",H885=0),"—",IF(Q885&lt;H885*(1-Параметры!$B$7),"почасовка",IF(Q885&gt;H885*(1+Параметры!$B$7),"сделка","любой способ"))))</f>
        <v>почасовка</v>
      </c>
      <c r="S885">
        <v>0</v>
      </c>
      <c r="T885">
        <v>0</v>
      </c>
    </row>
    <row r="886" spans="1:20" x14ac:dyDescent="0.25">
      <c r="A886" s="13" t="s">
        <v>1814</v>
      </c>
      <c r="B886" s="13" t="s">
        <v>1815</v>
      </c>
      <c r="C886" s="13" t="s">
        <v>144</v>
      </c>
      <c r="D886" s="13" t="s">
        <v>326</v>
      </c>
      <c r="E886" s="13" t="str">
        <f>IFERROR(INDEX('Почасовка — ставки и план'!$B$5:$B$24,MATCH(D886,'Почасовка — ставки и план'!$A$5:$A$24,0)),"Аренда техники / механизмы")</f>
        <v>Сантехник</v>
      </c>
      <c r="F886" s="14">
        <v>35000</v>
      </c>
      <c r="G886" s="14">
        <v>40250</v>
      </c>
      <c r="H886" s="15">
        <v>21000</v>
      </c>
      <c r="I886" s="15">
        <f>IF(OR(H886="",F886=""),"",MAX(H886,MIN(ROUND(H886*(1+Параметры!$B$5),IF(H886*(1+Параметры!$B$5)&gt;=1000,-1,0)),ROUND(F886*Параметры!$B$6,IF(F886*Параметры!$B$6&gt;=1000,-1,0)))))</f>
        <v>24150</v>
      </c>
      <c r="J886" s="15">
        <v>24150</v>
      </c>
      <c r="K886" s="15">
        <f>IF(OR(J886="",G886=""),"",MAX(J886,MIN(ROUND(J886*(1+Параметры!$B$5),IF(J886*(1+Параметры!$B$5)&gt;=1000,-1,0)),ROUND(G886*Параметры!$B$6,IF(G886*Параметры!$B$6&gt;=1000,-1,0)))))</f>
        <v>27770</v>
      </c>
      <c r="L886" s="16">
        <v>18</v>
      </c>
      <c r="M886" s="17">
        <f t="shared" si="74"/>
        <v>5.5555555555555552E-2</v>
      </c>
      <c r="N886" s="17">
        <f>IF(OR(L886="",L886=0),"",Параметры!$B$3/L886)</f>
        <v>0.44444444444444442</v>
      </c>
      <c r="O886" s="15">
        <f>IF(L886="","",IFERROR(INDEX('Почасовка — ставки и план'!$D$5:$D$24,MATCH($D886,'Почасовка — ставки и план'!$A$5:$A$24,0)),""))</f>
        <v>850</v>
      </c>
      <c r="P886" s="15">
        <f>IF(L886="","",IFERROR(INDEX('Почасовка — ставки и план'!$E$5:$E$24,MATCH($D886,'Почасовка — ставки и план'!$A$5:$A$24,0)),""))</f>
        <v>1020</v>
      </c>
      <c r="Q886" s="15">
        <f t="shared" si="75"/>
        <v>15300</v>
      </c>
      <c r="R886" s="13" t="str">
        <f>IF(D886="TEX","аренда техники — сделка/счёт",IF(OR(Q886="",H886="",H886=0),"—",IF(Q886&lt;H886*(1-Параметры!$B$7),"почасовка",IF(Q886&gt;H886*(1+Параметры!$B$7),"сделка","любой способ"))))</f>
        <v>почасовка</v>
      </c>
      <c r="S886">
        <v>0</v>
      </c>
      <c r="T886">
        <v>0</v>
      </c>
    </row>
    <row r="887" spans="1:20" x14ac:dyDescent="0.25">
      <c r="A887" s="13" t="s">
        <v>1816</v>
      </c>
      <c r="B887" s="13" t="s">
        <v>1817</v>
      </c>
      <c r="C887" s="13" t="s">
        <v>144</v>
      </c>
      <c r="D887" s="13" t="s">
        <v>326</v>
      </c>
      <c r="E887" s="13" t="str">
        <f>IFERROR(INDEX('Почасовка — ставки и план'!$B$5:$B$24,MATCH(D887,'Почасовка — ставки и план'!$A$5:$A$24,0)),"Аренда техники / механизмы")</f>
        <v>Сантехник</v>
      </c>
      <c r="F887" s="14">
        <v>5500</v>
      </c>
      <c r="G887" s="14">
        <v>6325</v>
      </c>
      <c r="H887" s="15">
        <v>3410</v>
      </c>
      <c r="I887" s="15">
        <f>IF(OR(H887="",F887=""),"",MAX(H887,MIN(ROUND(H887*(1+Параметры!$B$5),IF(H887*(1+Параметры!$B$5)&gt;=1000,-1,0)),ROUND(F887*Параметры!$B$6,IF(F887*Параметры!$B$6&gt;=1000,-1,0)))))</f>
        <v>3920</v>
      </c>
      <c r="J887" s="15">
        <v>3921</v>
      </c>
      <c r="K887" s="15">
        <f>IF(OR(J887="",G887=""),"",MAX(J887,MIN(ROUND(J887*(1+Параметры!$B$5),IF(J887*(1+Параметры!$B$5)&gt;=1000,-1,0)),ROUND(G887*Параметры!$B$6,IF(G887*Параметры!$B$6&gt;=1000,-1,0)))))</f>
        <v>4510</v>
      </c>
      <c r="L887" s="16">
        <v>3</v>
      </c>
      <c r="M887" s="17">
        <f t="shared" si="74"/>
        <v>0.33333333333333331</v>
      </c>
      <c r="N887" s="17">
        <f>IF(OR(L887="",L887=0),"",Параметры!$B$3/L887)</f>
        <v>2.6666666666666665</v>
      </c>
      <c r="O887" s="15">
        <f>IF(L887="","",IFERROR(INDEX('Почасовка — ставки и план'!$D$5:$D$24,MATCH($D887,'Почасовка — ставки и план'!$A$5:$A$24,0)),""))</f>
        <v>850</v>
      </c>
      <c r="P887" s="15">
        <f>IF(L887="","",IFERROR(INDEX('Почасовка — ставки и план'!$E$5:$E$24,MATCH($D887,'Почасовка — ставки и план'!$A$5:$A$24,0)),""))</f>
        <v>1020</v>
      </c>
      <c r="Q887" s="15">
        <f t="shared" si="75"/>
        <v>2550</v>
      </c>
      <c r="R887" s="13" t="str">
        <f>IF(D887="TEX","аренда техники — сделка/счёт",IF(OR(Q887="",H887="",H887=0),"—",IF(Q887&lt;H887*(1-Параметры!$B$7),"почасовка",IF(Q887&gt;H887*(1+Параметры!$B$7),"сделка","любой способ"))))</f>
        <v>почасовка</v>
      </c>
      <c r="S887">
        <v>0</v>
      </c>
      <c r="T887">
        <v>0</v>
      </c>
    </row>
    <row r="888" spans="1:20" x14ac:dyDescent="0.25">
      <c r="A888" s="13" t="s">
        <v>1818</v>
      </c>
      <c r="B888" s="13" t="s">
        <v>1819</v>
      </c>
      <c r="C888" s="13" t="s">
        <v>144</v>
      </c>
      <c r="D888" s="13" t="s">
        <v>326</v>
      </c>
      <c r="E888" s="13" t="str">
        <f>IFERROR(INDEX('Почасовка — ставки и план'!$B$5:$B$24,MATCH(D888,'Почасовка — ставки и план'!$A$5:$A$24,0)),"Аренда техники / механизмы")</f>
        <v>Сантехник</v>
      </c>
      <c r="F888" s="14">
        <v>600</v>
      </c>
      <c r="G888" s="14">
        <v>690</v>
      </c>
      <c r="H888" s="15">
        <v>372</v>
      </c>
      <c r="I888" s="15">
        <f>IF(OR(H888="",F888=""),"",MAX(H888,MIN(ROUND(H888*(1+Параметры!$B$5),IF(H888*(1+Параметры!$B$5)&gt;=1000,-1,0)),ROUND(F888*Параметры!$B$6,IF(F888*Параметры!$B$6&gt;=1000,-1,0)))))</f>
        <v>428</v>
      </c>
      <c r="J888" s="15">
        <v>428</v>
      </c>
      <c r="K888" s="15">
        <f>IF(OR(J888="",G888=""),"",MAX(J888,MIN(ROUND(J888*(1+Параметры!$B$5),IF(J888*(1+Параметры!$B$5)&gt;=1000,-1,0)),ROUND(G888*Параметры!$B$6,IF(G888*Параметры!$B$6&gt;=1000,-1,0)))))</f>
        <v>492</v>
      </c>
      <c r="L888" s="16">
        <v>0.4</v>
      </c>
      <c r="M888" s="17">
        <f t="shared" si="74"/>
        <v>2.5</v>
      </c>
      <c r="N888" s="17">
        <f>IF(OR(L888="",L888=0),"",Параметры!$B$3/L888)</f>
        <v>20</v>
      </c>
      <c r="O888" s="15">
        <f>IF(L888="","",IFERROR(INDEX('Почасовка — ставки и план'!$D$5:$D$24,MATCH($D888,'Почасовка — ставки и план'!$A$5:$A$24,0)),""))</f>
        <v>850</v>
      </c>
      <c r="P888" s="15">
        <f>IF(L888="","",IFERROR(INDEX('Почасовка — ставки и план'!$E$5:$E$24,MATCH($D888,'Почасовка — ставки и план'!$A$5:$A$24,0)),""))</f>
        <v>1020</v>
      </c>
      <c r="Q888" s="15">
        <f t="shared" si="75"/>
        <v>340</v>
      </c>
      <c r="R888" s="13" t="str">
        <f>IF(D888="TEX","аренда техники — сделка/счёт",IF(OR(Q888="",H888="",H888=0),"—",IF(Q888&lt;H888*(1-Параметры!$B$7),"почасовка",IF(Q888&gt;H888*(1+Параметры!$B$7),"сделка","любой способ"))))</f>
        <v>любой способ</v>
      </c>
      <c r="S888">
        <v>0</v>
      </c>
      <c r="T888">
        <v>0</v>
      </c>
    </row>
    <row r="889" spans="1:20" x14ac:dyDescent="0.25">
      <c r="A889" s="13" t="s">
        <v>1820</v>
      </c>
      <c r="B889" s="13" t="s">
        <v>1821</v>
      </c>
      <c r="C889" s="13" t="s">
        <v>144</v>
      </c>
      <c r="D889" s="13" t="s">
        <v>326</v>
      </c>
      <c r="E889" s="13" t="str">
        <f>IFERROR(INDEX('Почасовка — ставки и план'!$B$5:$B$24,MATCH(D889,'Почасовка — ставки и план'!$A$5:$A$24,0)),"Аренда техники / механизмы")</f>
        <v>Сантехник</v>
      </c>
      <c r="F889" s="14">
        <v>1100</v>
      </c>
      <c r="G889" s="14">
        <v>1265</v>
      </c>
      <c r="H889" s="15">
        <v>682</v>
      </c>
      <c r="I889" s="15">
        <f>IF(OR(H889="",F889=""),"",MAX(H889,MIN(ROUND(H889*(1+Параметры!$B$5),IF(H889*(1+Параметры!$B$5)&gt;=1000,-1,0)),ROUND(F889*Параметры!$B$6,IF(F889*Параметры!$B$6&gt;=1000,-1,0)))))</f>
        <v>784</v>
      </c>
      <c r="J889" s="15">
        <v>784</v>
      </c>
      <c r="K889" s="15">
        <f>IF(OR(J889="",G889=""),"",MAX(J889,MIN(ROUND(J889*(1+Параметры!$B$5),IF(J889*(1+Параметры!$B$5)&gt;=1000,-1,0)),ROUND(G889*Параметры!$B$6,IF(G889*Параметры!$B$6&gt;=1000,-1,0)))))</f>
        <v>902</v>
      </c>
      <c r="L889" s="16">
        <v>0.7</v>
      </c>
      <c r="M889" s="17">
        <f t="shared" si="74"/>
        <v>1.4285714285714286</v>
      </c>
      <c r="N889" s="17">
        <f>IF(OR(L889="",L889=0),"",Параметры!$B$3/L889)</f>
        <v>11.428571428571429</v>
      </c>
      <c r="O889" s="15">
        <f>IF(L889="","",IFERROR(INDEX('Почасовка — ставки и план'!$D$5:$D$24,MATCH($D889,'Почасовка — ставки и план'!$A$5:$A$24,0)),""))</f>
        <v>850</v>
      </c>
      <c r="P889" s="15">
        <f>IF(L889="","",IFERROR(INDEX('Почасовка — ставки и план'!$E$5:$E$24,MATCH($D889,'Почасовка — ставки и план'!$A$5:$A$24,0)),""))</f>
        <v>1020</v>
      </c>
      <c r="Q889" s="15">
        <f t="shared" si="75"/>
        <v>595</v>
      </c>
      <c r="R889" s="13" t="str">
        <f>IF(D889="TEX","аренда техники — сделка/счёт",IF(OR(Q889="",H889="",H889=0),"—",IF(Q889&lt;H889*(1-Параметры!$B$7),"почасовка",IF(Q889&gt;H889*(1+Параметры!$B$7),"сделка","любой способ"))))</f>
        <v>почасовка</v>
      </c>
      <c r="S889">
        <v>0</v>
      </c>
      <c r="T889">
        <v>0</v>
      </c>
    </row>
    <row r="890" spans="1:20" x14ac:dyDescent="0.25">
      <c r="A890" s="13" t="s">
        <v>1822</v>
      </c>
      <c r="B890" s="13" t="s">
        <v>1823</v>
      </c>
      <c r="C890" s="13" t="s">
        <v>144</v>
      </c>
      <c r="D890" s="13" t="s">
        <v>273</v>
      </c>
      <c r="E890" s="13" t="str">
        <f>IFERROR(INDEX('Почасовка — ставки и план'!$B$5:$B$24,MATCH(D890,'Почасовка — ставки и план'!$A$5:$A$24,0)),"Аренда техники / механизмы")</f>
        <v>Электромонтажник</v>
      </c>
      <c r="F890" s="14">
        <v>1500</v>
      </c>
      <c r="G890" s="14">
        <v>1725</v>
      </c>
      <c r="H890" s="15">
        <v>930</v>
      </c>
      <c r="I890" s="15">
        <f>IF(OR(H890="",F890=""),"",MAX(H890,MIN(ROUND(H890*(1+Параметры!$B$5),IF(H890*(1+Параметры!$B$5)&gt;=1000,-1,0)),ROUND(F890*Параметры!$B$6,IF(F890*Параметры!$B$6&gt;=1000,-1,0)))))</f>
        <v>1070</v>
      </c>
      <c r="J890" s="15">
        <v>1069</v>
      </c>
      <c r="K890" s="15">
        <f>IF(OR(J890="",G890=""),"",MAX(J890,MIN(ROUND(J890*(1+Параметры!$B$5),IF(J890*(1+Параметры!$B$5)&gt;=1000,-1,0)),ROUND(G890*Параметры!$B$6,IF(G890*Параметры!$B$6&gt;=1000,-1,0)))))</f>
        <v>1230</v>
      </c>
      <c r="L890" s="16">
        <v>1</v>
      </c>
      <c r="M890" s="17">
        <f t="shared" si="74"/>
        <v>1</v>
      </c>
      <c r="N890" s="17">
        <f>IF(OR(L890="",L890=0),"",Параметры!$B$3/L890)</f>
        <v>8</v>
      </c>
      <c r="O890" s="15">
        <f>IF(L890="","",IFERROR(INDEX('Почасовка — ставки и план'!$D$5:$D$24,MATCH($D890,'Почасовка — ставки и план'!$A$5:$A$24,0)),""))</f>
        <v>850</v>
      </c>
      <c r="P890" s="15">
        <f>IF(L890="","",IFERROR(INDEX('Почасовка — ставки и план'!$E$5:$E$24,MATCH($D890,'Почасовка — ставки и план'!$A$5:$A$24,0)),""))</f>
        <v>1020</v>
      </c>
      <c r="Q890" s="15">
        <f t="shared" si="75"/>
        <v>850</v>
      </c>
      <c r="R890" s="13" t="str">
        <f>IF(D890="TEX","аренда техники — сделка/счёт",IF(OR(Q890="",H890="",H890=0),"—",IF(Q890&lt;H890*(1-Параметры!$B$7),"почасовка",IF(Q890&gt;H890*(1+Параметры!$B$7),"сделка","любой способ"))))</f>
        <v>любой способ</v>
      </c>
      <c r="S890">
        <v>0</v>
      </c>
      <c r="T890">
        <v>0</v>
      </c>
    </row>
    <row r="891" spans="1:20" x14ac:dyDescent="0.25">
      <c r="A891" s="13" t="s">
        <v>1824</v>
      </c>
      <c r="B891" s="13" t="s">
        <v>1825</v>
      </c>
      <c r="C891" s="13" t="s">
        <v>144</v>
      </c>
      <c r="D891" s="13" t="s">
        <v>326</v>
      </c>
      <c r="E891" s="13" t="str">
        <f>IFERROR(INDEX('Почасовка — ставки и план'!$B$5:$B$24,MATCH(D891,'Почасовка — ставки и план'!$A$5:$A$24,0)),"Аренда техники / механизмы")</f>
        <v>Сантехник</v>
      </c>
      <c r="F891" s="14">
        <v>3000</v>
      </c>
      <c r="G891" s="14">
        <v>3450</v>
      </c>
      <c r="H891" s="15">
        <v>1860</v>
      </c>
      <c r="I891" s="15">
        <f>IF(OR(H891="",F891=""),"",MAX(H891,MIN(ROUND(H891*(1+Параметры!$B$5),IF(H891*(1+Параметры!$B$5)&gt;=1000,-1,0)),ROUND(F891*Параметры!$B$6,IF(F891*Параметры!$B$6&gt;=1000,-1,0)))))</f>
        <v>2140</v>
      </c>
      <c r="J891" s="15">
        <v>2139</v>
      </c>
      <c r="K891" s="15">
        <f>IF(OR(J891="",G891=""),"",MAX(J891,MIN(ROUND(J891*(1+Параметры!$B$5),IF(J891*(1+Параметры!$B$5)&gt;=1000,-1,0)),ROUND(G891*Параметры!$B$6,IF(G891*Параметры!$B$6&gt;=1000,-1,0)))))</f>
        <v>2460</v>
      </c>
      <c r="L891" s="16">
        <v>2</v>
      </c>
      <c r="M891" s="17">
        <f t="shared" si="74"/>
        <v>0.5</v>
      </c>
      <c r="N891" s="17">
        <f>IF(OR(L891="",L891=0),"",Параметры!$B$3/L891)</f>
        <v>4</v>
      </c>
      <c r="O891" s="15">
        <f>IF(L891="","",IFERROR(INDEX('Почасовка — ставки и план'!$D$5:$D$24,MATCH($D891,'Почасовка — ставки и план'!$A$5:$A$24,0)),""))</f>
        <v>850</v>
      </c>
      <c r="P891" s="15">
        <f>IF(L891="","",IFERROR(INDEX('Почасовка — ставки и план'!$E$5:$E$24,MATCH($D891,'Почасовка — ставки и план'!$A$5:$A$24,0)),""))</f>
        <v>1020</v>
      </c>
      <c r="Q891" s="15">
        <f t="shared" si="75"/>
        <v>1700</v>
      </c>
      <c r="R891" s="13" t="str">
        <f>IF(D891="TEX","аренда техники — сделка/счёт",IF(OR(Q891="",H891="",H891=0),"—",IF(Q891&lt;H891*(1-Параметры!$B$7),"почасовка",IF(Q891&gt;H891*(1+Параметры!$B$7),"сделка","любой способ"))))</f>
        <v>любой способ</v>
      </c>
      <c r="S891">
        <v>0</v>
      </c>
      <c r="T891">
        <v>0</v>
      </c>
    </row>
    <row r="892" spans="1:20" x14ac:dyDescent="0.25">
      <c r="A892" s="13" t="s">
        <v>1826</v>
      </c>
      <c r="B892" s="13" t="s">
        <v>1827</v>
      </c>
      <c r="C892" s="13" t="s">
        <v>144</v>
      </c>
      <c r="D892" s="13" t="s">
        <v>326</v>
      </c>
      <c r="E892" s="13" t="str">
        <f>IFERROR(INDEX('Почасовка — ставки и план'!$B$5:$B$24,MATCH(D892,'Почасовка — ставки и план'!$A$5:$A$24,0)),"Аренда техники / механизмы")</f>
        <v>Сантехник</v>
      </c>
      <c r="F892" s="14">
        <v>2200</v>
      </c>
      <c r="G892" s="14">
        <v>2530</v>
      </c>
      <c r="H892" s="15">
        <v>1364</v>
      </c>
      <c r="I892" s="15">
        <f>IF(OR(H892="",F892=""),"",MAX(H892,MIN(ROUND(H892*(1+Параметры!$B$5),IF(H892*(1+Параметры!$B$5)&gt;=1000,-1,0)),ROUND(F892*Параметры!$B$6,IF(F892*Параметры!$B$6&gt;=1000,-1,0)))))</f>
        <v>1570</v>
      </c>
      <c r="J892" s="15">
        <v>1569</v>
      </c>
      <c r="K892" s="15">
        <f>IF(OR(J892="",G892=""),"",MAX(J892,MIN(ROUND(J892*(1+Параметры!$B$5),IF(J892*(1+Параметры!$B$5)&gt;=1000,-1,0)),ROUND(G892*Параметры!$B$6,IF(G892*Параметры!$B$6&gt;=1000,-1,0)))))</f>
        <v>1800</v>
      </c>
      <c r="L892" s="16">
        <v>1.5</v>
      </c>
      <c r="M892" s="17">
        <f t="shared" si="74"/>
        <v>0.66666666666666663</v>
      </c>
      <c r="N892" s="17">
        <f>IF(OR(L892="",L892=0),"",Параметры!$B$3/L892)</f>
        <v>5.333333333333333</v>
      </c>
      <c r="O892" s="15">
        <f>IF(L892="","",IFERROR(INDEX('Почасовка — ставки и план'!$D$5:$D$24,MATCH($D892,'Почасовка — ставки и план'!$A$5:$A$24,0)),""))</f>
        <v>850</v>
      </c>
      <c r="P892" s="15">
        <f>IF(L892="","",IFERROR(INDEX('Почасовка — ставки и план'!$E$5:$E$24,MATCH($D892,'Почасовка — ставки и план'!$A$5:$A$24,0)),""))</f>
        <v>1020</v>
      </c>
      <c r="Q892" s="15">
        <f t="shared" si="75"/>
        <v>1275</v>
      </c>
      <c r="R892" s="13" t="str">
        <f>IF(D892="TEX","аренда техники — сделка/счёт",IF(OR(Q892="",H892="",H892=0),"—",IF(Q892&lt;H892*(1-Параметры!$B$7),"почасовка",IF(Q892&gt;H892*(1+Параметры!$B$7),"сделка","любой способ"))))</f>
        <v>любой способ</v>
      </c>
      <c r="S892">
        <v>0</v>
      </c>
      <c r="T892">
        <v>0</v>
      </c>
    </row>
    <row r="893" spans="1:20" x14ac:dyDescent="0.25">
      <c r="A893" s="13" t="s">
        <v>1828</v>
      </c>
      <c r="B893" s="13" t="s">
        <v>1829</v>
      </c>
      <c r="C893" s="13" t="s">
        <v>144</v>
      </c>
      <c r="D893" s="13" t="s">
        <v>299</v>
      </c>
      <c r="E893" s="13" t="str">
        <f>IFERROR(INDEX('Почасовка — ставки и план'!$B$5:$B$24,MATCH(D893,'Почасовка — ставки и план'!$A$5:$A$24,0)),"Аренда техники / механизмы")</f>
        <v>Холодильщик / монтажник кондиционеров</v>
      </c>
      <c r="F893" s="14">
        <v>4000</v>
      </c>
      <c r="G893" s="14">
        <v>4800</v>
      </c>
      <c r="H893" s="15">
        <v>2480</v>
      </c>
      <c r="I893" s="15">
        <f>IF(OR(H893="",F893=""),"",MAX(H893,MIN(ROUND(H893*(1+Параметры!$B$5),IF(H893*(1+Параметры!$B$5)&gt;=1000,-1,0)),ROUND(F893*Параметры!$B$6,IF(F893*Параметры!$B$6&gt;=1000,-1,0)))))</f>
        <v>2850</v>
      </c>
      <c r="J893" s="15">
        <v>2852</v>
      </c>
      <c r="K893" s="15">
        <f>IF(OR(J893="",G893=""),"",MAX(J893,MIN(ROUND(J893*(1+Параметры!$B$5),IF(J893*(1+Параметры!$B$5)&gt;=1000,-1,0)),ROUND(G893*Параметры!$B$6,IF(G893*Параметры!$B$6&gt;=1000,-1,0)))))</f>
        <v>3280</v>
      </c>
      <c r="L893" s="16">
        <v>2.5</v>
      </c>
      <c r="M893" s="17">
        <f t="shared" si="74"/>
        <v>0.4</v>
      </c>
      <c r="N893" s="17">
        <f>IF(OR(L893="",L893=0),"",Параметры!$B$3/L893)</f>
        <v>3.2</v>
      </c>
      <c r="O893" s="15">
        <f>IF(L893="","",IFERROR(INDEX('Почасовка — ставки и план'!$D$5:$D$24,MATCH($D893,'Почасовка — ставки и план'!$A$5:$A$24,0)),""))</f>
        <v>1200</v>
      </c>
      <c r="P893" s="15">
        <f>IF(L893="","",IFERROR(INDEX('Почасовка — ставки и план'!$E$5:$E$24,MATCH($D893,'Почасовка — ставки и план'!$A$5:$A$24,0)),""))</f>
        <v>1440</v>
      </c>
      <c r="Q893" s="15">
        <f t="shared" si="75"/>
        <v>3000</v>
      </c>
      <c r="R893" s="13" t="str">
        <f>IF(D893="TEX","аренда техники — сделка/счёт",IF(OR(Q893="",H893="",H893=0),"—",IF(Q893&lt;H893*(1-Параметры!$B$7),"почасовка",IF(Q893&gt;H893*(1+Параметры!$B$7),"сделка","любой способ"))))</f>
        <v>сделка</v>
      </c>
      <c r="S893">
        <v>0</v>
      </c>
      <c r="T893">
        <v>4.3478260869565188E-2</v>
      </c>
    </row>
    <row r="894" spans="1:20" x14ac:dyDescent="0.25">
      <c r="A894" s="13" t="s">
        <v>1830</v>
      </c>
      <c r="B894" s="13" t="s">
        <v>1831</v>
      </c>
      <c r="C894" s="13" t="s">
        <v>144</v>
      </c>
      <c r="D894" s="13" t="s">
        <v>326</v>
      </c>
      <c r="E894" s="13" t="str">
        <f>IFERROR(INDEX('Почасовка — ставки и план'!$B$5:$B$24,MATCH(D894,'Почасовка — ставки и план'!$A$5:$A$24,0)),"Аренда техники / механизмы")</f>
        <v>Сантехник</v>
      </c>
      <c r="F894" s="14">
        <v>2500</v>
      </c>
      <c r="G894" s="14">
        <v>2875</v>
      </c>
      <c r="H894" s="15">
        <v>1550</v>
      </c>
      <c r="I894" s="15">
        <f>IF(OR(H894="",F894=""),"",MAX(H894,MIN(ROUND(H894*(1+Параметры!$B$5),IF(H894*(1+Параметры!$B$5)&gt;=1000,-1,0)),ROUND(F894*Параметры!$B$6,IF(F894*Параметры!$B$6&gt;=1000,-1,0)))))</f>
        <v>1780</v>
      </c>
      <c r="J894" s="15">
        <v>1782</v>
      </c>
      <c r="K894" s="15">
        <f>IF(OR(J894="",G894=""),"",MAX(J894,MIN(ROUND(J894*(1+Параметры!$B$5),IF(J894*(1+Параметры!$B$5)&gt;=1000,-1,0)),ROUND(G894*Параметры!$B$6,IF(G894*Параметры!$B$6&gt;=1000,-1,0)))))</f>
        <v>2050</v>
      </c>
      <c r="L894" s="16">
        <v>1.5</v>
      </c>
      <c r="M894" s="17">
        <f t="shared" si="74"/>
        <v>0.66666666666666663</v>
      </c>
      <c r="N894" s="17">
        <f>IF(OR(L894="",L894=0),"",Параметры!$B$3/L894)</f>
        <v>5.333333333333333</v>
      </c>
      <c r="O894" s="15">
        <f>IF(L894="","",IFERROR(INDEX('Почасовка — ставки и план'!$D$5:$D$24,MATCH($D894,'Почасовка — ставки и план'!$A$5:$A$24,0)),""))</f>
        <v>850</v>
      </c>
      <c r="P894" s="15">
        <f>IF(L894="","",IFERROR(INDEX('Почасовка — ставки и план'!$E$5:$E$24,MATCH($D894,'Почасовка — ставки и план'!$A$5:$A$24,0)),""))</f>
        <v>1020</v>
      </c>
      <c r="Q894" s="15">
        <f t="shared" si="75"/>
        <v>1275</v>
      </c>
      <c r="R894" s="13" t="str">
        <f>IF(D894="TEX","аренда техники — сделка/счёт",IF(OR(Q894="",H894="",H894=0),"—",IF(Q894&lt;H894*(1-Параметры!$B$7),"почасовка",IF(Q894&gt;H894*(1+Параметры!$B$7),"сделка","любой способ"))))</f>
        <v>почасовка</v>
      </c>
      <c r="S894">
        <v>0</v>
      </c>
      <c r="T894">
        <v>0</v>
      </c>
    </row>
    <row r="895" spans="1:20" x14ac:dyDescent="0.25">
      <c r="A895" s="13" t="s">
        <v>1832</v>
      </c>
      <c r="B895" s="13" t="s">
        <v>1833</v>
      </c>
      <c r="C895" s="13" t="s">
        <v>144</v>
      </c>
      <c r="D895" s="13" t="s">
        <v>326</v>
      </c>
      <c r="E895" s="13" t="str">
        <f>IFERROR(INDEX('Почасовка — ставки и план'!$B$5:$B$24,MATCH(D895,'Почасовка — ставки и план'!$A$5:$A$24,0)),"Аренда техники / механизмы")</f>
        <v>Сантехник</v>
      </c>
      <c r="F895" s="14">
        <v>5000</v>
      </c>
      <c r="G895" s="14">
        <v>5750</v>
      </c>
      <c r="H895" s="15">
        <v>3100</v>
      </c>
      <c r="I895" s="15">
        <f>IF(OR(H895="",F895=""),"",MAX(H895,MIN(ROUND(H895*(1+Параметры!$B$5),IF(H895*(1+Параметры!$B$5)&gt;=1000,-1,0)),ROUND(F895*Параметры!$B$6,IF(F895*Параметры!$B$6&gt;=1000,-1,0)))))</f>
        <v>3570</v>
      </c>
      <c r="J895" s="15">
        <v>3565</v>
      </c>
      <c r="K895" s="15">
        <f>IF(OR(J895="",G895=""),"",MAX(J895,MIN(ROUND(J895*(1+Параметры!$B$5),IF(J895*(1+Параметры!$B$5)&gt;=1000,-1,0)),ROUND(G895*Параметры!$B$6,IF(G895*Параметры!$B$6&gt;=1000,-1,0)))))</f>
        <v>4100</v>
      </c>
      <c r="L895" s="16">
        <v>3</v>
      </c>
      <c r="M895" s="17">
        <f t="shared" si="74"/>
        <v>0.33333333333333331</v>
      </c>
      <c r="N895" s="17">
        <f>IF(OR(L895="",L895=0),"",Параметры!$B$3/L895)</f>
        <v>2.6666666666666665</v>
      </c>
      <c r="O895" s="15">
        <f>IF(L895="","",IFERROR(INDEX('Почасовка — ставки и план'!$D$5:$D$24,MATCH($D895,'Почасовка — ставки и план'!$A$5:$A$24,0)),""))</f>
        <v>850</v>
      </c>
      <c r="P895" s="15">
        <f>IF(L895="","",IFERROR(INDEX('Почасовка — ставки и план'!$E$5:$E$24,MATCH($D895,'Почасовка — ставки и план'!$A$5:$A$24,0)),""))</f>
        <v>1020</v>
      </c>
      <c r="Q895" s="15">
        <f t="shared" si="75"/>
        <v>2550</v>
      </c>
      <c r="R895" s="13" t="str">
        <f>IF(D895="TEX","аренда техники — сделка/счёт",IF(OR(Q895="",H895="",H895=0),"—",IF(Q895&lt;H895*(1-Параметры!$B$7),"почасовка",IF(Q895&gt;H895*(1+Параметры!$B$7),"сделка","любой способ"))))</f>
        <v>почасовка</v>
      </c>
      <c r="S895">
        <v>0</v>
      </c>
      <c r="T895">
        <v>0</v>
      </c>
    </row>
    <row r="896" spans="1:20" x14ac:dyDescent="0.25">
      <c r="A896" s="13" t="s">
        <v>1834</v>
      </c>
      <c r="B896" s="13" t="s">
        <v>1835</v>
      </c>
      <c r="C896" s="13" t="s">
        <v>144</v>
      </c>
      <c r="D896" s="13" t="s">
        <v>326</v>
      </c>
      <c r="E896" s="13" t="str">
        <f>IFERROR(INDEX('Почасовка — ставки и план'!$B$5:$B$24,MATCH(D896,'Почасовка — ставки и план'!$A$5:$A$24,0)),"Аренда техники / механизмы")</f>
        <v>Сантехник</v>
      </c>
      <c r="F896" s="14">
        <v>2500</v>
      </c>
      <c r="G896" s="14">
        <v>2875</v>
      </c>
      <c r="H896" s="15">
        <v>1550</v>
      </c>
      <c r="I896" s="15">
        <f>IF(OR(H896="",F896=""),"",MAX(H896,MIN(ROUND(H896*(1+Параметры!$B$5),IF(H896*(1+Параметры!$B$5)&gt;=1000,-1,0)),ROUND(F896*Параметры!$B$6,IF(F896*Параметры!$B$6&gt;=1000,-1,0)))))</f>
        <v>1780</v>
      </c>
      <c r="J896" s="15">
        <v>1782</v>
      </c>
      <c r="K896" s="15">
        <f>IF(OR(J896="",G896=""),"",MAX(J896,MIN(ROUND(J896*(1+Параметры!$B$5),IF(J896*(1+Параметры!$B$5)&gt;=1000,-1,0)),ROUND(G896*Параметры!$B$6,IF(G896*Параметры!$B$6&gt;=1000,-1,0)))))</f>
        <v>2050</v>
      </c>
      <c r="L896" s="16">
        <v>2</v>
      </c>
      <c r="M896" s="17">
        <f t="shared" si="74"/>
        <v>0.5</v>
      </c>
      <c r="N896" s="17">
        <f>IF(OR(L896="",L896=0),"",Параметры!$B$3/L896)</f>
        <v>4</v>
      </c>
      <c r="O896" s="15">
        <f>IF(L896="","",IFERROR(INDEX('Почасовка — ставки и план'!$D$5:$D$24,MATCH($D896,'Почасовка — ставки и план'!$A$5:$A$24,0)),""))</f>
        <v>850</v>
      </c>
      <c r="P896" s="15">
        <f>IF(L896="","",IFERROR(INDEX('Почасовка — ставки и план'!$E$5:$E$24,MATCH($D896,'Почасовка — ставки и план'!$A$5:$A$24,0)),""))</f>
        <v>1020</v>
      </c>
      <c r="Q896" s="15">
        <f t="shared" si="75"/>
        <v>1700</v>
      </c>
      <c r="R896" s="13" t="str">
        <f>IF(D896="TEX","аренда техники — сделка/счёт",IF(OR(Q896="",H896="",H896=0),"—",IF(Q896&lt;H896*(1-Параметры!$B$7),"почасовка",IF(Q896&gt;H896*(1+Параметры!$B$7),"сделка","любой способ"))))</f>
        <v>любой способ</v>
      </c>
      <c r="S896">
        <v>0</v>
      </c>
      <c r="T896">
        <v>0</v>
      </c>
    </row>
    <row r="897" spans="1:20" x14ac:dyDescent="0.25">
      <c r="A897" s="13" t="s">
        <v>1836</v>
      </c>
      <c r="B897" s="13" t="s">
        <v>1837</v>
      </c>
      <c r="C897" s="13" t="s">
        <v>144</v>
      </c>
      <c r="D897" s="13" t="s">
        <v>326</v>
      </c>
      <c r="E897" s="13" t="str">
        <f>IFERROR(INDEX('Почасовка — ставки и план'!$B$5:$B$24,MATCH(D897,'Почасовка — ставки и план'!$A$5:$A$24,0)),"Аренда техники / механизмы")</f>
        <v>Сантехник</v>
      </c>
      <c r="F897" s="14">
        <v>3000</v>
      </c>
      <c r="G897" s="14">
        <v>3450</v>
      </c>
      <c r="H897" s="15">
        <v>1860</v>
      </c>
      <c r="I897" s="15">
        <f>IF(OR(H897="",F897=""),"",MAX(H897,MIN(ROUND(H897*(1+Параметры!$B$5),IF(H897*(1+Параметры!$B$5)&gt;=1000,-1,0)),ROUND(F897*Параметры!$B$6,IF(F897*Параметры!$B$6&gt;=1000,-1,0)))))</f>
        <v>2140</v>
      </c>
      <c r="J897" s="15">
        <v>2139</v>
      </c>
      <c r="K897" s="15">
        <f>IF(OR(J897="",G897=""),"",MAX(J897,MIN(ROUND(J897*(1+Параметры!$B$5),IF(J897*(1+Параметры!$B$5)&gt;=1000,-1,0)),ROUND(G897*Параметры!$B$6,IF(G897*Параметры!$B$6&gt;=1000,-1,0)))))</f>
        <v>2460</v>
      </c>
      <c r="L897" s="16">
        <v>2.5</v>
      </c>
      <c r="M897" s="17">
        <f t="shared" si="74"/>
        <v>0.4</v>
      </c>
      <c r="N897" s="17">
        <f>IF(OR(L897="",L897=0),"",Параметры!$B$3/L897)</f>
        <v>3.2</v>
      </c>
      <c r="O897" s="15">
        <f>IF(L897="","",IFERROR(INDEX('Почасовка — ставки и план'!$D$5:$D$24,MATCH($D897,'Почасовка — ставки и план'!$A$5:$A$24,0)),""))</f>
        <v>850</v>
      </c>
      <c r="P897" s="15">
        <f>IF(L897="","",IFERROR(INDEX('Почасовка — ставки и план'!$E$5:$E$24,MATCH($D897,'Почасовка — ставки и план'!$A$5:$A$24,0)),""))</f>
        <v>1020</v>
      </c>
      <c r="Q897" s="15">
        <f t="shared" si="75"/>
        <v>2125</v>
      </c>
      <c r="R897" s="13" t="str">
        <f>IF(D897="TEX","аренда техники — сделка/счёт",IF(OR(Q897="",H897="",H897=0),"—",IF(Q897&lt;H897*(1-Параметры!$B$7),"почасовка",IF(Q897&gt;H897*(1+Параметры!$B$7),"сделка","любой способ"))))</f>
        <v>сделка</v>
      </c>
      <c r="S897">
        <v>0</v>
      </c>
      <c r="T897">
        <v>0</v>
      </c>
    </row>
    <row r="898" spans="1:20" x14ac:dyDescent="0.25">
      <c r="A898" s="13" t="s">
        <v>1838</v>
      </c>
      <c r="B898" s="13" t="s">
        <v>1839</v>
      </c>
      <c r="C898" s="13" t="s">
        <v>144</v>
      </c>
      <c r="D898" s="13" t="s">
        <v>326</v>
      </c>
      <c r="E898" s="13" t="str">
        <f>IFERROR(INDEX('Почасовка — ставки и план'!$B$5:$B$24,MATCH(D898,'Почасовка — ставки и план'!$A$5:$A$24,0)),"Аренда техники / механизмы")</f>
        <v>Сантехник</v>
      </c>
      <c r="F898" s="14">
        <v>2000</v>
      </c>
      <c r="G898" s="14">
        <v>2300</v>
      </c>
      <c r="H898" s="15">
        <v>1240</v>
      </c>
      <c r="I898" s="15">
        <f>IF(OR(H898="",F898=""),"",MAX(H898,MIN(ROUND(H898*(1+Параметры!$B$5),IF(H898*(1+Параметры!$B$5)&gt;=1000,-1,0)),ROUND(F898*Параметры!$B$6,IF(F898*Параметры!$B$6&gt;=1000,-1,0)))))</f>
        <v>1430</v>
      </c>
      <c r="J898" s="15">
        <v>1426</v>
      </c>
      <c r="K898" s="15">
        <f>IF(OR(J898="",G898=""),"",MAX(J898,MIN(ROUND(J898*(1+Параметры!$B$5),IF(J898*(1+Параметры!$B$5)&gt;=1000,-1,0)),ROUND(G898*Параметры!$B$6,IF(G898*Параметры!$B$6&gt;=1000,-1,0)))))</f>
        <v>1640</v>
      </c>
      <c r="L898" s="16">
        <v>1.5</v>
      </c>
      <c r="M898" s="17">
        <f t="shared" si="74"/>
        <v>0.66666666666666663</v>
      </c>
      <c r="N898" s="17">
        <f>IF(OR(L898="",L898=0),"",Параметры!$B$3/L898)</f>
        <v>5.333333333333333</v>
      </c>
      <c r="O898" s="15">
        <f>IF(L898="","",IFERROR(INDEX('Почасовка — ставки и план'!$D$5:$D$24,MATCH($D898,'Почасовка — ставки и план'!$A$5:$A$24,0)),""))</f>
        <v>850</v>
      </c>
      <c r="P898" s="15">
        <f>IF(L898="","",IFERROR(INDEX('Почасовка — ставки и план'!$E$5:$E$24,MATCH($D898,'Почасовка — ставки и план'!$A$5:$A$24,0)),""))</f>
        <v>1020</v>
      </c>
      <c r="Q898" s="15">
        <f t="shared" si="75"/>
        <v>1275</v>
      </c>
      <c r="R898" s="13" t="str">
        <f>IF(D898="TEX","аренда техники — сделка/счёт",IF(OR(Q898="",H898="",H898=0),"—",IF(Q898&lt;H898*(1-Параметры!$B$7),"почасовка",IF(Q898&gt;H898*(1+Параметры!$B$7),"сделка","любой способ"))))</f>
        <v>любой способ</v>
      </c>
      <c r="S898">
        <v>0</v>
      </c>
      <c r="T898">
        <v>0</v>
      </c>
    </row>
    <row r="899" spans="1:20" x14ac:dyDescent="0.25">
      <c r="A899" s="13" t="s">
        <v>1840</v>
      </c>
      <c r="B899" s="13" t="s">
        <v>1841</v>
      </c>
      <c r="C899" s="13" t="s">
        <v>144</v>
      </c>
      <c r="D899" s="13" t="s">
        <v>326</v>
      </c>
      <c r="E899" s="13" t="str">
        <f>IFERROR(INDEX('Почасовка — ставки и план'!$B$5:$B$24,MATCH(D899,'Почасовка — ставки и план'!$A$5:$A$24,0)),"Аренда техники / механизмы")</f>
        <v>Сантехник</v>
      </c>
      <c r="F899" s="14">
        <v>1800</v>
      </c>
      <c r="G899" s="14">
        <v>2070</v>
      </c>
      <c r="H899" s="15">
        <v>1116</v>
      </c>
      <c r="I899" s="15">
        <f>IF(OR(H899="",F899=""),"",MAX(H899,MIN(ROUND(H899*(1+Параметры!$B$5),IF(H899*(1+Параметры!$B$5)&gt;=1000,-1,0)),ROUND(F899*Параметры!$B$6,IF(F899*Параметры!$B$6&gt;=1000,-1,0)))))</f>
        <v>1280</v>
      </c>
      <c r="J899" s="15">
        <v>1283</v>
      </c>
      <c r="K899" s="15">
        <f>IF(OR(J899="",G899=""),"",MAX(J899,MIN(ROUND(J899*(1+Параметры!$B$5),IF(J899*(1+Параметры!$B$5)&gt;=1000,-1,0)),ROUND(G899*Параметры!$B$6,IF(G899*Параметры!$B$6&gt;=1000,-1,0)))))</f>
        <v>1480</v>
      </c>
      <c r="L899" s="16">
        <v>1.4</v>
      </c>
      <c r="M899" s="17">
        <f t="shared" si="74"/>
        <v>0.7142857142857143</v>
      </c>
      <c r="N899" s="17">
        <f>IF(OR(L899="",L899=0),"",Параметры!$B$3/L899)</f>
        <v>5.7142857142857144</v>
      </c>
      <c r="O899" s="15">
        <f>IF(L899="","",IFERROR(INDEX('Почасовка — ставки и план'!$D$5:$D$24,MATCH($D899,'Почасовка — ставки и план'!$A$5:$A$24,0)),""))</f>
        <v>850</v>
      </c>
      <c r="P899" s="15">
        <f>IF(L899="","",IFERROR(INDEX('Почасовка — ставки и план'!$E$5:$E$24,MATCH($D899,'Почасовка — ставки и план'!$A$5:$A$24,0)),""))</f>
        <v>1020</v>
      </c>
      <c r="Q899" s="15">
        <f t="shared" si="75"/>
        <v>1190</v>
      </c>
      <c r="R899" s="13" t="str">
        <f>IF(D899="TEX","аренда техники — сделка/счёт",IF(OR(Q899="",H899="",H899=0),"—",IF(Q899&lt;H899*(1-Параметры!$B$7),"почасовка",IF(Q899&gt;H899*(1+Параметры!$B$7),"сделка","любой способ"))))</f>
        <v>любой способ</v>
      </c>
      <c r="S899">
        <v>0</v>
      </c>
      <c r="T899">
        <v>0</v>
      </c>
    </row>
    <row r="900" spans="1:20" x14ac:dyDescent="0.25">
      <c r="A900" s="13" t="s">
        <v>1842</v>
      </c>
      <c r="B900" s="13" t="s">
        <v>1843</v>
      </c>
      <c r="C900" s="13" t="s">
        <v>144</v>
      </c>
      <c r="D900" s="13" t="s">
        <v>326</v>
      </c>
      <c r="E900" s="13" t="str">
        <f>IFERROR(INDEX('Почасовка — ставки и план'!$B$5:$B$24,MATCH(D900,'Почасовка — ставки и план'!$A$5:$A$24,0)),"Аренда техники / механизмы")</f>
        <v>Сантехник</v>
      </c>
      <c r="F900" s="14">
        <v>1100</v>
      </c>
      <c r="G900" s="14">
        <v>1265</v>
      </c>
      <c r="H900" s="15">
        <v>682</v>
      </c>
      <c r="I900" s="15">
        <f>IF(OR(H900="",F900=""),"",MAX(H900,MIN(ROUND(H900*(1+Параметры!$B$5),IF(H900*(1+Параметры!$B$5)&gt;=1000,-1,0)),ROUND(F900*Параметры!$B$6,IF(F900*Параметры!$B$6&gt;=1000,-1,0)))))</f>
        <v>784</v>
      </c>
      <c r="J900" s="15">
        <v>784</v>
      </c>
      <c r="K900" s="15">
        <f>IF(OR(J900="",G900=""),"",MAX(J900,MIN(ROUND(J900*(1+Параметры!$B$5),IF(J900*(1+Параметры!$B$5)&gt;=1000,-1,0)),ROUND(G900*Параметры!$B$6,IF(G900*Параметры!$B$6&gt;=1000,-1,0)))))</f>
        <v>902</v>
      </c>
      <c r="L900" s="16">
        <v>0.7</v>
      </c>
      <c r="M900" s="17">
        <f t="shared" ref="M900:M931" si="76">IF(OR(L900="",L900=0),"",1/L900)</f>
        <v>1.4285714285714286</v>
      </c>
      <c r="N900" s="17">
        <f>IF(OR(L900="",L900=0),"",Параметры!$B$3/L900)</f>
        <v>11.428571428571429</v>
      </c>
      <c r="O900" s="15">
        <f>IF(L900="","",IFERROR(INDEX('Почасовка — ставки и план'!$D$5:$D$24,MATCH($D900,'Почасовка — ставки и план'!$A$5:$A$24,0)),""))</f>
        <v>850</v>
      </c>
      <c r="P900" s="15">
        <f>IF(L900="","",IFERROR(INDEX('Почасовка — ставки и план'!$E$5:$E$24,MATCH($D900,'Почасовка — ставки и план'!$A$5:$A$24,0)),""))</f>
        <v>1020</v>
      </c>
      <c r="Q900" s="15">
        <f t="shared" ref="Q900:Q923" si="77">IF(OR(L900="",O900=""),"",ROUND(L900*O900,0))</f>
        <v>595</v>
      </c>
      <c r="R900" s="13" t="str">
        <f>IF(D900="TEX","аренда техники — сделка/счёт",IF(OR(Q900="",H900="",H900=0),"—",IF(Q900&lt;H900*(1-Параметры!$B$7),"почасовка",IF(Q900&gt;H900*(1+Параметры!$B$7),"сделка","любой способ"))))</f>
        <v>почасовка</v>
      </c>
      <c r="S900">
        <v>0</v>
      </c>
      <c r="T900">
        <v>0</v>
      </c>
    </row>
    <row r="901" spans="1:20" x14ac:dyDescent="0.25">
      <c r="A901" s="13" t="s">
        <v>1844</v>
      </c>
      <c r="B901" s="13" t="s">
        <v>1845</v>
      </c>
      <c r="C901" s="13" t="s">
        <v>144</v>
      </c>
      <c r="D901" s="13" t="s">
        <v>326</v>
      </c>
      <c r="E901" s="13" t="str">
        <f>IFERROR(INDEX('Почасовка — ставки и план'!$B$5:$B$24,MATCH(D901,'Почасовка — ставки и план'!$A$5:$A$24,0)),"Аренда техники / механизмы")</f>
        <v>Сантехник</v>
      </c>
      <c r="F901" s="14">
        <v>1200</v>
      </c>
      <c r="G901" s="14">
        <v>1380</v>
      </c>
      <c r="H901" s="15">
        <v>744</v>
      </c>
      <c r="I901" s="15">
        <f>IF(OR(H901="",F901=""),"",MAX(H901,MIN(ROUND(H901*(1+Параметры!$B$5),IF(H901*(1+Параметры!$B$5)&gt;=1000,-1,0)),ROUND(F901*Параметры!$B$6,IF(F901*Параметры!$B$6&gt;=1000,-1,0)))))</f>
        <v>856</v>
      </c>
      <c r="J901" s="15">
        <v>856</v>
      </c>
      <c r="K901" s="15">
        <f>IF(OR(J901="",G901=""),"",MAX(J901,MIN(ROUND(J901*(1+Параметры!$B$5),IF(J901*(1+Параметры!$B$5)&gt;=1000,-1,0)),ROUND(G901*Параметры!$B$6,IF(G901*Параметры!$B$6&gt;=1000,-1,0)))))</f>
        <v>984</v>
      </c>
      <c r="L901" s="16">
        <v>0.8</v>
      </c>
      <c r="M901" s="17">
        <f t="shared" si="76"/>
        <v>1.25</v>
      </c>
      <c r="N901" s="17">
        <f>IF(OR(L901="",L901=0),"",Параметры!$B$3/L901)</f>
        <v>10</v>
      </c>
      <c r="O901" s="15">
        <f>IF(L901="","",IFERROR(INDEX('Почасовка — ставки и план'!$D$5:$D$24,MATCH($D901,'Почасовка — ставки и план'!$A$5:$A$24,0)),""))</f>
        <v>850</v>
      </c>
      <c r="P901" s="15">
        <f>IF(L901="","",IFERROR(INDEX('Почасовка — ставки и план'!$E$5:$E$24,MATCH($D901,'Почасовка — ставки и план'!$A$5:$A$24,0)),""))</f>
        <v>1020</v>
      </c>
      <c r="Q901" s="15">
        <f t="shared" si="77"/>
        <v>680</v>
      </c>
      <c r="R901" s="13" t="str">
        <f>IF(D901="TEX","аренда техники — сделка/счёт",IF(OR(Q901="",H901="",H901=0),"—",IF(Q901&lt;H901*(1-Параметры!$B$7),"почасовка",IF(Q901&gt;H901*(1+Параметры!$B$7),"сделка","любой способ"))))</f>
        <v>любой способ</v>
      </c>
      <c r="S901">
        <v>0</v>
      </c>
      <c r="T901">
        <v>0</v>
      </c>
    </row>
    <row r="902" spans="1:20" x14ac:dyDescent="0.25">
      <c r="A902" s="13" t="s">
        <v>1846</v>
      </c>
      <c r="B902" s="13" t="s">
        <v>1847</v>
      </c>
      <c r="C902" s="13" t="s">
        <v>144</v>
      </c>
      <c r="D902" s="13" t="s">
        <v>326</v>
      </c>
      <c r="E902" s="13" t="str">
        <f>IFERROR(INDEX('Почасовка — ставки и план'!$B$5:$B$24,MATCH(D902,'Почасовка — ставки и план'!$A$5:$A$24,0)),"Аренда техники / механизмы")</f>
        <v>Сантехник</v>
      </c>
      <c r="F902" s="14">
        <v>1500</v>
      </c>
      <c r="G902" s="14">
        <v>1725</v>
      </c>
      <c r="H902" s="15">
        <v>930</v>
      </c>
      <c r="I902" s="15">
        <f>IF(OR(H902="",F902=""),"",MAX(H902,MIN(ROUND(H902*(1+Параметры!$B$5),IF(H902*(1+Параметры!$B$5)&gt;=1000,-1,0)),ROUND(F902*Параметры!$B$6,IF(F902*Параметры!$B$6&gt;=1000,-1,0)))))</f>
        <v>1070</v>
      </c>
      <c r="J902" s="15">
        <v>1069</v>
      </c>
      <c r="K902" s="15">
        <f>IF(OR(J902="",G902=""),"",MAX(J902,MIN(ROUND(J902*(1+Параметры!$B$5),IF(J902*(1+Параметры!$B$5)&gt;=1000,-1,0)),ROUND(G902*Параметры!$B$6,IF(G902*Параметры!$B$6&gt;=1000,-1,0)))))</f>
        <v>1230</v>
      </c>
      <c r="L902" s="16">
        <v>1</v>
      </c>
      <c r="M902" s="17">
        <f t="shared" si="76"/>
        <v>1</v>
      </c>
      <c r="N902" s="17">
        <f>IF(OR(L902="",L902=0),"",Параметры!$B$3/L902)</f>
        <v>8</v>
      </c>
      <c r="O902" s="15">
        <f>IF(L902="","",IFERROR(INDEX('Почасовка — ставки и план'!$D$5:$D$24,MATCH($D902,'Почасовка — ставки и план'!$A$5:$A$24,0)),""))</f>
        <v>850</v>
      </c>
      <c r="P902" s="15">
        <f>IF(L902="","",IFERROR(INDEX('Почасовка — ставки и план'!$E$5:$E$24,MATCH($D902,'Почасовка — ставки и план'!$A$5:$A$24,0)),""))</f>
        <v>1020</v>
      </c>
      <c r="Q902" s="15">
        <f t="shared" si="77"/>
        <v>850</v>
      </c>
      <c r="R902" s="13" t="str">
        <f>IF(D902="TEX","аренда техники — сделка/счёт",IF(OR(Q902="",H902="",H902=0),"—",IF(Q902&lt;H902*(1-Параметры!$B$7),"почасовка",IF(Q902&gt;H902*(1+Параметры!$B$7),"сделка","любой способ"))))</f>
        <v>любой способ</v>
      </c>
      <c r="S902">
        <v>0</v>
      </c>
      <c r="T902">
        <v>0</v>
      </c>
    </row>
    <row r="903" spans="1:20" x14ac:dyDescent="0.25">
      <c r="A903" s="13" t="s">
        <v>1848</v>
      </c>
      <c r="B903" s="13" t="s">
        <v>1849</v>
      </c>
      <c r="C903" s="13" t="s">
        <v>144</v>
      </c>
      <c r="D903" s="13" t="s">
        <v>326</v>
      </c>
      <c r="E903" s="13" t="str">
        <f>IFERROR(INDEX('Почасовка — ставки и план'!$B$5:$B$24,MATCH(D903,'Почасовка — ставки и план'!$A$5:$A$24,0)),"Аренда техники / механизмы")</f>
        <v>Сантехник</v>
      </c>
      <c r="F903" s="14">
        <v>2500</v>
      </c>
      <c r="G903" s="14">
        <v>2875</v>
      </c>
      <c r="H903" s="15">
        <v>1550</v>
      </c>
      <c r="I903" s="15">
        <f>IF(OR(H903="",F903=""),"",MAX(H903,MIN(ROUND(H903*(1+Параметры!$B$5),IF(H903*(1+Параметры!$B$5)&gt;=1000,-1,0)),ROUND(F903*Параметры!$B$6,IF(F903*Параметры!$B$6&gt;=1000,-1,0)))))</f>
        <v>1780</v>
      </c>
      <c r="J903" s="15">
        <v>1782</v>
      </c>
      <c r="K903" s="15">
        <f>IF(OR(J903="",G903=""),"",MAX(J903,MIN(ROUND(J903*(1+Параметры!$B$5),IF(J903*(1+Параметры!$B$5)&gt;=1000,-1,0)),ROUND(G903*Параметры!$B$6,IF(G903*Параметры!$B$6&gt;=1000,-1,0)))))</f>
        <v>2050</v>
      </c>
      <c r="L903" s="16">
        <v>1.8</v>
      </c>
      <c r="M903" s="17">
        <f t="shared" si="76"/>
        <v>0.55555555555555558</v>
      </c>
      <c r="N903" s="17">
        <f>IF(OR(L903="",L903=0),"",Параметры!$B$3/L903)</f>
        <v>4.4444444444444446</v>
      </c>
      <c r="O903" s="15">
        <f>IF(L903="","",IFERROR(INDEX('Почасовка — ставки и план'!$D$5:$D$24,MATCH($D903,'Почасовка — ставки и план'!$A$5:$A$24,0)),""))</f>
        <v>850</v>
      </c>
      <c r="P903" s="15">
        <f>IF(L903="","",IFERROR(INDEX('Почасовка — ставки и план'!$E$5:$E$24,MATCH($D903,'Почасовка — ставки и план'!$A$5:$A$24,0)),""))</f>
        <v>1020</v>
      </c>
      <c r="Q903" s="15">
        <f t="shared" si="77"/>
        <v>1530</v>
      </c>
      <c r="R903" s="13" t="str">
        <f>IF(D903="TEX","аренда техники — сделка/счёт",IF(OR(Q903="",H903="",H903=0),"—",IF(Q903&lt;H903*(1-Параметры!$B$7),"почасовка",IF(Q903&gt;H903*(1+Параметры!$B$7),"сделка","любой способ"))))</f>
        <v>любой способ</v>
      </c>
      <c r="S903">
        <v>0</v>
      </c>
      <c r="T903">
        <v>0</v>
      </c>
    </row>
    <row r="904" spans="1:20" x14ac:dyDescent="0.25">
      <c r="A904" s="13" t="s">
        <v>1850</v>
      </c>
      <c r="B904" s="13" t="s">
        <v>1851</v>
      </c>
      <c r="C904" s="13" t="s">
        <v>144</v>
      </c>
      <c r="D904" s="13" t="s">
        <v>326</v>
      </c>
      <c r="E904" s="13" t="str">
        <f>IFERROR(INDEX('Почасовка — ставки и план'!$B$5:$B$24,MATCH(D904,'Почасовка — ставки и план'!$A$5:$A$24,0)),"Аренда техники / механизмы")</f>
        <v>Сантехник</v>
      </c>
      <c r="F904" s="14">
        <v>2200</v>
      </c>
      <c r="G904" s="14">
        <v>2530</v>
      </c>
      <c r="H904" s="15">
        <v>1364</v>
      </c>
      <c r="I904" s="15">
        <f>IF(OR(H904="",F904=""),"",MAX(H904,MIN(ROUND(H904*(1+Параметры!$B$5),IF(H904*(1+Параметры!$B$5)&gt;=1000,-1,0)),ROUND(F904*Параметры!$B$6,IF(F904*Параметры!$B$6&gt;=1000,-1,0)))))</f>
        <v>1570</v>
      </c>
      <c r="J904" s="15">
        <v>1569</v>
      </c>
      <c r="K904" s="15">
        <f>IF(OR(J904="",G904=""),"",MAX(J904,MIN(ROUND(J904*(1+Параметры!$B$5),IF(J904*(1+Параметры!$B$5)&gt;=1000,-1,0)),ROUND(G904*Параметры!$B$6,IF(G904*Параметры!$B$6&gt;=1000,-1,0)))))</f>
        <v>1800</v>
      </c>
      <c r="L904" s="16">
        <v>1.6</v>
      </c>
      <c r="M904" s="17">
        <f t="shared" si="76"/>
        <v>0.625</v>
      </c>
      <c r="N904" s="17">
        <f>IF(OR(L904="",L904=0),"",Параметры!$B$3/L904)</f>
        <v>5</v>
      </c>
      <c r="O904" s="15">
        <f>IF(L904="","",IFERROR(INDEX('Почасовка — ставки и план'!$D$5:$D$24,MATCH($D904,'Почасовка — ставки и план'!$A$5:$A$24,0)),""))</f>
        <v>850</v>
      </c>
      <c r="P904" s="15">
        <f>IF(L904="","",IFERROR(INDEX('Почасовка — ставки и план'!$E$5:$E$24,MATCH($D904,'Почасовка — ставки и план'!$A$5:$A$24,0)),""))</f>
        <v>1020</v>
      </c>
      <c r="Q904" s="15">
        <f t="shared" si="77"/>
        <v>1360</v>
      </c>
      <c r="R904" s="13" t="str">
        <f>IF(D904="TEX","аренда техники — сделка/счёт",IF(OR(Q904="",H904="",H904=0),"—",IF(Q904&lt;H904*(1-Параметры!$B$7),"почасовка",IF(Q904&gt;H904*(1+Параметры!$B$7),"сделка","любой способ"))))</f>
        <v>любой способ</v>
      </c>
      <c r="S904">
        <v>0</v>
      </c>
      <c r="T904">
        <v>0</v>
      </c>
    </row>
    <row r="905" spans="1:20" x14ac:dyDescent="0.25">
      <c r="A905" s="13" t="s">
        <v>1852</v>
      </c>
      <c r="B905" s="13" t="s">
        <v>1853</v>
      </c>
      <c r="C905" s="13" t="s">
        <v>144</v>
      </c>
      <c r="D905" s="13" t="s">
        <v>326</v>
      </c>
      <c r="E905" s="13" t="str">
        <f>IFERROR(INDEX('Почасовка — ставки и план'!$B$5:$B$24,MATCH(D905,'Почасовка — ставки и план'!$A$5:$A$24,0)),"Аренда техники / механизмы")</f>
        <v>Сантехник</v>
      </c>
      <c r="F905" s="14">
        <v>3000</v>
      </c>
      <c r="G905" s="14">
        <v>3450</v>
      </c>
      <c r="H905" s="15">
        <v>1860</v>
      </c>
      <c r="I905" s="15">
        <f>IF(OR(H905="",F905=""),"",MAX(H905,MIN(ROUND(H905*(1+Параметры!$B$5),IF(H905*(1+Параметры!$B$5)&gt;=1000,-1,0)),ROUND(F905*Параметры!$B$6,IF(F905*Параметры!$B$6&gt;=1000,-1,0)))))</f>
        <v>2140</v>
      </c>
      <c r="J905" s="15">
        <v>2139</v>
      </c>
      <c r="K905" s="15">
        <f>IF(OR(J905="",G905=""),"",MAX(J905,MIN(ROUND(J905*(1+Параметры!$B$5),IF(J905*(1+Параметры!$B$5)&gt;=1000,-1,0)),ROUND(G905*Параметры!$B$6,IF(G905*Параметры!$B$6&gt;=1000,-1,0)))))</f>
        <v>2460</v>
      </c>
      <c r="L905" s="16">
        <v>2.2000000000000002</v>
      </c>
      <c r="M905" s="17">
        <f t="shared" si="76"/>
        <v>0.45454545454545453</v>
      </c>
      <c r="N905" s="17">
        <f>IF(OR(L905="",L905=0),"",Параметры!$B$3/L905)</f>
        <v>3.6363636363636362</v>
      </c>
      <c r="O905" s="15">
        <f>IF(L905="","",IFERROR(INDEX('Почасовка — ставки и план'!$D$5:$D$24,MATCH($D905,'Почасовка — ставки и план'!$A$5:$A$24,0)),""))</f>
        <v>850</v>
      </c>
      <c r="P905" s="15">
        <f>IF(L905="","",IFERROR(INDEX('Почасовка — ставки и план'!$E$5:$E$24,MATCH($D905,'Почасовка — ставки и план'!$A$5:$A$24,0)),""))</f>
        <v>1020</v>
      </c>
      <c r="Q905" s="15">
        <f t="shared" si="77"/>
        <v>1870</v>
      </c>
      <c r="R905" s="13" t="str">
        <f>IF(D905="TEX","аренда техники — сделка/счёт",IF(OR(Q905="",H905="",H905=0),"—",IF(Q905&lt;H905*(1-Параметры!$B$7),"почасовка",IF(Q905&gt;H905*(1+Параметры!$B$7),"сделка","любой способ"))))</f>
        <v>любой способ</v>
      </c>
      <c r="S905">
        <v>0</v>
      </c>
      <c r="T905">
        <v>0</v>
      </c>
    </row>
    <row r="906" spans="1:20" x14ac:dyDescent="0.25">
      <c r="A906" s="13" t="s">
        <v>1854</v>
      </c>
      <c r="B906" s="13" t="s">
        <v>1855</v>
      </c>
      <c r="C906" s="13" t="s">
        <v>144</v>
      </c>
      <c r="D906" s="13" t="s">
        <v>326</v>
      </c>
      <c r="E906" s="13" t="str">
        <f>IFERROR(INDEX('Почасовка — ставки и план'!$B$5:$B$24,MATCH(D906,'Почасовка — ставки и план'!$A$5:$A$24,0)),"Аренда техники / механизмы")</f>
        <v>Сантехник</v>
      </c>
      <c r="F906" s="14">
        <v>2600</v>
      </c>
      <c r="G906" s="14">
        <v>2990</v>
      </c>
      <c r="H906" s="15">
        <v>1612</v>
      </c>
      <c r="I906" s="15">
        <f>IF(OR(H906="",F906=""),"",MAX(H906,MIN(ROUND(H906*(1+Параметры!$B$5),IF(H906*(1+Параметры!$B$5)&gt;=1000,-1,0)),ROUND(F906*Параметры!$B$6,IF(F906*Параметры!$B$6&gt;=1000,-1,0)))))</f>
        <v>1850</v>
      </c>
      <c r="J906" s="15">
        <v>1854</v>
      </c>
      <c r="K906" s="15">
        <f>IF(OR(J906="",G906=""),"",MAX(J906,MIN(ROUND(J906*(1+Параметры!$B$5),IF(J906*(1+Параметры!$B$5)&gt;=1000,-1,0)),ROUND(G906*Параметры!$B$6,IF(G906*Параметры!$B$6&gt;=1000,-1,0)))))</f>
        <v>2130</v>
      </c>
      <c r="L906" s="16">
        <v>1.9</v>
      </c>
      <c r="M906" s="17">
        <f t="shared" si="76"/>
        <v>0.52631578947368418</v>
      </c>
      <c r="N906" s="17">
        <f>IF(OR(L906="",L906=0),"",Параметры!$B$3/L906)</f>
        <v>4.2105263157894735</v>
      </c>
      <c r="O906" s="15">
        <f>IF(L906="","",IFERROR(INDEX('Почасовка — ставки и план'!$D$5:$D$24,MATCH($D906,'Почасовка — ставки и план'!$A$5:$A$24,0)),""))</f>
        <v>850</v>
      </c>
      <c r="P906" s="15">
        <f>IF(L906="","",IFERROR(INDEX('Почасовка — ставки и план'!$E$5:$E$24,MATCH($D906,'Почасовка — ставки и план'!$A$5:$A$24,0)),""))</f>
        <v>1020</v>
      </c>
      <c r="Q906" s="15">
        <f t="shared" si="77"/>
        <v>1615</v>
      </c>
      <c r="R906" s="13" t="str">
        <f>IF(D906="TEX","аренда техники — сделка/счёт",IF(OR(Q906="",H906="",H906=0),"—",IF(Q906&lt;H906*(1-Параметры!$B$7),"почасовка",IF(Q906&gt;H906*(1+Параметры!$B$7),"сделка","любой способ"))))</f>
        <v>любой способ</v>
      </c>
      <c r="S906">
        <v>0</v>
      </c>
      <c r="T906">
        <v>0</v>
      </c>
    </row>
    <row r="907" spans="1:20" x14ac:dyDescent="0.25">
      <c r="A907" s="13" t="s">
        <v>1856</v>
      </c>
      <c r="B907" s="13" t="s">
        <v>1857</v>
      </c>
      <c r="C907" s="13" t="s">
        <v>144</v>
      </c>
      <c r="D907" s="13" t="s">
        <v>326</v>
      </c>
      <c r="E907" s="13" t="str">
        <f>IFERROR(INDEX('Почасовка — ставки и план'!$B$5:$B$24,MATCH(D907,'Почасовка — ставки и план'!$A$5:$A$24,0)),"Аренда техники / механизмы")</f>
        <v>Сантехник</v>
      </c>
      <c r="F907" s="14">
        <v>2800</v>
      </c>
      <c r="G907" s="14">
        <v>3220</v>
      </c>
      <c r="H907" s="15">
        <v>1736</v>
      </c>
      <c r="I907" s="15">
        <f>IF(OR(H907="",F907=""),"",MAX(H907,MIN(ROUND(H907*(1+Параметры!$B$5),IF(H907*(1+Параметры!$B$5)&gt;=1000,-1,0)),ROUND(F907*Параметры!$B$6,IF(F907*Параметры!$B$6&gt;=1000,-1,0)))))</f>
        <v>2000</v>
      </c>
      <c r="J907" s="15">
        <v>1996</v>
      </c>
      <c r="K907" s="15">
        <f>IF(OR(J907="",G907=""),"",MAX(J907,MIN(ROUND(J907*(1+Параметры!$B$5),IF(J907*(1+Параметры!$B$5)&gt;=1000,-1,0)),ROUND(G907*Параметры!$B$6,IF(G907*Параметры!$B$6&gt;=1000,-1,0)))))</f>
        <v>2300</v>
      </c>
      <c r="L907" s="16">
        <v>2</v>
      </c>
      <c r="M907" s="17">
        <f t="shared" si="76"/>
        <v>0.5</v>
      </c>
      <c r="N907" s="17">
        <f>IF(OR(L907="",L907=0),"",Параметры!$B$3/L907)</f>
        <v>4</v>
      </c>
      <c r="O907" s="15">
        <f>IF(L907="","",IFERROR(INDEX('Почасовка — ставки и план'!$D$5:$D$24,MATCH($D907,'Почасовка — ставки и план'!$A$5:$A$24,0)),""))</f>
        <v>850</v>
      </c>
      <c r="P907" s="15">
        <f>IF(L907="","",IFERROR(INDEX('Почасовка — ставки и план'!$E$5:$E$24,MATCH($D907,'Почасовка — ставки и план'!$A$5:$A$24,0)),""))</f>
        <v>1020</v>
      </c>
      <c r="Q907" s="15">
        <f t="shared" si="77"/>
        <v>1700</v>
      </c>
      <c r="R907" s="13" t="str">
        <f>IF(D907="TEX","аренда техники — сделка/счёт",IF(OR(Q907="",H907="",H907=0),"—",IF(Q907&lt;H907*(1-Параметры!$B$7),"почасовка",IF(Q907&gt;H907*(1+Параметры!$B$7),"сделка","любой способ"))))</f>
        <v>любой способ</v>
      </c>
      <c r="S907">
        <v>0</v>
      </c>
      <c r="T907">
        <v>0</v>
      </c>
    </row>
    <row r="908" spans="1:20" x14ac:dyDescent="0.25">
      <c r="A908" s="13" t="s">
        <v>1858</v>
      </c>
      <c r="B908" s="13" t="s">
        <v>1859</v>
      </c>
      <c r="C908" s="13" t="s">
        <v>144</v>
      </c>
      <c r="D908" s="13" t="s">
        <v>326</v>
      </c>
      <c r="E908" s="13" t="str">
        <f>IFERROR(INDEX('Почасовка — ставки и план'!$B$5:$B$24,MATCH(D908,'Почасовка — ставки и план'!$A$5:$A$24,0)),"Аренда техники / механизмы")</f>
        <v>Сантехник</v>
      </c>
      <c r="F908" s="14">
        <v>12000</v>
      </c>
      <c r="G908" s="14">
        <v>13800</v>
      </c>
      <c r="H908" s="15">
        <v>7440</v>
      </c>
      <c r="I908" s="15">
        <f>IF(OR(H908="",F908=""),"",MAX(H908,MIN(ROUND(H908*(1+Параметры!$B$5),IF(H908*(1+Параметры!$B$5)&gt;=1000,-1,0)),ROUND(F908*Параметры!$B$6,IF(F908*Параметры!$B$6&gt;=1000,-1,0)))))</f>
        <v>8560</v>
      </c>
      <c r="J908" s="15">
        <v>8556</v>
      </c>
      <c r="K908" s="15">
        <f>IF(OR(J908="",G908=""),"",MAX(J908,MIN(ROUND(J908*(1+Параметры!$B$5),IF(J908*(1+Параметры!$B$5)&gt;=1000,-1,0)),ROUND(G908*Параметры!$B$6,IF(G908*Параметры!$B$6&gt;=1000,-1,0)))))</f>
        <v>9840</v>
      </c>
      <c r="L908" s="16">
        <v>8</v>
      </c>
      <c r="M908" s="17">
        <f t="shared" si="76"/>
        <v>0.125</v>
      </c>
      <c r="N908" s="17">
        <f>IF(OR(L908="",L908=0),"",Параметры!$B$3/L908)</f>
        <v>1</v>
      </c>
      <c r="O908" s="15">
        <f>IF(L908="","",IFERROR(INDEX('Почасовка — ставки и план'!$D$5:$D$24,MATCH($D908,'Почасовка — ставки и план'!$A$5:$A$24,0)),""))</f>
        <v>850</v>
      </c>
      <c r="P908" s="15">
        <f>IF(L908="","",IFERROR(INDEX('Почасовка — ставки и план'!$E$5:$E$24,MATCH($D908,'Почасовка — ставки и план'!$A$5:$A$24,0)),""))</f>
        <v>1020</v>
      </c>
      <c r="Q908" s="15">
        <f t="shared" si="77"/>
        <v>6800</v>
      </c>
      <c r="R908" s="13" t="str">
        <f>IF(D908="TEX","аренда техники — сделка/счёт",IF(OR(Q908="",H908="",H908=0),"—",IF(Q908&lt;H908*(1-Параметры!$B$7),"почасовка",IF(Q908&gt;H908*(1+Параметры!$B$7),"сделка","любой способ"))))</f>
        <v>любой способ</v>
      </c>
      <c r="S908">
        <v>0</v>
      </c>
      <c r="T908">
        <v>0</v>
      </c>
    </row>
    <row r="909" spans="1:20" x14ac:dyDescent="0.25">
      <c r="A909" s="13" t="s">
        <v>1860</v>
      </c>
      <c r="B909" s="13" t="s">
        <v>1861</v>
      </c>
      <c r="C909" s="13" t="s">
        <v>144</v>
      </c>
      <c r="D909" s="13" t="s">
        <v>326</v>
      </c>
      <c r="E909" s="13" t="str">
        <f>IFERROR(INDEX('Почасовка — ставки и план'!$B$5:$B$24,MATCH(D909,'Почасовка — ставки и план'!$A$5:$A$24,0)),"Аренда техники / механизмы")</f>
        <v>Сантехник</v>
      </c>
      <c r="F909" s="14">
        <v>14000</v>
      </c>
      <c r="G909" s="14">
        <v>16100</v>
      </c>
      <c r="H909" s="15">
        <v>8680</v>
      </c>
      <c r="I909" s="15">
        <f>IF(OR(H909="",F909=""),"",MAX(H909,MIN(ROUND(H909*(1+Параметры!$B$5),IF(H909*(1+Параметры!$B$5)&gt;=1000,-1,0)),ROUND(F909*Параметры!$B$6,IF(F909*Параметры!$B$6&gt;=1000,-1,0)))))</f>
        <v>9980</v>
      </c>
      <c r="J909" s="15">
        <v>9982</v>
      </c>
      <c r="K909" s="15">
        <f>IF(OR(J909="",G909=""),"",MAX(J909,MIN(ROUND(J909*(1+Параметры!$B$5),IF(J909*(1+Параметры!$B$5)&gt;=1000,-1,0)),ROUND(G909*Параметры!$B$6,IF(G909*Параметры!$B$6&gt;=1000,-1,0)))))</f>
        <v>11480</v>
      </c>
      <c r="L909" s="16">
        <v>6</v>
      </c>
      <c r="M909" s="17">
        <f t="shared" si="76"/>
        <v>0.16666666666666666</v>
      </c>
      <c r="N909" s="17">
        <f>IF(OR(L909="",L909=0),"",Параметры!$B$3/L909)</f>
        <v>1.3333333333333333</v>
      </c>
      <c r="O909" s="15">
        <f>IF(L909="","",IFERROR(INDEX('Почасовка — ставки и план'!$D$5:$D$24,MATCH($D909,'Почасовка — ставки и план'!$A$5:$A$24,0)),""))</f>
        <v>850</v>
      </c>
      <c r="P909" s="15">
        <f>IF(L909="","",IFERROR(INDEX('Почасовка — ставки и план'!$E$5:$E$24,MATCH($D909,'Почасовка — ставки и план'!$A$5:$A$24,0)),""))</f>
        <v>1020</v>
      </c>
      <c r="Q909" s="15">
        <f t="shared" si="77"/>
        <v>5100</v>
      </c>
      <c r="R909" s="13" t="str">
        <f>IF(D909="TEX","аренда техники — сделка/счёт",IF(OR(Q909="",H909="",H909=0),"—",IF(Q909&lt;H909*(1-Параметры!$B$7),"почасовка",IF(Q909&gt;H909*(1+Параметры!$B$7),"сделка","любой способ"))))</f>
        <v>почасовка</v>
      </c>
      <c r="S909">
        <v>0</v>
      </c>
      <c r="T909">
        <v>0</v>
      </c>
    </row>
    <row r="910" spans="1:20" x14ac:dyDescent="0.25">
      <c r="A910" s="13" t="s">
        <v>1862</v>
      </c>
      <c r="B910" s="13" t="s">
        <v>1863</v>
      </c>
      <c r="C910" s="13" t="s">
        <v>144</v>
      </c>
      <c r="D910" s="13" t="s">
        <v>326</v>
      </c>
      <c r="E910" s="13" t="str">
        <f>IFERROR(INDEX('Почасовка — ставки и план'!$B$5:$B$24,MATCH(D910,'Почасовка — ставки и план'!$A$5:$A$24,0)),"Аренда техники / механизмы")</f>
        <v>Сантехник</v>
      </c>
      <c r="F910" s="14">
        <v>10000</v>
      </c>
      <c r="G910" s="14">
        <v>11500</v>
      </c>
      <c r="H910" s="15">
        <v>6200</v>
      </c>
      <c r="I910" s="15">
        <f>IF(OR(H910="",F910=""),"",MAX(H910,MIN(ROUND(H910*(1+Параметры!$B$5),IF(H910*(1+Параметры!$B$5)&gt;=1000,-1,0)),ROUND(F910*Параметры!$B$6,IF(F910*Параметры!$B$6&gt;=1000,-1,0)))))</f>
        <v>7130</v>
      </c>
      <c r="J910" s="15">
        <v>7130</v>
      </c>
      <c r="K910" s="15">
        <f>IF(OR(J910="",G910=""),"",MAX(J910,MIN(ROUND(J910*(1+Параметры!$B$5),IF(J910*(1+Параметры!$B$5)&gt;=1000,-1,0)),ROUND(G910*Параметры!$B$6,IF(G910*Параметры!$B$6&gt;=1000,-1,0)))))</f>
        <v>8200</v>
      </c>
      <c r="L910" s="16">
        <v>4.5</v>
      </c>
      <c r="M910" s="17">
        <f t="shared" si="76"/>
        <v>0.22222222222222221</v>
      </c>
      <c r="N910" s="17">
        <f>IF(OR(L910="",L910=0),"",Параметры!$B$3/L910)</f>
        <v>1.7777777777777777</v>
      </c>
      <c r="O910" s="15">
        <f>IF(L910="","",IFERROR(INDEX('Почасовка — ставки и план'!$D$5:$D$24,MATCH($D910,'Почасовка — ставки и план'!$A$5:$A$24,0)),""))</f>
        <v>850</v>
      </c>
      <c r="P910" s="15">
        <f>IF(L910="","",IFERROR(INDEX('Почасовка — ставки и план'!$E$5:$E$24,MATCH($D910,'Почасовка — ставки и план'!$A$5:$A$24,0)),""))</f>
        <v>1020</v>
      </c>
      <c r="Q910" s="15">
        <f t="shared" si="77"/>
        <v>3825</v>
      </c>
      <c r="R910" s="13" t="str">
        <f>IF(D910="TEX","аренда техники — сделка/счёт",IF(OR(Q910="",H910="",H910=0),"—",IF(Q910&lt;H910*(1-Параметры!$B$7),"почасовка",IF(Q910&gt;H910*(1+Параметры!$B$7),"сделка","любой способ"))))</f>
        <v>почасовка</v>
      </c>
      <c r="S910">
        <v>0</v>
      </c>
      <c r="T910">
        <v>0</v>
      </c>
    </row>
    <row r="911" spans="1:20" x14ac:dyDescent="0.25">
      <c r="A911" s="13" t="s">
        <v>1864</v>
      </c>
      <c r="B911" s="13" t="s">
        <v>1865</v>
      </c>
      <c r="C911" s="13" t="s">
        <v>144</v>
      </c>
      <c r="D911" s="13" t="s">
        <v>326</v>
      </c>
      <c r="E911" s="13" t="str">
        <f>IFERROR(INDEX('Почасовка — ставки и план'!$B$5:$B$24,MATCH(D911,'Почасовка — ставки и план'!$A$5:$A$24,0)),"Аренда техники / механизмы")</f>
        <v>Сантехник</v>
      </c>
      <c r="F911" s="14">
        <v>4500</v>
      </c>
      <c r="G911" s="14">
        <v>4950</v>
      </c>
      <c r="H911" s="15">
        <v>2790</v>
      </c>
      <c r="I911" s="15">
        <f>IF(OR(H911="",F911=""),"",MAX(H911,MIN(ROUND(H911*(1+Параметры!$B$5),IF(H911*(1+Параметры!$B$5)&gt;=1000,-1,0)),ROUND(F911*Параметры!$B$6,IF(F911*Параметры!$B$6&gt;=1000,-1,0)))))</f>
        <v>3210</v>
      </c>
      <c r="J911" s="15">
        <v>3069</v>
      </c>
      <c r="K911" s="15">
        <f>IF(OR(J911="",G911=""),"",MAX(J911,MIN(ROUND(J911*(1+Параметры!$B$5),IF(J911*(1+Параметры!$B$5)&gt;=1000,-1,0)),ROUND(G911*Параметры!$B$6,IF(G911*Параметры!$B$6&gt;=1000,-1,0)))))</f>
        <v>3530</v>
      </c>
      <c r="L911" s="16">
        <v>2</v>
      </c>
      <c r="M911" s="17">
        <f t="shared" si="76"/>
        <v>0.5</v>
      </c>
      <c r="N911" s="17">
        <f>IF(OR(L911="",L911=0),"",Параметры!$B$3/L911)</f>
        <v>4</v>
      </c>
      <c r="O911" s="15">
        <f>IF(L911="","",IFERROR(INDEX('Почасовка — ставки и план'!$D$5:$D$24,MATCH($D911,'Почасовка — ставки и план'!$A$5:$A$24,0)),""))</f>
        <v>850</v>
      </c>
      <c r="P911" s="15">
        <f>IF(L911="","",IFERROR(INDEX('Почасовка — ставки и план'!$E$5:$E$24,MATCH($D911,'Почасовка — ставки и план'!$A$5:$A$24,0)),""))</f>
        <v>1020</v>
      </c>
      <c r="Q911" s="15">
        <f t="shared" si="77"/>
        <v>1700</v>
      </c>
      <c r="R911" s="13" t="str">
        <f>IF(D911="TEX","аренда техники — сделка/счёт",IF(OR(Q911="",H911="",H911=0),"—",IF(Q911&lt;H911*(1-Параметры!$B$7),"почасовка",IF(Q911&gt;H911*(1+Параметры!$B$7),"сделка","любой способ"))))</f>
        <v>почасовка</v>
      </c>
      <c r="S911">
        <v>0</v>
      </c>
      <c r="T911">
        <v>0</v>
      </c>
    </row>
    <row r="912" spans="1:20" x14ac:dyDescent="0.25">
      <c r="A912" s="18" t="s">
        <v>1866</v>
      </c>
      <c r="B912" s="13" t="s">
        <v>1867</v>
      </c>
      <c r="C912" s="13" t="s">
        <v>144</v>
      </c>
      <c r="D912" s="13" t="s">
        <v>326</v>
      </c>
      <c r="E912" s="13" t="str">
        <f>IFERROR(INDEX('Почасовка — ставки и план'!$B$5:$B$24,MATCH(D912,'Почасовка — ставки и план'!$A$5:$A$24,0)),"Аренда техники / механизмы")</f>
        <v>Сантехник</v>
      </c>
      <c r="F912" s="14">
        <v>600</v>
      </c>
      <c r="G912" s="14">
        <v>690</v>
      </c>
      <c r="H912" s="15">
        <v>372</v>
      </c>
      <c r="I912" s="15">
        <f>IF(OR(H912="",F912=""),"",MAX(H912,MIN(ROUND(H912*(1+Параметры!$B$5),IF(H912*(1+Параметры!$B$5)&gt;=1000,-1,0)),ROUND(F912*Параметры!$B$6,IF(F912*Параметры!$B$6&gt;=1000,-1,0)))))</f>
        <v>428</v>
      </c>
      <c r="J912" s="15">
        <v>428</v>
      </c>
      <c r="K912" s="15">
        <f>IF(OR(J912="",G912=""),"",MAX(J912,MIN(ROUND(J912*(1+Параметры!$B$5),IF(J912*(1+Параметры!$B$5)&gt;=1000,-1,0)),ROUND(G912*Параметры!$B$6,IF(G912*Параметры!$B$6&gt;=1000,-1,0)))))</f>
        <v>492</v>
      </c>
      <c r="L912" s="16">
        <v>0.5</v>
      </c>
      <c r="M912" s="17">
        <f t="shared" si="76"/>
        <v>2</v>
      </c>
      <c r="N912" s="17">
        <f>IF(OR(L912="",L912=0),"",Параметры!$B$3/L912)</f>
        <v>16</v>
      </c>
      <c r="O912" s="15">
        <f>IF(L912="","",IFERROR(INDEX('Почасовка — ставки и план'!$D$5:$D$24,MATCH($D912,'Почасовка — ставки и план'!$A$5:$A$24,0)),""))</f>
        <v>850</v>
      </c>
      <c r="P912" s="15">
        <f>IF(L912="","",IFERROR(INDEX('Почасовка — ставки и план'!$E$5:$E$24,MATCH($D912,'Почасовка — ставки и план'!$A$5:$A$24,0)),""))</f>
        <v>1020</v>
      </c>
      <c r="Q912" s="15">
        <f t="shared" si="77"/>
        <v>425</v>
      </c>
      <c r="R912" s="13" t="str">
        <f>IF(D912="TEX","аренда техники — сделка/счёт",IF(OR(Q912="",H912="",H912=0),"—",IF(Q912&lt;H912*(1-Параметры!$B$7),"почасовка",IF(Q912&gt;H912*(1+Параметры!$B$7),"сделка","любой способ"))))</f>
        <v>сделка</v>
      </c>
      <c r="S912">
        <v>0</v>
      </c>
      <c r="T912">
        <v>0</v>
      </c>
    </row>
    <row r="913" spans="1:20" x14ac:dyDescent="0.25">
      <c r="A913" s="18" t="s">
        <v>1868</v>
      </c>
      <c r="B913" s="13" t="s">
        <v>1869</v>
      </c>
      <c r="C913" s="13" t="s">
        <v>144</v>
      </c>
      <c r="D913" s="13" t="s">
        <v>326</v>
      </c>
      <c r="E913" s="13" t="str">
        <f>IFERROR(INDEX('Почасовка — ставки и план'!$B$5:$B$24,MATCH(D913,'Почасовка — ставки и план'!$A$5:$A$24,0)),"Аренда техники / механизмы")</f>
        <v>Сантехник</v>
      </c>
      <c r="F913" s="14">
        <v>454</v>
      </c>
      <c r="G913" s="14">
        <v>544</v>
      </c>
      <c r="H913" s="15">
        <v>279</v>
      </c>
      <c r="I913" s="15">
        <f>IF(OR(H913="",F913=""),"",MAX(H913,MIN(ROUND(H913*(1+Параметры!$B$5),IF(H913*(1+Параметры!$B$5)&gt;=1000,-1,0)),ROUND(F913*Параметры!$B$6,IF(F913*Параметры!$B$6&gt;=1000,-1,0)))))</f>
        <v>321</v>
      </c>
      <c r="J913" s="15">
        <v>321</v>
      </c>
      <c r="K913" s="15">
        <f>IF(OR(J913="",G913=""),"",MAX(J913,MIN(ROUND(J913*(1+Параметры!$B$5),IF(J913*(1+Параметры!$B$5)&gt;=1000,-1,0)),ROUND(G913*Параметры!$B$6,IF(G913*Параметры!$B$6&gt;=1000,-1,0)))))</f>
        <v>369</v>
      </c>
      <c r="L913" s="16">
        <v>0.4</v>
      </c>
      <c r="M913" s="17">
        <f t="shared" si="76"/>
        <v>2.5</v>
      </c>
      <c r="N913" s="17">
        <f>IF(OR(L913="",L913=0),"",Параметры!$B$3/L913)</f>
        <v>20</v>
      </c>
      <c r="O913" s="15">
        <f>IF(L913="","",IFERROR(INDEX('Почасовка — ставки и план'!$D$5:$D$24,MATCH($D913,'Почасовка — ставки и план'!$A$5:$A$24,0)),""))</f>
        <v>850</v>
      </c>
      <c r="P913" s="15">
        <f>IF(L913="","",IFERROR(INDEX('Почасовка — ставки и план'!$E$5:$E$24,MATCH($D913,'Почасовка — ставки и план'!$A$5:$A$24,0)),""))</f>
        <v>1020</v>
      </c>
      <c r="Q913" s="15">
        <f t="shared" si="77"/>
        <v>340</v>
      </c>
      <c r="R913" s="13" t="str">
        <f>IF(D913="TEX","аренда техники — сделка/счёт",IF(OR(Q913="",H913="",H913=0),"—",IF(Q913&lt;H913*(1-Параметры!$B$7),"почасовка",IF(Q913&gt;H913*(1+Параметры!$B$7),"сделка","любой способ"))))</f>
        <v>сделка</v>
      </c>
      <c r="S913">
        <v>8.8888888888889461E-3</v>
      </c>
      <c r="T913">
        <v>5.0193050193050093E-2</v>
      </c>
    </row>
    <row r="914" spans="1:20" x14ac:dyDescent="0.25">
      <c r="A914" s="18" t="s">
        <v>1870</v>
      </c>
      <c r="B914" s="13" t="s">
        <v>1871</v>
      </c>
      <c r="C914" s="13" t="s">
        <v>69</v>
      </c>
      <c r="D914" s="13" t="s">
        <v>60</v>
      </c>
      <c r="E914" s="13" t="str">
        <f>IFERROR(INDEX('Почасовка — ставки и план'!$B$5:$B$24,MATCH(D914,'Почасовка — ставки и план'!$A$5:$A$24,0)),"Аренда техники / механизмы")</f>
        <v>Разнорабочий / демонтажник</v>
      </c>
      <c r="F914" s="14">
        <v>150</v>
      </c>
      <c r="G914" s="14">
        <v>172</v>
      </c>
      <c r="H914" s="15">
        <v>90</v>
      </c>
      <c r="I914" s="15">
        <f>IF(OR(H914="",F914=""),"",MAX(H914,MIN(ROUND(H914*(1+Параметры!$B$5),IF(H914*(1+Параметры!$B$5)&gt;=1000,-1,0)),ROUND(F914*Параметры!$B$6,IF(F914*Параметры!$B$6&gt;=1000,-1,0)))))</f>
        <v>104</v>
      </c>
      <c r="J914" s="15">
        <v>104</v>
      </c>
      <c r="K914" s="15">
        <f>IF(OR(J914="",G914=""),"",MAX(J914,MIN(ROUND(J914*(1+Параметры!$B$5),IF(J914*(1+Параметры!$B$5)&gt;=1000,-1,0)),ROUND(G914*Параметры!$B$6,IF(G914*Параметры!$B$6&gt;=1000,-1,0)))))</f>
        <v>120</v>
      </c>
      <c r="L914" s="16">
        <v>0.15</v>
      </c>
      <c r="M914" s="17">
        <f t="shared" si="76"/>
        <v>6.666666666666667</v>
      </c>
      <c r="N914" s="17">
        <f>IF(OR(L914="",L914=0),"",Параметры!$B$3/L914)</f>
        <v>53.333333333333336</v>
      </c>
      <c r="O914" s="15">
        <f>IF(L914="","",IFERROR(INDEX('Почасовка — ставки и план'!$D$5:$D$24,MATCH($D914,'Почасовка — ставки и план'!$A$5:$A$24,0)),""))</f>
        <v>550</v>
      </c>
      <c r="P914" s="15">
        <f>IF(L914="","",IFERROR(INDEX('Почасовка — ставки и план'!$E$5:$E$24,MATCH($D914,'Почасовка — ставки и план'!$A$5:$A$24,0)),""))</f>
        <v>660</v>
      </c>
      <c r="Q914" s="15">
        <f t="shared" si="77"/>
        <v>83</v>
      </c>
      <c r="R914" s="13" t="str">
        <f>IF(D914="TEX","аренда техники — сделка/счёт",IF(OR(Q914="",H914="",H914=0),"—",IF(Q914&lt;H914*(1-Параметры!$B$7),"почасовка",IF(Q914&gt;H914*(1+Параметры!$B$7),"сделка","любой способ"))))</f>
        <v>любой способ</v>
      </c>
      <c r="S914">
        <v>0</v>
      </c>
      <c r="T914">
        <v>0</v>
      </c>
    </row>
    <row r="915" spans="1:20" x14ac:dyDescent="0.25">
      <c r="A915" s="18" t="s">
        <v>1872</v>
      </c>
      <c r="B915" s="13" t="s">
        <v>1873</v>
      </c>
      <c r="C915" s="13" t="s">
        <v>69</v>
      </c>
      <c r="D915" s="13" t="s">
        <v>326</v>
      </c>
      <c r="E915" s="13" t="str">
        <f>IFERROR(INDEX('Почасовка — ставки и план'!$B$5:$B$24,MATCH(D915,'Почасовка — ставки и план'!$A$5:$A$24,0)),"Аренда техники / механизмы")</f>
        <v>Сантехник</v>
      </c>
      <c r="F915" s="14">
        <v>567</v>
      </c>
      <c r="G915" s="14">
        <v>680</v>
      </c>
      <c r="H915" s="15">
        <v>270</v>
      </c>
      <c r="I915" s="15">
        <f>IF(OR(H915="",F915=""),"",MAX(H915,MIN(ROUND(H915*(1+Параметры!$B$5),IF(H915*(1+Параметры!$B$5)&gt;=1000,-1,0)),ROUND(F915*Параметры!$B$6,IF(F915*Параметры!$B$6&gt;=1000,-1,0)))))</f>
        <v>311</v>
      </c>
      <c r="J915" s="15">
        <v>310</v>
      </c>
      <c r="K915" s="15">
        <f>IF(OR(J915="",G915=""),"",MAX(J915,MIN(ROUND(J915*(1+Параметры!$B$5),IF(J915*(1+Параметры!$B$5)&gt;=1000,-1,0)),ROUND(G915*Параметры!$B$6,IF(G915*Параметры!$B$6&gt;=1000,-1,0)))))</f>
        <v>357</v>
      </c>
      <c r="L915" s="16">
        <v>0.5</v>
      </c>
      <c r="M915" s="17">
        <f t="shared" si="76"/>
        <v>2</v>
      </c>
      <c r="N915" s="17">
        <f>IF(OR(L915="",L915=0),"",Параметры!$B$3/L915)</f>
        <v>16</v>
      </c>
      <c r="O915" s="15">
        <f>IF(L915="","",IFERROR(INDEX('Почасовка — ставки и план'!$D$5:$D$24,MATCH($D915,'Почасовка — ставки и план'!$A$5:$A$24,0)),""))</f>
        <v>850</v>
      </c>
      <c r="P915" s="15">
        <f>IF(L915="","",IFERROR(INDEX('Почасовка — ставки и план'!$E$5:$E$24,MATCH($D915,'Почасовка — ставки и план'!$A$5:$A$24,0)),""))</f>
        <v>1020</v>
      </c>
      <c r="Q915" s="15">
        <f t="shared" si="77"/>
        <v>425</v>
      </c>
      <c r="R915" s="13" t="str">
        <f>IF(D915="TEX","аренда техники — сделка/счёт",IF(OR(Q915="",H915="",H915=0),"—",IF(Q915&lt;H915*(1-Параметры!$B$7),"почасовка",IF(Q915&gt;H915*(1+Параметры!$B$7),"сделка","любой способ"))))</f>
        <v>сделка</v>
      </c>
      <c r="S915">
        <v>0.26</v>
      </c>
      <c r="T915">
        <v>0.31274131274131278</v>
      </c>
    </row>
    <row r="916" spans="1:20" x14ac:dyDescent="0.25">
      <c r="A916" s="18" t="s">
        <v>1874</v>
      </c>
      <c r="B916" s="13" t="s">
        <v>1875</v>
      </c>
      <c r="C916" s="13" t="s">
        <v>69</v>
      </c>
      <c r="D916" s="13" t="s">
        <v>326</v>
      </c>
      <c r="E916" s="13" t="str">
        <f>IFERROR(INDEX('Почасовка — ставки и план'!$B$5:$B$24,MATCH(D916,'Почасовка — ставки и план'!$A$5:$A$24,0)),"Аренда техники / механизмы")</f>
        <v>Сантехник</v>
      </c>
      <c r="F916" s="14">
        <v>150</v>
      </c>
      <c r="G916" s="14">
        <v>165</v>
      </c>
      <c r="H916" s="15">
        <v>90</v>
      </c>
      <c r="I916" s="15">
        <f>IF(OR(H916="",F916=""),"",MAX(H916,MIN(ROUND(H916*(1+Параметры!$B$5),IF(H916*(1+Параметры!$B$5)&gt;=1000,-1,0)),ROUND(F916*Параметры!$B$6,IF(F916*Параметры!$B$6&gt;=1000,-1,0)))))</f>
        <v>104</v>
      </c>
      <c r="J916" s="15">
        <v>99</v>
      </c>
      <c r="K916" s="15">
        <f>IF(OR(J916="",G916=""),"",MAX(J916,MIN(ROUND(J916*(1+Параметры!$B$5),IF(J916*(1+Параметры!$B$5)&gt;=1000,-1,0)),ROUND(G916*Параметры!$B$6,IF(G916*Параметры!$B$6&gt;=1000,-1,0)))))</f>
        <v>114</v>
      </c>
      <c r="L916" s="16">
        <v>0.05</v>
      </c>
      <c r="M916" s="17">
        <f t="shared" si="76"/>
        <v>20</v>
      </c>
      <c r="N916" s="17">
        <f>IF(OR(L916="",L916=0),"",Параметры!$B$3/L916)</f>
        <v>160</v>
      </c>
      <c r="O916" s="15">
        <f>IF(L916="","",IFERROR(INDEX('Почасовка — ставки и план'!$D$5:$D$24,MATCH($D916,'Почасовка — ставки и план'!$A$5:$A$24,0)),""))</f>
        <v>850</v>
      </c>
      <c r="P916" s="15">
        <f>IF(L916="","",IFERROR(INDEX('Почасовка — ставки и план'!$E$5:$E$24,MATCH($D916,'Почасовка — ставки и план'!$A$5:$A$24,0)),""))</f>
        <v>1020</v>
      </c>
      <c r="Q916" s="15">
        <f t="shared" si="77"/>
        <v>43</v>
      </c>
      <c r="R916" s="13" t="str">
        <f>IF(D916="TEX","аренда техники — сделка/счёт",IF(OR(Q916="",H916="",H916=0),"—",IF(Q916&lt;H916*(1-Параметры!$B$7),"почасовка",IF(Q916&gt;H916*(1+Параметры!$B$7),"сделка","любой способ"))))</f>
        <v>почасовка</v>
      </c>
      <c r="S916">
        <v>0</v>
      </c>
      <c r="T916">
        <v>0</v>
      </c>
    </row>
    <row r="917" spans="1:20" x14ac:dyDescent="0.25">
      <c r="A917" s="18" t="s">
        <v>1876</v>
      </c>
      <c r="B917" s="13" t="s">
        <v>1877</v>
      </c>
      <c r="C917" s="13" t="s">
        <v>144</v>
      </c>
      <c r="D917" s="13" t="s">
        <v>326</v>
      </c>
      <c r="E917" s="13" t="str">
        <f>IFERROR(INDEX('Почасовка — ставки и план'!$B$5:$B$24,MATCH(D917,'Почасовка — ставки и план'!$A$5:$A$24,0)),"Аренда техники / механизмы")</f>
        <v>Сантехник</v>
      </c>
      <c r="F917" s="14">
        <v>2000</v>
      </c>
      <c r="G917" s="14">
        <v>2300</v>
      </c>
      <c r="H917" s="15">
        <v>1240</v>
      </c>
      <c r="I917" s="15">
        <f>IF(OR(H917="",F917=""),"",MAX(H917,MIN(ROUND(H917*(1+Параметры!$B$5),IF(H917*(1+Параметры!$B$5)&gt;=1000,-1,0)),ROUND(F917*Параметры!$B$6,IF(F917*Параметры!$B$6&gt;=1000,-1,0)))))</f>
        <v>1430</v>
      </c>
      <c r="J917" s="15">
        <v>1426</v>
      </c>
      <c r="K917" s="15">
        <f>IF(OR(J917="",G917=""),"",MAX(J917,MIN(ROUND(J917*(1+Параметры!$B$5),IF(J917*(1+Параметры!$B$5)&gt;=1000,-1,0)),ROUND(G917*Параметры!$B$6,IF(G917*Параметры!$B$6&gt;=1000,-1,0)))))</f>
        <v>1640</v>
      </c>
      <c r="L917" s="16">
        <v>1</v>
      </c>
      <c r="M917" s="17">
        <f t="shared" si="76"/>
        <v>1</v>
      </c>
      <c r="N917" s="17">
        <f>IF(OR(L917="",L917=0),"",Параметры!$B$3/L917)</f>
        <v>8</v>
      </c>
      <c r="O917" s="15">
        <f>IF(L917="","",IFERROR(INDEX('Почасовка — ставки и план'!$D$5:$D$24,MATCH($D917,'Почасовка — ставки и план'!$A$5:$A$24,0)),""))</f>
        <v>850</v>
      </c>
      <c r="P917" s="15">
        <f>IF(L917="","",IFERROR(INDEX('Почасовка — ставки и план'!$E$5:$E$24,MATCH($D917,'Почасовка — ставки и план'!$A$5:$A$24,0)),""))</f>
        <v>1020</v>
      </c>
      <c r="Q917" s="15">
        <f t="shared" si="77"/>
        <v>850</v>
      </c>
      <c r="R917" s="13" t="str">
        <f>IF(D917="TEX","аренда техники — сделка/счёт",IF(OR(Q917="",H917="",H917=0),"—",IF(Q917&lt;H917*(1-Параметры!$B$7),"почасовка",IF(Q917&gt;H917*(1+Параметры!$B$7),"сделка","любой способ"))))</f>
        <v>почасовка</v>
      </c>
      <c r="S917">
        <v>0</v>
      </c>
      <c r="T917">
        <v>0</v>
      </c>
    </row>
    <row r="918" spans="1:20" x14ac:dyDescent="0.25">
      <c r="A918" s="18" t="s">
        <v>1878</v>
      </c>
      <c r="B918" s="13" t="s">
        <v>1879</v>
      </c>
      <c r="C918" s="13" t="s">
        <v>144</v>
      </c>
      <c r="D918" s="13" t="s">
        <v>326</v>
      </c>
      <c r="E918" s="13" t="str">
        <f>IFERROR(INDEX('Почасовка — ставки и план'!$B$5:$B$24,MATCH(D918,'Почасовка — ставки и план'!$A$5:$A$24,0)),"Аренда техники / механизмы")</f>
        <v>Сантехник</v>
      </c>
      <c r="F918" s="14">
        <v>4500</v>
      </c>
      <c r="G918" s="14">
        <v>5175</v>
      </c>
      <c r="H918" s="15">
        <v>2790</v>
      </c>
      <c r="I918" s="15">
        <f>IF(OR(H918="",F918=""),"",MAX(H918,MIN(ROUND(H918*(1+Параметры!$B$5),IF(H918*(1+Параметры!$B$5)&gt;=1000,-1,0)),ROUND(F918*Параметры!$B$6,IF(F918*Параметры!$B$6&gt;=1000,-1,0)))))</f>
        <v>3210</v>
      </c>
      <c r="J918" s="15">
        <v>3208</v>
      </c>
      <c r="K918" s="15">
        <f>IF(OR(J918="",G918=""),"",MAX(J918,MIN(ROUND(J918*(1+Параметры!$B$5),IF(J918*(1+Параметры!$B$5)&gt;=1000,-1,0)),ROUND(G918*Параметры!$B$6,IF(G918*Параметры!$B$6&gt;=1000,-1,0)))))</f>
        <v>3690</v>
      </c>
      <c r="L918" s="16">
        <v>3.5</v>
      </c>
      <c r="M918" s="17">
        <f t="shared" si="76"/>
        <v>0.2857142857142857</v>
      </c>
      <c r="N918" s="17">
        <f>IF(OR(L918="",L918=0),"",Параметры!$B$3/L918)</f>
        <v>2.2857142857142856</v>
      </c>
      <c r="O918" s="15">
        <f>IF(L918="","",IFERROR(INDEX('Почасовка — ставки и план'!$D$5:$D$24,MATCH($D918,'Почасовка — ставки и план'!$A$5:$A$24,0)),""))</f>
        <v>850</v>
      </c>
      <c r="P918" s="15">
        <f>IF(L918="","",IFERROR(INDEX('Почасовка — ставки и план'!$E$5:$E$24,MATCH($D918,'Почасовка — ставки и план'!$A$5:$A$24,0)),""))</f>
        <v>1020</v>
      </c>
      <c r="Q918" s="15">
        <f t="shared" si="77"/>
        <v>2975</v>
      </c>
      <c r="R918" s="13" t="str">
        <f>IF(D918="TEX","аренда техники — сделка/счёт",IF(OR(Q918="",H918="",H918=0),"—",IF(Q918&lt;H918*(1-Параметры!$B$7),"почасовка",IF(Q918&gt;H918*(1+Параметры!$B$7),"сделка","любой способ"))))</f>
        <v>любой способ</v>
      </c>
      <c r="S918">
        <v>0</v>
      </c>
      <c r="T918">
        <v>0</v>
      </c>
    </row>
    <row r="919" spans="1:20" x14ac:dyDescent="0.25">
      <c r="A919" s="18" t="s">
        <v>1880</v>
      </c>
      <c r="B919" s="13" t="s">
        <v>1881</v>
      </c>
      <c r="C919" s="13" t="s">
        <v>1882</v>
      </c>
      <c r="D919" s="13" t="s">
        <v>326</v>
      </c>
      <c r="E919" s="13" t="str">
        <f>IFERROR(INDEX('Почасовка — ставки и план'!$B$5:$B$24,MATCH(D919,'Почасовка — ставки и план'!$A$5:$A$24,0)),"Аренда техники / механизмы")</f>
        <v>Сантехник</v>
      </c>
      <c r="F919" s="14">
        <v>7000</v>
      </c>
      <c r="G919" s="14">
        <v>8050</v>
      </c>
      <c r="H919" s="15">
        <v>4340</v>
      </c>
      <c r="I919" s="15">
        <f>IF(OR(H919="",F919=""),"",MAX(H919,MIN(ROUND(H919*(1+Параметры!$B$5),IF(H919*(1+Параметры!$B$5)&gt;=1000,-1,0)),ROUND(F919*Параметры!$B$6,IF(F919*Параметры!$B$6&gt;=1000,-1,0)))))</f>
        <v>4990</v>
      </c>
      <c r="J919" s="15">
        <v>4991</v>
      </c>
      <c r="K919" s="15">
        <f>IF(OR(J919="",G919=""),"",MAX(J919,MIN(ROUND(J919*(1+Параметры!$B$5),IF(J919*(1+Параметры!$B$5)&gt;=1000,-1,0)),ROUND(G919*Параметры!$B$6,IF(G919*Параметры!$B$6&gt;=1000,-1,0)))))</f>
        <v>5740</v>
      </c>
      <c r="L919" s="16">
        <v>5</v>
      </c>
      <c r="M919" s="17">
        <f t="shared" si="76"/>
        <v>0.2</v>
      </c>
      <c r="N919" s="17">
        <f>IF(OR(L919="",L919=0),"",Параметры!$B$3/L919)</f>
        <v>1.6</v>
      </c>
      <c r="O919" s="15">
        <f>IF(L919="","",IFERROR(INDEX('Почасовка — ставки и план'!$D$5:$D$24,MATCH($D919,'Почасовка — ставки и план'!$A$5:$A$24,0)),""))</f>
        <v>850</v>
      </c>
      <c r="P919" s="15">
        <f>IF(L919="","",IFERROR(INDEX('Почасовка — ставки и план'!$E$5:$E$24,MATCH($D919,'Почасовка — ставки и план'!$A$5:$A$24,0)),""))</f>
        <v>1020</v>
      </c>
      <c r="Q919" s="15">
        <f t="shared" si="77"/>
        <v>4250</v>
      </c>
      <c r="R919" s="13" t="str">
        <f>IF(D919="TEX","аренда техники — сделка/счёт",IF(OR(Q919="",H919="",H919=0),"—",IF(Q919&lt;H919*(1-Параметры!$B$7),"почасовка",IF(Q919&gt;H919*(1+Параметры!$B$7),"сделка","любой способ"))))</f>
        <v>любой способ</v>
      </c>
      <c r="S919">
        <v>0</v>
      </c>
      <c r="T919">
        <v>0</v>
      </c>
    </row>
    <row r="920" spans="1:20" x14ac:dyDescent="0.25">
      <c r="A920" s="18" t="s">
        <v>1883</v>
      </c>
      <c r="B920" s="13" t="s">
        <v>1884</v>
      </c>
      <c r="C920" s="13" t="s">
        <v>144</v>
      </c>
      <c r="D920" s="13" t="s">
        <v>326</v>
      </c>
      <c r="E920" s="13" t="str">
        <f>IFERROR(INDEX('Почасовка — ставки и план'!$B$5:$B$24,MATCH(D920,'Почасовка — ставки и план'!$A$5:$A$24,0)),"Аренда техники / механизмы")</f>
        <v>Сантехник</v>
      </c>
      <c r="F920" s="14">
        <v>2000</v>
      </c>
      <c r="G920" s="14">
        <v>2300</v>
      </c>
      <c r="H920" s="15">
        <v>1240</v>
      </c>
      <c r="I920" s="15">
        <f>IF(OR(H920="",F920=""),"",MAX(H920,MIN(ROUND(H920*(1+Параметры!$B$5),IF(H920*(1+Параметры!$B$5)&gt;=1000,-1,0)),ROUND(F920*Параметры!$B$6,IF(F920*Параметры!$B$6&gt;=1000,-1,0)))))</f>
        <v>1430</v>
      </c>
      <c r="J920" s="15">
        <v>1426</v>
      </c>
      <c r="K920" s="15">
        <f>IF(OR(J920="",G920=""),"",MAX(J920,MIN(ROUND(J920*(1+Параметры!$B$5),IF(J920*(1+Параметры!$B$5)&gt;=1000,-1,0)),ROUND(G920*Параметры!$B$6,IF(G920*Параметры!$B$6&gt;=1000,-1,0)))))</f>
        <v>1640</v>
      </c>
      <c r="L920" s="16">
        <v>1.2</v>
      </c>
      <c r="M920" s="17">
        <f t="shared" si="76"/>
        <v>0.83333333333333337</v>
      </c>
      <c r="N920" s="17">
        <f>IF(OR(L920="",L920=0),"",Параметры!$B$3/L920)</f>
        <v>6.666666666666667</v>
      </c>
      <c r="O920" s="15">
        <f>IF(L920="","",IFERROR(INDEX('Почасовка — ставки и план'!$D$5:$D$24,MATCH($D920,'Почасовка — ставки и план'!$A$5:$A$24,0)),""))</f>
        <v>850</v>
      </c>
      <c r="P920" s="15">
        <f>IF(L920="","",IFERROR(INDEX('Почасовка — ставки и план'!$E$5:$E$24,MATCH($D920,'Почасовка — ставки и план'!$A$5:$A$24,0)),""))</f>
        <v>1020</v>
      </c>
      <c r="Q920" s="15">
        <f t="shared" si="77"/>
        <v>1020</v>
      </c>
      <c r="R920" s="13" t="str">
        <f>IF(D920="TEX","аренда техники — сделка/счёт",IF(OR(Q920="",H920="",H920=0),"—",IF(Q920&lt;H920*(1-Параметры!$B$7),"почасовка",IF(Q920&gt;H920*(1+Параметры!$B$7),"сделка","любой способ"))))</f>
        <v>почасовка</v>
      </c>
      <c r="S920">
        <v>0</v>
      </c>
      <c r="T920">
        <v>0</v>
      </c>
    </row>
    <row r="921" spans="1:20" x14ac:dyDescent="0.25">
      <c r="A921" s="18" t="s">
        <v>1885</v>
      </c>
      <c r="B921" s="13" t="s">
        <v>1886</v>
      </c>
      <c r="C921" s="13" t="s">
        <v>144</v>
      </c>
      <c r="D921" s="13" t="s">
        <v>326</v>
      </c>
      <c r="E921" s="13" t="str">
        <f>IFERROR(INDEX('Почасовка — ставки и план'!$B$5:$B$24,MATCH(D921,'Почасовка — ставки и план'!$A$5:$A$24,0)),"Аренда техники / механизмы")</f>
        <v>Сантехник</v>
      </c>
      <c r="F921" s="14">
        <v>1800</v>
      </c>
      <c r="G921" s="14">
        <v>2070</v>
      </c>
      <c r="H921" s="15">
        <v>1116</v>
      </c>
      <c r="I921" s="15">
        <f>IF(OR(H921="",F921=""),"",MAX(H921,MIN(ROUND(H921*(1+Параметры!$B$5),IF(H921*(1+Параметры!$B$5)&gt;=1000,-1,0)),ROUND(F921*Параметры!$B$6,IF(F921*Параметры!$B$6&gt;=1000,-1,0)))))</f>
        <v>1280</v>
      </c>
      <c r="J921" s="15">
        <v>1283</v>
      </c>
      <c r="K921" s="15">
        <f>IF(OR(J921="",G921=""),"",MAX(J921,MIN(ROUND(J921*(1+Параметры!$B$5),IF(J921*(1+Параметры!$B$5)&gt;=1000,-1,0)),ROUND(G921*Параметры!$B$6,IF(G921*Параметры!$B$6&gt;=1000,-1,0)))))</f>
        <v>1480</v>
      </c>
      <c r="L921" s="16">
        <v>1</v>
      </c>
      <c r="M921" s="17">
        <f t="shared" si="76"/>
        <v>1</v>
      </c>
      <c r="N921" s="17">
        <f>IF(OR(L921="",L921=0),"",Параметры!$B$3/L921)</f>
        <v>8</v>
      </c>
      <c r="O921" s="15">
        <f>IF(L921="","",IFERROR(INDEX('Почасовка — ставки и план'!$D$5:$D$24,MATCH($D921,'Почасовка — ставки и план'!$A$5:$A$24,0)),""))</f>
        <v>850</v>
      </c>
      <c r="P921" s="15">
        <f>IF(L921="","",IFERROR(INDEX('Почасовка — ставки и план'!$E$5:$E$24,MATCH($D921,'Почасовка — ставки и план'!$A$5:$A$24,0)),""))</f>
        <v>1020</v>
      </c>
      <c r="Q921" s="15">
        <f t="shared" si="77"/>
        <v>850</v>
      </c>
      <c r="R921" s="13" t="str">
        <f>IF(D921="TEX","аренда техники — сделка/счёт",IF(OR(Q921="",H921="",H921=0),"—",IF(Q921&lt;H921*(1-Параметры!$B$7),"почасовка",IF(Q921&gt;H921*(1+Параметры!$B$7),"сделка","любой способ"))))</f>
        <v>почасовка</v>
      </c>
      <c r="S921">
        <v>0</v>
      </c>
      <c r="T921">
        <v>0</v>
      </c>
    </row>
    <row r="922" spans="1:20" x14ac:dyDescent="0.25">
      <c r="A922" s="18" t="s">
        <v>1887</v>
      </c>
      <c r="B922" s="13" t="s">
        <v>1888</v>
      </c>
      <c r="C922" s="13" t="s">
        <v>69</v>
      </c>
      <c r="D922" s="13" t="s">
        <v>326</v>
      </c>
      <c r="E922" s="13" t="str">
        <f>IFERROR(INDEX('Почасовка — ставки и план'!$B$5:$B$24,MATCH(D922,'Почасовка — ставки и план'!$A$5:$A$24,0)),"Аренда техники / механизмы")</f>
        <v>Сантехник</v>
      </c>
      <c r="F922" s="14">
        <v>300</v>
      </c>
      <c r="G922" s="14">
        <v>345</v>
      </c>
      <c r="H922" s="15">
        <v>186</v>
      </c>
      <c r="I922" s="15">
        <f>IF(OR(H922="",F922=""),"",MAX(H922,MIN(ROUND(H922*(1+Параметры!$B$5),IF(H922*(1+Параметры!$B$5)&gt;=1000,-1,0)),ROUND(F922*Параметры!$B$6,IF(F922*Параметры!$B$6&gt;=1000,-1,0)))))</f>
        <v>214</v>
      </c>
      <c r="J922" s="15">
        <v>214</v>
      </c>
      <c r="K922" s="15">
        <f>IF(OR(J922="",G922=""),"",MAX(J922,MIN(ROUND(J922*(1+Параметры!$B$5),IF(J922*(1+Параметры!$B$5)&gt;=1000,-1,0)),ROUND(G922*Параметры!$B$6,IF(G922*Параметры!$B$6&gt;=1000,-1,0)))))</f>
        <v>246</v>
      </c>
      <c r="L922" s="16">
        <v>0.15</v>
      </c>
      <c r="M922" s="17">
        <f t="shared" si="76"/>
        <v>6.666666666666667</v>
      </c>
      <c r="N922" s="17">
        <f>IF(OR(L922="",L922=0),"",Параметры!$B$3/L922)</f>
        <v>53.333333333333336</v>
      </c>
      <c r="O922" s="15">
        <f>IF(L922="","",IFERROR(INDEX('Почасовка — ставки и план'!$D$5:$D$24,MATCH($D922,'Почасовка — ставки и план'!$A$5:$A$24,0)),""))</f>
        <v>850</v>
      </c>
      <c r="P922" s="15">
        <f>IF(L922="","",IFERROR(INDEX('Почасовка — ставки и план'!$E$5:$E$24,MATCH($D922,'Почасовка — ставки и план'!$A$5:$A$24,0)),""))</f>
        <v>1020</v>
      </c>
      <c r="Q922" s="15">
        <f t="shared" si="77"/>
        <v>128</v>
      </c>
      <c r="R922" s="13" t="str">
        <f>IF(D922="TEX","аренда техники — сделка/счёт",IF(OR(Q922="",H922="",H922=0),"—",IF(Q922&lt;H922*(1-Параметры!$B$7),"почасовка",IF(Q922&gt;H922*(1+Параметры!$B$7),"сделка","любой способ"))))</f>
        <v>почасовка</v>
      </c>
      <c r="S922">
        <v>0</v>
      </c>
      <c r="T922">
        <v>0</v>
      </c>
    </row>
    <row r="923" spans="1:20" x14ac:dyDescent="0.25">
      <c r="A923" s="18" t="s">
        <v>1889</v>
      </c>
      <c r="B923" s="13" t="s">
        <v>1890</v>
      </c>
      <c r="C923" s="13" t="s">
        <v>144</v>
      </c>
      <c r="D923" s="13" t="s">
        <v>326</v>
      </c>
      <c r="E923" s="13" t="str">
        <f>IFERROR(INDEX('Почасовка — ставки и план'!$B$5:$B$24,MATCH(D923,'Почасовка — ставки и план'!$A$5:$A$24,0)),"Аренда техники / механизмы")</f>
        <v>Сантехник</v>
      </c>
      <c r="F923" s="14">
        <v>1200</v>
      </c>
      <c r="G923" s="14">
        <v>1380</v>
      </c>
      <c r="H923" s="15">
        <v>744</v>
      </c>
      <c r="I923" s="15">
        <f>IF(OR(H923="",F923=""),"",MAX(H923,MIN(ROUND(H923*(1+Параметры!$B$5),IF(H923*(1+Параметры!$B$5)&gt;=1000,-1,0)),ROUND(F923*Параметры!$B$6,IF(F923*Параметры!$B$6&gt;=1000,-1,0)))))</f>
        <v>856</v>
      </c>
      <c r="J923" s="15">
        <v>856</v>
      </c>
      <c r="K923" s="15">
        <f>IF(OR(J923="",G923=""),"",MAX(J923,MIN(ROUND(J923*(1+Параметры!$B$5),IF(J923*(1+Параметры!$B$5)&gt;=1000,-1,0)),ROUND(G923*Параметры!$B$6,IF(G923*Параметры!$B$6&gt;=1000,-1,0)))))</f>
        <v>984</v>
      </c>
      <c r="L923" s="16">
        <v>0.7</v>
      </c>
      <c r="M923" s="17">
        <f t="shared" si="76"/>
        <v>1.4285714285714286</v>
      </c>
      <c r="N923" s="17">
        <f>IF(OR(L923="",L923=0),"",Параметры!$B$3/L923)</f>
        <v>11.428571428571429</v>
      </c>
      <c r="O923" s="15">
        <f>IF(L923="","",IFERROR(INDEX('Почасовка — ставки и план'!$D$5:$D$24,MATCH($D923,'Почасовка — ставки и план'!$A$5:$A$24,0)),""))</f>
        <v>850</v>
      </c>
      <c r="P923" s="15">
        <f>IF(L923="","",IFERROR(INDEX('Почасовка — ставки и план'!$E$5:$E$24,MATCH($D923,'Почасовка — ставки и план'!$A$5:$A$24,0)),""))</f>
        <v>1020</v>
      </c>
      <c r="Q923" s="15">
        <f t="shared" si="77"/>
        <v>595</v>
      </c>
      <c r="R923" s="13" t="str">
        <f>IF(D923="TEX","аренда техники — сделка/счёт",IF(OR(Q923="",H923="",H923=0),"—",IF(Q923&lt;H923*(1-Параметры!$B$7),"почасовка",IF(Q923&gt;H923*(1+Параметры!$B$7),"сделка","любой способ"))))</f>
        <v>почасовка</v>
      </c>
      <c r="S923">
        <v>0</v>
      </c>
      <c r="T923">
        <v>0</v>
      </c>
    </row>
    <row r="924" spans="1:20" x14ac:dyDescent="0.25">
      <c r="A924" s="11" t="s">
        <v>1891</v>
      </c>
      <c r="B924" s="12"/>
      <c r="C924" s="12"/>
      <c r="D924" s="12"/>
      <c r="E924" s="12"/>
      <c r="F924" s="12"/>
      <c r="G924" s="12"/>
      <c r="H924" s="12"/>
      <c r="I924" s="12"/>
      <c r="J924" s="12"/>
      <c r="K924" s="12"/>
      <c r="L924" s="12"/>
      <c r="M924" s="12"/>
      <c r="N924" s="12"/>
      <c r="O924" s="12"/>
      <c r="P924" s="12"/>
      <c r="Q924" s="12"/>
      <c r="R924" s="12"/>
    </row>
    <row r="925" spans="1:20" x14ac:dyDescent="0.25">
      <c r="A925" s="13" t="s">
        <v>1892</v>
      </c>
      <c r="B925" s="13" t="s">
        <v>1893</v>
      </c>
      <c r="C925" s="13" t="s">
        <v>72</v>
      </c>
      <c r="D925" s="13" t="s">
        <v>208</v>
      </c>
      <c r="E925" s="13" t="str">
        <f>IFERROR(INDEX('Почасовка — ставки и план'!$B$5:$B$24,MATCH(D925,'Почасовка — ставки и план'!$A$5:$A$24,0)),"Аренда техники / механизмы")</f>
        <v>Отделочник (штукатур, маляр, ГКЛ)</v>
      </c>
      <c r="F925" s="14">
        <v>600</v>
      </c>
      <c r="G925" s="14">
        <v>720</v>
      </c>
      <c r="H925" s="15">
        <v>372</v>
      </c>
      <c r="I925" s="15">
        <f>IF(OR(H925="",F925=""),"",MAX(H925,MIN(ROUND(H925*(1+Параметры!$B$5),IF(H925*(1+Параметры!$B$5)&gt;=1000,-1,0)),ROUND(F925*Параметры!$B$6,IF(F925*Параметры!$B$6&gt;=1000,-1,0)))))</f>
        <v>428</v>
      </c>
      <c r="J925" s="15">
        <v>428</v>
      </c>
      <c r="K925" s="15">
        <f>IF(OR(J925="",G925=""),"",MAX(J925,MIN(ROUND(J925*(1+Параметры!$B$5),IF(J925*(1+Параметры!$B$5)&gt;=1000,-1,0)),ROUND(G925*Параметры!$B$6,IF(G925*Параметры!$B$6&gt;=1000,-1,0)))))</f>
        <v>492</v>
      </c>
      <c r="L925" s="16">
        <v>0.6</v>
      </c>
      <c r="M925" s="17">
        <f t="shared" ref="M925:M956" si="78">IF(OR(L925="",L925=0),"",1/L925)</f>
        <v>1.6666666666666667</v>
      </c>
      <c r="N925" s="17">
        <f>IF(OR(L925="",L925=0),"",Параметры!$B$3/L925)</f>
        <v>13.333333333333334</v>
      </c>
      <c r="O925" s="15">
        <f>IF(L925="","",IFERROR(INDEX('Почасовка — ставки и план'!$D$5:$D$24,MATCH($D925,'Почасовка — ставки и план'!$A$5:$A$24,0)),""))</f>
        <v>750</v>
      </c>
      <c r="P925" s="15">
        <f>IF(L925="","",IFERROR(INDEX('Почасовка — ставки и план'!$E$5:$E$24,MATCH($D925,'Почасовка — ставки и план'!$A$5:$A$24,0)),""))</f>
        <v>900</v>
      </c>
      <c r="Q925" s="15">
        <f t="shared" ref="Q925:Q956" si="79">IF(OR(L925="",O925=""),"",ROUND(L925*O925,0))</f>
        <v>450</v>
      </c>
      <c r="R925" s="13" t="str">
        <f>IF(D925="TEX","аренда техники — сделка/счёт",IF(OR(Q925="",H925="",H925=0),"—",IF(Q925&lt;H925*(1-Параметры!$B$7),"почасовка",IF(Q925&gt;H925*(1+Параметры!$B$7),"сделка","любой способ"))))</f>
        <v>сделка</v>
      </c>
      <c r="S925">
        <v>0</v>
      </c>
      <c r="T925">
        <v>4.3478260869565188E-2</v>
      </c>
    </row>
    <row r="926" spans="1:20" x14ac:dyDescent="0.25">
      <c r="A926" s="13" t="s">
        <v>1894</v>
      </c>
      <c r="B926" s="13" t="s">
        <v>1895</v>
      </c>
      <c r="C926" s="13" t="s">
        <v>144</v>
      </c>
      <c r="D926" s="13" t="s">
        <v>64</v>
      </c>
      <c r="E926" s="13" t="str">
        <f>IFERROR(INDEX('Почасовка — ставки и план'!$B$5:$B$24,MATCH(D926,'Почасовка — ставки и план'!$A$5:$A$24,0)),"Аренда техники / механизмы")</f>
        <v>Сварщик / монтажник МК</v>
      </c>
      <c r="F926" s="14">
        <v>14000</v>
      </c>
      <c r="G926" s="14">
        <v>16100</v>
      </c>
      <c r="H926" s="15">
        <v>8680</v>
      </c>
      <c r="I926" s="15">
        <f>IF(OR(H926="",F926=""),"",MAX(H926,MIN(ROUND(H926*(1+Параметры!$B$5),IF(H926*(1+Параметры!$B$5)&gt;=1000,-1,0)),ROUND(F926*Параметры!$B$6,IF(F926*Параметры!$B$6&gt;=1000,-1,0)))))</f>
        <v>9980</v>
      </c>
      <c r="J926" s="15">
        <v>9982</v>
      </c>
      <c r="K926" s="15">
        <f>IF(OR(J926="",G926=""),"",MAX(J926,MIN(ROUND(J926*(1+Параметры!$B$5),IF(J926*(1+Параметры!$B$5)&gt;=1000,-1,0)),ROUND(G926*Параметры!$B$6,IF(G926*Параметры!$B$6&gt;=1000,-1,0)))))</f>
        <v>11480</v>
      </c>
      <c r="L926" s="16">
        <v>10</v>
      </c>
      <c r="M926" s="17">
        <f t="shared" si="78"/>
        <v>0.1</v>
      </c>
      <c r="N926" s="17">
        <f>IF(OR(L926="",L926=0),"",Параметры!$B$3/L926)</f>
        <v>0.8</v>
      </c>
      <c r="O926" s="15">
        <f>IF(L926="","",IFERROR(INDEX('Почасовка — ставки и план'!$D$5:$D$24,MATCH($D926,'Почасовка — ставки и план'!$A$5:$A$24,0)),""))</f>
        <v>900</v>
      </c>
      <c r="P926" s="15">
        <f>IF(L926="","",IFERROR(INDEX('Почасовка — ставки и план'!$E$5:$E$24,MATCH($D926,'Почасовка — ставки и план'!$A$5:$A$24,0)),""))</f>
        <v>1080</v>
      </c>
      <c r="Q926" s="15">
        <f t="shared" si="79"/>
        <v>9000</v>
      </c>
      <c r="R926" s="13" t="str">
        <f>IF(D926="TEX","аренда техники — сделка/счёт",IF(OR(Q926="",H926="",H926=0),"—",IF(Q926&lt;H926*(1-Параметры!$B$7),"почасовка",IF(Q926&gt;H926*(1+Параметры!$B$7),"сделка","любой способ"))))</f>
        <v>любой способ</v>
      </c>
      <c r="S926">
        <v>0</v>
      </c>
      <c r="T926">
        <v>0</v>
      </c>
    </row>
    <row r="927" spans="1:20" x14ac:dyDescent="0.25">
      <c r="A927" s="13" t="s">
        <v>1896</v>
      </c>
      <c r="B927" s="13" t="s">
        <v>1897</v>
      </c>
      <c r="C927" s="13" t="s">
        <v>144</v>
      </c>
      <c r="D927" s="13" t="s">
        <v>64</v>
      </c>
      <c r="E927" s="13" t="str">
        <f>IFERROR(INDEX('Почасовка — ставки и план'!$B$5:$B$24,MATCH(D927,'Почасовка — ставки и план'!$A$5:$A$24,0)),"Аренда техники / механизмы")</f>
        <v>Сварщик / монтажник МК</v>
      </c>
      <c r="F927" s="14">
        <v>5500</v>
      </c>
      <c r="G927" s="14">
        <v>6325</v>
      </c>
      <c r="H927" s="15">
        <v>3410</v>
      </c>
      <c r="I927" s="15">
        <f>IF(OR(H927="",F927=""),"",MAX(H927,MIN(ROUND(H927*(1+Параметры!$B$5),IF(H927*(1+Параметры!$B$5)&gt;=1000,-1,0)),ROUND(F927*Параметры!$B$6,IF(F927*Параметры!$B$6&gt;=1000,-1,0)))))</f>
        <v>3920</v>
      </c>
      <c r="J927" s="15">
        <v>3921</v>
      </c>
      <c r="K927" s="15">
        <f>IF(OR(J927="",G927=""),"",MAX(J927,MIN(ROUND(J927*(1+Параметры!$B$5),IF(J927*(1+Параметры!$B$5)&gt;=1000,-1,0)),ROUND(G927*Параметры!$B$6,IF(G927*Параметры!$B$6&gt;=1000,-1,0)))))</f>
        <v>4510</v>
      </c>
      <c r="L927" s="16">
        <v>4</v>
      </c>
      <c r="M927" s="17">
        <f t="shared" si="78"/>
        <v>0.25</v>
      </c>
      <c r="N927" s="17">
        <f>IF(OR(L927="",L927=0),"",Параметры!$B$3/L927)</f>
        <v>2</v>
      </c>
      <c r="O927" s="15">
        <f>IF(L927="","",IFERROR(INDEX('Почасовка — ставки и план'!$D$5:$D$24,MATCH($D927,'Почасовка — ставки и план'!$A$5:$A$24,0)),""))</f>
        <v>900</v>
      </c>
      <c r="P927" s="15">
        <f>IF(L927="","",IFERROR(INDEX('Почасовка — ставки и план'!$E$5:$E$24,MATCH($D927,'Почасовка — ставки и план'!$A$5:$A$24,0)),""))</f>
        <v>1080</v>
      </c>
      <c r="Q927" s="15">
        <f t="shared" si="79"/>
        <v>3600</v>
      </c>
      <c r="R927" s="13" t="str">
        <f>IF(D927="TEX","аренда техники — сделка/счёт",IF(OR(Q927="",H927="",H927=0),"—",IF(Q927&lt;H927*(1-Параметры!$B$7),"почасовка",IF(Q927&gt;H927*(1+Параметры!$B$7),"сделка","любой способ"))))</f>
        <v>любой способ</v>
      </c>
      <c r="S927">
        <v>0</v>
      </c>
      <c r="T927">
        <v>0</v>
      </c>
    </row>
    <row r="928" spans="1:20" x14ac:dyDescent="0.25">
      <c r="A928" s="13" t="s">
        <v>1898</v>
      </c>
      <c r="B928" s="13" t="s">
        <v>1899</v>
      </c>
      <c r="C928" s="13" t="s">
        <v>144</v>
      </c>
      <c r="D928" s="13" t="s">
        <v>64</v>
      </c>
      <c r="E928" s="13" t="str">
        <f>IFERROR(INDEX('Почасовка — ставки и план'!$B$5:$B$24,MATCH(D928,'Почасовка — ставки и план'!$A$5:$A$24,0)),"Аренда техники / механизмы")</f>
        <v>Сварщик / монтажник МК</v>
      </c>
      <c r="F928" s="14">
        <v>9000</v>
      </c>
      <c r="G928" s="14">
        <v>10350</v>
      </c>
      <c r="H928" s="15">
        <v>5580</v>
      </c>
      <c r="I928" s="15">
        <f>IF(OR(H928="",F928=""),"",MAX(H928,MIN(ROUND(H928*(1+Параметры!$B$5),IF(H928*(1+Параметры!$B$5)&gt;=1000,-1,0)),ROUND(F928*Параметры!$B$6,IF(F928*Параметры!$B$6&gt;=1000,-1,0)))))</f>
        <v>6420</v>
      </c>
      <c r="J928" s="15">
        <v>6417</v>
      </c>
      <c r="K928" s="15">
        <f>IF(OR(J928="",G928=""),"",MAX(J928,MIN(ROUND(J928*(1+Параметры!$B$5),IF(J928*(1+Параметры!$B$5)&gt;=1000,-1,0)),ROUND(G928*Параметры!$B$6,IF(G928*Параметры!$B$6&gt;=1000,-1,0)))))</f>
        <v>7380</v>
      </c>
      <c r="L928" s="16">
        <v>6.5</v>
      </c>
      <c r="M928" s="17">
        <f t="shared" si="78"/>
        <v>0.15384615384615385</v>
      </c>
      <c r="N928" s="17">
        <f>IF(OR(L928="",L928=0),"",Параметры!$B$3/L928)</f>
        <v>1.2307692307692308</v>
      </c>
      <c r="O928" s="15">
        <f>IF(L928="","",IFERROR(INDEX('Почасовка — ставки и план'!$D$5:$D$24,MATCH($D928,'Почасовка — ставки и план'!$A$5:$A$24,0)),""))</f>
        <v>900</v>
      </c>
      <c r="P928" s="15">
        <f>IF(L928="","",IFERROR(INDEX('Почасовка — ставки и план'!$E$5:$E$24,MATCH($D928,'Почасовка — ставки и план'!$A$5:$A$24,0)),""))</f>
        <v>1080</v>
      </c>
      <c r="Q928" s="15">
        <f t="shared" si="79"/>
        <v>5850</v>
      </c>
      <c r="R928" s="13" t="str">
        <f>IF(D928="TEX","аренда техники — сделка/счёт",IF(OR(Q928="",H928="",H928=0),"—",IF(Q928&lt;H928*(1-Параметры!$B$7),"почасовка",IF(Q928&gt;H928*(1+Параметры!$B$7),"сделка","любой способ"))))</f>
        <v>любой способ</v>
      </c>
      <c r="S928">
        <v>0</v>
      </c>
      <c r="T928">
        <v>0</v>
      </c>
    </row>
    <row r="929" spans="1:20" x14ac:dyDescent="0.25">
      <c r="A929" s="13" t="s">
        <v>1900</v>
      </c>
      <c r="B929" s="13" t="s">
        <v>1901</v>
      </c>
      <c r="C929" s="13" t="s">
        <v>69</v>
      </c>
      <c r="D929" s="13" t="s">
        <v>326</v>
      </c>
      <c r="E929" s="13" t="str">
        <f>IFERROR(INDEX('Почасовка — ставки и план'!$B$5:$B$24,MATCH(D929,'Почасовка — ставки и план'!$A$5:$A$24,0)),"Аренда техники / механизмы")</f>
        <v>Сантехник</v>
      </c>
      <c r="F929" s="14">
        <v>60</v>
      </c>
      <c r="G929" s="14">
        <v>69</v>
      </c>
      <c r="H929" s="15">
        <v>37</v>
      </c>
      <c r="I929" s="15">
        <f>IF(OR(H929="",F929=""),"",MAX(H929,MIN(ROUND(H929*(1+Параметры!$B$5),IF(H929*(1+Параметры!$B$5)&gt;=1000,-1,0)),ROUND(F929*Параметры!$B$6,IF(F929*Параметры!$B$6&gt;=1000,-1,0)))))</f>
        <v>43</v>
      </c>
      <c r="J929" s="15">
        <v>43</v>
      </c>
      <c r="K929" s="15">
        <f>IF(OR(J929="",G929=""),"",MAX(J929,MIN(ROUND(J929*(1+Параметры!$B$5),IF(J929*(1+Параметры!$B$5)&gt;=1000,-1,0)),ROUND(G929*Параметры!$B$6,IF(G929*Параметры!$B$6&gt;=1000,-1,0)))))</f>
        <v>49</v>
      </c>
      <c r="L929" s="16">
        <v>0.03</v>
      </c>
      <c r="M929" s="17">
        <f t="shared" si="78"/>
        <v>33.333333333333336</v>
      </c>
      <c r="N929" s="17">
        <f>IF(OR(L929="",L929=0),"",Параметры!$B$3/L929)</f>
        <v>266.66666666666669</v>
      </c>
      <c r="O929" s="15">
        <f>IF(L929="","",IFERROR(INDEX('Почасовка — ставки и план'!$D$5:$D$24,MATCH($D929,'Почасовка — ставки и план'!$A$5:$A$24,0)),""))</f>
        <v>850</v>
      </c>
      <c r="P929" s="15">
        <f>IF(L929="","",IFERROR(INDEX('Почасовка — ставки и план'!$E$5:$E$24,MATCH($D929,'Почасовка — ставки и план'!$A$5:$A$24,0)),""))</f>
        <v>1020</v>
      </c>
      <c r="Q929" s="15">
        <f t="shared" si="79"/>
        <v>26</v>
      </c>
      <c r="R929" s="13" t="str">
        <f>IF(D929="TEX","аренда техники — сделка/счёт",IF(OR(Q929="",H929="",H929=0),"—",IF(Q929&lt;H929*(1-Параметры!$B$7),"почасовка",IF(Q929&gt;H929*(1+Параметры!$B$7),"сделка","любой способ"))))</f>
        <v>почасовка</v>
      </c>
      <c r="S929">
        <v>0</v>
      </c>
      <c r="T929">
        <v>0</v>
      </c>
    </row>
    <row r="930" spans="1:20" x14ac:dyDescent="0.25">
      <c r="A930" s="13" t="s">
        <v>1902</v>
      </c>
      <c r="B930" s="13" t="s">
        <v>1903</v>
      </c>
      <c r="C930" s="13" t="s">
        <v>69</v>
      </c>
      <c r="D930" s="13" t="s">
        <v>326</v>
      </c>
      <c r="E930" s="13" t="str">
        <f>IFERROR(INDEX('Почасовка — ставки и план'!$B$5:$B$24,MATCH(D930,'Почасовка — ставки и план'!$A$5:$A$24,0)),"Аренда техники / механизмы")</f>
        <v>Сантехник</v>
      </c>
      <c r="F930" s="14">
        <v>45</v>
      </c>
      <c r="G930" s="14">
        <v>51.5</v>
      </c>
      <c r="H930" s="15">
        <v>28</v>
      </c>
      <c r="I930" s="15">
        <f>IF(OR(H930="",F930=""),"",MAX(H930,MIN(ROUND(H930*(1+Параметры!$B$5),IF(H930*(1+Параметры!$B$5)&gt;=1000,-1,0)),ROUND(F930*Параметры!$B$6,IF(F930*Параметры!$B$6&gt;=1000,-1,0)))))</f>
        <v>32</v>
      </c>
      <c r="J930" s="15">
        <v>32</v>
      </c>
      <c r="K930" s="15">
        <f>IF(OR(J930="",G930=""),"",MAX(J930,MIN(ROUND(J930*(1+Параметры!$B$5),IF(J930*(1+Параметры!$B$5)&gt;=1000,-1,0)),ROUND(G930*Параметры!$B$6,IF(G930*Параметры!$B$6&gt;=1000,-1,0)))))</f>
        <v>37</v>
      </c>
      <c r="L930" s="16">
        <v>0.02</v>
      </c>
      <c r="M930" s="17">
        <f t="shared" si="78"/>
        <v>50</v>
      </c>
      <c r="N930" s="17">
        <f>IF(OR(L930="",L930=0),"",Параметры!$B$3/L930)</f>
        <v>400</v>
      </c>
      <c r="O930" s="15">
        <f>IF(L930="","",IFERROR(INDEX('Почасовка — ставки и план'!$D$5:$D$24,MATCH($D930,'Почасовка — ставки и план'!$A$5:$A$24,0)),""))</f>
        <v>850</v>
      </c>
      <c r="P930" s="15">
        <f>IF(L930="","",IFERROR(INDEX('Почасовка — ставки и план'!$E$5:$E$24,MATCH($D930,'Почасовка — ставки и план'!$A$5:$A$24,0)),""))</f>
        <v>1020</v>
      </c>
      <c r="Q930" s="15">
        <f t="shared" si="79"/>
        <v>17</v>
      </c>
      <c r="R930" s="13" t="str">
        <f>IF(D930="TEX","аренда техники — сделка/счёт",IF(OR(Q930="",H930="",H930=0),"—",IF(Q930&lt;H930*(1-Параметры!$B$7),"почасовка",IF(Q930&gt;H930*(1+Параметры!$B$7),"сделка","любой способ"))))</f>
        <v>почасовка</v>
      </c>
      <c r="S930">
        <v>0</v>
      </c>
      <c r="T930">
        <v>0</v>
      </c>
    </row>
    <row r="931" spans="1:20" x14ac:dyDescent="0.25">
      <c r="A931" s="13" t="s">
        <v>1904</v>
      </c>
      <c r="B931" s="13" t="s">
        <v>1905</v>
      </c>
      <c r="C931" s="13" t="s">
        <v>144</v>
      </c>
      <c r="D931" s="13" t="s">
        <v>326</v>
      </c>
      <c r="E931" s="13" t="str">
        <f>IFERROR(INDEX('Почасовка — ставки и план'!$B$5:$B$24,MATCH(D931,'Почасовка — ставки и план'!$A$5:$A$24,0)),"Аренда техники / механизмы")</f>
        <v>Сантехник</v>
      </c>
      <c r="F931" s="14">
        <v>12000</v>
      </c>
      <c r="G931" s="14">
        <v>13800</v>
      </c>
      <c r="H931" s="15">
        <v>7440</v>
      </c>
      <c r="I931" s="15">
        <f>IF(OR(H931="",F931=""),"",MAX(H931,MIN(ROUND(H931*(1+Параметры!$B$5),IF(H931*(1+Параметры!$B$5)&gt;=1000,-1,0)),ROUND(F931*Параметры!$B$6,IF(F931*Параметры!$B$6&gt;=1000,-1,0)))))</f>
        <v>8560</v>
      </c>
      <c r="J931" s="15">
        <v>8556</v>
      </c>
      <c r="K931" s="15">
        <f>IF(OR(J931="",G931=""),"",MAX(J931,MIN(ROUND(J931*(1+Параметры!$B$5),IF(J931*(1+Параметры!$B$5)&gt;=1000,-1,0)),ROUND(G931*Параметры!$B$6,IF(G931*Параметры!$B$6&gt;=1000,-1,0)))))</f>
        <v>9840</v>
      </c>
      <c r="L931" s="16">
        <v>8</v>
      </c>
      <c r="M931" s="17">
        <f t="shared" si="78"/>
        <v>0.125</v>
      </c>
      <c r="N931" s="17">
        <f>IF(OR(L931="",L931=0),"",Параметры!$B$3/L931)</f>
        <v>1</v>
      </c>
      <c r="O931" s="15">
        <f>IF(L931="","",IFERROR(INDEX('Почасовка — ставки и план'!$D$5:$D$24,MATCH($D931,'Почасовка — ставки и план'!$A$5:$A$24,0)),""))</f>
        <v>850</v>
      </c>
      <c r="P931" s="15">
        <f>IF(L931="","",IFERROR(INDEX('Почасовка — ставки и план'!$E$5:$E$24,MATCH($D931,'Почасовка — ставки и план'!$A$5:$A$24,0)),""))</f>
        <v>1020</v>
      </c>
      <c r="Q931" s="15">
        <f t="shared" si="79"/>
        <v>6800</v>
      </c>
      <c r="R931" s="13" t="str">
        <f>IF(D931="TEX","аренда техники — сделка/счёт",IF(OR(Q931="",H931="",H931=0),"—",IF(Q931&lt;H931*(1-Параметры!$B$7),"почасовка",IF(Q931&gt;H931*(1+Параметры!$B$7),"сделка","любой способ"))))</f>
        <v>любой способ</v>
      </c>
      <c r="S931">
        <v>0</v>
      </c>
      <c r="T931">
        <v>0</v>
      </c>
    </row>
    <row r="932" spans="1:20" x14ac:dyDescent="0.25">
      <c r="A932" s="13" t="s">
        <v>1906</v>
      </c>
      <c r="B932" s="13" t="s">
        <v>1907</v>
      </c>
      <c r="C932" s="13" t="s">
        <v>69</v>
      </c>
      <c r="D932" s="13" t="s">
        <v>326</v>
      </c>
      <c r="E932" s="13" t="str">
        <f>IFERROR(INDEX('Почасовка — ставки и план'!$B$5:$B$24,MATCH(D932,'Почасовка — ставки и план'!$A$5:$A$24,0)),"Аренда техники / механизмы")</f>
        <v>Сантехник</v>
      </c>
      <c r="F932" s="14">
        <v>45</v>
      </c>
      <c r="G932" s="14">
        <v>51.5</v>
      </c>
      <c r="H932" s="15">
        <v>28</v>
      </c>
      <c r="I932" s="15">
        <f>IF(OR(H932="",F932=""),"",MAX(H932,MIN(ROUND(H932*(1+Параметры!$B$5),IF(H932*(1+Параметры!$B$5)&gt;=1000,-1,0)),ROUND(F932*Параметры!$B$6,IF(F932*Параметры!$B$6&gt;=1000,-1,0)))))</f>
        <v>32</v>
      </c>
      <c r="J932" s="15">
        <v>32</v>
      </c>
      <c r="K932" s="15">
        <f>IF(OR(J932="",G932=""),"",MAX(J932,MIN(ROUND(J932*(1+Параметры!$B$5),IF(J932*(1+Параметры!$B$5)&gt;=1000,-1,0)),ROUND(G932*Параметры!$B$6,IF(G932*Параметры!$B$6&gt;=1000,-1,0)))))</f>
        <v>37</v>
      </c>
      <c r="L932" s="16">
        <v>0.03</v>
      </c>
      <c r="M932" s="17">
        <f t="shared" si="78"/>
        <v>33.333333333333336</v>
      </c>
      <c r="N932" s="17">
        <f>IF(OR(L932="",L932=0),"",Параметры!$B$3/L932)</f>
        <v>266.66666666666669</v>
      </c>
      <c r="O932" s="15">
        <f>IF(L932="","",IFERROR(INDEX('Почасовка — ставки и план'!$D$5:$D$24,MATCH($D932,'Почасовка — ставки и план'!$A$5:$A$24,0)),""))</f>
        <v>850</v>
      </c>
      <c r="P932" s="15">
        <f>IF(L932="","",IFERROR(INDEX('Почасовка — ставки и план'!$E$5:$E$24,MATCH($D932,'Почасовка — ставки и план'!$A$5:$A$24,0)),""))</f>
        <v>1020</v>
      </c>
      <c r="Q932" s="15">
        <f t="shared" si="79"/>
        <v>26</v>
      </c>
      <c r="R932" s="13" t="str">
        <f>IF(D932="TEX","аренда техники — сделка/счёт",IF(OR(Q932="",H932="",H932=0),"—",IF(Q932&lt;H932*(1-Параметры!$B$7),"почасовка",IF(Q932&gt;H932*(1+Параметры!$B$7),"сделка","любой способ"))))</f>
        <v>любой способ</v>
      </c>
      <c r="S932">
        <v>0</v>
      </c>
      <c r="T932">
        <v>0</v>
      </c>
    </row>
    <row r="933" spans="1:20" x14ac:dyDescent="0.25">
      <c r="A933" s="13" t="s">
        <v>1908</v>
      </c>
      <c r="B933" s="13" t="s">
        <v>1909</v>
      </c>
      <c r="C933" s="13" t="s">
        <v>69</v>
      </c>
      <c r="D933" s="13" t="s">
        <v>326</v>
      </c>
      <c r="E933" s="13" t="str">
        <f>IFERROR(INDEX('Почасовка — ставки и план'!$B$5:$B$24,MATCH(D933,'Почасовка — ставки и план'!$A$5:$A$24,0)),"Аренда техники / механизмы")</f>
        <v>Сантехник</v>
      </c>
      <c r="F933" s="14">
        <v>350</v>
      </c>
      <c r="G933" s="14">
        <v>408</v>
      </c>
      <c r="H933" s="15">
        <v>217</v>
      </c>
      <c r="I933" s="15">
        <f>IF(OR(H933="",F933=""),"",MAX(H933,MIN(ROUND(H933*(1+Параметры!$B$5),IF(H933*(1+Параметры!$B$5)&gt;=1000,-1,0)),ROUND(F933*Параметры!$B$6,IF(F933*Параметры!$B$6&gt;=1000,-1,0)))))</f>
        <v>250</v>
      </c>
      <c r="J933" s="15">
        <v>250</v>
      </c>
      <c r="K933" s="15">
        <f>IF(OR(J933="",G933=""),"",MAX(J933,MIN(ROUND(J933*(1+Параметры!$B$5),IF(J933*(1+Параметры!$B$5)&gt;=1000,-1,0)),ROUND(G933*Параметры!$B$6,IF(G933*Параметры!$B$6&gt;=1000,-1,0)))))</f>
        <v>288</v>
      </c>
      <c r="L933" s="16">
        <v>0.3</v>
      </c>
      <c r="M933" s="17">
        <f t="shared" si="78"/>
        <v>3.3333333333333335</v>
      </c>
      <c r="N933" s="17">
        <f>IF(OR(L933="",L933=0),"",Параметры!$B$3/L933)</f>
        <v>26.666666666666668</v>
      </c>
      <c r="O933" s="15">
        <f>IF(L933="","",IFERROR(INDEX('Почасовка — ставки и план'!$D$5:$D$24,MATCH($D933,'Почасовка — ставки и план'!$A$5:$A$24,0)),""))</f>
        <v>850</v>
      </c>
      <c r="P933" s="15">
        <f>IF(L933="","",IFERROR(INDEX('Почасовка — ставки и план'!$E$5:$E$24,MATCH($D933,'Почасовка — ставки и план'!$A$5:$A$24,0)),""))</f>
        <v>1020</v>
      </c>
      <c r="Q933" s="15">
        <f t="shared" si="79"/>
        <v>255</v>
      </c>
      <c r="R933" s="13" t="str">
        <f>IF(D933="TEX","аренда техники — сделка/счёт",IF(OR(Q933="",H933="",H933=0),"—",IF(Q933&lt;H933*(1-Параметры!$B$7),"почасовка",IF(Q933&gt;H933*(1+Параметры!$B$7),"сделка","любой способ"))))</f>
        <v>сделка</v>
      </c>
      <c r="S933">
        <v>0</v>
      </c>
      <c r="T933">
        <v>1.49253731343284E-2</v>
      </c>
    </row>
    <row r="934" spans="1:20" x14ac:dyDescent="0.25">
      <c r="A934" s="13" t="s">
        <v>1910</v>
      </c>
      <c r="B934" s="13" t="s">
        <v>1911</v>
      </c>
      <c r="C934" s="13" t="s">
        <v>69</v>
      </c>
      <c r="D934" s="13" t="s">
        <v>326</v>
      </c>
      <c r="E934" s="13" t="str">
        <f>IFERROR(INDEX('Почасовка — ставки и план'!$B$5:$B$24,MATCH(D934,'Почасовка — ставки и план'!$A$5:$A$24,0)),"Аренда техники / механизмы")</f>
        <v>Сантехник</v>
      </c>
      <c r="F934" s="14">
        <v>250</v>
      </c>
      <c r="G934" s="14">
        <v>288</v>
      </c>
      <c r="H934" s="15">
        <v>155</v>
      </c>
      <c r="I934" s="15">
        <f>IF(OR(H934="",F934=""),"",MAX(H934,MIN(ROUND(H934*(1+Параметры!$B$5),IF(H934*(1+Параметры!$B$5)&gt;=1000,-1,0)),ROUND(F934*Параметры!$B$6,IF(F934*Параметры!$B$6&gt;=1000,-1,0)))))</f>
        <v>178</v>
      </c>
      <c r="J934" s="15">
        <v>178</v>
      </c>
      <c r="K934" s="15">
        <f>IF(OR(J934="",G934=""),"",MAX(J934,MIN(ROUND(J934*(1+Параметры!$B$5),IF(J934*(1+Параметры!$B$5)&gt;=1000,-1,0)),ROUND(G934*Параметры!$B$6,IF(G934*Параметры!$B$6&gt;=1000,-1,0)))))</f>
        <v>205</v>
      </c>
      <c r="L934" s="16">
        <v>0.2</v>
      </c>
      <c r="M934" s="17">
        <f t="shared" si="78"/>
        <v>5</v>
      </c>
      <c r="N934" s="17">
        <f>IF(OR(L934="",L934=0),"",Параметры!$B$3/L934)</f>
        <v>40</v>
      </c>
      <c r="O934" s="15">
        <f>IF(L934="","",IFERROR(INDEX('Почасовка — ставки и план'!$D$5:$D$24,MATCH($D934,'Почасовка — ставки и план'!$A$5:$A$24,0)),""))</f>
        <v>850</v>
      </c>
      <c r="P934" s="15">
        <f>IF(L934="","",IFERROR(INDEX('Почасовка — ставки и план'!$E$5:$E$24,MATCH($D934,'Почасовка — ставки и план'!$A$5:$A$24,0)),""))</f>
        <v>1020</v>
      </c>
      <c r="Q934" s="15">
        <f t="shared" si="79"/>
        <v>170</v>
      </c>
      <c r="R934" s="13" t="str">
        <f>IF(D934="TEX","аренда техники — сделка/счёт",IF(OR(Q934="",H934="",H934=0),"—",IF(Q934&lt;H934*(1-Параметры!$B$7),"почасовка",IF(Q934&gt;H934*(1+Параметры!$B$7),"сделка","любой способ"))))</f>
        <v>любой способ</v>
      </c>
      <c r="S934">
        <v>0</v>
      </c>
      <c r="T934">
        <v>0</v>
      </c>
    </row>
    <row r="935" spans="1:20" x14ac:dyDescent="0.25">
      <c r="A935" s="13" t="s">
        <v>1912</v>
      </c>
      <c r="B935" s="13" t="s">
        <v>1913</v>
      </c>
      <c r="C935" s="13" t="s">
        <v>69</v>
      </c>
      <c r="D935" s="13" t="s">
        <v>326</v>
      </c>
      <c r="E935" s="13" t="str">
        <f>IFERROR(INDEX('Почасовка — ставки и план'!$B$5:$B$24,MATCH(D935,'Почасовка — ставки и план'!$A$5:$A$24,0)),"Аренда техники / механизмы")</f>
        <v>Сантехник</v>
      </c>
      <c r="F935" s="14">
        <v>150</v>
      </c>
      <c r="G935" s="14">
        <v>172</v>
      </c>
      <c r="H935" s="15">
        <v>93</v>
      </c>
      <c r="I935" s="15">
        <f>IF(OR(H935="",F935=""),"",MAX(H935,MIN(ROUND(H935*(1+Параметры!$B$5),IF(H935*(1+Параметры!$B$5)&gt;=1000,-1,0)),ROUND(F935*Параметры!$B$6,IF(F935*Параметры!$B$6&gt;=1000,-1,0)))))</f>
        <v>107</v>
      </c>
      <c r="J935" s="15">
        <v>107</v>
      </c>
      <c r="K935" s="15">
        <f>IF(OR(J935="",G935=""),"",MAX(J935,MIN(ROUND(J935*(1+Параметры!$B$5),IF(J935*(1+Параметры!$B$5)&gt;=1000,-1,0)),ROUND(G935*Параметры!$B$6,IF(G935*Параметры!$B$6&gt;=1000,-1,0)))))</f>
        <v>123</v>
      </c>
      <c r="L935" s="16">
        <v>0.12</v>
      </c>
      <c r="M935" s="17">
        <f t="shared" si="78"/>
        <v>8.3333333333333339</v>
      </c>
      <c r="N935" s="17">
        <f>IF(OR(L935="",L935=0),"",Параметры!$B$3/L935)</f>
        <v>66.666666666666671</v>
      </c>
      <c r="O935" s="15">
        <f>IF(L935="","",IFERROR(INDEX('Почасовка — ставки и план'!$D$5:$D$24,MATCH($D935,'Почасовка — ставки и план'!$A$5:$A$24,0)),""))</f>
        <v>850</v>
      </c>
      <c r="P935" s="15">
        <f>IF(L935="","",IFERROR(INDEX('Почасовка — ставки и план'!$E$5:$E$24,MATCH($D935,'Почасовка — ставки и план'!$A$5:$A$24,0)),""))</f>
        <v>1020</v>
      </c>
      <c r="Q935" s="15">
        <f t="shared" si="79"/>
        <v>102</v>
      </c>
      <c r="R935" s="13" t="str">
        <f>IF(D935="TEX","аренда техники — сделка/счёт",IF(OR(Q935="",H935="",H935=0),"—",IF(Q935&lt;H935*(1-Параметры!$B$7),"почасовка",IF(Q935&gt;H935*(1+Параметры!$B$7),"сделка","любой способ"))))</f>
        <v>любой способ</v>
      </c>
      <c r="S935">
        <v>0</v>
      </c>
      <c r="T935">
        <v>0</v>
      </c>
    </row>
    <row r="936" spans="1:20" x14ac:dyDescent="0.25">
      <c r="A936" s="13" t="s">
        <v>1914</v>
      </c>
      <c r="B936" s="13" t="s">
        <v>1915</v>
      </c>
      <c r="C936" s="13" t="s">
        <v>144</v>
      </c>
      <c r="D936" s="13" t="s">
        <v>326</v>
      </c>
      <c r="E936" s="13" t="str">
        <f>IFERROR(INDEX('Почасовка — ставки и план'!$B$5:$B$24,MATCH(D936,'Почасовка — ставки и план'!$A$5:$A$24,0)),"Аренда техники / механизмы")</f>
        <v>Сантехник</v>
      </c>
      <c r="F936" s="14">
        <v>3000</v>
      </c>
      <c r="G936" s="14">
        <v>3450</v>
      </c>
      <c r="H936" s="15">
        <v>1860</v>
      </c>
      <c r="I936" s="15">
        <f>IF(OR(H936="",F936=""),"",MAX(H936,MIN(ROUND(H936*(1+Параметры!$B$5),IF(H936*(1+Параметры!$B$5)&gt;=1000,-1,0)),ROUND(F936*Параметры!$B$6,IF(F936*Параметры!$B$6&gt;=1000,-1,0)))))</f>
        <v>2140</v>
      </c>
      <c r="J936" s="15">
        <v>2139</v>
      </c>
      <c r="K936" s="15">
        <f>IF(OR(J936="",G936=""),"",MAX(J936,MIN(ROUND(J936*(1+Параметры!$B$5),IF(J936*(1+Параметры!$B$5)&gt;=1000,-1,0)),ROUND(G936*Параметры!$B$6,IF(G936*Параметры!$B$6&gt;=1000,-1,0)))))</f>
        <v>2460</v>
      </c>
      <c r="L936" s="16">
        <v>2</v>
      </c>
      <c r="M936" s="17">
        <f t="shared" si="78"/>
        <v>0.5</v>
      </c>
      <c r="N936" s="17">
        <f>IF(OR(L936="",L936=0),"",Параметры!$B$3/L936)</f>
        <v>4</v>
      </c>
      <c r="O936" s="15">
        <f>IF(L936="","",IFERROR(INDEX('Почасовка — ставки и план'!$D$5:$D$24,MATCH($D936,'Почасовка — ставки и план'!$A$5:$A$24,0)),""))</f>
        <v>850</v>
      </c>
      <c r="P936" s="15">
        <f>IF(L936="","",IFERROR(INDEX('Почасовка — ставки и план'!$E$5:$E$24,MATCH($D936,'Почасовка — ставки и план'!$A$5:$A$24,0)),""))</f>
        <v>1020</v>
      </c>
      <c r="Q936" s="15">
        <f t="shared" si="79"/>
        <v>1700</v>
      </c>
      <c r="R936" s="13" t="str">
        <f>IF(D936="TEX","аренда техники — сделка/счёт",IF(OR(Q936="",H936="",H936=0),"—",IF(Q936&lt;H936*(1-Параметры!$B$7),"почасовка",IF(Q936&gt;H936*(1+Параметры!$B$7),"сделка","любой способ"))))</f>
        <v>любой способ</v>
      </c>
      <c r="S936">
        <v>0</v>
      </c>
      <c r="T936">
        <v>0</v>
      </c>
    </row>
    <row r="937" spans="1:20" x14ac:dyDescent="0.25">
      <c r="A937" s="13" t="s">
        <v>1916</v>
      </c>
      <c r="B937" s="13" t="s">
        <v>1917</v>
      </c>
      <c r="C937" s="13" t="s">
        <v>144</v>
      </c>
      <c r="D937" s="13" t="s">
        <v>326</v>
      </c>
      <c r="E937" s="13" t="str">
        <f>IFERROR(INDEX('Почасовка — ставки и план'!$B$5:$B$24,MATCH(D937,'Почасовка — ставки и план'!$A$5:$A$24,0)),"Аренда техники / механизмы")</f>
        <v>Сантехник</v>
      </c>
      <c r="F937" s="14">
        <v>600</v>
      </c>
      <c r="G937" s="14">
        <v>690</v>
      </c>
      <c r="H937" s="15">
        <v>372</v>
      </c>
      <c r="I937" s="15">
        <f>IF(OR(H937="",F937=""),"",MAX(H937,MIN(ROUND(H937*(1+Параметры!$B$5),IF(H937*(1+Параметры!$B$5)&gt;=1000,-1,0)),ROUND(F937*Параметры!$B$6,IF(F937*Параметры!$B$6&gt;=1000,-1,0)))))</f>
        <v>428</v>
      </c>
      <c r="J937" s="15">
        <v>428</v>
      </c>
      <c r="K937" s="15">
        <f>IF(OR(J937="",G937=""),"",MAX(J937,MIN(ROUND(J937*(1+Параметры!$B$5),IF(J937*(1+Параметры!$B$5)&gt;=1000,-1,0)),ROUND(G937*Параметры!$B$6,IF(G937*Параметры!$B$6&gt;=1000,-1,0)))))</f>
        <v>492</v>
      </c>
      <c r="L937" s="16">
        <v>0.5</v>
      </c>
      <c r="M937" s="17">
        <f t="shared" si="78"/>
        <v>2</v>
      </c>
      <c r="N937" s="17">
        <f>IF(OR(L937="",L937=0),"",Параметры!$B$3/L937)</f>
        <v>16</v>
      </c>
      <c r="O937" s="15">
        <f>IF(L937="","",IFERROR(INDEX('Почасовка — ставки и план'!$D$5:$D$24,MATCH($D937,'Почасовка — ставки и план'!$A$5:$A$24,0)),""))</f>
        <v>850</v>
      </c>
      <c r="P937" s="15">
        <f>IF(L937="","",IFERROR(INDEX('Почасовка — ставки и план'!$E$5:$E$24,MATCH($D937,'Почасовка — ставки и план'!$A$5:$A$24,0)),""))</f>
        <v>1020</v>
      </c>
      <c r="Q937" s="15">
        <f t="shared" si="79"/>
        <v>425</v>
      </c>
      <c r="R937" s="13" t="str">
        <f>IF(D937="TEX","аренда техники — сделка/счёт",IF(OR(Q937="",H937="",H937=0),"—",IF(Q937&lt;H937*(1-Параметры!$B$7),"почасовка",IF(Q937&gt;H937*(1+Параметры!$B$7),"сделка","любой способ"))))</f>
        <v>сделка</v>
      </c>
      <c r="S937">
        <v>0</v>
      </c>
      <c r="T937">
        <v>0</v>
      </c>
    </row>
    <row r="938" spans="1:20" x14ac:dyDescent="0.25">
      <c r="A938" s="13" t="s">
        <v>1918</v>
      </c>
      <c r="B938" s="13" t="s">
        <v>1919</v>
      </c>
      <c r="C938" s="13" t="s">
        <v>144</v>
      </c>
      <c r="D938" s="13" t="s">
        <v>326</v>
      </c>
      <c r="E938" s="13" t="str">
        <f>IFERROR(INDEX('Почасовка — ставки и план'!$B$5:$B$24,MATCH(D938,'Почасовка — ставки и план'!$A$5:$A$24,0)),"Аренда техники / механизмы")</f>
        <v>Сантехник</v>
      </c>
      <c r="F938" s="14">
        <v>1500</v>
      </c>
      <c r="G938" s="14">
        <v>1725</v>
      </c>
      <c r="H938" s="15">
        <v>930</v>
      </c>
      <c r="I938" s="15">
        <f>IF(OR(H938="",F938=""),"",MAX(H938,MIN(ROUND(H938*(1+Параметры!$B$5),IF(H938*(1+Параметры!$B$5)&gt;=1000,-1,0)),ROUND(F938*Параметры!$B$6,IF(F938*Параметры!$B$6&gt;=1000,-1,0)))))</f>
        <v>1070</v>
      </c>
      <c r="J938" s="15">
        <v>1069</v>
      </c>
      <c r="K938" s="15">
        <f>IF(OR(J938="",G938=""),"",MAX(J938,MIN(ROUND(J938*(1+Параметры!$B$5),IF(J938*(1+Параметры!$B$5)&gt;=1000,-1,0)),ROUND(G938*Параметры!$B$6,IF(G938*Параметры!$B$6&gt;=1000,-1,0)))))</f>
        <v>1230</v>
      </c>
      <c r="L938" s="16">
        <v>1.2</v>
      </c>
      <c r="M938" s="17">
        <f t="shared" si="78"/>
        <v>0.83333333333333337</v>
      </c>
      <c r="N938" s="17">
        <f>IF(OR(L938="",L938=0),"",Параметры!$B$3/L938)</f>
        <v>6.666666666666667</v>
      </c>
      <c r="O938" s="15">
        <f>IF(L938="","",IFERROR(INDEX('Почасовка — ставки и план'!$D$5:$D$24,MATCH($D938,'Почасовка — ставки и план'!$A$5:$A$24,0)),""))</f>
        <v>850</v>
      </c>
      <c r="P938" s="15">
        <f>IF(L938="","",IFERROR(INDEX('Почасовка — ставки и план'!$E$5:$E$24,MATCH($D938,'Почасовка — ставки и план'!$A$5:$A$24,0)),""))</f>
        <v>1020</v>
      </c>
      <c r="Q938" s="15">
        <f t="shared" si="79"/>
        <v>1020</v>
      </c>
      <c r="R938" s="13" t="str">
        <f>IF(D938="TEX","аренда техники — сделка/счёт",IF(OR(Q938="",H938="",H938=0),"—",IF(Q938&lt;H938*(1-Параметры!$B$7),"почасовка",IF(Q938&gt;H938*(1+Параметры!$B$7),"сделка","любой способ"))))</f>
        <v>любой способ</v>
      </c>
      <c r="S938">
        <v>0</v>
      </c>
      <c r="T938">
        <v>0</v>
      </c>
    </row>
    <row r="939" spans="1:20" x14ac:dyDescent="0.25">
      <c r="A939" s="13" t="s">
        <v>1920</v>
      </c>
      <c r="B939" s="13" t="s">
        <v>1921</v>
      </c>
      <c r="C939" s="13" t="s">
        <v>144</v>
      </c>
      <c r="D939" s="13" t="s">
        <v>326</v>
      </c>
      <c r="E939" s="13" t="str">
        <f>IFERROR(INDEX('Почасовка — ставки и план'!$B$5:$B$24,MATCH(D939,'Почасовка — ставки и план'!$A$5:$A$24,0)),"Аренда техники / механизмы")</f>
        <v>Сантехник</v>
      </c>
      <c r="F939" s="14">
        <v>700</v>
      </c>
      <c r="G939" s="14">
        <v>805</v>
      </c>
      <c r="H939" s="15">
        <v>434</v>
      </c>
      <c r="I939" s="15">
        <f>IF(OR(H939="",F939=""),"",MAX(H939,MIN(ROUND(H939*(1+Параметры!$B$5),IF(H939*(1+Параметры!$B$5)&gt;=1000,-1,0)),ROUND(F939*Параметры!$B$6,IF(F939*Параметры!$B$6&gt;=1000,-1,0)))))</f>
        <v>499</v>
      </c>
      <c r="J939" s="15">
        <v>499</v>
      </c>
      <c r="K939" s="15">
        <f>IF(OR(J939="",G939=""),"",MAX(J939,MIN(ROUND(J939*(1+Параметры!$B$5),IF(J939*(1+Параметры!$B$5)&gt;=1000,-1,0)),ROUND(G939*Параметры!$B$6,IF(G939*Параметры!$B$6&gt;=1000,-1,0)))))</f>
        <v>574</v>
      </c>
      <c r="L939" s="16">
        <v>0.5</v>
      </c>
      <c r="M939" s="17">
        <f t="shared" si="78"/>
        <v>2</v>
      </c>
      <c r="N939" s="17">
        <f>IF(OR(L939="",L939=0),"",Параметры!$B$3/L939)</f>
        <v>16</v>
      </c>
      <c r="O939" s="15">
        <f>IF(L939="","",IFERROR(INDEX('Почасовка — ставки и план'!$D$5:$D$24,MATCH($D939,'Почасовка — ставки и план'!$A$5:$A$24,0)),""))</f>
        <v>850</v>
      </c>
      <c r="P939" s="15">
        <f>IF(L939="","",IFERROR(INDEX('Почасовка — ставки и план'!$E$5:$E$24,MATCH($D939,'Почасовка — ставки и план'!$A$5:$A$24,0)),""))</f>
        <v>1020</v>
      </c>
      <c r="Q939" s="15">
        <f t="shared" si="79"/>
        <v>425</v>
      </c>
      <c r="R939" s="13" t="str">
        <f>IF(D939="TEX","аренда техники — сделка/счёт",IF(OR(Q939="",H939="",H939=0),"—",IF(Q939&lt;H939*(1-Параметры!$B$7),"почасовка",IF(Q939&gt;H939*(1+Параметры!$B$7),"сделка","любой способ"))))</f>
        <v>любой способ</v>
      </c>
      <c r="S939">
        <v>0</v>
      </c>
      <c r="T939">
        <v>0</v>
      </c>
    </row>
    <row r="940" spans="1:20" x14ac:dyDescent="0.25">
      <c r="A940" s="13" t="s">
        <v>1922</v>
      </c>
      <c r="B940" s="13" t="s">
        <v>1923</v>
      </c>
      <c r="C940" s="13" t="s">
        <v>144</v>
      </c>
      <c r="D940" s="13" t="s">
        <v>326</v>
      </c>
      <c r="E940" s="13" t="str">
        <f>IFERROR(INDEX('Почасовка — ставки и план'!$B$5:$B$24,MATCH(D940,'Почасовка — ставки и план'!$A$5:$A$24,0)),"Аренда техники / механизмы")</f>
        <v>Сантехник</v>
      </c>
      <c r="F940" s="14">
        <v>1100</v>
      </c>
      <c r="G940" s="14">
        <v>1265</v>
      </c>
      <c r="H940" s="15">
        <v>682</v>
      </c>
      <c r="I940" s="15">
        <f>IF(OR(H940="",F940=""),"",MAX(H940,MIN(ROUND(H940*(1+Параметры!$B$5),IF(H940*(1+Параметры!$B$5)&gt;=1000,-1,0)),ROUND(F940*Параметры!$B$6,IF(F940*Параметры!$B$6&gt;=1000,-1,0)))))</f>
        <v>784</v>
      </c>
      <c r="J940" s="15">
        <v>784</v>
      </c>
      <c r="K940" s="15">
        <f>IF(OR(J940="",G940=""),"",MAX(J940,MIN(ROUND(J940*(1+Параметры!$B$5),IF(J940*(1+Параметры!$B$5)&gt;=1000,-1,0)),ROUND(G940*Параметры!$B$6,IF(G940*Параметры!$B$6&gt;=1000,-1,0)))))</f>
        <v>902</v>
      </c>
      <c r="L940" s="16">
        <v>0.8</v>
      </c>
      <c r="M940" s="17">
        <f t="shared" si="78"/>
        <v>1.25</v>
      </c>
      <c r="N940" s="17">
        <f>IF(OR(L940="",L940=0),"",Параметры!$B$3/L940)</f>
        <v>10</v>
      </c>
      <c r="O940" s="15">
        <f>IF(L940="","",IFERROR(INDEX('Почасовка — ставки и план'!$D$5:$D$24,MATCH($D940,'Почасовка — ставки и план'!$A$5:$A$24,0)),""))</f>
        <v>850</v>
      </c>
      <c r="P940" s="15">
        <f>IF(L940="","",IFERROR(INDEX('Почасовка — ставки и план'!$E$5:$E$24,MATCH($D940,'Почасовка — ставки и план'!$A$5:$A$24,0)),""))</f>
        <v>1020</v>
      </c>
      <c r="Q940" s="15">
        <f t="shared" si="79"/>
        <v>680</v>
      </c>
      <c r="R940" s="13" t="str">
        <f>IF(D940="TEX","аренда техники — сделка/счёт",IF(OR(Q940="",H940="",H940=0),"—",IF(Q940&lt;H940*(1-Параметры!$B$7),"почасовка",IF(Q940&gt;H940*(1+Параметры!$B$7),"сделка","любой способ"))))</f>
        <v>любой способ</v>
      </c>
      <c r="S940">
        <v>0</v>
      </c>
      <c r="T940">
        <v>0</v>
      </c>
    </row>
    <row r="941" spans="1:20" x14ac:dyDescent="0.25">
      <c r="A941" s="13" t="s">
        <v>1924</v>
      </c>
      <c r="B941" s="13" t="s">
        <v>1925</v>
      </c>
      <c r="C941" s="13" t="s">
        <v>144</v>
      </c>
      <c r="D941" s="13" t="s">
        <v>326</v>
      </c>
      <c r="E941" s="13" t="str">
        <f>IFERROR(INDEX('Почасовка — ставки и план'!$B$5:$B$24,MATCH(D941,'Почасовка — ставки и план'!$A$5:$A$24,0)),"Аренда техники / механизмы")</f>
        <v>Сантехник</v>
      </c>
      <c r="F941" s="14">
        <v>450</v>
      </c>
      <c r="G941" s="14">
        <v>518</v>
      </c>
      <c r="H941" s="15">
        <v>279</v>
      </c>
      <c r="I941" s="15">
        <f>IF(OR(H941="",F941=""),"",MAX(H941,MIN(ROUND(H941*(1+Параметры!$B$5),IF(H941*(1+Параметры!$B$5)&gt;=1000,-1,0)),ROUND(F941*Параметры!$B$6,IF(F941*Параметры!$B$6&gt;=1000,-1,0)))))</f>
        <v>321</v>
      </c>
      <c r="J941" s="15">
        <v>321</v>
      </c>
      <c r="K941" s="15">
        <f>IF(OR(J941="",G941=""),"",MAX(J941,MIN(ROUND(J941*(1+Параметры!$B$5),IF(J941*(1+Параметры!$B$5)&gt;=1000,-1,0)),ROUND(G941*Параметры!$B$6,IF(G941*Параметры!$B$6&gt;=1000,-1,0)))))</f>
        <v>369</v>
      </c>
      <c r="L941" s="16">
        <v>0.3</v>
      </c>
      <c r="M941" s="17">
        <f t="shared" si="78"/>
        <v>3.3333333333333335</v>
      </c>
      <c r="N941" s="17">
        <f>IF(OR(L941="",L941=0),"",Параметры!$B$3/L941)</f>
        <v>26.666666666666668</v>
      </c>
      <c r="O941" s="15">
        <f>IF(L941="","",IFERROR(INDEX('Почасовка — ставки и план'!$D$5:$D$24,MATCH($D941,'Почасовка — ставки и план'!$A$5:$A$24,0)),""))</f>
        <v>850</v>
      </c>
      <c r="P941" s="15">
        <f>IF(L941="","",IFERROR(INDEX('Почасовка — ставки и план'!$E$5:$E$24,MATCH($D941,'Почасовка — ставки и план'!$A$5:$A$24,0)),""))</f>
        <v>1020</v>
      </c>
      <c r="Q941" s="15">
        <f t="shared" si="79"/>
        <v>255</v>
      </c>
      <c r="R941" s="13" t="str">
        <f>IF(D941="TEX","аренда техники — сделка/счёт",IF(OR(Q941="",H941="",H941=0),"—",IF(Q941&lt;H941*(1-Параметры!$B$7),"почасовка",IF(Q941&gt;H941*(1+Параметры!$B$7),"сделка","любой способ"))))</f>
        <v>любой способ</v>
      </c>
      <c r="S941">
        <v>0</v>
      </c>
      <c r="T941">
        <v>0</v>
      </c>
    </row>
    <row r="942" spans="1:20" x14ac:dyDescent="0.25">
      <c r="A942" s="13" t="s">
        <v>1926</v>
      </c>
      <c r="B942" s="13" t="s">
        <v>1927</v>
      </c>
      <c r="C942" s="13" t="s">
        <v>865</v>
      </c>
      <c r="D942" s="13" t="s">
        <v>326</v>
      </c>
      <c r="E942" s="13" t="str">
        <f>IFERROR(INDEX('Почасовка — ставки и план'!$B$5:$B$24,MATCH(D942,'Почасовка — ставки и план'!$A$5:$A$24,0)),"Аренда техники / механизмы")</f>
        <v>Сантехник</v>
      </c>
      <c r="F942" s="14">
        <v>4000</v>
      </c>
      <c r="G942" s="14">
        <v>4600</v>
      </c>
      <c r="H942" s="15">
        <v>2480</v>
      </c>
      <c r="I942" s="15">
        <f>IF(OR(H942="",F942=""),"",MAX(H942,MIN(ROUND(H942*(1+Параметры!$B$5),IF(H942*(1+Параметры!$B$5)&gt;=1000,-1,0)),ROUND(F942*Параметры!$B$6,IF(F942*Параметры!$B$6&gt;=1000,-1,0)))))</f>
        <v>2850</v>
      </c>
      <c r="J942" s="15">
        <v>2852</v>
      </c>
      <c r="K942" s="15">
        <f>IF(OR(J942="",G942=""),"",MAX(J942,MIN(ROUND(J942*(1+Параметры!$B$5),IF(J942*(1+Параметры!$B$5)&gt;=1000,-1,0)),ROUND(G942*Параметры!$B$6,IF(G942*Параметры!$B$6&gt;=1000,-1,0)))))</f>
        <v>3280</v>
      </c>
      <c r="L942" s="16">
        <v>3</v>
      </c>
      <c r="M942" s="17">
        <f t="shared" si="78"/>
        <v>0.33333333333333331</v>
      </c>
      <c r="N942" s="17">
        <f>IF(OR(L942="",L942=0),"",Параметры!$B$3/L942)</f>
        <v>2.6666666666666665</v>
      </c>
      <c r="O942" s="15">
        <f>IF(L942="","",IFERROR(INDEX('Почасовка — ставки и план'!$D$5:$D$24,MATCH($D942,'Почасовка — ставки и план'!$A$5:$A$24,0)),""))</f>
        <v>850</v>
      </c>
      <c r="P942" s="15">
        <f>IF(L942="","",IFERROR(INDEX('Почасовка — ставки и план'!$E$5:$E$24,MATCH($D942,'Почасовка — ставки и план'!$A$5:$A$24,0)),""))</f>
        <v>1020</v>
      </c>
      <c r="Q942" s="15">
        <f t="shared" si="79"/>
        <v>2550</v>
      </c>
      <c r="R942" s="13" t="str">
        <f>IF(D942="TEX","аренда техники — сделка/счёт",IF(OR(Q942="",H942="",H942=0),"—",IF(Q942&lt;H942*(1-Параметры!$B$7),"почасовка",IF(Q942&gt;H942*(1+Параметры!$B$7),"сделка","любой способ"))))</f>
        <v>любой способ</v>
      </c>
      <c r="S942">
        <v>0</v>
      </c>
      <c r="T942">
        <v>0</v>
      </c>
    </row>
    <row r="943" spans="1:20" x14ac:dyDescent="0.25">
      <c r="A943" s="13" t="s">
        <v>1928</v>
      </c>
      <c r="B943" s="13" t="s">
        <v>1929</v>
      </c>
      <c r="C943" s="13" t="s">
        <v>144</v>
      </c>
      <c r="D943" s="13" t="s">
        <v>326</v>
      </c>
      <c r="E943" s="13" t="str">
        <f>IFERROR(INDEX('Почасовка — ставки и план'!$B$5:$B$24,MATCH(D943,'Почасовка — ставки и план'!$A$5:$A$24,0)),"Аренда техники / механизмы")</f>
        <v>Сантехник</v>
      </c>
      <c r="F943" s="14">
        <v>15000</v>
      </c>
      <c r="G943" s="14">
        <v>18000</v>
      </c>
      <c r="H943" s="15">
        <v>9300</v>
      </c>
      <c r="I943" s="15">
        <f>IF(OR(H943="",F943=""),"",MAX(H943,MIN(ROUND(H943*(1+Параметры!$B$5),IF(H943*(1+Параметры!$B$5)&gt;=1000,-1,0)),ROUND(F943*Параметры!$B$6,IF(F943*Параметры!$B$6&gt;=1000,-1,0)))))</f>
        <v>10700</v>
      </c>
      <c r="J943" s="15">
        <v>11160</v>
      </c>
      <c r="K943" s="15">
        <f>IF(OR(J943="",G943=""),"",MAX(J943,MIN(ROUND(J943*(1+Параметры!$B$5),IF(J943*(1+Параметры!$B$5)&gt;=1000,-1,0)),ROUND(G943*Параметры!$B$6,IF(G943*Параметры!$B$6&gt;=1000,-1,0)))))</f>
        <v>12830</v>
      </c>
      <c r="L943" s="16">
        <v>8</v>
      </c>
      <c r="M943" s="17">
        <f t="shared" si="78"/>
        <v>0.125</v>
      </c>
      <c r="N943" s="17">
        <f>IF(OR(L943="",L943=0),"",Параметры!$B$3/L943)</f>
        <v>1</v>
      </c>
      <c r="O943" s="15">
        <f>IF(L943="","",IFERROR(INDEX('Почасовка — ставки и план'!$D$5:$D$24,MATCH($D943,'Почасовка — ставки и план'!$A$5:$A$24,0)),""))</f>
        <v>850</v>
      </c>
      <c r="P943" s="15">
        <f>IF(L943="","",IFERROR(INDEX('Почасовка — ставки и план'!$E$5:$E$24,MATCH($D943,'Почасовка — ставки и план'!$A$5:$A$24,0)),""))</f>
        <v>1020</v>
      </c>
      <c r="Q943" s="15">
        <f t="shared" si="79"/>
        <v>6800</v>
      </c>
      <c r="R943" s="13" t="str">
        <f>IF(D943="TEX","аренда техники — сделка/счёт",IF(OR(Q943="",H943="",H943=0),"—",IF(Q943&lt;H943*(1-Параметры!$B$7),"почасовка",IF(Q943&gt;H943*(1+Параметры!$B$7),"сделка","любой способ"))))</f>
        <v>почасовка</v>
      </c>
      <c r="S943">
        <v>0</v>
      </c>
      <c r="T943">
        <v>0</v>
      </c>
    </row>
    <row r="944" spans="1:20" x14ac:dyDescent="0.25">
      <c r="A944" s="13" t="s">
        <v>1930</v>
      </c>
      <c r="B944" s="13" t="s">
        <v>1931</v>
      </c>
      <c r="C944" s="13" t="s">
        <v>144</v>
      </c>
      <c r="D944" s="13" t="s">
        <v>326</v>
      </c>
      <c r="E944" s="13" t="str">
        <f>IFERROR(INDEX('Почасовка — ставки и план'!$B$5:$B$24,MATCH(D944,'Почасовка — ставки и план'!$A$5:$A$24,0)),"Аренда техники / механизмы")</f>
        <v>Сантехник</v>
      </c>
      <c r="F944" s="14">
        <v>500</v>
      </c>
      <c r="G944" s="14">
        <v>575</v>
      </c>
      <c r="H944" s="15">
        <v>310</v>
      </c>
      <c r="I944" s="15">
        <f>IF(OR(H944="",F944=""),"",MAX(H944,MIN(ROUND(H944*(1+Параметры!$B$5),IF(H944*(1+Параметры!$B$5)&gt;=1000,-1,0)),ROUND(F944*Параметры!$B$6,IF(F944*Параметры!$B$6&gt;=1000,-1,0)))))</f>
        <v>357</v>
      </c>
      <c r="J944" s="15">
        <v>356</v>
      </c>
      <c r="K944" s="15">
        <f>IF(OR(J944="",G944=""),"",MAX(J944,MIN(ROUND(J944*(1+Параметры!$B$5),IF(J944*(1+Параметры!$B$5)&gt;=1000,-1,0)),ROUND(G944*Параметры!$B$6,IF(G944*Параметры!$B$6&gt;=1000,-1,0)))))</f>
        <v>409</v>
      </c>
      <c r="L944" s="16">
        <v>0.3</v>
      </c>
      <c r="M944" s="17">
        <f t="shared" si="78"/>
        <v>3.3333333333333335</v>
      </c>
      <c r="N944" s="17">
        <f>IF(OR(L944="",L944=0),"",Параметры!$B$3/L944)</f>
        <v>26.666666666666668</v>
      </c>
      <c r="O944" s="15">
        <f>IF(L944="","",IFERROR(INDEX('Почасовка — ставки и план'!$D$5:$D$24,MATCH($D944,'Почасовка — ставки и план'!$A$5:$A$24,0)),""))</f>
        <v>850</v>
      </c>
      <c r="P944" s="15">
        <f>IF(L944="","",IFERROR(INDEX('Почасовка — ставки и план'!$E$5:$E$24,MATCH($D944,'Почасовка — ставки и план'!$A$5:$A$24,0)),""))</f>
        <v>1020</v>
      </c>
      <c r="Q944" s="15">
        <f t="shared" si="79"/>
        <v>255</v>
      </c>
      <c r="R944" s="13" t="str">
        <f>IF(D944="TEX","аренда техники — сделка/счёт",IF(OR(Q944="",H944="",H944=0),"—",IF(Q944&lt;H944*(1-Параметры!$B$7),"почасовка",IF(Q944&gt;H944*(1+Параметры!$B$7),"сделка","любой способ"))))</f>
        <v>почасовка</v>
      </c>
      <c r="S944">
        <v>0</v>
      </c>
      <c r="T944">
        <v>0</v>
      </c>
    </row>
    <row r="945" spans="1:20" x14ac:dyDescent="0.25">
      <c r="A945" s="13" t="s">
        <v>1932</v>
      </c>
      <c r="B945" s="13" t="s">
        <v>1933</v>
      </c>
      <c r="C945" s="13" t="s">
        <v>69</v>
      </c>
      <c r="D945" s="13" t="s">
        <v>64</v>
      </c>
      <c r="E945" s="13" t="str">
        <f>IFERROR(INDEX('Почасовка — ставки и план'!$B$5:$B$24,MATCH(D945,'Почасовка — ставки и план'!$A$5:$A$24,0)),"Аренда техники / механизмы")</f>
        <v>Сварщик / монтажник МК</v>
      </c>
      <c r="F945" s="14">
        <v>1800</v>
      </c>
      <c r="G945" s="14">
        <v>2160</v>
      </c>
      <c r="H945" s="15">
        <v>992</v>
      </c>
      <c r="I945" s="15">
        <f>IF(OR(H945="",F945=""),"",MAX(H945,MIN(ROUND(H945*(1+Параметры!$B$5),IF(H945*(1+Параметры!$B$5)&gt;=1000,-1,0)),ROUND(F945*Параметры!$B$6,IF(F945*Параметры!$B$6&gt;=1000,-1,0)))))</f>
        <v>1140</v>
      </c>
      <c r="J945" s="15">
        <v>1141</v>
      </c>
      <c r="K945" s="15">
        <f>IF(OR(J945="",G945=""),"",MAX(J945,MIN(ROUND(J945*(1+Параметры!$B$5),IF(J945*(1+Параметры!$B$5)&gt;=1000,-1,0)),ROUND(G945*Параметры!$B$6,IF(G945*Параметры!$B$6&gt;=1000,-1,0)))))</f>
        <v>1310</v>
      </c>
      <c r="L945" s="16">
        <v>1.5</v>
      </c>
      <c r="M945" s="17">
        <f t="shared" si="78"/>
        <v>0.66666666666666663</v>
      </c>
      <c r="N945" s="17">
        <f>IF(OR(L945="",L945=0),"",Параметры!$B$3/L945)</f>
        <v>5.333333333333333</v>
      </c>
      <c r="O945" s="15">
        <f>IF(L945="","",IFERROR(INDEX('Почасовка — ставки и план'!$D$5:$D$24,MATCH($D945,'Почасовка — ставки и план'!$A$5:$A$24,0)),""))</f>
        <v>900</v>
      </c>
      <c r="P945" s="15">
        <f>IF(L945="","",IFERROR(INDEX('Почасовка — ставки и план'!$E$5:$E$24,MATCH($D945,'Почасовка — ставки и план'!$A$5:$A$24,0)),""))</f>
        <v>1080</v>
      </c>
      <c r="Q945" s="15">
        <f t="shared" si="79"/>
        <v>1350</v>
      </c>
      <c r="R945" s="13" t="str">
        <f>IF(D945="TEX","аренда техники — сделка/счёт",IF(OR(Q945="",H945="",H945=0),"—",IF(Q945&lt;H945*(1-Параметры!$B$7),"почасовка",IF(Q945&gt;H945*(1+Параметры!$B$7),"сделка","любой способ"))))</f>
        <v>сделка</v>
      </c>
      <c r="S945">
        <v>0.125</v>
      </c>
      <c r="T945">
        <v>0.173913043478261</v>
      </c>
    </row>
    <row r="946" spans="1:20" x14ac:dyDescent="0.25">
      <c r="A946" s="13" t="s">
        <v>1934</v>
      </c>
      <c r="B946" s="13" t="s">
        <v>1935</v>
      </c>
      <c r="C946" s="13" t="s">
        <v>69</v>
      </c>
      <c r="D946" s="13" t="s">
        <v>64</v>
      </c>
      <c r="E946" s="13" t="str">
        <f>IFERROR(INDEX('Почасовка — ставки и план'!$B$5:$B$24,MATCH(D946,'Почасовка — ставки и план'!$A$5:$A$24,0)),"Аренда техники / механизмы")</f>
        <v>Сварщик / монтажник МК</v>
      </c>
      <c r="F946" s="14">
        <v>2340</v>
      </c>
      <c r="G946" s="14">
        <v>2808</v>
      </c>
      <c r="H946" s="15">
        <v>1302</v>
      </c>
      <c r="I946" s="15">
        <f>IF(OR(H946="",F946=""),"",MAX(H946,MIN(ROUND(H946*(1+Параметры!$B$5),IF(H946*(1+Параметры!$B$5)&gt;=1000,-1,0)),ROUND(F946*Параметры!$B$6,IF(F946*Параметры!$B$6&gt;=1000,-1,0)))))</f>
        <v>1500</v>
      </c>
      <c r="J946" s="15">
        <v>1497</v>
      </c>
      <c r="K946" s="15">
        <f>IF(OR(J946="",G946=""),"",MAX(J946,MIN(ROUND(J946*(1+Параметры!$B$5),IF(J946*(1+Параметры!$B$5)&gt;=1000,-1,0)),ROUND(G946*Параметры!$B$6,IF(G946*Параметры!$B$6&gt;=1000,-1,0)))))</f>
        <v>1720</v>
      </c>
      <c r="L946" s="16">
        <v>1.95</v>
      </c>
      <c r="M946" s="17">
        <f t="shared" si="78"/>
        <v>0.51282051282051289</v>
      </c>
      <c r="N946" s="17">
        <f>IF(OR(L946="",L946=0),"",Параметры!$B$3/L946)</f>
        <v>4.1025641025641031</v>
      </c>
      <c r="O946" s="15">
        <f>IF(L946="","",IFERROR(INDEX('Почасовка — ставки и план'!$D$5:$D$24,MATCH($D946,'Почасовка — ставки и план'!$A$5:$A$24,0)),""))</f>
        <v>900</v>
      </c>
      <c r="P946" s="15">
        <f>IF(L946="","",IFERROR(INDEX('Почасовка — ставки и план'!$E$5:$E$24,MATCH($D946,'Почасовка — ставки и план'!$A$5:$A$24,0)),""))</f>
        <v>1080</v>
      </c>
      <c r="Q946" s="15">
        <f t="shared" si="79"/>
        <v>1755</v>
      </c>
      <c r="R946" s="13" t="str">
        <f>IF(D946="TEX","аренда техники — сделка/счёт",IF(OR(Q946="",H946="",H946=0),"—",IF(Q946&lt;H946*(1-Параметры!$B$7),"почасовка",IF(Q946&gt;H946*(1+Параметры!$B$7),"сделка","любой способ"))))</f>
        <v>сделка</v>
      </c>
      <c r="S946">
        <v>0.1142857142857143</v>
      </c>
      <c r="T946">
        <v>0.16273291925465849</v>
      </c>
    </row>
    <row r="947" spans="1:20" x14ac:dyDescent="0.25">
      <c r="A947" s="13" t="s">
        <v>1936</v>
      </c>
      <c r="B947" s="13" t="s">
        <v>1937</v>
      </c>
      <c r="C947" s="13" t="s">
        <v>69</v>
      </c>
      <c r="D947" s="13" t="s">
        <v>64</v>
      </c>
      <c r="E947" s="13" t="str">
        <f>IFERROR(INDEX('Почасовка — ставки и план'!$B$5:$B$24,MATCH(D947,'Почасовка — ставки и план'!$A$5:$A$24,0)),"Аренда техники / механизмы")</f>
        <v>Сварщик / монтажник МК</v>
      </c>
      <c r="F947" s="14">
        <v>2760</v>
      </c>
      <c r="G947" s="14">
        <v>3312</v>
      </c>
      <c r="H947" s="15">
        <v>1550</v>
      </c>
      <c r="I947" s="15">
        <f>IF(OR(H947="",F947=""),"",MAX(H947,MIN(ROUND(H947*(1+Параметры!$B$5),IF(H947*(1+Параметры!$B$5)&gt;=1000,-1,0)),ROUND(F947*Параметры!$B$6,IF(F947*Параметры!$B$6&gt;=1000,-1,0)))))</f>
        <v>1780</v>
      </c>
      <c r="J947" s="15">
        <v>1782</v>
      </c>
      <c r="K947" s="15">
        <f>IF(OR(J947="",G947=""),"",MAX(J947,MIN(ROUND(J947*(1+Параметры!$B$5),IF(J947*(1+Параметры!$B$5)&gt;=1000,-1,0)),ROUND(G947*Параметры!$B$6,IF(G947*Параметры!$B$6&gt;=1000,-1,0)))))</f>
        <v>2050</v>
      </c>
      <c r="L947" s="16">
        <v>2.2999999999999998</v>
      </c>
      <c r="M947" s="17">
        <f t="shared" si="78"/>
        <v>0.43478260869565222</v>
      </c>
      <c r="N947" s="17">
        <f>IF(OR(L947="",L947=0),"",Параметры!$B$3/L947)</f>
        <v>3.4782608695652177</v>
      </c>
      <c r="O947" s="15">
        <f>IF(L947="","",IFERROR(INDEX('Почасовка — ставки и план'!$D$5:$D$24,MATCH($D947,'Почасовка — ставки и план'!$A$5:$A$24,0)),""))</f>
        <v>900</v>
      </c>
      <c r="P947" s="15">
        <f>IF(L947="","",IFERROR(INDEX('Почасовка — ставки и план'!$E$5:$E$24,MATCH($D947,'Почасовка — ставки и план'!$A$5:$A$24,0)),""))</f>
        <v>1080</v>
      </c>
      <c r="Q947" s="15">
        <f t="shared" si="79"/>
        <v>2070</v>
      </c>
      <c r="R947" s="13" t="str">
        <f>IF(D947="TEX","аренда техники — сделка/счёт",IF(OR(Q947="",H947="",H947=0),"—",IF(Q947&lt;H947*(1-Параметры!$B$7),"почасовка",IF(Q947&gt;H947*(1+Параметры!$B$7),"сделка","любой способ"))))</f>
        <v>сделка</v>
      </c>
      <c r="S947">
        <v>0.10400000000000011</v>
      </c>
      <c r="T947">
        <v>0.15199999999999991</v>
      </c>
    </row>
    <row r="948" spans="1:20" x14ac:dyDescent="0.25">
      <c r="A948" s="13" t="s">
        <v>1938</v>
      </c>
      <c r="B948" s="13" t="s">
        <v>1939</v>
      </c>
      <c r="C948" s="13" t="s">
        <v>69</v>
      </c>
      <c r="D948" s="13" t="s">
        <v>64</v>
      </c>
      <c r="E948" s="13" t="str">
        <f>IFERROR(INDEX('Почасовка — ставки и план'!$B$5:$B$24,MATCH(D948,'Почасовка — ставки и план'!$A$5:$A$24,0)),"Аренда техники / механизмы")</f>
        <v>Сварщик / монтажник МК</v>
      </c>
      <c r="F948" s="14">
        <v>1080</v>
      </c>
      <c r="G948" s="14">
        <v>1296</v>
      </c>
      <c r="H948" s="15">
        <v>558</v>
      </c>
      <c r="I948" s="15">
        <f>IF(OR(H948="",F948=""),"",MAX(H948,MIN(ROUND(H948*(1+Параметры!$B$5),IF(H948*(1+Параметры!$B$5)&gt;=1000,-1,0)),ROUND(F948*Параметры!$B$6,IF(F948*Параметры!$B$6&gt;=1000,-1,0)))))</f>
        <v>642</v>
      </c>
      <c r="J948" s="15">
        <v>642</v>
      </c>
      <c r="K948" s="15">
        <f>IF(OR(J948="",G948=""),"",MAX(J948,MIN(ROUND(J948*(1+Параметры!$B$5),IF(J948*(1+Параметры!$B$5)&gt;=1000,-1,0)),ROUND(G948*Параметры!$B$6,IF(G948*Параметры!$B$6&gt;=1000,-1,0)))))</f>
        <v>738</v>
      </c>
      <c r="L948" s="16">
        <v>0.9</v>
      </c>
      <c r="M948" s="17">
        <f t="shared" si="78"/>
        <v>1.1111111111111112</v>
      </c>
      <c r="N948" s="17">
        <f>IF(OR(L948="",L948=0),"",Параметры!$B$3/L948)</f>
        <v>8.8888888888888893</v>
      </c>
      <c r="O948" s="15">
        <f>IF(L948="","",IFERROR(INDEX('Почасовка — ставки и план'!$D$5:$D$24,MATCH($D948,'Почасовка — ставки и план'!$A$5:$A$24,0)),""))</f>
        <v>900</v>
      </c>
      <c r="P948" s="15">
        <f>IF(L948="","",IFERROR(INDEX('Почасовка — ставки и план'!$E$5:$E$24,MATCH($D948,'Почасовка — ставки и план'!$A$5:$A$24,0)),""))</f>
        <v>1080</v>
      </c>
      <c r="Q948" s="15">
        <f t="shared" si="79"/>
        <v>810</v>
      </c>
      <c r="R948" s="13" t="str">
        <f>IF(D948="TEX","аренда техники — сделка/счёт",IF(OR(Q948="",H948="",H948=0),"—",IF(Q948&lt;H948*(1-Параметры!$B$7),"почасовка",IF(Q948&gt;H948*(1+Параметры!$B$7),"сделка","любой способ"))))</f>
        <v>сделка</v>
      </c>
      <c r="S948">
        <v>0.2</v>
      </c>
      <c r="T948">
        <v>0.25217391304347841</v>
      </c>
    </row>
    <row r="949" spans="1:20" x14ac:dyDescent="0.25">
      <c r="A949" s="13" t="s">
        <v>1940</v>
      </c>
      <c r="B949" s="13" t="s">
        <v>1941</v>
      </c>
      <c r="C949" s="13" t="s">
        <v>69</v>
      </c>
      <c r="D949" s="13" t="s">
        <v>64</v>
      </c>
      <c r="E949" s="13" t="str">
        <f>IFERROR(INDEX('Почасовка — ставки и план'!$B$5:$B$24,MATCH(D949,'Почасовка — ставки и план'!$A$5:$A$24,0)),"Аренда техники / механизмы")</f>
        <v>Сварщик / монтажник МК</v>
      </c>
      <c r="F949" s="14">
        <v>1260</v>
      </c>
      <c r="G949" s="14">
        <v>1512</v>
      </c>
      <c r="H949" s="15">
        <v>682</v>
      </c>
      <c r="I949" s="15">
        <f>IF(OR(H949="",F949=""),"",MAX(H949,MIN(ROUND(H949*(1+Параметры!$B$5),IF(H949*(1+Параметры!$B$5)&gt;=1000,-1,0)),ROUND(F949*Параметры!$B$6,IF(F949*Параметры!$B$6&gt;=1000,-1,0)))))</f>
        <v>784</v>
      </c>
      <c r="J949" s="15">
        <v>784</v>
      </c>
      <c r="K949" s="15">
        <f>IF(OR(J949="",G949=""),"",MAX(J949,MIN(ROUND(J949*(1+Параметры!$B$5),IF(J949*(1+Параметры!$B$5)&gt;=1000,-1,0)),ROUND(G949*Параметры!$B$6,IF(G949*Параметры!$B$6&gt;=1000,-1,0)))))</f>
        <v>902</v>
      </c>
      <c r="L949" s="16">
        <v>1.05</v>
      </c>
      <c r="M949" s="17">
        <f t="shared" si="78"/>
        <v>0.95238095238095233</v>
      </c>
      <c r="N949" s="17">
        <f>IF(OR(L949="",L949=0),"",Параметры!$B$3/L949)</f>
        <v>7.6190476190476186</v>
      </c>
      <c r="O949" s="15">
        <f>IF(L949="","",IFERROR(INDEX('Почасовка — ставки и план'!$D$5:$D$24,MATCH($D949,'Почасовка — ставки и план'!$A$5:$A$24,0)),""))</f>
        <v>900</v>
      </c>
      <c r="P949" s="15">
        <f>IF(L949="","",IFERROR(INDEX('Почасовка — ставки и план'!$E$5:$E$24,MATCH($D949,'Почасовка — ставки и план'!$A$5:$A$24,0)),""))</f>
        <v>1080</v>
      </c>
      <c r="Q949" s="15">
        <f t="shared" si="79"/>
        <v>945</v>
      </c>
      <c r="R949" s="13" t="str">
        <f>IF(D949="TEX","аренда техники — сделка/счёт",IF(OR(Q949="",H949="",H949=0),"—",IF(Q949&lt;H949*(1-Параметры!$B$7),"почасовка",IF(Q949&gt;H949*(1+Параметры!$B$7),"сделка","любой способ"))))</f>
        <v>сделка</v>
      </c>
      <c r="S949">
        <v>0.1454545454545455</v>
      </c>
      <c r="T949">
        <v>0.19525691699604741</v>
      </c>
    </row>
    <row r="950" spans="1:20" x14ac:dyDescent="0.25">
      <c r="A950" s="13" t="s">
        <v>1942</v>
      </c>
      <c r="B950" s="13" t="s">
        <v>1943</v>
      </c>
      <c r="C950" s="13" t="s">
        <v>69</v>
      </c>
      <c r="D950" s="13" t="s">
        <v>64</v>
      </c>
      <c r="E950" s="13" t="str">
        <f>IFERROR(INDEX('Почасовка — ставки и план'!$B$5:$B$24,MATCH(D950,'Почасовка — ставки и план'!$A$5:$A$24,0)),"Аренда техники / механизмы")</f>
        <v>Сварщик / монтажник МК</v>
      </c>
      <c r="F950" s="14">
        <v>1500</v>
      </c>
      <c r="G950" s="14">
        <v>1800</v>
      </c>
      <c r="H950" s="15">
        <v>806</v>
      </c>
      <c r="I950" s="15">
        <f>IF(OR(H950="",F950=""),"",MAX(H950,MIN(ROUND(H950*(1+Параметры!$B$5),IF(H950*(1+Параметры!$B$5)&gt;=1000,-1,0)),ROUND(F950*Параметры!$B$6,IF(F950*Параметры!$B$6&gt;=1000,-1,0)))))</f>
        <v>927</v>
      </c>
      <c r="J950" s="15">
        <v>927</v>
      </c>
      <c r="K950" s="15">
        <f>IF(OR(J950="",G950=""),"",MAX(J950,MIN(ROUND(J950*(1+Параметры!$B$5),IF(J950*(1+Параметры!$B$5)&gt;=1000,-1,0)),ROUND(G950*Параметры!$B$6,IF(G950*Параметры!$B$6&gt;=1000,-1,0)))))</f>
        <v>1070</v>
      </c>
      <c r="L950" s="16">
        <v>1.25</v>
      </c>
      <c r="M950" s="17">
        <f t="shared" si="78"/>
        <v>0.8</v>
      </c>
      <c r="N950" s="17">
        <f>IF(OR(L950="",L950=0),"",Параметры!$B$3/L950)</f>
        <v>6.4</v>
      </c>
      <c r="O950" s="15">
        <f>IF(L950="","",IFERROR(INDEX('Почасовка — ставки и план'!$D$5:$D$24,MATCH($D950,'Почасовка — ставки и план'!$A$5:$A$24,0)),""))</f>
        <v>900</v>
      </c>
      <c r="P950" s="15">
        <f>IF(L950="","",IFERROR(INDEX('Почасовка — ставки и план'!$E$5:$E$24,MATCH($D950,'Почасовка — ставки и план'!$A$5:$A$24,0)),""))</f>
        <v>1080</v>
      </c>
      <c r="Q950" s="15">
        <f t="shared" si="79"/>
        <v>1125</v>
      </c>
      <c r="R950" s="13" t="str">
        <f>IF(D950="TEX","аренда техники — сделка/счёт",IF(OR(Q950="",H950="",H950=0),"—",IF(Q950&lt;H950*(1-Параметры!$B$7),"почасовка",IF(Q950&gt;H950*(1+Параметры!$B$7),"сделка","любой способ"))))</f>
        <v>сделка</v>
      </c>
      <c r="S950">
        <v>0.15384615384615369</v>
      </c>
      <c r="T950">
        <v>0.20401337792642149</v>
      </c>
    </row>
    <row r="951" spans="1:20" x14ac:dyDescent="0.25">
      <c r="A951" s="13" t="s">
        <v>1944</v>
      </c>
      <c r="B951" s="13" t="s">
        <v>1945</v>
      </c>
      <c r="C951" s="13" t="s">
        <v>69</v>
      </c>
      <c r="D951" s="13" t="s">
        <v>326</v>
      </c>
      <c r="E951" s="13" t="str">
        <f>IFERROR(INDEX('Почасовка — ставки и план'!$B$5:$B$24,MATCH(D951,'Почасовка — ставки и план'!$A$5:$A$24,0)),"Аренда техники / механизмы")</f>
        <v>Сантехник</v>
      </c>
      <c r="F951" s="14">
        <v>450</v>
      </c>
      <c r="G951" s="14">
        <v>518</v>
      </c>
      <c r="H951" s="15">
        <v>279</v>
      </c>
      <c r="I951" s="15">
        <f>IF(OR(H951="",F951=""),"",MAX(H951,MIN(ROUND(H951*(1+Параметры!$B$5),IF(H951*(1+Параметры!$B$5)&gt;=1000,-1,0)),ROUND(F951*Параметры!$B$6,IF(F951*Параметры!$B$6&gt;=1000,-1,0)))))</f>
        <v>321</v>
      </c>
      <c r="J951" s="15">
        <v>321</v>
      </c>
      <c r="K951" s="15">
        <f>IF(OR(J951="",G951=""),"",MAX(J951,MIN(ROUND(J951*(1+Параметры!$B$5),IF(J951*(1+Параметры!$B$5)&gt;=1000,-1,0)),ROUND(G951*Параметры!$B$6,IF(G951*Параметры!$B$6&gt;=1000,-1,0)))))</f>
        <v>369</v>
      </c>
      <c r="L951" s="16">
        <v>0.3</v>
      </c>
      <c r="M951" s="17">
        <f t="shared" si="78"/>
        <v>3.3333333333333335</v>
      </c>
      <c r="N951" s="17">
        <f>IF(OR(L951="",L951=0),"",Параметры!$B$3/L951)</f>
        <v>26.666666666666668</v>
      </c>
      <c r="O951" s="15">
        <f>IF(L951="","",IFERROR(INDEX('Почасовка — ставки и план'!$D$5:$D$24,MATCH($D951,'Почасовка — ставки и план'!$A$5:$A$24,0)),""))</f>
        <v>850</v>
      </c>
      <c r="P951" s="15">
        <f>IF(L951="","",IFERROR(INDEX('Почасовка — ставки и план'!$E$5:$E$24,MATCH($D951,'Почасовка — ставки и план'!$A$5:$A$24,0)),""))</f>
        <v>1020</v>
      </c>
      <c r="Q951" s="15">
        <f t="shared" si="79"/>
        <v>255</v>
      </c>
      <c r="R951" s="13" t="str">
        <f>IF(D951="TEX","аренда техники — сделка/счёт",IF(OR(Q951="",H951="",H951=0),"—",IF(Q951&lt;H951*(1-Параметры!$B$7),"почасовка",IF(Q951&gt;H951*(1+Параметры!$B$7),"сделка","любой способ"))))</f>
        <v>любой способ</v>
      </c>
      <c r="S951">
        <v>0</v>
      </c>
      <c r="T951">
        <v>0</v>
      </c>
    </row>
    <row r="952" spans="1:20" x14ac:dyDescent="0.25">
      <c r="A952" s="13" t="s">
        <v>1946</v>
      </c>
      <c r="B952" s="13" t="s">
        <v>1947</v>
      </c>
      <c r="C952" s="13" t="s">
        <v>69</v>
      </c>
      <c r="D952" s="13" t="s">
        <v>326</v>
      </c>
      <c r="E952" s="13" t="str">
        <f>IFERROR(INDEX('Почасовка — ставки и план'!$B$5:$B$24,MATCH(D952,'Почасовка — ставки и план'!$A$5:$A$24,0)),"Аренда техники / механизмы")</f>
        <v>Сантехник</v>
      </c>
      <c r="F952" s="14">
        <v>500</v>
      </c>
      <c r="G952" s="14">
        <v>575</v>
      </c>
      <c r="H952" s="15">
        <v>310</v>
      </c>
      <c r="I952" s="15">
        <f>IF(OR(H952="",F952=""),"",MAX(H952,MIN(ROUND(H952*(1+Параметры!$B$5),IF(H952*(1+Параметры!$B$5)&gt;=1000,-1,0)),ROUND(F952*Параметры!$B$6,IF(F952*Параметры!$B$6&gt;=1000,-1,0)))))</f>
        <v>357</v>
      </c>
      <c r="J952" s="15">
        <v>356</v>
      </c>
      <c r="K952" s="15">
        <f>IF(OR(J952="",G952=""),"",MAX(J952,MIN(ROUND(J952*(1+Параметры!$B$5),IF(J952*(1+Параметры!$B$5)&gt;=1000,-1,0)),ROUND(G952*Параметры!$B$6,IF(G952*Параметры!$B$6&gt;=1000,-1,0)))))</f>
        <v>409</v>
      </c>
      <c r="L952" s="16">
        <v>0.35</v>
      </c>
      <c r="M952" s="17">
        <f t="shared" si="78"/>
        <v>2.8571428571428572</v>
      </c>
      <c r="N952" s="17">
        <f>IF(OR(L952="",L952=0),"",Параметры!$B$3/L952)</f>
        <v>22.857142857142858</v>
      </c>
      <c r="O952" s="15">
        <f>IF(L952="","",IFERROR(INDEX('Почасовка — ставки и план'!$D$5:$D$24,MATCH($D952,'Почасовка — ставки и план'!$A$5:$A$24,0)),""))</f>
        <v>850</v>
      </c>
      <c r="P952" s="15">
        <f>IF(L952="","",IFERROR(INDEX('Почасовка — ставки и план'!$E$5:$E$24,MATCH($D952,'Почасовка — ставки и план'!$A$5:$A$24,0)),""))</f>
        <v>1020</v>
      </c>
      <c r="Q952" s="15">
        <f t="shared" si="79"/>
        <v>298</v>
      </c>
      <c r="R952" s="13" t="str">
        <f>IF(D952="TEX","аренда техники — сделка/счёт",IF(OR(Q952="",H952="",H952=0),"—",IF(Q952&lt;H952*(1-Параметры!$B$7),"почасовка",IF(Q952&gt;H952*(1+Параметры!$B$7),"сделка","любой способ"))))</f>
        <v>любой способ</v>
      </c>
      <c r="S952">
        <v>0</v>
      </c>
      <c r="T952">
        <v>0</v>
      </c>
    </row>
    <row r="953" spans="1:20" x14ac:dyDescent="0.25">
      <c r="A953" s="13" t="s">
        <v>1948</v>
      </c>
      <c r="B953" s="13" t="s">
        <v>1949</v>
      </c>
      <c r="C953" s="13" t="s">
        <v>69</v>
      </c>
      <c r="D953" s="13" t="s">
        <v>326</v>
      </c>
      <c r="E953" s="13" t="str">
        <f>IFERROR(INDEX('Почасовка — ставки и план'!$B$5:$B$24,MATCH(D953,'Почасовка — ставки и план'!$A$5:$A$24,0)),"Аренда техники / механизмы")</f>
        <v>Сантехник</v>
      </c>
      <c r="F953" s="14">
        <v>900</v>
      </c>
      <c r="G953" s="14">
        <v>1035</v>
      </c>
      <c r="H953" s="15">
        <v>558</v>
      </c>
      <c r="I953" s="15">
        <f>IF(OR(H953="",F953=""),"",MAX(H953,MIN(ROUND(H953*(1+Параметры!$B$5),IF(H953*(1+Параметры!$B$5)&gt;=1000,-1,0)),ROUND(F953*Параметры!$B$6,IF(F953*Параметры!$B$6&gt;=1000,-1,0)))))</f>
        <v>642</v>
      </c>
      <c r="J953" s="15">
        <v>642</v>
      </c>
      <c r="K953" s="15">
        <f>IF(OR(J953="",G953=""),"",MAX(J953,MIN(ROUND(J953*(1+Параметры!$B$5),IF(J953*(1+Параметры!$B$5)&gt;=1000,-1,0)),ROUND(G953*Параметры!$B$6,IF(G953*Параметры!$B$6&gt;=1000,-1,0)))))</f>
        <v>738</v>
      </c>
      <c r="L953" s="16">
        <v>0.6</v>
      </c>
      <c r="M953" s="17">
        <f t="shared" si="78"/>
        <v>1.6666666666666667</v>
      </c>
      <c r="N953" s="17">
        <f>IF(OR(L953="",L953=0),"",Параметры!$B$3/L953)</f>
        <v>13.333333333333334</v>
      </c>
      <c r="O953" s="15">
        <f>IF(L953="","",IFERROR(INDEX('Почасовка — ставки и план'!$D$5:$D$24,MATCH($D953,'Почасовка — ставки и план'!$A$5:$A$24,0)),""))</f>
        <v>850</v>
      </c>
      <c r="P953" s="15">
        <f>IF(L953="","",IFERROR(INDEX('Почасовка — ставки и план'!$E$5:$E$24,MATCH($D953,'Почасовка — ставки и план'!$A$5:$A$24,0)),""))</f>
        <v>1020</v>
      </c>
      <c r="Q953" s="15">
        <f t="shared" si="79"/>
        <v>510</v>
      </c>
      <c r="R953" s="13" t="str">
        <f>IF(D953="TEX","аренда техники — сделка/счёт",IF(OR(Q953="",H953="",H953=0),"—",IF(Q953&lt;H953*(1-Параметры!$B$7),"почасовка",IF(Q953&gt;H953*(1+Параметры!$B$7),"сделка","любой способ"))))</f>
        <v>любой способ</v>
      </c>
      <c r="S953">
        <v>0</v>
      </c>
      <c r="T953">
        <v>0</v>
      </c>
    </row>
    <row r="954" spans="1:20" x14ac:dyDescent="0.25">
      <c r="A954" s="13" t="s">
        <v>1950</v>
      </c>
      <c r="B954" s="13" t="s">
        <v>1951</v>
      </c>
      <c r="C954" s="13" t="s">
        <v>69</v>
      </c>
      <c r="D954" s="13" t="s">
        <v>326</v>
      </c>
      <c r="E954" s="13" t="str">
        <f>IFERROR(INDEX('Почасовка — ставки и план'!$B$5:$B$24,MATCH(D954,'Почасовка — ставки и план'!$A$5:$A$24,0)),"Аренда техники / механизмы")</f>
        <v>Сантехник</v>
      </c>
      <c r="F954" s="14">
        <v>1100</v>
      </c>
      <c r="G954" s="14">
        <v>1265</v>
      </c>
      <c r="H954" s="15">
        <v>682</v>
      </c>
      <c r="I954" s="15">
        <f>IF(OR(H954="",F954=""),"",MAX(H954,MIN(ROUND(H954*(1+Параметры!$B$5),IF(H954*(1+Параметры!$B$5)&gt;=1000,-1,0)),ROUND(F954*Параметры!$B$6,IF(F954*Параметры!$B$6&gt;=1000,-1,0)))))</f>
        <v>784</v>
      </c>
      <c r="J954" s="15">
        <v>784</v>
      </c>
      <c r="K954" s="15">
        <f>IF(OR(J954="",G954=""),"",MAX(J954,MIN(ROUND(J954*(1+Параметры!$B$5),IF(J954*(1+Параметры!$B$5)&gt;=1000,-1,0)),ROUND(G954*Параметры!$B$6,IF(G954*Параметры!$B$6&gt;=1000,-1,0)))))</f>
        <v>902</v>
      </c>
      <c r="L954" s="16">
        <v>0.75</v>
      </c>
      <c r="M954" s="17">
        <f t="shared" si="78"/>
        <v>1.3333333333333333</v>
      </c>
      <c r="N954" s="17">
        <f>IF(OR(L954="",L954=0),"",Параметры!$B$3/L954)</f>
        <v>10.666666666666666</v>
      </c>
      <c r="O954" s="15">
        <f>IF(L954="","",IFERROR(INDEX('Почасовка — ставки и план'!$D$5:$D$24,MATCH($D954,'Почасовка — ставки и план'!$A$5:$A$24,0)),""))</f>
        <v>850</v>
      </c>
      <c r="P954" s="15">
        <f>IF(L954="","",IFERROR(INDEX('Почасовка — ставки и план'!$E$5:$E$24,MATCH($D954,'Почасовка — ставки и план'!$A$5:$A$24,0)),""))</f>
        <v>1020</v>
      </c>
      <c r="Q954" s="15">
        <f t="shared" si="79"/>
        <v>638</v>
      </c>
      <c r="R954" s="13" t="str">
        <f>IF(D954="TEX","аренда техники — сделка/счёт",IF(OR(Q954="",H954="",H954=0),"—",IF(Q954&lt;H954*(1-Параметры!$B$7),"почасовка",IF(Q954&gt;H954*(1+Параметры!$B$7),"сделка","любой способ"))))</f>
        <v>любой способ</v>
      </c>
      <c r="S954">
        <v>0</v>
      </c>
      <c r="T954">
        <v>0</v>
      </c>
    </row>
    <row r="955" spans="1:20" x14ac:dyDescent="0.25">
      <c r="A955" s="13" t="s">
        <v>1952</v>
      </c>
      <c r="B955" s="13" t="s">
        <v>1953</v>
      </c>
      <c r="C955" s="13" t="s">
        <v>69</v>
      </c>
      <c r="D955" s="13" t="s">
        <v>326</v>
      </c>
      <c r="E955" s="13" t="str">
        <f>IFERROR(INDEX('Почасовка — ставки и план'!$B$5:$B$24,MATCH(D955,'Почасовка — ставки и план'!$A$5:$A$24,0)),"Аренда техники / механизмы")</f>
        <v>Сантехник</v>
      </c>
      <c r="F955" s="14">
        <v>350</v>
      </c>
      <c r="G955" s="14">
        <v>402</v>
      </c>
      <c r="H955" s="15">
        <v>217</v>
      </c>
      <c r="I955" s="15">
        <f>IF(OR(H955="",F955=""),"",MAX(H955,MIN(ROUND(H955*(1+Параметры!$B$5),IF(H955*(1+Параметры!$B$5)&gt;=1000,-1,0)),ROUND(F955*Параметры!$B$6,IF(F955*Параметры!$B$6&gt;=1000,-1,0)))))</f>
        <v>250</v>
      </c>
      <c r="J955" s="15">
        <v>250</v>
      </c>
      <c r="K955" s="15">
        <f>IF(OR(J955="",G955=""),"",MAX(J955,MIN(ROUND(J955*(1+Параметры!$B$5),IF(J955*(1+Параметры!$B$5)&gt;=1000,-1,0)),ROUND(G955*Параметры!$B$6,IF(G955*Параметры!$B$6&gt;=1000,-1,0)))))</f>
        <v>288</v>
      </c>
      <c r="L955" s="16">
        <v>0.25</v>
      </c>
      <c r="M955" s="17">
        <f t="shared" si="78"/>
        <v>4</v>
      </c>
      <c r="N955" s="17">
        <f>IF(OR(L955="",L955=0),"",Параметры!$B$3/L955)</f>
        <v>32</v>
      </c>
      <c r="O955" s="15">
        <f>IF(L955="","",IFERROR(INDEX('Почасовка — ставки и план'!$D$5:$D$24,MATCH($D955,'Почасовка — ставки и план'!$A$5:$A$24,0)),""))</f>
        <v>850</v>
      </c>
      <c r="P955" s="15">
        <f>IF(L955="","",IFERROR(INDEX('Почасовка — ставки и план'!$E$5:$E$24,MATCH($D955,'Почасовка — ставки и план'!$A$5:$A$24,0)),""))</f>
        <v>1020</v>
      </c>
      <c r="Q955" s="15">
        <f t="shared" si="79"/>
        <v>213</v>
      </c>
      <c r="R955" s="13" t="str">
        <f>IF(D955="TEX","аренда техники — сделка/счёт",IF(OR(Q955="",H955="",H955=0),"—",IF(Q955&lt;H955*(1-Параметры!$B$7),"почасовка",IF(Q955&gt;H955*(1+Параметры!$B$7),"сделка","любой способ"))))</f>
        <v>любой способ</v>
      </c>
      <c r="S955">
        <v>0</v>
      </c>
      <c r="T955">
        <v>0</v>
      </c>
    </row>
    <row r="956" spans="1:20" x14ac:dyDescent="0.25">
      <c r="A956" s="13" t="s">
        <v>1954</v>
      </c>
      <c r="B956" s="13" t="s">
        <v>1955</v>
      </c>
      <c r="C956" s="13" t="s">
        <v>69</v>
      </c>
      <c r="D956" s="13" t="s">
        <v>326</v>
      </c>
      <c r="E956" s="13" t="str">
        <f>IFERROR(INDEX('Почасовка — ставки и план'!$B$5:$B$24,MATCH(D956,'Почасовка — ставки и план'!$A$5:$A$24,0)),"Аренда техники / механизмы")</f>
        <v>Сантехник</v>
      </c>
      <c r="F956" s="14">
        <v>400</v>
      </c>
      <c r="G956" s="14">
        <v>460</v>
      </c>
      <c r="H956" s="15">
        <v>248</v>
      </c>
      <c r="I956" s="15">
        <f>IF(OR(H956="",F956=""),"",MAX(H956,MIN(ROUND(H956*(1+Параметры!$B$5),IF(H956*(1+Параметры!$B$5)&gt;=1000,-1,0)),ROUND(F956*Параметры!$B$6,IF(F956*Параметры!$B$6&gt;=1000,-1,0)))))</f>
        <v>285</v>
      </c>
      <c r="J956" s="15">
        <v>285</v>
      </c>
      <c r="K956" s="15">
        <f>IF(OR(J956="",G956=""),"",MAX(J956,MIN(ROUND(J956*(1+Параметры!$B$5),IF(J956*(1+Параметры!$B$5)&gt;=1000,-1,0)),ROUND(G956*Параметры!$B$6,IF(G956*Параметры!$B$6&gt;=1000,-1,0)))))</f>
        <v>328</v>
      </c>
      <c r="L956" s="16">
        <v>0.28000000000000003</v>
      </c>
      <c r="M956" s="17">
        <f t="shared" si="78"/>
        <v>3.5714285714285712</v>
      </c>
      <c r="N956" s="17">
        <f>IF(OR(L956="",L956=0),"",Параметры!$B$3/L956)</f>
        <v>28.571428571428569</v>
      </c>
      <c r="O956" s="15">
        <f>IF(L956="","",IFERROR(INDEX('Почасовка — ставки и план'!$D$5:$D$24,MATCH($D956,'Почасовка — ставки и план'!$A$5:$A$24,0)),""))</f>
        <v>850</v>
      </c>
      <c r="P956" s="15">
        <f>IF(L956="","",IFERROR(INDEX('Почасовка — ставки и план'!$E$5:$E$24,MATCH($D956,'Почасовка — ставки и план'!$A$5:$A$24,0)),""))</f>
        <v>1020</v>
      </c>
      <c r="Q956" s="15">
        <f t="shared" si="79"/>
        <v>238</v>
      </c>
      <c r="R956" s="13" t="str">
        <f>IF(D956="TEX","аренда техники — сделка/счёт",IF(OR(Q956="",H956="",H956=0),"—",IF(Q956&lt;H956*(1-Параметры!$B$7),"почасовка",IF(Q956&gt;H956*(1+Параметры!$B$7),"сделка","любой способ"))))</f>
        <v>любой способ</v>
      </c>
      <c r="S956">
        <v>0</v>
      </c>
      <c r="T956">
        <v>0</v>
      </c>
    </row>
    <row r="957" spans="1:20" x14ac:dyDescent="0.25">
      <c r="A957" s="13" t="s">
        <v>1956</v>
      </c>
      <c r="B957" s="13" t="s">
        <v>1957</v>
      </c>
      <c r="C957" s="13" t="s">
        <v>69</v>
      </c>
      <c r="D957" s="13" t="s">
        <v>326</v>
      </c>
      <c r="E957" s="13" t="str">
        <f>IFERROR(INDEX('Почасовка — ставки и план'!$B$5:$B$24,MATCH(D957,'Почасовка — ставки и план'!$A$5:$A$24,0)),"Аренда техники / механизмы")</f>
        <v>Сантехник</v>
      </c>
      <c r="F957" s="14">
        <v>550</v>
      </c>
      <c r="G957" s="14">
        <v>632</v>
      </c>
      <c r="H957" s="15">
        <v>341</v>
      </c>
      <c r="I957" s="15">
        <f>IF(OR(H957="",F957=""),"",MAX(H957,MIN(ROUND(H957*(1+Параметры!$B$5),IF(H957*(1+Параметры!$B$5)&gt;=1000,-1,0)),ROUND(F957*Параметры!$B$6,IF(F957*Параметры!$B$6&gt;=1000,-1,0)))))</f>
        <v>392</v>
      </c>
      <c r="J957" s="15">
        <v>392</v>
      </c>
      <c r="K957" s="15">
        <f>IF(OR(J957="",G957=""),"",MAX(J957,MIN(ROUND(J957*(1+Параметры!$B$5),IF(J957*(1+Параметры!$B$5)&gt;=1000,-1,0)),ROUND(G957*Параметры!$B$6,IF(G957*Параметры!$B$6&gt;=1000,-1,0)))))</f>
        <v>451</v>
      </c>
      <c r="L957" s="16">
        <v>0.4</v>
      </c>
      <c r="M957" s="17">
        <f t="shared" ref="M957:M988" si="80">IF(OR(L957="",L957=0),"",1/L957)</f>
        <v>2.5</v>
      </c>
      <c r="N957" s="17">
        <f>IF(OR(L957="",L957=0),"",Параметры!$B$3/L957)</f>
        <v>20</v>
      </c>
      <c r="O957" s="15">
        <f>IF(L957="","",IFERROR(INDEX('Почасовка — ставки и план'!$D$5:$D$24,MATCH($D957,'Почасовка — ставки и план'!$A$5:$A$24,0)),""))</f>
        <v>850</v>
      </c>
      <c r="P957" s="15">
        <f>IF(L957="","",IFERROR(INDEX('Почасовка — ставки и план'!$E$5:$E$24,MATCH($D957,'Почасовка — ставки и план'!$A$5:$A$24,0)),""))</f>
        <v>1020</v>
      </c>
      <c r="Q957" s="15">
        <f t="shared" ref="Q957:Q988" si="81">IF(OR(L957="",O957=""),"",ROUND(L957*O957,0))</f>
        <v>340</v>
      </c>
      <c r="R957" s="13" t="str">
        <f>IF(D957="TEX","аренда техники — сделка/счёт",IF(OR(Q957="",H957="",H957=0),"—",IF(Q957&lt;H957*(1-Параметры!$B$7),"почасовка",IF(Q957&gt;H957*(1+Параметры!$B$7),"сделка","любой способ"))))</f>
        <v>любой способ</v>
      </c>
      <c r="S957">
        <v>0</v>
      </c>
      <c r="T957">
        <v>0</v>
      </c>
    </row>
    <row r="958" spans="1:20" x14ac:dyDescent="0.25">
      <c r="A958" s="13" t="s">
        <v>1958</v>
      </c>
      <c r="B958" s="13" t="s">
        <v>1959</v>
      </c>
      <c r="C958" s="13" t="s">
        <v>69</v>
      </c>
      <c r="D958" s="13" t="s">
        <v>326</v>
      </c>
      <c r="E958" s="13" t="str">
        <f>IFERROR(INDEX('Почасовка — ставки и план'!$B$5:$B$24,MATCH(D958,'Почасовка — ставки и план'!$A$5:$A$24,0)),"Аренда техники / механизмы")</f>
        <v>Сантехник</v>
      </c>
      <c r="F958" s="14">
        <v>850</v>
      </c>
      <c r="G958" s="14">
        <v>977</v>
      </c>
      <c r="H958" s="15">
        <v>527</v>
      </c>
      <c r="I958" s="15">
        <f>IF(OR(H958="",F958=""),"",MAX(H958,MIN(ROUND(H958*(1+Параметры!$B$5),IF(H958*(1+Параметры!$B$5)&gt;=1000,-1,0)),ROUND(F958*Параметры!$B$6,IF(F958*Параметры!$B$6&gt;=1000,-1,0)))))</f>
        <v>606</v>
      </c>
      <c r="J958" s="15">
        <v>606</v>
      </c>
      <c r="K958" s="15">
        <f>IF(OR(J958="",G958=""),"",MAX(J958,MIN(ROUND(J958*(1+Параметры!$B$5),IF(J958*(1+Параметры!$B$5)&gt;=1000,-1,0)),ROUND(G958*Параметры!$B$6,IF(G958*Параметры!$B$6&gt;=1000,-1,0)))))</f>
        <v>697</v>
      </c>
      <c r="L958" s="16">
        <v>0.6</v>
      </c>
      <c r="M958" s="17">
        <f t="shared" si="80"/>
        <v>1.6666666666666667</v>
      </c>
      <c r="N958" s="17">
        <f>IF(OR(L958="",L958=0),"",Параметры!$B$3/L958)</f>
        <v>13.333333333333334</v>
      </c>
      <c r="O958" s="15">
        <f>IF(L958="","",IFERROR(INDEX('Почасовка — ставки и план'!$D$5:$D$24,MATCH($D958,'Почасовка — ставки и план'!$A$5:$A$24,0)),""))</f>
        <v>850</v>
      </c>
      <c r="P958" s="15">
        <f>IF(L958="","",IFERROR(INDEX('Почасовка — ставки и план'!$E$5:$E$24,MATCH($D958,'Почасовка — ставки и план'!$A$5:$A$24,0)),""))</f>
        <v>1020</v>
      </c>
      <c r="Q958" s="15">
        <f t="shared" si="81"/>
        <v>510</v>
      </c>
      <c r="R958" s="13" t="str">
        <f>IF(D958="TEX","аренда техники — сделка/счёт",IF(OR(Q958="",H958="",H958=0),"—",IF(Q958&lt;H958*(1-Параметры!$B$7),"почасовка",IF(Q958&gt;H958*(1+Параметры!$B$7),"сделка","любой способ"))))</f>
        <v>любой способ</v>
      </c>
      <c r="S958">
        <v>0</v>
      </c>
      <c r="T958">
        <v>0</v>
      </c>
    </row>
    <row r="959" spans="1:20" x14ac:dyDescent="0.25">
      <c r="A959" s="13" t="s">
        <v>1960</v>
      </c>
      <c r="B959" s="13" t="s">
        <v>1961</v>
      </c>
      <c r="C959" s="13" t="s">
        <v>69</v>
      </c>
      <c r="D959" s="13" t="s">
        <v>326</v>
      </c>
      <c r="E959" s="13" t="str">
        <f>IFERROR(INDEX('Почасовка — ставки и план'!$B$5:$B$24,MATCH(D959,'Почасовка — ставки и план'!$A$5:$A$24,0)),"Аренда техники / механизмы")</f>
        <v>Сантехник</v>
      </c>
      <c r="F959" s="14">
        <v>454</v>
      </c>
      <c r="G959" s="14">
        <v>544</v>
      </c>
      <c r="H959" s="15">
        <v>279</v>
      </c>
      <c r="I959" s="15">
        <f>IF(OR(H959="",F959=""),"",MAX(H959,MIN(ROUND(H959*(1+Параметры!$B$5),IF(H959*(1+Параметры!$B$5)&gt;=1000,-1,0)),ROUND(F959*Параметры!$B$6,IF(F959*Параметры!$B$6&gt;=1000,-1,0)))))</f>
        <v>321</v>
      </c>
      <c r="J959" s="15">
        <v>321</v>
      </c>
      <c r="K959" s="15">
        <f>IF(OR(J959="",G959=""),"",MAX(J959,MIN(ROUND(J959*(1+Параметры!$B$5),IF(J959*(1+Параметры!$B$5)&gt;=1000,-1,0)),ROUND(G959*Параметры!$B$6,IF(G959*Параметры!$B$6&gt;=1000,-1,0)))))</f>
        <v>369</v>
      </c>
      <c r="L959" s="16">
        <v>0.4</v>
      </c>
      <c r="M959" s="17">
        <f t="shared" si="80"/>
        <v>2.5</v>
      </c>
      <c r="N959" s="17">
        <f>IF(OR(L959="",L959=0),"",Параметры!$B$3/L959)</f>
        <v>20</v>
      </c>
      <c r="O959" s="15">
        <f>IF(L959="","",IFERROR(INDEX('Почасовка — ставки и план'!$D$5:$D$24,MATCH($D959,'Почасовка — ставки и план'!$A$5:$A$24,0)),""))</f>
        <v>850</v>
      </c>
      <c r="P959" s="15">
        <f>IF(L959="","",IFERROR(INDEX('Почасовка — ставки и план'!$E$5:$E$24,MATCH($D959,'Почасовка — ставки и план'!$A$5:$A$24,0)),""))</f>
        <v>1020</v>
      </c>
      <c r="Q959" s="15">
        <f t="shared" si="81"/>
        <v>340</v>
      </c>
      <c r="R959" s="13" t="str">
        <f>IF(D959="TEX","аренда техники — сделка/счёт",IF(OR(Q959="",H959="",H959=0),"—",IF(Q959&lt;H959*(1-Параметры!$B$7),"почасовка",IF(Q959&gt;H959*(1+Параметры!$B$7),"сделка","любой способ"))))</f>
        <v>сделка</v>
      </c>
      <c r="S959">
        <v>8.8888888888889461E-3</v>
      </c>
      <c r="T959">
        <v>5.0193050193050093E-2</v>
      </c>
    </row>
    <row r="960" spans="1:20" x14ac:dyDescent="0.25">
      <c r="A960" s="13" t="s">
        <v>1962</v>
      </c>
      <c r="B960" s="13" t="s">
        <v>1963</v>
      </c>
      <c r="C960" s="13" t="s">
        <v>69</v>
      </c>
      <c r="D960" s="13" t="s">
        <v>326</v>
      </c>
      <c r="E960" s="13" t="str">
        <f>IFERROR(INDEX('Почасовка — ставки и план'!$B$5:$B$24,MATCH(D960,'Почасовка — ставки и план'!$A$5:$A$24,0)),"Аренда техники / механизмы")</f>
        <v>Сантехник</v>
      </c>
      <c r="F960" s="14">
        <v>511</v>
      </c>
      <c r="G960" s="14">
        <v>612</v>
      </c>
      <c r="H960" s="15">
        <v>310</v>
      </c>
      <c r="I960" s="15">
        <f>IF(OR(H960="",F960=""),"",MAX(H960,MIN(ROUND(H960*(1+Параметры!$B$5),IF(H960*(1+Параметры!$B$5)&gt;=1000,-1,0)),ROUND(F960*Параметры!$B$6,IF(F960*Параметры!$B$6&gt;=1000,-1,0)))))</f>
        <v>357</v>
      </c>
      <c r="J960" s="15">
        <v>356</v>
      </c>
      <c r="K960" s="15">
        <f>IF(OR(J960="",G960=""),"",MAX(J960,MIN(ROUND(J960*(1+Параметры!$B$5),IF(J960*(1+Параметры!$B$5)&gt;=1000,-1,0)),ROUND(G960*Параметры!$B$6,IF(G960*Параметры!$B$6&gt;=1000,-1,0)))))</f>
        <v>409</v>
      </c>
      <c r="L960" s="16">
        <v>0.45</v>
      </c>
      <c r="M960" s="17">
        <f t="shared" si="80"/>
        <v>2.2222222222222223</v>
      </c>
      <c r="N960" s="17">
        <f>IF(OR(L960="",L960=0),"",Параметры!$B$3/L960)</f>
        <v>17.777777777777779</v>
      </c>
      <c r="O960" s="15">
        <f>IF(L960="","",IFERROR(INDEX('Почасовка — ставки и план'!$D$5:$D$24,MATCH($D960,'Почасовка — ставки и план'!$A$5:$A$24,0)),""))</f>
        <v>850</v>
      </c>
      <c r="P960" s="15">
        <f>IF(L960="","",IFERROR(INDEX('Почасовка — ставки и план'!$E$5:$E$24,MATCH($D960,'Почасовка — ставки и план'!$A$5:$A$24,0)),""))</f>
        <v>1020</v>
      </c>
      <c r="Q960" s="15">
        <f t="shared" si="81"/>
        <v>383</v>
      </c>
      <c r="R960" s="13" t="str">
        <f>IF(D960="TEX","аренда техники — сделка/счёт",IF(OR(Q960="",H960="",H960=0),"—",IF(Q960&lt;H960*(1-Параметры!$B$7),"почасовка",IF(Q960&gt;H960*(1+Параметры!$B$7),"сделка","любой способ"))))</f>
        <v>сделка</v>
      </c>
      <c r="S960">
        <v>2.200000000000002E-2</v>
      </c>
      <c r="T960">
        <v>6.434782608695655E-2</v>
      </c>
    </row>
    <row r="961" spans="1:20" x14ac:dyDescent="0.25">
      <c r="A961" s="13" t="s">
        <v>1964</v>
      </c>
      <c r="B961" s="13" t="s">
        <v>1965</v>
      </c>
      <c r="C961" s="13" t="s">
        <v>69</v>
      </c>
      <c r="D961" s="13" t="s">
        <v>326</v>
      </c>
      <c r="E961" s="13" t="str">
        <f>IFERROR(INDEX('Почасовка — ставки и план'!$B$5:$B$24,MATCH(D961,'Почасовка — ставки и план'!$A$5:$A$24,0)),"Аренда техники / механизмы")</f>
        <v>Сантехник</v>
      </c>
      <c r="F961" s="14">
        <v>590</v>
      </c>
      <c r="G961" s="14">
        <v>707</v>
      </c>
      <c r="H961" s="15">
        <v>360</v>
      </c>
      <c r="I961" s="15">
        <f>IF(OR(H961="",F961=""),"",MAX(H961,MIN(ROUND(H961*(1+Параметры!$B$5),IF(H961*(1+Параметры!$B$5)&gt;=1000,-1,0)),ROUND(F961*Параметры!$B$6,IF(F961*Параметры!$B$6&gt;=1000,-1,0)))))</f>
        <v>414</v>
      </c>
      <c r="J961" s="15">
        <v>414</v>
      </c>
      <c r="K961" s="15">
        <f>IF(OR(J961="",G961=""),"",MAX(J961,MIN(ROUND(J961*(1+Параметры!$B$5),IF(J961*(1+Параметры!$B$5)&gt;=1000,-1,0)),ROUND(G961*Параметры!$B$6,IF(G961*Параметры!$B$6&gt;=1000,-1,0)))))</f>
        <v>476</v>
      </c>
      <c r="L961" s="16">
        <v>0.52</v>
      </c>
      <c r="M961" s="17">
        <f t="shared" si="80"/>
        <v>1.9230769230769229</v>
      </c>
      <c r="N961" s="17">
        <f>IF(OR(L961="",L961=0),"",Параметры!$B$3/L961)</f>
        <v>15.384615384615383</v>
      </c>
      <c r="O961" s="15">
        <f>IF(L961="","",IFERROR(INDEX('Почасовка — ставки и план'!$D$5:$D$24,MATCH($D961,'Почасовка — ставки и план'!$A$5:$A$24,0)),""))</f>
        <v>850</v>
      </c>
      <c r="P961" s="15">
        <f>IF(L961="","",IFERROR(INDEX('Почасовка — ставки и план'!$E$5:$E$24,MATCH($D961,'Почасовка — ставки и план'!$A$5:$A$24,0)),""))</f>
        <v>1020</v>
      </c>
      <c r="Q961" s="15">
        <f t="shared" si="81"/>
        <v>442</v>
      </c>
      <c r="R961" s="13" t="str">
        <f>IF(D961="TEX","аренда техники — сделка/счёт",IF(OR(Q961="",H961="",H961=0),"—",IF(Q961&lt;H961*(1-Параметры!$B$7),"почасовка",IF(Q961&gt;H961*(1+Параметры!$B$7),"сделка","любой способ"))))</f>
        <v>сделка</v>
      </c>
      <c r="S961">
        <v>1.7241379310344751E-2</v>
      </c>
      <c r="T961">
        <v>5.9970014992503762E-2</v>
      </c>
    </row>
    <row r="962" spans="1:20" x14ac:dyDescent="0.25">
      <c r="A962" s="13" t="s">
        <v>1966</v>
      </c>
      <c r="B962" s="13" t="s">
        <v>1967</v>
      </c>
      <c r="C962" s="13" t="s">
        <v>69</v>
      </c>
      <c r="D962" s="13" t="s">
        <v>326</v>
      </c>
      <c r="E962" s="13" t="str">
        <f>IFERROR(INDEX('Почасовка — ставки и план'!$B$5:$B$24,MATCH(D962,'Почасовка — ставки и план'!$A$5:$A$24,0)),"Аренда техники / механизмы")</f>
        <v>Сантехник</v>
      </c>
      <c r="F962" s="14">
        <v>703</v>
      </c>
      <c r="G962" s="14">
        <v>843</v>
      </c>
      <c r="H962" s="15">
        <v>422</v>
      </c>
      <c r="I962" s="15">
        <f>IF(OR(H962="",F962=""),"",MAX(H962,MIN(ROUND(H962*(1+Параметры!$B$5),IF(H962*(1+Параметры!$B$5)&gt;=1000,-1,0)),ROUND(F962*Параметры!$B$6,IF(F962*Параметры!$B$6&gt;=1000,-1,0)))))</f>
        <v>485</v>
      </c>
      <c r="J962" s="15">
        <v>485</v>
      </c>
      <c r="K962" s="15">
        <f>IF(OR(J962="",G962=""),"",MAX(J962,MIN(ROUND(J962*(1+Параметры!$B$5),IF(J962*(1+Параметры!$B$5)&gt;=1000,-1,0)),ROUND(G962*Параметры!$B$6,IF(G962*Параметры!$B$6&gt;=1000,-1,0)))))</f>
        <v>558</v>
      </c>
      <c r="L962" s="16">
        <v>0.62</v>
      </c>
      <c r="M962" s="17">
        <f t="shared" si="80"/>
        <v>1.6129032258064517</v>
      </c>
      <c r="N962" s="17">
        <f>IF(OR(L962="",L962=0),"",Параметры!$B$3/L962)</f>
        <v>12.903225806451614</v>
      </c>
      <c r="O962" s="15">
        <f>IF(L962="","",IFERROR(INDEX('Почасовка — ставки и план'!$D$5:$D$24,MATCH($D962,'Почасовка — ставки и план'!$A$5:$A$24,0)),""))</f>
        <v>850</v>
      </c>
      <c r="P962" s="15">
        <f>IF(L962="","",IFERROR(INDEX('Почасовка — ставки и план'!$E$5:$E$24,MATCH($D962,'Почасовка — ставки и план'!$A$5:$A$24,0)),""))</f>
        <v>1020</v>
      </c>
      <c r="Q962" s="15">
        <f t="shared" si="81"/>
        <v>527</v>
      </c>
      <c r="R962" s="13" t="str">
        <f>IF(D962="TEX","аренда техники — сделка/счёт",IF(OR(Q962="",H962="",H962=0),"—",IF(Q962&lt;H962*(1-Параметры!$B$7),"почасовка",IF(Q962&gt;H962*(1+Параметры!$B$7),"сделка","любой способ"))))</f>
        <v>сделка</v>
      </c>
      <c r="S962">
        <v>3.3823529411764808E-2</v>
      </c>
      <c r="T962">
        <v>7.8005115089514021E-2</v>
      </c>
    </row>
    <row r="963" spans="1:20" x14ac:dyDescent="0.25">
      <c r="A963" s="13" t="s">
        <v>1968</v>
      </c>
      <c r="B963" s="13" t="s">
        <v>1969</v>
      </c>
      <c r="C963" s="13" t="s">
        <v>69</v>
      </c>
      <c r="D963" s="13" t="s">
        <v>326</v>
      </c>
      <c r="E963" s="13" t="str">
        <f>IFERROR(INDEX('Почасовка — ставки и план'!$B$5:$B$24,MATCH(D963,'Почасовка — ставки и план'!$A$5:$A$24,0)),"Аренда техники / механизмы")</f>
        <v>Сантехник</v>
      </c>
      <c r="F963" s="14">
        <v>794</v>
      </c>
      <c r="G963" s="14">
        <v>952</v>
      </c>
      <c r="H963" s="15">
        <v>484</v>
      </c>
      <c r="I963" s="15">
        <f>IF(OR(H963="",F963=""),"",MAX(H963,MIN(ROUND(H963*(1+Параметры!$B$5),IF(H963*(1+Параметры!$B$5)&gt;=1000,-1,0)),ROUND(F963*Параметры!$B$6,IF(F963*Параметры!$B$6&gt;=1000,-1,0)))))</f>
        <v>557</v>
      </c>
      <c r="J963" s="15">
        <v>556</v>
      </c>
      <c r="K963" s="15">
        <f>IF(OR(J963="",G963=""),"",MAX(J963,MIN(ROUND(J963*(1+Параметры!$B$5),IF(J963*(1+Параметры!$B$5)&gt;=1000,-1,0)),ROUND(G963*Параметры!$B$6,IF(G963*Параметры!$B$6&gt;=1000,-1,0)))))</f>
        <v>639</v>
      </c>
      <c r="L963" s="16">
        <v>0.7</v>
      </c>
      <c r="M963" s="17">
        <f t="shared" si="80"/>
        <v>1.4285714285714286</v>
      </c>
      <c r="N963" s="17">
        <f>IF(OR(L963="",L963=0),"",Параметры!$B$3/L963)</f>
        <v>11.428571428571429</v>
      </c>
      <c r="O963" s="15">
        <f>IF(L963="","",IFERROR(INDEX('Почасовка — ставки и план'!$D$5:$D$24,MATCH($D963,'Почасовка — ставки и план'!$A$5:$A$24,0)),""))</f>
        <v>850</v>
      </c>
      <c r="P963" s="15">
        <f>IF(L963="","",IFERROR(INDEX('Почасовка — ставки и план'!$E$5:$E$24,MATCH($D963,'Почасовка — ставки и план'!$A$5:$A$24,0)),""))</f>
        <v>1020</v>
      </c>
      <c r="Q963" s="15">
        <f t="shared" si="81"/>
        <v>595</v>
      </c>
      <c r="R963" s="13" t="str">
        <f>IF(D963="TEX","аренда техники — сделка/счёт",IF(OR(Q963="",H963="",H963=0),"—",IF(Q963&lt;H963*(1-Параметры!$B$7),"почасовка",IF(Q963&gt;H963*(1+Параметры!$B$7),"сделка","любой способ"))))</f>
        <v>сделка</v>
      </c>
      <c r="S963">
        <v>1.7948717948717881E-2</v>
      </c>
      <c r="T963">
        <v>6.1315496098104827E-2</v>
      </c>
    </row>
    <row r="964" spans="1:20" x14ac:dyDescent="0.25">
      <c r="A964" s="13" t="s">
        <v>1970</v>
      </c>
      <c r="B964" s="13" t="s">
        <v>1971</v>
      </c>
      <c r="C964" s="13" t="s">
        <v>69</v>
      </c>
      <c r="D964" s="13" t="s">
        <v>326</v>
      </c>
      <c r="E964" s="13" t="str">
        <f>IFERROR(INDEX('Почасовка — ставки и план'!$B$5:$B$24,MATCH(D964,'Почасовка — ставки и план'!$A$5:$A$24,0)),"Аренда техники / механизмы")</f>
        <v>Сантехник</v>
      </c>
      <c r="F964" s="14">
        <v>930</v>
      </c>
      <c r="G964" s="14">
        <v>1115</v>
      </c>
      <c r="H964" s="15">
        <v>558</v>
      </c>
      <c r="I964" s="15">
        <f>IF(OR(H964="",F964=""),"",MAX(H964,MIN(ROUND(H964*(1+Параметры!$B$5),IF(H964*(1+Параметры!$B$5)&gt;=1000,-1,0)),ROUND(F964*Параметры!$B$6,IF(F964*Параметры!$B$6&gt;=1000,-1,0)))))</f>
        <v>642</v>
      </c>
      <c r="J964" s="15">
        <v>642</v>
      </c>
      <c r="K964" s="15">
        <f>IF(OR(J964="",G964=""),"",MAX(J964,MIN(ROUND(J964*(1+Параметры!$B$5),IF(J964*(1+Параметры!$B$5)&gt;=1000,-1,0)),ROUND(G964*Параметры!$B$6,IF(G964*Параметры!$B$6&gt;=1000,-1,0)))))</f>
        <v>738</v>
      </c>
      <c r="L964" s="16">
        <v>0.82</v>
      </c>
      <c r="M964" s="17">
        <f t="shared" si="80"/>
        <v>1.2195121951219512</v>
      </c>
      <c r="N964" s="17">
        <f>IF(OR(L964="",L964=0),"",Параметры!$B$3/L964)</f>
        <v>9.7560975609756095</v>
      </c>
      <c r="O964" s="15">
        <f>IF(L964="","",IFERROR(INDEX('Почасовка — ставки и план'!$D$5:$D$24,MATCH($D964,'Почасовка — ставки и план'!$A$5:$A$24,0)),""))</f>
        <v>850</v>
      </c>
      <c r="P964" s="15">
        <f>IF(L964="","",IFERROR(INDEX('Почасовка — ставки и план'!$E$5:$E$24,MATCH($D964,'Почасовка — ставки и план'!$A$5:$A$24,0)),""))</f>
        <v>1020</v>
      </c>
      <c r="Q964" s="15">
        <f t="shared" si="81"/>
        <v>697</v>
      </c>
      <c r="R964" s="13" t="str">
        <f>IF(D964="TEX","аренда техники — сделка/счёт",IF(OR(Q964="",H964="",H964=0),"—",IF(Q964&lt;H964*(1-Параметры!$B$7),"почасовка",IF(Q964&gt;H964*(1+Параметры!$B$7),"сделка","любой способ"))))</f>
        <v>сделка</v>
      </c>
      <c r="S964">
        <v>3.3333333333333437E-2</v>
      </c>
      <c r="T964">
        <v>7.7294685990338063E-2</v>
      </c>
    </row>
    <row r="965" spans="1:20" x14ac:dyDescent="0.25">
      <c r="A965" s="13" t="s">
        <v>1972</v>
      </c>
      <c r="B965" s="13" t="s">
        <v>1973</v>
      </c>
      <c r="C965" s="13" t="s">
        <v>69</v>
      </c>
      <c r="D965" s="13" t="s">
        <v>64</v>
      </c>
      <c r="E965" s="13" t="str">
        <f>IFERROR(INDEX('Почасовка — ставки и план'!$B$5:$B$24,MATCH(D965,'Почасовка — ставки и план'!$A$5:$A$24,0)),"Аренда техники / механизмы")</f>
        <v>Сварщик / монтажник МК</v>
      </c>
      <c r="F965" s="14">
        <v>1680</v>
      </c>
      <c r="G965" s="14">
        <v>2016</v>
      </c>
      <c r="H965" s="15">
        <v>930</v>
      </c>
      <c r="I965" s="15">
        <f>IF(OR(H965="",F965=""),"",MAX(H965,MIN(ROUND(H965*(1+Параметры!$B$5),IF(H965*(1+Параметры!$B$5)&gt;=1000,-1,0)),ROUND(F965*Параметры!$B$6,IF(F965*Параметры!$B$6&gt;=1000,-1,0)))))</f>
        <v>1070</v>
      </c>
      <c r="J965" s="15">
        <v>1069</v>
      </c>
      <c r="K965" s="15">
        <f>IF(OR(J965="",G965=""),"",MAX(J965,MIN(ROUND(J965*(1+Параметры!$B$5),IF(J965*(1+Параметры!$B$5)&gt;=1000,-1,0)),ROUND(G965*Параметры!$B$6,IF(G965*Параметры!$B$6&gt;=1000,-1,0)))))</f>
        <v>1230</v>
      </c>
      <c r="L965" s="16">
        <v>1.4</v>
      </c>
      <c r="M965" s="17">
        <f t="shared" si="80"/>
        <v>0.7142857142857143</v>
      </c>
      <c r="N965" s="17">
        <f>IF(OR(L965="",L965=0),"",Параметры!$B$3/L965)</f>
        <v>5.7142857142857144</v>
      </c>
      <c r="O965" s="15">
        <f>IF(L965="","",IFERROR(INDEX('Почасовка — ставки и план'!$D$5:$D$24,MATCH($D965,'Почасовка — ставки и план'!$A$5:$A$24,0)),""))</f>
        <v>900</v>
      </c>
      <c r="P965" s="15">
        <f>IF(L965="","",IFERROR(INDEX('Почасовка — ставки и план'!$E$5:$E$24,MATCH($D965,'Почасовка — ставки и план'!$A$5:$A$24,0)),""))</f>
        <v>1080</v>
      </c>
      <c r="Q965" s="15">
        <f t="shared" si="81"/>
        <v>1260</v>
      </c>
      <c r="R965" s="13" t="str">
        <f>IF(D965="TEX","аренда техники — сделка/счёт",IF(OR(Q965="",H965="",H965=0),"—",IF(Q965&lt;H965*(1-Параметры!$B$7),"почасовка",IF(Q965&gt;H965*(1+Параметры!$B$7),"сделка","любой способ"))))</f>
        <v>сделка</v>
      </c>
      <c r="S965">
        <v>0.12000000000000011</v>
      </c>
      <c r="T965">
        <v>0.16869565217391311</v>
      </c>
    </row>
    <row r="966" spans="1:20" x14ac:dyDescent="0.25">
      <c r="A966" s="13" t="s">
        <v>1974</v>
      </c>
      <c r="B966" s="13" t="s">
        <v>1975</v>
      </c>
      <c r="C966" s="13" t="s">
        <v>69</v>
      </c>
      <c r="D966" s="13" t="s">
        <v>64</v>
      </c>
      <c r="E966" s="13" t="str">
        <f>IFERROR(INDEX('Почасовка — ставки и план'!$B$5:$B$24,MATCH(D966,'Почасовка — ставки и план'!$A$5:$A$24,0)),"Аренда техники / механизмы")</f>
        <v>Сварщик / монтажник МК</v>
      </c>
      <c r="F966" s="14">
        <v>1800</v>
      </c>
      <c r="G966" s="14">
        <v>2160</v>
      </c>
      <c r="H966" s="15">
        <v>992</v>
      </c>
      <c r="I966" s="15">
        <f>IF(OR(H966="",F966=""),"",MAX(H966,MIN(ROUND(H966*(1+Параметры!$B$5),IF(H966*(1+Параметры!$B$5)&gt;=1000,-1,0)),ROUND(F966*Параметры!$B$6,IF(F966*Параметры!$B$6&gt;=1000,-1,0)))))</f>
        <v>1140</v>
      </c>
      <c r="J966" s="15">
        <v>1141</v>
      </c>
      <c r="K966" s="15">
        <f>IF(OR(J966="",G966=""),"",MAX(J966,MIN(ROUND(J966*(1+Параметры!$B$5),IF(J966*(1+Параметры!$B$5)&gt;=1000,-1,0)),ROUND(G966*Параметры!$B$6,IF(G966*Параметры!$B$6&gt;=1000,-1,0)))))</f>
        <v>1310</v>
      </c>
      <c r="L966" s="16">
        <v>1.5</v>
      </c>
      <c r="M966" s="17">
        <f t="shared" si="80"/>
        <v>0.66666666666666663</v>
      </c>
      <c r="N966" s="17">
        <f>IF(OR(L966="",L966=0),"",Параметры!$B$3/L966)</f>
        <v>5.333333333333333</v>
      </c>
      <c r="O966" s="15">
        <f>IF(L966="","",IFERROR(INDEX('Почасовка — ставки и план'!$D$5:$D$24,MATCH($D966,'Почасовка — ставки и план'!$A$5:$A$24,0)),""))</f>
        <v>900</v>
      </c>
      <c r="P966" s="15">
        <f>IF(L966="","",IFERROR(INDEX('Почасовка — ставки и план'!$E$5:$E$24,MATCH($D966,'Почасовка — ставки и план'!$A$5:$A$24,0)),""))</f>
        <v>1080</v>
      </c>
      <c r="Q966" s="15">
        <f t="shared" si="81"/>
        <v>1350</v>
      </c>
      <c r="R966" s="13" t="str">
        <f>IF(D966="TEX","аренда техники — сделка/счёт",IF(OR(Q966="",H966="",H966=0),"—",IF(Q966&lt;H966*(1-Параметры!$B$7),"почасовка",IF(Q966&gt;H966*(1+Параметры!$B$7),"сделка","любой способ"))))</f>
        <v>сделка</v>
      </c>
      <c r="S966">
        <v>0.125</v>
      </c>
      <c r="T966">
        <v>0.173913043478261</v>
      </c>
    </row>
    <row r="967" spans="1:20" x14ac:dyDescent="0.25">
      <c r="A967" s="13" t="s">
        <v>1976</v>
      </c>
      <c r="B967" s="13" t="s">
        <v>1977</v>
      </c>
      <c r="C967" s="13" t="s">
        <v>69</v>
      </c>
      <c r="D967" s="13" t="s">
        <v>64</v>
      </c>
      <c r="E967" s="13" t="str">
        <f>IFERROR(INDEX('Почасовка — ставки и план'!$B$5:$B$24,MATCH(D967,'Почасовка — ставки и план'!$A$5:$A$24,0)),"Аренда техники / механизмы")</f>
        <v>Сварщик / монтажник МК</v>
      </c>
      <c r="F967" s="14">
        <v>2340</v>
      </c>
      <c r="G967" s="14">
        <v>2808</v>
      </c>
      <c r="H967" s="15">
        <v>1302</v>
      </c>
      <c r="I967" s="15">
        <f>IF(OR(H967="",F967=""),"",MAX(H967,MIN(ROUND(H967*(1+Параметры!$B$5),IF(H967*(1+Параметры!$B$5)&gt;=1000,-1,0)),ROUND(F967*Параметры!$B$6,IF(F967*Параметры!$B$6&gt;=1000,-1,0)))))</f>
        <v>1500</v>
      </c>
      <c r="J967" s="15">
        <v>1497</v>
      </c>
      <c r="K967" s="15">
        <f>IF(OR(J967="",G967=""),"",MAX(J967,MIN(ROUND(J967*(1+Параметры!$B$5),IF(J967*(1+Параметры!$B$5)&gt;=1000,-1,0)),ROUND(G967*Параметры!$B$6,IF(G967*Параметры!$B$6&gt;=1000,-1,0)))))</f>
        <v>1720</v>
      </c>
      <c r="L967" s="16">
        <v>1.95</v>
      </c>
      <c r="M967" s="17">
        <f t="shared" si="80"/>
        <v>0.51282051282051289</v>
      </c>
      <c r="N967" s="17">
        <f>IF(OR(L967="",L967=0),"",Параметры!$B$3/L967)</f>
        <v>4.1025641025641031</v>
      </c>
      <c r="O967" s="15">
        <f>IF(L967="","",IFERROR(INDEX('Почасовка — ставки и план'!$D$5:$D$24,MATCH($D967,'Почасовка — ставки и план'!$A$5:$A$24,0)),""))</f>
        <v>900</v>
      </c>
      <c r="P967" s="15">
        <f>IF(L967="","",IFERROR(INDEX('Почасовка — ставки и план'!$E$5:$E$24,MATCH($D967,'Почасовка — ставки и план'!$A$5:$A$24,0)),""))</f>
        <v>1080</v>
      </c>
      <c r="Q967" s="15">
        <f t="shared" si="81"/>
        <v>1755</v>
      </c>
      <c r="R967" s="13" t="str">
        <f>IF(D967="TEX","аренда техники — сделка/счёт",IF(OR(Q967="",H967="",H967=0),"—",IF(Q967&lt;H967*(1-Параметры!$B$7),"почасовка",IF(Q967&gt;H967*(1+Параметры!$B$7),"сделка","любой способ"))))</f>
        <v>сделка</v>
      </c>
      <c r="S967">
        <v>0.1142857142857143</v>
      </c>
      <c r="T967">
        <v>0.16273291925465849</v>
      </c>
    </row>
    <row r="968" spans="1:20" x14ac:dyDescent="0.25">
      <c r="A968" s="13" t="s">
        <v>1978</v>
      </c>
      <c r="B968" s="13" t="s">
        <v>1979</v>
      </c>
      <c r="C968" s="13" t="s">
        <v>69</v>
      </c>
      <c r="D968" s="13" t="s">
        <v>64</v>
      </c>
      <c r="E968" s="13" t="str">
        <f>IFERROR(INDEX('Почасовка — ставки и план'!$B$5:$B$24,MATCH(D968,'Почасовка — ставки и план'!$A$5:$A$24,0)),"Аренда техники / механизмы")</f>
        <v>Сварщик / монтажник МК</v>
      </c>
      <c r="F968" s="14">
        <v>2760</v>
      </c>
      <c r="G968" s="14">
        <v>3312</v>
      </c>
      <c r="H968" s="15">
        <v>1550</v>
      </c>
      <c r="I968" s="15">
        <f>IF(OR(H968="",F968=""),"",MAX(H968,MIN(ROUND(H968*(1+Параметры!$B$5),IF(H968*(1+Параметры!$B$5)&gt;=1000,-1,0)),ROUND(F968*Параметры!$B$6,IF(F968*Параметры!$B$6&gt;=1000,-1,0)))))</f>
        <v>1780</v>
      </c>
      <c r="J968" s="15">
        <v>1782</v>
      </c>
      <c r="K968" s="15">
        <f>IF(OR(J968="",G968=""),"",MAX(J968,MIN(ROUND(J968*(1+Параметры!$B$5),IF(J968*(1+Параметры!$B$5)&gt;=1000,-1,0)),ROUND(G968*Параметры!$B$6,IF(G968*Параметры!$B$6&gt;=1000,-1,0)))))</f>
        <v>2050</v>
      </c>
      <c r="L968" s="16">
        <v>2.2999999999999998</v>
      </c>
      <c r="M968" s="17">
        <f t="shared" si="80"/>
        <v>0.43478260869565222</v>
      </c>
      <c r="N968" s="17">
        <f>IF(OR(L968="",L968=0),"",Параметры!$B$3/L968)</f>
        <v>3.4782608695652177</v>
      </c>
      <c r="O968" s="15">
        <f>IF(L968="","",IFERROR(INDEX('Почасовка — ставки и план'!$D$5:$D$24,MATCH($D968,'Почасовка — ставки и план'!$A$5:$A$24,0)),""))</f>
        <v>900</v>
      </c>
      <c r="P968" s="15">
        <f>IF(L968="","",IFERROR(INDEX('Почасовка — ставки и план'!$E$5:$E$24,MATCH($D968,'Почасовка — ставки и план'!$A$5:$A$24,0)),""))</f>
        <v>1080</v>
      </c>
      <c r="Q968" s="15">
        <f t="shared" si="81"/>
        <v>2070</v>
      </c>
      <c r="R968" s="13" t="str">
        <f>IF(D968="TEX","аренда техники — сделка/счёт",IF(OR(Q968="",H968="",H968=0),"—",IF(Q968&lt;H968*(1-Параметры!$B$7),"почасовка",IF(Q968&gt;H968*(1+Параметры!$B$7),"сделка","любой способ"))))</f>
        <v>сделка</v>
      </c>
      <c r="S968">
        <v>0.10400000000000011</v>
      </c>
      <c r="T968">
        <v>0.15199999999999991</v>
      </c>
    </row>
    <row r="969" spans="1:20" x14ac:dyDescent="0.25">
      <c r="A969" s="13" t="s">
        <v>1980</v>
      </c>
      <c r="B969" s="13" t="s">
        <v>1981</v>
      </c>
      <c r="C969" s="13" t="s">
        <v>69</v>
      </c>
      <c r="D969" s="13" t="s">
        <v>64</v>
      </c>
      <c r="E969" s="13" t="str">
        <f>IFERROR(INDEX('Почасовка — ставки и план'!$B$5:$B$24,MATCH(D969,'Почасовка — ставки и план'!$A$5:$A$24,0)),"Аренда техники / механизмы")</f>
        <v>Сварщик / монтажник МК</v>
      </c>
      <c r="F969" s="14">
        <v>780</v>
      </c>
      <c r="G969" s="14">
        <v>936</v>
      </c>
      <c r="H969" s="15">
        <v>434</v>
      </c>
      <c r="I969" s="15">
        <f>IF(OR(H969="",F969=""),"",MAX(H969,MIN(ROUND(H969*(1+Параметры!$B$5),IF(H969*(1+Параметры!$B$5)&gt;=1000,-1,0)),ROUND(F969*Параметры!$B$6,IF(F969*Параметры!$B$6&gt;=1000,-1,0)))))</f>
        <v>499</v>
      </c>
      <c r="J969" s="15">
        <v>499</v>
      </c>
      <c r="K969" s="15">
        <f>IF(OR(J969="",G969=""),"",MAX(J969,MIN(ROUND(J969*(1+Параметры!$B$5),IF(J969*(1+Параметры!$B$5)&gt;=1000,-1,0)),ROUND(G969*Параметры!$B$6,IF(G969*Параметры!$B$6&gt;=1000,-1,0)))))</f>
        <v>574</v>
      </c>
      <c r="L969" s="16">
        <v>0.65</v>
      </c>
      <c r="M969" s="17">
        <f t="shared" si="80"/>
        <v>1.5384615384615383</v>
      </c>
      <c r="N969" s="17">
        <f>IF(OR(L969="",L969=0),"",Параметры!$B$3/L969)</f>
        <v>12.307692307692307</v>
      </c>
      <c r="O969" s="15">
        <f>IF(L969="","",IFERROR(INDEX('Почасовка — ставки и план'!$D$5:$D$24,MATCH($D969,'Почасовка — ставки и план'!$A$5:$A$24,0)),""))</f>
        <v>900</v>
      </c>
      <c r="P969" s="15">
        <f>IF(L969="","",IFERROR(INDEX('Почасовка — ставки и план'!$E$5:$E$24,MATCH($D969,'Почасовка — ставки и план'!$A$5:$A$24,0)),""))</f>
        <v>1080</v>
      </c>
      <c r="Q969" s="15">
        <f t="shared" si="81"/>
        <v>585</v>
      </c>
      <c r="R969" s="13" t="str">
        <f>IF(D969="TEX","аренда техники — сделка/счёт",IF(OR(Q969="",H969="",H969=0),"—",IF(Q969&lt;H969*(1-Параметры!$B$7),"почасовка",IF(Q969&gt;H969*(1+Параметры!$B$7),"сделка","любой способ"))))</f>
        <v>сделка</v>
      </c>
      <c r="S969">
        <v>0.1142857142857143</v>
      </c>
      <c r="T969">
        <v>0.16273291925465849</v>
      </c>
    </row>
    <row r="970" spans="1:20" x14ac:dyDescent="0.25">
      <c r="A970" s="13" t="s">
        <v>1982</v>
      </c>
      <c r="B970" s="13" t="s">
        <v>1983</v>
      </c>
      <c r="C970" s="13" t="s">
        <v>69</v>
      </c>
      <c r="D970" s="13" t="s">
        <v>64</v>
      </c>
      <c r="E970" s="13" t="str">
        <f>IFERROR(INDEX('Почасовка — ставки и план'!$B$5:$B$24,MATCH(D970,'Почасовка — ставки и план'!$A$5:$A$24,0)),"Аренда техники / механизмы")</f>
        <v>Сварщик / монтажник МК</v>
      </c>
      <c r="F970" s="14">
        <v>864</v>
      </c>
      <c r="G970" s="14">
        <v>1038</v>
      </c>
      <c r="H970" s="15">
        <v>484</v>
      </c>
      <c r="I970" s="15">
        <f>IF(OR(H970="",F970=""),"",MAX(H970,MIN(ROUND(H970*(1+Параметры!$B$5),IF(H970*(1+Параметры!$B$5)&gt;=1000,-1,0)),ROUND(F970*Параметры!$B$6,IF(F970*Параметры!$B$6&gt;=1000,-1,0)))))</f>
        <v>557</v>
      </c>
      <c r="J970" s="15">
        <v>556</v>
      </c>
      <c r="K970" s="15">
        <f>IF(OR(J970="",G970=""),"",MAX(J970,MIN(ROUND(J970*(1+Параметры!$B$5),IF(J970*(1+Параметры!$B$5)&gt;=1000,-1,0)),ROUND(G970*Параметры!$B$6,IF(G970*Параметры!$B$6&gt;=1000,-1,0)))))</f>
        <v>639</v>
      </c>
      <c r="L970" s="16">
        <v>0.72</v>
      </c>
      <c r="M970" s="17">
        <f t="shared" si="80"/>
        <v>1.3888888888888888</v>
      </c>
      <c r="N970" s="17">
        <f>IF(OR(L970="",L970=0),"",Параметры!$B$3/L970)</f>
        <v>11.111111111111111</v>
      </c>
      <c r="O970" s="15">
        <f>IF(L970="","",IFERROR(INDEX('Почасовка — ставки и план'!$D$5:$D$24,MATCH($D970,'Почасовка — ставки и план'!$A$5:$A$24,0)),""))</f>
        <v>900</v>
      </c>
      <c r="P970" s="15">
        <f>IF(L970="","",IFERROR(INDEX('Почасовка — ставки и план'!$E$5:$E$24,MATCH($D970,'Почасовка — ставки и план'!$A$5:$A$24,0)),""))</f>
        <v>1080</v>
      </c>
      <c r="Q970" s="15">
        <f t="shared" si="81"/>
        <v>648</v>
      </c>
      <c r="R970" s="13" t="str">
        <f>IF(D970="TEX","аренда техники — сделка/счёт",IF(OR(Q970="",H970="",H970=0),"—",IF(Q970&lt;H970*(1-Параметры!$B$7),"почасовка",IF(Q970&gt;H970*(1+Параметры!$B$7),"сделка","любой способ"))))</f>
        <v>сделка</v>
      </c>
      <c r="S970">
        <v>0.1076923076923078</v>
      </c>
      <c r="T970">
        <v>0.15719063545150491</v>
      </c>
    </row>
    <row r="971" spans="1:20" x14ac:dyDescent="0.25">
      <c r="A971" s="13" t="s">
        <v>1984</v>
      </c>
      <c r="B971" s="13" t="s">
        <v>1985</v>
      </c>
      <c r="C971" s="13" t="s">
        <v>69</v>
      </c>
      <c r="D971" s="13" t="s">
        <v>64</v>
      </c>
      <c r="E971" s="13" t="str">
        <f>IFERROR(INDEX('Почасовка — ставки и план'!$B$5:$B$24,MATCH(D971,'Почасовка — ставки и план'!$A$5:$A$24,0)),"Аренда техники / механизмы")</f>
        <v>Сварщик / монтажник МК</v>
      </c>
      <c r="F971" s="14">
        <v>1080</v>
      </c>
      <c r="G971" s="14">
        <v>1296</v>
      </c>
      <c r="H971" s="15">
        <v>558</v>
      </c>
      <c r="I971" s="15">
        <f>IF(OR(H971="",F971=""),"",MAX(H971,MIN(ROUND(H971*(1+Параметры!$B$5),IF(H971*(1+Параметры!$B$5)&gt;=1000,-1,0)),ROUND(F971*Параметры!$B$6,IF(F971*Параметры!$B$6&gt;=1000,-1,0)))))</f>
        <v>642</v>
      </c>
      <c r="J971" s="15">
        <v>642</v>
      </c>
      <c r="K971" s="15">
        <f>IF(OR(J971="",G971=""),"",MAX(J971,MIN(ROUND(J971*(1+Параметры!$B$5),IF(J971*(1+Параметры!$B$5)&gt;=1000,-1,0)),ROUND(G971*Параметры!$B$6,IF(G971*Параметры!$B$6&gt;=1000,-1,0)))))</f>
        <v>738</v>
      </c>
      <c r="L971" s="16">
        <v>0.9</v>
      </c>
      <c r="M971" s="17">
        <f t="shared" si="80"/>
        <v>1.1111111111111112</v>
      </c>
      <c r="N971" s="17">
        <f>IF(OR(L971="",L971=0),"",Параметры!$B$3/L971)</f>
        <v>8.8888888888888893</v>
      </c>
      <c r="O971" s="15">
        <f>IF(L971="","",IFERROR(INDEX('Почасовка — ставки и план'!$D$5:$D$24,MATCH($D971,'Почасовка — ставки и план'!$A$5:$A$24,0)),""))</f>
        <v>900</v>
      </c>
      <c r="P971" s="15">
        <f>IF(L971="","",IFERROR(INDEX('Почасовка — ставки и план'!$E$5:$E$24,MATCH($D971,'Почасовка — ставки и план'!$A$5:$A$24,0)),""))</f>
        <v>1080</v>
      </c>
      <c r="Q971" s="15">
        <f t="shared" si="81"/>
        <v>810</v>
      </c>
      <c r="R971" s="13" t="str">
        <f>IF(D971="TEX","аренда техники — сделка/счёт",IF(OR(Q971="",H971="",H971=0),"—",IF(Q971&lt;H971*(1-Параметры!$B$7),"почасовка",IF(Q971&gt;H971*(1+Параметры!$B$7),"сделка","любой способ"))))</f>
        <v>сделка</v>
      </c>
      <c r="S971">
        <v>0.2</v>
      </c>
      <c r="T971">
        <v>0.25217391304347841</v>
      </c>
    </row>
    <row r="972" spans="1:20" x14ac:dyDescent="0.25">
      <c r="A972" s="13" t="s">
        <v>1986</v>
      </c>
      <c r="B972" s="13" t="s">
        <v>1987</v>
      </c>
      <c r="C972" s="13" t="s">
        <v>69</v>
      </c>
      <c r="D972" s="13" t="s">
        <v>64</v>
      </c>
      <c r="E972" s="13" t="str">
        <f>IFERROR(INDEX('Почасовка — ставки и план'!$B$5:$B$24,MATCH(D972,'Почасовка — ставки и план'!$A$5:$A$24,0)),"Аренда техники / механизмы")</f>
        <v>Сварщик / монтажник МК</v>
      </c>
      <c r="F972" s="14">
        <v>1320</v>
      </c>
      <c r="G972" s="14">
        <v>1584</v>
      </c>
      <c r="H972" s="15">
        <v>713</v>
      </c>
      <c r="I972" s="15">
        <f>IF(OR(H972="",F972=""),"",MAX(H972,MIN(ROUND(H972*(1+Параметры!$B$5),IF(H972*(1+Параметры!$B$5)&gt;=1000,-1,0)),ROUND(F972*Параметры!$B$6,IF(F972*Параметры!$B$6&gt;=1000,-1,0)))))</f>
        <v>820</v>
      </c>
      <c r="J972" s="15">
        <v>820</v>
      </c>
      <c r="K972" s="15">
        <f>IF(OR(J972="",G972=""),"",MAX(J972,MIN(ROUND(J972*(1+Параметры!$B$5),IF(J972*(1+Параметры!$B$5)&gt;=1000,-1,0)),ROUND(G972*Параметры!$B$6,IF(G972*Параметры!$B$6&gt;=1000,-1,0)))))</f>
        <v>943</v>
      </c>
      <c r="L972" s="16">
        <v>1.1000000000000001</v>
      </c>
      <c r="M972" s="17">
        <f t="shared" si="80"/>
        <v>0.90909090909090906</v>
      </c>
      <c r="N972" s="17">
        <f>IF(OR(L972="",L972=0),"",Параметры!$B$3/L972)</f>
        <v>7.2727272727272725</v>
      </c>
      <c r="O972" s="15">
        <f>IF(L972="","",IFERROR(INDEX('Почасовка — ставки и план'!$D$5:$D$24,MATCH($D972,'Почасовка — ставки и план'!$A$5:$A$24,0)),""))</f>
        <v>900</v>
      </c>
      <c r="P972" s="15">
        <f>IF(L972="","",IFERROR(INDEX('Почасовка — ставки и план'!$E$5:$E$24,MATCH($D972,'Почасовка — ставки и план'!$A$5:$A$24,0)),""))</f>
        <v>1080</v>
      </c>
      <c r="Q972" s="15">
        <f t="shared" si="81"/>
        <v>990</v>
      </c>
      <c r="R972" s="13" t="str">
        <f>IF(D972="TEX","аренда техники — сделка/счёт",IF(OR(Q972="",H972="",H972=0),"—",IF(Q972&lt;H972*(1-Параметры!$B$7),"почасовка",IF(Q972&gt;H972*(1+Параметры!$B$7),"сделка","любой способ"))))</f>
        <v>сделка</v>
      </c>
      <c r="S972">
        <v>0.1478260869565218</v>
      </c>
      <c r="T972">
        <v>0.1981845688350983</v>
      </c>
    </row>
    <row r="973" spans="1:20" x14ac:dyDescent="0.25">
      <c r="A973" s="13" t="s">
        <v>1988</v>
      </c>
      <c r="B973" s="13" t="s">
        <v>1989</v>
      </c>
      <c r="C973" s="13" t="s">
        <v>144</v>
      </c>
      <c r="D973" s="13" t="s">
        <v>326</v>
      </c>
      <c r="E973" s="13" t="str">
        <f>IFERROR(INDEX('Почасовка — ставки и план'!$B$5:$B$24,MATCH(D973,'Почасовка — ставки и план'!$A$5:$A$24,0)),"Аренда техники / механизмы")</f>
        <v>Сантехник</v>
      </c>
      <c r="F973" s="14">
        <v>2000</v>
      </c>
      <c r="G973" s="14">
        <v>2300</v>
      </c>
      <c r="H973" s="15">
        <v>1240</v>
      </c>
      <c r="I973" s="15">
        <f>IF(OR(H973="",F973=""),"",MAX(H973,MIN(ROUND(H973*(1+Параметры!$B$5),IF(H973*(1+Параметры!$B$5)&gt;=1000,-1,0)),ROUND(F973*Параметры!$B$6,IF(F973*Параметры!$B$6&gt;=1000,-1,0)))))</f>
        <v>1430</v>
      </c>
      <c r="J973" s="15">
        <v>1426</v>
      </c>
      <c r="K973" s="15">
        <f>IF(OR(J973="",G973=""),"",MAX(J973,MIN(ROUND(J973*(1+Параметры!$B$5),IF(J973*(1+Параметры!$B$5)&gt;=1000,-1,0)),ROUND(G973*Параметры!$B$6,IF(G973*Параметры!$B$6&gt;=1000,-1,0)))))</f>
        <v>1640</v>
      </c>
      <c r="L973" s="16">
        <v>1.5</v>
      </c>
      <c r="M973" s="17">
        <f t="shared" si="80"/>
        <v>0.66666666666666663</v>
      </c>
      <c r="N973" s="17">
        <f>IF(OR(L973="",L973=0),"",Параметры!$B$3/L973)</f>
        <v>5.333333333333333</v>
      </c>
      <c r="O973" s="15">
        <f>IF(L973="","",IFERROR(INDEX('Почасовка — ставки и план'!$D$5:$D$24,MATCH($D973,'Почасовка — ставки и план'!$A$5:$A$24,0)),""))</f>
        <v>850</v>
      </c>
      <c r="P973" s="15">
        <f>IF(L973="","",IFERROR(INDEX('Почасовка — ставки и план'!$E$5:$E$24,MATCH($D973,'Почасовка — ставки и план'!$A$5:$A$24,0)),""))</f>
        <v>1020</v>
      </c>
      <c r="Q973" s="15">
        <f t="shared" si="81"/>
        <v>1275</v>
      </c>
      <c r="R973" s="13" t="str">
        <f>IF(D973="TEX","аренда техники — сделка/счёт",IF(OR(Q973="",H973="",H973=0),"—",IF(Q973&lt;H973*(1-Параметры!$B$7),"почасовка",IF(Q973&gt;H973*(1+Параметры!$B$7),"сделка","любой способ"))))</f>
        <v>любой способ</v>
      </c>
      <c r="S973">
        <v>0</v>
      </c>
      <c r="T973">
        <v>0</v>
      </c>
    </row>
    <row r="974" spans="1:20" x14ac:dyDescent="0.25">
      <c r="A974" s="13" t="s">
        <v>1990</v>
      </c>
      <c r="B974" s="13" t="s">
        <v>1991</v>
      </c>
      <c r="C974" s="13" t="s">
        <v>55</v>
      </c>
      <c r="D974" s="13" t="s">
        <v>326</v>
      </c>
      <c r="E974" s="13" t="str">
        <f>IFERROR(INDEX('Почасовка — ставки и план'!$B$5:$B$24,MATCH(D974,'Почасовка — ставки и план'!$A$5:$A$24,0)),"Аренда техники / механизмы")</f>
        <v>Сантехник</v>
      </c>
      <c r="F974" s="14">
        <v>250</v>
      </c>
      <c r="G974" s="14">
        <v>288</v>
      </c>
      <c r="H974" s="15">
        <v>155</v>
      </c>
      <c r="I974" s="15">
        <f>IF(OR(H974="",F974=""),"",MAX(H974,MIN(ROUND(H974*(1+Параметры!$B$5),IF(H974*(1+Параметры!$B$5)&gt;=1000,-1,0)),ROUND(F974*Параметры!$B$6,IF(F974*Параметры!$B$6&gt;=1000,-1,0)))))</f>
        <v>178</v>
      </c>
      <c r="J974" s="15">
        <v>178</v>
      </c>
      <c r="K974" s="15">
        <f>IF(OR(J974="",G974=""),"",MAX(J974,MIN(ROUND(J974*(1+Параметры!$B$5),IF(J974*(1+Параметры!$B$5)&gt;=1000,-1,0)),ROUND(G974*Параметры!$B$6,IF(G974*Параметры!$B$6&gt;=1000,-1,0)))))</f>
        <v>205</v>
      </c>
      <c r="L974" s="16">
        <v>0.15</v>
      </c>
      <c r="M974" s="17">
        <f t="shared" si="80"/>
        <v>6.666666666666667</v>
      </c>
      <c r="N974" s="17">
        <f>IF(OR(L974="",L974=0),"",Параметры!$B$3/L974)</f>
        <v>53.333333333333336</v>
      </c>
      <c r="O974" s="15">
        <f>IF(L974="","",IFERROR(INDEX('Почасовка — ставки и план'!$D$5:$D$24,MATCH($D974,'Почасовка — ставки и план'!$A$5:$A$24,0)),""))</f>
        <v>850</v>
      </c>
      <c r="P974" s="15">
        <f>IF(L974="","",IFERROR(INDEX('Почасовка — ставки и план'!$E$5:$E$24,MATCH($D974,'Почасовка — ставки и план'!$A$5:$A$24,0)),""))</f>
        <v>1020</v>
      </c>
      <c r="Q974" s="15">
        <f t="shared" si="81"/>
        <v>128</v>
      </c>
      <c r="R974" s="13" t="str">
        <f>IF(D974="TEX","аренда техники — сделка/счёт",IF(OR(Q974="",H974="",H974=0),"—",IF(Q974&lt;H974*(1-Параметры!$B$7),"почасовка",IF(Q974&gt;H974*(1+Параметры!$B$7),"сделка","любой способ"))))</f>
        <v>почасовка</v>
      </c>
      <c r="S974">
        <v>0</v>
      </c>
      <c r="T974">
        <v>0</v>
      </c>
    </row>
    <row r="975" spans="1:20" x14ac:dyDescent="0.25">
      <c r="A975" s="13" t="s">
        <v>1992</v>
      </c>
      <c r="B975" s="13" t="s">
        <v>1993</v>
      </c>
      <c r="C975" s="13" t="s">
        <v>144</v>
      </c>
      <c r="D975" s="13" t="s">
        <v>326</v>
      </c>
      <c r="E975" s="13" t="str">
        <f>IFERROR(INDEX('Почасовка — ставки и план'!$B$5:$B$24,MATCH(D975,'Почасовка — ставки и план'!$A$5:$A$24,0)),"Аренда техники / механизмы")</f>
        <v>Сантехник</v>
      </c>
      <c r="F975" s="14">
        <v>2500</v>
      </c>
      <c r="G975" s="14">
        <v>2875</v>
      </c>
      <c r="H975" s="15">
        <v>1550</v>
      </c>
      <c r="I975" s="15">
        <f>IF(OR(H975="",F975=""),"",MAX(H975,MIN(ROUND(H975*(1+Параметры!$B$5),IF(H975*(1+Параметры!$B$5)&gt;=1000,-1,0)),ROUND(F975*Параметры!$B$6,IF(F975*Параметры!$B$6&gt;=1000,-1,0)))))</f>
        <v>1780</v>
      </c>
      <c r="J975" s="15">
        <v>1782</v>
      </c>
      <c r="K975" s="15">
        <f>IF(OR(J975="",G975=""),"",MAX(J975,MIN(ROUND(J975*(1+Параметры!$B$5),IF(J975*(1+Параметры!$B$5)&gt;=1000,-1,0)),ROUND(G975*Параметры!$B$6,IF(G975*Параметры!$B$6&gt;=1000,-1,0)))))</f>
        <v>2050</v>
      </c>
      <c r="L975" s="16">
        <v>1.5</v>
      </c>
      <c r="M975" s="17">
        <f t="shared" si="80"/>
        <v>0.66666666666666663</v>
      </c>
      <c r="N975" s="17">
        <f>IF(OR(L975="",L975=0),"",Параметры!$B$3/L975)</f>
        <v>5.333333333333333</v>
      </c>
      <c r="O975" s="15">
        <f>IF(L975="","",IFERROR(INDEX('Почасовка — ставки и план'!$D$5:$D$24,MATCH($D975,'Почасовка — ставки и план'!$A$5:$A$24,0)),""))</f>
        <v>850</v>
      </c>
      <c r="P975" s="15">
        <f>IF(L975="","",IFERROR(INDEX('Почасовка — ставки и план'!$E$5:$E$24,MATCH($D975,'Почасовка — ставки и план'!$A$5:$A$24,0)),""))</f>
        <v>1020</v>
      </c>
      <c r="Q975" s="15">
        <f t="shared" si="81"/>
        <v>1275</v>
      </c>
      <c r="R975" s="13" t="str">
        <f>IF(D975="TEX","аренда техники — сделка/счёт",IF(OR(Q975="",H975="",H975=0),"—",IF(Q975&lt;H975*(1-Параметры!$B$7),"почасовка",IF(Q975&gt;H975*(1+Параметры!$B$7),"сделка","любой способ"))))</f>
        <v>почасовка</v>
      </c>
      <c r="S975">
        <v>0</v>
      </c>
      <c r="T975">
        <v>0</v>
      </c>
    </row>
    <row r="976" spans="1:20" x14ac:dyDescent="0.25">
      <c r="A976" s="13" t="s">
        <v>1994</v>
      </c>
      <c r="B976" s="13" t="s">
        <v>1995</v>
      </c>
      <c r="C976" s="13" t="s">
        <v>144</v>
      </c>
      <c r="D976" s="13" t="s">
        <v>326</v>
      </c>
      <c r="E976" s="13" t="str">
        <f>IFERROR(INDEX('Почасовка — ставки и план'!$B$5:$B$24,MATCH(D976,'Почасовка — ставки и план'!$A$5:$A$24,0)),"Аренда техники / механизмы")</f>
        <v>Сантехник</v>
      </c>
      <c r="F976" s="14">
        <v>3000</v>
      </c>
      <c r="G976" s="14">
        <v>3450</v>
      </c>
      <c r="H976" s="15">
        <v>1860</v>
      </c>
      <c r="I976" s="15">
        <f>IF(OR(H976="",F976=""),"",MAX(H976,MIN(ROUND(H976*(1+Параметры!$B$5),IF(H976*(1+Параметры!$B$5)&gt;=1000,-1,0)),ROUND(F976*Параметры!$B$6,IF(F976*Параметры!$B$6&gt;=1000,-1,0)))))</f>
        <v>2140</v>
      </c>
      <c r="J976" s="15">
        <v>2139</v>
      </c>
      <c r="K976" s="15">
        <f>IF(OR(J976="",G976=""),"",MAX(J976,MIN(ROUND(J976*(1+Параметры!$B$5),IF(J976*(1+Параметры!$B$5)&gt;=1000,-1,0)),ROUND(G976*Параметры!$B$6,IF(G976*Параметры!$B$6&gt;=1000,-1,0)))))</f>
        <v>2460</v>
      </c>
      <c r="L976" s="16">
        <v>1.9</v>
      </c>
      <c r="M976" s="17">
        <f t="shared" si="80"/>
        <v>0.52631578947368418</v>
      </c>
      <c r="N976" s="17">
        <f>IF(OR(L976="",L976=0),"",Параметры!$B$3/L976)</f>
        <v>4.2105263157894735</v>
      </c>
      <c r="O976" s="15">
        <f>IF(L976="","",IFERROR(INDEX('Почасовка — ставки и план'!$D$5:$D$24,MATCH($D976,'Почасовка — ставки и план'!$A$5:$A$24,0)),""))</f>
        <v>850</v>
      </c>
      <c r="P976" s="15">
        <f>IF(L976="","",IFERROR(INDEX('Почасовка — ставки и план'!$E$5:$E$24,MATCH($D976,'Почасовка — ставки и план'!$A$5:$A$24,0)),""))</f>
        <v>1020</v>
      </c>
      <c r="Q976" s="15">
        <f t="shared" si="81"/>
        <v>1615</v>
      </c>
      <c r="R976" s="13" t="str">
        <f>IF(D976="TEX","аренда техники — сделка/счёт",IF(OR(Q976="",H976="",H976=0),"—",IF(Q976&lt;H976*(1-Параметры!$B$7),"почасовка",IF(Q976&gt;H976*(1+Параметры!$B$7),"сделка","любой способ"))))</f>
        <v>почасовка</v>
      </c>
      <c r="S976">
        <v>0</v>
      </c>
      <c r="T976">
        <v>0</v>
      </c>
    </row>
    <row r="977" spans="1:20" x14ac:dyDescent="0.25">
      <c r="A977" s="13" t="s">
        <v>1996</v>
      </c>
      <c r="B977" s="13" t="s">
        <v>1997</v>
      </c>
      <c r="C977" s="13" t="s">
        <v>144</v>
      </c>
      <c r="D977" s="13" t="s">
        <v>273</v>
      </c>
      <c r="E977" s="13" t="str">
        <f>IFERROR(INDEX('Почасовка — ставки и план'!$B$5:$B$24,MATCH(D977,'Почасовка — ставки и план'!$A$5:$A$24,0)),"Аренда техники / механизмы")</f>
        <v>Электромонтажник</v>
      </c>
      <c r="F977" s="14">
        <v>700</v>
      </c>
      <c r="G977" s="14">
        <v>805</v>
      </c>
      <c r="H977" s="15">
        <v>434</v>
      </c>
      <c r="I977" s="15">
        <f>IF(OR(H977="",F977=""),"",MAX(H977,MIN(ROUND(H977*(1+Параметры!$B$5),IF(H977*(1+Параметры!$B$5)&gt;=1000,-1,0)),ROUND(F977*Параметры!$B$6,IF(F977*Параметры!$B$6&gt;=1000,-1,0)))))</f>
        <v>499</v>
      </c>
      <c r="J977" s="15">
        <v>499</v>
      </c>
      <c r="K977" s="15">
        <f>IF(OR(J977="",G977=""),"",MAX(J977,MIN(ROUND(J977*(1+Параметры!$B$5),IF(J977*(1+Параметры!$B$5)&gt;=1000,-1,0)),ROUND(G977*Параметры!$B$6,IF(G977*Параметры!$B$6&gt;=1000,-1,0)))))</f>
        <v>574</v>
      </c>
      <c r="L977" s="16">
        <v>0.5</v>
      </c>
      <c r="M977" s="17">
        <f t="shared" si="80"/>
        <v>2</v>
      </c>
      <c r="N977" s="17">
        <f>IF(OR(L977="",L977=0),"",Параметры!$B$3/L977)</f>
        <v>16</v>
      </c>
      <c r="O977" s="15">
        <f>IF(L977="","",IFERROR(INDEX('Почасовка — ставки и план'!$D$5:$D$24,MATCH($D977,'Почасовка — ставки и план'!$A$5:$A$24,0)),""))</f>
        <v>850</v>
      </c>
      <c r="P977" s="15">
        <f>IF(L977="","",IFERROR(INDEX('Почасовка — ставки и план'!$E$5:$E$24,MATCH($D977,'Почасовка — ставки и план'!$A$5:$A$24,0)),""))</f>
        <v>1020</v>
      </c>
      <c r="Q977" s="15">
        <f t="shared" si="81"/>
        <v>425</v>
      </c>
      <c r="R977" s="13" t="str">
        <f>IF(D977="TEX","аренда техники — сделка/счёт",IF(OR(Q977="",H977="",H977=0),"—",IF(Q977&lt;H977*(1-Параметры!$B$7),"почасовка",IF(Q977&gt;H977*(1+Параметры!$B$7),"сделка","любой способ"))))</f>
        <v>любой способ</v>
      </c>
      <c r="S977">
        <v>0</v>
      </c>
      <c r="T977">
        <v>0</v>
      </c>
    </row>
    <row r="978" spans="1:20" x14ac:dyDescent="0.25">
      <c r="A978" s="13" t="s">
        <v>1998</v>
      </c>
      <c r="B978" s="13" t="s">
        <v>1999</v>
      </c>
      <c r="C978" s="13" t="s">
        <v>144</v>
      </c>
      <c r="D978" s="13" t="s">
        <v>326</v>
      </c>
      <c r="E978" s="13" t="str">
        <f>IFERROR(INDEX('Почасовка — ставки и план'!$B$5:$B$24,MATCH(D978,'Почасовка — ставки и план'!$A$5:$A$24,0)),"Аренда техники / механизмы")</f>
        <v>Сантехник</v>
      </c>
      <c r="F978" s="14">
        <v>1000</v>
      </c>
      <c r="G978" s="14">
        <v>1150</v>
      </c>
      <c r="H978" s="15">
        <v>620</v>
      </c>
      <c r="I978" s="15">
        <f>IF(OR(H978="",F978=""),"",MAX(H978,MIN(ROUND(H978*(1+Параметры!$B$5),IF(H978*(1+Параметры!$B$5)&gt;=1000,-1,0)),ROUND(F978*Параметры!$B$6,IF(F978*Параметры!$B$6&gt;=1000,-1,0)))))</f>
        <v>713</v>
      </c>
      <c r="J978" s="15">
        <v>713</v>
      </c>
      <c r="K978" s="15">
        <f>IF(OR(J978="",G978=""),"",MAX(J978,MIN(ROUND(J978*(1+Параметры!$B$5),IF(J978*(1+Параметры!$B$5)&gt;=1000,-1,0)),ROUND(G978*Параметры!$B$6,IF(G978*Параметры!$B$6&gt;=1000,-1,0)))))</f>
        <v>820</v>
      </c>
      <c r="L978" s="16">
        <v>0.6</v>
      </c>
      <c r="M978" s="17">
        <f t="shared" si="80"/>
        <v>1.6666666666666667</v>
      </c>
      <c r="N978" s="17">
        <f>IF(OR(L978="",L978=0),"",Параметры!$B$3/L978)</f>
        <v>13.333333333333334</v>
      </c>
      <c r="O978" s="15">
        <f>IF(L978="","",IFERROR(INDEX('Почасовка — ставки и план'!$D$5:$D$24,MATCH($D978,'Почасовка — ставки и план'!$A$5:$A$24,0)),""))</f>
        <v>850</v>
      </c>
      <c r="P978" s="15">
        <f>IF(L978="","",IFERROR(INDEX('Почасовка — ставки и план'!$E$5:$E$24,MATCH($D978,'Почасовка — ставки и план'!$A$5:$A$24,0)),""))</f>
        <v>1020</v>
      </c>
      <c r="Q978" s="15">
        <f t="shared" si="81"/>
        <v>510</v>
      </c>
      <c r="R978" s="13" t="str">
        <f>IF(D978="TEX","аренда техники — сделка/счёт",IF(OR(Q978="",H978="",H978=0),"—",IF(Q978&lt;H978*(1-Параметры!$B$7),"почасовка",IF(Q978&gt;H978*(1+Параметры!$B$7),"сделка","любой способ"))))</f>
        <v>почасовка</v>
      </c>
      <c r="S978">
        <v>0</v>
      </c>
      <c r="T978">
        <v>0</v>
      </c>
    </row>
    <row r="979" spans="1:20" x14ac:dyDescent="0.25">
      <c r="A979" s="13" t="s">
        <v>2000</v>
      </c>
      <c r="B979" s="13" t="s">
        <v>2001</v>
      </c>
      <c r="C979" s="13" t="s">
        <v>144</v>
      </c>
      <c r="D979" s="13" t="s">
        <v>326</v>
      </c>
      <c r="E979" s="13" t="str">
        <f>IFERROR(INDEX('Почасовка — ставки и план'!$B$5:$B$24,MATCH(D979,'Почасовка — ставки и план'!$A$5:$A$24,0)),"Аренда техники / механизмы")</f>
        <v>Сантехник</v>
      </c>
      <c r="F979" s="14">
        <v>1500</v>
      </c>
      <c r="G979" s="14">
        <v>1725</v>
      </c>
      <c r="H979" s="15">
        <v>930</v>
      </c>
      <c r="I979" s="15">
        <f>IF(OR(H979="",F979=""),"",MAX(H979,MIN(ROUND(H979*(1+Параметры!$B$5),IF(H979*(1+Параметры!$B$5)&gt;=1000,-1,0)),ROUND(F979*Параметры!$B$6,IF(F979*Параметры!$B$6&gt;=1000,-1,0)))))</f>
        <v>1070</v>
      </c>
      <c r="J979" s="15">
        <v>1069</v>
      </c>
      <c r="K979" s="15">
        <f>IF(OR(J979="",G979=""),"",MAX(J979,MIN(ROUND(J979*(1+Параметры!$B$5),IF(J979*(1+Параметры!$B$5)&gt;=1000,-1,0)),ROUND(G979*Параметры!$B$6,IF(G979*Параметры!$B$6&gt;=1000,-1,0)))))</f>
        <v>1230</v>
      </c>
      <c r="L979" s="16">
        <v>1</v>
      </c>
      <c r="M979" s="17">
        <f t="shared" si="80"/>
        <v>1</v>
      </c>
      <c r="N979" s="17">
        <f>IF(OR(L979="",L979=0),"",Параметры!$B$3/L979)</f>
        <v>8</v>
      </c>
      <c r="O979" s="15">
        <f>IF(L979="","",IFERROR(INDEX('Почасовка — ставки и план'!$D$5:$D$24,MATCH($D979,'Почасовка — ставки и план'!$A$5:$A$24,0)),""))</f>
        <v>850</v>
      </c>
      <c r="P979" s="15">
        <f>IF(L979="","",IFERROR(INDEX('Почасовка — ставки и план'!$E$5:$E$24,MATCH($D979,'Почасовка — ставки и план'!$A$5:$A$24,0)),""))</f>
        <v>1020</v>
      </c>
      <c r="Q979" s="15">
        <f t="shared" si="81"/>
        <v>850</v>
      </c>
      <c r="R979" s="13" t="str">
        <f>IF(D979="TEX","аренда техники — сделка/счёт",IF(OR(Q979="",H979="",H979=0),"—",IF(Q979&lt;H979*(1-Параметры!$B$7),"почасовка",IF(Q979&gt;H979*(1+Параметры!$B$7),"сделка","любой способ"))))</f>
        <v>любой способ</v>
      </c>
      <c r="S979">
        <v>0</v>
      </c>
      <c r="T979">
        <v>0</v>
      </c>
    </row>
    <row r="980" spans="1:20" x14ac:dyDescent="0.25">
      <c r="A980" s="13" t="s">
        <v>2002</v>
      </c>
      <c r="B980" s="13" t="s">
        <v>2003</v>
      </c>
      <c r="C980" s="13" t="s">
        <v>144</v>
      </c>
      <c r="D980" s="13" t="s">
        <v>326</v>
      </c>
      <c r="E980" s="13" t="str">
        <f>IFERROR(INDEX('Почасовка — ставки и план'!$B$5:$B$24,MATCH(D980,'Почасовка — ставки и план'!$A$5:$A$24,0)),"Аренда техники / механизмы")</f>
        <v>Сантехник</v>
      </c>
      <c r="F980" s="14">
        <v>800</v>
      </c>
      <c r="G980" s="14">
        <v>920</v>
      </c>
      <c r="H980" s="15">
        <v>496</v>
      </c>
      <c r="I980" s="15">
        <f>IF(OR(H980="",F980=""),"",MAX(H980,MIN(ROUND(H980*(1+Параметры!$B$5),IF(H980*(1+Параметры!$B$5)&gt;=1000,-1,0)),ROUND(F980*Параметры!$B$6,IF(F980*Параметры!$B$6&gt;=1000,-1,0)))))</f>
        <v>570</v>
      </c>
      <c r="J980" s="15">
        <v>570</v>
      </c>
      <c r="K980" s="15">
        <f>IF(OR(J980="",G980=""),"",MAX(J980,MIN(ROUND(J980*(1+Параметры!$B$5),IF(J980*(1+Параметры!$B$5)&gt;=1000,-1,0)),ROUND(G980*Параметры!$B$6,IF(G980*Параметры!$B$6&gt;=1000,-1,0)))))</f>
        <v>656</v>
      </c>
      <c r="L980" s="16">
        <v>0.4</v>
      </c>
      <c r="M980" s="17">
        <f t="shared" si="80"/>
        <v>2.5</v>
      </c>
      <c r="N980" s="17">
        <f>IF(OR(L980="",L980=0),"",Параметры!$B$3/L980)</f>
        <v>20</v>
      </c>
      <c r="O980" s="15">
        <f>IF(L980="","",IFERROR(INDEX('Почасовка — ставки и план'!$D$5:$D$24,MATCH($D980,'Почасовка — ставки и план'!$A$5:$A$24,0)),""))</f>
        <v>850</v>
      </c>
      <c r="P980" s="15">
        <f>IF(L980="","",IFERROR(INDEX('Почасовка — ставки и план'!$E$5:$E$24,MATCH($D980,'Почасовка — ставки и план'!$A$5:$A$24,0)),""))</f>
        <v>1020</v>
      </c>
      <c r="Q980" s="15">
        <f t="shared" si="81"/>
        <v>340</v>
      </c>
      <c r="R980" s="13" t="str">
        <f>IF(D980="TEX","аренда техники — сделка/счёт",IF(OR(Q980="",H980="",H980=0),"—",IF(Q980&lt;H980*(1-Параметры!$B$7),"почасовка",IF(Q980&gt;H980*(1+Параметры!$B$7),"сделка","любой способ"))))</f>
        <v>почасовка</v>
      </c>
      <c r="S980">
        <v>0</v>
      </c>
      <c r="T980">
        <v>0</v>
      </c>
    </row>
    <row r="981" spans="1:20" x14ac:dyDescent="0.25">
      <c r="A981" s="13" t="s">
        <v>2004</v>
      </c>
      <c r="B981" s="13" t="s">
        <v>2005</v>
      </c>
      <c r="C981" s="13" t="s">
        <v>144</v>
      </c>
      <c r="D981" s="13" t="s">
        <v>326</v>
      </c>
      <c r="E981" s="13" t="str">
        <f>IFERROR(INDEX('Почасовка — ставки и план'!$B$5:$B$24,MATCH(D981,'Почасовка — ставки и план'!$A$5:$A$24,0)),"Аренда техники / механизмы")</f>
        <v>Сантехник</v>
      </c>
      <c r="F981" s="14">
        <v>1200</v>
      </c>
      <c r="G981" s="14">
        <v>1380</v>
      </c>
      <c r="H981" s="15">
        <v>744</v>
      </c>
      <c r="I981" s="15">
        <f>IF(OR(H981="",F981=""),"",MAX(H981,MIN(ROUND(H981*(1+Параметры!$B$5),IF(H981*(1+Параметры!$B$5)&gt;=1000,-1,0)),ROUND(F981*Параметры!$B$6,IF(F981*Параметры!$B$6&gt;=1000,-1,0)))))</f>
        <v>856</v>
      </c>
      <c r="J981" s="15">
        <v>856</v>
      </c>
      <c r="K981" s="15">
        <f>IF(OR(J981="",G981=""),"",MAX(J981,MIN(ROUND(J981*(1+Параметры!$B$5),IF(J981*(1+Параметры!$B$5)&gt;=1000,-1,0)),ROUND(G981*Параметры!$B$6,IF(G981*Параметры!$B$6&gt;=1000,-1,0)))))</f>
        <v>984</v>
      </c>
      <c r="L981" s="16">
        <v>1</v>
      </c>
      <c r="M981" s="17">
        <f t="shared" si="80"/>
        <v>1</v>
      </c>
      <c r="N981" s="17">
        <f>IF(OR(L981="",L981=0),"",Параметры!$B$3/L981)</f>
        <v>8</v>
      </c>
      <c r="O981" s="15">
        <f>IF(L981="","",IFERROR(INDEX('Почасовка — ставки и план'!$D$5:$D$24,MATCH($D981,'Почасовка — ставки и план'!$A$5:$A$24,0)),""))</f>
        <v>850</v>
      </c>
      <c r="P981" s="15">
        <f>IF(L981="","",IFERROR(INDEX('Почасовка — ставки и план'!$E$5:$E$24,MATCH($D981,'Почасовка — ставки и план'!$A$5:$A$24,0)),""))</f>
        <v>1020</v>
      </c>
      <c r="Q981" s="15">
        <f t="shared" si="81"/>
        <v>850</v>
      </c>
      <c r="R981" s="13" t="str">
        <f>IF(D981="TEX","аренда техники — сделка/счёт",IF(OR(Q981="",H981="",H981=0),"—",IF(Q981&lt;H981*(1-Параметры!$B$7),"почасовка",IF(Q981&gt;H981*(1+Параметры!$B$7),"сделка","любой способ"))))</f>
        <v>сделка</v>
      </c>
      <c r="S981">
        <v>0</v>
      </c>
      <c r="T981">
        <v>0</v>
      </c>
    </row>
    <row r="982" spans="1:20" x14ac:dyDescent="0.25">
      <c r="A982" s="13" t="s">
        <v>2006</v>
      </c>
      <c r="B982" s="13" t="s">
        <v>2007</v>
      </c>
      <c r="C982" s="13" t="s">
        <v>144</v>
      </c>
      <c r="D982" s="13" t="s">
        <v>326</v>
      </c>
      <c r="E982" s="13" t="str">
        <f>IFERROR(INDEX('Почасовка — ставки и план'!$B$5:$B$24,MATCH(D982,'Почасовка — ставки и план'!$A$5:$A$24,0)),"Аренда техники / механизмы")</f>
        <v>Сантехник</v>
      </c>
      <c r="F982" s="14">
        <v>1500</v>
      </c>
      <c r="G982" s="14">
        <v>1725</v>
      </c>
      <c r="H982" s="15">
        <v>930</v>
      </c>
      <c r="I982" s="15">
        <f>IF(OR(H982="",F982=""),"",MAX(H982,MIN(ROUND(H982*(1+Параметры!$B$5),IF(H982*(1+Параметры!$B$5)&gt;=1000,-1,0)),ROUND(F982*Параметры!$B$6,IF(F982*Параметры!$B$6&gt;=1000,-1,0)))))</f>
        <v>1070</v>
      </c>
      <c r="J982" s="15">
        <v>1069</v>
      </c>
      <c r="K982" s="15">
        <f>IF(OR(J982="",G982=""),"",MAX(J982,MIN(ROUND(J982*(1+Параметры!$B$5),IF(J982*(1+Параметры!$B$5)&gt;=1000,-1,0)),ROUND(G982*Параметры!$B$6,IF(G982*Параметры!$B$6&gt;=1000,-1,0)))))</f>
        <v>1230</v>
      </c>
      <c r="L982" s="16">
        <v>1</v>
      </c>
      <c r="M982" s="17">
        <f t="shared" si="80"/>
        <v>1</v>
      </c>
      <c r="N982" s="17">
        <f>IF(OR(L982="",L982=0),"",Параметры!$B$3/L982)</f>
        <v>8</v>
      </c>
      <c r="O982" s="15">
        <f>IF(L982="","",IFERROR(INDEX('Почасовка — ставки и план'!$D$5:$D$24,MATCH($D982,'Почасовка — ставки и план'!$A$5:$A$24,0)),""))</f>
        <v>850</v>
      </c>
      <c r="P982" s="15">
        <f>IF(L982="","",IFERROR(INDEX('Почасовка — ставки и план'!$E$5:$E$24,MATCH($D982,'Почасовка — ставки и план'!$A$5:$A$24,0)),""))</f>
        <v>1020</v>
      </c>
      <c r="Q982" s="15">
        <f t="shared" si="81"/>
        <v>850</v>
      </c>
      <c r="R982" s="13" t="str">
        <f>IF(D982="TEX","аренда техники — сделка/счёт",IF(OR(Q982="",H982="",H982=0),"—",IF(Q982&lt;H982*(1-Параметры!$B$7),"почасовка",IF(Q982&gt;H982*(1+Параметры!$B$7),"сделка","любой способ"))))</f>
        <v>любой способ</v>
      </c>
      <c r="S982">
        <v>0</v>
      </c>
      <c r="T982">
        <v>0</v>
      </c>
    </row>
    <row r="983" spans="1:20" x14ac:dyDescent="0.25">
      <c r="A983" s="13" t="s">
        <v>2008</v>
      </c>
      <c r="B983" s="13" t="s">
        <v>2009</v>
      </c>
      <c r="C983" s="13" t="s">
        <v>144</v>
      </c>
      <c r="D983" s="13" t="s">
        <v>326</v>
      </c>
      <c r="E983" s="13" t="str">
        <f>IFERROR(INDEX('Почасовка — ставки и план'!$B$5:$B$24,MATCH(D983,'Почасовка — ставки и план'!$A$5:$A$24,0)),"Аренда техники / механизмы")</f>
        <v>Сантехник</v>
      </c>
      <c r="F983" s="14">
        <v>6000</v>
      </c>
      <c r="G983" s="14">
        <v>6900</v>
      </c>
      <c r="H983" s="15">
        <v>3720</v>
      </c>
      <c r="I983" s="15">
        <f>IF(OR(H983="",F983=""),"",MAX(H983,MIN(ROUND(H983*(1+Параметры!$B$5),IF(H983*(1+Параметры!$B$5)&gt;=1000,-1,0)),ROUND(F983*Параметры!$B$6,IF(F983*Параметры!$B$6&gt;=1000,-1,0)))))</f>
        <v>4280</v>
      </c>
      <c r="J983" s="15">
        <v>4278</v>
      </c>
      <c r="K983" s="15">
        <f>IF(OR(J983="",G983=""),"",MAX(J983,MIN(ROUND(J983*(1+Параметры!$B$5),IF(J983*(1+Параметры!$B$5)&gt;=1000,-1,0)),ROUND(G983*Параметры!$B$6,IF(G983*Параметры!$B$6&gt;=1000,-1,0)))))</f>
        <v>4920</v>
      </c>
      <c r="L983" s="16">
        <v>3.5</v>
      </c>
      <c r="M983" s="17">
        <f t="shared" si="80"/>
        <v>0.2857142857142857</v>
      </c>
      <c r="N983" s="17">
        <f>IF(OR(L983="",L983=0),"",Параметры!$B$3/L983)</f>
        <v>2.2857142857142856</v>
      </c>
      <c r="O983" s="15">
        <f>IF(L983="","",IFERROR(INDEX('Почасовка — ставки и план'!$D$5:$D$24,MATCH($D983,'Почасовка — ставки и план'!$A$5:$A$24,0)),""))</f>
        <v>850</v>
      </c>
      <c r="P983" s="15">
        <f>IF(L983="","",IFERROR(INDEX('Почасовка — ставки и план'!$E$5:$E$24,MATCH($D983,'Почасовка — ставки и план'!$A$5:$A$24,0)),""))</f>
        <v>1020</v>
      </c>
      <c r="Q983" s="15">
        <f t="shared" si="81"/>
        <v>2975</v>
      </c>
      <c r="R983" s="13" t="str">
        <f>IF(D983="TEX","аренда техники — сделка/счёт",IF(OR(Q983="",H983="",H983=0),"—",IF(Q983&lt;H983*(1-Параметры!$B$7),"почасовка",IF(Q983&gt;H983*(1+Параметры!$B$7),"сделка","любой способ"))))</f>
        <v>почасовка</v>
      </c>
      <c r="S983">
        <v>0</v>
      </c>
      <c r="T983">
        <v>0</v>
      </c>
    </row>
    <row r="984" spans="1:20" x14ac:dyDescent="0.25">
      <c r="A984" s="13" t="s">
        <v>2010</v>
      </c>
      <c r="B984" s="13" t="s">
        <v>2011</v>
      </c>
      <c r="C984" s="13" t="s">
        <v>144</v>
      </c>
      <c r="D984" s="13" t="s">
        <v>326</v>
      </c>
      <c r="E984" s="13" t="str">
        <f>IFERROR(INDEX('Почасовка — ставки и план'!$B$5:$B$24,MATCH(D984,'Почасовка — ставки и план'!$A$5:$A$24,0)),"Аренда техники / механизмы")</f>
        <v>Сантехник</v>
      </c>
      <c r="F984" s="14">
        <v>900</v>
      </c>
      <c r="G984" s="14">
        <v>1035</v>
      </c>
      <c r="H984" s="15">
        <v>558</v>
      </c>
      <c r="I984" s="15">
        <f>IF(OR(H984="",F984=""),"",MAX(H984,MIN(ROUND(H984*(1+Параметры!$B$5),IF(H984*(1+Параметры!$B$5)&gt;=1000,-1,0)),ROUND(F984*Параметры!$B$6,IF(F984*Параметры!$B$6&gt;=1000,-1,0)))))</f>
        <v>642</v>
      </c>
      <c r="J984" s="15">
        <v>642</v>
      </c>
      <c r="K984" s="15">
        <f>IF(OR(J984="",G984=""),"",MAX(J984,MIN(ROUND(J984*(1+Параметры!$B$5),IF(J984*(1+Параметры!$B$5)&gt;=1000,-1,0)),ROUND(G984*Параметры!$B$6,IF(G984*Параметры!$B$6&gt;=1000,-1,0)))))</f>
        <v>738</v>
      </c>
      <c r="L984" s="16">
        <v>0.5</v>
      </c>
      <c r="M984" s="17">
        <f t="shared" si="80"/>
        <v>2</v>
      </c>
      <c r="N984" s="17">
        <f>IF(OR(L984="",L984=0),"",Параметры!$B$3/L984)</f>
        <v>16</v>
      </c>
      <c r="O984" s="15">
        <f>IF(L984="","",IFERROR(INDEX('Почасовка — ставки и план'!$D$5:$D$24,MATCH($D984,'Почасовка — ставки и план'!$A$5:$A$24,0)),""))</f>
        <v>850</v>
      </c>
      <c r="P984" s="15">
        <f>IF(L984="","",IFERROR(INDEX('Почасовка — ставки и план'!$E$5:$E$24,MATCH($D984,'Почасовка — ставки и план'!$A$5:$A$24,0)),""))</f>
        <v>1020</v>
      </c>
      <c r="Q984" s="15">
        <f t="shared" si="81"/>
        <v>425</v>
      </c>
      <c r="R984" s="13" t="str">
        <f>IF(D984="TEX","аренда техники — сделка/счёт",IF(OR(Q984="",H984="",H984=0),"—",IF(Q984&lt;H984*(1-Параметры!$B$7),"почасовка",IF(Q984&gt;H984*(1+Параметры!$B$7),"сделка","любой способ"))))</f>
        <v>почасовка</v>
      </c>
      <c r="S984">
        <v>0</v>
      </c>
      <c r="T984">
        <v>0</v>
      </c>
    </row>
    <row r="985" spans="1:20" x14ac:dyDescent="0.25">
      <c r="A985" s="13" t="s">
        <v>2012</v>
      </c>
      <c r="B985" s="13" t="s">
        <v>2013</v>
      </c>
      <c r="C985" s="13" t="s">
        <v>144</v>
      </c>
      <c r="D985" s="13" t="s">
        <v>326</v>
      </c>
      <c r="E985" s="13" t="str">
        <f>IFERROR(INDEX('Почасовка — ставки и план'!$B$5:$B$24,MATCH(D985,'Почасовка — ставки и план'!$A$5:$A$24,0)),"Аренда техники / механизмы")</f>
        <v>Сантехник</v>
      </c>
      <c r="F985" s="14">
        <v>1000</v>
      </c>
      <c r="G985" s="14">
        <v>1150</v>
      </c>
      <c r="H985" s="15">
        <v>620</v>
      </c>
      <c r="I985" s="15">
        <f>IF(OR(H985="",F985=""),"",MAX(H985,MIN(ROUND(H985*(1+Параметры!$B$5),IF(H985*(1+Параметры!$B$5)&gt;=1000,-1,0)),ROUND(F985*Параметры!$B$6,IF(F985*Параметры!$B$6&gt;=1000,-1,0)))))</f>
        <v>713</v>
      </c>
      <c r="J985" s="15">
        <v>713</v>
      </c>
      <c r="K985" s="15">
        <f>IF(OR(J985="",G985=""),"",MAX(J985,MIN(ROUND(J985*(1+Параметры!$B$5),IF(J985*(1+Параметры!$B$5)&gt;=1000,-1,0)),ROUND(G985*Параметры!$B$6,IF(G985*Параметры!$B$6&gt;=1000,-1,0)))))</f>
        <v>820</v>
      </c>
      <c r="L985" s="16">
        <v>0.6</v>
      </c>
      <c r="M985" s="17">
        <f t="shared" si="80"/>
        <v>1.6666666666666667</v>
      </c>
      <c r="N985" s="17">
        <f>IF(OR(L985="",L985=0),"",Параметры!$B$3/L985)</f>
        <v>13.333333333333334</v>
      </c>
      <c r="O985" s="15">
        <f>IF(L985="","",IFERROR(INDEX('Почасовка — ставки и план'!$D$5:$D$24,MATCH($D985,'Почасовка — ставки и план'!$A$5:$A$24,0)),""))</f>
        <v>850</v>
      </c>
      <c r="P985" s="15">
        <f>IF(L985="","",IFERROR(INDEX('Почасовка — ставки и план'!$E$5:$E$24,MATCH($D985,'Почасовка — ставки и план'!$A$5:$A$24,0)),""))</f>
        <v>1020</v>
      </c>
      <c r="Q985" s="15">
        <f t="shared" si="81"/>
        <v>510</v>
      </c>
      <c r="R985" s="13" t="str">
        <f>IF(D985="TEX","аренда техники — сделка/счёт",IF(OR(Q985="",H985="",H985=0),"—",IF(Q985&lt;H985*(1-Параметры!$B$7),"почасовка",IF(Q985&gt;H985*(1+Параметры!$B$7),"сделка","любой способ"))))</f>
        <v>почасовка</v>
      </c>
      <c r="S985">
        <v>0</v>
      </c>
      <c r="T985">
        <v>0</v>
      </c>
    </row>
    <row r="986" spans="1:20" x14ac:dyDescent="0.25">
      <c r="A986" s="13" t="s">
        <v>2014</v>
      </c>
      <c r="B986" s="13" t="s">
        <v>2015</v>
      </c>
      <c r="C986" s="13" t="s">
        <v>144</v>
      </c>
      <c r="D986" s="13" t="s">
        <v>326</v>
      </c>
      <c r="E986" s="13" t="str">
        <f>IFERROR(INDEX('Почасовка — ставки и план'!$B$5:$B$24,MATCH(D986,'Почасовка — ставки и план'!$A$5:$A$24,0)),"Аренда техники / механизмы")</f>
        <v>Сантехник</v>
      </c>
      <c r="F986" s="14">
        <v>700</v>
      </c>
      <c r="G986" s="14">
        <v>805</v>
      </c>
      <c r="H986" s="15">
        <v>434</v>
      </c>
      <c r="I986" s="15">
        <f>IF(OR(H986="",F986=""),"",MAX(H986,MIN(ROUND(H986*(1+Параметры!$B$5),IF(H986*(1+Параметры!$B$5)&gt;=1000,-1,0)),ROUND(F986*Параметры!$B$6,IF(F986*Параметры!$B$6&gt;=1000,-1,0)))))</f>
        <v>499</v>
      </c>
      <c r="J986" s="15">
        <v>499</v>
      </c>
      <c r="K986" s="15">
        <f>IF(OR(J986="",G986=""),"",MAX(J986,MIN(ROUND(J986*(1+Параметры!$B$5),IF(J986*(1+Параметры!$B$5)&gt;=1000,-1,0)),ROUND(G986*Параметры!$B$6,IF(G986*Параметры!$B$6&gt;=1000,-1,0)))))</f>
        <v>574</v>
      </c>
      <c r="L986" s="16">
        <v>0.4</v>
      </c>
      <c r="M986" s="17">
        <f t="shared" si="80"/>
        <v>2.5</v>
      </c>
      <c r="N986" s="17">
        <f>IF(OR(L986="",L986=0),"",Параметры!$B$3/L986)</f>
        <v>20</v>
      </c>
      <c r="O986" s="15">
        <f>IF(L986="","",IFERROR(INDEX('Почасовка — ставки и план'!$D$5:$D$24,MATCH($D986,'Почасовка — ставки и план'!$A$5:$A$24,0)),""))</f>
        <v>850</v>
      </c>
      <c r="P986" s="15">
        <f>IF(L986="","",IFERROR(INDEX('Почасовка — ставки и план'!$E$5:$E$24,MATCH($D986,'Почасовка — ставки и план'!$A$5:$A$24,0)),""))</f>
        <v>1020</v>
      </c>
      <c r="Q986" s="15">
        <f t="shared" si="81"/>
        <v>340</v>
      </c>
      <c r="R986" s="13" t="str">
        <f>IF(D986="TEX","аренда техники — сделка/счёт",IF(OR(Q986="",H986="",H986=0),"—",IF(Q986&lt;H986*(1-Параметры!$B$7),"почасовка",IF(Q986&gt;H986*(1+Параметры!$B$7),"сделка","любой способ"))))</f>
        <v>почасовка</v>
      </c>
      <c r="S986">
        <v>0</v>
      </c>
      <c r="T986">
        <v>0</v>
      </c>
    </row>
    <row r="987" spans="1:20" x14ac:dyDescent="0.25">
      <c r="A987" s="13" t="s">
        <v>2016</v>
      </c>
      <c r="B987" s="13" t="s">
        <v>2017</v>
      </c>
      <c r="C987" s="13" t="s">
        <v>144</v>
      </c>
      <c r="D987" s="13" t="s">
        <v>326</v>
      </c>
      <c r="E987" s="13" t="str">
        <f>IFERROR(INDEX('Почасовка — ставки и план'!$B$5:$B$24,MATCH(D987,'Почасовка — ставки и план'!$A$5:$A$24,0)),"Аренда техники / механизмы")</f>
        <v>Сантехник</v>
      </c>
      <c r="F987" s="14">
        <v>2000</v>
      </c>
      <c r="G987" s="14">
        <v>2300</v>
      </c>
      <c r="H987" s="15">
        <v>1240</v>
      </c>
      <c r="I987" s="15">
        <f>IF(OR(H987="",F987=""),"",MAX(H987,MIN(ROUND(H987*(1+Параметры!$B$5),IF(H987*(1+Параметры!$B$5)&gt;=1000,-1,0)),ROUND(F987*Параметры!$B$6,IF(F987*Параметры!$B$6&gt;=1000,-1,0)))))</f>
        <v>1430</v>
      </c>
      <c r="J987" s="15">
        <v>1426</v>
      </c>
      <c r="K987" s="15">
        <f>IF(OR(J987="",G987=""),"",MAX(J987,MIN(ROUND(J987*(1+Параметры!$B$5),IF(J987*(1+Параметры!$B$5)&gt;=1000,-1,0)),ROUND(G987*Параметры!$B$6,IF(G987*Параметры!$B$6&gt;=1000,-1,0)))))</f>
        <v>1640</v>
      </c>
      <c r="L987" s="16">
        <v>1.4</v>
      </c>
      <c r="M987" s="17">
        <f t="shared" si="80"/>
        <v>0.7142857142857143</v>
      </c>
      <c r="N987" s="17">
        <f>IF(OR(L987="",L987=0),"",Параметры!$B$3/L987)</f>
        <v>5.7142857142857144</v>
      </c>
      <c r="O987" s="15">
        <f>IF(L987="","",IFERROR(INDEX('Почасовка — ставки и план'!$D$5:$D$24,MATCH($D987,'Почасовка — ставки и план'!$A$5:$A$24,0)),""))</f>
        <v>850</v>
      </c>
      <c r="P987" s="15">
        <f>IF(L987="","",IFERROR(INDEX('Почасовка — ставки и план'!$E$5:$E$24,MATCH($D987,'Почасовка — ставки и план'!$A$5:$A$24,0)),""))</f>
        <v>1020</v>
      </c>
      <c r="Q987" s="15">
        <f t="shared" si="81"/>
        <v>1190</v>
      </c>
      <c r="R987" s="13" t="str">
        <f>IF(D987="TEX","аренда техники — сделка/счёт",IF(OR(Q987="",H987="",H987=0),"—",IF(Q987&lt;H987*(1-Параметры!$B$7),"почасовка",IF(Q987&gt;H987*(1+Параметры!$B$7),"сделка","любой способ"))))</f>
        <v>любой способ</v>
      </c>
      <c r="S987">
        <v>0</v>
      </c>
      <c r="T987">
        <v>0</v>
      </c>
    </row>
    <row r="988" spans="1:20" x14ac:dyDescent="0.25">
      <c r="A988" s="13" t="s">
        <v>2018</v>
      </c>
      <c r="B988" s="13" t="s">
        <v>2019</v>
      </c>
      <c r="C988" s="13" t="s">
        <v>144</v>
      </c>
      <c r="D988" s="13" t="s">
        <v>326</v>
      </c>
      <c r="E988" s="13" t="str">
        <f>IFERROR(INDEX('Почасовка — ставки и план'!$B$5:$B$24,MATCH(D988,'Почасовка — ставки и план'!$A$5:$A$24,0)),"Аренда техники / механизмы")</f>
        <v>Сантехник</v>
      </c>
      <c r="F988" s="14">
        <v>2800</v>
      </c>
      <c r="G988" s="14">
        <v>3220</v>
      </c>
      <c r="H988" s="15">
        <v>1736</v>
      </c>
      <c r="I988" s="15">
        <f>IF(OR(H988="",F988=""),"",MAX(H988,MIN(ROUND(H988*(1+Параметры!$B$5),IF(H988*(1+Параметры!$B$5)&gt;=1000,-1,0)),ROUND(F988*Параметры!$B$6,IF(F988*Параметры!$B$6&gt;=1000,-1,0)))))</f>
        <v>2000</v>
      </c>
      <c r="J988" s="15">
        <v>1996</v>
      </c>
      <c r="K988" s="15">
        <f>IF(OR(J988="",G988=""),"",MAX(J988,MIN(ROUND(J988*(1+Параметры!$B$5),IF(J988*(1+Параметры!$B$5)&gt;=1000,-1,0)),ROUND(G988*Параметры!$B$6,IF(G988*Параметры!$B$6&gt;=1000,-1,0)))))</f>
        <v>2300</v>
      </c>
      <c r="L988" s="16">
        <v>2</v>
      </c>
      <c r="M988" s="17">
        <f t="shared" si="80"/>
        <v>0.5</v>
      </c>
      <c r="N988" s="17">
        <f>IF(OR(L988="",L988=0),"",Параметры!$B$3/L988)</f>
        <v>4</v>
      </c>
      <c r="O988" s="15">
        <f>IF(L988="","",IFERROR(INDEX('Почасовка — ставки и план'!$D$5:$D$24,MATCH($D988,'Почасовка — ставки и план'!$A$5:$A$24,0)),""))</f>
        <v>850</v>
      </c>
      <c r="P988" s="15">
        <f>IF(L988="","",IFERROR(INDEX('Почасовка — ставки и план'!$E$5:$E$24,MATCH($D988,'Почасовка — ставки и план'!$A$5:$A$24,0)),""))</f>
        <v>1020</v>
      </c>
      <c r="Q988" s="15">
        <f t="shared" si="81"/>
        <v>1700</v>
      </c>
      <c r="R988" s="13" t="str">
        <f>IF(D988="TEX","аренда техники — сделка/счёт",IF(OR(Q988="",H988="",H988=0),"—",IF(Q988&lt;H988*(1-Параметры!$B$7),"почасовка",IF(Q988&gt;H988*(1+Параметры!$B$7),"сделка","любой способ"))))</f>
        <v>любой способ</v>
      </c>
      <c r="S988">
        <v>0</v>
      </c>
      <c r="T988">
        <v>0</v>
      </c>
    </row>
    <row r="989" spans="1:20" x14ac:dyDescent="0.25">
      <c r="A989" s="13" t="s">
        <v>2020</v>
      </c>
      <c r="B989" s="13" t="s">
        <v>2021</v>
      </c>
      <c r="C989" s="13" t="s">
        <v>144</v>
      </c>
      <c r="D989" s="13" t="s">
        <v>326</v>
      </c>
      <c r="E989" s="13" t="str">
        <f>IFERROR(INDEX('Почасовка — ставки и план'!$B$5:$B$24,MATCH(D989,'Почасовка — ставки и план'!$A$5:$A$24,0)),"Аренда техники / механизмы")</f>
        <v>Сантехник</v>
      </c>
      <c r="F989" s="14">
        <v>700</v>
      </c>
      <c r="G989" s="14">
        <v>805</v>
      </c>
      <c r="H989" s="15">
        <v>434</v>
      </c>
      <c r="I989" s="15">
        <f>IF(OR(H989="",F989=""),"",MAX(H989,MIN(ROUND(H989*(1+Параметры!$B$5),IF(H989*(1+Параметры!$B$5)&gt;=1000,-1,0)),ROUND(F989*Параметры!$B$6,IF(F989*Параметры!$B$6&gt;=1000,-1,0)))))</f>
        <v>499</v>
      </c>
      <c r="J989" s="15">
        <v>499</v>
      </c>
      <c r="K989" s="15">
        <f>IF(OR(J989="",G989=""),"",MAX(J989,MIN(ROUND(J989*(1+Параметры!$B$5),IF(J989*(1+Параметры!$B$5)&gt;=1000,-1,0)),ROUND(G989*Параметры!$B$6,IF(G989*Параметры!$B$6&gt;=1000,-1,0)))))</f>
        <v>574</v>
      </c>
      <c r="L989" s="16">
        <v>0.45</v>
      </c>
      <c r="M989" s="17">
        <f t="shared" ref="M989:M1020" si="82">IF(OR(L989="",L989=0),"",1/L989)</f>
        <v>2.2222222222222223</v>
      </c>
      <c r="N989" s="17">
        <f>IF(OR(L989="",L989=0),"",Параметры!$B$3/L989)</f>
        <v>17.777777777777779</v>
      </c>
      <c r="O989" s="15">
        <f>IF(L989="","",IFERROR(INDEX('Почасовка — ставки и план'!$D$5:$D$24,MATCH($D989,'Почасовка — ставки и план'!$A$5:$A$24,0)),""))</f>
        <v>850</v>
      </c>
      <c r="P989" s="15">
        <f>IF(L989="","",IFERROR(INDEX('Почасовка — ставки и план'!$E$5:$E$24,MATCH($D989,'Почасовка — ставки и план'!$A$5:$A$24,0)),""))</f>
        <v>1020</v>
      </c>
      <c r="Q989" s="15">
        <f t="shared" ref="Q989:Q1020" si="83">IF(OR(L989="",O989=""),"",ROUND(L989*O989,0))</f>
        <v>383</v>
      </c>
      <c r="R989" s="13" t="str">
        <f>IF(D989="TEX","аренда техники — сделка/счёт",IF(OR(Q989="",H989="",H989=0),"—",IF(Q989&lt;H989*(1-Параметры!$B$7),"почасовка",IF(Q989&gt;H989*(1+Параметры!$B$7),"сделка","любой способ"))))</f>
        <v>почасовка</v>
      </c>
      <c r="S989">
        <v>0</v>
      </c>
      <c r="T989">
        <v>0</v>
      </c>
    </row>
    <row r="990" spans="1:20" x14ac:dyDescent="0.25">
      <c r="A990" s="13" t="s">
        <v>2022</v>
      </c>
      <c r="B990" s="13" t="s">
        <v>2023</v>
      </c>
      <c r="C990" s="13" t="s">
        <v>144</v>
      </c>
      <c r="D990" s="13" t="s">
        <v>326</v>
      </c>
      <c r="E990" s="13" t="str">
        <f>IFERROR(INDEX('Почасовка — ставки и план'!$B$5:$B$24,MATCH(D990,'Почасовка — ставки и план'!$A$5:$A$24,0)),"Аренда техники / механизмы")</f>
        <v>Сантехник</v>
      </c>
      <c r="F990" s="14">
        <v>1100</v>
      </c>
      <c r="G990" s="14">
        <v>1265</v>
      </c>
      <c r="H990" s="15">
        <v>682</v>
      </c>
      <c r="I990" s="15">
        <f>IF(OR(H990="",F990=""),"",MAX(H990,MIN(ROUND(H990*(1+Параметры!$B$5),IF(H990*(1+Параметры!$B$5)&gt;=1000,-1,0)),ROUND(F990*Параметры!$B$6,IF(F990*Параметры!$B$6&gt;=1000,-1,0)))))</f>
        <v>784</v>
      </c>
      <c r="J990" s="15">
        <v>784</v>
      </c>
      <c r="K990" s="15">
        <f>IF(OR(J990="",G990=""),"",MAX(J990,MIN(ROUND(J990*(1+Параметры!$B$5),IF(J990*(1+Параметры!$B$5)&gt;=1000,-1,0)),ROUND(G990*Параметры!$B$6,IF(G990*Параметры!$B$6&gt;=1000,-1,0)))))</f>
        <v>902</v>
      </c>
      <c r="L990" s="16">
        <v>0.75</v>
      </c>
      <c r="M990" s="17">
        <f t="shared" si="82"/>
        <v>1.3333333333333333</v>
      </c>
      <c r="N990" s="17">
        <f>IF(OR(L990="",L990=0),"",Параметры!$B$3/L990)</f>
        <v>10.666666666666666</v>
      </c>
      <c r="O990" s="15">
        <f>IF(L990="","",IFERROR(INDEX('Почасовка — ставки и план'!$D$5:$D$24,MATCH($D990,'Почасовка — ставки и план'!$A$5:$A$24,0)),""))</f>
        <v>850</v>
      </c>
      <c r="P990" s="15">
        <f>IF(L990="","",IFERROR(INDEX('Почасовка — ставки и план'!$E$5:$E$24,MATCH($D990,'Почасовка — ставки и план'!$A$5:$A$24,0)),""))</f>
        <v>1020</v>
      </c>
      <c r="Q990" s="15">
        <f t="shared" si="83"/>
        <v>638</v>
      </c>
      <c r="R990" s="13" t="str">
        <f>IF(D990="TEX","аренда техники — сделка/счёт",IF(OR(Q990="",H990="",H990=0),"—",IF(Q990&lt;H990*(1-Параметры!$B$7),"почасовка",IF(Q990&gt;H990*(1+Параметры!$B$7),"сделка","любой способ"))))</f>
        <v>любой способ</v>
      </c>
      <c r="S990">
        <v>0</v>
      </c>
      <c r="T990">
        <v>0</v>
      </c>
    </row>
    <row r="991" spans="1:20" x14ac:dyDescent="0.25">
      <c r="A991" s="13" t="s">
        <v>2024</v>
      </c>
      <c r="B991" s="13" t="s">
        <v>2025</v>
      </c>
      <c r="C991" s="13" t="s">
        <v>144</v>
      </c>
      <c r="D991" s="13" t="s">
        <v>326</v>
      </c>
      <c r="E991" s="13" t="str">
        <f>IFERROR(INDEX('Почасовка — ставки и план'!$B$5:$B$24,MATCH(D991,'Почасовка — ставки и план'!$A$5:$A$24,0)),"Аренда техники / механизмы")</f>
        <v>Сантехник</v>
      </c>
      <c r="F991" s="14">
        <v>2300</v>
      </c>
      <c r="G991" s="14">
        <v>2645</v>
      </c>
      <c r="H991" s="15">
        <v>1426</v>
      </c>
      <c r="I991" s="15">
        <f>IF(OR(H991="",F991=""),"",MAX(H991,MIN(ROUND(H991*(1+Параметры!$B$5),IF(H991*(1+Параметры!$B$5)&gt;=1000,-1,0)),ROUND(F991*Параметры!$B$6,IF(F991*Параметры!$B$6&gt;=1000,-1,0)))))</f>
        <v>1640</v>
      </c>
      <c r="J991" s="15">
        <v>1640</v>
      </c>
      <c r="K991" s="15">
        <f>IF(OR(J991="",G991=""),"",MAX(J991,MIN(ROUND(J991*(1+Параметры!$B$5),IF(J991*(1+Параметры!$B$5)&gt;=1000,-1,0)),ROUND(G991*Параметры!$B$6,IF(G991*Параметры!$B$6&gt;=1000,-1,0)))))</f>
        <v>1890</v>
      </c>
      <c r="L991" s="16">
        <v>1.6</v>
      </c>
      <c r="M991" s="17">
        <f t="shared" si="82"/>
        <v>0.625</v>
      </c>
      <c r="N991" s="17">
        <f>IF(OR(L991="",L991=0),"",Параметры!$B$3/L991)</f>
        <v>5</v>
      </c>
      <c r="O991" s="15">
        <f>IF(L991="","",IFERROR(INDEX('Почасовка — ставки и план'!$D$5:$D$24,MATCH($D991,'Почасовка — ставки и план'!$A$5:$A$24,0)),""))</f>
        <v>850</v>
      </c>
      <c r="P991" s="15">
        <f>IF(L991="","",IFERROR(INDEX('Почасовка — ставки и план'!$E$5:$E$24,MATCH($D991,'Почасовка — ставки и план'!$A$5:$A$24,0)),""))</f>
        <v>1020</v>
      </c>
      <c r="Q991" s="15">
        <f t="shared" si="83"/>
        <v>1360</v>
      </c>
      <c r="R991" s="13" t="str">
        <f>IF(D991="TEX","аренда техники — сделка/счёт",IF(OR(Q991="",H991="",H991=0),"—",IF(Q991&lt;H991*(1-Параметры!$B$7),"почасовка",IF(Q991&gt;H991*(1+Параметры!$B$7),"сделка","любой способ"))))</f>
        <v>любой способ</v>
      </c>
      <c r="S991">
        <v>0</v>
      </c>
      <c r="T991">
        <v>0</v>
      </c>
    </row>
    <row r="992" spans="1:20" x14ac:dyDescent="0.25">
      <c r="A992" s="13" t="s">
        <v>2026</v>
      </c>
      <c r="B992" s="13" t="s">
        <v>2027</v>
      </c>
      <c r="C992" s="13" t="s">
        <v>144</v>
      </c>
      <c r="D992" s="13" t="s">
        <v>326</v>
      </c>
      <c r="E992" s="13" t="str">
        <f>IFERROR(INDEX('Почасовка — ставки и план'!$B$5:$B$24,MATCH(D992,'Почасовка — ставки и план'!$A$5:$A$24,0)),"Аренда техники / механизмы")</f>
        <v>Сантехник</v>
      </c>
      <c r="F992" s="14">
        <v>3200</v>
      </c>
      <c r="G992" s="14">
        <v>3680</v>
      </c>
      <c r="H992" s="15">
        <v>1984</v>
      </c>
      <c r="I992" s="15">
        <f>IF(OR(H992="",F992=""),"",MAX(H992,MIN(ROUND(H992*(1+Параметры!$B$5),IF(H992*(1+Параметры!$B$5)&gt;=1000,-1,0)),ROUND(F992*Параметры!$B$6,IF(F992*Параметры!$B$6&gt;=1000,-1,0)))))</f>
        <v>2280</v>
      </c>
      <c r="J992" s="15">
        <v>2282</v>
      </c>
      <c r="K992" s="15">
        <f>IF(OR(J992="",G992=""),"",MAX(J992,MIN(ROUND(J992*(1+Параметры!$B$5),IF(J992*(1+Параметры!$B$5)&gt;=1000,-1,0)),ROUND(G992*Параметры!$B$6,IF(G992*Параметры!$B$6&gt;=1000,-1,0)))))</f>
        <v>2620</v>
      </c>
      <c r="L992" s="16">
        <v>2.2000000000000002</v>
      </c>
      <c r="M992" s="17">
        <f t="shared" si="82"/>
        <v>0.45454545454545453</v>
      </c>
      <c r="N992" s="17">
        <f>IF(OR(L992="",L992=0),"",Параметры!$B$3/L992)</f>
        <v>3.6363636363636362</v>
      </c>
      <c r="O992" s="15">
        <f>IF(L992="","",IFERROR(INDEX('Почасовка — ставки и план'!$D$5:$D$24,MATCH($D992,'Почасовка — ставки и план'!$A$5:$A$24,0)),""))</f>
        <v>850</v>
      </c>
      <c r="P992" s="15">
        <f>IF(L992="","",IFERROR(INDEX('Почасовка — ставки и план'!$E$5:$E$24,MATCH($D992,'Почасовка — ставки и план'!$A$5:$A$24,0)),""))</f>
        <v>1020</v>
      </c>
      <c r="Q992" s="15">
        <f t="shared" si="83"/>
        <v>1870</v>
      </c>
      <c r="R992" s="13" t="str">
        <f>IF(D992="TEX","аренда техники — сделка/счёт",IF(OR(Q992="",H992="",H992=0),"—",IF(Q992&lt;H992*(1-Параметры!$B$7),"почасовка",IF(Q992&gt;H992*(1+Параметры!$B$7),"сделка","любой способ"))))</f>
        <v>любой способ</v>
      </c>
      <c r="S992">
        <v>0</v>
      </c>
      <c r="T992">
        <v>0</v>
      </c>
    </row>
    <row r="993" spans="1:20" x14ac:dyDescent="0.25">
      <c r="A993" s="13" t="s">
        <v>2028</v>
      </c>
      <c r="B993" s="13" t="s">
        <v>2029</v>
      </c>
      <c r="C993" s="13" t="s">
        <v>144</v>
      </c>
      <c r="D993" s="13" t="s">
        <v>326</v>
      </c>
      <c r="E993" s="13" t="str">
        <f>IFERROR(INDEX('Почасовка — ставки и план'!$B$5:$B$24,MATCH(D993,'Почасовка — ставки и план'!$A$5:$A$24,0)),"Аренда техники / механизмы")</f>
        <v>Сантехник</v>
      </c>
      <c r="F993" s="14">
        <v>800</v>
      </c>
      <c r="G993" s="14">
        <v>920</v>
      </c>
      <c r="H993" s="15">
        <v>496</v>
      </c>
      <c r="I993" s="15">
        <f>IF(OR(H993="",F993=""),"",MAX(H993,MIN(ROUND(H993*(1+Параметры!$B$5),IF(H993*(1+Параметры!$B$5)&gt;=1000,-1,0)),ROUND(F993*Параметры!$B$6,IF(F993*Параметры!$B$6&gt;=1000,-1,0)))))</f>
        <v>570</v>
      </c>
      <c r="J993" s="15">
        <v>570</v>
      </c>
      <c r="K993" s="15">
        <f>IF(OR(J993="",G993=""),"",MAX(J993,MIN(ROUND(J993*(1+Параметры!$B$5),IF(J993*(1+Параметры!$B$5)&gt;=1000,-1,0)),ROUND(G993*Параметры!$B$6,IF(G993*Параметры!$B$6&gt;=1000,-1,0)))))</f>
        <v>656</v>
      </c>
      <c r="L993" s="16">
        <v>0.5</v>
      </c>
      <c r="M993" s="17">
        <f t="shared" si="82"/>
        <v>2</v>
      </c>
      <c r="N993" s="17">
        <f>IF(OR(L993="",L993=0),"",Параметры!$B$3/L993)</f>
        <v>16</v>
      </c>
      <c r="O993" s="15">
        <f>IF(L993="","",IFERROR(INDEX('Почасовка — ставки и план'!$D$5:$D$24,MATCH($D993,'Почасовка — ставки и план'!$A$5:$A$24,0)),""))</f>
        <v>850</v>
      </c>
      <c r="P993" s="15">
        <f>IF(L993="","",IFERROR(INDEX('Почасовка — ставки и план'!$E$5:$E$24,MATCH($D993,'Почасовка — ставки и план'!$A$5:$A$24,0)),""))</f>
        <v>1020</v>
      </c>
      <c r="Q993" s="15">
        <f t="shared" si="83"/>
        <v>425</v>
      </c>
      <c r="R993" s="13" t="str">
        <f>IF(D993="TEX","аренда техники — сделка/счёт",IF(OR(Q993="",H993="",H993=0),"—",IF(Q993&lt;H993*(1-Параметры!$B$7),"почасовка",IF(Q993&gt;H993*(1+Параметры!$B$7),"сделка","любой способ"))))</f>
        <v>почасовка</v>
      </c>
      <c r="S993">
        <v>0</v>
      </c>
      <c r="T993">
        <v>0</v>
      </c>
    </row>
    <row r="994" spans="1:20" x14ac:dyDescent="0.25">
      <c r="A994" s="13" t="s">
        <v>2030</v>
      </c>
      <c r="B994" s="13" t="s">
        <v>2031</v>
      </c>
      <c r="C994" s="13" t="s">
        <v>144</v>
      </c>
      <c r="D994" s="13" t="s">
        <v>326</v>
      </c>
      <c r="E994" s="13" t="str">
        <f>IFERROR(INDEX('Почасовка — ставки и план'!$B$5:$B$24,MATCH(D994,'Почасовка — ставки и план'!$A$5:$A$24,0)),"Аренда техники / механизмы")</f>
        <v>Сантехник</v>
      </c>
      <c r="F994" s="14">
        <v>1300</v>
      </c>
      <c r="G994" s="14">
        <v>1495</v>
      </c>
      <c r="H994" s="15">
        <v>806</v>
      </c>
      <c r="I994" s="15">
        <f>IF(OR(H994="",F994=""),"",MAX(H994,MIN(ROUND(H994*(1+Параметры!$B$5),IF(H994*(1+Параметры!$B$5)&gt;=1000,-1,0)),ROUND(F994*Параметры!$B$6,IF(F994*Параметры!$B$6&gt;=1000,-1,0)))))</f>
        <v>927</v>
      </c>
      <c r="J994" s="15">
        <v>927</v>
      </c>
      <c r="K994" s="15">
        <f>IF(OR(J994="",G994=""),"",MAX(J994,MIN(ROUND(J994*(1+Параметры!$B$5),IF(J994*(1+Параметры!$B$5)&gt;=1000,-1,0)),ROUND(G994*Параметры!$B$6,IF(G994*Параметры!$B$6&gt;=1000,-1,0)))))</f>
        <v>1070</v>
      </c>
      <c r="L994" s="16">
        <v>0.85</v>
      </c>
      <c r="M994" s="17">
        <f t="shared" si="82"/>
        <v>1.1764705882352942</v>
      </c>
      <c r="N994" s="17">
        <f>IF(OR(L994="",L994=0),"",Параметры!$B$3/L994)</f>
        <v>9.4117647058823533</v>
      </c>
      <c r="O994" s="15">
        <f>IF(L994="","",IFERROR(INDEX('Почасовка — ставки и план'!$D$5:$D$24,MATCH($D994,'Почасовка — ставки и план'!$A$5:$A$24,0)),""))</f>
        <v>850</v>
      </c>
      <c r="P994" s="15">
        <f>IF(L994="","",IFERROR(INDEX('Почасовка — ставки и план'!$E$5:$E$24,MATCH($D994,'Почасовка — ставки и план'!$A$5:$A$24,0)),""))</f>
        <v>1020</v>
      </c>
      <c r="Q994" s="15">
        <f t="shared" si="83"/>
        <v>723</v>
      </c>
      <c r="R994" s="13" t="str">
        <f>IF(D994="TEX","аренда техники — сделка/счёт",IF(OR(Q994="",H994="",H994=0),"—",IF(Q994&lt;H994*(1-Параметры!$B$7),"почасовка",IF(Q994&gt;H994*(1+Параметры!$B$7),"сделка","любой способ"))))</f>
        <v>почасовка</v>
      </c>
      <c r="S994">
        <v>0</v>
      </c>
      <c r="T994">
        <v>0</v>
      </c>
    </row>
    <row r="995" spans="1:20" x14ac:dyDescent="0.25">
      <c r="A995" s="13" t="s">
        <v>2032</v>
      </c>
      <c r="B995" s="13" t="s">
        <v>2033</v>
      </c>
      <c r="C995" s="13" t="s">
        <v>144</v>
      </c>
      <c r="D995" s="13" t="s">
        <v>326</v>
      </c>
      <c r="E995" s="13" t="str">
        <f>IFERROR(INDEX('Почасовка — ставки и план'!$B$5:$B$24,MATCH(D995,'Почасовка — ставки и план'!$A$5:$A$24,0)),"Аренда техники / механизмы")</f>
        <v>Сантехник</v>
      </c>
      <c r="F995" s="14">
        <v>18000</v>
      </c>
      <c r="G995" s="14">
        <v>20700</v>
      </c>
      <c r="H995" s="15">
        <v>11160</v>
      </c>
      <c r="I995" s="15">
        <f>IF(OR(H995="",F995=""),"",MAX(H995,MIN(ROUND(H995*(1+Параметры!$B$5),IF(H995*(1+Параметры!$B$5)&gt;=1000,-1,0)),ROUND(F995*Параметры!$B$6,IF(F995*Параметры!$B$6&gt;=1000,-1,0)))))</f>
        <v>12830</v>
      </c>
      <c r="J995" s="15">
        <v>12834</v>
      </c>
      <c r="K995" s="15">
        <f>IF(OR(J995="",G995=""),"",MAX(J995,MIN(ROUND(J995*(1+Параметры!$B$5),IF(J995*(1+Параметры!$B$5)&gt;=1000,-1,0)),ROUND(G995*Параметры!$B$6,IF(G995*Параметры!$B$6&gt;=1000,-1,0)))))</f>
        <v>14760</v>
      </c>
      <c r="L995" s="16">
        <v>12</v>
      </c>
      <c r="M995" s="17">
        <f t="shared" si="82"/>
        <v>8.3333333333333329E-2</v>
      </c>
      <c r="N995" s="17">
        <f>IF(OR(L995="",L995=0),"",Параметры!$B$3/L995)</f>
        <v>0.66666666666666663</v>
      </c>
      <c r="O995" s="15">
        <f>IF(L995="","",IFERROR(INDEX('Почасовка — ставки и план'!$D$5:$D$24,MATCH($D995,'Почасовка — ставки и план'!$A$5:$A$24,0)),""))</f>
        <v>850</v>
      </c>
      <c r="P995" s="15">
        <f>IF(L995="","",IFERROR(INDEX('Почасовка — ставки и план'!$E$5:$E$24,MATCH($D995,'Почасовка — ставки и план'!$A$5:$A$24,0)),""))</f>
        <v>1020</v>
      </c>
      <c r="Q995" s="15">
        <f t="shared" si="83"/>
        <v>10200</v>
      </c>
      <c r="R995" s="13" t="str">
        <f>IF(D995="TEX","аренда техники — сделка/счёт",IF(OR(Q995="",H995="",H995=0),"—",IF(Q995&lt;H995*(1-Параметры!$B$7),"почасовка",IF(Q995&gt;H995*(1+Параметры!$B$7),"сделка","любой способ"))))</f>
        <v>любой способ</v>
      </c>
      <c r="S995">
        <v>0</v>
      </c>
      <c r="T995">
        <v>0</v>
      </c>
    </row>
    <row r="996" spans="1:20" x14ac:dyDescent="0.25">
      <c r="A996" s="13" t="s">
        <v>2034</v>
      </c>
      <c r="B996" s="13" t="s">
        <v>2035</v>
      </c>
      <c r="C996" s="13" t="s">
        <v>69</v>
      </c>
      <c r="D996" s="13" t="s">
        <v>326</v>
      </c>
      <c r="E996" s="13" t="str">
        <f>IFERROR(INDEX('Почасовка — ставки и план'!$B$5:$B$24,MATCH(D996,'Почасовка — ставки и план'!$A$5:$A$24,0)),"Аренда техники / механизмы")</f>
        <v>Сантехник</v>
      </c>
      <c r="F996" s="14">
        <v>600</v>
      </c>
      <c r="G996" s="14">
        <v>690</v>
      </c>
      <c r="H996" s="15">
        <v>372</v>
      </c>
      <c r="I996" s="15">
        <f>IF(OR(H996="",F996=""),"",MAX(H996,MIN(ROUND(H996*(1+Параметры!$B$5),IF(H996*(1+Параметры!$B$5)&gt;=1000,-1,0)),ROUND(F996*Параметры!$B$6,IF(F996*Параметры!$B$6&gt;=1000,-1,0)))))</f>
        <v>428</v>
      </c>
      <c r="J996" s="15">
        <v>428</v>
      </c>
      <c r="K996" s="15">
        <f>IF(OR(J996="",G996=""),"",MAX(J996,MIN(ROUND(J996*(1+Параметры!$B$5),IF(J996*(1+Параметры!$B$5)&gt;=1000,-1,0)),ROUND(G996*Параметры!$B$6,IF(G996*Параметры!$B$6&gt;=1000,-1,0)))))</f>
        <v>492</v>
      </c>
      <c r="L996" s="16">
        <v>0.35</v>
      </c>
      <c r="M996" s="17">
        <f t="shared" si="82"/>
        <v>2.8571428571428572</v>
      </c>
      <c r="N996" s="17">
        <f>IF(OR(L996="",L996=0),"",Параметры!$B$3/L996)</f>
        <v>22.857142857142858</v>
      </c>
      <c r="O996" s="15">
        <f>IF(L996="","",IFERROR(INDEX('Почасовка — ставки и план'!$D$5:$D$24,MATCH($D996,'Почасовка — ставки и план'!$A$5:$A$24,0)),""))</f>
        <v>850</v>
      </c>
      <c r="P996" s="15">
        <f>IF(L996="","",IFERROR(INDEX('Почасовка — ставки и план'!$E$5:$E$24,MATCH($D996,'Почасовка — ставки и план'!$A$5:$A$24,0)),""))</f>
        <v>1020</v>
      </c>
      <c r="Q996" s="15">
        <f t="shared" si="83"/>
        <v>298</v>
      </c>
      <c r="R996" s="13" t="str">
        <f>IF(D996="TEX","аренда техники — сделка/счёт",IF(OR(Q996="",H996="",H996=0),"—",IF(Q996&lt;H996*(1-Параметры!$B$7),"почасовка",IF(Q996&gt;H996*(1+Параметры!$B$7),"сделка","любой способ"))))</f>
        <v>почасовка</v>
      </c>
      <c r="S996">
        <v>0</v>
      </c>
      <c r="T996">
        <v>0</v>
      </c>
    </row>
    <row r="997" spans="1:20" x14ac:dyDescent="0.25">
      <c r="A997" s="13" t="s">
        <v>2036</v>
      </c>
      <c r="B997" s="13" t="s">
        <v>2037</v>
      </c>
      <c r="C997" s="13" t="s">
        <v>144</v>
      </c>
      <c r="D997" s="13" t="s">
        <v>326</v>
      </c>
      <c r="E997" s="13" t="str">
        <f>IFERROR(INDEX('Почасовка — ставки и план'!$B$5:$B$24,MATCH(D997,'Почасовка — ставки и план'!$A$5:$A$24,0)),"Аренда техники / механизмы")</f>
        <v>Сантехник</v>
      </c>
      <c r="F997" s="14">
        <v>3000</v>
      </c>
      <c r="G997" s="14">
        <v>3450</v>
      </c>
      <c r="H997" s="15">
        <v>1860</v>
      </c>
      <c r="I997" s="15">
        <f>IF(OR(H997="",F997=""),"",MAX(H997,MIN(ROUND(H997*(1+Параметры!$B$5),IF(H997*(1+Параметры!$B$5)&gt;=1000,-1,0)),ROUND(F997*Параметры!$B$6,IF(F997*Параметры!$B$6&gt;=1000,-1,0)))))</f>
        <v>2140</v>
      </c>
      <c r="J997" s="15">
        <v>2139</v>
      </c>
      <c r="K997" s="15">
        <f>IF(OR(J997="",G997=""),"",MAX(J997,MIN(ROUND(J997*(1+Параметры!$B$5),IF(J997*(1+Параметры!$B$5)&gt;=1000,-1,0)),ROUND(G997*Параметры!$B$6,IF(G997*Параметры!$B$6&gt;=1000,-1,0)))))</f>
        <v>2460</v>
      </c>
      <c r="L997" s="16">
        <v>2.5</v>
      </c>
      <c r="M997" s="17">
        <f t="shared" si="82"/>
        <v>0.4</v>
      </c>
      <c r="N997" s="17">
        <f>IF(OR(L997="",L997=0),"",Параметры!$B$3/L997)</f>
        <v>3.2</v>
      </c>
      <c r="O997" s="15">
        <f>IF(L997="","",IFERROR(INDEX('Почасовка — ставки и план'!$D$5:$D$24,MATCH($D997,'Почасовка — ставки и план'!$A$5:$A$24,0)),""))</f>
        <v>850</v>
      </c>
      <c r="P997" s="15">
        <f>IF(L997="","",IFERROR(INDEX('Почасовка — ставки и план'!$E$5:$E$24,MATCH($D997,'Почасовка — ставки и план'!$A$5:$A$24,0)),""))</f>
        <v>1020</v>
      </c>
      <c r="Q997" s="15">
        <f t="shared" si="83"/>
        <v>2125</v>
      </c>
      <c r="R997" s="13" t="str">
        <f>IF(D997="TEX","аренда техники — сделка/счёт",IF(OR(Q997="",H997="",H997=0),"—",IF(Q997&lt;H997*(1-Параметры!$B$7),"почасовка",IF(Q997&gt;H997*(1+Параметры!$B$7),"сделка","любой способ"))))</f>
        <v>сделка</v>
      </c>
      <c r="S997">
        <v>0</v>
      </c>
      <c r="T997">
        <v>0</v>
      </c>
    </row>
    <row r="998" spans="1:20" x14ac:dyDescent="0.25">
      <c r="A998" s="13" t="s">
        <v>2038</v>
      </c>
      <c r="B998" s="13" t="s">
        <v>2039</v>
      </c>
      <c r="C998" s="13" t="s">
        <v>144</v>
      </c>
      <c r="D998" s="13" t="s">
        <v>326</v>
      </c>
      <c r="E998" s="13" t="str">
        <f>IFERROR(INDEX('Почасовка — ставки и план'!$B$5:$B$24,MATCH(D998,'Почасовка — ставки и план'!$A$5:$A$24,0)),"Аренда техники / механизмы")</f>
        <v>Сантехник</v>
      </c>
      <c r="F998" s="14">
        <v>4500</v>
      </c>
      <c r="G998" s="14">
        <v>5175</v>
      </c>
      <c r="H998" s="15">
        <v>2790</v>
      </c>
      <c r="I998" s="15">
        <f>IF(OR(H998="",F998=""),"",MAX(H998,MIN(ROUND(H998*(1+Параметры!$B$5),IF(H998*(1+Параметры!$B$5)&gt;=1000,-1,0)),ROUND(F998*Параметры!$B$6,IF(F998*Параметры!$B$6&gt;=1000,-1,0)))))</f>
        <v>3210</v>
      </c>
      <c r="J998" s="15">
        <v>3208</v>
      </c>
      <c r="K998" s="15">
        <f>IF(OR(J998="",G998=""),"",MAX(J998,MIN(ROUND(J998*(1+Параметры!$B$5),IF(J998*(1+Параметры!$B$5)&gt;=1000,-1,0)),ROUND(G998*Параметры!$B$6,IF(G998*Параметры!$B$6&gt;=1000,-1,0)))))</f>
        <v>3690</v>
      </c>
      <c r="L998" s="16">
        <v>3.5</v>
      </c>
      <c r="M998" s="17">
        <f t="shared" si="82"/>
        <v>0.2857142857142857</v>
      </c>
      <c r="N998" s="17">
        <f>IF(OR(L998="",L998=0),"",Параметры!$B$3/L998)</f>
        <v>2.2857142857142856</v>
      </c>
      <c r="O998" s="15">
        <f>IF(L998="","",IFERROR(INDEX('Почасовка — ставки и план'!$D$5:$D$24,MATCH($D998,'Почасовка — ставки и план'!$A$5:$A$24,0)),""))</f>
        <v>850</v>
      </c>
      <c r="P998" s="15">
        <f>IF(L998="","",IFERROR(INDEX('Почасовка — ставки и план'!$E$5:$E$24,MATCH($D998,'Почасовка — ставки и план'!$A$5:$A$24,0)),""))</f>
        <v>1020</v>
      </c>
      <c r="Q998" s="15">
        <f t="shared" si="83"/>
        <v>2975</v>
      </c>
      <c r="R998" s="13" t="str">
        <f>IF(D998="TEX","аренда техники — сделка/счёт",IF(OR(Q998="",H998="",H998=0),"—",IF(Q998&lt;H998*(1-Параметры!$B$7),"почасовка",IF(Q998&gt;H998*(1+Параметры!$B$7),"сделка","любой способ"))))</f>
        <v>любой способ</v>
      </c>
      <c r="S998">
        <v>0</v>
      </c>
      <c r="T998">
        <v>0</v>
      </c>
    </row>
    <row r="999" spans="1:20" x14ac:dyDescent="0.25">
      <c r="A999" s="13" t="s">
        <v>2040</v>
      </c>
      <c r="B999" s="13" t="s">
        <v>2041</v>
      </c>
      <c r="C999" s="13" t="s">
        <v>144</v>
      </c>
      <c r="D999" s="13" t="s">
        <v>326</v>
      </c>
      <c r="E999" s="13" t="str">
        <f>IFERROR(INDEX('Почасовка — ставки и план'!$B$5:$B$24,MATCH(D999,'Почасовка — ставки и план'!$A$5:$A$24,0)),"Аренда техники / механизмы")</f>
        <v>Сантехник</v>
      </c>
      <c r="F999" s="14">
        <v>8000</v>
      </c>
      <c r="G999" s="14">
        <v>9200</v>
      </c>
      <c r="H999" s="15">
        <v>4960</v>
      </c>
      <c r="I999" s="15">
        <f>IF(OR(H999="",F999=""),"",MAX(H999,MIN(ROUND(H999*(1+Параметры!$B$5),IF(H999*(1+Параметры!$B$5)&gt;=1000,-1,0)),ROUND(F999*Параметры!$B$6,IF(F999*Параметры!$B$6&gt;=1000,-1,0)))))</f>
        <v>5700</v>
      </c>
      <c r="J999" s="15">
        <v>5704</v>
      </c>
      <c r="K999" s="15">
        <f>IF(OR(J999="",G999=""),"",MAX(J999,MIN(ROUND(J999*(1+Параметры!$B$5),IF(J999*(1+Параметры!$B$5)&gt;=1000,-1,0)),ROUND(G999*Параметры!$B$6,IF(G999*Параметры!$B$6&gt;=1000,-1,0)))))</f>
        <v>6560</v>
      </c>
      <c r="L999" s="16">
        <v>6</v>
      </c>
      <c r="M999" s="17">
        <f t="shared" si="82"/>
        <v>0.16666666666666666</v>
      </c>
      <c r="N999" s="17">
        <f>IF(OR(L999="",L999=0),"",Параметры!$B$3/L999)</f>
        <v>1.3333333333333333</v>
      </c>
      <c r="O999" s="15">
        <f>IF(L999="","",IFERROR(INDEX('Почасовка — ставки и план'!$D$5:$D$24,MATCH($D999,'Почасовка — ставки и план'!$A$5:$A$24,0)),""))</f>
        <v>850</v>
      </c>
      <c r="P999" s="15">
        <f>IF(L999="","",IFERROR(INDEX('Почасовка — ставки и план'!$E$5:$E$24,MATCH($D999,'Почасовка — ставки и план'!$A$5:$A$24,0)),""))</f>
        <v>1020</v>
      </c>
      <c r="Q999" s="15">
        <f t="shared" si="83"/>
        <v>5100</v>
      </c>
      <c r="R999" s="13" t="str">
        <f>IF(D999="TEX","аренда техники — сделка/счёт",IF(OR(Q999="",H999="",H999=0),"—",IF(Q999&lt;H999*(1-Параметры!$B$7),"почасовка",IF(Q999&gt;H999*(1+Параметры!$B$7),"сделка","любой способ"))))</f>
        <v>любой способ</v>
      </c>
      <c r="S999">
        <v>0</v>
      </c>
      <c r="T999">
        <v>0</v>
      </c>
    </row>
    <row r="1000" spans="1:20" x14ac:dyDescent="0.25">
      <c r="A1000" s="13" t="s">
        <v>2042</v>
      </c>
      <c r="B1000" s="13" t="s">
        <v>2043</v>
      </c>
      <c r="C1000" s="13" t="s">
        <v>144</v>
      </c>
      <c r="D1000" s="13" t="s">
        <v>326</v>
      </c>
      <c r="E1000" s="13" t="str">
        <f>IFERROR(INDEX('Почасовка — ставки и план'!$B$5:$B$24,MATCH(D1000,'Почасовка — ставки и план'!$A$5:$A$24,0)),"Аренда техники / механизмы")</f>
        <v>Сантехник</v>
      </c>
      <c r="F1000" s="14">
        <v>3000</v>
      </c>
      <c r="G1000" s="14">
        <v>3450</v>
      </c>
      <c r="H1000" s="15">
        <v>1860</v>
      </c>
      <c r="I1000" s="15">
        <f>IF(OR(H1000="",F1000=""),"",MAX(H1000,MIN(ROUND(H1000*(1+Параметры!$B$5),IF(H1000*(1+Параметры!$B$5)&gt;=1000,-1,0)),ROUND(F1000*Параметры!$B$6,IF(F1000*Параметры!$B$6&gt;=1000,-1,0)))))</f>
        <v>2140</v>
      </c>
      <c r="J1000" s="15">
        <v>2139</v>
      </c>
      <c r="K1000" s="15">
        <f>IF(OR(J1000="",G1000=""),"",MAX(J1000,MIN(ROUND(J1000*(1+Параметры!$B$5),IF(J1000*(1+Параметры!$B$5)&gt;=1000,-1,0)),ROUND(G1000*Параметры!$B$6,IF(G1000*Параметры!$B$6&gt;=1000,-1,0)))))</f>
        <v>2460</v>
      </c>
      <c r="L1000" s="16">
        <v>2</v>
      </c>
      <c r="M1000" s="17">
        <f t="shared" si="82"/>
        <v>0.5</v>
      </c>
      <c r="N1000" s="17">
        <f>IF(OR(L1000="",L1000=0),"",Параметры!$B$3/L1000)</f>
        <v>4</v>
      </c>
      <c r="O1000" s="15">
        <f>IF(L1000="","",IFERROR(INDEX('Почасовка — ставки и план'!$D$5:$D$24,MATCH($D1000,'Почасовка — ставки и план'!$A$5:$A$24,0)),""))</f>
        <v>850</v>
      </c>
      <c r="P1000" s="15">
        <f>IF(L1000="","",IFERROR(INDEX('Почасовка — ставки и план'!$E$5:$E$24,MATCH($D1000,'Почасовка — ставки и план'!$A$5:$A$24,0)),""))</f>
        <v>1020</v>
      </c>
      <c r="Q1000" s="15">
        <f t="shared" si="83"/>
        <v>1700</v>
      </c>
      <c r="R1000" s="13" t="str">
        <f>IF(D1000="TEX","аренда техники — сделка/счёт",IF(OR(Q1000="",H1000="",H1000=0),"—",IF(Q1000&lt;H1000*(1-Параметры!$B$7),"почасовка",IF(Q1000&gt;H1000*(1+Параметры!$B$7),"сделка","любой способ"))))</f>
        <v>любой способ</v>
      </c>
      <c r="S1000">
        <v>0</v>
      </c>
      <c r="T1000">
        <v>0</v>
      </c>
    </row>
    <row r="1001" spans="1:20" x14ac:dyDescent="0.25">
      <c r="A1001" s="13" t="s">
        <v>2044</v>
      </c>
      <c r="B1001" s="13" t="s">
        <v>2045</v>
      </c>
      <c r="C1001" s="13" t="s">
        <v>144</v>
      </c>
      <c r="D1001" s="13" t="s">
        <v>326</v>
      </c>
      <c r="E1001" s="13" t="str">
        <f>IFERROR(INDEX('Почасовка — ставки и план'!$B$5:$B$24,MATCH(D1001,'Почасовка — ставки и план'!$A$5:$A$24,0)),"Аренда техники / механизмы")</f>
        <v>Сантехник</v>
      </c>
      <c r="F1001" s="14">
        <v>12000</v>
      </c>
      <c r="G1001" s="14">
        <v>13800</v>
      </c>
      <c r="H1001" s="15">
        <v>7440</v>
      </c>
      <c r="I1001" s="15">
        <f>IF(OR(H1001="",F1001=""),"",MAX(H1001,MIN(ROUND(H1001*(1+Параметры!$B$5),IF(H1001*(1+Параметры!$B$5)&gt;=1000,-1,0)),ROUND(F1001*Параметры!$B$6,IF(F1001*Параметры!$B$6&gt;=1000,-1,0)))))</f>
        <v>8560</v>
      </c>
      <c r="J1001" s="15">
        <v>8556</v>
      </c>
      <c r="K1001" s="15">
        <f>IF(OR(J1001="",G1001=""),"",MAX(J1001,MIN(ROUND(J1001*(1+Параметры!$B$5),IF(J1001*(1+Параметры!$B$5)&gt;=1000,-1,0)),ROUND(G1001*Параметры!$B$6,IF(G1001*Параметры!$B$6&gt;=1000,-1,0)))))</f>
        <v>9840</v>
      </c>
      <c r="L1001" s="16">
        <v>8</v>
      </c>
      <c r="M1001" s="17">
        <f t="shared" si="82"/>
        <v>0.125</v>
      </c>
      <c r="N1001" s="17">
        <f>IF(OR(L1001="",L1001=0),"",Параметры!$B$3/L1001)</f>
        <v>1</v>
      </c>
      <c r="O1001" s="15">
        <f>IF(L1001="","",IFERROR(INDEX('Почасовка — ставки и план'!$D$5:$D$24,MATCH($D1001,'Почасовка — ставки и план'!$A$5:$A$24,0)),""))</f>
        <v>850</v>
      </c>
      <c r="P1001" s="15">
        <f>IF(L1001="","",IFERROR(INDEX('Почасовка — ставки и план'!$E$5:$E$24,MATCH($D1001,'Почасовка — ставки и план'!$A$5:$A$24,0)),""))</f>
        <v>1020</v>
      </c>
      <c r="Q1001" s="15">
        <f t="shared" si="83"/>
        <v>6800</v>
      </c>
      <c r="R1001" s="13" t="str">
        <f>IF(D1001="TEX","аренда техники — сделка/счёт",IF(OR(Q1001="",H1001="",H1001=0),"—",IF(Q1001&lt;H1001*(1-Параметры!$B$7),"почасовка",IF(Q1001&gt;H1001*(1+Параметры!$B$7),"сделка","любой способ"))))</f>
        <v>любой способ</v>
      </c>
      <c r="S1001">
        <v>0</v>
      </c>
      <c r="T1001">
        <v>0</v>
      </c>
    </row>
    <row r="1002" spans="1:20" x14ac:dyDescent="0.25">
      <c r="A1002" s="13" t="s">
        <v>2046</v>
      </c>
      <c r="B1002" s="13" t="s">
        <v>2047</v>
      </c>
      <c r="C1002" s="13" t="s">
        <v>144</v>
      </c>
      <c r="D1002" s="13" t="s">
        <v>326</v>
      </c>
      <c r="E1002" s="13" t="str">
        <f>IFERROR(INDEX('Почасовка — ставки и план'!$B$5:$B$24,MATCH(D1002,'Почасовка — ставки и план'!$A$5:$A$24,0)),"Аренда техники / механизмы")</f>
        <v>Сантехник</v>
      </c>
      <c r="F1002" s="14">
        <v>3500</v>
      </c>
      <c r="G1002" s="14">
        <v>4025</v>
      </c>
      <c r="H1002" s="15">
        <v>2170</v>
      </c>
      <c r="I1002" s="15">
        <f>IF(OR(H1002="",F1002=""),"",MAX(H1002,MIN(ROUND(H1002*(1+Параметры!$B$5),IF(H1002*(1+Параметры!$B$5)&gt;=1000,-1,0)),ROUND(F1002*Параметры!$B$6,IF(F1002*Параметры!$B$6&gt;=1000,-1,0)))))</f>
        <v>2500</v>
      </c>
      <c r="J1002" s="15">
        <v>2495</v>
      </c>
      <c r="K1002" s="15">
        <f>IF(OR(J1002="",G1002=""),"",MAX(J1002,MIN(ROUND(J1002*(1+Параметры!$B$5),IF(J1002*(1+Параметры!$B$5)&gt;=1000,-1,0)),ROUND(G1002*Параметры!$B$6,IF(G1002*Параметры!$B$6&gt;=1000,-1,0)))))</f>
        <v>2870</v>
      </c>
      <c r="L1002" s="16">
        <v>2</v>
      </c>
      <c r="M1002" s="17">
        <f t="shared" si="82"/>
        <v>0.5</v>
      </c>
      <c r="N1002" s="17">
        <f>IF(OR(L1002="",L1002=0),"",Параметры!$B$3/L1002)</f>
        <v>4</v>
      </c>
      <c r="O1002" s="15">
        <f>IF(L1002="","",IFERROR(INDEX('Почасовка — ставки и план'!$D$5:$D$24,MATCH($D1002,'Почасовка — ставки и план'!$A$5:$A$24,0)),""))</f>
        <v>850</v>
      </c>
      <c r="P1002" s="15">
        <f>IF(L1002="","",IFERROR(INDEX('Почасовка — ставки и план'!$E$5:$E$24,MATCH($D1002,'Почасовка — ставки и план'!$A$5:$A$24,0)),""))</f>
        <v>1020</v>
      </c>
      <c r="Q1002" s="15">
        <f t="shared" si="83"/>
        <v>1700</v>
      </c>
      <c r="R1002" s="13" t="str">
        <f>IF(D1002="TEX","аренда техники — сделка/счёт",IF(OR(Q1002="",H1002="",H1002=0),"—",IF(Q1002&lt;H1002*(1-Параметры!$B$7),"почасовка",IF(Q1002&gt;H1002*(1+Параметры!$B$7),"сделка","любой способ"))))</f>
        <v>почасовка</v>
      </c>
      <c r="S1002">
        <v>0</v>
      </c>
      <c r="T1002">
        <v>0</v>
      </c>
    </row>
    <row r="1003" spans="1:20" x14ac:dyDescent="0.25">
      <c r="A1003" s="13" t="s">
        <v>2048</v>
      </c>
      <c r="B1003" s="13" t="s">
        <v>2049</v>
      </c>
      <c r="C1003" s="13" t="s">
        <v>144</v>
      </c>
      <c r="D1003" s="13" t="s">
        <v>273</v>
      </c>
      <c r="E1003" s="13" t="str">
        <f>IFERROR(INDEX('Почасовка — ставки и план'!$B$5:$B$24,MATCH(D1003,'Почасовка — ставки и план'!$A$5:$A$24,0)),"Аренда техники / механизмы")</f>
        <v>Электромонтажник</v>
      </c>
      <c r="F1003" s="14">
        <v>2500</v>
      </c>
      <c r="G1003" s="14">
        <v>2875</v>
      </c>
      <c r="H1003" s="15">
        <v>1550</v>
      </c>
      <c r="I1003" s="15">
        <f>IF(OR(H1003="",F1003=""),"",MAX(H1003,MIN(ROUND(H1003*(1+Параметры!$B$5),IF(H1003*(1+Параметры!$B$5)&gt;=1000,-1,0)),ROUND(F1003*Параметры!$B$6,IF(F1003*Параметры!$B$6&gt;=1000,-1,0)))))</f>
        <v>1780</v>
      </c>
      <c r="J1003" s="15">
        <v>1782</v>
      </c>
      <c r="K1003" s="15">
        <f>IF(OR(J1003="",G1003=""),"",MAX(J1003,MIN(ROUND(J1003*(1+Параметры!$B$5),IF(J1003*(1+Параметры!$B$5)&gt;=1000,-1,0)),ROUND(G1003*Параметры!$B$6,IF(G1003*Параметры!$B$6&gt;=1000,-1,0)))))</f>
        <v>2050</v>
      </c>
      <c r="L1003" s="16">
        <v>1.5</v>
      </c>
      <c r="M1003" s="17">
        <f t="shared" si="82"/>
        <v>0.66666666666666663</v>
      </c>
      <c r="N1003" s="17">
        <f>IF(OR(L1003="",L1003=0),"",Параметры!$B$3/L1003)</f>
        <v>5.333333333333333</v>
      </c>
      <c r="O1003" s="15">
        <f>IF(L1003="","",IFERROR(INDEX('Почасовка — ставки и план'!$D$5:$D$24,MATCH($D1003,'Почасовка — ставки и план'!$A$5:$A$24,0)),""))</f>
        <v>850</v>
      </c>
      <c r="P1003" s="15">
        <f>IF(L1003="","",IFERROR(INDEX('Почасовка — ставки и план'!$E$5:$E$24,MATCH($D1003,'Почасовка — ставки и план'!$A$5:$A$24,0)),""))</f>
        <v>1020</v>
      </c>
      <c r="Q1003" s="15">
        <f t="shared" si="83"/>
        <v>1275</v>
      </c>
      <c r="R1003" s="13" t="str">
        <f>IF(D1003="TEX","аренда техники — сделка/счёт",IF(OR(Q1003="",H1003="",H1003=0),"—",IF(Q1003&lt;H1003*(1-Параметры!$B$7),"почасовка",IF(Q1003&gt;H1003*(1+Параметры!$B$7),"сделка","любой способ"))))</f>
        <v>почасовка</v>
      </c>
      <c r="S1003">
        <v>0</v>
      </c>
      <c r="T1003">
        <v>0</v>
      </c>
    </row>
    <row r="1004" spans="1:20" x14ac:dyDescent="0.25">
      <c r="A1004" s="13" t="s">
        <v>2050</v>
      </c>
      <c r="B1004" s="13" t="s">
        <v>2051</v>
      </c>
      <c r="C1004" s="13" t="s">
        <v>144</v>
      </c>
      <c r="D1004" s="13" t="s">
        <v>326</v>
      </c>
      <c r="E1004" s="13" t="str">
        <f>IFERROR(INDEX('Почасовка — ставки и план'!$B$5:$B$24,MATCH(D1004,'Почасовка — ставки и план'!$A$5:$A$24,0)),"Аренда техники / механизмы")</f>
        <v>Сантехник</v>
      </c>
      <c r="F1004" s="14">
        <v>600</v>
      </c>
      <c r="G1004" s="14">
        <v>690</v>
      </c>
      <c r="H1004" s="15">
        <v>372</v>
      </c>
      <c r="I1004" s="15">
        <f>IF(OR(H1004="",F1004=""),"",MAX(H1004,MIN(ROUND(H1004*(1+Параметры!$B$5),IF(H1004*(1+Параметры!$B$5)&gt;=1000,-1,0)),ROUND(F1004*Параметры!$B$6,IF(F1004*Параметры!$B$6&gt;=1000,-1,0)))))</f>
        <v>428</v>
      </c>
      <c r="J1004" s="15">
        <v>428</v>
      </c>
      <c r="K1004" s="15">
        <f>IF(OR(J1004="",G1004=""),"",MAX(J1004,MIN(ROUND(J1004*(1+Параметры!$B$5),IF(J1004*(1+Параметры!$B$5)&gt;=1000,-1,0)),ROUND(G1004*Параметры!$B$6,IF(G1004*Параметры!$B$6&gt;=1000,-1,0)))))</f>
        <v>492</v>
      </c>
      <c r="L1004" s="16">
        <v>0.4</v>
      </c>
      <c r="M1004" s="17">
        <f t="shared" si="82"/>
        <v>2.5</v>
      </c>
      <c r="N1004" s="17">
        <f>IF(OR(L1004="",L1004=0),"",Параметры!$B$3/L1004)</f>
        <v>20</v>
      </c>
      <c r="O1004" s="15">
        <f>IF(L1004="","",IFERROR(INDEX('Почасовка — ставки и план'!$D$5:$D$24,MATCH($D1004,'Почасовка — ставки и план'!$A$5:$A$24,0)),""))</f>
        <v>850</v>
      </c>
      <c r="P1004" s="15">
        <f>IF(L1004="","",IFERROR(INDEX('Почасовка — ставки и план'!$E$5:$E$24,MATCH($D1004,'Почасовка — ставки и план'!$A$5:$A$24,0)),""))</f>
        <v>1020</v>
      </c>
      <c r="Q1004" s="15">
        <f t="shared" si="83"/>
        <v>340</v>
      </c>
      <c r="R1004" s="13" t="str">
        <f>IF(D1004="TEX","аренда техники — сделка/счёт",IF(OR(Q1004="",H1004="",H1004=0),"—",IF(Q1004&lt;H1004*(1-Параметры!$B$7),"почасовка",IF(Q1004&gt;H1004*(1+Параметры!$B$7),"сделка","любой способ"))))</f>
        <v>любой способ</v>
      </c>
      <c r="S1004">
        <v>0</v>
      </c>
      <c r="T1004">
        <v>0</v>
      </c>
    </row>
    <row r="1005" spans="1:20" x14ac:dyDescent="0.25">
      <c r="A1005" s="13" t="s">
        <v>2052</v>
      </c>
      <c r="B1005" s="13" t="s">
        <v>2053</v>
      </c>
      <c r="C1005" s="13" t="s">
        <v>144</v>
      </c>
      <c r="D1005" s="13" t="s">
        <v>326</v>
      </c>
      <c r="E1005" s="13" t="str">
        <f>IFERROR(INDEX('Почасовка — ставки и план'!$B$5:$B$24,MATCH(D1005,'Почасовка — ставки и план'!$A$5:$A$24,0)),"Аренда техники / механизмы")</f>
        <v>Сантехник</v>
      </c>
      <c r="F1005" s="14">
        <v>1200</v>
      </c>
      <c r="G1005" s="14">
        <v>1380</v>
      </c>
      <c r="H1005" s="15">
        <v>744</v>
      </c>
      <c r="I1005" s="15">
        <f>IF(OR(H1005="",F1005=""),"",MAX(H1005,MIN(ROUND(H1005*(1+Параметры!$B$5),IF(H1005*(1+Параметры!$B$5)&gt;=1000,-1,0)),ROUND(F1005*Параметры!$B$6,IF(F1005*Параметры!$B$6&gt;=1000,-1,0)))))</f>
        <v>856</v>
      </c>
      <c r="J1005" s="15">
        <v>856</v>
      </c>
      <c r="K1005" s="15">
        <f>IF(OR(J1005="",G1005=""),"",MAX(J1005,MIN(ROUND(J1005*(1+Параметры!$B$5),IF(J1005*(1+Параметры!$B$5)&gt;=1000,-1,0)),ROUND(G1005*Параметры!$B$6,IF(G1005*Параметры!$B$6&gt;=1000,-1,0)))))</f>
        <v>984</v>
      </c>
      <c r="L1005" s="16">
        <v>0.8</v>
      </c>
      <c r="M1005" s="17">
        <f t="shared" si="82"/>
        <v>1.25</v>
      </c>
      <c r="N1005" s="17">
        <f>IF(OR(L1005="",L1005=0),"",Параметры!$B$3/L1005)</f>
        <v>10</v>
      </c>
      <c r="O1005" s="15">
        <f>IF(L1005="","",IFERROR(INDEX('Почасовка — ставки и план'!$D$5:$D$24,MATCH($D1005,'Почасовка — ставки и план'!$A$5:$A$24,0)),""))</f>
        <v>850</v>
      </c>
      <c r="P1005" s="15">
        <f>IF(L1005="","",IFERROR(INDEX('Почасовка — ставки и план'!$E$5:$E$24,MATCH($D1005,'Почасовка — ставки и план'!$A$5:$A$24,0)),""))</f>
        <v>1020</v>
      </c>
      <c r="Q1005" s="15">
        <f t="shared" si="83"/>
        <v>680</v>
      </c>
      <c r="R1005" s="13" t="str">
        <f>IF(D1005="TEX","аренда техники — сделка/счёт",IF(OR(Q1005="",H1005="",H1005=0),"—",IF(Q1005&lt;H1005*(1-Параметры!$B$7),"почасовка",IF(Q1005&gt;H1005*(1+Параметры!$B$7),"сделка","любой способ"))))</f>
        <v>любой способ</v>
      </c>
      <c r="S1005">
        <v>0</v>
      </c>
      <c r="T1005">
        <v>0</v>
      </c>
    </row>
    <row r="1006" spans="1:20" x14ac:dyDescent="0.25">
      <c r="A1006" s="13" t="s">
        <v>2054</v>
      </c>
      <c r="B1006" s="13" t="s">
        <v>2055</v>
      </c>
      <c r="C1006" s="13" t="s">
        <v>144</v>
      </c>
      <c r="D1006" s="13" t="s">
        <v>326</v>
      </c>
      <c r="E1006" s="13" t="str">
        <f>IFERROR(INDEX('Почасовка — ставки и план'!$B$5:$B$24,MATCH(D1006,'Почасовка — ставки и план'!$A$5:$A$24,0)),"Аренда техники / механизмы")</f>
        <v>Сантехник</v>
      </c>
      <c r="F1006" s="14">
        <v>1200</v>
      </c>
      <c r="G1006" s="14">
        <v>1380</v>
      </c>
      <c r="H1006" s="15">
        <v>744</v>
      </c>
      <c r="I1006" s="15">
        <f>IF(OR(H1006="",F1006=""),"",MAX(H1006,MIN(ROUND(H1006*(1+Параметры!$B$5),IF(H1006*(1+Параметры!$B$5)&gt;=1000,-1,0)),ROUND(F1006*Параметры!$B$6,IF(F1006*Параметры!$B$6&gt;=1000,-1,0)))))</f>
        <v>856</v>
      </c>
      <c r="J1006" s="15">
        <v>856</v>
      </c>
      <c r="K1006" s="15">
        <f>IF(OR(J1006="",G1006=""),"",MAX(J1006,MIN(ROUND(J1006*(1+Параметры!$B$5),IF(J1006*(1+Параметры!$B$5)&gt;=1000,-1,0)),ROUND(G1006*Параметры!$B$6,IF(G1006*Параметры!$B$6&gt;=1000,-1,0)))))</f>
        <v>984</v>
      </c>
      <c r="L1006" s="16">
        <v>0.8</v>
      </c>
      <c r="M1006" s="17">
        <f t="shared" si="82"/>
        <v>1.25</v>
      </c>
      <c r="N1006" s="17">
        <f>IF(OR(L1006="",L1006=0),"",Параметры!$B$3/L1006)</f>
        <v>10</v>
      </c>
      <c r="O1006" s="15">
        <f>IF(L1006="","",IFERROR(INDEX('Почасовка — ставки и план'!$D$5:$D$24,MATCH($D1006,'Почасовка — ставки и план'!$A$5:$A$24,0)),""))</f>
        <v>850</v>
      </c>
      <c r="P1006" s="15">
        <f>IF(L1006="","",IFERROR(INDEX('Почасовка — ставки и план'!$E$5:$E$24,MATCH($D1006,'Почасовка — ставки и план'!$A$5:$A$24,0)),""))</f>
        <v>1020</v>
      </c>
      <c r="Q1006" s="15">
        <f t="shared" si="83"/>
        <v>680</v>
      </c>
      <c r="R1006" s="13" t="str">
        <f>IF(D1006="TEX","аренда техники — сделка/счёт",IF(OR(Q1006="",H1006="",H1006=0),"—",IF(Q1006&lt;H1006*(1-Параметры!$B$7),"почасовка",IF(Q1006&gt;H1006*(1+Параметры!$B$7),"сделка","любой способ"))))</f>
        <v>любой способ</v>
      </c>
      <c r="S1006">
        <v>0</v>
      </c>
      <c r="T1006">
        <v>0</v>
      </c>
    </row>
    <row r="1007" spans="1:20" x14ac:dyDescent="0.25">
      <c r="A1007" s="13" t="s">
        <v>2056</v>
      </c>
      <c r="B1007" s="13" t="s">
        <v>2057</v>
      </c>
      <c r="C1007" s="13" t="s">
        <v>69</v>
      </c>
      <c r="D1007" s="13" t="s">
        <v>326</v>
      </c>
      <c r="E1007" s="13" t="str">
        <f>IFERROR(INDEX('Почасовка — ставки и план'!$B$5:$B$24,MATCH(D1007,'Почасовка — ставки и план'!$A$5:$A$24,0)),"Аренда техники / механизмы")</f>
        <v>Сантехник</v>
      </c>
      <c r="F1007" s="14">
        <v>280</v>
      </c>
      <c r="G1007" s="14">
        <v>322</v>
      </c>
      <c r="H1007" s="15">
        <v>174</v>
      </c>
      <c r="I1007" s="15">
        <f>IF(OR(H1007="",F1007=""),"",MAX(H1007,MIN(ROUND(H1007*(1+Параметры!$B$5),IF(H1007*(1+Параметры!$B$5)&gt;=1000,-1,0)),ROUND(F1007*Параметры!$B$6,IF(F1007*Параметры!$B$6&gt;=1000,-1,0)))))</f>
        <v>200</v>
      </c>
      <c r="J1007" s="15">
        <v>200</v>
      </c>
      <c r="K1007" s="15">
        <f>IF(OR(J1007="",G1007=""),"",MAX(J1007,MIN(ROUND(J1007*(1+Параметры!$B$5),IF(J1007*(1+Параметры!$B$5)&gt;=1000,-1,0)),ROUND(G1007*Параметры!$B$6,IF(G1007*Параметры!$B$6&gt;=1000,-1,0)))))</f>
        <v>230</v>
      </c>
      <c r="L1007" s="16">
        <v>0.2</v>
      </c>
      <c r="M1007" s="17">
        <f t="shared" si="82"/>
        <v>5</v>
      </c>
      <c r="N1007" s="17">
        <f>IF(OR(L1007="",L1007=0),"",Параметры!$B$3/L1007)</f>
        <v>40</v>
      </c>
      <c r="O1007" s="15">
        <f>IF(L1007="","",IFERROR(INDEX('Почасовка — ставки и план'!$D$5:$D$24,MATCH($D1007,'Почасовка — ставки и план'!$A$5:$A$24,0)),""))</f>
        <v>850</v>
      </c>
      <c r="P1007" s="15">
        <f>IF(L1007="","",IFERROR(INDEX('Почасовка — ставки и план'!$E$5:$E$24,MATCH($D1007,'Почасовка — ставки и план'!$A$5:$A$24,0)),""))</f>
        <v>1020</v>
      </c>
      <c r="Q1007" s="15">
        <f t="shared" si="83"/>
        <v>170</v>
      </c>
      <c r="R1007" s="13" t="str">
        <f>IF(D1007="TEX","аренда техники — сделка/счёт",IF(OR(Q1007="",H1007="",H1007=0),"—",IF(Q1007&lt;H1007*(1-Параметры!$B$7),"почасовка",IF(Q1007&gt;H1007*(1+Параметры!$B$7),"сделка","любой способ"))))</f>
        <v>любой способ</v>
      </c>
      <c r="S1007">
        <v>0</v>
      </c>
      <c r="T1007">
        <v>0</v>
      </c>
    </row>
    <row r="1008" spans="1:20" x14ac:dyDescent="0.25">
      <c r="A1008" s="13" t="s">
        <v>2058</v>
      </c>
      <c r="B1008" s="13" t="s">
        <v>2059</v>
      </c>
      <c r="C1008" s="13" t="s">
        <v>144</v>
      </c>
      <c r="D1008" s="13" t="s">
        <v>273</v>
      </c>
      <c r="E1008" s="13" t="str">
        <f>IFERROR(INDEX('Почасовка — ставки и план'!$B$5:$B$24,MATCH(D1008,'Почасовка — ставки и план'!$A$5:$A$24,0)),"Аренда техники / механизмы")</f>
        <v>Электромонтажник</v>
      </c>
      <c r="F1008" s="14">
        <v>1500</v>
      </c>
      <c r="G1008" s="14">
        <v>1725</v>
      </c>
      <c r="H1008" s="15">
        <v>930</v>
      </c>
      <c r="I1008" s="15">
        <f>IF(OR(H1008="",F1008=""),"",MAX(H1008,MIN(ROUND(H1008*(1+Параметры!$B$5),IF(H1008*(1+Параметры!$B$5)&gt;=1000,-1,0)),ROUND(F1008*Параметры!$B$6,IF(F1008*Параметры!$B$6&gt;=1000,-1,0)))))</f>
        <v>1070</v>
      </c>
      <c r="J1008" s="15">
        <v>1069</v>
      </c>
      <c r="K1008" s="15">
        <f>IF(OR(J1008="",G1008=""),"",MAX(J1008,MIN(ROUND(J1008*(1+Параметры!$B$5),IF(J1008*(1+Параметры!$B$5)&gt;=1000,-1,0)),ROUND(G1008*Параметры!$B$6,IF(G1008*Параметры!$B$6&gt;=1000,-1,0)))))</f>
        <v>1230</v>
      </c>
      <c r="L1008" s="16">
        <v>1</v>
      </c>
      <c r="M1008" s="17">
        <f t="shared" si="82"/>
        <v>1</v>
      </c>
      <c r="N1008" s="17">
        <f>IF(OR(L1008="",L1008=0),"",Параметры!$B$3/L1008)</f>
        <v>8</v>
      </c>
      <c r="O1008" s="15">
        <f>IF(L1008="","",IFERROR(INDEX('Почасовка — ставки и план'!$D$5:$D$24,MATCH($D1008,'Почасовка — ставки и план'!$A$5:$A$24,0)),""))</f>
        <v>850</v>
      </c>
      <c r="P1008" s="15">
        <f>IF(L1008="","",IFERROR(INDEX('Почасовка — ставки и план'!$E$5:$E$24,MATCH($D1008,'Почасовка — ставки и план'!$A$5:$A$24,0)),""))</f>
        <v>1020</v>
      </c>
      <c r="Q1008" s="15">
        <f t="shared" si="83"/>
        <v>850</v>
      </c>
      <c r="R1008" s="13" t="str">
        <f>IF(D1008="TEX","аренда техники — сделка/счёт",IF(OR(Q1008="",H1008="",H1008=0),"—",IF(Q1008&lt;H1008*(1-Параметры!$B$7),"почасовка",IF(Q1008&gt;H1008*(1+Параметры!$B$7),"сделка","любой способ"))))</f>
        <v>любой способ</v>
      </c>
      <c r="S1008">
        <v>0</v>
      </c>
      <c r="T1008">
        <v>0</v>
      </c>
    </row>
    <row r="1009" spans="1:20" x14ac:dyDescent="0.25">
      <c r="A1009" s="13" t="s">
        <v>2060</v>
      </c>
      <c r="B1009" s="13" t="s">
        <v>2061</v>
      </c>
      <c r="C1009" s="13" t="s">
        <v>144</v>
      </c>
      <c r="D1009" s="13" t="s">
        <v>64</v>
      </c>
      <c r="E1009" s="13" t="str">
        <f>IFERROR(INDEX('Почасовка — ставки и план'!$B$5:$B$24,MATCH(D1009,'Почасовка — ставки и план'!$A$5:$A$24,0)),"Аренда техники / механизмы")</f>
        <v>Сварщик / монтажник МК</v>
      </c>
      <c r="F1009" s="14">
        <v>4800</v>
      </c>
      <c r="G1009" s="14">
        <v>5520</v>
      </c>
      <c r="H1009" s="15">
        <v>2976</v>
      </c>
      <c r="I1009" s="15">
        <f>IF(OR(H1009="",F1009=""),"",MAX(H1009,MIN(ROUND(H1009*(1+Параметры!$B$5),IF(H1009*(1+Параметры!$B$5)&gt;=1000,-1,0)),ROUND(F1009*Параметры!$B$6,IF(F1009*Параметры!$B$6&gt;=1000,-1,0)))))</f>
        <v>3420</v>
      </c>
      <c r="J1009" s="15">
        <v>3422</v>
      </c>
      <c r="K1009" s="15">
        <f>IF(OR(J1009="",G1009=""),"",MAX(J1009,MIN(ROUND(J1009*(1+Параметры!$B$5),IF(J1009*(1+Параметры!$B$5)&gt;=1000,-1,0)),ROUND(G1009*Параметры!$B$6,IF(G1009*Параметры!$B$6&gt;=1000,-1,0)))))</f>
        <v>3940</v>
      </c>
      <c r="L1009" s="16">
        <v>3.8</v>
      </c>
      <c r="M1009" s="17">
        <f t="shared" si="82"/>
        <v>0.26315789473684209</v>
      </c>
      <c r="N1009" s="17">
        <f>IF(OR(L1009="",L1009=0),"",Параметры!$B$3/L1009)</f>
        <v>2.1052631578947367</v>
      </c>
      <c r="O1009" s="15">
        <f>IF(L1009="","",IFERROR(INDEX('Почасовка — ставки и план'!$D$5:$D$24,MATCH($D1009,'Почасовка — ставки и план'!$A$5:$A$24,0)),""))</f>
        <v>900</v>
      </c>
      <c r="P1009" s="15">
        <f>IF(L1009="","",IFERROR(INDEX('Почасовка — ставки и план'!$E$5:$E$24,MATCH($D1009,'Почасовка — ставки и план'!$A$5:$A$24,0)),""))</f>
        <v>1080</v>
      </c>
      <c r="Q1009" s="15">
        <f t="shared" si="83"/>
        <v>3420</v>
      </c>
      <c r="R1009" s="13" t="str">
        <f>IF(D1009="TEX","аренда техники — сделка/счёт",IF(OR(Q1009="",H1009="",H1009=0),"—",IF(Q1009&lt;H1009*(1-Параметры!$B$7),"почасовка",IF(Q1009&gt;H1009*(1+Параметры!$B$7),"сделка","любой способ"))))</f>
        <v>сделка</v>
      </c>
      <c r="S1009">
        <v>0</v>
      </c>
      <c r="T1009">
        <v>0</v>
      </c>
    </row>
    <row r="1010" spans="1:20" x14ac:dyDescent="0.25">
      <c r="A1010" s="13" t="s">
        <v>2062</v>
      </c>
      <c r="B1010" s="13" t="s">
        <v>2063</v>
      </c>
      <c r="C1010" s="13" t="s">
        <v>144</v>
      </c>
      <c r="D1010" s="13" t="s">
        <v>64</v>
      </c>
      <c r="E1010" s="13" t="str">
        <f>IFERROR(INDEX('Почасовка — ставки и план'!$B$5:$B$24,MATCH(D1010,'Почасовка — ставки и план'!$A$5:$A$24,0)),"Аренда техники / механизмы")</f>
        <v>Сварщик / монтажник МК</v>
      </c>
      <c r="F1010" s="14">
        <v>8000</v>
      </c>
      <c r="G1010" s="14">
        <v>9200</v>
      </c>
      <c r="H1010" s="15">
        <v>4960</v>
      </c>
      <c r="I1010" s="15">
        <f>IF(OR(H1010="",F1010=""),"",MAX(H1010,MIN(ROUND(H1010*(1+Параметры!$B$5),IF(H1010*(1+Параметры!$B$5)&gt;=1000,-1,0)),ROUND(F1010*Параметры!$B$6,IF(F1010*Параметры!$B$6&gt;=1000,-1,0)))))</f>
        <v>5700</v>
      </c>
      <c r="J1010" s="15">
        <v>5704</v>
      </c>
      <c r="K1010" s="15">
        <f>IF(OR(J1010="",G1010=""),"",MAX(J1010,MIN(ROUND(J1010*(1+Параметры!$B$5),IF(J1010*(1+Параметры!$B$5)&gt;=1000,-1,0)),ROUND(G1010*Параметры!$B$6,IF(G1010*Параметры!$B$6&gt;=1000,-1,0)))))</f>
        <v>6560</v>
      </c>
      <c r="L1010" s="16">
        <v>6</v>
      </c>
      <c r="M1010" s="17">
        <f t="shared" si="82"/>
        <v>0.16666666666666666</v>
      </c>
      <c r="N1010" s="17">
        <f>IF(OR(L1010="",L1010=0),"",Параметры!$B$3/L1010)</f>
        <v>1.3333333333333333</v>
      </c>
      <c r="O1010" s="15">
        <f>IF(L1010="","",IFERROR(INDEX('Почасовка — ставки и план'!$D$5:$D$24,MATCH($D1010,'Почасовка — ставки и план'!$A$5:$A$24,0)),""))</f>
        <v>900</v>
      </c>
      <c r="P1010" s="15">
        <f>IF(L1010="","",IFERROR(INDEX('Почасовка — ставки и план'!$E$5:$E$24,MATCH($D1010,'Почасовка — ставки и план'!$A$5:$A$24,0)),""))</f>
        <v>1080</v>
      </c>
      <c r="Q1010" s="15">
        <f t="shared" si="83"/>
        <v>5400</v>
      </c>
      <c r="R1010" s="13" t="str">
        <f>IF(D1010="TEX","аренда техники — сделка/счёт",IF(OR(Q1010="",H1010="",H1010=0),"—",IF(Q1010&lt;H1010*(1-Параметры!$B$7),"почасовка",IF(Q1010&gt;H1010*(1+Параметры!$B$7),"сделка","любой способ"))))</f>
        <v>любой способ</v>
      </c>
      <c r="S1010">
        <v>0</v>
      </c>
      <c r="T1010">
        <v>0</v>
      </c>
    </row>
    <row r="1011" spans="1:20" x14ac:dyDescent="0.25">
      <c r="A1011" s="13" t="s">
        <v>2064</v>
      </c>
      <c r="B1011" s="13" t="s">
        <v>2065</v>
      </c>
      <c r="C1011" s="13" t="s">
        <v>144</v>
      </c>
      <c r="D1011" s="13" t="s">
        <v>64</v>
      </c>
      <c r="E1011" s="13" t="str">
        <f>IFERROR(INDEX('Почасовка — ставки и план'!$B$5:$B$24,MATCH(D1011,'Почасовка — ставки и план'!$A$5:$A$24,0)),"Аренда техники / механизмы")</f>
        <v>Сварщик / монтажник МК</v>
      </c>
      <c r="F1011" s="14">
        <v>2000</v>
      </c>
      <c r="G1011" s="14">
        <v>2300</v>
      </c>
      <c r="H1011" s="15">
        <v>1240</v>
      </c>
      <c r="I1011" s="15">
        <f>IF(OR(H1011="",F1011=""),"",MAX(H1011,MIN(ROUND(H1011*(1+Параметры!$B$5),IF(H1011*(1+Параметры!$B$5)&gt;=1000,-1,0)),ROUND(F1011*Параметры!$B$6,IF(F1011*Параметры!$B$6&gt;=1000,-1,0)))))</f>
        <v>1430</v>
      </c>
      <c r="J1011" s="15">
        <v>1426</v>
      </c>
      <c r="K1011" s="15">
        <f>IF(OR(J1011="",G1011=""),"",MAX(J1011,MIN(ROUND(J1011*(1+Параметры!$B$5),IF(J1011*(1+Параметры!$B$5)&gt;=1000,-1,0)),ROUND(G1011*Параметры!$B$6,IF(G1011*Параметры!$B$6&gt;=1000,-1,0)))))</f>
        <v>1640</v>
      </c>
      <c r="L1011" s="16">
        <v>1.5</v>
      </c>
      <c r="M1011" s="17">
        <f t="shared" si="82"/>
        <v>0.66666666666666663</v>
      </c>
      <c r="N1011" s="17">
        <f>IF(OR(L1011="",L1011=0),"",Параметры!$B$3/L1011)</f>
        <v>5.333333333333333</v>
      </c>
      <c r="O1011" s="15">
        <f>IF(L1011="","",IFERROR(INDEX('Почасовка — ставки и план'!$D$5:$D$24,MATCH($D1011,'Почасовка — ставки и план'!$A$5:$A$24,0)),""))</f>
        <v>900</v>
      </c>
      <c r="P1011" s="15">
        <f>IF(L1011="","",IFERROR(INDEX('Почасовка — ставки и план'!$E$5:$E$24,MATCH($D1011,'Почасовка — ставки и план'!$A$5:$A$24,0)),""))</f>
        <v>1080</v>
      </c>
      <c r="Q1011" s="15">
        <f t="shared" si="83"/>
        <v>1350</v>
      </c>
      <c r="R1011" s="13" t="str">
        <f>IF(D1011="TEX","аренда техники — сделка/счёт",IF(OR(Q1011="",H1011="",H1011=0),"—",IF(Q1011&lt;H1011*(1-Параметры!$B$7),"почасовка",IF(Q1011&gt;H1011*(1+Параметры!$B$7),"сделка","любой способ"))))</f>
        <v>любой способ</v>
      </c>
      <c r="S1011">
        <v>0</v>
      </c>
      <c r="T1011">
        <v>0</v>
      </c>
    </row>
    <row r="1012" spans="1:20" x14ac:dyDescent="0.25">
      <c r="A1012" s="13" t="s">
        <v>2066</v>
      </c>
      <c r="B1012" s="13" t="s">
        <v>2067</v>
      </c>
      <c r="C1012" s="13" t="s">
        <v>144</v>
      </c>
      <c r="D1012" s="13" t="s">
        <v>64</v>
      </c>
      <c r="E1012" s="13" t="str">
        <f>IFERROR(INDEX('Почасовка — ставки и план'!$B$5:$B$24,MATCH(D1012,'Почасовка — ставки и план'!$A$5:$A$24,0)),"Аренда техники / механизмы")</f>
        <v>Сварщик / монтажник МК</v>
      </c>
      <c r="F1012" s="14">
        <v>2800</v>
      </c>
      <c r="G1012" s="14">
        <v>3220</v>
      </c>
      <c r="H1012" s="15">
        <v>1736</v>
      </c>
      <c r="I1012" s="15">
        <f>IF(OR(H1012="",F1012=""),"",MAX(H1012,MIN(ROUND(H1012*(1+Параметры!$B$5),IF(H1012*(1+Параметры!$B$5)&gt;=1000,-1,0)),ROUND(F1012*Параметры!$B$6,IF(F1012*Параметры!$B$6&gt;=1000,-1,0)))))</f>
        <v>2000</v>
      </c>
      <c r="J1012" s="15">
        <v>1996</v>
      </c>
      <c r="K1012" s="15">
        <f>IF(OR(J1012="",G1012=""),"",MAX(J1012,MIN(ROUND(J1012*(1+Параметры!$B$5),IF(J1012*(1+Параметры!$B$5)&gt;=1000,-1,0)),ROUND(G1012*Параметры!$B$6,IF(G1012*Параметры!$B$6&gt;=1000,-1,0)))))</f>
        <v>2300</v>
      </c>
      <c r="L1012" s="16">
        <v>2.2000000000000002</v>
      </c>
      <c r="M1012" s="17">
        <f t="shared" si="82"/>
        <v>0.45454545454545453</v>
      </c>
      <c r="N1012" s="17">
        <f>IF(OR(L1012="",L1012=0),"",Параметры!$B$3/L1012)</f>
        <v>3.6363636363636362</v>
      </c>
      <c r="O1012" s="15">
        <f>IF(L1012="","",IFERROR(INDEX('Почасовка — ставки и план'!$D$5:$D$24,MATCH($D1012,'Почасовка — ставки и план'!$A$5:$A$24,0)),""))</f>
        <v>900</v>
      </c>
      <c r="P1012" s="15">
        <f>IF(L1012="","",IFERROR(INDEX('Почасовка — ставки и план'!$E$5:$E$24,MATCH($D1012,'Почасовка — ставки и план'!$A$5:$A$24,0)),""))</f>
        <v>1080</v>
      </c>
      <c r="Q1012" s="15">
        <f t="shared" si="83"/>
        <v>1980</v>
      </c>
      <c r="R1012" s="13" t="str">
        <f>IF(D1012="TEX","аренда техники — сделка/счёт",IF(OR(Q1012="",H1012="",H1012=0),"—",IF(Q1012&lt;H1012*(1-Параметры!$B$7),"почасовка",IF(Q1012&gt;H1012*(1+Параметры!$B$7),"сделка","любой способ"))))</f>
        <v>сделка</v>
      </c>
      <c r="S1012">
        <v>0</v>
      </c>
      <c r="T1012">
        <v>0</v>
      </c>
    </row>
    <row r="1013" spans="1:20" x14ac:dyDescent="0.25">
      <c r="A1013" s="13" t="s">
        <v>2068</v>
      </c>
      <c r="B1013" s="13" t="s">
        <v>2069</v>
      </c>
      <c r="C1013" s="13" t="s">
        <v>144</v>
      </c>
      <c r="D1013" s="13" t="s">
        <v>326</v>
      </c>
      <c r="E1013" s="13" t="str">
        <f>IFERROR(INDEX('Почасовка — ставки и план'!$B$5:$B$24,MATCH(D1013,'Почасовка — ставки и план'!$A$5:$A$24,0)),"Аренда техники / механизмы")</f>
        <v>Сантехник</v>
      </c>
      <c r="F1013" s="14">
        <v>7500</v>
      </c>
      <c r="G1013" s="14">
        <v>8625</v>
      </c>
      <c r="H1013" s="15">
        <v>4650</v>
      </c>
      <c r="I1013" s="15">
        <f>IF(OR(H1013="",F1013=""),"",MAX(H1013,MIN(ROUND(H1013*(1+Параметры!$B$5),IF(H1013*(1+Параметры!$B$5)&gt;=1000,-1,0)),ROUND(F1013*Параметры!$B$6,IF(F1013*Параметры!$B$6&gt;=1000,-1,0)))))</f>
        <v>5350</v>
      </c>
      <c r="J1013" s="15">
        <v>5348</v>
      </c>
      <c r="K1013" s="15">
        <f>IF(OR(J1013="",G1013=""),"",MAX(J1013,MIN(ROUND(J1013*(1+Параметры!$B$5),IF(J1013*(1+Параметры!$B$5)&gt;=1000,-1,0)),ROUND(G1013*Параметры!$B$6,IF(G1013*Параметры!$B$6&gt;=1000,-1,0)))))</f>
        <v>6150</v>
      </c>
      <c r="L1013" s="16">
        <v>4.5</v>
      </c>
      <c r="M1013" s="17">
        <f t="shared" si="82"/>
        <v>0.22222222222222221</v>
      </c>
      <c r="N1013" s="17">
        <f>IF(OR(L1013="",L1013=0),"",Параметры!$B$3/L1013)</f>
        <v>1.7777777777777777</v>
      </c>
      <c r="O1013" s="15">
        <f>IF(L1013="","",IFERROR(INDEX('Почасовка — ставки и план'!$D$5:$D$24,MATCH($D1013,'Почасовка — ставки и план'!$A$5:$A$24,0)),""))</f>
        <v>850</v>
      </c>
      <c r="P1013" s="15">
        <f>IF(L1013="","",IFERROR(INDEX('Почасовка — ставки и план'!$E$5:$E$24,MATCH($D1013,'Почасовка — ставки и план'!$A$5:$A$24,0)),""))</f>
        <v>1020</v>
      </c>
      <c r="Q1013" s="15">
        <f t="shared" si="83"/>
        <v>3825</v>
      </c>
      <c r="R1013" s="13" t="str">
        <f>IF(D1013="TEX","аренда техники — сделка/счёт",IF(OR(Q1013="",H1013="",H1013=0),"—",IF(Q1013&lt;H1013*(1-Параметры!$B$7),"почасовка",IF(Q1013&gt;H1013*(1+Параметры!$B$7),"сделка","любой способ"))))</f>
        <v>почасовка</v>
      </c>
      <c r="S1013">
        <v>0</v>
      </c>
      <c r="T1013">
        <v>0</v>
      </c>
    </row>
    <row r="1014" spans="1:20" x14ac:dyDescent="0.25">
      <c r="A1014" s="13" t="s">
        <v>2070</v>
      </c>
      <c r="B1014" s="13" t="s">
        <v>2071</v>
      </c>
      <c r="C1014" s="13" t="s">
        <v>144</v>
      </c>
      <c r="D1014" s="13" t="s">
        <v>273</v>
      </c>
      <c r="E1014" s="13" t="str">
        <f>IFERROR(INDEX('Почасовка — ставки и план'!$B$5:$B$24,MATCH(D1014,'Почасовка — ставки и план'!$A$5:$A$24,0)),"Аренда техники / механизмы")</f>
        <v>Электромонтажник</v>
      </c>
      <c r="F1014" s="14">
        <v>4500</v>
      </c>
      <c r="G1014" s="14">
        <v>5175</v>
      </c>
      <c r="H1014" s="15">
        <v>2790</v>
      </c>
      <c r="I1014" s="15">
        <f>IF(OR(H1014="",F1014=""),"",MAX(H1014,MIN(ROUND(H1014*(1+Параметры!$B$5),IF(H1014*(1+Параметры!$B$5)&gt;=1000,-1,0)),ROUND(F1014*Параметры!$B$6,IF(F1014*Параметры!$B$6&gt;=1000,-1,0)))))</f>
        <v>3210</v>
      </c>
      <c r="J1014" s="15">
        <v>3208</v>
      </c>
      <c r="K1014" s="15">
        <f>IF(OR(J1014="",G1014=""),"",MAX(J1014,MIN(ROUND(J1014*(1+Параметры!$B$5),IF(J1014*(1+Параметры!$B$5)&gt;=1000,-1,0)),ROUND(G1014*Параметры!$B$6,IF(G1014*Параметры!$B$6&gt;=1000,-1,0)))))</f>
        <v>3690</v>
      </c>
      <c r="L1014" s="16">
        <v>3</v>
      </c>
      <c r="M1014" s="17">
        <f t="shared" si="82"/>
        <v>0.33333333333333331</v>
      </c>
      <c r="N1014" s="17">
        <f>IF(OR(L1014="",L1014=0),"",Параметры!$B$3/L1014)</f>
        <v>2.6666666666666665</v>
      </c>
      <c r="O1014" s="15">
        <f>IF(L1014="","",IFERROR(INDEX('Почасовка — ставки и план'!$D$5:$D$24,MATCH($D1014,'Почасовка — ставки и план'!$A$5:$A$24,0)),""))</f>
        <v>850</v>
      </c>
      <c r="P1014" s="15">
        <f>IF(L1014="","",IFERROR(INDEX('Почасовка — ставки и план'!$E$5:$E$24,MATCH($D1014,'Почасовка — ставки и план'!$A$5:$A$24,0)),""))</f>
        <v>1020</v>
      </c>
      <c r="Q1014" s="15">
        <f t="shared" si="83"/>
        <v>2550</v>
      </c>
      <c r="R1014" s="13" t="str">
        <f>IF(D1014="TEX","аренда техники — сделка/счёт",IF(OR(Q1014="",H1014="",H1014=0),"—",IF(Q1014&lt;H1014*(1-Параметры!$B$7),"почасовка",IF(Q1014&gt;H1014*(1+Параметры!$B$7),"сделка","любой способ"))))</f>
        <v>любой способ</v>
      </c>
      <c r="S1014">
        <v>0</v>
      </c>
      <c r="T1014">
        <v>0</v>
      </c>
    </row>
    <row r="1015" spans="1:20" x14ac:dyDescent="0.25">
      <c r="A1015" s="13" t="s">
        <v>2072</v>
      </c>
      <c r="B1015" s="13" t="s">
        <v>2073</v>
      </c>
      <c r="C1015" s="13" t="s">
        <v>144</v>
      </c>
      <c r="D1015" s="13" t="s">
        <v>326</v>
      </c>
      <c r="E1015" s="13" t="str">
        <f>IFERROR(INDEX('Почасовка — ставки и план'!$B$5:$B$24,MATCH(D1015,'Почасовка — ставки и план'!$A$5:$A$24,0)),"Аренда техники / механизмы")</f>
        <v>Сантехник</v>
      </c>
      <c r="F1015" s="14">
        <v>9000</v>
      </c>
      <c r="G1015" s="14">
        <v>10350</v>
      </c>
      <c r="H1015" s="15">
        <v>5580</v>
      </c>
      <c r="I1015" s="15">
        <f>IF(OR(H1015="",F1015=""),"",MAX(H1015,MIN(ROUND(H1015*(1+Параметры!$B$5),IF(H1015*(1+Параметры!$B$5)&gt;=1000,-1,0)),ROUND(F1015*Параметры!$B$6,IF(F1015*Параметры!$B$6&gt;=1000,-1,0)))))</f>
        <v>6420</v>
      </c>
      <c r="J1015" s="15">
        <v>6417</v>
      </c>
      <c r="K1015" s="15">
        <f>IF(OR(J1015="",G1015=""),"",MAX(J1015,MIN(ROUND(J1015*(1+Параметры!$B$5),IF(J1015*(1+Параметры!$B$5)&gt;=1000,-1,0)),ROUND(G1015*Параметры!$B$6,IF(G1015*Параметры!$B$6&gt;=1000,-1,0)))))</f>
        <v>7380</v>
      </c>
      <c r="L1015" s="16">
        <v>6</v>
      </c>
      <c r="M1015" s="17">
        <f t="shared" si="82"/>
        <v>0.16666666666666666</v>
      </c>
      <c r="N1015" s="17">
        <f>IF(OR(L1015="",L1015=0),"",Параметры!$B$3/L1015)</f>
        <v>1.3333333333333333</v>
      </c>
      <c r="O1015" s="15">
        <f>IF(L1015="","",IFERROR(INDEX('Почасовка — ставки и план'!$D$5:$D$24,MATCH($D1015,'Почасовка — ставки и план'!$A$5:$A$24,0)),""))</f>
        <v>850</v>
      </c>
      <c r="P1015" s="15">
        <f>IF(L1015="","",IFERROR(INDEX('Почасовка — ставки и план'!$E$5:$E$24,MATCH($D1015,'Почасовка — ставки и план'!$A$5:$A$24,0)),""))</f>
        <v>1020</v>
      </c>
      <c r="Q1015" s="15">
        <f t="shared" si="83"/>
        <v>5100</v>
      </c>
      <c r="R1015" s="13" t="str">
        <f>IF(D1015="TEX","аренда техники — сделка/счёт",IF(OR(Q1015="",H1015="",H1015=0),"—",IF(Q1015&lt;H1015*(1-Параметры!$B$7),"почасовка",IF(Q1015&gt;H1015*(1+Параметры!$B$7),"сделка","любой способ"))))</f>
        <v>любой способ</v>
      </c>
      <c r="S1015">
        <v>0</v>
      </c>
      <c r="T1015">
        <v>0</v>
      </c>
    </row>
    <row r="1016" spans="1:20" x14ac:dyDescent="0.25">
      <c r="A1016" s="13" t="s">
        <v>2074</v>
      </c>
      <c r="B1016" s="13" t="s">
        <v>2075</v>
      </c>
      <c r="C1016" s="13" t="s">
        <v>144</v>
      </c>
      <c r="D1016" s="13" t="s">
        <v>64</v>
      </c>
      <c r="E1016" s="13" t="str">
        <f>IFERROR(INDEX('Почасовка — ставки и план'!$B$5:$B$24,MATCH(D1016,'Почасовка — ставки и план'!$A$5:$A$24,0)),"Аренда техники / механизмы")</f>
        <v>Сварщик / монтажник МК</v>
      </c>
      <c r="F1016" s="14">
        <v>1000</v>
      </c>
      <c r="G1016" s="14">
        <v>1150</v>
      </c>
      <c r="H1016" s="15">
        <v>620</v>
      </c>
      <c r="I1016" s="15">
        <f>IF(OR(H1016="",F1016=""),"",MAX(H1016,MIN(ROUND(H1016*(1+Параметры!$B$5),IF(H1016*(1+Параметры!$B$5)&gt;=1000,-1,0)),ROUND(F1016*Параметры!$B$6,IF(F1016*Параметры!$B$6&gt;=1000,-1,0)))))</f>
        <v>713</v>
      </c>
      <c r="J1016" s="15">
        <v>713</v>
      </c>
      <c r="K1016" s="15">
        <f>IF(OR(J1016="",G1016=""),"",MAX(J1016,MIN(ROUND(J1016*(1+Параметры!$B$5),IF(J1016*(1+Параметры!$B$5)&gt;=1000,-1,0)),ROUND(G1016*Параметры!$B$6,IF(G1016*Параметры!$B$6&gt;=1000,-1,0)))))</f>
        <v>820</v>
      </c>
      <c r="L1016" s="16">
        <v>0.7</v>
      </c>
      <c r="M1016" s="17">
        <f t="shared" si="82"/>
        <v>1.4285714285714286</v>
      </c>
      <c r="N1016" s="17">
        <f>IF(OR(L1016="",L1016=0),"",Параметры!$B$3/L1016)</f>
        <v>11.428571428571429</v>
      </c>
      <c r="O1016" s="15">
        <f>IF(L1016="","",IFERROR(INDEX('Почасовка — ставки и план'!$D$5:$D$24,MATCH($D1016,'Почасовка — ставки и план'!$A$5:$A$24,0)),""))</f>
        <v>900</v>
      </c>
      <c r="P1016" s="15">
        <f>IF(L1016="","",IFERROR(INDEX('Почасовка — ставки и план'!$E$5:$E$24,MATCH($D1016,'Почасовка — ставки и план'!$A$5:$A$24,0)),""))</f>
        <v>1080</v>
      </c>
      <c r="Q1016" s="15">
        <f t="shared" si="83"/>
        <v>630</v>
      </c>
      <c r="R1016" s="13" t="str">
        <f>IF(D1016="TEX","аренда техники — сделка/счёт",IF(OR(Q1016="",H1016="",H1016=0),"—",IF(Q1016&lt;H1016*(1-Параметры!$B$7),"почасовка",IF(Q1016&gt;H1016*(1+Параметры!$B$7),"сделка","любой способ"))))</f>
        <v>любой способ</v>
      </c>
      <c r="S1016">
        <v>0</v>
      </c>
      <c r="T1016">
        <v>0</v>
      </c>
    </row>
    <row r="1017" spans="1:20" x14ac:dyDescent="0.25">
      <c r="A1017" s="13" t="s">
        <v>2076</v>
      </c>
      <c r="B1017" s="13" t="s">
        <v>2077</v>
      </c>
      <c r="C1017" s="13" t="s">
        <v>144</v>
      </c>
      <c r="D1017" s="13" t="s">
        <v>64</v>
      </c>
      <c r="E1017" s="13" t="str">
        <f>IFERROR(INDEX('Почасовка — ставки и план'!$B$5:$B$24,MATCH(D1017,'Почасовка — ставки и план'!$A$5:$A$24,0)),"Аренда техники / механизмы")</f>
        <v>Сварщик / монтажник МК</v>
      </c>
      <c r="F1017" s="14">
        <v>4000</v>
      </c>
      <c r="G1017" s="14">
        <v>4600</v>
      </c>
      <c r="H1017" s="15">
        <v>2480</v>
      </c>
      <c r="I1017" s="15">
        <f>IF(OR(H1017="",F1017=""),"",MAX(H1017,MIN(ROUND(H1017*(1+Параметры!$B$5),IF(H1017*(1+Параметры!$B$5)&gt;=1000,-1,0)),ROUND(F1017*Параметры!$B$6,IF(F1017*Параметры!$B$6&gt;=1000,-1,0)))))</f>
        <v>2850</v>
      </c>
      <c r="J1017" s="15">
        <v>2852</v>
      </c>
      <c r="K1017" s="15">
        <f>IF(OR(J1017="",G1017=""),"",MAX(J1017,MIN(ROUND(J1017*(1+Параметры!$B$5),IF(J1017*(1+Параметры!$B$5)&gt;=1000,-1,0)),ROUND(G1017*Параметры!$B$6,IF(G1017*Параметры!$B$6&gt;=1000,-1,0)))))</f>
        <v>3280</v>
      </c>
      <c r="L1017" s="16">
        <v>3</v>
      </c>
      <c r="M1017" s="17">
        <f t="shared" si="82"/>
        <v>0.33333333333333331</v>
      </c>
      <c r="N1017" s="17">
        <f>IF(OR(L1017="",L1017=0),"",Параметры!$B$3/L1017)</f>
        <v>2.6666666666666665</v>
      </c>
      <c r="O1017" s="15">
        <f>IF(L1017="","",IFERROR(INDEX('Почасовка — ставки и план'!$D$5:$D$24,MATCH($D1017,'Почасовка — ставки и план'!$A$5:$A$24,0)),""))</f>
        <v>900</v>
      </c>
      <c r="P1017" s="15">
        <f>IF(L1017="","",IFERROR(INDEX('Почасовка — ставки и план'!$E$5:$E$24,MATCH($D1017,'Почасовка — ставки и план'!$A$5:$A$24,0)),""))</f>
        <v>1080</v>
      </c>
      <c r="Q1017" s="15">
        <f t="shared" si="83"/>
        <v>2700</v>
      </c>
      <c r="R1017" s="13" t="str">
        <f>IF(D1017="TEX","аренда техники — сделка/счёт",IF(OR(Q1017="",H1017="",H1017=0),"—",IF(Q1017&lt;H1017*(1-Параметры!$B$7),"почасовка",IF(Q1017&gt;H1017*(1+Параметры!$B$7),"сделка","любой способ"))))</f>
        <v>любой способ</v>
      </c>
      <c r="S1017">
        <v>0</v>
      </c>
      <c r="T1017">
        <v>0</v>
      </c>
    </row>
    <row r="1018" spans="1:20" x14ac:dyDescent="0.25">
      <c r="A1018" s="13" t="s">
        <v>2078</v>
      </c>
      <c r="B1018" s="13" t="s">
        <v>2079</v>
      </c>
      <c r="C1018" s="13" t="s">
        <v>144</v>
      </c>
      <c r="D1018" s="13" t="s">
        <v>64</v>
      </c>
      <c r="E1018" s="13" t="str">
        <f>IFERROR(INDEX('Почасовка — ставки и план'!$B$5:$B$24,MATCH(D1018,'Почасовка — ставки и план'!$A$5:$A$24,0)),"Аренда техники / механизмы")</f>
        <v>Сварщик / монтажник МК</v>
      </c>
      <c r="F1018" s="14">
        <v>5000</v>
      </c>
      <c r="G1018" s="14">
        <v>5750</v>
      </c>
      <c r="H1018" s="15">
        <v>3100</v>
      </c>
      <c r="I1018" s="15">
        <f>IF(OR(H1018="",F1018=""),"",MAX(H1018,MIN(ROUND(H1018*(1+Параметры!$B$5),IF(H1018*(1+Параметры!$B$5)&gt;=1000,-1,0)),ROUND(F1018*Параметры!$B$6,IF(F1018*Параметры!$B$6&gt;=1000,-1,0)))))</f>
        <v>3570</v>
      </c>
      <c r="J1018" s="15">
        <v>3565</v>
      </c>
      <c r="K1018" s="15">
        <f>IF(OR(J1018="",G1018=""),"",MAX(J1018,MIN(ROUND(J1018*(1+Параметры!$B$5),IF(J1018*(1+Параметры!$B$5)&gt;=1000,-1,0)),ROUND(G1018*Параметры!$B$6,IF(G1018*Параметры!$B$6&gt;=1000,-1,0)))))</f>
        <v>4100</v>
      </c>
      <c r="L1018" s="16">
        <v>3.8</v>
      </c>
      <c r="M1018" s="17">
        <f t="shared" si="82"/>
        <v>0.26315789473684209</v>
      </c>
      <c r="N1018" s="17">
        <f>IF(OR(L1018="",L1018=0),"",Параметры!$B$3/L1018)</f>
        <v>2.1052631578947367</v>
      </c>
      <c r="O1018" s="15">
        <f>IF(L1018="","",IFERROR(INDEX('Почасовка — ставки и план'!$D$5:$D$24,MATCH($D1018,'Почасовка — ставки и план'!$A$5:$A$24,0)),""))</f>
        <v>900</v>
      </c>
      <c r="P1018" s="15">
        <f>IF(L1018="","",IFERROR(INDEX('Почасовка — ставки и план'!$E$5:$E$24,MATCH($D1018,'Почасовка — ставки и план'!$A$5:$A$24,0)),""))</f>
        <v>1080</v>
      </c>
      <c r="Q1018" s="15">
        <f t="shared" si="83"/>
        <v>3420</v>
      </c>
      <c r="R1018" s="13" t="str">
        <f>IF(D1018="TEX","аренда техники — сделка/счёт",IF(OR(Q1018="",H1018="",H1018=0),"—",IF(Q1018&lt;H1018*(1-Параметры!$B$7),"почасовка",IF(Q1018&gt;H1018*(1+Параметры!$B$7),"сделка","любой способ"))))</f>
        <v>сделка</v>
      </c>
      <c r="S1018">
        <v>0</v>
      </c>
      <c r="T1018">
        <v>0</v>
      </c>
    </row>
    <row r="1019" spans="1:20" x14ac:dyDescent="0.25">
      <c r="A1019" s="13" t="s">
        <v>2080</v>
      </c>
      <c r="B1019" s="13" t="s">
        <v>2081</v>
      </c>
      <c r="C1019" s="13" t="s">
        <v>144</v>
      </c>
      <c r="D1019" s="13" t="s">
        <v>64</v>
      </c>
      <c r="E1019" s="13" t="str">
        <f>IFERROR(INDEX('Почасовка — ставки и план'!$B$5:$B$24,MATCH(D1019,'Почасовка — ставки и план'!$A$5:$A$24,0)),"Аренда техники / механизмы")</f>
        <v>Сварщик / монтажник МК</v>
      </c>
      <c r="F1019" s="14">
        <v>6000</v>
      </c>
      <c r="G1019" s="14">
        <v>6900</v>
      </c>
      <c r="H1019" s="15">
        <v>3720</v>
      </c>
      <c r="I1019" s="15">
        <f>IF(OR(H1019="",F1019=""),"",MAX(H1019,MIN(ROUND(H1019*(1+Параметры!$B$5),IF(H1019*(1+Параметры!$B$5)&gt;=1000,-1,0)),ROUND(F1019*Параметры!$B$6,IF(F1019*Параметры!$B$6&gt;=1000,-1,0)))))</f>
        <v>4280</v>
      </c>
      <c r="J1019" s="15">
        <v>4278</v>
      </c>
      <c r="K1019" s="15">
        <f>IF(OR(J1019="",G1019=""),"",MAX(J1019,MIN(ROUND(J1019*(1+Параметры!$B$5),IF(J1019*(1+Параметры!$B$5)&gt;=1000,-1,0)),ROUND(G1019*Параметры!$B$6,IF(G1019*Параметры!$B$6&gt;=1000,-1,0)))))</f>
        <v>4920</v>
      </c>
      <c r="L1019" s="16">
        <v>4.5</v>
      </c>
      <c r="M1019" s="17">
        <f t="shared" si="82"/>
        <v>0.22222222222222221</v>
      </c>
      <c r="N1019" s="17">
        <f>IF(OR(L1019="",L1019=0),"",Параметры!$B$3/L1019)</f>
        <v>1.7777777777777777</v>
      </c>
      <c r="O1019" s="15">
        <f>IF(L1019="","",IFERROR(INDEX('Почасовка — ставки и план'!$D$5:$D$24,MATCH($D1019,'Почасовка — ставки и план'!$A$5:$A$24,0)),""))</f>
        <v>900</v>
      </c>
      <c r="P1019" s="15">
        <f>IF(L1019="","",IFERROR(INDEX('Почасовка — ставки и план'!$E$5:$E$24,MATCH($D1019,'Почасовка — ставки и план'!$A$5:$A$24,0)),""))</f>
        <v>1080</v>
      </c>
      <c r="Q1019" s="15">
        <f t="shared" si="83"/>
        <v>4050</v>
      </c>
      <c r="R1019" s="13" t="str">
        <f>IF(D1019="TEX","аренда техники — сделка/счёт",IF(OR(Q1019="",H1019="",H1019=0),"—",IF(Q1019&lt;H1019*(1-Параметры!$B$7),"почасовка",IF(Q1019&gt;H1019*(1+Параметры!$B$7),"сделка","любой способ"))))</f>
        <v>любой способ</v>
      </c>
      <c r="S1019">
        <v>0</v>
      </c>
      <c r="T1019">
        <v>0</v>
      </c>
    </row>
    <row r="1020" spans="1:20" x14ac:dyDescent="0.25">
      <c r="A1020" s="13" t="s">
        <v>2082</v>
      </c>
      <c r="B1020" s="13" t="s">
        <v>2083</v>
      </c>
      <c r="C1020" s="13" t="s">
        <v>144</v>
      </c>
      <c r="D1020" s="13" t="s">
        <v>326</v>
      </c>
      <c r="E1020" s="13" t="str">
        <f>IFERROR(INDEX('Почасовка — ставки и план'!$B$5:$B$24,MATCH(D1020,'Почасовка — ставки и план'!$A$5:$A$24,0)),"Аренда техники / механизмы")</f>
        <v>Сантехник</v>
      </c>
      <c r="F1020" s="14">
        <v>800</v>
      </c>
      <c r="G1020" s="14">
        <v>920</v>
      </c>
      <c r="H1020" s="15">
        <v>496</v>
      </c>
      <c r="I1020" s="15">
        <f>IF(OR(H1020="",F1020=""),"",MAX(H1020,MIN(ROUND(H1020*(1+Параметры!$B$5),IF(H1020*(1+Параметры!$B$5)&gt;=1000,-1,0)),ROUND(F1020*Параметры!$B$6,IF(F1020*Параметры!$B$6&gt;=1000,-1,0)))))</f>
        <v>570</v>
      </c>
      <c r="J1020" s="15">
        <v>570</v>
      </c>
      <c r="K1020" s="15">
        <f>IF(OR(J1020="",G1020=""),"",MAX(J1020,MIN(ROUND(J1020*(1+Параметры!$B$5),IF(J1020*(1+Параметры!$B$5)&gt;=1000,-1,0)),ROUND(G1020*Параметры!$B$6,IF(G1020*Параметры!$B$6&gt;=1000,-1,0)))))</f>
        <v>656</v>
      </c>
      <c r="L1020" s="16">
        <v>0.5</v>
      </c>
      <c r="M1020" s="17">
        <f t="shared" si="82"/>
        <v>2</v>
      </c>
      <c r="N1020" s="17">
        <f>IF(OR(L1020="",L1020=0),"",Параметры!$B$3/L1020)</f>
        <v>16</v>
      </c>
      <c r="O1020" s="15">
        <f>IF(L1020="","",IFERROR(INDEX('Почасовка — ставки и план'!$D$5:$D$24,MATCH($D1020,'Почасовка — ставки и план'!$A$5:$A$24,0)),""))</f>
        <v>850</v>
      </c>
      <c r="P1020" s="15">
        <f>IF(L1020="","",IFERROR(INDEX('Почасовка — ставки и план'!$E$5:$E$24,MATCH($D1020,'Почасовка — ставки и план'!$A$5:$A$24,0)),""))</f>
        <v>1020</v>
      </c>
      <c r="Q1020" s="15">
        <f t="shared" si="83"/>
        <v>425</v>
      </c>
      <c r="R1020" s="13" t="str">
        <f>IF(D1020="TEX","аренда техники — сделка/счёт",IF(OR(Q1020="",H1020="",H1020=0),"—",IF(Q1020&lt;H1020*(1-Параметры!$B$7),"почасовка",IF(Q1020&gt;H1020*(1+Параметры!$B$7),"сделка","любой способ"))))</f>
        <v>почасовка</v>
      </c>
      <c r="S1020">
        <v>0</v>
      </c>
      <c r="T1020">
        <v>0</v>
      </c>
    </row>
    <row r="1021" spans="1:20" x14ac:dyDescent="0.25">
      <c r="A1021" s="13" t="s">
        <v>2084</v>
      </c>
      <c r="B1021" s="13" t="s">
        <v>2085</v>
      </c>
      <c r="C1021" s="13" t="s">
        <v>144</v>
      </c>
      <c r="D1021" s="13" t="s">
        <v>326</v>
      </c>
      <c r="E1021" s="13" t="str">
        <f>IFERROR(INDEX('Почасовка — ставки и план'!$B$5:$B$24,MATCH(D1021,'Почасовка — ставки и план'!$A$5:$A$24,0)),"Аренда техники / механизмы")</f>
        <v>Сантехник</v>
      </c>
      <c r="F1021" s="14">
        <v>1500</v>
      </c>
      <c r="G1021" s="14">
        <v>1725</v>
      </c>
      <c r="H1021" s="15">
        <v>750</v>
      </c>
      <c r="I1021" s="15">
        <f>IF(OR(H1021="",F1021=""),"",MAX(H1021,MIN(ROUND(H1021*(1+Параметры!$B$5),IF(H1021*(1+Параметры!$B$5)&gt;=1000,-1,0)),ROUND(F1021*Параметры!$B$6,IF(F1021*Параметры!$B$6&gt;=1000,-1,0)))))</f>
        <v>863</v>
      </c>
      <c r="J1021" s="15">
        <v>862</v>
      </c>
      <c r="K1021" s="15">
        <f>IF(OR(J1021="",G1021=""),"",MAX(J1021,MIN(ROUND(J1021*(1+Параметры!$B$5),IF(J1021*(1+Параметры!$B$5)&gt;=1000,-1,0)),ROUND(G1021*Параметры!$B$6,IF(G1021*Параметры!$B$6&gt;=1000,-1,0)))))</f>
        <v>991</v>
      </c>
      <c r="L1021" s="16">
        <v>0.5</v>
      </c>
      <c r="M1021" s="17">
        <f t="shared" ref="M1021:M1052" si="84">IF(OR(L1021="",L1021=0),"",1/L1021)</f>
        <v>2</v>
      </c>
      <c r="N1021" s="17">
        <f>IF(OR(L1021="",L1021=0),"",Параметры!$B$3/L1021)</f>
        <v>16</v>
      </c>
      <c r="O1021" s="15">
        <f>IF(L1021="","",IFERROR(INDEX('Почасовка — ставки и план'!$D$5:$D$24,MATCH($D1021,'Почасовка — ставки и план'!$A$5:$A$24,0)),""))</f>
        <v>850</v>
      </c>
      <c r="P1021" s="15">
        <f>IF(L1021="","",IFERROR(INDEX('Почасовка — ставки и план'!$E$5:$E$24,MATCH($D1021,'Почасовка — ставки и план'!$A$5:$A$24,0)),""))</f>
        <v>1020</v>
      </c>
      <c r="Q1021" s="15">
        <f t="shared" ref="Q1021:Q1035" si="85">IF(OR(L1021="",O1021=""),"",ROUND(L1021*O1021,0))</f>
        <v>425</v>
      </c>
      <c r="R1021" s="13" t="str">
        <f>IF(D1021="TEX","аренда техники — сделка/счёт",IF(OR(Q1021="",H1021="",H1021=0),"—",IF(Q1021&lt;H1021*(1-Параметры!$B$7),"почасовка",IF(Q1021&gt;H1021*(1+Параметры!$B$7),"сделка","любой способ"))))</f>
        <v>почасовка</v>
      </c>
      <c r="S1021">
        <v>0</v>
      </c>
      <c r="T1021">
        <v>0</v>
      </c>
    </row>
    <row r="1022" spans="1:20" x14ac:dyDescent="0.25">
      <c r="A1022" s="13" t="s">
        <v>2086</v>
      </c>
      <c r="B1022" s="13" t="s">
        <v>2087</v>
      </c>
      <c r="C1022" s="13" t="s">
        <v>144</v>
      </c>
      <c r="D1022" s="13" t="s">
        <v>326</v>
      </c>
      <c r="E1022" s="13" t="str">
        <f>IFERROR(INDEX('Почасовка — ставки и план'!$B$5:$B$24,MATCH(D1022,'Почасовка — ставки и план'!$A$5:$A$24,0)),"Аренда техники / механизмы")</f>
        <v>Сантехник</v>
      </c>
      <c r="F1022" s="14">
        <v>7000</v>
      </c>
      <c r="G1022" s="14">
        <v>8050</v>
      </c>
      <c r="H1022" s="15">
        <v>4340</v>
      </c>
      <c r="I1022" s="15">
        <f>IF(OR(H1022="",F1022=""),"",MAX(H1022,MIN(ROUND(H1022*(1+Параметры!$B$5),IF(H1022*(1+Параметры!$B$5)&gt;=1000,-1,0)),ROUND(F1022*Параметры!$B$6,IF(F1022*Параметры!$B$6&gt;=1000,-1,0)))))</f>
        <v>4990</v>
      </c>
      <c r="J1022" s="15">
        <v>4991</v>
      </c>
      <c r="K1022" s="15">
        <f>IF(OR(J1022="",G1022=""),"",MAX(J1022,MIN(ROUND(J1022*(1+Параметры!$B$5),IF(J1022*(1+Параметры!$B$5)&gt;=1000,-1,0)),ROUND(G1022*Параметры!$B$6,IF(G1022*Параметры!$B$6&gt;=1000,-1,0)))))</f>
        <v>5740</v>
      </c>
      <c r="L1022" s="16">
        <v>4</v>
      </c>
      <c r="M1022" s="17">
        <f t="shared" si="84"/>
        <v>0.25</v>
      </c>
      <c r="N1022" s="17">
        <f>IF(OR(L1022="",L1022=0),"",Параметры!$B$3/L1022)</f>
        <v>2</v>
      </c>
      <c r="O1022" s="15">
        <f>IF(L1022="","",IFERROR(INDEX('Почасовка — ставки и план'!$D$5:$D$24,MATCH($D1022,'Почасовка — ставки и план'!$A$5:$A$24,0)),""))</f>
        <v>850</v>
      </c>
      <c r="P1022" s="15">
        <f>IF(L1022="","",IFERROR(INDEX('Почасовка — ставки и план'!$E$5:$E$24,MATCH($D1022,'Почасовка — ставки и план'!$A$5:$A$24,0)),""))</f>
        <v>1020</v>
      </c>
      <c r="Q1022" s="15">
        <f t="shared" si="85"/>
        <v>3400</v>
      </c>
      <c r="R1022" s="13" t="str">
        <f>IF(D1022="TEX","аренда техники — сделка/счёт",IF(OR(Q1022="",H1022="",H1022=0),"—",IF(Q1022&lt;H1022*(1-Параметры!$B$7),"почасовка",IF(Q1022&gt;H1022*(1+Параметры!$B$7),"сделка","любой способ"))))</f>
        <v>почасовка</v>
      </c>
      <c r="S1022">
        <v>0</v>
      </c>
      <c r="T1022">
        <v>0</v>
      </c>
    </row>
    <row r="1023" spans="1:20" x14ac:dyDescent="0.25">
      <c r="A1023" s="18" t="s">
        <v>2088</v>
      </c>
      <c r="B1023" s="13" t="s">
        <v>2089</v>
      </c>
      <c r="C1023" s="13" t="s">
        <v>144</v>
      </c>
      <c r="D1023" s="13" t="s">
        <v>326</v>
      </c>
      <c r="E1023" s="13" t="str">
        <f>IFERROR(INDEX('Почасовка — ставки и план'!$B$5:$B$24,MATCH(D1023,'Почасовка — ставки и план'!$A$5:$A$24,0)),"Аренда техники / механизмы")</f>
        <v>Сантехник</v>
      </c>
      <c r="F1023" s="14">
        <v>800</v>
      </c>
      <c r="G1023" s="14">
        <v>920</v>
      </c>
      <c r="H1023" s="15">
        <v>496</v>
      </c>
      <c r="I1023" s="15">
        <f>IF(OR(H1023="",F1023=""),"",MAX(H1023,MIN(ROUND(H1023*(1+Параметры!$B$5),IF(H1023*(1+Параметры!$B$5)&gt;=1000,-1,0)),ROUND(F1023*Параметры!$B$6,IF(F1023*Параметры!$B$6&gt;=1000,-1,0)))))</f>
        <v>570</v>
      </c>
      <c r="J1023" s="15">
        <v>570</v>
      </c>
      <c r="K1023" s="15">
        <f>IF(OR(J1023="",G1023=""),"",MAX(J1023,MIN(ROUND(J1023*(1+Параметры!$B$5),IF(J1023*(1+Параметры!$B$5)&gt;=1000,-1,0)),ROUND(G1023*Параметры!$B$6,IF(G1023*Параметры!$B$6&gt;=1000,-1,0)))))</f>
        <v>656</v>
      </c>
      <c r="L1023" s="16">
        <v>0.6</v>
      </c>
      <c r="M1023" s="17">
        <f t="shared" si="84"/>
        <v>1.6666666666666667</v>
      </c>
      <c r="N1023" s="17">
        <f>IF(OR(L1023="",L1023=0),"",Параметры!$B$3/L1023)</f>
        <v>13.333333333333334</v>
      </c>
      <c r="O1023" s="15">
        <f>IF(L1023="","",IFERROR(INDEX('Почасовка — ставки и план'!$D$5:$D$24,MATCH($D1023,'Почасовка — ставки и план'!$A$5:$A$24,0)),""))</f>
        <v>850</v>
      </c>
      <c r="P1023" s="15">
        <f>IF(L1023="","",IFERROR(INDEX('Почасовка — ставки и план'!$E$5:$E$24,MATCH($D1023,'Почасовка — ставки и план'!$A$5:$A$24,0)),""))</f>
        <v>1020</v>
      </c>
      <c r="Q1023" s="15">
        <f t="shared" si="85"/>
        <v>510</v>
      </c>
      <c r="R1023" s="13" t="str">
        <f>IF(D1023="TEX","аренда техники — сделка/счёт",IF(OR(Q1023="",H1023="",H1023=0),"—",IF(Q1023&lt;H1023*(1-Параметры!$B$7),"почасовка",IF(Q1023&gt;H1023*(1+Параметры!$B$7),"сделка","любой способ"))))</f>
        <v>любой способ</v>
      </c>
      <c r="S1023">
        <v>0</v>
      </c>
      <c r="T1023">
        <v>0</v>
      </c>
    </row>
    <row r="1024" spans="1:20" x14ac:dyDescent="0.25">
      <c r="A1024" s="18" t="s">
        <v>2090</v>
      </c>
      <c r="B1024" s="13" t="s">
        <v>2091</v>
      </c>
      <c r="C1024" s="13" t="s">
        <v>69</v>
      </c>
      <c r="D1024" s="13" t="s">
        <v>64</v>
      </c>
      <c r="E1024" s="13" t="str">
        <f>IFERROR(INDEX('Почасовка — ставки и план'!$B$5:$B$24,MATCH(D1024,'Почасовка — ставки и план'!$A$5:$A$24,0)),"Аренда техники / механизмы")</f>
        <v>Сварщик / монтажник МК</v>
      </c>
      <c r="F1024" s="14">
        <v>360</v>
      </c>
      <c r="G1024" s="14">
        <v>432</v>
      </c>
      <c r="H1024" s="15">
        <v>180</v>
      </c>
      <c r="I1024" s="15">
        <f>IF(OR(H1024="",F1024=""),"",MAX(H1024,MIN(ROUND(H1024*(1+Параметры!$B$5),IF(H1024*(1+Параметры!$B$5)&gt;=1000,-1,0)),ROUND(F1024*Параметры!$B$6,IF(F1024*Параметры!$B$6&gt;=1000,-1,0)))))</f>
        <v>207</v>
      </c>
      <c r="J1024" s="15">
        <v>207</v>
      </c>
      <c r="K1024" s="15">
        <f>IF(OR(J1024="",G1024=""),"",MAX(J1024,MIN(ROUND(J1024*(1+Параметры!$B$5),IF(J1024*(1+Параметры!$B$5)&gt;=1000,-1,0)),ROUND(G1024*Параметры!$B$6,IF(G1024*Параметры!$B$6&gt;=1000,-1,0)))))</f>
        <v>238</v>
      </c>
      <c r="L1024" s="16">
        <v>0.3</v>
      </c>
      <c r="M1024" s="17">
        <f t="shared" si="84"/>
        <v>3.3333333333333335</v>
      </c>
      <c r="N1024" s="17">
        <f>IF(OR(L1024="",L1024=0),"",Параметры!$B$3/L1024)</f>
        <v>26.666666666666668</v>
      </c>
      <c r="O1024" s="15">
        <f>IF(L1024="","",IFERROR(INDEX('Почасовка — ставки и план'!$D$5:$D$24,MATCH($D1024,'Почасовка — ставки и план'!$A$5:$A$24,0)),""))</f>
        <v>900</v>
      </c>
      <c r="P1024" s="15">
        <f>IF(L1024="","",IFERROR(INDEX('Почасовка — ставки и план'!$E$5:$E$24,MATCH($D1024,'Почасовка — ставки и план'!$A$5:$A$24,0)),""))</f>
        <v>1080</v>
      </c>
      <c r="Q1024" s="15">
        <f t="shared" si="85"/>
        <v>270</v>
      </c>
      <c r="R1024" s="13" t="str">
        <f>IF(D1024="TEX","аренда техники — сделка/счёт",IF(OR(Q1024="",H1024="",H1024=0),"—",IF(Q1024&lt;H1024*(1-Параметры!$B$7),"почасовка",IF(Q1024&gt;H1024*(1+Параметры!$B$7),"сделка","любой способ"))))</f>
        <v>сделка</v>
      </c>
      <c r="S1024">
        <v>0.2</v>
      </c>
      <c r="T1024">
        <v>0.25217391304347841</v>
      </c>
    </row>
    <row r="1025" spans="1:20" x14ac:dyDescent="0.25">
      <c r="A1025" s="18" t="s">
        <v>2092</v>
      </c>
      <c r="B1025" s="13" t="s">
        <v>2093</v>
      </c>
      <c r="C1025" s="13" t="s">
        <v>144</v>
      </c>
      <c r="D1025" s="13" t="s">
        <v>326</v>
      </c>
      <c r="E1025" s="13" t="str">
        <f>IFERROR(INDEX('Почасовка — ставки и план'!$B$5:$B$24,MATCH(D1025,'Почасовка — ставки и план'!$A$5:$A$24,0)),"Аренда техники / механизмы")</f>
        <v>Сантехник</v>
      </c>
      <c r="F1025" s="14">
        <v>1200</v>
      </c>
      <c r="G1025" s="14">
        <v>1380</v>
      </c>
      <c r="H1025" s="15">
        <v>744</v>
      </c>
      <c r="I1025" s="15">
        <f>IF(OR(H1025="",F1025=""),"",MAX(H1025,MIN(ROUND(H1025*(1+Параметры!$B$5),IF(H1025*(1+Параметры!$B$5)&gt;=1000,-1,0)),ROUND(F1025*Параметры!$B$6,IF(F1025*Параметры!$B$6&gt;=1000,-1,0)))))</f>
        <v>856</v>
      </c>
      <c r="J1025" s="15">
        <v>856</v>
      </c>
      <c r="K1025" s="15">
        <f>IF(OR(J1025="",G1025=""),"",MAX(J1025,MIN(ROUND(J1025*(1+Параметры!$B$5),IF(J1025*(1+Параметры!$B$5)&gt;=1000,-1,0)),ROUND(G1025*Параметры!$B$6,IF(G1025*Параметры!$B$6&gt;=1000,-1,0)))))</f>
        <v>984</v>
      </c>
      <c r="L1025" s="16">
        <v>0.7</v>
      </c>
      <c r="M1025" s="17">
        <f t="shared" si="84"/>
        <v>1.4285714285714286</v>
      </c>
      <c r="N1025" s="17">
        <f>IF(OR(L1025="",L1025=0),"",Параметры!$B$3/L1025)</f>
        <v>11.428571428571429</v>
      </c>
      <c r="O1025" s="15">
        <f>IF(L1025="","",IFERROR(INDEX('Почасовка — ставки и план'!$D$5:$D$24,MATCH($D1025,'Почасовка — ставки и план'!$A$5:$A$24,0)),""))</f>
        <v>850</v>
      </c>
      <c r="P1025" s="15">
        <f>IF(L1025="","",IFERROR(INDEX('Почасовка — ставки и план'!$E$5:$E$24,MATCH($D1025,'Почасовка — ставки и план'!$A$5:$A$24,0)),""))</f>
        <v>1020</v>
      </c>
      <c r="Q1025" s="15">
        <f t="shared" si="85"/>
        <v>595</v>
      </c>
      <c r="R1025" s="13" t="str">
        <f>IF(D1025="TEX","аренда техники — сделка/счёт",IF(OR(Q1025="",H1025="",H1025=0),"—",IF(Q1025&lt;H1025*(1-Параметры!$B$7),"почасовка",IF(Q1025&gt;H1025*(1+Параметры!$B$7),"сделка","любой способ"))))</f>
        <v>почасовка</v>
      </c>
      <c r="S1025">
        <v>0</v>
      </c>
      <c r="T1025">
        <v>0</v>
      </c>
    </row>
    <row r="1026" spans="1:20" x14ac:dyDescent="0.25">
      <c r="A1026" s="18" t="s">
        <v>2094</v>
      </c>
      <c r="B1026" s="13" t="s">
        <v>2095</v>
      </c>
      <c r="C1026" s="13" t="s">
        <v>144</v>
      </c>
      <c r="D1026" s="13" t="s">
        <v>326</v>
      </c>
      <c r="E1026" s="13" t="str">
        <f>IFERROR(INDEX('Почасовка — ставки и план'!$B$5:$B$24,MATCH(D1026,'Почасовка — ставки и план'!$A$5:$A$24,0)),"Аренда техники / механизмы")</f>
        <v>Сантехник</v>
      </c>
      <c r="F1026" s="14">
        <v>3500</v>
      </c>
      <c r="G1026" s="14">
        <v>4025</v>
      </c>
      <c r="H1026" s="15">
        <v>2170</v>
      </c>
      <c r="I1026" s="15">
        <f>IF(OR(H1026="",F1026=""),"",MAX(H1026,MIN(ROUND(H1026*(1+Параметры!$B$5),IF(H1026*(1+Параметры!$B$5)&gt;=1000,-1,0)),ROUND(F1026*Параметры!$B$6,IF(F1026*Параметры!$B$6&gt;=1000,-1,0)))))</f>
        <v>2500</v>
      </c>
      <c r="J1026" s="15">
        <v>2495</v>
      </c>
      <c r="K1026" s="15">
        <f>IF(OR(J1026="",G1026=""),"",MAX(J1026,MIN(ROUND(J1026*(1+Параметры!$B$5),IF(J1026*(1+Параметры!$B$5)&gt;=1000,-1,0)),ROUND(G1026*Параметры!$B$6,IF(G1026*Параметры!$B$6&gt;=1000,-1,0)))))</f>
        <v>2870</v>
      </c>
      <c r="L1026" s="16">
        <v>2.5</v>
      </c>
      <c r="M1026" s="17">
        <f t="shared" si="84"/>
        <v>0.4</v>
      </c>
      <c r="N1026" s="17">
        <f>IF(OR(L1026="",L1026=0),"",Параметры!$B$3/L1026)</f>
        <v>3.2</v>
      </c>
      <c r="O1026" s="15">
        <f>IF(L1026="","",IFERROR(INDEX('Почасовка — ставки и план'!$D$5:$D$24,MATCH($D1026,'Почасовка — ставки и план'!$A$5:$A$24,0)),""))</f>
        <v>850</v>
      </c>
      <c r="P1026" s="15">
        <f>IF(L1026="","",IFERROR(INDEX('Почасовка — ставки и план'!$E$5:$E$24,MATCH($D1026,'Почасовка — ставки и план'!$A$5:$A$24,0)),""))</f>
        <v>1020</v>
      </c>
      <c r="Q1026" s="15">
        <f t="shared" si="85"/>
        <v>2125</v>
      </c>
      <c r="R1026" s="13" t="str">
        <f>IF(D1026="TEX","аренда техники — сделка/счёт",IF(OR(Q1026="",H1026="",H1026=0),"—",IF(Q1026&lt;H1026*(1-Параметры!$B$7),"почасовка",IF(Q1026&gt;H1026*(1+Параметры!$B$7),"сделка","любой способ"))))</f>
        <v>любой способ</v>
      </c>
      <c r="S1026">
        <v>0</v>
      </c>
      <c r="T1026">
        <v>0</v>
      </c>
    </row>
    <row r="1027" spans="1:20" x14ac:dyDescent="0.25">
      <c r="A1027" s="18" t="s">
        <v>2096</v>
      </c>
      <c r="B1027" s="13" t="s">
        <v>2097</v>
      </c>
      <c r="C1027" s="13" t="s">
        <v>2098</v>
      </c>
      <c r="D1027" s="13" t="s">
        <v>326</v>
      </c>
      <c r="E1027" s="13" t="str">
        <f>IFERROR(INDEX('Почасовка — ставки и план'!$B$5:$B$24,MATCH(D1027,'Почасовка — ставки и план'!$A$5:$A$24,0)),"Аренда техники / механизмы")</f>
        <v>Сантехник</v>
      </c>
      <c r="F1027" s="14">
        <v>15000</v>
      </c>
      <c r="G1027" s="14">
        <v>17250</v>
      </c>
      <c r="H1027" s="15">
        <v>9300</v>
      </c>
      <c r="I1027" s="15">
        <f>IF(OR(H1027="",F1027=""),"",MAX(H1027,MIN(ROUND(H1027*(1+Параметры!$B$5),IF(H1027*(1+Параметры!$B$5)&gt;=1000,-1,0)),ROUND(F1027*Параметры!$B$6,IF(F1027*Параметры!$B$6&gt;=1000,-1,0)))))</f>
        <v>10700</v>
      </c>
      <c r="J1027" s="15">
        <v>10695</v>
      </c>
      <c r="K1027" s="15">
        <f>IF(OR(J1027="",G1027=""),"",MAX(J1027,MIN(ROUND(J1027*(1+Параметры!$B$5),IF(J1027*(1+Параметры!$B$5)&gt;=1000,-1,0)),ROUND(G1027*Параметры!$B$6,IF(G1027*Параметры!$B$6&gt;=1000,-1,0)))))</f>
        <v>12300</v>
      </c>
      <c r="L1027" s="16">
        <v>10</v>
      </c>
      <c r="M1027" s="17">
        <f t="shared" si="84"/>
        <v>0.1</v>
      </c>
      <c r="N1027" s="17">
        <f>IF(OR(L1027="",L1027=0),"",Параметры!$B$3/L1027)</f>
        <v>0.8</v>
      </c>
      <c r="O1027" s="15">
        <f>IF(L1027="","",IFERROR(INDEX('Почасовка — ставки и план'!$D$5:$D$24,MATCH($D1027,'Почасовка — ставки и план'!$A$5:$A$24,0)),""))</f>
        <v>850</v>
      </c>
      <c r="P1027" s="15">
        <f>IF(L1027="","",IFERROR(INDEX('Почасовка — ставки и план'!$E$5:$E$24,MATCH($D1027,'Почасовка — ставки и план'!$A$5:$A$24,0)),""))</f>
        <v>1020</v>
      </c>
      <c r="Q1027" s="15">
        <f t="shared" si="85"/>
        <v>8500</v>
      </c>
      <c r="R1027" s="13" t="str">
        <f>IF(D1027="TEX","аренда техники — сделка/счёт",IF(OR(Q1027="",H1027="",H1027=0),"—",IF(Q1027&lt;H1027*(1-Параметры!$B$7),"почасовка",IF(Q1027&gt;H1027*(1+Параметры!$B$7),"сделка","любой способ"))))</f>
        <v>любой способ</v>
      </c>
      <c r="S1027">
        <v>0</v>
      </c>
      <c r="T1027">
        <v>0</v>
      </c>
    </row>
    <row r="1028" spans="1:20" x14ac:dyDescent="0.25">
      <c r="A1028" s="18" t="s">
        <v>2099</v>
      </c>
      <c r="B1028" s="13" t="s">
        <v>2100</v>
      </c>
      <c r="C1028" s="13" t="s">
        <v>865</v>
      </c>
      <c r="D1028" s="13" t="s">
        <v>326</v>
      </c>
      <c r="E1028" s="13" t="str">
        <f>IFERROR(INDEX('Почасовка — ставки и план'!$B$5:$B$24,MATCH(D1028,'Почасовка — ставки и план'!$A$5:$A$24,0)),"Аренда техники / механизмы")</f>
        <v>Сантехник</v>
      </c>
      <c r="F1028" s="14">
        <v>45000</v>
      </c>
      <c r="G1028" s="14">
        <v>54000</v>
      </c>
      <c r="H1028" s="15">
        <v>27900</v>
      </c>
      <c r="I1028" s="15">
        <f>IF(OR(H1028="",F1028=""),"",MAX(H1028,MIN(ROUND(H1028*(1+Параметры!$B$5),IF(H1028*(1+Параметры!$B$5)&gt;=1000,-1,0)),ROUND(F1028*Параметры!$B$6,IF(F1028*Параметры!$B$6&gt;=1000,-1,0)))))</f>
        <v>32090</v>
      </c>
      <c r="J1028" s="15">
        <v>33480</v>
      </c>
      <c r="K1028" s="15">
        <f>IF(OR(J1028="",G1028=""),"",MAX(J1028,MIN(ROUND(J1028*(1+Параметры!$B$5),IF(J1028*(1+Параметры!$B$5)&gt;=1000,-1,0)),ROUND(G1028*Параметры!$B$6,IF(G1028*Параметры!$B$6&gt;=1000,-1,0)))))</f>
        <v>38500</v>
      </c>
      <c r="L1028" s="16">
        <v>32</v>
      </c>
      <c r="M1028" s="17">
        <f t="shared" si="84"/>
        <v>3.125E-2</v>
      </c>
      <c r="N1028" s="17">
        <f>IF(OR(L1028="",L1028=0),"",Параметры!$B$3/L1028)</f>
        <v>0.25</v>
      </c>
      <c r="O1028" s="15">
        <f>IF(L1028="","",IFERROR(INDEX('Почасовка — ставки и план'!$D$5:$D$24,MATCH($D1028,'Почасовка — ставки и план'!$A$5:$A$24,0)),""))</f>
        <v>850</v>
      </c>
      <c r="P1028" s="15">
        <f>IF(L1028="","",IFERROR(INDEX('Почасовка — ставки и план'!$E$5:$E$24,MATCH($D1028,'Почасовка — ставки и план'!$A$5:$A$24,0)),""))</f>
        <v>1020</v>
      </c>
      <c r="Q1028" s="15">
        <f t="shared" si="85"/>
        <v>27200</v>
      </c>
      <c r="R1028" s="13" t="str">
        <f>IF(D1028="TEX","аренда техники — сделка/счёт",IF(OR(Q1028="",H1028="",H1028=0),"—",IF(Q1028&lt;H1028*(1-Параметры!$B$7),"почасовка",IF(Q1028&gt;H1028*(1+Параметры!$B$7),"сделка","любой способ"))))</f>
        <v>любой способ</v>
      </c>
      <c r="S1028">
        <v>0</v>
      </c>
      <c r="T1028">
        <v>0</v>
      </c>
    </row>
    <row r="1029" spans="1:20" x14ac:dyDescent="0.25">
      <c r="A1029" s="18" t="s">
        <v>2101</v>
      </c>
      <c r="B1029" s="13" t="s">
        <v>2102</v>
      </c>
      <c r="C1029" s="13" t="s">
        <v>144</v>
      </c>
      <c r="D1029" s="13" t="s">
        <v>326</v>
      </c>
      <c r="E1029" s="13" t="str">
        <f>IFERROR(INDEX('Почасовка — ставки и план'!$B$5:$B$24,MATCH(D1029,'Почасовка — ставки и план'!$A$5:$A$24,0)),"Аренда техники / механизмы")</f>
        <v>Сантехник</v>
      </c>
      <c r="F1029" s="14">
        <v>1800</v>
      </c>
      <c r="G1029" s="14">
        <v>2070</v>
      </c>
      <c r="H1029" s="15">
        <v>1116</v>
      </c>
      <c r="I1029" s="15">
        <f>IF(OR(H1029="",F1029=""),"",MAX(H1029,MIN(ROUND(H1029*(1+Параметры!$B$5),IF(H1029*(1+Параметры!$B$5)&gt;=1000,-1,0)),ROUND(F1029*Параметры!$B$6,IF(F1029*Параметры!$B$6&gt;=1000,-1,0)))))</f>
        <v>1280</v>
      </c>
      <c r="J1029" s="15">
        <v>1283</v>
      </c>
      <c r="K1029" s="15">
        <f>IF(OR(J1029="",G1029=""),"",MAX(J1029,MIN(ROUND(J1029*(1+Параметры!$B$5),IF(J1029*(1+Параметры!$B$5)&gt;=1000,-1,0)),ROUND(G1029*Параметры!$B$6,IF(G1029*Параметры!$B$6&gt;=1000,-1,0)))))</f>
        <v>1480</v>
      </c>
      <c r="L1029" s="16">
        <v>1.5</v>
      </c>
      <c r="M1029" s="17">
        <f t="shared" si="84"/>
        <v>0.66666666666666663</v>
      </c>
      <c r="N1029" s="17">
        <f>IF(OR(L1029="",L1029=0),"",Параметры!$B$3/L1029)</f>
        <v>5.333333333333333</v>
      </c>
      <c r="O1029" s="15">
        <f>IF(L1029="","",IFERROR(INDEX('Почасовка — ставки и план'!$D$5:$D$24,MATCH($D1029,'Почасовка — ставки и план'!$A$5:$A$24,0)),""))</f>
        <v>850</v>
      </c>
      <c r="P1029" s="15">
        <f>IF(L1029="","",IFERROR(INDEX('Почасовка — ставки и план'!$E$5:$E$24,MATCH($D1029,'Почасовка — ставки и план'!$A$5:$A$24,0)),""))</f>
        <v>1020</v>
      </c>
      <c r="Q1029" s="15">
        <f t="shared" si="85"/>
        <v>1275</v>
      </c>
      <c r="R1029" s="13" t="str">
        <f>IF(D1029="TEX","аренда техники — сделка/счёт",IF(OR(Q1029="",H1029="",H1029=0),"—",IF(Q1029&lt;H1029*(1-Параметры!$B$7),"почасовка",IF(Q1029&gt;H1029*(1+Параметры!$B$7),"сделка","любой способ"))))</f>
        <v>сделка</v>
      </c>
      <c r="S1029">
        <v>0</v>
      </c>
      <c r="T1029">
        <v>0</v>
      </c>
    </row>
    <row r="1030" spans="1:20" x14ac:dyDescent="0.25">
      <c r="A1030" s="18" t="s">
        <v>2103</v>
      </c>
      <c r="B1030" s="13" t="s">
        <v>2104</v>
      </c>
      <c r="C1030" s="13" t="s">
        <v>2105</v>
      </c>
      <c r="D1030" s="13" t="s">
        <v>326</v>
      </c>
      <c r="E1030" s="13" t="str">
        <f>IFERROR(INDEX('Почасовка — ставки и план'!$B$5:$B$24,MATCH(D1030,'Почасовка — ставки и план'!$A$5:$A$24,0)),"Аренда техники / механизмы")</f>
        <v>Сантехник</v>
      </c>
      <c r="F1030" s="14">
        <v>1200</v>
      </c>
      <c r="G1030" s="14">
        <v>1380</v>
      </c>
      <c r="H1030" s="15">
        <v>744</v>
      </c>
      <c r="I1030" s="15">
        <f>IF(OR(H1030="",F1030=""),"",MAX(H1030,MIN(ROUND(H1030*(1+Параметры!$B$5),IF(H1030*(1+Параметры!$B$5)&gt;=1000,-1,0)),ROUND(F1030*Параметры!$B$6,IF(F1030*Параметры!$B$6&gt;=1000,-1,0)))))</f>
        <v>856</v>
      </c>
      <c r="J1030" s="15">
        <v>856</v>
      </c>
      <c r="K1030" s="15">
        <f>IF(OR(J1030="",G1030=""),"",MAX(J1030,MIN(ROUND(J1030*(1+Параметры!$B$5),IF(J1030*(1+Параметры!$B$5)&gt;=1000,-1,0)),ROUND(G1030*Параметры!$B$6,IF(G1030*Параметры!$B$6&gt;=1000,-1,0)))))</f>
        <v>984</v>
      </c>
      <c r="L1030" s="16">
        <v>1</v>
      </c>
      <c r="M1030" s="17">
        <f t="shared" si="84"/>
        <v>1</v>
      </c>
      <c r="N1030" s="17">
        <f>IF(OR(L1030="",L1030=0),"",Параметры!$B$3/L1030)</f>
        <v>8</v>
      </c>
      <c r="O1030" s="15">
        <f>IF(L1030="","",IFERROR(INDEX('Почасовка — ставки и план'!$D$5:$D$24,MATCH($D1030,'Почасовка — ставки и план'!$A$5:$A$24,0)),""))</f>
        <v>850</v>
      </c>
      <c r="P1030" s="15">
        <f>IF(L1030="","",IFERROR(INDEX('Почасовка — ставки и план'!$E$5:$E$24,MATCH($D1030,'Почасовка — ставки и план'!$A$5:$A$24,0)),""))</f>
        <v>1020</v>
      </c>
      <c r="Q1030" s="15">
        <f t="shared" si="85"/>
        <v>850</v>
      </c>
      <c r="R1030" s="13" t="str">
        <f>IF(D1030="TEX","аренда техники — сделка/счёт",IF(OR(Q1030="",H1030="",H1030=0),"—",IF(Q1030&lt;H1030*(1-Параметры!$B$7),"почасовка",IF(Q1030&gt;H1030*(1+Параметры!$B$7),"сделка","любой способ"))))</f>
        <v>сделка</v>
      </c>
      <c r="S1030">
        <v>0</v>
      </c>
      <c r="T1030">
        <v>0</v>
      </c>
    </row>
    <row r="1031" spans="1:20" x14ac:dyDescent="0.25">
      <c r="A1031" s="18" t="s">
        <v>2106</v>
      </c>
      <c r="B1031" s="13" t="s">
        <v>2107</v>
      </c>
      <c r="C1031" s="13" t="s">
        <v>144</v>
      </c>
      <c r="D1031" s="13" t="s">
        <v>326</v>
      </c>
      <c r="E1031" s="13" t="str">
        <f>IFERROR(INDEX('Почасовка — ставки и план'!$B$5:$B$24,MATCH(D1031,'Почасовка — ставки и план'!$A$5:$A$24,0)),"Аренда техники / механизмы")</f>
        <v>Сантехник</v>
      </c>
      <c r="F1031" s="14">
        <v>900</v>
      </c>
      <c r="G1031" s="14">
        <v>1035</v>
      </c>
      <c r="H1031" s="15">
        <v>558</v>
      </c>
      <c r="I1031" s="15">
        <f>IF(OR(H1031="",F1031=""),"",MAX(H1031,MIN(ROUND(H1031*(1+Параметры!$B$5),IF(H1031*(1+Параметры!$B$5)&gt;=1000,-1,0)),ROUND(F1031*Параметры!$B$6,IF(F1031*Параметры!$B$6&gt;=1000,-1,0)))))</f>
        <v>642</v>
      </c>
      <c r="J1031" s="15">
        <v>642</v>
      </c>
      <c r="K1031" s="15">
        <f>IF(OR(J1031="",G1031=""),"",MAX(J1031,MIN(ROUND(J1031*(1+Параметры!$B$5),IF(J1031*(1+Параметры!$B$5)&gt;=1000,-1,0)),ROUND(G1031*Параметры!$B$6,IF(G1031*Параметры!$B$6&gt;=1000,-1,0)))))</f>
        <v>738</v>
      </c>
      <c r="L1031" s="16">
        <v>0.6</v>
      </c>
      <c r="M1031" s="17">
        <f t="shared" si="84"/>
        <v>1.6666666666666667</v>
      </c>
      <c r="N1031" s="17">
        <f>IF(OR(L1031="",L1031=0),"",Параметры!$B$3/L1031)</f>
        <v>13.333333333333334</v>
      </c>
      <c r="O1031" s="15">
        <f>IF(L1031="","",IFERROR(INDEX('Почасовка — ставки и план'!$D$5:$D$24,MATCH($D1031,'Почасовка — ставки и план'!$A$5:$A$24,0)),""))</f>
        <v>850</v>
      </c>
      <c r="P1031" s="15">
        <f>IF(L1031="","",IFERROR(INDEX('Почасовка — ставки и план'!$E$5:$E$24,MATCH($D1031,'Почасовка — ставки и план'!$A$5:$A$24,0)),""))</f>
        <v>1020</v>
      </c>
      <c r="Q1031" s="15">
        <f t="shared" si="85"/>
        <v>510</v>
      </c>
      <c r="R1031" s="13" t="str">
        <f>IF(D1031="TEX","аренда техники — сделка/счёт",IF(OR(Q1031="",H1031="",H1031=0),"—",IF(Q1031&lt;H1031*(1-Параметры!$B$7),"почасовка",IF(Q1031&gt;H1031*(1+Параметры!$B$7),"сделка","любой способ"))))</f>
        <v>любой способ</v>
      </c>
      <c r="S1031">
        <v>0</v>
      </c>
      <c r="T1031">
        <v>0</v>
      </c>
    </row>
    <row r="1032" spans="1:20" x14ac:dyDescent="0.25">
      <c r="A1032" s="18" t="s">
        <v>2108</v>
      </c>
      <c r="B1032" s="13" t="s">
        <v>2109</v>
      </c>
      <c r="C1032" s="13" t="s">
        <v>144</v>
      </c>
      <c r="D1032" s="13" t="s">
        <v>326</v>
      </c>
      <c r="E1032" s="13" t="str">
        <f>IFERROR(INDEX('Почасовка — ставки и план'!$B$5:$B$24,MATCH(D1032,'Почасовка — ставки и план'!$A$5:$A$24,0)),"Аренда техники / механизмы")</f>
        <v>Сантехник</v>
      </c>
      <c r="F1032" s="14">
        <v>6000</v>
      </c>
      <c r="G1032" s="14">
        <v>6900</v>
      </c>
      <c r="H1032" s="15">
        <v>3720</v>
      </c>
      <c r="I1032" s="15">
        <f>IF(OR(H1032="",F1032=""),"",MAX(H1032,MIN(ROUND(H1032*(1+Параметры!$B$5),IF(H1032*(1+Параметры!$B$5)&gt;=1000,-1,0)),ROUND(F1032*Параметры!$B$6,IF(F1032*Параметры!$B$6&gt;=1000,-1,0)))))</f>
        <v>4280</v>
      </c>
      <c r="J1032" s="15">
        <v>4278</v>
      </c>
      <c r="K1032" s="15">
        <f>IF(OR(J1032="",G1032=""),"",MAX(J1032,MIN(ROUND(J1032*(1+Параметры!$B$5),IF(J1032*(1+Параметры!$B$5)&gt;=1000,-1,0)),ROUND(G1032*Параметры!$B$6,IF(G1032*Параметры!$B$6&gt;=1000,-1,0)))))</f>
        <v>4920</v>
      </c>
      <c r="L1032" s="16">
        <v>4</v>
      </c>
      <c r="M1032" s="17">
        <f t="shared" si="84"/>
        <v>0.25</v>
      </c>
      <c r="N1032" s="17">
        <f>IF(OR(L1032="",L1032=0),"",Параметры!$B$3/L1032)</f>
        <v>2</v>
      </c>
      <c r="O1032" s="15">
        <f>IF(L1032="","",IFERROR(INDEX('Почасовка — ставки и план'!$D$5:$D$24,MATCH($D1032,'Почасовка — ставки и план'!$A$5:$A$24,0)),""))</f>
        <v>850</v>
      </c>
      <c r="P1032" s="15">
        <f>IF(L1032="","",IFERROR(INDEX('Почасовка — ставки и план'!$E$5:$E$24,MATCH($D1032,'Почасовка — ставки и план'!$A$5:$A$24,0)),""))</f>
        <v>1020</v>
      </c>
      <c r="Q1032" s="15">
        <f t="shared" si="85"/>
        <v>3400</v>
      </c>
      <c r="R1032" s="13" t="str">
        <f>IF(D1032="TEX","аренда техники — сделка/счёт",IF(OR(Q1032="",H1032="",H1032=0),"—",IF(Q1032&lt;H1032*(1-Параметры!$B$7),"почасовка",IF(Q1032&gt;H1032*(1+Параметры!$B$7),"сделка","любой способ"))))</f>
        <v>любой способ</v>
      </c>
      <c r="S1032">
        <v>0</v>
      </c>
      <c r="T1032">
        <v>0</v>
      </c>
    </row>
    <row r="1033" spans="1:20" x14ac:dyDescent="0.25">
      <c r="A1033" s="18" t="s">
        <v>2110</v>
      </c>
      <c r="B1033" s="13" t="s">
        <v>2111</v>
      </c>
      <c r="C1033" s="13" t="s">
        <v>144</v>
      </c>
      <c r="D1033" s="13" t="s">
        <v>326</v>
      </c>
      <c r="E1033" s="13" t="str">
        <f>IFERROR(INDEX('Почасовка — ставки и план'!$B$5:$B$24,MATCH(D1033,'Почасовка — ставки и план'!$A$5:$A$24,0)),"Аренда техники / механизмы")</f>
        <v>Сантехник</v>
      </c>
      <c r="F1033" s="14">
        <v>12000</v>
      </c>
      <c r="G1033" s="14">
        <v>13800</v>
      </c>
      <c r="H1033" s="15">
        <v>7440</v>
      </c>
      <c r="I1033" s="15">
        <f>IF(OR(H1033="",F1033=""),"",MAX(H1033,MIN(ROUND(H1033*(1+Параметры!$B$5),IF(H1033*(1+Параметры!$B$5)&gt;=1000,-1,0)),ROUND(F1033*Параметры!$B$6,IF(F1033*Параметры!$B$6&gt;=1000,-1,0)))))</f>
        <v>8560</v>
      </c>
      <c r="J1033" s="15">
        <v>8556</v>
      </c>
      <c r="K1033" s="15">
        <f>IF(OR(J1033="",G1033=""),"",MAX(J1033,MIN(ROUND(J1033*(1+Параметры!$B$5),IF(J1033*(1+Параметры!$B$5)&gt;=1000,-1,0)),ROUND(G1033*Параметры!$B$6,IF(G1033*Параметры!$B$6&gt;=1000,-1,0)))))</f>
        <v>9840</v>
      </c>
      <c r="L1033" s="16">
        <v>8</v>
      </c>
      <c r="M1033" s="17">
        <f t="shared" si="84"/>
        <v>0.125</v>
      </c>
      <c r="N1033" s="17">
        <f>IF(OR(L1033="",L1033=0),"",Параметры!$B$3/L1033)</f>
        <v>1</v>
      </c>
      <c r="O1033" s="15">
        <f>IF(L1033="","",IFERROR(INDEX('Почасовка — ставки и план'!$D$5:$D$24,MATCH($D1033,'Почасовка — ставки и план'!$A$5:$A$24,0)),""))</f>
        <v>850</v>
      </c>
      <c r="P1033" s="15">
        <f>IF(L1033="","",IFERROR(INDEX('Почасовка — ставки и план'!$E$5:$E$24,MATCH($D1033,'Почасовка — ставки и план'!$A$5:$A$24,0)),""))</f>
        <v>1020</v>
      </c>
      <c r="Q1033" s="15">
        <f t="shared" si="85"/>
        <v>6800</v>
      </c>
      <c r="R1033" s="13" t="str">
        <f>IF(D1033="TEX","аренда техники — сделка/счёт",IF(OR(Q1033="",H1033="",H1033=0),"—",IF(Q1033&lt;H1033*(1-Параметры!$B$7),"почасовка",IF(Q1033&gt;H1033*(1+Параметры!$B$7),"сделка","любой способ"))))</f>
        <v>любой способ</v>
      </c>
      <c r="S1033">
        <v>0</v>
      </c>
      <c r="T1033">
        <v>0</v>
      </c>
    </row>
    <row r="1034" spans="1:20" x14ac:dyDescent="0.25">
      <c r="A1034" s="18" t="s">
        <v>2112</v>
      </c>
      <c r="B1034" s="13" t="s">
        <v>2113</v>
      </c>
      <c r="C1034" s="13" t="s">
        <v>72</v>
      </c>
      <c r="D1034" s="13" t="s">
        <v>208</v>
      </c>
      <c r="E1034" s="13" t="str">
        <f>IFERROR(INDEX('Почасовка — ставки и план'!$B$5:$B$24,MATCH(D1034,'Почасовка — ставки и план'!$A$5:$A$24,0)),"Аренда техники / механизмы")</f>
        <v>Отделочник (штукатур, маляр, ГКЛ)</v>
      </c>
      <c r="F1034" s="14">
        <v>351</v>
      </c>
      <c r="G1034" s="14">
        <v>420</v>
      </c>
      <c r="H1034" s="15">
        <v>186</v>
      </c>
      <c r="I1034" s="15">
        <f>IF(OR(H1034="",F1034=""),"",MAX(H1034,MIN(ROUND(H1034*(1+Параметры!$B$5),IF(H1034*(1+Параметры!$B$5)&gt;=1000,-1,0)),ROUND(F1034*Параметры!$B$6,IF(F1034*Параметры!$B$6&gt;=1000,-1,0)))))</f>
        <v>214</v>
      </c>
      <c r="J1034" s="15">
        <v>214</v>
      </c>
      <c r="K1034" s="15">
        <f>IF(OR(J1034="",G1034=""),"",MAX(J1034,MIN(ROUND(J1034*(1+Параметры!$B$5),IF(J1034*(1+Параметры!$B$5)&gt;=1000,-1,0)),ROUND(G1034*Параметры!$B$6,IF(G1034*Параметры!$B$6&gt;=1000,-1,0)))))</f>
        <v>246</v>
      </c>
      <c r="L1034" s="16">
        <v>0.35</v>
      </c>
      <c r="M1034" s="17">
        <f t="shared" si="84"/>
        <v>2.8571428571428572</v>
      </c>
      <c r="N1034" s="17">
        <f>IF(OR(L1034="",L1034=0),"",Параметры!$B$3/L1034)</f>
        <v>22.857142857142858</v>
      </c>
      <c r="O1034" s="15">
        <f>IF(L1034="","",IFERROR(INDEX('Почасовка — ставки и план'!$D$5:$D$24,MATCH($D1034,'Почасовка — ставки и план'!$A$5:$A$24,0)),""))</f>
        <v>750</v>
      </c>
      <c r="P1034" s="15">
        <f>IF(L1034="","",IFERROR(INDEX('Почасовка — ставки и план'!$E$5:$E$24,MATCH($D1034,'Почасовка — ставки и план'!$A$5:$A$24,0)),""))</f>
        <v>900</v>
      </c>
      <c r="Q1034" s="15">
        <f t="shared" si="85"/>
        <v>263</v>
      </c>
      <c r="R1034" s="13" t="str">
        <f>IF(D1034="TEX","аренда техники — сделка/счёт",IF(OR(Q1034="",H1034="",H1034=0),"—",IF(Q1034&lt;H1034*(1-Параметры!$B$7),"почасовка",IF(Q1034&gt;H1034*(1+Параметры!$B$7),"сделка","любой способ"))))</f>
        <v>сделка</v>
      </c>
      <c r="S1034">
        <v>0.1699999999999999</v>
      </c>
      <c r="T1034">
        <v>0.21739130434782619</v>
      </c>
    </row>
    <row r="1035" spans="1:20" x14ac:dyDescent="0.25">
      <c r="A1035" s="18" t="s">
        <v>2114</v>
      </c>
      <c r="B1035" s="13" t="s">
        <v>2115</v>
      </c>
      <c r="C1035" s="13" t="s">
        <v>144</v>
      </c>
      <c r="D1035" s="13" t="s">
        <v>326</v>
      </c>
      <c r="E1035" s="13" t="str">
        <f>IFERROR(INDEX('Почасовка — ставки и план'!$B$5:$B$24,MATCH(D1035,'Почасовка — ставки и план'!$A$5:$A$24,0)),"Аренда техники / механизмы")</f>
        <v>Сантехник</v>
      </c>
      <c r="F1035" s="14">
        <v>2000</v>
      </c>
      <c r="G1035" s="14">
        <v>2300</v>
      </c>
      <c r="H1035" s="15">
        <v>1240</v>
      </c>
      <c r="I1035" s="15">
        <f>IF(OR(H1035="",F1035=""),"",MAX(H1035,MIN(ROUND(H1035*(1+Параметры!$B$5),IF(H1035*(1+Параметры!$B$5)&gt;=1000,-1,0)),ROUND(F1035*Параметры!$B$6,IF(F1035*Параметры!$B$6&gt;=1000,-1,0)))))</f>
        <v>1430</v>
      </c>
      <c r="J1035" s="15">
        <v>1426</v>
      </c>
      <c r="K1035" s="15">
        <f>IF(OR(J1035="",G1035=""),"",MAX(J1035,MIN(ROUND(J1035*(1+Параметры!$B$5),IF(J1035*(1+Параметры!$B$5)&gt;=1000,-1,0)),ROUND(G1035*Параметры!$B$6,IF(G1035*Параметры!$B$6&gt;=1000,-1,0)))))</f>
        <v>1640</v>
      </c>
      <c r="L1035" s="16">
        <v>1.2</v>
      </c>
      <c r="M1035" s="17">
        <f t="shared" si="84"/>
        <v>0.83333333333333337</v>
      </c>
      <c r="N1035" s="17">
        <f>IF(OR(L1035="",L1035=0),"",Параметры!$B$3/L1035)</f>
        <v>6.666666666666667</v>
      </c>
      <c r="O1035" s="15">
        <f>IF(L1035="","",IFERROR(INDEX('Почасовка — ставки и план'!$D$5:$D$24,MATCH($D1035,'Почасовка — ставки и план'!$A$5:$A$24,0)),""))</f>
        <v>850</v>
      </c>
      <c r="P1035" s="15">
        <f>IF(L1035="","",IFERROR(INDEX('Почасовка — ставки и план'!$E$5:$E$24,MATCH($D1035,'Почасовка — ставки и план'!$A$5:$A$24,0)),""))</f>
        <v>1020</v>
      </c>
      <c r="Q1035" s="15">
        <f t="shared" si="85"/>
        <v>1020</v>
      </c>
      <c r="R1035" s="13" t="str">
        <f>IF(D1035="TEX","аренда техники — сделка/счёт",IF(OR(Q1035="",H1035="",H1035=0),"—",IF(Q1035&lt;H1035*(1-Параметры!$B$7),"почасовка",IF(Q1035&gt;H1035*(1+Параметры!$B$7),"сделка","любой способ"))))</f>
        <v>почасовка</v>
      </c>
      <c r="S1035">
        <v>0</v>
      </c>
      <c r="T1035">
        <v>0</v>
      </c>
    </row>
    <row r="1036" spans="1:20" x14ac:dyDescent="0.25">
      <c r="A1036" s="11" t="s">
        <v>2116</v>
      </c>
      <c r="B1036" s="12"/>
      <c r="C1036" s="12"/>
      <c r="D1036" s="12"/>
      <c r="E1036" s="12"/>
      <c r="F1036" s="12"/>
      <c r="G1036" s="12"/>
      <c r="H1036" s="12"/>
      <c r="I1036" s="12"/>
      <c r="J1036" s="12"/>
      <c r="K1036" s="12"/>
      <c r="L1036" s="12"/>
      <c r="M1036" s="12"/>
      <c r="N1036" s="12"/>
      <c r="O1036" s="12"/>
      <c r="P1036" s="12"/>
      <c r="Q1036" s="12"/>
      <c r="R1036" s="12"/>
    </row>
    <row r="1037" spans="1:20" x14ac:dyDescent="0.25">
      <c r="A1037" s="13" t="s">
        <v>2117</v>
      </c>
      <c r="B1037" s="13" t="s">
        <v>2118</v>
      </c>
      <c r="C1037" s="13" t="s">
        <v>144</v>
      </c>
      <c r="D1037" s="13" t="s">
        <v>326</v>
      </c>
      <c r="E1037" s="13" t="str">
        <f>IFERROR(INDEX('Почасовка — ставки и план'!$B$5:$B$24,MATCH(D1037,'Почасовка — ставки и план'!$A$5:$A$24,0)),"Аренда техники / механизмы")</f>
        <v>Сантехник</v>
      </c>
      <c r="F1037" s="14">
        <v>15000</v>
      </c>
      <c r="G1037" s="14">
        <v>18000</v>
      </c>
      <c r="H1037" s="15">
        <v>9300</v>
      </c>
      <c r="I1037" s="15">
        <f>IF(OR(H1037="",F1037=""),"",MAX(H1037,MIN(ROUND(H1037*(1+Параметры!$B$5),IF(H1037*(1+Параметры!$B$5)&gt;=1000,-1,0)),ROUND(F1037*Параметры!$B$6,IF(F1037*Параметры!$B$6&gt;=1000,-1,0)))))</f>
        <v>10700</v>
      </c>
      <c r="J1037" s="15">
        <v>11160</v>
      </c>
      <c r="K1037" s="15">
        <f>IF(OR(J1037="",G1037=""),"",MAX(J1037,MIN(ROUND(J1037*(1+Параметры!$B$5),IF(J1037*(1+Параметры!$B$5)&gt;=1000,-1,0)),ROUND(G1037*Параметры!$B$6,IF(G1037*Параметры!$B$6&gt;=1000,-1,0)))))</f>
        <v>12830</v>
      </c>
      <c r="L1037" s="16">
        <v>10</v>
      </c>
      <c r="M1037" s="17">
        <f t="shared" ref="M1037:M1068" si="86">IF(OR(L1037="",L1037=0),"",1/L1037)</f>
        <v>0.1</v>
      </c>
      <c r="N1037" s="17">
        <f>IF(OR(L1037="",L1037=0),"",Параметры!$B$3/L1037)</f>
        <v>0.8</v>
      </c>
      <c r="O1037" s="15">
        <f>IF(L1037="","",IFERROR(INDEX('Почасовка — ставки и план'!$D$5:$D$24,MATCH($D1037,'Почасовка — ставки и план'!$A$5:$A$24,0)),""))</f>
        <v>850</v>
      </c>
      <c r="P1037" s="15">
        <f>IF(L1037="","",IFERROR(INDEX('Почасовка — ставки и план'!$E$5:$E$24,MATCH($D1037,'Почасовка — ставки и план'!$A$5:$A$24,0)),""))</f>
        <v>1020</v>
      </c>
      <c r="Q1037" s="15">
        <f t="shared" ref="Q1037:Q1068" si="87">IF(OR(L1037="",O1037=""),"",ROUND(L1037*O1037,0))</f>
        <v>8500</v>
      </c>
      <c r="R1037" s="13" t="str">
        <f>IF(D1037="TEX","аренда техники — сделка/счёт",IF(OR(Q1037="",H1037="",H1037=0),"—",IF(Q1037&lt;H1037*(1-Параметры!$B$7),"почасовка",IF(Q1037&gt;H1037*(1+Параметры!$B$7),"сделка","любой способ"))))</f>
        <v>любой способ</v>
      </c>
      <c r="S1037">
        <v>0</v>
      </c>
      <c r="T1037">
        <v>0</v>
      </c>
    </row>
    <row r="1038" spans="1:20" x14ac:dyDescent="0.25">
      <c r="A1038" s="13" t="s">
        <v>2119</v>
      </c>
      <c r="B1038" s="13" t="s">
        <v>2120</v>
      </c>
      <c r="C1038" s="13" t="s">
        <v>144</v>
      </c>
      <c r="D1038" s="13" t="s">
        <v>326</v>
      </c>
      <c r="E1038" s="13" t="str">
        <f>IFERROR(INDEX('Почасовка — ставки и план'!$B$5:$B$24,MATCH(D1038,'Почасовка — ставки и план'!$A$5:$A$24,0)),"Аренда техники / механизмы")</f>
        <v>Сантехник</v>
      </c>
      <c r="F1038" s="14">
        <v>24000</v>
      </c>
      <c r="G1038" s="14">
        <v>28800</v>
      </c>
      <c r="H1038" s="15">
        <v>14880</v>
      </c>
      <c r="I1038" s="15">
        <f>IF(OR(H1038="",F1038=""),"",MAX(H1038,MIN(ROUND(H1038*(1+Параметры!$B$5),IF(H1038*(1+Параметры!$B$5)&gt;=1000,-1,0)),ROUND(F1038*Параметры!$B$6,IF(F1038*Параметры!$B$6&gt;=1000,-1,0)))))</f>
        <v>17110</v>
      </c>
      <c r="J1038" s="15">
        <v>17856</v>
      </c>
      <c r="K1038" s="15">
        <f>IF(OR(J1038="",G1038=""),"",MAX(J1038,MIN(ROUND(J1038*(1+Параметры!$B$5),IF(J1038*(1+Параметры!$B$5)&gt;=1000,-1,0)),ROUND(G1038*Параметры!$B$6,IF(G1038*Параметры!$B$6&gt;=1000,-1,0)))))</f>
        <v>20530</v>
      </c>
      <c r="L1038" s="16">
        <v>16</v>
      </c>
      <c r="M1038" s="17">
        <f t="shared" si="86"/>
        <v>6.25E-2</v>
      </c>
      <c r="N1038" s="17">
        <f>IF(OR(L1038="",L1038=0),"",Параметры!$B$3/L1038)</f>
        <v>0.5</v>
      </c>
      <c r="O1038" s="15">
        <f>IF(L1038="","",IFERROR(INDEX('Почасовка — ставки и план'!$D$5:$D$24,MATCH($D1038,'Почасовка — ставки и план'!$A$5:$A$24,0)),""))</f>
        <v>850</v>
      </c>
      <c r="P1038" s="15">
        <f>IF(L1038="","",IFERROR(INDEX('Почасовка — ставки и план'!$E$5:$E$24,MATCH($D1038,'Почасовка — ставки и план'!$A$5:$A$24,0)),""))</f>
        <v>1020</v>
      </c>
      <c r="Q1038" s="15">
        <f t="shared" si="87"/>
        <v>13600</v>
      </c>
      <c r="R1038" s="13" t="str">
        <f>IF(D1038="TEX","аренда техники — сделка/счёт",IF(OR(Q1038="",H1038="",H1038=0),"—",IF(Q1038&lt;H1038*(1-Параметры!$B$7),"почасовка",IF(Q1038&gt;H1038*(1+Параметры!$B$7),"сделка","любой способ"))))</f>
        <v>любой способ</v>
      </c>
      <c r="S1038">
        <v>0</v>
      </c>
      <c r="T1038">
        <v>0</v>
      </c>
    </row>
    <row r="1039" spans="1:20" x14ac:dyDescent="0.25">
      <c r="A1039" s="13" t="s">
        <v>2121</v>
      </c>
      <c r="B1039" s="13" t="s">
        <v>2122</v>
      </c>
      <c r="C1039" s="13" t="s">
        <v>144</v>
      </c>
      <c r="D1039" s="13" t="s">
        <v>326</v>
      </c>
      <c r="E1039" s="13" t="str">
        <f>IFERROR(INDEX('Почасовка — ставки и план'!$B$5:$B$24,MATCH(D1039,'Почасовка — ставки и план'!$A$5:$A$24,0)),"Аренда техники / механизмы")</f>
        <v>Сантехник</v>
      </c>
      <c r="F1039" s="14">
        <v>35000</v>
      </c>
      <c r="G1039" s="14">
        <v>42000</v>
      </c>
      <c r="H1039" s="15">
        <v>21700</v>
      </c>
      <c r="I1039" s="15">
        <f>IF(OR(H1039="",F1039=""),"",MAX(H1039,MIN(ROUND(H1039*(1+Параметры!$B$5),IF(H1039*(1+Параметры!$B$5)&gt;=1000,-1,0)),ROUND(F1039*Параметры!$B$6,IF(F1039*Параметры!$B$6&gt;=1000,-1,0)))))</f>
        <v>24960</v>
      </c>
      <c r="J1039" s="15">
        <v>26040</v>
      </c>
      <c r="K1039" s="15">
        <f>IF(OR(J1039="",G1039=""),"",MAX(J1039,MIN(ROUND(J1039*(1+Параметры!$B$5),IF(J1039*(1+Параметры!$B$5)&gt;=1000,-1,0)),ROUND(G1039*Параметры!$B$6,IF(G1039*Параметры!$B$6&gt;=1000,-1,0)))))</f>
        <v>29950</v>
      </c>
      <c r="L1039" s="16">
        <v>22</v>
      </c>
      <c r="M1039" s="17">
        <f t="shared" si="86"/>
        <v>4.5454545454545456E-2</v>
      </c>
      <c r="N1039" s="17">
        <f>IF(OR(L1039="",L1039=0),"",Параметры!$B$3/L1039)</f>
        <v>0.36363636363636365</v>
      </c>
      <c r="O1039" s="15">
        <f>IF(L1039="","",IFERROR(INDEX('Почасовка — ставки и план'!$D$5:$D$24,MATCH($D1039,'Почасовка — ставки и план'!$A$5:$A$24,0)),""))</f>
        <v>850</v>
      </c>
      <c r="P1039" s="15">
        <f>IF(L1039="","",IFERROR(INDEX('Почасовка — ставки и план'!$E$5:$E$24,MATCH($D1039,'Почасовка — ставки и план'!$A$5:$A$24,0)),""))</f>
        <v>1020</v>
      </c>
      <c r="Q1039" s="15">
        <f t="shared" si="87"/>
        <v>18700</v>
      </c>
      <c r="R1039" s="13" t="str">
        <f>IF(D1039="TEX","аренда техники — сделка/счёт",IF(OR(Q1039="",H1039="",H1039=0),"—",IF(Q1039&lt;H1039*(1-Параметры!$B$7),"почасовка",IF(Q1039&gt;H1039*(1+Параметры!$B$7),"сделка","любой способ"))))</f>
        <v>почасовка</v>
      </c>
      <c r="S1039">
        <v>0</v>
      </c>
      <c r="T1039">
        <v>0</v>
      </c>
    </row>
    <row r="1040" spans="1:20" x14ac:dyDescent="0.25">
      <c r="A1040" s="13" t="s">
        <v>2123</v>
      </c>
      <c r="B1040" s="13" t="s">
        <v>2124</v>
      </c>
      <c r="C1040" s="13" t="s">
        <v>144</v>
      </c>
      <c r="D1040" s="13" t="s">
        <v>326</v>
      </c>
      <c r="E1040" s="13" t="str">
        <f>IFERROR(INDEX('Почасовка — ставки и план'!$B$5:$B$24,MATCH(D1040,'Почасовка — ставки и план'!$A$5:$A$24,0)),"Аренда техники / механизмы")</f>
        <v>Сантехник</v>
      </c>
      <c r="F1040" s="14">
        <v>21000</v>
      </c>
      <c r="G1040" s="14">
        <v>25200</v>
      </c>
      <c r="H1040" s="15">
        <v>13020</v>
      </c>
      <c r="I1040" s="15">
        <f>IF(OR(H1040="",F1040=""),"",MAX(H1040,MIN(ROUND(H1040*(1+Параметры!$B$5),IF(H1040*(1+Параметры!$B$5)&gt;=1000,-1,0)),ROUND(F1040*Параметры!$B$6,IF(F1040*Параметры!$B$6&gt;=1000,-1,0)))))</f>
        <v>14970</v>
      </c>
      <c r="J1040" s="15">
        <v>15624</v>
      </c>
      <c r="K1040" s="15">
        <f>IF(OR(J1040="",G1040=""),"",MAX(J1040,MIN(ROUND(J1040*(1+Параметры!$B$5),IF(J1040*(1+Параметры!$B$5)&gt;=1000,-1,0)),ROUND(G1040*Параметры!$B$6,IF(G1040*Параметры!$B$6&gt;=1000,-1,0)))))</f>
        <v>17970</v>
      </c>
      <c r="L1040" s="16">
        <v>14</v>
      </c>
      <c r="M1040" s="17">
        <f t="shared" si="86"/>
        <v>7.1428571428571425E-2</v>
      </c>
      <c r="N1040" s="17">
        <f>IF(OR(L1040="",L1040=0),"",Параметры!$B$3/L1040)</f>
        <v>0.5714285714285714</v>
      </c>
      <c r="O1040" s="15">
        <f>IF(L1040="","",IFERROR(INDEX('Почасовка — ставки и план'!$D$5:$D$24,MATCH($D1040,'Почасовка — ставки и план'!$A$5:$A$24,0)),""))</f>
        <v>850</v>
      </c>
      <c r="P1040" s="15">
        <f>IF(L1040="","",IFERROR(INDEX('Почасовка — ставки и план'!$E$5:$E$24,MATCH($D1040,'Почасовка — ставки и план'!$A$5:$A$24,0)),""))</f>
        <v>1020</v>
      </c>
      <c r="Q1040" s="15">
        <f t="shared" si="87"/>
        <v>11900</v>
      </c>
      <c r="R1040" s="13" t="str">
        <f>IF(D1040="TEX","аренда техники — сделка/счёт",IF(OR(Q1040="",H1040="",H1040=0),"—",IF(Q1040&lt;H1040*(1-Параметры!$B$7),"почасовка",IF(Q1040&gt;H1040*(1+Параметры!$B$7),"сделка","любой способ"))))</f>
        <v>любой способ</v>
      </c>
      <c r="S1040">
        <v>0</v>
      </c>
      <c r="T1040">
        <v>0</v>
      </c>
    </row>
    <row r="1041" spans="1:20" x14ac:dyDescent="0.25">
      <c r="A1041" s="13" t="s">
        <v>2125</v>
      </c>
      <c r="B1041" s="13" t="s">
        <v>2126</v>
      </c>
      <c r="C1041" s="13" t="s">
        <v>69</v>
      </c>
      <c r="D1041" s="13" t="s">
        <v>326</v>
      </c>
      <c r="E1041" s="13" t="str">
        <f>IFERROR(INDEX('Почасовка — ставки и план'!$B$5:$B$24,MATCH(D1041,'Почасовка — ставки и план'!$A$5:$A$24,0)),"Аренда техники / механизмы")</f>
        <v>Сантехник</v>
      </c>
      <c r="F1041" s="14">
        <v>60</v>
      </c>
      <c r="G1041" s="14">
        <v>69</v>
      </c>
      <c r="H1041" s="15">
        <v>37</v>
      </c>
      <c r="I1041" s="15">
        <f>IF(OR(H1041="",F1041=""),"",MAX(H1041,MIN(ROUND(H1041*(1+Параметры!$B$5),IF(H1041*(1+Параметры!$B$5)&gt;=1000,-1,0)),ROUND(F1041*Параметры!$B$6,IF(F1041*Параметры!$B$6&gt;=1000,-1,0)))))</f>
        <v>43</v>
      </c>
      <c r="J1041" s="15">
        <v>43</v>
      </c>
      <c r="K1041" s="15">
        <f>IF(OR(J1041="",G1041=""),"",MAX(J1041,MIN(ROUND(J1041*(1+Параметры!$B$5),IF(J1041*(1+Параметры!$B$5)&gt;=1000,-1,0)),ROUND(G1041*Параметры!$B$6,IF(G1041*Параметры!$B$6&gt;=1000,-1,0)))))</f>
        <v>49</v>
      </c>
      <c r="L1041" s="16">
        <v>0.03</v>
      </c>
      <c r="M1041" s="17">
        <f t="shared" si="86"/>
        <v>33.333333333333336</v>
      </c>
      <c r="N1041" s="17">
        <f>IF(OR(L1041="",L1041=0),"",Параметры!$B$3/L1041)</f>
        <v>266.66666666666669</v>
      </c>
      <c r="O1041" s="15">
        <f>IF(L1041="","",IFERROR(INDEX('Почасовка — ставки и план'!$D$5:$D$24,MATCH($D1041,'Почасовка — ставки и план'!$A$5:$A$24,0)),""))</f>
        <v>850</v>
      </c>
      <c r="P1041" s="15">
        <f>IF(L1041="","",IFERROR(INDEX('Почасовка — ставки и план'!$E$5:$E$24,MATCH($D1041,'Почасовка — ставки и план'!$A$5:$A$24,0)),""))</f>
        <v>1020</v>
      </c>
      <c r="Q1041" s="15">
        <f t="shared" si="87"/>
        <v>26</v>
      </c>
      <c r="R1041" s="13" t="str">
        <f>IF(D1041="TEX","аренда техники — сделка/счёт",IF(OR(Q1041="",H1041="",H1041=0),"—",IF(Q1041&lt;H1041*(1-Параметры!$B$7),"почасовка",IF(Q1041&gt;H1041*(1+Параметры!$B$7),"сделка","любой способ"))))</f>
        <v>почасовка</v>
      </c>
      <c r="S1041">
        <v>0</v>
      </c>
      <c r="T1041">
        <v>0</v>
      </c>
    </row>
    <row r="1042" spans="1:20" x14ac:dyDescent="0.25">
      <c r="A1042" s="13" t="s">
        <v>2127</v>
      </c>
      <c r="B1042" s="13" t="s">
        <v>2128</v>
      </c>
      <c r="C1042" s="13" t="s">
        <v>69</v>
      </c>
      <c r="D1042" s="13" t="s">
        <v>326</v>
      </c>
      <c r="E1042" s="13" t="str">
        <f>IFERROR(INDEX('Почасовка — ставки и план'!$B$5:$B$24,MATCH(D1042,'Почасовка — ставки и план'!$A$5:$A$24,0)),"Аренда техники / механизмы")</f>
        <v>Сантехник</v>
      </c>
      <c r="F1042" s="14">
        <v>45</v>
      </c>
      <c r="G1042" s="14">
        <v>51.5</v>
      </c>
      <c r="H1042" s="15">
        <v>28</v>
      </c>
      <c r="I1042" s="15">
        <f>IF(OR(H1042="",F1042=""),"",MAX(H1042,MIN(ROUND(H1042*(1+Параметры!$B$5),IF(H1042*(1+Параметры!$B$5)&gt;=1000,-1,0)),ROUND(F1042*Параметры!$B$6,IF(F1042*Параметры!$B$6&gt;=1000,-1,0)))))</f>
        <v>32</v>
      </c>
      <c r="J1042" s="15">
        <v>32</v>
      </c>
      <c r="K1042" s="15">
        <f>IF(OR(J1042="",G1042=""),"",MAX(J1042,MIN(ROUND(J1042*(1+Параметры!$B$5),IF(J1042*(1+Параметры!$B$5)&gt;=1000,-1,0)),ROUND(G1042*Параметры!$B$6,IF(G1042*Параметры!$B$6&gt;=1000,-1,0)))))</f>
        <v>37</v>
      </c>
      <c r="L1042" s="16">
        <v>0.02</v>
      </c>
      <c r="M1042" s="17">
        <f t="shared" si="86"/>
        <v>50</v>
      </c>
      <c r="N1042" s="17">
        <f>IF(OR(L1042="",L1042=0),"",Параметры!$B$3/L1042)</f>
        <v>400</v>
      </c>
      <c r="O1042" s="15">
        <f>IF(L1042="","",IFERROR(INDEX('Почасовка — ставки и план'!$D$5:$D$24,MATCH($D1042,'Почасовка — ставки и план'!$A$5:$A$24,0)),""))</f>
        <v>850</v>
      </c>
      <c r="P1042" s="15">
        <f>IF(L1042="","",IFERROR(INDEX('Почасовка — ставки и план'!$E$5:$E$24,MATCH($D1042,'Почасовка — ставки и план'!$A$5:$A$24,0)),""))</f>
        <v>1020</v>
      </c>
      <c r="Q1042" s="15">
        <f t="shared" si="87"/>
        <v>17</v>
      </c>
      <c r="R1042" s="13" t="str">
        <f>IF(D1042="TEX","аренда техники — сделка/счёт",IF(OR(Q1042="",H1042="",H1042=0),"—",IF(Q1042&lt;H1042*(1-Параметры!$B$7),"почасовка",IF(Q1042&gt;H1042*(1+Параметры!$B$7),"сделка","любой способ"))))</f>
        <v>почасовка</v>
      </c>
      <c r="S1042">
        <v>0</v>
      </c>
      <c r="T1042">
        <v>0</v>
      </c>
    </row>
    <row r="1043" spans="1:20" x14ac:dyDescent="0.25">
      <c r="A1043" s="13" t="s">
        <v>2129</v>
      </c>
      <c r="B1043" s="13" t="s">
        <v>2130</v>
      </c>
      <c r="C1043" s="13" t="s">
        <v>144</v>
      </c>
      <c r="D1043" s="13" t="s">
        <v>326</v>
      </c>
      <c r="E1043" s="13" t="str">
        <f>IFERROR(INDEX('Почасовка — ставки и план'!$B$5:$B$24,MATCH(D1043,'Почасовка — ставки и план'!$A$5:$A$24,0)),"Аренда техники / механизмы")</f>
        <v>Сантехник</v>
      </c>
      <c r="F1043" s="14">
        <v>3000</v>
      </c>
      <c r="G1043" s="14">
        <v>3450</v>
      </c>
      <c r="H1043" s="15">
        <v>1860</v>
      </c>
      <c r="I1043" s="15">
        <f>IF(OR(H1043="",F1043=""),"",MAX(H1043,MIN(ROUND(H1043*(1+Параметры!$B$5),IF(H1043*(1+Параметры!$B$5)&gt;=1000,-1,0)),ROUND(F1043*Параметры!$B$6,IF(F1043*Параметры!$B$6&gt;=1000,-1,0)))))</f>
        <v>2140</v>
      </c>
      <c r="J1043" s="15">
        <v>2139</v>
      </c>
      <c r="K1043" s="15">
        <f>IF(OR(J1043="",G1043=""),"",MAX(J1043,MIN(ROUND(J1043*(1+Параметры!$B$5),IF(J1043*(1+Параметры!$B$5)&gt;=1000,-1,0)),ROUND(G1043*Параметры!$B$6,IF(G1043*Параметры!$B$6&gt;=1000,-1,0)))))</f>
        <v>2460</v>
      </c>
      <c r="L1043" s="16">
        <v>2</v>
      </c>
      <c r="M1043" s="17">
        <f t="shared" si="86"/>
        <v>0.5</v>
      </c>
      <c r="N1043" s="17">
        <f>IF(OR(L1043="",L1043=0),"",Параметры!$B$3/L1043)</f>
        <v>4</v>
      </c>
      <c r="O1043" s="15">
        <f>IF(L1043="","",IFERROR(INDEX('Почасовка — ставки и план'!$D$5:$D$24,MATCH($D1043,'Почасовка — ставки и план'!$A$5:$A$24,0)),""))</f>
        <v>850</v>
      </c>
      <c r="P1043" s="15">
        <f>IF(L1043="","",IFERROR(INDEX('Почасовка — ставки и план'!$E$5:$E$24,MATCH($D1043,'Почасовка — ставки и план'!$A$5:$A$24,0)),""))</f>
        <v>1020</v>
      </c>
      <c r="Q1043" s="15">
        <f t="shared" si="87"/>
        <v>1700</v>
      </c>
      <c r="R1043" s="13" t="str">
        <f>IF(D1043="TEX","аренда техники — сделка/счёт",IF(OR(Q1043="",H1043="",H1043=0),"—",IF(Q1043&lt;H1043*(1-Параметры!$B$7),"почасовка",IF(Q1043&gt;H1043*(1+Параметры!$B$7),"сделка","любой способ"))))</f>
        <v>любой способ</v>
      </c>
      <c r="S1043">
        <v>0</v>
      </c>
      <c r="T1043">
        <v>0</v>
      </c>
    </row>
    <row r="1044" spans="1:20" x14ac:dyDescent="0.25">
      <c r="A1044" s="13" t="s">
        <v>2131</v>
      </c>
      <c r="B1044" s="13" t="s">
        <v>2132</v>
      </c>
      <c r="C1044" s="13" t="s">
        <v>144</v>
      </c>
      <c r="D1044" s="13" t="s">
        <v>326</v>
      </c>
      <c r="E1044" s="13" t="str">
        <f>IFERROR(INDEX('Почасовка — ставки и план'!$B$5:$B$24,MATCH(D1044,'Почасовка — ставки и план'!$A$5:$A$24,0)),"Аренда техники / механизмы")</f>
        <v>Сантехник</v>
      </c>
      <c r="F1044" s="14">
        <v>4500</v>
      </c>
      <c r="G1044" s="14">
        <v>5175</v>
      </c>
      <c r="H1044" s="15">
        <v>2790</v>
      </c>
      <c r="I1044" s="15">
        <f>IF(OR(H1044="",F1044=""),"",MAX(H1044,MIN(ROUND(H1044*(1+Параметры!$B$5),IF(H1044*(1+Параметры!$B$5)&gt;=1000,-1,0)),ROUND(F1044*Параметры!$B$6,IF(F1044*Параметры!$B$6&gt;=1000,-1,0)))))</f>
        <v>3210</v>
      </c>
      <c r="J1044" s="15">
        <v>3208</v>
      </c>
      <c r="K1044" s="15">
        <f>IF(OR(J1044="",G1044=""),"",MAX(J1044,MIN(ROUND(J1044*(1+Параметры!$B$5),IF(J1044*(1+Параметры!$B$5)&gt;=1000,-1,0)),ROUND(G1044*Параметры!$B$6,IF(G1044*Параметры!$B$6&gt;=1000,-1,0)))))</f>
        <v>3690</v>
      </c>
      <c r="L1044" s="16">
        <v>3.5</v>
      </c>
      <c r="M1044" s="17">
        <f t="shared" si="86"/>
        <v>0.2857142857142857</v>
      </c>
      <c r="N1044" s="17">
        <f>IF(OR(L1044="",L1044=0),"",Параметры!$B$3/L1044)</f>
        <v>2.2857142857142856</v>
      </c>
      <c r="O1044" s="15">
        <f>IF(L1044="","",IFERROR(INDEX('Почасовка — ставки и план'!$D$5:$D$24,MATCH($D1044,'Почасовка — ставки и план'!$A$5:$A$24,0)),""))</f>
        <v>850</v>
      </c>
      <c r="P1044" s="15">
        <f>IF(L1044="","",IFERROR(INDEX('Почасовка — ставки и план'!$E$5:$E$24,MATCH($D1044,'Почасовка — ставки и план'!$A$5:$A$24,0)),""))</f>
        <v>1020</v>
      </c>
      <c r="Q1044" s="15">
        <f t="shared" si="87"/>
        <v>2975</v>
      </c>
      <c r="R1044" s="13" t="str">
        <f>IF(D1044="TEX","аренда техники — сделка/счёт",IF(OR(Q1044="",H1044="",H1044=0),"—",IF(Q1044&lt;H1044*(1-Параметры!$B$7),"почасовка",IF(Q1044&gt;H1044*(1+Параметры!$B$7),"сделка","любой способ"))))</f>
        <v>любой способ</v>
      </c>
      <c r="S1044">
        <v>0</v>
      </c>
      <c r="T1044">
        <v>0</v>
      </c>
    </row>
    <row r="1045" spans="1:20" x14ac:dyDescent="0.25">
      <c r="A1045" s="13" t="s">
        <v>2133</v>
      </c>
      <c r="B1045" s="13" t="s">
        <v>2134</v>
      </c>
      <c r="C1045" s="13" t="s">
        <v>144</v>
      </c>
      <c r="D1045" s="13" t="s">
        <v>326</v>
      </c>
      <c r="E1045" s="13" t="str">
        <f>IFERROR(INDEX('Почасовка — ставки и план'!$B$5:$B$24,MATCH(D1045,'Почасовка — ставки и план'!$A$5:$A$24,0)),"Аренда техники / механизмы")</f>
        <v>Сантехник</v>
      </c>
      <c r="F1045" s="14">
        <v>3500</v>
      </c>
      <c r="G1045" s="14">
        <v>4025</v>
      </c>
      <c r="H1045" s="15">
        <v>2170</v>
      </c>
      <c r="I1045" s="15">
        <f>IF(OR(H1045="",F1045=""),"",MAX(H1045,MIN(ROUND(H1045*(1+Параметры!$B$5),IF(H1045*(1+Параметры!$B$5)&gt;=1000,-1,0)),ROUND(F1045*Параметры!$B$6,IF(F1045*Параметры!$B$6&gt;=1000,-1,0)))))</f>
        <v>2500</v>
      </c>
      <c r="J1045" s="15">
        <v>2495</v>
      </c>
      <c r="K1045" s="15">
        <f>IF(OR(J1045="",G1045=""),"",MAX(J1045,MIN(ROUND(J1045*(1+Параметры!$B$5),IF(J1045*(1+Параметры!$B$5)&gt;=1000,-1,0)),ROUND(G1045*Параметры!$B$6,IF(G1045*Параметры!$B$6&gt;=1000,-1,0)))))</f>
        <v>2870</v>
      </c>
      <c r="L1045" s="16">
        <v>2.5</v>
      </c>
      <c r="M1045" s="17">
        <f t="shared" si="86"/>
        <v>0.4</v>
      </c>
      <c r="N1045" s="17">
        <f>IF(OR(L1045="",L1045=0),"",Параметры!$B$3/L1045)</f>
        <v>3.2</v>
      </c>
      <c r="O1045" s="15">
        <f>IF(L1045="","",IFERROR(INDEX('Почасовка — ставки и план'!$D$5:$D$24,MATCH($D1045,'Почасовка — ставки и план'!$A$5:$A$24,0)),""))</f>
        <v>850</v>
      </c>
      <c r="P1045" s="15">
        <f>IF(L1045="","",IFERROR(INDEX('Почасовка — ставки и план'!$E$5:$E$24,MATCH($D1045,'Почасовка — ставки и план'!$A$5:$A$24,0)),""))</f>
        <v>1020</v>
      </c>
      <c r="Q1045" s="15">
        <f t="shared" si="87"/>
        <v>2125</v>
      </c>
      <c r="R1045" s="13" t="str">
        <f>IF(D1045="TEX","аренда техники — сделка/счёт",IF(OR(Q1045="",H1045="",H1045=0),"—",IF(Q1045&lt;H1045*(1-Параметры!$B$7),"почасовка",IF(Q1045&gt;H1045*(1+Параметры!$B$7),"сделка","любой способ"))))</f>
        <v>любой способ</v>
      </c>
      <c r="S1045">
        <v>0</v>
      </c>
      <c r="T1045">
        <v>0</v>
      </c>
    </row>
    <row r="1046" spans="1:20" x14ac:dyDescent="0.25">
      <c r="A1046" s="13" t="s">
        <v>2135</v>
      </c>
      <c r="B1046" s="13" t="s">
        <v>2136</v>
      </c>
      <c r="C1046" s="13" t="s">
        <v>69</v>
      </c>
      <c r="D1046" s="13" t="s">
        <v>64</v>
      </c>
      <c r="E1046" s="13" t="str">
        <f>IFERROR(INDEX('Почасовка — ставки и план'!$B$5:$B$24,MATCH(D1046,'Почасовка — ставки и план'!$A$5:$A$24,0)),"Аренда техники / механизмы")</f>
        <v>Сварщик / монтажник МК</v>
      </c>
      <c r="F1046" s="14">
        <v>1680</v>
      </c>
      <c r="G1046" s="14">
        <v>2016</v>
      </c>
      <c r="H1046" s="15">
        <v>930</v>
      </c>
      <c r="I1046" s="15">
        <f>IF(OR(H1046="",F1046=""),"",MAX(H1046,MIN(ROUND(H1046*(1+Параметры!$B$5),IF(H1046*(1+Параметры!$B$5)&gt;=1000,-1,0)),ROUND(F1046*Параметры!$B$6,IF(F1046*Параметры!$B$6&gt;=1000,-1,0)))))</f>
        <v>1070</v>
      </c>
      <c r="J1046" s="15">
        <v>1069</v>
      </c>
      <c r="K1046" s="15">
        <f>IF(OR(J1046="",G1046=""),"",MAX(J1046,MIN(ROUND(J1046*(1+Параметры!$B$5),IF(J1046*(1+Параметры!$B$5)&gt;=1000,-1,0)),ROUND(G1046*Параметры!$B$6,IF(G1046*Параметры!$B$6&gt;=1000,-1,0)))))</f>
        <v>1230</v>
      </c>
      <c r="L1046" s="16">
        <v>1.4</v>
      </c>
      <c r="M1046" s="17">
        <f t="shared" si="86"/>
        <v>0.7142857142857143</v>
      </c>
      <c r="N1046" s="17">
        <f>IF(OR(L1046="",L1046=0),"",Параметры!$B$3/L1046)</f>
        <v>5.7142857142857144</v>
      </c>
      <c r="O1046" s="15">
        <f>IF(L1046="","",IFERROR(INDEX('Почасовка — ставки и план'!$D$5:$D$24,MATCH($D1046,'Почасовка — ставки и план'!$A$5:$A$24,0)),""))</f>
        <v>900</v>
      </c>
      <c r="P1046" s="15">
        <f>IF(L1046="","",IFERROR(INDEX('Почасовка — ставки и план'!$E$5:$E$24,MATCH($D1046,'Почасовка — ставки и план'!$A$5:$A$24,0)),""))</f>
        <v>1080</v>
      </c>
      <c r="Q1046" s="15">
        <f t="shared" si="87"/>
        <v>1260</v>
      </c>
      <c r="R1046" s="13" t="str">
        <f>IF(D1046="TEX","аренда техники — сделка/счёт",IF(OR(Q1046="",H1046="",H1046=0),"—",IF(Q1046&lt;H1046*(1-Параметры!$B$7),"почасовка",IF(Q1046&gt;H1046*(1+Параметры!$B$7),"сделка","любой способ"))))</f>
        <v>сделка</v>
      </c>
      <c r="S1046">
        <v>0.12000000000000011</v>
      </c>
      <c r="T1046">
        <v>0.16869565217391311</v>
      </c>
    </row>
    <row r="1047" spans="1:20" x14ac:dyDescent="0.25">
      <c r="A1047" s="13" t="s">
        <v>2137</v>
      </c>
      <c r="B1047" s="13" t="s">
        <v>2138</v>
      </c>
      <c r="C1047" s="13" t="s">
        <v>69</v>
      </c>
      <c r="D1047" s="13" t="s">
        <v>64</v>
      </c>
      <c r="E1047" s="13" t="str">
        <f>IFERROR(INDEX('Почасовка — ставки и план'!$B$5:$B$24,MATCH(D1047,'Почасовка — ставки и план'!$A$5:$A$24,0)),"Аренда техники / механизмы")</f>
        <v>Сварщик / монтажник МК</v>
      </c>
      <c r="F1047" s="14">
        <v>1020</v>
      </c>
      <c r="G1047" s="14">
        <v>1224</v>
      </c>
      <c r="H1047" s="15">
        <v>527</v>
      </c>
      <c r="I1047" s="15">
        <f>IF(OR(H1047="",F1047=""),"",MAX(H1047,MIN(ROUND(H1047*(1+Параметры!$B$5),IF(H1047*(1+Параметры!$B$5)&gt;=1000,-1,0)),ROUND(F1047*Параметры!$B$6,IF(F1047*Параметры!$B$6&gt;=1000,-1,0)))))</f>
        <v>606</v>
      </c>
      <c r="J1047" s="15">
        <v>606</v>
      </c>
      <c r="K1047" s="15">
        <f>IF(OR(J1047="",G1047=""),"",MAX(J1047,MIN(ROUND(J1047*(1+Параметры!$B$5),IF(J1047*(1+Параметры!$B$5)&gt;=1000,-1,0)),ROUND(G1047*Параметры!$B$6,IF(G1047*Параметры!$B$6&gt;=1000,-1,0)))))</f>
        <v>697</v>
      </c>
      <c r="L1047" s="16">
        <v>0.85</v>
      </c>
      <c r="M1047" s="17">
        <f t="shared" si="86"/>
        <v>1.1764705882352942</v>
      </c>
      <c r="N1047" s="17">
        <f>IF(OR(L1047="",L1047=0),"",Параметры!$B$3/L1047)</f>
        <v>9.4117647058823533</v>
      </c>
      <c r="O1047" s="15">
        <f>IF(L1047="","",IFERROR(INDEX('Почасовка — ставки и план'!$D$5:$D$24,MATCH($D1047,'Почасовка — ставки и план'!$A$5:$A$24,0)),""))</f>
        <v>900</v>
      </c>
      <c r="P1047" s="15">
        <f>IF(L1047="","",IFERROR(INDEX('Почасовка — ставки и план'!$E$5:$E$24,MATCH($D1047,'Почасовка — ставки и план'!$A$5:$A$24,0)),""))</f>
        <v>1080</v>
      </c>
      <c r="Q1047" s="15">
        <f t="shared" si="87"/>
        <v>765</v>
      </c>
      <c r="R1047" s="13" t="str">
        <f>IF(D1047="TEX","аренда техники — сделка/счёт",IF(OR(Q1047="",H1047="",H1047=0),"—",IF(Q1047&lt;H1047*(1-Параметры!$B$7),"почасовка",IF(Q1047&gt;H1047*(1+Параметры!$B$7),"сделка","любой способ"))))</f>
        <v>сделка</v>
      </c>
      <c r="S1047">
        <v>0.2</v>
      </c>
      <c r="T1047">
        <v>0.2528147389969293</v>
      </c>
    </row>
    <row r="1048" spans="1:20" x14ac:dyDescent="0.25">
      <c r="A1048" s="13" t="s">
        <v>2139</v>
      </c>
      <c r="B1048" s="13" t="s">
        <v>2140</v>
      </c>
      <c r="C1048" s="13" t="s">
        <v>69</v>
      </c>
      <c r="D1048" s="13" t="s">
        <v>326</v>
      </c>
      <c r="E1048" s="13" t="str">
        <f>IFERROR(INDEX('Почасовка — ставки и план'!$B$5:$B$24,MATCH(D1048,'Почасовка — ставки и план'!$A$5:$A$24,0)),"Аренда техники / механизмы")</f>
        <v>Сантехник</v>
      </c>
      <c r="F1048" s="14">
        <v>624</v>
      </c>
      <c r="G1048" s="14">
        <v>748</v>
      </c>
      <c r="H1048" s="15">
        <v>341</v>
      </c>
      <c r="I1048" s="15">
        <f>IF(OR(H1048="",F1048=""),"",MAX(H1048,MIN(ROUND(H1048*(1+Параметры!$B$5),IF(H1048*(1+Параметры!$B$5)&gt;=1000,-1,0)),ROUND(F1048*Параметры!$B$6,IF(F1048*Параметры!$B$6&gt;=1000,-1,0)))))</f>
        <v>392</v>
      </c>
      <c r="J1048" s="15">
        <v>392</v>
      </c>
      <c r="K1048" s="15">
        <f>IF(OR(J1048="",G1048=""),"",MAX(J1048,MIN(ROUND(J1048*(1+Параметры!$B$5),IF(J1048*(1+Параметры!$B$5)&gt;=1000,-1,0)),ROUND(G1048*Параметры!$B$6,IF(G1048*Параметры!$B$6&gt;=1000,-1,0)))))</f>
        <v>451</v>
      </c>
      <c r="L1048" s="16">
        <v>0.55000000000000004</v>
      </c>
      <c r="M1048" s="17">
        <f t="shared" si="86"/>
        <v>1.8181818181818181</v>
      </c>
      <c r="N1048" s="17">
        <f>IF(OR(L1048="",L1048=0),"",Параметры!$B$3/L1048)</f>
        <v>14.545454545454545</v>
      </c>
      <c r="O1048" s="15">
        <f>IF(L1048="","",IFERROR(INDEX('Почасовка — ставки и план'!$D$5:$D$24,MATCH($D1048,'Почасовка — ставки и план'!$A$5:$A$24,0)),""))</f>
        <v>850</v>
      </c>
      <c r="P1048" s="15">
        <f>IF(L1048="","",IFERROR(INDEX('Почасовка — ставки и план'!$E$5:$E$24,MATCH($D1048,'Почасовка — ставки и план'!$A$5:$A$24,0)),""))</f>
        <v>1020</v>
      </c>
      <c r="Q1048" s="15">
        <f t="shared" si="87"/>
        <v>468</v>
      </c>
      <c r="R1048" s="13" t="str">
        <f>IF(D1048="TEX","аренда техники — сделка/счёт",IF(OR(Q1048="",H1048="",H1048=0),"—",IF(Q1048&lt;H1048*(1-Параметры!$B$7),"почасовка",IF(Q1048&gt;H1048*(1+Параметры!$B$7),"сделка","любой способ"))))</f>
        <v>сделка</v>
      </c>
      <c r="S1048">
        <v>0.1345454545454545</v>
      </c>
      <c r="T1048">
        <v>0.18354430379746839</v>
      </c>
    </row>
    <row r="1049" spans="1:20" x14ac:dyDescent="0.25">
      <c r="A1049" s="13" t="s">
        <v>2141</v>
      </c>
      <c r="B1049" s="13" t="s">
        <v>2142</v>
      </c>
      <c r="C1049" s="13" t="s">
        <v>69</v>
      </c>
      <c r="D1049" s="13" t="s">
        <v>326</v>
      </c>
      <c r="E1049" s="13" t="str">
        <f>IFERROR(INDEX('Почасовка — ставки и план'!$B$5:$B$24,MATCH(D1049,'Почасовка — ставки и план'!$A$5:$A$24,0)),"Аренда техники / механизмы")</f>
        <v>Сантехник</v>
      </c>
      <c r="F1049" s="14">
        <v>680</v>
      </c>
      <c r="G1049" s="14">
        <v>816</v>
      </c>
      <c r="H1049" s="15">
        <v>372</v>
      </c>
      <c r="I1049" s="15">
        <f>IF(OR(H1049="",F1049=""),"",MAX(H1049,MIN(ROUND(H1049*(1+Параметры!$B$5),IF(H1049*(1+Параметры!$B$5)&gt;=1000,-1,0)),ROUND(F1049*Параметры!$B$6,IF(F1049*Параметры!$B$6&gt;=1000,-1,0)))))</f>
        <v>428</v>
      </c>
      <c r="J1049" s="15">
        <v>428</v>
      </c>
      <c r="K1049" s="15">
        <f>IF(OR(J1049="",G1049=""),"",MAX(J1049,MIN(ROUND(J1049*(1+Параметры!$B$5),IF(J1049*(1+Параметры!$B$5)&gt;=1000,-1,0)),ROUND(G1049*Параметры!$B$6,IF(G1049*Параметры!$B$6&gt;=1000,-1,0)))))</f>
        <v>492</v>
      </c>
      <c r="L1049" s="16">
        <v>0.6</v>
      </c>
      <c r="M1049" s="17">
        <f t="shared" si="86"/>
        <v>1.6666666666666667</v>
      </c>
      <c r="N1049" s="17">
        <f>IF(OR(L1049="",L1049=0),"",Параметры!$B$3/L1049)</f>
        <v>13.333333333333334</v>
      </c>
      <c r="O1049" s="15">
        <f>IF(L1049="","",IFERROR(INDEX('Почасовка — ставки и план'!$D$5:$D$24,MATCH($D1049,'Почасовка — ставки и план'!$A$5:$A$24,0)),""))</f>
        <v>850</v>
      </c>
      <c r="P1049" s="15">
        <f>IF(L1049="","",IFERROR(INDEX('Почасовка — ставки и план'!$E$5:$E$24,MATCH($D1049,'Почасовка — ставки и план'!$A$5:$A$24,0)),""))</f>
        <v>1020</v>
      </c>
      <c r="Q1049" s="15">
        <f t="shared" si="87"/>
        <v>510</v>
      </c>
      <c r="R1049" s="13" t="str">
        <f>IF(D1049="TEX","аренда техники — сделка/счёт",IF(OR(Q1049="",H1049="",H1049=0),"—",IF(Q1049&lt;H1049*(1-Параметры!$B$7),"почасовка",IF(Q1049&gt;H1049*(1+Параметры!$B$7),"сделка","любой способ"))))</f>
        <v>сделка</v>
      </c>
      <c r="S1049">
        <v>0.1333333333333333</v>
      </c>
      <c r="T1049">
        <v>0.182608695652174</v>
      </c>
    </row>
    <row r="1050" spans="1:20" x14ac:dyDescent="0.25">
      <c r="A1050" s="13" t="s">
        <v>2143</v>
      </c>
      <c r="B1050" s="13" t="s">
        <v>2144</v>
      </c>
      <c r="C1050" s="13" t="s">
        <v>69</v>
      </c>
      <c r="D1050" s="13" t="s">
        <v>326</v>
      </c>
      <c r="E1050" s="13" t="str">
        <f>IFERROR(INDEX('Почасовка — ставки и план'!$B$5:$B$24,MATCH(D1050,'Почасовка — ставки и план'!$A$5:$A$24,0)),"Аренда техники / механизмы")</f>
        <v>Сантехник</v>
      </c>
      <c r="F1050" s="14">
        <v>794</v>
      </c>
      <c r="G1050" s="14">
        <v>952</v>
      </c>
      <c r="H1050" s="15">
        <v>434</v>
      </c>
      <c r="I1050" s="15">
        <f>IF(OR(H1050="",F1050=""),"",MAX(H1050,MIN(ROUND(H1050*(1+Параметры!$B$5),IF(H1050*(1+Параметры!$B$5)&gt;=1000,-1,0)),ROUND(F1050*Параметры!$B$6,IF(F1050*Параметры!$B$6&gt;=1000,-1,0)))))</f>
        <v>499</v>
      </c>
      <c r="J1050" s="15">
        <v>499</v>
      </c>
      <c r="K1050" s="15">
        <f>IF(OR(J1050="",G1050=""),"",MAX(J1050,MIN(ROUND(J1050*(1+Параметры!$B$5),IF(J1050*(1+Параметры!$B$5)&gt;=1000,-1,0)),ROUND(G1050*Параметры!$B$6,IF(G1050*Параметры!$B$6&gt;=1000,-1,0)))))</f>
        <v>574</v>
      </c>
      <c r="L1050" s="16">
        <v>0.7</v>
      </c>
      <c r="M1050" s="17">
        <f t="shared" si="86"/>
        <v>1.4285714285714286</v>
      </c>
      <c r="N1050" s="17">
        <f>IF(OR(L1050="",L1050=0),"",Параметры!$B$3/L1050)</f>
        <v>11.428571428571429</v>
      </c>
      <c r="O1050" s="15">
        <f>IF(L1050="","",IFERROR(INDEX('Почасовка — ставки и план'!$D$5:$D$24,MATCH($D1050,'Почасовка — ставки и план'!$A$5:$A$24,0)),""))</f>
        <v>850</v>
      </c>
      <c r="P1050" s="15">
        <f>IF(L1050="","",IFERROR(INDEX('Почасовка — ставки и план'!$E$5:$E$24,MATCH($D1050,'Почасовка — ставки и план'!$A$5:$A$24,0)),""))</f>
        <v>1020</v>
      </c>
      <c r="Q1050" s="15">
        <f t="shared" si="87"/>
        <v>595</v>
      </c>
      <c r="R1050" s="13" t="str">
        <f>IF(D1050="TEX","аренда техники — сделка/счёт",IF(OR(Q1050="",H1050="",H1050=0),"—",IF(Q1050&lt;H1050*(1-Параметры!$B$7),"почасовка",IF(Q1050&gt;H1050*(1+Параметры!$B$7),"сделка","любой способ"))))</f>
        <v>сделка</v>
      </c>
      <c r="S1050">
        <v>0.13428571428571431</v>
      </c>
      <c r="T1050">
        <v>0.182608695652174</v>
      </c>
    </row>
    <row r="1051" spans="1:20" x14ac:dyDescent="0.25">
      <c r="A1051" s="13" t="s">
        <v>2145</v>
      </c>
      <c r="B1051" s="13" t="s">
        <v>2146</v>
      </c>
      <c r="C1051" s="13" t="s">
        <v>69</v>
      </c>
      <c r="D1051" s="13" t="s">
        <v>326</v>
      </c>
      <c r="E1051" s="13" t="str">
        <f>IFERROR(INDEX('Почасовка — ставки и план'!$B$5:$B$24,MATCH(D1051,'Почасовка — ставки и план'!$A$5:$A$24,0)),"Аренда техники / механизмы")</f>
        <v>Сантехник</v>
      </c>
      <c r="F1051" s="14">
        <v>964</v>
      </c>
      <c r="G1051" s="14">
        <v>1156</v>
      </c>
      <c r="H1051" s="15">
        <v>527</v>
      </c>
      <c r="I1051" s="15">
        <f>IF(OR(H1051="",F1051=""),"",MAX(H1051,MIN(ROUND(H1051*(1+Параметры!$B$5),IF(H1051*(1+Параметры!$B$5)&gt;=1000,-1,0)),ROUND(F1051*Параметры!$B$6,IF(F1051*Параметры!$B$6&gt;=1000,-1,0)))))</f>
        <v>606</v>
      </c>
      <c r="J1051" s="15">
        <v>606</v>
      </c>
      <c r="K1051" s="15">
        <f>IF(OR(J1051="",G1051=""),"",MAX(J1051,MIN(ROUND(J1051*(1+Параметры!$B$5),IF(J1051*(1+Параметры!$B$5)&gt;=1000,-1,0)),ROUND(G1051*Параметры!$B$6,IF(G1051*Параметры!$B$6&gt;=1000,-1,0)))))</f>
        <v>697</v>
      </c>
      <c r="L1051" s="16">
        <v>0.85</v>
      </c>
      <c r="M1051" s="17">
        <f t="shared" si="86"/>
        <v>1.1764705882352942</v>
      </c>
      <c r="N1051" s="17">
        <f>IF(OR(L1051="",L1051=0),"",Параметры!$B$3/L1051)</f>
        <v>9.4117647058823533</v>
      </c>
      <c r="O1051" s="15">
        <f>IF(L1051="","",IFERROR(INDEX('Почасовка — ставки и план'!$D$5:$D$24,MATCH($D1051,'Почасовка — ставки и план'!$A$5:$A$24,0)),""))</f>
        <v>850</v>
      </c>
      <c r="P1051" s="15">
        <f>IF(L1051="","",IFERROR(INDEX('Почасовка — ставки и план'!$E$5:$E$24,MATCH($D1051,'Почасовка — ставки и план'!$A$5:$A$24,0)),""))</f>
        <v>1020</v>
      </c>
      <c r="Q1051" s="15">
        <f t="shared" si="87"/>
        <v>723</v>
      </c>
      <c r="R1051" s="13" t="str">
        <f>IF(D1051="TEX","аренда техники — сделка/счёт",IF(OR(Q1051="",H1051="",H1051=0),"—",IF(Q1051&lt;H1051*(1-Параметры!$B$7),"почасовка",IF(Q1051&gt;H1051*(1+Параметры!$B$7),"сделка","любой способ"))))</f>
        <v>сделка</v>
      </c>
      <c r="S1051">
        <v>0.13411764705882351</v>
      </c>
      <c r="T1051">
        <v>0.18321392016376661</v>
      </c>
    </row>
    <row r="1052" spans="1:20" x14ac:dyDescent="0.25">
      <c r="A1052" s="13" t="s">
        <v>2147</v>
      </c>
      <c r="B1052" s="13" t="s">
        <v>2148</v>
      </c>
      <c r="C1052" s="13" t="s">
        <v>69</v>
      </c>
      <c r="D1052" s="13" t="s">
        <v>326</v>
      </c>
      <c r="E1052" s="13" t="str">
        <f>IFERROR(INDEX('Почасовка — ставки и план'!$B$5:$B$24,MATCH(D1052,'Почасовка — ставки и план'!$A$5:$A$24,0)),"Аренда техники / механизмы")</f>
        <v>Сантехник</v>
      </c>
      <c r="F1052" s="14">
        <v>1078</v>
      </c>
      <c r="G1052" s="14">
        <v>1292</v>
      </c>
      <c r="H1052" s="15">
        <v>589</v>
      </c>
      <c r="I1052" s="15">
        <f>IF(OR(H1052="",F1052=""),"",MAX(H1052,MIN(ROUND(H1052*(1+Параметры!$B$5),IF(H1052*(1+Параметры!$B$5)&gt;=1000,-1,0)),ROUND(F1052*Параметры!$B$6,IF(F1052*Параметры!$B$6&gt;=1000,-1,0)))))</f>
        <v>677</v>
      </c>
      <c r="J1052" s="15">
        <v>677</v>
      </c>
      <c r="K1052" s="15">
        <f>IF(OR(J1052="",G1052=""),"",MAX(J1052,MIN(ROUND(J1052*(1+Параметры!$B$5),IF(J1052*(1+Параметры!$B$5)&gt;=1000,-1,0)),ROUND(G1052*Параметры!$B$6,IF(G1052*Параметры!$B$6&gt;=1000,-1,0)))))</f>
        <v>779</v>
      </c>
      <c r="L1052" s="16">
        <v>0.95</v>
      </c>
      <c r="M1052" s="17">
        <f t="shared" si="86"/>
        <v>1.0526315789473684</v>
      </c>
      <c r="N1052" s="17">
        <f>IF(OR(L1052="",L1052=0),"",Параметры!$B$3/L1052)</f>
        <v>8.4210526315789469</v>
      </c>
      <c r="O1052" s="15">
        <f>IF(L1052="","",IFERROR(INDEX('Почасовка — ставки и план'!$D$5:$D$24,MATCH($D1052,'Почасовка — ставки и план'!$A$5:$A$24,0)),""))</f>
        <v>850</v>
      </c>
      <c r="P1052" s="15">
        <f>IF(L1052="","",IFERROR(INDEX('Почасовка — ставки и план'!$E$5:$E$24,MATCH($D1052,'Почасовка — ставки и план'!$A$5:$A$24,0)),""))</f>
        <v>1020</v>
      </c>
      <c r="Q1052" s="15">
        <f t="shared" si="87"/>
        <v>808</v>
      </c>
      <c r="R1052" s="13" t="str">
        <f>IF(D1052="TEX","аренда техники — сделка/счёт",IF(OR(Q1052="",H1052="",H1052=0),"—",IF(Q1052&lt;H1052*(1-Параметры!$B$7),"почасовка",IF(Q1052&gt;H1052*(1+Параметры!$B$7),"сделка","любой способ"))))</f>
        <v>сделка</v>
      </c>
      <c r="S1052">
        <v>0.13473684210526329</v>
      </c>
      <c r="T1052">
        <v>0.18315018315018319</v>
      </c>
    </row>
    <row r="1053" spans="1:20" x14ac:dyDescent="0.25">
      <c r="A1053" s="13" t="s">
        <v>2149</v>
      </c>
      <c r="B1053" s="13" t="s">
        <v>2150</v>
      </c>
      <c r="C1053" s="13" t="s">
        <v>69</v>
      </c>
      <c r="D1053" s="13" t="s">
        <v>326</v>
      </c>
      <c r="E1053" s="13" t="str">
        <f>IFERROR(INDEX('Почасовка — ставки и план'!$B$5:$B$24,MATCH(D1053,'Почасовка — ставки и план'!$A$5:$A$24,0)),"Аренда техники / механизмы")</f>
        <v>Сантехник</v>
      </c>
      <c r="F1053" s="14">
        <v>1247</v>
      </c>
      <c r="G1053" s="14">
        <v>1496</v>
      </c>
      <c r="H1053" s="15">
        <v>713</v>
      </c>
      <c r="I1053" s="15">
        <f>IF(OR(H1053="",F1053=""),"",MAX(H1053,MIN(ROUND(H1053*(1+Параметры!$B$5),IF(H1053*(1+Параметры!$B$5)&gt;=1000,-1,0)),ROUND(F1053*Параметры!$B$6,IF(F1053*Параметры!$B$6&gt;=1000,-1,0)))))</f>
        <v>820</v>
      </c>
      <c r="J1053" s="15">
        <v>820</v>
      </c>
      <c r="K1053" s="15">
        <f>IF(OR(J1053="",G1053=""),"",MAX(J1053,MIN(ROUND(J1053*(1+Параметры!$B$5),IF(J1053*(1+Параметры!$B$5)&gt;=1000,-1,0)),ROUND(G1053*Параметры!$B$6,IF(G1053*Параметры!$B$6&gt;=1000,-1,0)))))</f>
        <v>943</v>
      </c>
      <c r="L1053" s="16">
        <v>1.1000000000000001</v>
      </c>
      <c r="M1053" s="17">
        <f t="shared" si="86"/>
        <v>0.90909090909090906</v>
      </c>
      <c r="N1053" s="17">
        <f>IF(OR(L1053="",L1053=0),"",Параметры!$B$3/L1053)</f>
        <v>7.2727272727272725</v>
      </c>
      <c r="O1053" s="15">
        <f>IF(L1053="","",IFERROR(INDEX('Почасовка — ставки и план'!$D$5:$D$24,MATCH($D1053,'Почасовка — ставки и план'!$A$5:$A$24,0)),""))</f>
        <v>850</v>
      </c>
      <c r="P1053" s="15">
        <f>IF(L1053="","",IFERROR(INDEX('Почасовка — ставки и план'!$E$5:$E$24,MATCH($D1053,'Почасовка — ставки и план'!$A$5:$A$24,0)),""))</f>
        <v>1020</v>
      </c>
      <c r="Q1053" s="15">
        <f t="shared" si="87"/>
        <v>935</v>
      </c>
      <c r="R1053" s="13" t="str">
        <f>IF(D1053="TEX","аренда техники — сделка/счёт",IF(OR(Q1053="",H1053="",H1053=0),"—",IF(Q1053&lt;H1053*(1-Параметры!$B$7),"почасовка",IF(Q1053&gt;H1053*(1+Параметры!$B$7),"сделка","любой способ"))))</f>
        <v>сделка</v>
      </c>
      <c r="S1053">
        <v>8.4347826086956568E-2</v>
      </c>
      <c r="T1053">
        <v>0.1316187594553706</v>
      </c>
    </row>
    <row r="1054" spans="1:20" x14ac:dyDescent="0.25">
      <c r="A1054" s="13" t="s">
        <v>2151</v>
      </c>
      <c r="B1054" s="13" t="s">
        <v>2152</v>
      </c>
      <c r="C1054" s="13" t="s">
        <v>144</v>
      </c>
      <c r="D1054" s="13" t="s">
        <v>326</v>
      </c>
      <c r="E1054" s="13" t="str">
        <f>IFERROR(INDEX('Почасовка — ставки и план'!$B$5:$B$24,MATCH(D1054,'Почасовка — ставки и план'!$A$5:$A$24,0)),"Аренда техники / механизмы")</f>
        <v>Сантехник</v>
      </c>
      <c r="F1054" s="14">
        <v>1020</v>
      </c>
      <c r="G1054" s="14">
        <v>1224</v>
      </c>
      <c r="H1054" s="15">
        <v>589</v>
      </c>
      <c r="I1054" s="15">
        <f>IF(OR(H1054="",F1054=""),"",MAX(H1054,MIN(ROUND(H1054*(1+Параметры!$B$5),IF(H1054*(1+Параметры!$B$5)&gt;=1000,-1,0)),ROUND(F1054*Параметры!$B$6,IF(F1054*Параметры!$B$6&gt;=1000,-1,0)))))</f>
        <v>677</v>
      </c>
      <c r="J1054" s="15">
        <v>677</v>
      </c>
      <c r="K1054" s="15">
        <f>IF(OR(J1054="",G1054=""),"",MAX(J1054,MIN(ROUND(J1054*(1+Параметры!$B$5),IF(J1054*(1+Параметры!$B$5)&gt;=1000,-1,0)),ROUND(G1054*Параметры!$B$6,IF(G1054*Параметры!$B$6&gt;=1000,-1,0)))))</f>
        <v>779</v>
      </c>
      <c r="L1054" s="16">
        <v>0.9</v>
      </c>
      <c r="M1054" s="17">
        <f t="shared" si="86"/>
        <v>1.1111111111111112</v>
      </c>
      <c r="N1054" s="17">
        <f>IF(OR(L1054="",L1054=0),"",Параметры!$B$3/L1054)</f>
        <v>8.8888888888888893</v>
      </c>
      <c r="O1054" s="15">
        <f>IF(L1054="","",IFERROR(INDEX('Почасовка — ставки и план'!$D$5:$D$24,MATCH($D1054,'Почасовка — ставки и план'!$A$5:$A$24,0)),""))</f>
        <v>850</v>
      </c>
      <c r="P1054" s="15">
        <f>IF(L1054="","",IFERROR(INDEX('Почасовка — ставки и план'!$E$5:$E$24,MATCH($D1054,'Почасовка — ставки и план'!$A$5:$A$24,0)),""))</f>
        <v>1020</v>
      </c>
      <c r="Q1054" s="15">
        <f t="shared" si="87"/>
        <v>765</v>
      </c>
      <c r="R1054" s="13" t="str">
        <f>IF(D1054="TEX","аренда техники — сделка/счёт",IF(OR(Q1054="",H1054="",H1054=0),"—",IF(Q1054&lt;H1054*(1-Параметры!$B$7),"почасовка",IF(Q1054&gt;H1054*(1+Параметры!$B$7),"сделка","любой способ"))))</f>
        <v>сделка</v>
      </c>
      <c r="S1054">
        <v>7.3684210526315796E-2</v>
      </c>
      <c r="T1054">
        <v>0.12087912087912089</v>
      </c>
    </row>
    <row r="1055" spans="1:20" x14ac:dyDescent="0.25">
      <c r="A1055" s="13" t="s">
        <v>2153</v>
      </c>
      <c r="B1055" s="13" t="s">
        <v>2154</v>
      </c>
      <c r="C1055" s="13" t="s">
        <v>69</v>
      </c>
      <c r="D1055" s="13" t="s">
        <v>326</v>
      </c>
      <c r="E1055" s="13" t="str">
        <f>IFERROR(INDEX('Почасовка — ставки и план'!$B$5:$B$24,MATCH(D1055,'Почасовка — ставки и план'!$A$5:$A$24,0)),"Аренда техники / механизмы")</f>
        <v>Сантехник</v>
      </c>
      <c r="F1055" s="14">
        <v>420</v>
      </c>
      <c r="G1055" s="14">
        <v>483</v>
      </c>
      <c r="H1055" s="15">
        <v>260</v>
      </c>
      <c r="I1055" s="15">
        <f>IF(OR(H1055="",F1055=""),"",MAX(H1055,MIN(ROUND(H1055*(1+Параметры!$B$5),IF(H1055*(1+Параметры!$B$5)&gt;=1000,-1,0)),ROUND(F1055*Параметры!$B$6,IF(F1055*Параметры!$B$6&gt;=1000,-1,0)))))</f>
        <v>299</v>
      </c>
      <c r="J1055" s="15">
        <v>299</v>
      </c>
      <c r="K1055" s="15">
        <f>IF(OR(J1055="",G1055=""),"",MAX(J1055,MIN(ROUND(J1055*(1+Параметры!$B$5),IF(J1055*(1+Параметры!$B$5)&gt;=1000,-1,0)),ROUND(G1055*Параметры!$B$6,IF(G1055*Параметры!$B$6&gt;=1000,-1,0)))))</f>
        <v>344</v>
      </c>
      <c r="L1055" s="16">
        <v>0.28000000000000003</v>
      </c>
      <c r="M1055" s="17">
        <f t="shared" si="86"/>
        <v>3.5714285714285712</v>
      </c>
      <c r="N1055" s="17">
        <f>IF(OR(L1055="",L1055=0),"",Параметры!$B$3/L1055)</f>
        <v>28.571428571428569</v>
      </c>
      <c r="O1055" s="15">
        <f>IF(L1055="","",IFERROR(INDEX('Почасовка — ставки и план'!$D$5:$D$24,MATCH($D1055,'Почасовка — ставки и план'!$A$5:$A$24,0)),""))</f>
        <v>850</v>
      </c>
      <c r="P1055" s="15">
        <f>IF(L1055="","",IFERROR(INDEX('Почасовка — ставки и план'!$E$5:$E$24,MATCH($D1055,'Почасовка — ставки и план'!$A$5:$A$24,0)),""))</f>
        <v>1020</v>
      </c>
      <c r="Q1055" s="15">
        <f t="shared" si="87"/>
        <v>238</v>
      </c>
      <c r="R1055" s="13" t="str">
        <f>IF(D1055="TEX","аренда техники — сделка/счёт",IF(OR(Q1055="",H1055="",H1055=0),"—",IF(Q1055&lt;H1055*(1-Параметры!$B$7),"почасовка",IF(Q1055&gt;H1055*(1+Параметры!$B$7),"сделка","любой способ"))))</f>
        <v>любой способ</v>
      </c>
      <c r="S1055">
        <v>0</v>
      </c>
      <c r="T1055">
        <v>0</v>
      </c>
    </row>
    <row r="1056" spans="1:20" x14ac:dyDescent="0.25">
      <c r="A1056" s="13" t="s">
        <v>2155</v>
      </c>
      <c r="B1056" s="13" t="s">
        <v>2156</v>
      </c>
      <c r="C1056" s="13" t="s">
        <v>69</v>
      </c>
      <c r="D1056" s="13" t="s">
        <v>326</v>
      </c>
      <c r="E1056" s="13" t="str">
        <f>IFERROR(INDEX('Почасовка — ставки и план'!$B$5:$B$24,MATCH(D1056,'Почасовка — ставки и план'!$A$5:$A$24,0)),"Аренда техники / механизмы")</f>
        <v>Сантехник</v>
      </c>
      <c r="F1056" s="14">
        <v>450</v>
      </c>
      <c r="G1056" s="14">
        <v>518</v>
      </c>
      <c r="H1056" s="15">
        <v>279</v>
      </c>
      <c r="I1056" s="15">
        <f>IF(OR(H1056="",F1056=""),"",MAX(H1056,MIN(ROUND(H1056*(1+Параметры!$B$5),IF(H1056*(1+Параметры!$B$5)&gt;=1000,-1,0)),ROUND(F1056*Параметры!$B$6,IF(F1056*Параметры!$B$6&gt;=1000,-1,0)))))</f>
        <v>321</v>
      </c>
      <c r="J1056" s="15">
        <v>321</v>
      </c>
      <c r="K1056" s="15">
        <f>IF(OR(J1056="",G1056=""),"",MAX(J1056,MIN(ROUND(J1056*(1+Параметры!$B$5),IF(J1056*(1+Параметры!$B$5)&gt;=1000,-1,0)),ROUND(G1056*Параметры!$B$6,IF(G1056*Параметры!$B$6&gt;=1000,-1,0)))))</f>
        <v>369</v>
      </c>
      <c r="L1056" s="16">
        <v>0.3</v>
      </c>
      <c r="M1056" s="17">
        <f t="shared" si="86"/>
        <v>3.3333333333333335</v>
      </c>
      <c r="N1056" s="17">
        <f>IF(OR(L1056="",L1056=0),"",Параметры!$B$3/L1056)</f>
        <v>26.666666666666668</v>
      </c>
      <c r="O1056" s="15">
        <f>IF(L1056="","",IFERROR(INDEX('Почасовка — ставки и план'!$D$5:$D$24,MATCH($D1056,'Почасовка — ставки и план'!$A$5:$A$24,0)),""))</f>
        <v>850</v>
      </c>
      <c r="P1056" s="15">
        <f>IF(L1056="","",IFERROR(INDEX('Почасовка — ставки и план'!$E$5:$E$24,MATCH($D1056,'Почасовка — ставки и план'!$A$5:$A$24,0)),""))</f>
        <v>1020</v>
      </c>
      <c r="Q1056" s="15">
        <f t="shared" si="87"/>
        <v>255</v>
      </c>
      <c r="R1056" s="13" t="str">
        <f>IF(D1056="TEX","аренда техники — сделка/счёт",IF(OR(Q1056="",H1056="",H1056=0),"—",IF(Q1056&lt;H1056*(1-Параметры!$B$7),"почасовка",IF(Q1056&gt;H1056*(1+Параметры!$B$7),"сделка","любой способ"))))</f>
        <v>любой способ</v>
      </c>
      <c r="S1056">
        <v>0</v>
      </c>
      <c r="T1056">
        <v>0</v>
      </c>
    </row>
    <row r="1057" spans="1:20" x14ac:dyDescent="0.25">
      <c r="A1057" s="13" t="s">
        <v>2157</v>
      </c>
      <c r="B1057" s="13" t="s">
        <v>2158</v>
      </c>
      <c r="C1057" s="13" t="s">
        <v>69</v>
      </c>
      <c r="D1057" s="13" t="s">
        <v>326</v>
      </c>
      <c r="E1057" s="13" t="str">
        <f>IFERROR(INDEX('Почасовка — ставки и план'!$B$5:$B$24,MATCH(D1057,'Почасовка — ставки и план'!$A$5:$A$24,0)),"Аренда техники / механизмы")</f>
        <v>Сантехник</v>
      </c>
      <c r="F1057" s="14">
        <v>500</v>
      </c>
      <c r="G1057" s="14">
        <v>575</v>
      </c>
      <c r="H1057" s="15">
        <v>310</v>
      </c>
      <c r="I1057" s="15">
        <f>IF(OR(H1057="",F1057=""),"",MAX(H1057,MIN(ROUND(H1057*(1+Параметры!$B$5),IF(H1057*(1+Параметры!$B$5)&gt;=1000,-1,0)),ROUND(F1057*Параметры!$B$6,IF(F1057*Параметры!$B$6&gt;=1000,-1,0)))))</f>
        <v>357</v>
      </c>
      <c r="J1057" s="15">
        <v>356</v>
      </c>
      <c r="K1057" s="15">
        <f>IF(OR(J1057="",G1057=""),"",MAX(J1057,MIN(ROUND(J1057*(1+Параметры!$B$5),IF(J1057*(1+Параметры!$B$5)&gt;=1000,-1,0)),ROUND(G1057*Параметры!$B$6,IF(G1057*Параметры!$B$6&gt;=1000,-1,0)))))</f>
        <v>409</v>
      </c>
      <c r="L1057" s="16">
        <v>0.35</v>
      </c>
      <c r="M1057" s="17">
        <f t="shared" si="86"/>
        <v>2.8571428571428572</v>
      </c>
      <c r="N1057" s="17">
        <f>IF(OR(L1057="",L1057=0),"",Параметры!$B$3/L1057)</f>
        <v>22.857142857142858</v>
      </c>
      <c r="O1057" s="15">
        <f>IF(L1057="","",IFERROR(INDEX('Почасовка — ставки и план'!$D$5:$D$24,MATCH($D1057,'Почасовка — ставки и план'!$A$5:$A$24,0)),""))</f>
        <v>850</v>
      </c>
      <c r="P1057" s="15">
        <f>IF(L1057="","",IFERROR(INDEX('Почасовка — ставки и план'!$E$5:$E$24,MATCH($D1057,'Почасовка — ставки и план'!$A$5:$A$24,0)),""))</f>
        <v>1020</v>
      </c>
      <c r="Q1057" s="15">
        <f t="shared" si="87"/>
        <v>298</v>
      </c>
      <c r="R1057" s="13" t="str">
        <f>IF(D1057="TEX","аренда техники — сделка/счёт",IF(OR(Q1057="",H1057="",H1057=0),"—",IF(Q1057&lt;H1057*(1-Параметры!$B$7),"почасовка",IF(Q1057&gt;H1057*(1+Параметры!$B$7),"сделка","любой способ"))))</f>
        <v>любой способ</v>
      </c>
      <c r="S1057">
        <v>0</v>
      </c>
      <c r="T1057">
        <v>0</v>
      </c>
    </row>
    <row r="1058" spans="1:20" x14ac:dyDescent="0.25">
      <c r="A1058" s="13" t="s">
        <v>2159</v>
      </c>
      <c r="B1058" s="13" t="s">
        <v>2160</v>
      </c>
      <c r="C1058" s="13" t="s">
        <v>69</v>
      </c>
      <c r="D1058" s="13" t="s">
        <v>326</v>
      </c>
      <c r="E1058" s="13" t="str">
        <f>IFERROR(INDEX('Почасовка — ставки и план'!$B$5:$B$24,MATCH(D1058,'Почасовка — ставки и план'!$A$5:$A$24,0)),"Аренда техники / механизмы")</f>
        <v>Сантехник</v>
      </c>
      <c r="F1058" s="14">
        <v>600</v>
      </c>
      <c r="G1058" s="14">
        <v>690</v>
      </c>
      <c r="H1058" s="15">
        <v>372</v>
      </c>
      <c r="I1058" s="15">
        <f>IF(OR(H1058="",F1058=""),"",MAX(H1058,MIN(ROUND(H1058*(1+Параметры!$B$5),IF(H1058*(1+Параметры!$B$5)&gt;=1000,-1,0)),ROUND(F1058*Параметры!$B$6,IF(F1058*Параметры!$B$6&gt;=1000,-1,0)))))</f>
        <v>428</v>
      </c>
      <c r="J1058" s="15">
        <v>428</v>
      </c>
      <c r="K1058" s="15">
        <f>IF(OR(J1058="",G1058=""),"",MAX(J1058,MIN(ROUND(J1058*(1+Параметры!$B$5),IF(J1058*(1+Параметры!$B$5)&gt;=1000,-1,0)),ROUND(G1058*Параметры!$B$6,IF(G1058*Параметры!$B$6&gt;=1000,-1,0)))))</f>
        <v>492</v>
      </c>
      <c r="L1058" s="16">
        <v>0.42</v>
      </c>
      <c r="M1058" s="17">
        <f t="shared" si="86"/>
        <v>2.3809523809523809</v>
      </c>
      <c r="N1058" s="17">
        <f>IF(OR(L1058="",L1058=0),"",Параметры!$B$3/L1058)</f>
        <v>19.047619047619047</v>
      </c>
      <c r="O1058" s="15">
        <f>IF(L1058="","",IFERROR(INDEX('Почасовка — ставки и план'!$D$5:$D$24,MATCH($D1058,'Почасовка — ставки и план'!$A$5:$A$24,0)),""))</f>
        <v>850</v>
      </c>
      <c r="P1058" s="15">
        <f>IF(L1058="","",IFERROR(INDEX('Почасовка — ставки и план'!$E$5:$E$24,MATCH($D1058,'Почасовка — ставки и план'!$A$5:$A$24,0)),""))</f>
        <v>1020</v>
      </c>
      <c r="Q1058" s="15">
        <f t="shared" si="87"/>
        <v>357</v>
      </c>
      <c r="R1058" s="13" t="str">
        <f>IF(D1058="TEX","аренда техники — сделка/счёт",IF(OR(Q1058="",H1058="",H1058=0),"—",IF(Q1058&lt;H1058*(1-Параметры!$B$7),"почасовка",IF(Q1058&gt;H1058*(1+Параметры!$B$7),"сделка","любой способ"))))</f>
        <v>любой способ</v>
      </c>
      <c r="S1058">
        <v>0</v>
      </c>
      <c r="T1058">
        <v>0</v>
      </c>
    </row>
    <row r="1059" spans="1:20" x14ac:dyDescent="0.25">
      <c r="A1059" s="13" t="s">
        <v>2161</v>
      </c>
      <c r="B1059" s="13" t="s">
        <v>2162</v>
      </c>
      <c r="C1059" s="13" t="s">
        <v>69</v>
      </c>
      <c r="D1059" s="13" t="s">
        <v>326</v>
      </c>
      <c r="E1059" s="13" t="str">
        <f>IFERROR(INDEX('Почасовка — ставки и план'!$B$5:$B$24,MATCH(D1059,'Почасовка — ставки и план'!$A$5:$A$24,0)),"Аренда техники / механизмы")</f>
        <v>Сантехник</v>
      </c>
      <c r="F1059" s="14">
        <v>700</v>
      </c>
      <c r="G1059" s="14">
        <v>805</v>
      </c>
      <c r="H1059" s="15">
        <v>434</v>
      </c>
      <c r="I1059" s="15">
        <f>IF(OR(H1059="",F1059=""),"",MAX(H1059,MIN(ROUND(H1059*(1+Параметры!$B$5),IF(H1059*(1+Параметры!$B$5)&gt;=1000,-1,0)),ROUND(F1059*Параметры!$B$6,IF(F1059*Параметры!$B$6&gt;=1000,-1,0)))))</f>
        <v>499</v>
      </c>
      <c r="J1059" s="15">
        <v>499</v>
      </c>
      <c r="K1059" s="15">
        <f>IF(OR(J1059="",G1059=""),"",MAX(J1059,MIN(ROUND(J1059*(1+Параметры!$B$5),IF(J1059*(1+Параметры!$B$5)&gt;=1000,-1,0)),ROUND(G1059*Параметры!$B$6,IF(G1059*Параметры!$B$6&gt;=1000,-1,0)))))</f>
        <v>574</v>
      </c>
      <c r="L1059" s="16">
        <v>0.5</v>
      </c>
      <c r="M1059" s="17">
        <f t="shared" si="86"/>
        <v>2</v>
      </c>
      <c r="N1059" s="17">
        <f>IF(OR(L1059="",L1059=0),"",Параметры!$B$3/L1059)</f>
        <v>16</v>
      </c>
      <c r="O1059" s="15">
        <f>IF(L1059="","",IFERROR(INDEX('Почасовка — ставки и план'!$D$5:$D$24,MATCH($D1059,'Почасовка — ставки и план'!$A$5:$A$24,0)),""))</f>
        <v>850</v>
      </c>
      <c r="P1059" s="15">
        <f>IF(L1059="","",IFERROR(INDEX('Почасовка — ставки и план'!$E$5:$E$24,MATCH($D1059,'Почасовка — ставки и план'!$A$5:$A$24,0)),""))</f>
        <v>1020</v>
      </c>
      <c r="Q1059" s="15">
        <f t="shared" si="87"/>
        <v>425</v>
      </c>
      <c r="R1059" s="13" t="str">
        <f>IF(D1059="TEX","аренда техники — сделка/счёт",IF(OR(Q1059="",H1059="",H1059=0),"—",IF(Q1059&lt;H1059*(1-Параметры!$B$7),"почасовка",IF(Q1059&gt;H1059*(1+Параметры!$B$7),"сделка","любой способ"))))</f>
        <v>любой способ</v>
      </c>
      <c r="S1059">
        <v>0</v>
      </c>
      <c r="T1059">
        <v>0</v>
      </c>
    </row>
    <row r="1060" spans="1:20" x14ac:dyDescent="0.25">
      <c r="A1060" s="13" t="s">
        <v>2163</v>
      </c>
      <c r="B1060" s="13" t="s">
        <v>2164</v>
      </c>
      <c r="C1060" s="13" t="s">
        <v>69</v>
      </c>
      <c r="D1060" s="13" t="s">
        <v>326</v>
      </c>
      <c r="E1060" s="13" t="str">
        <f>IFERROR(INDEX('Почасовка — ставки и план'!$B$5:$B$24,MATCH(D1060,'Почасовка — ставки и план'!$A$5:$A$24,0)),"Аренда техники / механизмы")</f>
        <v>Сантехник</v>
      </c>
      <c r="F1060" s="14">
        <v>900</v>
      </c>
      <c r="G1060" s="14">
        <v>1035</v>
      </c>
      <c r="H1060" s="15">
        <v>558</v>
      </c>
      <c r="I1060" s="15">
        <f>IF(OR(H1060="",F1060=""),"",MAX(H1060,MIN(ROUND(H1060*(1+Параметры!$B$5),IF(H1060*(1+Параметры!$B$5)&gt;=1000,-1,0)),ROUND(F1060*Параметры!$B$6,IF(F1060*Параметры!$B$6&gt;=1000,-1,0)))))</f>
        <v>642</v>
      </c>
      <c r="J1060" s="15">
        <v>642</v>
      </c>
      <c r="K1060" s="15">
        <f>IF(OR(J1060="",G1060=""),"",MAX(J1060,MIN(ROUND(J1060*(1+Параметры!$B$5),IF(J1060*(1+Параметры!$B$5)&gt;=1000,-1,0)),ROUND(G1060*Параметры!$B$6,IF(G1060*Параметры!$B$6&gt;=1000,-1,0)))))</f>
        <v>738</v>
      </c>
      <c r="L1060" s="16">
        <v>0.6</v>
      </c>
      <c r="M1060" s="17">
        <f t="shared" si="86"/>
        <v>1.6666666666666667</v>
      </c>
      <c r="N1060" s="17">
        <f>IF(OR(L1060="",L1060=0),"",Параметры!$B$3/L1060)</f>
        <v>13.333333333333334</v>
      </c>
      <c r="O1060" s="15">
        <f>IF(L1060="","",IFERROR(INDEX('Почасовка — ставки и план'!$D$5:$D$24,MATCH($D1060,'Почасовка — ставки и план'!$A$5:$A$24,0)),""))</f>
        <v>850</v>
      </c>
      <c r="P1060" s="15">
        <f>IF(L1060="","",IFERROR(INDEX('Почасовка — ставки и план'!$E$5:$E$24,MATCH($D1060,'Почасовка — ставки и план'!$A$5:$A$24,0)),""))</f>
        <v>1020</v>
      </c>
      <c r="Q1060" s="15">
        <f t="shared" si="87"/>
        <v>510</v>
      </c>
      <c r="R1060" s="13" t="str">
        <f>IF(D1060="TEX","аренда техники — сделка/счёт",IF(OR(Q1060="",H1060="",H1060=0),"—",IF(Q1060&lt;H1060*(1-Параметры!$B$7),"почасовка",IF(Q1060&gt;H1060*(1+Параметры!$B$7),"сделка","любой способ"))))</f>
        <v>любой способ</v>
      </c>
      <c r="S1060">
        <v>0</v>
      </c>
      <c r="T1060">
        <v>0</v>
      </c>
    </row>
    <row r="1061" spans="1:20" x14ac:dyDescent="0.25">
      <c r="A1061" s="13" t="s">
        <v>2165</v>
      </c>
      <c r="B1061" s="13" t="s">
        <v>2166</v>
      </c>
      <c r="C1061" s="13" t="s">
        <v>69</v>
      </c>
      <c r="D1061" s="13" t="s">
        <v>326</v>
      </c>
      <c r="E1061" s="13" t="str">
        <f>IFERROR(INDEX('Почасовка — ставки и план'!$B$5:$B$24,MATCH(D1061,'Почасовка — ставки и план'!$A$5:$A$24,0)),"Аренда техники / механизмы")</f>
        <v>Сантехник</v>
      </c>
      <c r="F1061" s="14">
        <v>1100</v>
      </c>
      <c r="G1061" s="14">
        <v>1265</v>
      </c>
      <c r="H1061" s="15">
        <v>682</v>
      </c>
      <c r="I1061" s="15">
        <f>IF(OR(H1061="",F1061=""),"",MAX(H1061,MIN(ROUND(H1061*(1+Параметры!$B$5),IF(H1061*(1+Параметры!$B$5)&gt;=1000,-1,0)),ROUND(F1061*Параметры!$B$6,IF(F1061*Параметры!$B$6&gt;=1000,-1,0)))))</f>
        <v>784</v>
      </c>
      <c r="J1061" s="15">
        <v>784</v>
      </c>
      <c r="K1061" s="15">
        <f>IF(OR(J1061="",G1061=""),"",MAX(J1061,MIN(ROUND(J1061*(1+Параметры!$B$5),IF(J1061*(1+Параметры!$B$5)&gt;=1000,-1,0)),ROUND(G1061*Параметры!$B$6,IF(G1061*Параметры!$B$6&gt;=1000,-1,0)))))</f>
        <v>902</v>
      </c>
      <c r="L1061" s="16">
        <v>0.75</v>
      </c>
      <c r="M1061" s="17">
        <f t="shared" si="86"/>
        <v>1.3333333333333333</v>
      </c>
      <c r="N1061" s="17">
        <f>IF(OR(L1061="",L1061=0),"",Параметры!$B$3/L1061)</f>
        <v>10.666666666666666</v>
      </c>
      <c r="O1061" s="15">
        <f>IF(L1061="","",IFERROR(INDEX('Почасовка — ставки и план'!$D$5:$D$24,MATCH($D1061,'Почасовка — ставки и план'!$A$5:$A$24,0)),""))</f>
        <v>850</v>
      </c>
      <c r="P1061" s="15">
        <f>IF(L1061="","",IFERROR(INDEX('Почасовка — ставки и план'!$E$5:$E$24,MATCH($D1061,'Почасовка — ставки и план'!$A$5:$A$24,0)),""))</f>
        <v>1020</v>
      </c>
      <c r="Q1061" s="15">
        <f t="shared" si="87"/>
        <v>638</v>
      </c>
      <c r="R1061" s="13" t="str">
        <f>IF(D1061="TEX","аренда техники — сделка/счёт",IF(OR(Q1061="",H1061="",H1061=0),"—",IF(Q1061&lt;H1061*(1-Параметры!$B$7),"почасовка",IF(Q1061&gt;H1061*(1+Параметры!$B$7),"сделка","любой способ"))))</f>
        <v>любой способ</v>
      </c>
      <c r="S1061">
        <v>0</v>
      </c>
      <c r="T1061">
        <v>0</v>
      </c>
    </row>
    <row r="1062" spans="1:20" x14ac:dyDescent="0.25">
      <c r="A1062" s="13" t="s">
        <v>2167</v>
      </c>
      <c r="B1062" s="13" t="s">
        <v>2168</v>
      </c>
      <c r="C1062" s="13" t="s">
        <v>69</v>
      </c>
      <c r="D1062" s="13" t="s">
        <v>326</v>
      </c>
      <c r="E1062" s="13" t="str">
        <f>IFERROR(INDEX('Почасовка — ставки и план'!$B$5:$B$24,MATCH(D1062,'Почасовка — ставки и план'!$A$5:$A$24,0)),"Аренда техники / механизмы")</f>
        <v>Сантехник</v>
      </c>
      <c r="F1062" s="14">
        <v>1100</v>
      </c>
      <c r="G1062" s="14">
        <v>1265</v>
      </c>
      <c r="H1062" s="15">
        <v>682</v>
      </c>
      <c r="I1062" s="15">
        <f>IF(OR(H1062="",F1062=""),"",MAX(H1062,MIN(ROUND(H1062*(1+Параметры!$B$5),IF(H1062*(1+Параметры!$B$5)&gt;=1000,-1,0)),ROUND(F1062*Параметры!$B$6,IF(F1062*Параметры!$B$6&gt;=1000,-1,0)))))</f>
        <v>784</v>
      </c>
      <c r="J1062" s="15">
        <v>784</v>
      </c>
      <c r="K1062" s="15">
        <f>IF(OR(J1062="",G1062=""),"",MAX(J1062,MIN(ROUND(J1062*(1+Параметры!$B$5),IF(J1062*(1+Параметры!$B$5)&gt;=1000,-1,0)),ROUND(G1062*Параметры!$B$6,IF(G1062*Параметры!$B$6&gt;=1000,-1,0)))))</f>
        <v>902</v>
      </c>
      <c r="L1062" s="16">
        <v>0.9</v>
      </c>
      <c r="M1062" s="17">
        <f t="shared" si="86"/>
        <v>1.1111111111111112</v>
      </c>
      <c r="N1062" s="17">
        <f>IF(OR(L1062="",L1062=0),"",Параметры!$B$3/L1062)</f>
        <v>8.8888888888888893</v>
      </c>
      <c r="O1062" s="15">
        <f>IF(L1062="","",IFERROR(INDEX('Почасовка — ставки и план'!$D$5:$D$24,MATCH($D1062,'Почасовка — ставки и план'!$A$5:$A$24,0)),""))</f>
        <v>850</v>
      </c>
      <c r="P1062" s="15">
        <f>IF(L1062="","",IFERROR(INDEX('Почасовка — ставки и план'!$E$5:$E$24,MATCH($D1062,'Почасовка — ставки и план'!$A$5:$A$24,0)),""))</f>
        <v>1020</v>
      </c>
      <c r="Q1062" s="15">
        <f t="shared" si="87"/>
        <v>765</v>
      </c>
      <c r="R1062" s="13" t="str">
        <f>IF(D1062="TEX","аренда техники — сделка/счёт",IF(OR(Q1062="",H1062="",H1062=0),"—",IF(Q1062&lt;H1062*(1-Параметры!$B$7),"почасовка",IF(Q1062&gt;H1062*(1+Параметры!$B$7),"сделка","любой способ"))))</f>
        <v>сделка</v>
      </c>
      <c r="S1062">
        <v>0</v>
      </c>
      <c r="T1062">
        <v>0</v>
      </c>
    </row>
    <row r="1063" spans="1:20" x14ac:dyDescent="0.25">
      <c r="A1063" s="13" t="s">
        <v>2169</v>
      </c>
      <c r="B1063" s="13" t="s">
        <v>2170</v>
      </c>
      <c r="C1063" s="13" t="s">
        <v>69</v>
      </c>
      <c r="D1063" s="13" t="s">
        <v>326</v>
      </c>
      <c r="E1063" s="13" t="str">
        <f>IFERROR(INDEX('Почасовка — ставки и план'!$B$5:$B$24,MATCH(D1063,'Почасовка — ставки и план'!$A$5:$A$24,0)),"Аренда техники / механизмы")</f>
        <v>Сантехник</v>
      </c>
      <c r="F1063" s="14">
        <v>300</v>
      </c>
      <c r="G1063" s="14">
        <v>345</v>
      </c>
      <c r="H1063" s="15">
        <v>186</v>
      </c>
      <c r="I1063" s="15">
        <f>IF(OR(H1063="",F1063=""),"",MAX(H1063,MIN(ROUND(H1063*(1+Параметры!$B$5),IF(H1063*(1+Параметры!$B$5)&gt;=1000,-1,0)),ROUND(F1063*Параметры!$B$6,IF(F1063*Параметры!$B$6&gt;=1000,-1,0)))))</f>
        <v>214</v>
      </c>
      <c r="J1063" s="15">
        <v>214</v>
      </c>
      <c r="K1063" s="15">
        <f>IF(OR(J1063="",G1063=""),"",MAX(J1063,MIN(ROUND(J1063*(1+Параметры!$B$5),IF(J1063*(1+Параметры!$B$5)&gt;=1000,-1,0)),ROUND(G1063*Параметры!$B$6,IF(G1063*Параметры!$B$6&gt;=1000,-1,0)))))</f>
        <v>246</v>
      </c>
      <c r="L1063" s="16">
        <v>0.25</v>
      </c>
      <c r="M1063" s="17">
        <f t="shared" si="86"/>
        <v>4</v>
      </c>
      <c r="N1063" s="17">
        <f>IF(OR(L1063="",L1063=0),"",Параметры!$B$3/L1063)</f>
        <v>32</v>
      </c>
      <c r="O1063" s="15">
        <f>IF(L1063="","",IFERROR(INDEX('Почасовка — ставки и план'!$D$5:$D$24,MATCH($D1063,'Почасовка — ставки и план'!$A$5:$A$24,0)),""))</f>
        <v>850</v>
      </c>
      <c r="P1063" s="15">
        <f>IF(L1063="","",IFERROR(INDEX('Почасовка — ставки и план'!$E$5:$E$24,MATCH($D1063,'Почасовка — ставки и план'!$A$5:$A$24,0)),""))</f>
        <v>1020</v>
      </c>
      <c r="Q1063" s="15">
        <f t="shared" si="87"/>
        <v>213</v>
      </c>
      <c r="R1063" s="13" t="str">
        <f>IF(D1063="TEX","аренда техники — сделка/счёт",IF(OR(Q1063="",H1063="",H1063=0),"—",IF(Q1063&lt;H1063*(1-Параметры!$B$7),"почасовка",IF(Q1063&gt;H1063*(1+Параметры!$B$7),"сделка","любой способ"))))</f>
        <v>сделка</v>
      </c>
      <c r="S1063">
        <v>0</v>
      </c>
      <c r="T1063">
        <v>0</v>
      </c>
    </row>
    <row r="1064" spans="1:20" x14ac:dyDescent="0.25">
      <c r="A1064" s="13" t="s">
        <v>2171</v>
      </c>
      <c r="B1064" s="13" t="s">
        <v>2172</v>
      </c>
      <c r="C1064" s="13" t="s">
        <v>69</v>
      </c>
      <c r="D1064" s="13" t="s">
        <v>326</v>
      </c>
      <c r="E1064" s="13" t="str">
        <f>IFERROR(INDEX('Почасовка — ставки и план'!$B$5:$B$24,MATCH(D1064,'Почасовка — ставки и план'!$A$5:$A$24,0)),"Аренда техники / механизмы")</f>
        <v>Сантехник</v>
      </c>
      <c r="F1064" s="14">
        <v>330</v>
      </c>
      <c r="G1064" s="14">
        <v>382</v>
      </c>
      <c r="H1064" s="15">
        <v>205</v>
      </c>
      <c r="I1064" s="15">
        <f>IF(OR(H1064="",F1064=""),"",MAX(H1064,MIN(ROUND(H1064*(1+Параметры!$B$5),IF(H1064*(1+Параметры!$B$5)&gt;=1000,-1,0)),ROUND(F1064*Параметры!$B$6,IF(F1064*Параметры!$B$6&gt;=1000,-1,0)))))</f>
        <v>236</v>
      </c>
      <c r="J1064" s="15">
        <v>235</v>
      </c>
      <c r="K1064" s="15">
        <f>IF(OR(J1064="",G1064=""),"",MAX(J1064,MIN(ROUND(J1064*(1+Параметры!$B$5),IF(J1064*(1+Параметры!$B$5)&gt;=1000,-1,0)),ROUND(G1064*Параметры!$B$6,IF(G1064*Параметры!$B$6&gt;=1000,-1,0)))))</f>
        <v>270</v>
      </c>
      <c r="L1064" s="16">
        <v>0.28000000000000003</v>
      </c>
      <c r="M1064" s="17">
        <f t="shared" si="86"/>
        <v>3.5714285714285712</v>
      </c>
      <c r="N1064" s="17">
        <f>IF(OR(L1064="",L1064=0),"",Параметры!$B$3/L1064)</f>
        <v>28.571428571428569</v>
      </c>
      <c r="O1064" s="15">
        <f>IF(L1064="","",IFERROR(INDEX('Почасовка — ставки и план'!$D$5:$D$24,MATCH($D1064,'Почасовка — ставки и план'!$A$5:$A$24,0)),""))</f>
        <v>850</v>
      </c>
      <c r="P1064" s="15">
        <f>IF(L1064="","",IFERROR(INDEX('Почасовка — ставки и план'!$E$5:$E$24,MATCH($D1064,'Почасовка — ставки и план'!$A$5:$A$24,0)),""))</f>
        <v>1020</v>
      </c>
      <c r="Q1064" s="15">
        <f t="shared" si="87"/>
        <v>238</v>
      </c>
      <c r="R1064" s="13" t="str">
        <f>IF(D1064="TEX","аренда техники — сделка/счёт",IF(OR(Q1064="",H1064="",H1064=0),"—",IF(Q1064&lt;H1064*(1-Параметры!$B$7),"почасовка",IF(Q1064&gt;H1064*(1+Параметры!$B$7),"сделка","любой способ"))))</f>
        <v>сделка</v>
      </c>
      <c r="S1064">
        <v>0</v>
      </c>
      <c r="T1064">
        <v>7.9155672823219003E-3</v>
      </c>
    </row>
    <row r="1065" spans="1:20" x14ac:dyDescent="0.25">
      <c r="A1065" s="13" t="s">
        <v>2173</v>
      </c>
      <c r="B1065" s="13" t="s">
        <v>2174</v>
      </c>
      <c r="C1065" s="13" t="s">
        <v>69</v>
      </c>
      <c r="D1065" s="13" t="s">
        <v>326</v>
      </c>
      <c r="E1065" s="13" t="str">
        <f>IFERROR(INDEX('Почасовка — ставки и план'!$B$5:$B$24,MATCH(D1065,'Почасовка — ставки и план'!$A$5:$A$24,0)),"Аренда техники / механизмы")</f>
        <v>Сантехник</v>
      </c>
      <c r="F1065" s="14">
        <v>380</v>
      </c>
      <c r="G1065" s="14">
        <v>437</v>
      </c>
      <c r="H1065" s="15">
        <v>236</v>
      </c>
      <c r="I1065" s="15">
        <f>IF(OR(H1065="",F1065=""),"",MAX(H1065,MIN(ROUND(H1065*(1+Параметры!$B$5),IF(H1065*(1+Параметры!$B$5)&gt;=1000,-1,0)),ROUND(F1065*Параметры!$B$6,IF(F1065*Параметры!$B$6&gt;=1000,-1,0)))))</f>
        <v>271</v>
      </c>
      <c r="J1065" s="15">
        <v>271</v>
      </c>
      <c r="K1065" s="15">
        <f>IF(OR(J1065="",G1065=""),"",MAX(J1065,MIN(ROUND(J1065*(1+Параметры!$B$5),IF(J1065*(1+Параметры!$B$5)&gt;=1000,-1,0)),ROUND(G1065*Параметры!$B$6,IF(G1065*Параметры!$B$6&gt;=1000,-1,0)))))</f>
        <v>312</v>
      </c>
      <c r="L1065" s="16">
        <v>0.32</v>
      </c>
      <c r="M1065" s="17">
        <f t="shared" si="86"/>
        <v>3.125</v>
      </c>
      <c r="N1065" s="17">
        <f>IF(OR(L1065="",L1065=0),"",Параметры!$B$3/L1065)</f>
        <v>25</v>
      </c>
      <c r="O1065" s="15">
        <f>IF(L1065="","",IFERROR(INDEX('Почасовка — ставки и план'!$D$5:$D$24,MATCH($D1065,'Почасовка — ставки и план'!$A$5:$A$24,0)),""))</f>
        <v>850</v>
      </c>
      <c r="P1065" s="15">
        <f>IF(L1065="","",IFERROR(INDEX('Почасовка — ставки и план'!$E$5:$E$24,MATCH($D1065,'Почасовка — ставки и план'!$A$5:$A$24,0)),""))</f>
        <v>1020</v>
      </c>
      <c r="Q1065" s="15">
        <f t="shared" si="87"/>
        <v>272</v>
      </c>
      <c r="R1065" s="13" t="str">
        <f>IF(D1065="TEX","аренда техники — сделка/счёт",IF(OR(Q1065="",H1065="",H1065=0),"—",IF(Q1065&lt;H1065*(1-Параметры!$B$7),"почасовка",IF(Q1065&gt;H1065*(1+Параметры!$B$7),"сделка","любой способ"))))</f>
        <v>сделка</v>
      </c>
      <c r="S1065">
        <v>0</v>
      </c>
      <c r="T1065">
        <v>0</v>
      </c>
    </row>
    <row r="1066" spans="1:20" x14ac:dyDescent="0.25">
      <c r="A1066" s="13" t="s">
        <v>2175</v>
      </c>
      <c r="B1066" s="13" t="s">
        <v>2176</v>
      </c>
      <c r="C1066" s="13" t="s">
        <v>69</v>
      </c>
      <c r="D1066" s="13" t="s">
        <v>326</v>
      </c>
      <c r="E1066" s="13" t="str">
        <f>IFERROR(INDEX('Почасовка — ставки и план'!$B$5:$B$24,MATCH(D1066,'Почасовка — ставки и план'!$A$5:$A$24,0)),"Аренда техники / механизмы")</f>
        <v>Сантехник</v>
      </c>
      <c r="F1066" s="14">
        <v>450</v>
      </c>
      <c r="G1066" s="14">
        <v>518</v>
      </c>
      <c r="H1066" s="15">
        <v>279</v>
      </c>
      <c r="I1066" s="15">
        <f>IF(OR(H1066="",F1066=""),"",MAX(H1066,MIN(ROUND(H1066*(1+Параметры!$B$5),IF(H1066*(1+Параметры!$B$5)&gt;=1000,-1,0)),ROUND(F1066*Параметры!$B$6,IF(F1066*Параметры!$B$6&gt;=1000,-1,0)))))</f>
        <v>321</v>
      </c>
      <c r="J1066" s="15">
        <v>321</v>
      </c>
      <c r="K1066" s="15">
        <f>IF(OR(J1066="",G1066=""),"",MAX(J1066,MIN(ROUND(J1066*(1+Параметры!$B$5),IF(J1066*(1+Параметры!$B$5)&gt;=1000,-1,0)),ROUND(G1066*Параметры!$B$6,IF(G1066*Параметры!$B$6&gt;=1000,-1,0)))))</f>
        <v>369</v>
      </c>
      <c r="L1066" s="16">
        <v>0.38</v>
      </c>
      <c r="M1066" s="17">
        <f t="shared" si="86"/>
        <v>2.6315789473684212</v>
      </c>
      <c r="N1066" s="17">
        <f>IF(OR(L1066="",L1066=0),"",Параметры!$B$3/L1066)</f>
        <v>21.05263157894737</v>
      </c>
      <c r="O1066" s="15">
        <f>IF(L1066="","",IFERROR(INDEX('Почасовка — ставки и план'!$D$5:$D$24,MATCH($D1066,'Почасовка — ставки и план'!$A$5:$A$24,0)),""))</f>
        <v>850</v>
      </c>
      <c r="P1066" s="15">
        <f>IF(L1066="","",IFERROR(INDEX('Почасовка — ставки и план'!$E$5:$E$24,MATCH($D1066,'Почасовка — ставки и план'!$A$5:$A$24,0)),""))</f>
        <v>1020</v>
      </c>
      <c r="Q1066" s="15">
        <f t="shared" si="87"/>
        <v>323</v>
      </c>
      <c r="R1066" s="13" t="str">
        <f>IF(D1066="TEX","аренда техники — сделка/счёт",IF(OR(Q1066="",H1066="",H1066=0),"—",IF(Q1066&lt;H1066*(1-Параметры!$B$7),"почасовка",IF(Q1066&gt;H1066*(1+Параметры!$B$7),"сделка","любой способ"))))</f>
        <v>сделка</v>
      </c>
      <c r="S1066">
        <v>0</v>
      </c>
      <c r="T1066">
        <v>0</v>
      </c>
    </row>
    <row r="1067" spans="1:20" x14ac:dyDescent="0.25">
      <c r="A1067" s="13" t="s">
        <v>2177</v>
      </c>
      <c r="B1067" s="13" t="s">
        <v>2178</v>
      </c>
      <c r="C1067" s="13" t="s">
        <v>69</v>
      </c>
      <c r="D1067" s="13" t="s">
        <v>326</v>
      </c>
      <c r="E1067" s="13" t="str">
        <f>IFERROR(INDEX('Почасовка — ставки и план'!$B$5:$B$24,MATCH(D1067,'Почасовка — ставки и план'!$A$5:$A$24,0)),"Аренда техники / механизмы")</f>
        <v>Сантехник</v>
      </c>
      <c r="F1067" s="14">
        <v>550</v>
      </c>
      <c r="G1067" s="14">
        <v>632</v>
      </c>
      <c r="H1067" s="15">
        <v>341</v>
      </c>
      <c r="I1067" s="15">
        <f>IF(OR(H1067="",F1067=""),"",MAX(H1067,MIN(ROUND(H1067*(1+Параметры!$B$5),IF(H1067*(1+Параметры!$B$5)&gt;=1000,-1,0)),ROUND(F1067*Параметры!$B$6,IF(F1067*Параметры!$B$6&gt;=1000,-1,0)))))</f>
        <v>392</v>
      </c>
      <c r="J1067" s="15">
        <v>392</v>
      </c>
      <c r="K1067" s="15">
        <f>IF(OR(J1067="",G1067=""),"",MAX(J1067,MIN(ROUND(J1067*(1+Параметры!$B$5),IF(J1067*(1+Параметры!$B$5)&gt;=1000,-1,0)),ROUND(G1067*Параметры!$B$6,IF(G1067*Параметры!$B$6&gt;=1000,-1,0)))))</f>
        <v>451</v>
      </c>
      <c r="L1067" s="16">
        <v>0.45</v>
      </c>
      <c r="M1067" s="17">
        <f t="shared" si="86"/>
        <v>2.2222222222222223</v>
      </c>
      <c r="N1067" s="17">
        <f>IF(OR(L1067="",L1067=0),"",Параметры!$B$3/L1067)</f>
        <v>17.777777777777779</v>
      </c>
      <c r="O1067" s="15">
        <f>IF(L1067="","",IFERROR(INDEX('Почасовка — ставки и план'!$D$5:$D$24,MATCH($D1067,'Почасовка — ставки и план'!$A$5:$A$24,0)),""))</f>
        <v>850</v>
      </c>
      <c r="P1067" s="15">
        <f>IF(L1067="","",IFERROR(INDEX('Почасовка — ставки и план'!$E$5:$E$24,MATCH($D1067,'Почасовка — ставки и план'!$A$5:$A$24,0)),""))</f>
        <v>1020</v>
      </c>
      <c r="Q1067" s="15">
        <f t="shared" si="87"/>
        <v>383</v>
      </c>
      <c r="R1067" s="13" t="str">
        <f>IF(D1067="TEX","аренда техники — сделка/счёт",IF(OR(Q1067="",H1067="",H1067=0),"—",IF(Q1067&lt;H1067*(1-Параметры!$B$7),"почасовка",IF(Q1067&gt;H1067*(1+Параметры!$B$7),"сделка","любой способ"))))</f>
        <v>сделка</v>
      </c>
      <c r="S1067">
        <v>0</v>
      </c>
      <c r="T1067">
        <v>0</v>
      </c>
    </row>
    <row r="1068" spans="1:20" x14ac:dyDescent="0.25">
      <c r="A1068" s="13" t="s">
        <v>2179</v>
      </c>
      <c r="B1068" s="13" t="s">
        <v>2180</v>
      </c>
      <c r="C1068" s="13" t="s">
        <v>69</v>
      </c>
      <c r="D1068" s="13" t="s">
        <v>326</v>
      </c>
      <c r="E1068" s="13" t="str">
        <f>IFERROR(INDEX('Почасовка — ставки и план'!$B$5:$B$24,MATCH(D1068,'Почасовка — ставки и план'!$A$5:$A$24,0)),"Аренда техники / механизмы")</f>
        <v>Сантехник</v>
      </c>
      <c r="F1068" s="14">
        <v>650</v>
      </c>
      <c r="G1068" s="14">
        <v>748</v>
      </c>
      <c r="H1068" s="15">
        <v>403</v>
      </c>
      <c r="I1068" s="15">
        <f>IF(OR(H1068="",F1068=""),"",MAX(H1068,MIN(ROUND(H1068*(1+Параметры!$B$5),IF(H1068*(1+Параметры!$B$5)&gt;=1000,-1,0)),ROUND(F1068*Параметры!$B$6,IF(F1068*Параметры!$B$6&gt;=1000,-1,0)))))</f>
        <v>463</v>
      </c>
      <c r="J1068" s="15">
        <v>463</v>
      </c>
      <c r="K1068" s="15">
        <f>IF(OR(J1068="",G1068=""),"",MAX(J1068,MIN(ROUND(J1068*(1+Параметры!$B$5),IF(J1068*(1+Параметры!$B$5)&gt;=1000,-1,0)),ROUND(G1068*Параметры!$B$6,IF(G1068*Параметры!$B$6&gt;=1000,-1,0)))))</f>
        <v>532</v>
      </c>
      <c r="L1068" s="16">
        <v>0.55000000000000004</v>
      </c>
      <c r="M1068" s="17">
        <f t="shared" si="86"/>
        <v>1.8181818181818181</v>
      </c>
      <c r="N1068" s="17">
        <f>IF(OR(L1068="",L1068=0),"",Параметры!$B$3/L1068)</f>
        <v>14.545454545454545</v>
      </c>
      <c r="O1068" s="15">
        <f>IF(L1068="","",IFERROR(INDEX('Почасовка — ставки и план'!$D$5:$D$24,MATCH($D1068,'Почасовка — ставки и план'!$A$5:$A$24,0)),""))</f>
        <v>850</v>
      </c>
      <c r="P1068" s="15">
        <f>IF(L1068="","",IFERROR(INDEX('Почасовка — ставки и план'!$E$5:$E$24,MATCH($D1068,'Почасовка — ставки и план'!$A$5:$A$24,0)),""))</f>
        <v>1020</v>
      </c>
      <c r="Q1068" s="15">
        <f t="shared" si="87"/>
        <v>468</v>
      </c>
      <c r="R1068" s="13" t="str">
        <f>IF(D1068="TEX","аренда техники — сделка/счёт",IF(OR(Q1068="",H1068="",H1068=0),"—",IF(Q1068&lt;H1068*(1-Параметры!$B$7),"почасовка",IF(Q1068&gt;H1068*(1+Параметры!$B$7),"сделка","любой способ"))))</f>
        <v>сделка</v>
      </c>
      <c r="S1068">
        <v>0</v>
      </c>
      <c r="T1068">
        <v>1.3386880856760539E-3</v>
      </c>
    </row>
    <row r="1069" spans="1:20" x14ac:dyDescent="0.25">
      <c r="A1069" s="13" t="s">
        <v>2181</v>
      </c>
      <c r="B1069" s="13" t="s">
        <v>2182</v>
      </c>
      <c r="C1069" s="13" t="s">
        <v>69</v>
      </c>
      <c r="D1069" s="13" t="s">
        <v>326</v>
      </c>
      <c r="E1069" s="13" t="str">
        <f>IFERROR(INDEX('Почасовка — ставки и план'!$B$5:$B$24,MATCH(D1069,'Почасовка — ставки и план'!$A$5:$A$24,0)),"Аренда техники / механизмы")</f>
        <v>Сантехник</v>
      </c>
      <c r="F1069" s="14">
        <v>780</v>
      </c>
      <c r="G1069" s="14">
        <v>897</v>
      </c>
      <c r="H1069" s="15">
        <v>484</v>
      </c>
      <c r="I1069" s="15">
        <f>IF(OR(H1069="",F1069=""),"",MAX(H1069,MIN(ROUND(H1069*(1+Параметры!$B$5),IF(H1069*(1+Параметры!$B$5)&gt;=1000,-1,0)),ROUND(F1069*Параметры!$B$6,IF(F1069*Параметры!$B$6&gt;=1000,-1,0)))))</f>
        <v>557</v>
      </c>
      <c r="J1069" s="15">
        <v>556</v>
      </c>
      <c r="K1069" s="15">
        <f>IF(OR(J1069="",G1069=""),"",MAX(J1069,MIN(ROUND(J1069*(1+Параметры!$B$5),IF(J1069*(1+Параметры!$B$5)&gt;=1000,-1,0)),ROUND(G1069*Параметры!$B$6,IF(G1069*Параметры!$B$6&gt;=1000,-1,0)))))</f>
        <v>639</v>
      </c>
      <c r="L1069" s="16">
        <v>0.65</v>
      </c>
      <c r="M1069" s="17">
        <f t="shared" ref="M1069:M1100" si="88">IF(OR(L1069="",L1069=0),"",1/L1069)</f>
        <v>1.5384615384615383</v>
      </c>
      <c r="N1069" s="17">
        <f>IF(OR(L1069="",L1069=0),"",Параметры!$B$3/L1069)</f>
        <v>12.307692307692307</v>
      </c>
      <c r="O1069" s="15">
        <f>IF(L1069="","",IFERROR(INDEX('Почасовка — ставки и план'!$D$5:$D$24,MATCH($D1069,'Почасовка — ставки и план'!$A$5:$A$24,0)),""))</f>
        <v>850</v>
      </c>
      <c r="P1069" s="15">
        <f>IF(L1069="","",IFERROR(INDEX('Почасовка — ставки и план'!$E$5:$E$24,MATCH($D1069,'Почасовка — ставки и план'!$A$5:$A$24,0)),""))</f>
        <v>1020</v>
      </c>
      <c r="Q1069" s="15">
        <f t="shared" ref="Q1069:Q1100" si="89">IF(OR(L1069="",O1069=""),"",ROUND(L1069*O1069,0))</f>
        <v>553</v>
      </c>
      <c r="R1069" s="13" t="str">
        <f>IF(D1069="TEX","аренда техники — сделка/счёт",IF(OR(Q1069="",H1069="",H1069=0),"—",IF(Q1069&lt;H1069*(1-Параметры!$B$7),"почасовка",IF(Q1069&gt;H1069*(1+Параметры!$B$7),"сделка","любой способ"))))</f>
        <v>сделка</v>
      </c>
      <c r="S1069">
        <v>0</v>
      </c>
      <c r="T1069">
        <v>0</v>
      </c>
    </row>
    <row r="1070" spans="1:20" x14ac:dyDescent="0.25">
      <c r="A1070" s="13" t="s">
        <v>2183</v>
      </c>
      <c r="B1070" s="13" t="s">
        <v>2184</v>
      </c>
      <c r="C1070" s="13" t="s">
        <v>69</v>
      </c>
      <c r="D1070" s="13" t="s">
        <v>326</v>
      </c>
      <c r="E1070" s="13" t="str">
        <f>IFERROR(INDEX('Почасовка — ставки и план'!$B$5:$B$24,MATCH(D1070,'Почасовка — ставки и план'!$A$5:$A$24,0)),"Аренда техники / механизмы")</f>
        <v>Сантехник</v>
      </c>
      <c r="F1070" s="14">
        <v>900</v>
      </c>
      <c r="G1070" s="14">
        <v>1035</v>
      </c>
      <c r="H1070" s="15">
        <v>558</v>
      </c>
      <c r="I1070" s="15">
        <f>IF(OR(H1070="",F1070=""),"",MAX(H1070,MIN(ROUND(H1070*(1+Параметры!$B$5),IF(H1070*(1+Параметры!$B$5)&gt;=1000,-1,0)),ROUND(F1070*Параметры!$B$6,IF(F1070*Параметры!$B$6&gt;=1000,-1,0)))))</f>
        <v>642</v>
      </c>
      <c r="J1070" s="15">
        <v>642</v>
      </c>
      <c r="K1070" s="15">
        <f>IF(OR(J1070="",G1070=""),"",MAX(J1070,MIN(ROUND(J1070*(1+Параметры!$B$5),IF(J1070*(1+Параметры!$B$5)&gt;=1000,-1,0)),ROUND(G1070*Параметры!$B$6,IF(G1070*Параметры!$B$6&gt;=1000,-1,0)))))</f>
        <v>738</v>
      </c>
      <c r="L1070" s="16">
        <v>0.75</v>
      </c>
      <c r="M1070" s="17">
        <f t="shared" si="88"/>
        <v>1.3333333333333333</v>
      </c>
      <c r="N1070" s="17">
        <f>IF(OR(L1070="",L1070=0),"",Параметры!$B$3/L1070)</f>
        <v>10.666666666666666</v>
      </c>
      <c r="O1070" s="15">
        <f>IF(L1070="","",IFERROR(INDEX('Почасовка — ставки и план'!$D$5:$D$24,MATCH($D1070,'Почасовка — ставки и план'!$A$5:$A$24,0)),""))</f>
        <v>850</v>
      </c>
      <c r="P1070" s="15">
        <f>IF(L1070="","",IFERROR(INDEX('Почасовка — ставки и план'!$E$5:$E$24,MATCH($D1070,'Почасовка — ставки и план'!$A$5:$A$24,0)),""))</f>
        <v>1020</v>
      </c>
      <c r="Q1070" s="15">
        <f t="shared" si="89"/>
        <v>638</v>
      </c>
      <c r="R1070" s="13" t="str">
        <f>IF(D1070="TEX","аренда техники — сделка/счёт",IF(OR(Q1070="",H1070="",H1070=0),"—",IF(Q1070&lt;H1070*(1-Параметры!$B$7),"почасовка",IF(Q1070&gt;H1070*(1+Параметры!$B$7),"сделка","любой способ"))))</f>
        <v>сделка</v>
      </c>
      <c r="S1070">
        <v>0</v>
      </c>
      <c r="T1070">
        <v>0</v>
      </c>
    </row>
    <row r="1071" spans="1:20" x14ac:dyDescent="0.25">
      <c r="A1071" s="13" t="s">
        <v>2185</v>
      </c>
      <c r="B1071" s="13" t="s">
        <v>2186</v>
      </c>
      <c r="C1071" s="13" t="s">
        <v>69</v>
      </c>
      <c r="D1071" s="13" t="s">
        <v>326</v>
      </c>
      <c r="E1071" s="13" t="str">
        <f>IFERROR(INDEX('Почасовка — ставки и план'!$B$5:$B$24,MATCH(D1071,'Почасовка — ставки и план'!$A$5:$A$24,0)),"Аренда техники / механизмы")</f>
        <v>Сантехник</v>
      </c>
      <c r="F1071" s="14">
        <v>350</v>
      </c>
      <c r="G1071" s="14">
        <v>402</v>
      </c>
      <c r="H1071" s="15">
        <v>217</v>
      </c>
      <c r="I1071" s="15">
        <f>IF(OR(H1071="",F1071=""),"",MAX(H1071,MIN(ROUND(H1071*(1+Параметры!$B$5),IF(H1071*(1+Параметры!$B$5)&gt;=1000,-1,0)),ROUND(F1071*Параметры!$B$6,IF(F1071*Параметры!$B$6&gt;=1000,-1,0)))))</f>
        <v>250</v>
      </c>
      <c r="J1071" s="15">
        <v>250</v>
      </c>
      <c r="K1071" s="15">
        <f>IF(OR(J1071="",G1071=""),"",MAX(J1071,MIN(ROUND(J1071*(1+Параметры!$B$5),IF(J1071*(1+Параметры!$B$5)&gt;=1000,-1,0)),ROUND(G1071*Параметры!$B$6,IF(G1071*Параметры!$B$6&gt;=1000,-1,0)))))</f>
        <v>288</v>
      </c>
      <c r="L1071" s="16">
        <v>0.25</v>
      </c>
      <c r="M1071" s="17">
        <f t="shared" si="88"/>
        <v>4</v>
      </c>
      <c r="N1071" s="17">
        <f>IF(OR(L1071="",L1071=0),"",Параметры!$B$3/L1071)</f>
        <v>32</v>
      </c>
      <c r="O1071" s="15">
        <f>IF(L1071="","",IFERROR(INDEX('Почасовка — ставки и план'!$D$5:$D$24,MATCH($D1071,'Почасовка — ставки и план'!$A$5:$A$24,0)),""))</f>
        <v>850</v>
      </c>
      <c r="P1071" s="15">
        <f>IF(L1071="","",IFERROR(INDEX('Почасовка — ставки и план'!$E$5:$E$24,MATCH($D1071,'Почасовка — ставки и план'!$A$5:$A$24,0)),""))</f>
        <v>1020</v>
      </c>
      <c r="Q1071" s="15">
        <f t="shared" si="89"/>
        <v>213</v>
      </c>
      <c r="R1071" s="13" t="str">
        <f>IF(D1071="TEX","аренда техники — сделка/счёт",IF(OR(Q1071="",H1071="",H1071=0),"—",IF(Q1071&lt;H1071*(1-Параметры!$B$7),"почасовка",IF(Q1071&gt;H1071*(1+Параметры!$B$7),"сделка","любой способ"))))</f>
        <v>любой способ</v>
      </c>
      <c r="S1071">
        <v>0</v>
      </c>
      <c r="T1071">
        <v>0</v>
      </c>
    </row>
    <row r="1072" spans="1:20" x14ac:dyDescent="0.25">
      <c r="A1072" s="13" t="s">
        <v>2187</v>
      </c>
      <c r="B1072" s="13" t="s">
        <v>2188</v>
      </c>
      <c r="C1072" s="13" t="s">
        <v>69</v>
      </c>
      <c r="D1072" s="13" t="s">
        <v>326</v>
      </c>
      <c r="E1072" s="13" t="str">
        <f>IFERROR(INDEX('Почасовка — ставки и план'!$B$5:$B$24,MATCH(D1072,'Почасовка — ставки и план'!$A$5:$A$24,0)),"Аренда техники / механизмы")</f>
        <v>Сантехник</v>
      </c>
      <c r="F1072" s="14">
        <v>380</v>
      </c>
      <c r="G1072" s="14">
        <v>437</v>
      </c>
      <c r="H1072" s="15">
        <v>236</v>
      </c>
      <c r="I1072" s="15">
        <f>IF(OR(H1072="",F1072=""),"",MAX(H1072,MIN(ROUND(H1072*(1+Параметры!$B$5),IF(H1072*(1+Параметры!$B$5)&gt;=1000,-1,0)),ROUND(F1072*Параметры!$B$6,IF(F1072*Параметры!$B$6&gt;=1000,-1,0)))))</f>
        <v>271</v>
      </c>
      <c r="J1072" s="15">
        <v>271</v>
      </c>
      <c r="K1072" s="15">
        <f>IF(OR(J1072="",G1072=""),"",MAX(J1072,MIN(ROUND(J1072*(1+Параметры!$B$5),IF(J1072*(1+Параметры!$B$5)&gt;=1000,-1,0)),ROUND(G1072*Параметры!$B$6,IF(G1072*Параметры!$B$6&gt;=1000,-1,0)))))</f>
        <v>312</v>
      </c>
      <c r="L1072" s="16">
        <v>0.27</v>
      </c>
      <c r="M1072" s="17">
        <f t="shared" si="88"/>
        <v>3.7037037037037033</v>
      </c>
      <c r="N1072" s="17">
        <f>IF(OR(L1072="",L1072=0),"",Параметры!$B$3/L1072)</f>
        <v>29.629629629629626</v>
      </c>
      <c r="O1072" s="15">
        <f>IF(L1072="","",IFERROR(INDEX('Почасовка — ставки и план'!$D$5:$D$24,MATCH($D1072,'Почасовка — ставки и план'!$A$5:$A$24,0)),""))</f>
        <v>850</v>
      </c>
      <c r="P1072" s="15">
        <f>IF(L1072="","",IFERROR(INDEX('Почасовка — ставки и план'!$E$5:$E$24,MATCH($D1072,'Почасовка — ставки и план'!$A$5:$A$24,0)),""))</f>
        <v>1020</v>
      </c>
      <c r="Q1072" s="15">
        <f t="shared" si="89"/>
        <v>230</v>
      </c>
      <c r="R1072" s="13" t="str">
        <f>IF(D1072="TEX","аренда техники — сделка/счёт",IF(OR(Q1072="",H1072="",H1072=0),"—",IF(Q1072&lt;H1072*(1-Параметры!$B$7),"почасовка",IF(Q1072&gt;H1072*(1+Параметры!$B$7),"сделка","любой способ"))))</f>
        <v>любой способ</v>
      </c>
      <c r="S1072">
        <v>0</v>
      </c>
      <c r="T1072">
        <v>0</v>
      </c>
    </row>
    <row r="1073" spans="1:20" x14ac:dyDescent="0.25">
      <c r="A1073" s="13" t="s">
        <v>2189</v>
      </c>
      <c r="B1073" s="13" t="s">
        <v>2190</v>
      </c>
      <c r="C1073" s="13" t="s">
        <v>69</v>
      </c>
      <c r="D1073" s="13" t="s">
        <v>326</v>
      </c>
      <c r="E1073" s="13" t="str">
        <f>IFERROR(INDEX('Почасовка — ставки и план'!$B$5:$B$24,MATCH(D1073,'Почасовка — ставки и план'!$A$5:$A$24,0)),"Аренда техники / механизмы")</f>
        <v>Сантехник</v>
      </c>
      <c r="F1073" s="14">
        <v>420</v>
      </c>
      <c r="G1073" s="14">
        <v>483</v>
      </c>
      <c r="H1073" s="15">
        <v>260</v>
      </c>
      <c r="I1073" s="15">
        <f>IF(OR(H1073="",F1073=""),"",MAX(H1073,MIN(ROUND(H1073*(1+Параметры!$B$5),IF(H1073*(1+Параметры!$B$5)&gt;=1000,-1,0)),ROUND(F1073*Параметры!$B$6,IF(F1073*Параметры!$B$6&gt;=1000,-1,0)))))</f>
        <v>299</v>
      </c>
      <c r="J1073" s="15">
        <v>299</v>
      </c>
      <c r="K1073" s="15">
        <f>IF(OR(J1073="",G1073=""),"",MAX(J1073,MIN(ROUND(J1073*(1+Параметры!$B$5),IF(J1073*(1+Параметры!$B$5)&gt;=1000,-1,0)),ROUND(G1073*Параметры!$B$6,IF(G1073*Параметры!$B$6&gt;=1000,-1,0)))))</f>
        <v>344</v>
      </c>
      <c r="L1073" s="16">
        <v>0.3</v>
      </c>
      <c r="M1073" s="17">
        <f t="shared" si="88"/>
        <v>3.3333333333333335</v>
      </c>
      <c r="N1073" s="17">
        <f>IF(OR(L1073="",L1073=0),"",Параметры!$B$3/L1073)</f>
        <v>26.666666666666668</v>
      </c>
      <c r="O1073" s="15">
        <f>IF(L1073="","",IFERROR(INDEX('Почасовка — ставки и план'!$D$5:$D$24,MATCH($D1073,'Почасовка — ставки и план'!$A$5:$A$24,0)),""))</f>
        <v>850</v>
      </c>
      <c r="P1073" s="15">
        <f>IF(L1073="","",IFERROR(INDEX('Почасовка — ставки и план'!$E$5:$E$24,MATCH($D1073,'Почасовка — ставки и план'!$A$5:$A$24,0)),""))</f>
        <v>1020</v>
      </c>
      <c r="Q1073" s="15">
        <f t="shared" si="89"/>
        <v>255</v>
      </c>
      <c r="R1073" s="13" t="str">
        <f>IF(D1073="TEX","аренда техники — сделка/счёт",IF(OR(Q1073="",H1073="",H1073=0),"—",IF(Q1073&lt;H1073*(1-Параметры!$B$7),"почасовка",IF(Q1073&gt;H1073*(1+Параметры!$B$7),"сделка","любой способ"))))</f>
        <v>любой способ</v>
      </c>
      <c r="S1073">
        <v>0</v>
      </c>
      <c r="T1073">
        <v>0</v>
      </c>
    </row>
    <row r="1074" spans="1:20" x14ac:dyDescent="0.25">
      <c r="A1074" s="13" t="s">
        <v>2191</v>
      </c>
      <c r="B1074" s="13" t="s">
        <v>2192</v>
      </c>
      <c r="C1074" s="13" t="s">
        <v>69</v>
      </c>
      <c r="D1074" s="13" t="s">
        <v>326</v>
      </c>
      <c r="E1074" s="13" t="str">
        <f>IFERROR(INDEX('Почасовка — ставки и план'!$B$5:$B$24,MATCH(D1074,'Почасовка — ставки и план'!$A$5:$A$24,0)),"Аренда техники / механизмы")</f>
        <v>Сантехник</v>
      </c>
      <c r="F1074" s="14">
        <v>480</v>
      </c>
      <c r="G1074" s="14">
        <v>552</v>
      </c>
      <c r="H1074" s="15">
        <v>298</v>
      </c>
      <c r="I1074" s="15">
        <f>IF(OR(H1074="",F1074=""),"",MAX(H1074,MIN(ROUND(H1074*(1+Параметры!$B$5),IF(H1074*(1+Параметры!$B$5)&gt;=1000,-1,0)),ROUND(F1074*Параметры!$B$6,IF(F1074*Параметры!$B$6&gt;=1000,-1,0)))))</f>
        <v>343</v>
      </c>
      <c r="J1074" s="15">
        <v>342</v>
      </c>
      <c r="K1074" s="15">
        <f>IF(OR(J1074="",G1074=""),"",MAX(J1074,MIN(ROUND(J1074*(1+Параметры!$B$5),IF(J1074*(1+Параметры!$B$5)&gt;=1000,-1,0)),ROUND(G1074*Параметры!$B$6,IF(G1074*Параметры!$B$6&gt;=1000,-1,0)))))</f>
        <v>393</v>
      </c>
      <c r="L1074" s="16">
        <v>0.34</v>
      </c>
      <c r="M1074" s="17">
        <f t="shared" si="88"/>
        <v>2.9411764705882351</v>
      </c>
      <c r="N1074" s="17">
        <f>IF(OR(L1074="",L1074=0),"",Параметры!$B$3/L1074)</f>
        <v>23.52941176470588</v>
      </c>
      <c r="O1074" s="15">
        <f>IF(L1074="","",IFERROR(INDEX('Почасовка — ставки и план'!$D$5:$D$24,MATCH($D1074,'Почасовка — ставки и план'!$A$5:$A$24,0)),""))</f>
        <v>850</v>
      </c>
      <c r="P1074" s="15">
        <f>IF(L1074="","",IFERROR(INDEX('Почасовка — ставки и план'!$E$5:$E$24,MATCH($D1074,'Почасовка — ставки и план'!$A$5:$A$24,0)),""))</f>
        <v>1020</v>
      </c>
      <c r="Q1074" s="15">
        <f t="shared" si="89"/>
        <v>289</v>
      </c>
      <c r="R1074" s="13" t="str">
        <f>IF(D1074="TEX","аренда техники — сделка/счёт",IF(OR(Q1074="",H1074="",H1074=0),"—",IF(Q1074&lt;H1074*(1-Параметры!$B$7),"почасовка",IF(Q1074&gt;H1074*(1+Параметры!$B$7),"сделка","любой способ"))))</f>
        <v>любой способ</v>
      </c>
      <c r="S1074">
        <v>0</v>
      </c>
      <c r="T1074">
        <v>0</v>
      </c>
    </row>
    <row r="1075" spans="1:20" x14ac:dyDescent="0.25">
      <c r="A1075" s="13" t="s">
        <v>2193</v>
      </c>
      <c r="B1075" s="13" t="s">
        <v>2194</v>
      </c>
      <c r="C1075" s="13" t="s">
        <v>69</v>
      </c>
      <c r="D1075" s="13" t="s">
        <v>326</v>
      </c>
      <c r="E1075" s="13" t="str">
        <f>IFERROR(INDEX('Почасовка — ставки и план'!$B$5:$B$24,MATCH(D1075,'Почасовка — ставки и план'!$A$5:$A$24,0)),"Аренда техники / механизмы")</f>
        <v>Сантехник</v>
      </c>
      <c r="F1075" s="14">
        <v>550</v>
      </c>
      <c r="G1075" s="14">
        <v>632</v>
      </c>
      <c r="H1075" s="15">
        <v>341</v>
      </c>
      <c r="I1075" s="15">
        <f>IF(OR(H1075="",F1075=""),"",MAX(H1075,MIN(ROUND(H1075*(1+Параметры!$B$5),IF(H1075*(1+Параметры!$B$5)&gt;=1000,-1,0)),ROUND(F1075*Параметры!$B$6,IF(F1075*Параметры!$B$6&gt;=1000,-1,0)))))</f>
        <v>392</v>
      </c>
      <c r="J1075" s="15">
        <v>392</v>
      </c>
      <c r="K1075" s="15">
        <f>IF(OR(J1075="",G1075=""),"",MAX(J1075,MIN(ROUND(J1075*(1+Параметры!$B$5),IF(J1075*(1+Параметры!$B$5)&gt;=1000,-1,0)),ROUND(G1075*Параметры!$B$6,IF(G1075*Параметры!$B$6&gt;=1000,-1,0)))))</f>
        <v>451</v>
      </c>
      <c r="L1075" s="16">
        <v>0.4</v>
      </c>
      <c r="M1075" s="17">
        <f t="shared" si="88"/>
        <v>2.5</v>
      </c>
      <c r="N1075" s="17">
        <f>IF(OR(L1075="",L1075=0),"",Параметры!$B$3/L1075)</f>
        <v>20</v>
      </c>
      <c r="O1075" s="15">
        <f>IF(L1075="","",IFERROR(INDEX('Почасовка — ставки и план'!$D$5:$D$24,MATCH($D1075,'Почасовка — ставки и план'!$A$5:$A$24,0)),""))</f>
        <v>850</v>
      </c>
      <c r="P1075" s="15">
        <f>IF(L1075="","",IFERROR(INDEX('Почасовка — ставки и план'!$E$5:$E$24,MATCH($D1075,'Почасовка — ставки и план'!$A$5:$A$24,0)),""))</f>
        <v>1020</v>
      </c>
      <c r="Q1075" s="15">
        <f t="shared" si="89"/>
        <v>340</v>
      </c>
      <c r="R1075" s="13" t="str">
        <f>IF(D1075="TEX","аренда техники — сделка/счёт",IF(OR(Q1075="",H1075="",H1075=0),"—",IF(Q1075&lt;H1075*(1-Параметры!$B$7),"почасовка",IF(Q1075&gt;H1075*(1+Параметры!$B$7),"сделка","любой способ"))))</f>
        <v>любой способ</v>
      </c>
      <c r="S1075">
        <v>0</v>
      </c>
      <c r="T1075">
        <v>0</v>
      </c>
    </row>
    <row r="1076" spans="1:20" x14ac:dyDescent="0.25">
      <c r="A1076" s="13" t="s">
        <v>2195</v>
      </c>
      <c r="B1076" s="13" t="s">
        <v>2196</v>
      </c>
      <c r="C1076" s="13" t="s">
        <v>69</v>
      </c>
      <c r="D1076" s="13" t="s">
        <v>326</v>
      </c>
      <c r="E1076" s="13" t="str">
        <f>IFERROR(INDEX('Почасовка — ставки и план'!$B$5:$B$24,MATCH(D1076,'Почасовка — ставки и план'!$A$5:$A$24,0)),"Аренда техники / механизмы")</f>
        <v>Сантехник</v>
      </c>
      <c r="F1076" s="14">
        <v>650</v>
      </c>
      <c r="G1076" s="14">
        <v>747</v>
      </c>
      <c r="H1076" s="15">
        <v>403</v>
      </c>
      <c r="I1076" s="15">
        <f>IF(OR(H1076="",F1076=""),"",MAX(H1076,MIN(ROUND(H1076*(1+Параметры!$B$5),IF(H1076*(1+Параметры!$B$5)&gt;=1000,-1,0)),ROUND(F1076*Параметры!$B$6,IF(F1076*Параметры!$B$6&gt;=1000,-1,0)))))</f>
        <v>463</v>
      </c>
      <c r="J1076" s="15">
        <v>463</v>
      </c>
      <c r="K1076" s="15">
        <f>IF(OR(J1076="",G1076=""),"",MAX(J1076,MIN(ROUND(J1076*(1+Параметры!$B$5),IF(J1076*(1+Параметры!$B$5)&gt;=1000,-1,0)),ROUND(G1076*Параметры!$B$6,IF(G1076*Параметры!$B$6&gt;=1000,-1,0)))))</f>
        <v>532</v>
      </c>
      <c r="L1076" s="16">
        <v>0.48</v>
      </c>
      <c r="M1076" s="17">
        <f t="shared" si="88"/>
        <v>2.0833333333333335</v>
      </c>
      <c r="N1076" s="17">
        <f>IF(OR(L1076="",L1076=0),"",Параметры!$B$3/L1076)</f>
        <v>16.666666666666668</v>
      </c>
      <c r="O1076" s="15">
        <f>IF(L1076="","",IFERROR(INDEX('Почасовка — ставки и план'!$D$5:$D$24,MATCH($D1076,'Почасовка — ставки и план'!$A$5:$A$24,0)),""))</f>
        <v>850</v>
      </c>
      <c r="P1076" s="15">
        <f>IF(L1076="","",IFERROR(INDEX('Почасовка — ставки и план'!$E$5:$E$24,MATCH($D1076,'Почасовка — ставки и план'!$A$5:$A$24,0)),""))</f>
        <v>1020</v>
      </c>
      <c r="Q1076" s="15">
        <f t="shared" si="89"/>
        <v>408</v>
      </c>
      <c r="R1076" s="13" t="str">
        <f>IF(D1076="TEX","аренда техники — сделка/счёт",IF(OR(Q1076="",H1076="",H1076=0),"—",IF(Q1076&lt;H1076*(1-Параметры!$B$7),"почасовка",IF(Q1076&gt;H1076*(1+Параметры!$B$7),"сделка","любой способ"))))</f>
        <v>любой способ</v>
      </c>
      <c r="S1076">
        <v>0</v>
      </c>
      <c r="T1076">
        <v>0</v>
      </c>
    </row>
    <row r="1077" spans="1:20" x14ac:dyDescent="0.25">
      <c r="A1077" s="13" t="s">
        <v>2197</v>
      </c>
      <c r="B1077" s="13" t="s">
        <v>2198</v>
      </c>
      <c r="C1077" s="13" t="s">
        <v>69</v>
      </c>
      <c r="D1077" s="13" t="s">
        <v>326</v>
      </c>
      <c r="E1077" s="13" t="str">
        <f>IFERROR(INDEX('Почасовка — ставки и план'!$B$5:$B$24,MATCH(D1077,'Почасовка — ставки и план'!$A$5:$A$24,0)),"Аренда техники / механизмы")</f>
        <v>Сантехник</v>
      </c>
      <c r="F1077" s="14">
        <v>780</v>
      </c>
      <c r="G1077" s="14">
        <v>897</v>
      </c>
      <c r="H1077" s="15">
        <v>484</v>
      </c>
      <c r="I1077" s="15">
        <f>IF(OR(H1077="",F1077=""),"",MAX(H1077,MIN(ROUND(H1077*(1+Параметры!$B$5),IF(H1077*(1+Параметры!$B$5)&gt;=1000,-1,0)),ROUND(F1077*Параметры!$B$6,IF(F1077*Параметры!$B$6&gt;=1000,-1,0)))))</f>
        <v>557</v>
      </c>
      <c r="J1077" s="15">
        <v>556</v>
      </c>
      <c r="K1077" s="15">
        <f>IF(OR(J1077="",G1077=""),"",MAX(J1077,MIN(ROUND(J1077*(1+Параметры!$B$5),IF(J1077*(1+Параметры!$B$5)&gt;=1000,-1,0)),ROUND(G1077*Параметры!$B$6,IF(G1077*Параметры!$B$6&gt;=1000,-1,0)))))</f>
        <v>639</v>
      </c>
      <c r="L1077" s="16">
        <v>0.57999999999999996</v>
      </c>
      <c r="M1077" s="17">
        <f t="shared" si="88"/>
        <v>1.7241379310344829</v>
      </c>
      <c r="N1077" s="17">
        <f>IF(OR(L1077="",L1077=0),"",Параметры!$B$3/L1077)</f>
        <v>13.793103448275863</v>
      </c>
      <c r="O1077" s="15">
        <f>IF(L1077="","",IFERROR(INDEX('Почасовка — ставки и план'!$D$5:$D$24,MATCH($D1077,'Почасовка — ставки и план'!$A$5:$A$24,0)),""))</f>
        <v>850</v>
      </c>
      <c r="P1077" s="15">
        <f>IF(L1077="","",IFERROR(INDEX('Почасовка — ставки и план'!$E$5:$E$24,MATCH($D1077,'Почасовка — ставки и план'!$A$5:$A$24,0)),""))</f>
        <v>1020</v>
      </c>
      <c r="Q1077" s="15">
        <f t="shared" si="89"/>
        <v>493</v>
      </c>
      <c r="R1077" s="13" t="str">
        <f>IF(D1077="TEX","аренда техники — сделка/счёт",IF(OR(Q1077="",H1077="",H1077=0),"—",IF(Q1077&lt;H1077*(1-Параметры!$B$7),"почасовка",IF(Q1077&gt;H1077*(1+Параметры!$B$7),"сделка","любой способ"))))</f>
        <v>любой способ</v>
      </c>
      <c r="S1077">
        <v>0</v>
      </c>
      <c r="T1077">
        <v>0</v>
      </c>
    </row>
    <row r="1078" spans="1:20" x14ac:dyDescent="0.25">
      <c r="A1078" s="13" t="s">
        <v>2199</v>
      </c>
      <c r="B1078" s="13" t="s">
        <v>2200</v>
      </c>
      <c r="C1078" s="13" t="s">
        <v>69</v>
      </c>
      <c r="D1078" s="13" t="s">
        <v>326</v>
      </c>
      <c r="E1078" s="13" t="str">
        <f>IFERROR(INDEX('Почасовка — ставки и план'!$B$5:$B$24,MATCH(D1078,'Почасовка — ставки и план'!$A$5:$A$24,0)),"Аренда техники / механизмы")</f>
        <v>Сантехник</v>
      </c>
      <c r="F1078" s="14">
        <v>900</v>
      </c>
      <c r="G1078" s="14">
        <v>1035</v>
      </c>
      <c r="H1078" s="15">
        <v>558</v>
      </c>
      <c r="I1078" s="15">
        <f>IF(OR(H1078="",F1078=""),"",MAX(H1078,MIN(ROUND(H1078*(1+Параметры!$B$5),IF(H1078*(1+Параметры!$B$5)&gt;=1000,-1,0)),ROUND(F1078*Параметры!$B$6,IF(F1078*Параметры!$B$6&gt;=1000,-1,0)))))</f>
        <v>642</v>
      </c>
      <c r="J1078" s="15">
        <v>642</v>
      </c>
      <c r="K1078" s="15">
        <f>IF(OR(J1078="",G1078=""),"",MAX(J1078,MIN(ROUND(J1078*(1+Параметры!$B$5),IF(J1078*(1+Параметры!$B$5)&gt;=1000,-1,0)),ROUND(G1078*Параметры!$B$6,IF(G1078*Параметры!$B$6&gt;=1000,-1,0)))))</f>
        <v>738</v>
      </c>
      <c r="L1078" s="16">
        <v>0.68</v>
      </c>
      <c r="M1078" s="17">
        <f t="shared" si="88"/>
        <v>1.4705882352941175</v>
      </c>
      <c r="N1078" s="17">
        <f>IF(OR(L1078="",L1078=0),"",Параметры!$B$3/L1078)</f>
        <v>11.76470588235294</v>
      </c>
      <c r="O1078" s="15">
        <f>IF(L1078="","",IFERROR(INDEX('Почасовка — ставки и план'!$D$5:$D$24,MATCH($D1078,'Почасовка — ставки и план'!$A$5:$A$24,0)),""))</f>
        <v>850</v>
      </c>
      <c r="P1078" s="15">
        <f>IF(L1078="","",IFERROR(INDEX('Почасовка — ставки и план'!$E$5:$E$24,MATCH($D1078,'Почасовка — ставки и план'!$A$5:$A$24,0)),""))</f>
        <v>1020</v>
      </c>
      <c r="Q1078" s="15">
        <f t="shared" si="89"/>
        <v>578</v>
      </c>
      <c r="R1078" s="13" t="str">
        <f>IF(D1078="TEX","аренда техники — сделка/счёт",IF(OR(Q1078="",H1078="",H1078=0),"—",IF(Q1078&lt;H1078*(1-Параметры!$B$7),"почасовка",IF(Q1078&gt;H1078*(1+Параметры!$B$7),"сделка","любой способ"))))</f>
        <v>любой способ</v>
      </c>
      <c r="S1078">
        <v>0</v>
      </c>
      <c r="T1078">
        <v>0</v>
      </c>
    </row>
    <row r="1079" spans="1:20" x14ac:dyDescent="0.25">
      <c r="A1079" s="13" t="s">
        <v>2201</v>
      </c>
      <c r="B1079" s="13" t="s">
        <v>2202</v>
      </c>
      <c r="C1079" s="13" t="s">
        <v>144</v>
      </c>
      <c r="D1079" s="13" t="s">
        <v>326</v>
      </c>
      <c r="E1079" s="13" t="str">
        <f>IFERROR(INDEX('Почасовка — ставки и план'!$B$5:$B$24,MATCH(D1079,'Почасовка — ставки и план'!$A$5:$A$24,0)),"Аренда техники / механизмы")</f>
        <v>Сантехник</v>
      </c>
      <c r="F1079" s="14">
        <v>2000</v>
      </c>
      <c r="G1079" s="14">
        <v>2300</v>
      </c>
      <c r="H1079" s="15">
        <v>1240</v>
      </c>
      <c r="I1079" s="15">
        <f>IF(OR(H1079="",F1079=""),"",MAX(H1079,MIN(ROUND(H1079*(1+Параметры!$B$5),IF(H1079*(1+Параметры!$B$5)&gt;=1000,-1,0)),ROUND(F1079*Параметры!$B$6,IF(F1079*Параметры!$B$6&gt;=1000,-1,0)))))</f>
        <v>1430</v>
      </c>
      <c r="J1079" s="15">
        <v>1426</v>
      </c>
      <c r="K1079" s="15">
        <f>IF(OR(J1079="",G1079=""),"",MAX(J1079,MIN(ROUND(J1079*(1+Параметры!$B$5),IF(J1079*(1+Параметры!$B$5)&gt;=1000,-1,0)),ROUND(G1079*Параметры!$B$6,IF(G1079*Параметры!$B$6&gt;=1000,-1,0)))))</f>
        <v>1640</v>
      </c>
      <c r="L1079" s="16">
        <v>1.4</v>
      </c>
      <c r="M1079" s="17">
        <f t="shared" si="88"/>
        <v>0.7142857142857143</v>
      </c>
      <c r="N1079" s="17">
        <f>IF(OR(L1079="",L1079=0),"",Параметры!$B$3/L1079)</f>
        <v>5.7142857142857144</v>
      </c>
      <c r="O1079" s="15">
        <f>IF(L1079="","",IFERROR(INDEX('Почасовка — ставки и план'!$D$5:$D$24,MATCH($D1079,'Почасовка — ставки и план'!$A$5:$A$24,0)),""))</f>
        <v>850</v>
      </c>
      <c r="P1079" s="15">
        <f>IF(L1079="","",IFERROR(INDEX('Почасовка — ставки и план'!$E$5:$E$24,MATCH($D1079,'Почасовка — ставки и план'!$A$5:$A$24,0)),""))</f>
        <v>1020</v>
      </c>
      <c r="Q1079" s="15">
        <f t="shared" si="89"/>
        <v>1190</v>
      </c>
      <c r="R1079" s="13" t="str">
        <f>IF(D1079="TEX","аренда техники — сделка/счёт",IF(OR(Q1079="",H1079="",H1079=0),"—",IF(Q1079&lt;H1079*(1-Параметры!$B$7),"почасовка",IF(Q1079&gt;H1079*(1+Параметры!$B$7),"сделка","любой способ"))))</f>
        <v>любой способ</v>
      </c>
      <c r="S1079">
        <v>0</v>
      </c>
      <c r="T1079">
        <v>0</v>
      </c>
    </row>
    <row r="1080" spans="1:20" x14ac:dyDescent="0.25">
      <c r="A1080" s="13" t="s">
        <v>2203</v>
      </c>
      <c r="B1080" s="13" t="s">
        <v>2204</v>
      </c>
      <c r="C1080" s="13" t="s">
        <v>144</v>
      </c>
      <c r="D1080" s="13" t="s">
        <v>326</v>
      </c>
      <c r="E1080" s="13" t="str">
        <f>IFERROR(INDEX('Почасовка — ставки и план'!$B$5:$B$24,MATCH(D1080,'Почасовка — ставки и план'!$A$5:$A$24,0)),"Аренда техники / механизмы")</f>
        <v>Сантехник</v>
      </c>
      <c r="F1080" s="14">
        <v>700</v>
      </c>
      <c r="G1080" s="14">
        <v>805</v>
      </c>
      <c r="H1080" s="15">
        <v>434</v>
      </c>
      <c r="I1080" s="15">
        <f>IF(OR(H1080="",F1080=""),"",MAX(H1080,MIN(ROUND(H1080*(1+Параметры!$B$5),IF(H1080*(1+Параметры!$B$5)&gt;=1000,-1,0)),ROUND(F1080*Параметры!$B$6,IF(F1080*Параметры!$B$6&gt;=1000,-1,0)))))</f>
        <v>499</v>
      </c>
      <c r="J1080" s="15">
        <v>499</v>
      </c>
      <c r="K1080" s="15">
        <f>IF(OR(J1080="",G1080=""),"",MAX(J1080,MIN(ROUND(J1080*(1+Параметры!$B$5),IF(J1080*(1+Параметры!$B$5)&gt;=1000,-1,0)),ROUND(G1080*Параметры!$B$6,IF(G1080*Параметры!$B$6&gt;=1000,-1,0)))))</f>
        <v>574</v>
      </c>
      <c r="L1080" s="16">
        <v>0.45</v>
      </c>
      <c r="M1080" s="17">
        <f t="shared" si="88"/>
        <v>2.2222222222222223</v>
      </c>
      <c r="N1080" s="17">
        <f>IF(OR(L1080="",L1080=0),"",Параметры!$B$3/L1080)</f>
        <v>17.777777777777779</v>
      </c>
      <c r="O1080" s="15">
        <f>IF(L1080="","",IFERROR(INDEX('Почасовка — ставки и план'!$D$5:$D$24,MATCH($D1080,'Почасовка — ставки и план'!$A$5:$A$24,0)),""))</f>
        <v>850</v>
      </c>
      <c r="P1080" s="15">
        <f>IF(L1080="","",IFERROR(INDEX('Почасовка — ставки и план'!$E$5:$E$24,MATCH($D1080,'Почасовка — ставки и план'!$A$5:$A$24,0)),""))</f>
        <v>1020</v>
      </c>
      <c r="Q1080" s="15">
        <f t="shared" si="89"/>
        <v>383</v>
      </c>
      <c r="R1080" s="13" t="str">
        <f>IF(D1080="TEX","аренда техники — сделка/счёт",IF(OR(Q1080="",H1080="",H1080=0),"—",IF(Q1080&lt;H1080*(1-Параметры!$B$7),"почасовка",IF(Q1080&gt;H1080*(1+Параметры!$B$7),"сделка","любой способ"))))</f>
        <v>почасовка</v>
      </c>
      <c r="S1080">
        <v>0</v>
      </c>
      <c r="T1080">
        <v>0</v>
      </c>
    </row>
    <row r="1081" spans="1:20" x14ac:dyDescent="0.25">
      <c r="A1081" s="13" t="s">
        <v>2205</v>
      </c>
      <c r="B1081" s="13" t="s">
        <v>2206</v>
      </c>
      <c r="C1081" s="13" t="s">
        <v>144</v>
      </c>
      <c r="D1081" s="13" t="s">
        <v>326</v>
      </c>
      <c r="E1081" s="13" t="str">
        <f>IFERROR(INDEX('Почасовка — ставки и план'!$B$5:$B$24,MATCH(D1081,'Почасовка — ставки и план'!$A$5:$A$24,0)),"Аренда техники / механизмы")</f>
        <v>Сантехник</v>
      </c>
      <c r="F1081" s="14">
        <v>1100</v>
      </c>
      <c r="G1081" s="14">
        <v>1265</v>
      </c>
      <c r="H1081" s="15">
        <v>682</v>
      </c>
      <c r="I1081" s="15">
        <f>IF(OR(H1081="",F1081=""),"",MAX(H1081,MIN(ROUND(H1081*(1+Параметры!$B$5),IF(H1081*(1+Параметры!$B$5)&gt;=1000,-1,0)),ROUND(F1081*Параметры!$B$6,IF(F1081*Параметры!$B$6&gt;=1000,-1,0)))))</f>
        <v>784</v>
      </c>
      <c r="J1081" s="15">
        <v>784</v>
      </c>
      <c r="K1081" s="15">
        <f>IF(OR(J1081="",G1081=""),"",MAX(J1081,MIN(ROUND(J1081*(1+Параметры!$B$5),IF(J1081*(1+Параметры!$B$5)&gt;=1000,-1,0)),ROUND(G1081*Параметры!$B$6,IF(G1081*Параметры!$B$6&gt;=1000,-1,0)))))</f>
        <v>902</v>
      </c>
      <c r="L1081" s="16">
        <v>0.75</v>
      </c>
      <c r="M1081" s="17">
        <f t="shared" si="88"/>
        <v>1.3333333333333333</v>
      </c>
      <c r="N1081" s="17">
        <f>IF(OR(L1081="",L1081=0),"",Параметры!$B$3/L1081)</f>
        <v>10.666666666666666</v>
      </c>
      <c r="O1081" s="15">
        <f>IF(L1081="","",IFERROR(INDEX('Почасовка — ставки и план'!$D$5:$D$24,MATCH($D1081,'Почасовка — ставки и план'!$A$5:$A$24,0)),""))</f>
        <v>850</v>
      </c>
      <c r="P1081" s="15">
        <f>IF(L1081="","",IFERROR(INDEX('Почасовка — ставки и план'!$E$5:$E$24,MATCH($D1081,'Почасовка — ставки и план'!$A$5:$A$24,0)),""))</f>
        <v>1020</v>
      </c>
      <c r="Q1081" s="15">
        <f t="shared" si="89"/>
        <v>638</v>
      </c>
      <c r="R1081" s="13" t="str">
        <f>IF(D1081="TEX","аренда техники — сделка/счёт",IF(OR(Q1081="",H1081="",H1081=0),"—",IF(Q1081&lt;H1081*(1-Параметры!$B$7),"почасовка",IF(Q1081&gt;H1081*(1+Параметры!$B$7),"сделка","любой способ"))))</f>
        <v>любой способ</v>
      </c>
      <c r="S1081">
        <v>0</v>
      </c>
      <c r="T1081">
        <v>0</v>
      </c>
    </row>
    <row r="1082" spans="1:20" x14ac:dyDescent="0.25">
      <c r="A1082" s="13" t="s">
        <v>2207</v>
      </c>
      <c r="B1082" s="13" t="s">
        <v>2208</v>
      </c>
      <c r="C1082" s="13" t="s">
        <v>144</v>
      </c>
      <c r="D1082" s="13" t="s">
        <v>326</v>
      </c>
      <c r="E1082" s="13" t="str">
        <f>IFERROR(INDEX('Почасовка — ставки и план'!$B$5:$B$24,MATCH(D1082,'Почасовка — ставки и план'!$A$5:$A$24,0)),"Аренда техники / механизмы")</f>
        <v>Сантехник</v>
      </c>
      <c r="F1082" s="14">
        <v>900</v>
      </c>
      <c r="G1082" s="14">
        <v>1035</v>
      </c>
      <c r="H1082" s="15">
        <v>558</v>
      </c>
      <c r="I1082" s="15">
        <f>IF(OR(H1082="",F1082=""),"",MAX(H1082,MIN(ROUND(H1082*(1+Параметры!$B$5),IF(H1082*(1+Параметры!$B$5)&gt;=1000,-1,0)),ROUND(F1082*Параметры!$B$6,IF(F1082*Параметры!$B$6&gt;=1000,-1,0)))))</f>
        <v>642</v>
      </c>
      <c r="J1082" s="15">
        <v>642</v>
      </c>
      <c r="K1082" s="15">
        <f>IF(OR(J1082="",G1082=""),"",MAX(J1082,MIN(ROUND(J1082*(1+Параметры!$B$5),IF(J1082*(1+Параметры!$B$5)&gt;=1000,-1,0)),ROUND(G1082*Параметры!$B$6,IF(G1082*Параметры!$B$6&gt;=1000,-1,0)))))</f>
        <v>738</v>
      </c>
      <c r="L1082" s="16">
        <v>0.6</v>
      </c>
      <c r="M1082" s="17">
        <f t="shared" si="88"/>
        <v>1.6666666666666667</v>
      </c>
      <c r="N1082" s="17">
        <f>IF(OR(L1082="",L1082=0),"",Параметры!$B$3/L1082)</f>
        <v>13.333333333333334</v>
      </c>
      <c r="O1082" s="15">
        <f>IF(L1082="","",IFERROR(INDEX('Почасовка — ставки и план'!$D$5:$D$24,MATCH($D1082,'Почасовка — ставки и план'!$A$5:$A$24,0)),""))</f>
        <v>850</v>
      </c>
      <c r="P1082" s="15">
        <f>IF(L1082="","",IFERROR(INDEX('Почасовка — ставки и план'!$E$5:$E$24,MATCH($D1082,'Почасовка — ставки и план'!$A$5:$A$24,0)),""))</f>
        <v>1020</v>
      </c>
      <c r="Q1082" s="15">
        <f t="shared" si="89"/>
        <v>510</v>
      </c>
      <c r="R1082" s="13" t="str">
        <f>IF(D1082="TEX","аренда техники — сделка/счёт",IF(OR(Q1082="",H1082="",H1082=0),"—",IF(Q1082&lt;H1082*(1-Параметры!$B$7),"почасовка",IF(Q1082&gt;H1082*(1+Параметры!$B$7),"сделка","любой способ"))))</f>
        <v>любой способ</v>
      </c>
      <c r="S1082">
        <v>0</v>
      </c>
      <c r="T1082">
        <v>0</v>
      </c>
    </row>
    <row r="1083" spans="1:20" x14ac:dyDescent="0.25">
      <c r="A1083" s="13" t="s">
        <v>2209</v>
      </c>
      <c r="B1083" s="13" t="s">
        <v>2210</v>
      </c>
      <c r="C1083" s="13" t="s">
        <v>144</v>
      </c>
      <c r="D1083" s="13" t="s">
        <v>326</v>
      </c>
      <c r="E1083" s="13" t="str">
        <f>IFERROR(INDEX('Почасовка — ставки и план'!$B$5:$B$24,MATCH(D1083,'Почасовка — ставки и план'!$A$5:$A$24,0)),"Аренда техники / механизмы")</f>
        <v>Сантехник</v>
      </c>
      <c r="F1083" s="14">
        <v>1000</v>
      </c>
      <c r="G1083" s="14">
        <v>1150</v>
      </c>
      <c r="H1083" s="15">
        <v>620</v>
      </c>
      <c r="I1083" s="15">
        <f>IF(OR(H1083="",F1083=""),"",MAX(H1083,MIN(ROUND(H1083*(1+Параметры!$B$5),IF(H1083*(1+Параметры!$B$5)&gt;=1000,-1,0)),ROUND(F1083*Параметры!$B$6,IF(F1083*Параметры!$B$6&gt;=1000,-1,0)))))</f>
        <v>713</v>
      </c>
      <c r="J1083" s="15">
        <v>713</v>
      </c>
      <c r="K1083" s="15">
        <f>IF(OR(J1083="",G1083=""),"",MAX(J1083,MIN(ROUND(J1083*(1+Параметры!$B$5),IF(J1083*(1+Параметры!$B$5)&gt;=1000,-1,0)),ROUND(G1083*Параметры!$B$6,IF(G1083*Параметры!$B$6&gt;=1000,-1,0)))))</f>
        <v>820</v>
      </c>
      <c r="L1083" s="16">
        <v>0.7</v>
      </c>
      <c r="M1083" s="17">
        <f t="shared" si="88"/>
        <v>1.4285714285714286</v>
      </c>
      <c r="N1083" s="17">
        <f>IF(OR(L1083="",L1083=0),"",Параметры!$B$3/L1083)</f>
        <v>11.428571428571429</v>
      </c>
      <c r="O1083" s="15">
        <f>IF(L1083="","",IFERROR(INDEX('Почасовка — ставки и план'!$D$5:$D$24,MATCH($D1083,'Почасовка — ставки и план'!$A$5:$A$24,0)),""))</f>
        <v>850</v>
      </c>
      <c r="P1083" s="15">
        <f>IF(L1083="","",IFERROR(INDEX('Почасовка — ставки и план'!$E$5:$E$24,MATCH($D1083,'Почасовка — ставки и план'!$A$5:$A$24,0)),""))</f>
        <v>1020</v>
      </c>
      <c r="Q1083" s="15">
        <f t="shared" si="89"/>
        <v>595</v>
      </c>
      <c r="R1083" s="13" t="str">
        <f>IF(D1083="TEX","аренда техники — сделка/счёт",IF(OR(Q1083="",H1083="",H1083=0),"—",IF(Q1083&lt;H1083*(1-Параметры!$B$7),"почасовка",IF(Q1083&gt;H1083*(1+Параметры!$B$7),"сделка","любой способ"))))</f>
        <v>любой способ</v>
      </c>
      <c r="S1083">
        <v>0</v>
      </c>
      <c r="T1083">
        <v>0</v>
      </c>
    </row>
    <row r="1084" spans="1:20" x14ac:dyDescent="0.25">
      <c r="A1084" s="13" t="s">
        <v>2211</v>
      </c>
      <c r="B1084" s="13" t="s">
        <v>2212</v>
      </c>
      <c r="C1084" s="13" t="s">
        <v>144</v>
      </c>
      <c r="D1084" s="13" t="s">
        <v>326</v>
      </c>
      <c r="E1084" s="13" t="str">
        <f>IFERROR(INDEX('Почасовка — ставки и план'!$B$5:$B$24,MATCH(D1084,'Почасовка — ставки и план'!$A$5:$A$24,0)),"Аренда техники / механизмы")</f>
        <v>Сантехник</v>
      </c>
      <c r="F1084" s="14">
        <v>1200</v>
      </c>
      <c r="G1084" s="14">
        <v>1380</v>
      </c>
      <c r="H1084" s="15">
        <v>744</v>
      </c>
      <c r="I1084" s="15">
        <f>IF(OR(H1084="",F1084=""),"",MAX(H1084,MIN(ROUND(H1084*(1+Параметры!$B$5),IF(H1084*(1+Параметры!$B$5)&gt;=1000,-1,0)),ROUND(F1084*Параметры!$B$6,IF(F1084*Параметры!$B$6&gt;=1000,-1,0)))))</f>
        <v>856</v>
      </c>
      <c r="J1084" s="15">
        <v>856</v>
      </c>
      <c r="K1084" s="15">
        <f>IF(OR(J1084="",G1084=""),"",MAX(J1084,MIN(ROUND(J1084*(1+Параметры!$B$5),IF(J1084*(1+Параметры!$B$5)&gt;=1000,-1,0)),ROUND(G1084*Параметры!$B$6,IF(G1084*Параметры!$B$6&gt;=1000,-1,0)))))</f>
        <v>984</v>
      </c>
      <c r="L1084" s="16">
        <v>0.8</v>
      </c>
      <c r="M1084" s="17">
        <f t="shared" si="88"/>
        <v>1.25</v>
      </c>
      <c r="N1084" s="17">
        <f>IF(OR(L1084="",L1084=0),"",Параметры!$B$3/L1084)</f>
        <v>10</v>
      </c>
      <c r="O1084" s="15">
        <f>IF(L1084="","",IFERROR(INDEX('Почасовка — ставки и план'!$D$5:$D$24,MATCH($D1084,'Почасовка — ставки и план'!$A$5:$A$24,0)),""))</f>
        <v>850</v>
      </c>
      <c r="P1084" s="15">
        <f>IF(L1084="","",IFERROR(INDEX('Почасовка — ставки и план'!$E$5:$E$24,MATCH($D1084,'Почасовка — ставки и план'!$A$5:$A$24,0)),""))</f>
        <v>1020</v>
      </c>
      <c r="Q1084" s="15">
        <f t="shared" si="89"/>
        <v>680</v>
      </c>
      <c r="R1084" s="13" t="str">
        <f>IF(D1084="TEX","аренда техники — сделка/счёт",IF(OR(Q1084="",H1084="",H1084=0),"—",IF(Q1084&lt;H1084*(1-Параметры!$B$7),"почасовка",IF(Q1084&gt;H1084*(1+Параметры!$B$7),"сделка","любой способ"))))</f>
        <v>любой способ</v>
      </c>
      <c r="S1084">
        <v>0</v>
      </c>
      <c r="T1084">
        <v>0</v>
      </c>
    </row>
    <row r="1085" spans="1:20" x14ac:dyDescent="0.25">
      <c r="A1085" s="13" t="s">
        <v>2213</v>
      </c>
      <c r="B1085" s="13" t="s">
        <v>2214</v>
      </c>
      <c r="C1085" s="13" t="s">
        <v>144</v>
      </c>
      <c r="D1085" s="13" t="s">
        <v>326</v>
      </c>
      <c r="E1085" s="13" t="str">
        <f>IFERROR(INDEX('Почасовка — ставки и план'!$B$5:$B$24,MATCH(D1085,'Почасовка — ставки и план'!$A$5:$A$24,0)),"Аренда техники / механизмы")</f>
        <v>Сантехник</v>
      </c>
      <c r="F1085" s="14">
        <v>1400</v>
      </c>
      <c r="G1085" s="14">
        <v>1610</v>
      </c>
      <c r="H1085" s="15">
        <v>868</v>
      </c>
      <c r="I1085" s="15">
        <f>IF(OR(H1085="",F1085=""),"",MAX(H1085,MIN(ROUND(H1085*(1+Параметры!$B$5),IF(H1085*(1+Параметры!$B$5)&gt;=1000,-1,0)),ROUND(F1085*Параметры!$B$6,IF(F1085*Параметры!$B$6&gt;=1000,-1,0)))))</f>
        <v>998</v>
      </c>
      <c r="J1085" s="15">
        <v>998</v>
      </c>
      <c r="K1085" s="15">
        <f>IF(OR(J1085="",G1085=""),"",MAX(J1085,MIN(ROUND(J1085*(1+Параметры!$B$5),IF(J1085*(1+Параметры!$B$5)&gt;=1000,-1,0)),ROUND(G1085*Параметры!$B$6,IF(G1085*Параметры!$B$6&gt;=1000,-1,0)))))</f>
        <v>1150</v>
      </c>
      <c r="L1085" s="16">
        <v>0.95</v>
      </c>
      <c r="M1085" s="17">
        <f t="shared" si="88"/>
        <v>1.0526315789473684</v>
      </c>
      <c r="N1085" s="17">
        <f>IF(OR(L1085="",L1085=0),"",Параметры!$B$3/L1085)</f>
        <v>8.4210526315789469</v>
      </c>
      <c r="O1085" s="15">
        <f>IF(L1085="","",IFERROR(INDEX('Почасовка — ставки и план'!$D$5:$D$24,MATCH($D1085,'Почасовка — ставки и план'!$A$5:$A$24,0)),""))</f>
        <v>850</v>
      </c>
      <c r="P1085" s="15">
        <f>IF(L1085="","",IFERROR(INDEX('Почасовка — ставки и план'!$E$5:$E$24,MATCH($D1085,'Почасовка — ставки и план'!$A$5:$A$24,0)),""))</f>
        <v>1020</v>
      </c>
      <c r="Q1085" s="15">
        <f t="shared" si="89"/>
        <v>808</v>
      </c>
      <c r="R1085" s="13" t="str">
        <f>IF(D1085="TEX","аренда техники — сделка/счёт",IF(OR(Q1085="",H1085="",H1085=0),"—",IF(Q1085&lt;H1085*(1-Параметры!$B$7),"почасовка",IF(Q1085&gt;H1085*(1+Параметры!$B$7),"сделка","любой способ"))))</f>
        <v>любой способ</v>
      </c>
      <c r="S1085">
        <v>0</v>
      </c>
      <c r="T1085">
        <v>0</v>
      </c>
    </row>
    <row r="1086" spans="1:20" x14ac:dyDescent="0.25">
      <c r="A1086" s="13" t="s">
        <v>2215</v>
      </c>
      <c r="B1086" s="13" t="s">
        <v>2216</v>
      </c>
      <c r="C1086" s="13" t="s">
        <v>144</v>
      </c>
      <c r="D1086" s="13" t="s">
        <v>326</v>
      </c>
      <c r="E1086" s="13" t="str">
        <f>IFERROR(INDEX('Почасовка — ставки и план'!$B$5:$B$24,MATCH(D1086,'Почасовка — ставки и план'!$A$5:$A$24,0)),"Аренда техники / механизмы")</f>
        <v>Сантехник</v>
      </c>
      <c r="F1086" s="14">
        <v>1500</v>
      </c>
      <c r="G1086" s="14">
        <v>1725</v>
      </c>
      <c r="H1086" s="15">
        <v>930</v>
      </c>
      <c r="I1086" s="15">
        <f>IF(OR(H1086="",F1086=""),"",MAX(H1086,MIN(ROUND(H1086*(1+Параметры!$B$5),IF(H1086*(1+Параметры!$B$5)&gt;=1000,-1,0)),ROUND(F1086*Параметры!$B$6,IF(F1086*Параметры!$B$6&gt;=1000,-1,0)))))</f>
        <v>1070</v>
      </c>
      <c r="J1086" s="15">
        <v>1069</v>
      </c>
      <c r="K1086" s="15">
        <f>IF(OR(J1086="",G1086=""),"",MAX(J1086,MIN(ROUND(J1086*(1+Параметры!$B$5),IF(J1086*(1+Параметры!$B$5)&gt;=1000,-1,0)),ROUND(G1086*Параметры!$B$6,IF(G1086*Параметры!$B$6&gt;=1000,-1,0)))))</f>
        <v>1230</v>
      </c>
      <c r="L1086" s="16">
        <v>1</v>
      </c>
      <c r="M1086" s="17">
        <f t="shared" si="88"/>
        <v>1</v>
      </c>
      <c r="N1086" s="17">
        <f>IF(OR(L1086="",L1086=0),"",Параметры!$B$3/L1086)</f>
        <v>8</v>
      </c>
      <c r="O1086" s="15">
        <f>IF(L1086="","",IFERROR(INDEX('Почасовка — ставки и план'!$D$5:$D$24,MATCH($D1086,'Почасовка — ставки и план'!$A$5:$A$24,0)),""))</f>
        <v>850</v>
      </c>
      <c r="P1086" s="15">
        <f>IF(L1086="","",IFERROR(INDEX('Почасовка — ставки и план'!$E$5:$E$24,MATCH($D1086,'Почасовка — ставки и план'!$A$5:$A$24,0)),""))</f>
        <v>1020</v>
      </c>
      <c r="Q1086" s="15">
        <f t="shared" si="89"/>
        <v>850</v>
      </c>
      <c r="R1086" s="13" t="str">
        <f>IF(D1086="TEX","аренда техники — сделка/счёт",IF(OR(Q1086="",H1086="",H1086=0),"—",IF(Q1086&lt;H1086*(1-Параметры!$B$7),"почасовка",IF(Q1086&gt;H1086*(1+Параметры!$B$7),"сделка","любой способ"))))</f>
        <v>любой способ</v>
      </c>
      <c r="S1086">
        <v>0</v>
      </c>
      <c r="T1086">
        <v>0</v>
      </c>
    </row>
    <row r="1087" spans="1:20" x14ac:dyDescent="0.25">
      <c r="A1087" s="13" t="s">
        <v>2217</v>
      </c>
      <c r="B1087" s="13" t="s">
        <v>2218</v>
      </c>
      <c r="C1087" s="13" t="s">
        <v>144</v>
      </c>
      <c r="D1087" s="13" t="s">
        <v>326</v>
      </c>
      <c r="E1087" s="13" t="str">
        <f>IFERROR(INDEX('Почасовка — ставки и план'!$B$5:$B$24,MATCH(D1087,'Почасовка — ставки и план'!$A$5:$A$24,0)),"Аренда техники / механизмы")</f>
        <v>Сантехник</v>
      </c>
      <c r="F1087" s="14">
        <v>800</v>
      </c>
      <c r="G1087" s="14">
        <v>920</v>
      </c>
      <c r="H1087" s="15">
        <v>496</v>
      </c>
      <c r="I1087" s="15">
        <f>IF(OR(H1087="",F1087=""),"",MAX(H1087,MIN(ROUND(H1087*(1+Параметры!$B$5),IF(H1087*(1+Параметры!$B$5)&gt;=1000,-1,0)),ROUND(F1087*Параметры!$B$6,IF(F1087*Параметры!$B$6&gt;=1000,-1,0)))))</f>
        <v>570</v>
      </c>
      <c r="J1087" s="15">
        <v>570</v>
      </c>
      <c r="K1087" s="15">
        <f>IF(OR(J1087="",G1087=""),"",MAX(J1087,MIN(ROUND(J1087*(1+Параметры!$B$5),IF(J1087*(1+Параметры!$B$5)&gt;=1000,-1,0)),ROUND(G1087*Параметры!$B$6,IF(G1087*Параметры!$B$6&gt;=1000,-1,0)))))</f>
        <v>656</v>
      </c>
      <c r="L1087" s="16">
        <v>0.5</v>
      </c>
      <c r="M1087" s="17">
        <f t="shared" si="88"/>
        <v>2</v>
      </c>
      <c r="N1087" s="17">
        <f>IF(OR(L1087="",L1087=0),"",Параметры!$B$3/L1087)</f>
        <v>16</v>
      </c>
      <c r="O1087" s="15">
        <f>IF(L1087="","",IFERROR(INDEX('Почасовка — ставки и план'!$D$5:$D$24,MATCH($D1087,'Почасовка — ставки и план'!$A$5:$A$24,0)),""))</f>
        <v>850</v>
      </c>
      <c r="P1087" s="15">
        <f>IF(L1087="","",IFERROR(INDEX('Почасовка — ставки и план'!$E$5:$E$24,MATCH($D1087,'Почасовка — ставки и план'!$A$5:$A$24,0)),""))</f>
        <v>1020</v>
      </c>
      <c r="Q1087" s="15">
        <f t="shared" si="89"/>
        <v>425</v>
      </c>
      <c r="R1087" s="13" t="str">
        <f>IF(D1087="TEX","аренда техники — сделка/счёт",IF(OR(Q1087="",H1087="",H1087=0),"—",IF(Q1087&lt;H1087*(1-Параметры!$B$7),"почасовка",IF(Q1087&gt;H1087*(1+Параметры!$B$7),"сделка","любой способ"))))</f>
        <v>почасовка</v>
      </c>
      <c r="S1087">
        <v>0</v>
      </c>
      <c r="T1087">
        <v>0</v>
      </c>
    </row>
    <row r="1088" spans="1:20" x14ac:dyDescent="0.25">
      <c r="A1088" s="13" t="s">
        <v>2219</v>
      </c>
      <c r="B1088" s="13" t="s">
        <v>2220</v>
      </c>
      <c r="C1088" s="13" t="s">
        <v>144</v>
      </c>
      <c r="D1088" s="13" t="s">
        <v>326</v>
      </c>
      <c r="E1088" s="13" t="str">
        <f>IFERROR(INDEX('Почасовка — ставки и план'!$B$5:$B$24,MATCH(D1088,'Почасовка — ставки и план'!$A$5:$A$24,0)),"Аренда техники / механизмы")</f>
        <v>Сантехник</v>
      </c>
      <c r="F1088" s="14">
        <v>1900</v>
      </c>
      <c r="G1088" s="14">
        <v>2185</v>
      </c>
      <c r="H1088" s="15">
        <v>1178</v>
      </c>
      <c r="I1088" s="15">
        <f>IF(OR(H1088="",F1088=""),"",MAX(H1088,MIN(ROUND(H1088*(1+Параметры!$B$5),IF(H1088*(1+Параметры!$B$5)&gt;=1000,-1,0)),ROUND(F1088*Параметры!$B$6,IF(F1088*Параметры!$B$6&gt;=1000,-1,0)))))</f>
        <v>1350</v>
      </c>
      <c r="J1088" s="15">
        <v>1355</v>
      </c>
      <c r="K1088" s="15">
        <f>IF(OR(J1088="",G1088=""),"",MAX(J1088,MIN(ROUND(J1088*(1+Параметры!$B$5),IF(J1088*(1+Параметры!$B$5)&gt;=1000,-1,0)),ROUND(G1088*Параметры!$B$6,IF(G1088*Параметры!$B$6&gt;=1000,-1,0)))))</f>
        <v>1560</v>
      </c>
      <c r="L1088" s="16">
        <v>1.3</v>
      </c>
      <c r="M1088" s="17">
        <f t="shared" si="88"/>
        <v>0.76923076923076916</v>
      </c>
      <c r="N1088" s="17">
        <f>IF(OR(L1088="",L1088=0),"",Параметры!$B$3/L1088)</f>
        <v>6.1538461538461533</v>
      </c>
      <c r="O1088" s="15">
        <f>IF(L1088="","",IFERROR(INDEX('Почасовка — ставки и план'!$D$5:$D$24,MATCH($D1088,'Почасовка — ставки и план'!$A$5:$A$24,0)),""))</f>
        <v>850</v>
      </c>
      <c r="P1088" s="15">
        <f>IF(L1088="","",IFERROR(INDEX('Почасовка — ставки и план'!$E$5:$E$24,MATCH($D1088,'Почасовка — ставки и план'!$A$5:$A$24,0)),""))</f>
        <v>1020</v>
      </c>
      <c r="Q1088" s="15">
        <f t="shared" si="89"/>
        <v>1105</v>
      </c>
      <c r="R1088" s="13" t="str">
        <f>IF(D1088="TEX","аренда техники — сделка/счёт",IF(OR(Q1088="",H1088="",H1088=0),"—",IF(Q1088&lt;H1088*(1-Параметры!$B$7),"почасовка",IF(Q1088&gt;H1088*(1+Параметры!$B$7),"сделка","любой способ"))))</f>
        <v>любой способ</v>
      </c>
      <c r="S1088">
        <v>0</v>
      </c>
      <c r="T1088">
        <v>0</v>
      </c>
    </row>
    <row r="1089" spans="1:20" x14ac:dyDescent="0.25">
      <c r="A1089" s="13" t="s">
        <v>2221</v>
      </c>
      <c r="B1089" s="13" t="s">
        <v>2222</v>
      </c>
      <c r="C1089" s="13" t="s">
        <v>144</v>
      </c>
      <c r="D1089" s="13" t="s">
        <v>326</v>
      </c>
      <c r="E1089" s="13" t="str">
        <f>IFERROR(INDEX('Почасовка — ставки и план'!$B$5:$B$24,MATCH(D1089,'Почасовка — ставки и план'!$A$5:$A$24,0)),"Аренда техники / механизмы")</f>
        <v>Сантехник</v>
      </c>
      <c r="F1089" s="14">
        <v>650</v>
      </c>
      <c r="G1089" s="14">
        <v>747</v>
      </c>
      <c r="H1089" s="15">
        <v>403</v>
      </c>
      <c r="I1089" s="15">
        <f>IF(OR(H1089="",F1089=""),"",MAX(H1089,MIN(ROUND(H1089*(1+Параметры!$B$5),IF(H1089*(1+Параметры!$B$5)&gt;=1000,-1,0)),ROUND(F1089*Параметры!$B$6,IF(F1089*Параметры!$B$6&gt;=1000,-1,0)))))</f>
        <v>463</v>
      </c>
      <c r="J1089" s="15">
        <v>463</v>
      </c>
      <c r="K1089" s="15">
        <f>IF(OR(J1089="",G1089=""),"",MAX(J1089,MIN(ROUND(J1089*(1+Параметры!$B$5),IF(J1089*(1+Параметры!$B$5)&gt;=1000,-1,0)),ROUND(G1089*Параметры!$B$6,IF(G1089*Параметры!$B$6&gt;=1000,-1,0)))))</f>
        <v>532</v>
      </c>
      <c r="L1089" s="16">
        <v>0.4</v>
      </c>
      <c r="M1089" s="17">
        <f t="shared" si="88"/>
        <v>2.5</v>
      </c>
      <c r="N1089" s="17">
        <f>IF(OR(L1089="",L1089=0),"",Параметры!$B$3/L1089)</f>
        <v>20</v>
      </c>
      <c r="O1089" s="15">
        <f>IF(L1089="","",IFERROR(INDEX('Почасовка — ставки и план'!$D$5:$D$24,MATCH($D1089,'Почасовка — ставки и план'!$A$5:$A$24,0)),""))</f>
        <v>850</v>
      </c>
      <c r="P1089" s="15">
        <f>IF(L1089="","",IFERROR(INDEX('Почасовка — ставки и план'!$E$5:$E$24,MATCH($D1089,'Почасовка — ставки и план'!$A$5:$A$24,0)),""))</f>
        <v>1020</v>
      </c>
      <c r="Q1089" s="15">
        <f t="shared" si="89"/>
        <v>340</v>
      </c>
      <c r="R1089" s="13" t="str">
        <f>IF(D1089="TEX","аренда техники — сделка/счёт",IF(OR(Q1089="",H1089="",H1089=0),"—",IF(Q1089&lt;H1089*(1-Параметры!$B$7),"почасовка",IF(Q1089&gt;H1089*(1+Параметры!$B$7),"сделка","любой способ"))))</f>
        <v>почасовка</v>
      </c>
      <c r="S1089">
        <v>0</v>
      </c>
      <c r="T1089">
        <v>0</v>
      </c>
    </row>
    <row r="1090" spans="1:20" x14ac:dyDescent="0.25">
      <c r="A1090" s="13" t="s">
        <v>2223</v>
      </c>
      <c r="B1090" s="13" t="s">
        <v>2224</v>
      </c>
      <c r="C1090" s="13" t="s">
        <v>144</v>
      </c>
      <c r="D1090" s="13" t="s">
        <v>326</v>
      </c>
      <c r="E1090" s="13" t="str">
        <f>IFERROR(INDEX('Почасовка — ставки и план'!$B$5:$B$24,MATCH(D1090,'Почасовка — ставки и план'!$A$5:$A$24,0)),"Аренда техники / механизмы")</f>
        <v>Сантехник</v>
      </c>
      <c r="F1090" s="14">
        <v>1000</v>
      </c>
      <c r="G1090" s="14">
        <v>1150</v>
      </c>
      <c r="H1090" s="15">
        <v>620</v>
      </c>
      <c r="I1090" s="15">
        <f>IF(OR(H1090="",F1090=""),"",MAX(H1090,MIN(ROUND(H1090*(1+Параметры!$B$5),IF(H1090*(1+Параметры!$B$5)&gt;=1000,-1,0)),ROUND(F1090*Параметры!$B$6,IF(F1090*Параметры!$B$6&gt;=1000,-1,0)))))</f>
        <v>713</v>
      </c>
      <c r="J1090" s="15">
        <v>713</v>
      </c>
      <c r="K1090" s="15">
        <f>IF(OR(J1090="",G1090=""),"",MAX(J1090,MIN(ROUND(J1090*(1+Параметры!$B$5),IF(J1090*(1+Параметры!$B$5)&gt;=1000,-1,0)),ROUND(G1090*Параметры!$B$6,IF(G1090*Параметры!$B$6&gt;=1000,-1,0)))))</f>
        <v>820</v>
      </c>
      <c r="L1090" s="16">
        <v>0.7</v>
      </c>
      <c r="M1090" s="17">
        <f t="shared" si="88"/>
        <v>1.4285714285714286</v>
      </c>
      <c r="N1090" s="17">
        <f>IF(OR(L1090="",L1090=0),"",Параметры!$B$3/L1090)</f>
        <v>11.428571428571429</v>
      </c>
      <c r="O1090" s="15">
        <f>IF(L1090="","",IFERROR(INDEX('Почасовка — ставки и план'!$D$5:$D$24,MATCH($D1090,'Почасовка — ставки и план'!$A$5:$A$24,0)),""))</f>
        <v>850</v>
      </c>
      <c r="P1090" s="15">
        <f>IF(L1090="","",IFERROR(INDEX('Почасовка — ставки и план'!$E$5:$E$24,MATCH($D1090,'Почасовка — ставки и план'!$A$5:$A$24,0)),""))</f>
        <v>1020</v>
      </c>
      <c r="Q1090" s="15">
        <f t="shared" si="89"/>
        <v>595</v>
      </c>
      <c r="R1090" s="13" t="str">
        <f>IF(D1090="TEX","аренда техники — сделка/счёт",IF(OR(Q1090="",H1090="",H1090=0),"—",IF(Q1090&lt;H1090*(1-Параметры!$B$7),"почасовка",IF(Q1090&gt;H1090*(1+Параметры!$B$7),"сделка","любой способ"))))</f>
        <v>любой способ</v>
      </c>
      <c r="S1090">
        <v>0</v>
      </c>
      <c r="T1090">
        <v>0</v>
      </c>
    </row>
    <row r="1091" spans="1:20" x14ac:dyDescent="0.25">
      <c r="A1091" s="13" t="s">
        <v>2225</v>
      </c>
      <c r="B1091" s="13" t="s">
        <v>2226</v>
      </c>
      <c r="C1091" s="13" t="s">
        <v>144</v>
      </c>
      <c r="D1091" s="13" t="s">
        <v>326</v>
      </c>
      <c r="E1091" s="13" t="str">
        <f>IFERROR(INDEX('Почасовка — ставки и план'!$B$5:$B$24,MATCH(D1091,'Почасовка — ставки и план'!$A$5:$A$24,0)),"Аренда техники / механизмы")</f>
        <v>Сантехник</v>
      </c>
      <c r="F1091" s="14">
        <v>2300</v>
      </c>
      <c r="G1091" s="14">
        <v>2645</v>
      </c>
      <c r="H1091" s="15">
        <v>1426</v>
      </c>
      <c r="I1091" s="15">
        <f>IF(OR(H1091="",F1091=""),"",MAX(H1091,MIN(ROUND(H1091*(1+Параметры!$B$5),IF(H1091*(1+Параметры!$B$5)&gt;=1000,-1,0)),ROUND(F1091*Параметры!$B$6,IF(F1091*Параметры!$B$6&gt;=1000,-1,0)))))</f>
        <v>1640</v>
      </c>
      <c r="J1091" s="15">
        <v>1640</v>
      </c>
      <c r="K1091" s="15">
        <f>IF(OR(J1091="",G1091=""),"",MAX(J1091,MIN(ROUND(J1091*(1+Параметры!$B$5),IF(J1091*(1+Параметры!$B$5)&gt;=1000,-1,0)),ROUND(G1091*Параметры!$B$6,IF(G1091*Параметры!$B$6&gt;=1000,-1,0)))))</f>
        <v>1890</v>
      </c>
      <c r="L1091" s="16">
        <v>1.6</v>
      </c>
      <c r="M1091" s="17">
        <f t="shared" si="88"/>
        <v>0.625</v>
      </c>
      <c r="N1091" s="17">
        <f>IF(OR(L1091="",L1091=0),"",Параметры!$B$3/L1091)</f>
        <v>5</v>
      </c>
      <c r="O1091" s="15">
        <f>IF(L1091="","",IFERROR(INDEX('Почасовка — ставки и план'!$D$5:$D$24,MATCH($D1091,'Почасовка — ставки и план'!$A$5:$A$24,0)),""))</f>
        <v>850</v>
      </c>
      <c r="P1091" s="15">
        <f>IF(L1091="","",IFERROR(INDEX('Почасовка — ставки и план'!$E$5:$E$24,MATCH($D1091,'Почасовка — ставки и план'!$A$5:$A$24,0)),""))</f>
        <v>1020</v>
      </c>
      <c r="Q1091" s="15">
        <f t="shared" si="89"/>
        <v>1360</v>
      </c>
      <c r="R1091" s="13" t="str">
        <f>IF(D1091="TEX","аренда техники — сделка/счёт",IF(OR(Q1091="",H1091="",H1091=0),"—",IF(Q1091&lt;H1091*(1-Параметры!$B$7),"почасовка",IF(Q1091&gt;H1091*(1+Параметры!$B$7),"сделка","любой способ"))))</f>
        <v>любой способ</v>
      </c>
      <c r="S1091">
        <v>0</v>
      </c>
      <c r="T1091">
        <v>0</v>
      </c>
    </row>
    <row r="1092" spans="1:20" x14ac:dyDescent="0.25">
      <c r="A1092" s="13" t="s">
        <v>2227</v>
      </c>
      <c r="B1092" s="13" t="s">
        <v>2228</v>
      </c>
      <c r="C1092" s="13" t="s">
        <v>144</v>
      </c>
      <c r="D1092" s="13" t="s">
        <v>326</v>
      </c>
      <c r="E1092" s="13" t="str">
        <f>IFERROR(INDEX('Почасовка — ставки и план'!$B$5:$B$24,MATCH(D1092,'Почасовка — ставки и план'!$A$5:$A$24,0)),"Аренда техники / механизмы")</f>
        <v>Сантехник</v>
      </c>
      <c r="F1092" s="14">
        <v>3200</v>
      </c>
      <c r="G1092" s="14">
        <v>3680</v>
      </c>
      <c r="H1092" s="15">
        <v>1984</v>
      </c>
      <c r="I1092" s="15">
        <f>IF(OR(H1092="",F1092=""),"",MAX(H1092,MIN(ROUND(H1092*(1+Параметры!$B$5),IF(H1092*(1+Параметры!$B$5)&gt;=1000,-1,0)),ROUND(F1092*Параметры!$B$6,IF(F1092*Параметры!$B$6&gt;=1000,-1,0)))))</f>
        <v>2280</v>
      </c>
      <c r="J1092" s="15">
        <v>2282</v>
      </c>
      <c r="K1092" s="15">
        <f>IF(OR(J1092="",G1092=""),"",MAX(J1092,MIN(ROUND(J1092*(1+Параметры!$B$5),IF(J1092*(1+Параметры!$B$5)&gt;=1000,-1,0)),ROUND(G1092*Параметры!$B$6,IF(G1092*Параметры!$B$6&gt;=1000,-1,0)))))</f>
        <v>2620</v>
      </c>
      <c r="L1092" s="16">
        <v>2.2000000000000002</v>
      </c>
      <c r="M1092" s="17">
        <f t="shared" si="88"/>
        <v>0.45454545454545453</v>
      </c>
      <c r="N1092" s="17">
        <f>IF(OR(L1092="",L1092=0),"",Параметры!$B$3/L1092)</f>
        <v>3.6363636363636362</v>
      </c>
      <c r="O1092" s="15">
        <f>IF(L1092="","",IFERROR(INDEX('Почасовка — ставки и план'!$D$5:$D$24,MATCH($D1092,'Почасовка — ставки и план'!$A$5:$A$24,0)),""))</f>
        <v>850</v>
      </c>
      <c r="P1092" s="15">
        <f>IF(L1092="","",IFERROR(INDEX('Почасовка — ставки и план'!$E$5:$E$24,MATCH($D1092,'Почасовка — ставки и план'!$A$5:$A$24,0)),""))</f>
        <v>1020</v>
      </c>
      <c r="Q1092" s="15">
        <f t="shared" si="89"/>
        <v>1870</v>
      </c>
      <c r="R1092" s="13" t="str">
        <f>IF(D1092="TEX","аренда техники — сделка/счёт",IF(OR(Q1092="",H1092="",H1092=0),"—",IF(Q1092&lt;H1092*(1-Параметры!$B$7),"почасовка",IF(Q1092&gt;H1092*(1+Параметры!$B$7),"сделка","любой способ"))))</f>
        <v>любой способ</v>
      </c>
      <c r="S1092">
        <v>0</v>
      </c>
      <c r="T1092">
        <v>0</v>
      </c>
    </row>
    <row r="1093" spans="1:20" x14ac:dyDescent="0.25">
      <c r="A1093" s="13" t="s">
        <v>2229</v>
      </c>
      <c r="B1093" s="13" t="s">
        <v>2230</v>
      </c>
      <c r="C1093" s="13" t="s">
        <v>144</v>
      </c>
      <c r="D1093" s="13" t="s">
        <v>326</v>
      </c>
      <c r="E1093" s="13" t="str">
        <f>IFERROR(INDEX('Почасовка — ставки и план'!$B$5:$B$24,MATCH(D1093,'Почасовка — ставки и план'!$A$5:$A$24,0)),"Аренда техники / механизмы")</f>
        <v>Сантехник</v>
      </c>
      <c r="F1093" s="14">
        <v>800</v>
      </c>
      <c r="G1093" s="14">
        <v>920</v>
      </c>
      <c r="H1093" s="15">
        <v>496</v>
      </c>
      <c r="I1093" s="15">
        <f>IF(OR(H1093="",F1093=""),"",MAX(H1093,MIN(ROUND(H1093*(1+Параметры!$B$5),IF(H1093*(1+Параметры!$B$5)&gt;=1000,-1,0)),ROUND(F1093*Параметры!$B$6,IF(F1093*Параметры!$B$6&gt;=1000,-1,0)))))</f>
        <v>570</v>
      </c>
      <c r="J1093" s="15">
        <v>570</v>
      </c>
      <c r="K1093" s="15">
        <f>IF(OR(J1093="",G1093=""),"",MAX(J1093,MIN(ROUND(J1093*(1+Параметры!$B$5),IF(J1093*(1+Параметры!$B$5)&gt;=1000,-1,0)),ROUND(G1093*Параметры!$B$6,IF(G1093*Параметры!$B$6&gt;=1000,-1,0)))))</f>
        <v>656</v>
      </c>
      <c r="L1093" s="16">
        <v>0.5</v>
      </c>
      <c r="M1093" s="17">
        <f t="shared" si="88"/>
        <v>2</v>
      </c>
      <c r="N1093" s="17">
        <f>IF(OR(L1093="",L1093=0),"",Параметры!$B$3/L1093)</f>
        <v>16</v>
      </c>
      <c r="O1093" s="15">
        <f>IF(L1093="","",IFERROR(INDEX('Почасовка — ставки и план'!$D$5:$D$24,MATCH($D1093,'Почасовка — ставки и план'!$A$5:$A$24,0)),""))</f>
        <v>850</v>
      </c>
      <c r="P1093" s="15">
        <f>IF(L1093="","",IFERROR(INDEX('Почасовка — ставки и план'!$E$5:$E$24,MATCH($D1093,'Почасовка — ставки и план'!$A$5:$A$24,0)),""))</f>
        <v>1020</v>
      </c>
      <c r="Q1093" s="15">
        <f t="shared" si="89"/>
        <v>425</v>
      </c>
      <c r="R1093" s="13" t="str">
        <f>IF(D1093="TEX","аренда техники — сделка/счёт",IF(OR(Q1093="",H1093="",H1093=0),"—",IF(Q1093&lt;H1093*(1-Параметры!$B$7),"почасовка",IF(Q1093&gt;H1093*(1+Параметры!$B$7),"сделка","любой способ"))))</f>
        <v>почасовка</v>
      </c>
      <c r="S1093">
        <v>0</v>
      </c>
      <c r="T1093">
        <v>0</v>
      </c>
    </row>
    <row r="1094" spans="1:20" x14ac:dyDescent="0.25">
      <c r="A1094" s="13" t="s">
        <v>2231</v>
      </c>
      <c r="B1094" s="13" t="s">
        <v>2232</v>
      </c>
      <c r="C1094" s="13" t="s">
        <v>144</v>
      </c>
      <c r="D1094" s="13" t="s">
        <v>326</v>
      </c>
      <c r="E1094" s="13" t="str">
        <f>IFERROR(INDEX('Почасовка — ставки и план'!$B$5:$B$24,MATCH(D1094,'Почасовка — ставки и план'!$A$5:$A$24,0)),"Аренда техники / механизмы")</f>
        <v>Сантехник</v>
      </c>
      <c r="F1094" s="14">
        <v>1300</v>
      </c>
      <c r="G1094" s="14">
        <v>1495</v>
      </c>
      <c r="H1094" s="15">
        <v>806</v>
      </c>
      <c r="I1094" s="15">
        <f>IF(OR(H1094="",F1094=""),"",MAX(H1094,MIN(ROUND(H1094*(1+Параметры!$B$5),IF(H1094*(1+Параметры!$B$5)&gt;=1000,-1,0)),ROUND(F1094*Параметры!$B$6,IF(F1094*Параметры!$B$6&gt;=1000,-1,0)))))</f>
        <v>927</v>
      </c>
      <c r="J1094" s="15">
        <v>927</v>
      </c>
      <c r="K1094" s="15">
        <f>IF(OR(J1094="",G1094=""),"",MAX(J1094,MIN(ROUND(J1094*(1+Параметры!$B$5),IF(J1094*(1+Параметры!$B$5)&gt;=1000,-1,0)),ROUND(G1094*Параметры!$B$6,IF(G1094*Параметры!$B$6&gt;=1000,-1,0)))))</f>
        <v>1070</v>
      </c>
      <c r="L1094" s="16">
        <v>0.85</v>
      </c>
      <c r="M1094" s="17">
        <f t="shared" si="88"/>
        <v>1.1764705882352942</v>
      </c>
      <c r="N1094" s="17">
        <f>IF(OR(L1094="",L1094=0),"",Параметры!$B$3/L1094)</f>
        <v>9.4117647058823533</v>
      </c>
      <c r="O1094" s="15">
        <f>IF(L1094="","",IFERROR(INDEX('Почасовка — ставки и план'!$D$5:$D$24,MATCH($D1094,'Почасовка — ставки и план'!$A$5:$A$24,0)),""))</f>
        <v>850</v>
      </c>
      <c r="P1094" s="15">
        <f>IF(L1094="","",IFERROR(INDEX('Почасовка — ставки и план'!$E$5:$E$24,MATCH($D1094,'Почасовка — ставки и план'!$A$5:$A$24,0)),""))</f>
        <v>1020</v>
      </c>
      <c r="Q1094" s="15">
        <f t="shared" si="89"/>
        <v>723</v>
      </c>
      <c r="R1094" s="13" t="str">
        <f>IF(D1094="TEX","аренда техники — сделка/счёт",IF(OR(Q1094="",H1094="",H1094=0),"—",IF(Q1094&lt;H1094*(1-Параметры!$B$7),"почасовка",IF(Q1094&gt;H1094*(1+Параметры!$B$7),"сделка","любой способ"))))</f>
        <v>почасовка</v>
      </c>
      <c r="S1094">
        <v>0</v>
      </c>
      <c r="T1094">
        <v>0</v>
      </c>
    </row>
    <row r="1095" spans="1:20" x14ac:dyDescent="0.25">
      <c r="A1095" s="13" t="s">
        <v>2233</v>
      </c>
      <c r="B1095" s="13" t="s">
        <v>2234</v>
      </c>
      <c r="C1095" s="13" t="s">
        <v>152</v>
      </c>
      <c r="D1095" s="13" t="s">
        <v>64</v>
      </c>
      <c r="E1095" s="13" t="str">
        <f>IFERROR(INDEX('Почасовка — ставки и план'!$B$5:$B$24,MATCH(D1095,'Почасовка — ставки и план'!$A$5:$A$24,0)),"Аренда техники / механизмы")</f>
        <v>Сварщик / монтажник МК</v>
      </c>
      <c r="F1095" s="14">
        <v>102000</v>
      </c>
      <c r="G1095" s="14">
        <v>122400</v>
      </c>
      <c r="H1095" s="15">
        <v>46500</v>
      </c>
      <c r="I1095" s="15">
        <f>IF(OR(H1095="",F1095=""),"",MAX(H1095,MIN(ROUND(H1095*(1+Параметры!$B$5),IF(H1095*(1+Параметры!$B$5)&gt;=1000,-1,0)),ROUND(F1095*Параметры!$B$6,IF(F1095*Параметры!$B$6&gt;=1000,-1,0)))))</f>
        <v>53480</v>
      </c>
      <c r="J1095" s="15">
        <v>52545</v>
      </c>
      <c r="K1095" s="15">
        <f>IF(OR(J1095="",G1095=""),"",MAX(J1095,MIN(ROUND(J1095*(1+Параметры!$B$5),IF(J1095*(1+Параметры!$B$5)&gt;=1000,-1,0)),ROUND(G1095*Параметры!$B$6,IF(G1095*Параметры!$B$6&gt;=1000,-1,0)))))</f>
        <v>60430</v>
      </c>
      <c r="L1095" s="16">
        <v>85</v>
      </c>
      <c r="M1095" s="17">
        <f t="shared" si="88"/>
        <v>1.1764705882352941E-2</v>
      </c>
      <c r="N1095" s="17">
        <f>IF(OR(L1095="",L1095=0),"",Параметры!$B$3/L1095)</f>
        <v>9.4117647058823528E-2</v>
      </c>
      <c r="O1095" s="15">
        <f>IF(L1095="","",IFERROR(INDEX('Почасовка — ставки и план'!$D$5:$D$24,MATCH($D1095,'Почасовка — ставки и план'!$A$5:$A$24,0)),""))</f>
        <v>900</v>
      </c>
      <c r="P1095" s="15">
        <f>IF(L1095="","",IFERROR(INDEX('Почасовка — ставки и план'!$E$5:$E$24,MATCH($D1095,'Почасовка — ставки и план'!$A$5:$A$24,0)),""))</f>
        <v>1080</v>
      </c>
      <c r="Q1095" s="15">
        <f t="shared" si="89"/>
        <v>76500</v>
      </c>
      <c r="R1095" s="13" t="str">
        <f>IF(D1095="TEX","аренда техники — сделка/счёт",IF(OR(Q1095="",H1095="",H1095=0),"—",IF(Q1095&lt;H1095*(1-Параметры!$B$7),"почасовка",IF(Q1095&gt;H1095*(1+Параметры!$B$7),"сделка","любой способ"))))</f>
        <v>сделка</v>
      </c>
      <c r="S1095">
        <v>0.3600000000000001</v>
      </c>
      <c r="T1095">
        <v>0.44424778761061939</v>
      </c>
    </row>
    <row r="1096" spans="1:20" x14ac:dyDescent="0.25">
      <c r="A1096" s="13" t="s">
        <v>2235</v>
      </c>
      <c r="B1096" s="13" t="s">
        <v>2236</v>
      </c>
      <c r="C1096" s="13" t="s">
        <v>144</v>
      </c>
      <c r="D1096" s="13" t="s">
        <v>326</v>
      </c>
      <c r="E1096" s="13" t="str">
        <f>IFERROR(INDEX('Почасовка — ставки и план'!$B$5:$B$24,MATCH(D1096,'Почасовка — ставки и план'!$A$5:$A$24,0)),"Аренда техники / механизмы")</f>
        <v>Сантехник</v>
      </c>
      <c r="F1096" s="14">
        <v>2000</v>
      </c>
      <c r="G1096" s="14">
        <v>2300</v>
      </c>
      <c r="H1096" s="15">
        <v>1240</v>
      </c>
      <c r="I1096" s="15">
        <f>IF(OR(H1096="",F1096=""),"",MAX(H1096,MIN(ROUND(H1096*(1+Параметры!$B$5),IF(H1096*(1+Параметры!$B$5)&gt;=1000,-1,0)),ROUND(F1096*Параметры!$B$6,IF(F1096*Параметры!$B$6&gt;=1000,-1,0)))))</f>
        <v>1430</v>
      </c>
      <c r="J1096" s="15">
        <v>1426</v>
      </c>
      <c r="K1096" s="15">
        <f>IF(OR(J1096="",G1096=""),"",MAX(J1096,MIN(ROUND(J1096*(1+Параметры!$B$5),IF(J1096*(1+Параметры!$B$5)&gt;=1000,-1,0)),ROUND(G1096*Параметры!$B$6,IF(G1096*Параметры!$B$6&gt;=1000,-1,0)))))</f>
        <v>1640</v>
      </c>
      <c r="L1096" s="16">
        <v>1.5</v>
      </c>
      <c r="M1096" s="17">
        <f t="shared" si="88"/>
        <v>0.66666666666666663</v>
      </c>
      <c r="N1096" s="17">
        <f>IF(OR(L1096="",L1096=0),"",Параметры!$B$3/L1096)</f>
        <v>5.333333333333333</v>
      </c>
      <c r="O1096" s="15">
        <f>IF(L1096="","",IFERROR(INDEX('Почасовка — ставки и план'!$D$5:$D$24,MATCH($D1096,'Почасовка — ставки и план'!$A$5:$A$24,0)),""))</f>
        <v>850</v>
      </c>
      <c r="P1096" s="15">
        <f>IF(L1096="","",IFERROR(INDEX('Почасовка — ставки и план'!$E$5:$E$24,MATCH($D1096,'Почасовка — ставки и план'!$A$5:$A$24,0)),""))</f>
        <v>1020</v>
      </c>
      <c r="Q1096" s="15">
        <f t="shared" si="89"/>
        <v>1275</v>
      </c>
      <c r="R1096" s="13" t="str">
        <f>IF(D1096="TEX","аренда техники — сделка/счёт",IF(OR(Q1096="",H1096="",H1096=0),"—",IF(Q1096&lt;H1096*(1-Параметры!$B$7),"почасовка",IF(Q1096&gt;H1096*(1+Параметры!$B$7),"сделка","любой способ"))))</f>
        <v>любой способ</v>
      </c>
      <c r="S1096">
        <v>0</v>
      </c>
      <c r="T1096">
        <v>0</v>
      </c>
    </row>
    <row r="1097" spans="1:20" x14ac:dyDescent="0.25">
      <c r="A1097" s="13" t="s">
        <v>2237</v>
      </c>
      <c r="B1097" s="13" t="s">
        <v>2238</v>
      </c>
      <c r="C1097" s="13" t="s">
        <v>144</v>
      </c>
      <c r="D1097" s="13" t="s">
        <v>326</v>
      </c>
      <c r="E1097" s="13" t="str">
        <f>IFERROR(INDEX('Почасовка — ставки и план'!$B$5:$B$24,MATCH(D1097,'Почасовка — ставки и план'!$A$5:$A$24,0)),"Аренда техники / механизмы")</f>
        <v>Сантехник</v>
      </c>
      <c r="F1097" s="14">
        <v>2200</v>
      </c>
      <c r="G1097" s="14">
        <v>2530</v>
      </c>
      <c r="H1097" s="15">
        <v>1364</v>
      </c>
      <c r="I1097" s="15">
        <f>IF(OR(H1097="",F1097=""),"",MAX(H1097,MIN(ROUND(H1097*(1+Параметры!$B$5),IF(H1097*(1+Параметры!$B$5)&gt;=1000,-1,0)),ROUND(F1097*Параметры!$B$6,IF(F1097*Параметры!$B$6&gt;=1000,-1,0)))))</f>
        <v>1570</v>
      </c>
      <c r="J1097" s="15">
        <v>1569</v>
      </c>
      <c r="K1097" s="15">
        <f>IF(OR(J1097="",G1097=""),"",MAX(J1097,MIN(ROUND(J1097*(1+Параметры!$B$5),IF(J1097*(1+Параметры!$B$5)&gt;=1000,-1,0)),ROUND(G1097*Параметры!$B$6,IF(G1097*Параметры!$B$6&gt;=1000,-1,0)))))</f>
        <v>1800</v>
      </c>
      <c r="L1097" s="16">
        <v>1.6</v>
      </c>
      <c r="M1097" s="17">
        <f t="shared" si="88"/>
        <v>0.625</v>
      </c>
      <c r="N1097" s="17">
        <f>IF(OR(L1097="",L1097=0),"",Параметры!$B$3/L1097)</f>
        <v>5</v>
      </c>
      <c r="O1097" s="15">
        <f>IF(L1097="","",IFERROR(INDEX('Почасовка — ставки и план'!$D$5:$D$24,MATCH($D1097,'Почасовка — ставки и план'!$A$5:$A$24,0)),""))</f>
        <v>850</v>
      </c>
      <c r="P1097" s="15">
        <f>IF(L1097="","",IFERROR(INDEX('Почасовка — ставки и план'!$E$5:$E$24,MATCH($D1097,'Почасовка — ставки и план'!$A$5:$A$24,0)),""))</f>
        <v>1020</v>
      </c>
      <c r="Q1097" s="15">
        <f t="shared" si="89"/>
        <v>1360</v>
      </c>
      <c r="R1097" s="13" t="str">
        <f>IF(D1097="TEX","аренда техники — сделка/счёт",IF(OR(Q1097="",H1097="",H1097=0),"—",IF(Q1097&lt;H1097*(1-Параметры!$B$7),"почасовка",IF(Q1097&gt;H1097*(1+Параметры!$B$7),"сделка","любой способ"))))</f>
        <v>любой способ</v>
      </c>
      <c r="S1097">
        <v>0</v>
      </c>
      <c r="T1097">
        <v>0</v>
      </c>
    </row>
    <row r="1098" spans="1:20" x14ac:dyDescent="0.25">
      <c r="A1098" s="13" t="s">
        <v>2239</v>
      </c>
      <c r="B1098" s="13" t="s">
        <v>2240</v>
      </c>
      <c r="C1098" s="13" t="s">
        <v>144</v>
      </c>
      <c r="D1098" s="13" t="s">
        <v>326</v>
      </c>
      <c r="E1098" s="13" t="str">
        <f>IFERROR(INDEX('Почасовка — ставки и план'!$B$5:$B$24,MATCH(D1098,'Почасовка — ставки и план'!$A$5:$A$24,0)),"Аренда техники / механизмы")</f>
        <v>Сантехник</v>
      </c>
      <c r="F1098" s="14">
        <v>5000</v>
      </c>
      <c r="G1098" s="14">
        <v>5750</v>
      </c>
      <c r="H1098" s="15">
        <v>3100</v>
      </c>
      <c r="I1098" s="15">
        <f>IF(OR(H1098="",F1098=""),"",MAX(H1098,MIN(ROUND(H1098*(1+Параметры!$B$5),IF(H1098*(1+Параметры!$B$5)&gt;=1000,-1,0)),ROUND(F1098*Параметры!$B$6,IF(F1098*Параметры!$B$6&gt;=1000,-1,0)))))</f>
        <v>3570</v>
      </c>
      <c r="J1098" s="15">
        <v>3565</v>
      </c>
      <c r="K1098" s="15">
        <f>IF(OR(J1098="",G1098=""),"",MAX(J1098,MIN(ROUND(J1098*(1+Параметры!$B$5),IF(J1098*(1+Параметры!$B$5)&gt;=1000,-1,0)),ROUND(G1098*Параметры!$B$6,IF(G1098*Параметры!$B$6&gt;=1000,-1,0)))))</f>
        <v>4100</v>
      </c>
      <c r="L1098" s="16">
        <v>3.5</v>
      </c>
      <c r="M1098" s="17">
        <f t="shared" si="88"/>
        <v>0.2857142857142857</v>
      </c>
      <c r="N1098" s="17">
        <f>IF(OR(L1098="",L1098=0),"",Параметры!$B$3/L1098)</f>
        <v>2.2857142857142856</v>
      </c>
      <c r="O1098" s="15">
        <f>IF(L1098="","",IFERROR(INDEX('Почасовка — ставки и план'!$D$5:$D$24,MATCH($D1098,'Почасовка — ставки и план'!$A$5:$A$24,0)),""))</f>
        <v>850</v>
      </c>
      <c r="P1098" s="15">
        <f>IF(L1098="","",IFERROR(INDEX('Почасовка — ставки и план'!$E$5:$E$24,MATCH($D1098,'Почасовка — ставки и план'!$A$5:$A$24,0)),""))</f>
        <v>1020</v>
      </c>
      <c r="Q1098" s="15">
        <f t="shared" si="89"/>
        <v>2975</v>
      </c>
      <c r="R1098" s="13" t="str">
        <f>IF(D1098="TEX","аренда техники — сделка/счёт",IF(OR(Q1098="",H1098="",H1098=0),"—",IF(Q1098&lt;H1098*(1-Параметры!$B$7),"почасовка",IF(Q1098&gt;H1098*(1+Параметры!$B$7),"сделка","любой способ"))))</f>
        <v>любой способ</v>
      </c>
      <c r="S1098">
        <v>0</v>
      </c>
      <c r="T1098">
        <v>0</v>
      </c>
    </row>
    <row r="1099" spans="1:20" x14ac:dyDescent="0.25">
      <c r="A1099" s="13" t="s">
        <v>2241</v>
      </c>
      <c r="B1099" s="13" t="s">
        <v>2242</v>
      </c>
      <c r="C1099" s="13" t="s">
        <v>144</v>
      </c>
      <c r="D1099" s="13" t="s">
        <v>326</v>
      </c>
      <c r="E1099" s="13" t="str">
        <f>IFERROR(INDEX('Почасовка — ставки и план'!$B$5:$B$24,MATCH(D1099,'Почасовка — ставки и план'!$A$5:$A$24,0)),"Аренда техники / механизмы")</f>
        <v>Сантехник</v>
      </c>
      <c r="F1099" s="14">
        <v>7500</v>
      </c>
      <c r="G1099" s="14">
        <v>8625</v>
      </c>
      <c r="H1099" s="15">
        <v>4650</v>
      </c>
      <c r="I1099" s="15">
        <f>IF(OR(H1099="",F1099=""),"",MAX(H1099,MIN(ROUND(H1099*(1+Параметры!$B$5),IF(H1099*(1+Параметры!$B$5)&gt;=1000,-1,0)),ROUND(F1099*Параметры!$B$6,IF(F1099*Параметры!$B$6&gt;=1000,-1,0)))))</f>
        <v>5350</v>
      </c>
      <c r="J1099" s="15">
        <v>5348</v>
      </c>
      <c r="K1099" s="15">
        <f>IF(OR(J1099="",G1099=""),"",MAX(J1099,MIN(ROUND(J1099*(1+Параметры!$B$5),IF(J1099*(1+Параметры!$B$5)&gt;=1000,-1,0)),ROUND(G1099*Параметры!$B$6,IF(G1099*Параметры!$B$6&gt;=1000,-1,0)))))</f>
        <v>6150</v>
      </c>
      <c r="L1099" s="16">
        <v>5</v>
      </c>
      <c r="M1099" s="17">
        <f t="shared" si="88"/>
        <v>0.2</v>
      </c>
      <c r="N1099" s="17">
        <f>IF(OR(L1099="",L1099=0),"",Параметры!$B$3/L1099)</f>
        <v>1.6</v>
      </c>
      <c r="O1099" s="15">
        <f>IF(L1099="","",IFERROR(INDEX('Почасовка — ставки и план'!$D$5:$D$24,MATCH($D1099,'Почасовка — ставки и план'!$A$5:$A$24,0)),""))</f>
        <v>850</v>
      </c>
      <c r="P1099" s="15">
        <f>IF(L1099="","",IFERROR(INDEX('Почасовка — ставки и план'!$E$5:$E$24,MATCH($D1099,'Почасовка — ставки и план'!$A$5:$A$24,0)),""))</f>
        <v>1020</v>
      </c>
      <c r="Q1099" s="15">
        <f t="shared" si="89"/>
        <v>4250</v>
      </c>
      <c r="R1099" s="13" t="str">
        <f>IF(D1099="TEX","аренда техники — сделка/счёт",IF(OR(Q1099="",H1099="",H1099=0),"—",IF(Q1099&lt;H1099*(1-Параметры!$B$7),"почасовка",IF(Q1099&gt;H1099*(1+Параметры!$B$7),"сделка","любой способ"))))</f>
        <v>любой способ</v>
      </c>
      <c r="S1099">
        <v>0</v>
      </c>
      <c r="T1099">
        <v>0</v>
      </c>
    </row>
    <row r="1100" spans="1:20" x14ac:dyDescent="0.25">
      <c r="A1100" s="13" t="s">
        <v>2243</v>
      </c>
      <c r="B1100" s="13" t="s">
        <v>2244</v>
      </c>
      <c r="C1100" s="13" t="s">
        <v>144</v>
      </c>
      <c r="D1100" s="13" t="s">
        <v>326</v>
      </c>
      <c r="E1100" s="13" t="str">
        <f>IFERROR(INDEX('Почасовка — ставки и план'!$B$5:$B$24,MATCH(D1100,'Почасовка — ставки и план'!$A$5:$A$24,0)),"Аренда техники / механизмы")</f>
        <v>Сантехник</v>
      </c>
      <c r="F1100" s="14">
        <v>1500</v>
      </c>
      <c r="G1100" s="14">
        <v>1725</v>
      </c>
      <c r="H1100" s="15">
        <v>930</v>
      </c>
      <c r="I1100" s="15">
        <f>IF(OR(H1100="",F1100=""),"",MAX(H1100,MIN(ROUND(H1100*(1+Параметры!$B$5),IF(H1100*(1+Параметры!$B$5)&gt;=1000,-1,0)),ROUND(F1100*Параметры!$B$6,IF(F1100*Параметры!$B$6&gt;=1000,-1,0)))))</f>
        <v>1070</v>
      </c>
      <c r="J1100" s="15">
        <v>1069</v>
      </c>
      <c r="K1100" s="15">
        <f>IF(OR(J1100="",G1100=""),"",MAX(J1100,MIN(ROUND(J1100*(1+Параметры!$B$5),IF(J1100*(1+Параметры!$B$5)&gt;=1000,-1,0)),ROUND(G1100*Параметры!$B$6,IF(G1100*Параметры!$B$6&gt;=1000,-1,0)))))</f>
        <v>1230</v>
      </c>
      <c r="L1100" s="16">
        <v>1</v>
      </c>
      <c r="M1100" s="17">
        <f t="shared" si="88"/>
        <v>1</v>
      </c>
      <c r="N1100" s="17">
        <f>IF(OR(L1100="",L1100=0),"",Параметры!$B$3/L1100)</f>
        <v>8</v>
      </c>
      <c r="O1100" s="15">
        <f>IF(L1100="","",IFERROR(INDEX('Почасовка — ставки и план'!$D$5:$D$24,MATCH($D1100,'Почасовка — ставки и план'!$A$5:$A$24,0)),""))</f>
        <v>850</v>
      </c>
      <c r="P1100" s="15">
        <f>IF(L1100="","",IFERROR(INDEX('Почасовка — ставки и план'!$E$5:$E$24,MATCH($D1100,'Почасовка — ставки и план'!$A$5:$A$24,0)),""))</f>
        <v>1020</v>
      </c>
      <c r="Q1100" s="15">
        <f t="shared" si="89"/>
        <v>850</v>
      </c>
      <c r="R1100" s="13" t="str">
        <f>IF(D1100="TEX","аренда техники — сделка/счёт",IF(OR(Q1100="",H1100="",H1100=0),"—",IF(Q1100&lt;H1100*(1-Параметры!$B$7),"почасовка",IF(Q1100&gt;H1100*(1+Параметры!$B$7),"сделка","любой способ"))))</f>
        <v>любой способ</v>
      </c>
      <c r="S1100">
        <v>0</v>
      </c>
      <c r="T1100">
        <v>0</v>
      </c>
    </row>
    <row r="1101" spans="1:20" x14ac:dyDescent="0.25">
      <c r="A1101" s="13" t="s">
        <v>2245</v>
      </c>
      <c r="B1101" s="13" t="s">
        <v>2246</v>
      </c>
      <c r="C1101" s="13" t="s">
        <v>144</v>
      </c>
      <c r="D1101" s="13" t="s">
        <v>326</v>
      </c>
      <c r="E1101" s="13" t="str">
        <f>IFERROR(INDEX('Почасовка — ставки и план'!$B$5:$B$24,MATCH(D1101,'Почасовка — ставки и план'!$A$5:$A$24,0)),"Аренда техники / механизмы")</f>
        <v>Сантехник</v>
      </c>
      <c r="F1101" s="14">
        <v>3000</v>
      </c>
      <c r="G1101" s="14">
        <v>3450</v>
      </c>
      <c r="H1101" s="15">
        <v>1860</v>
      </c>
      <c r="I1101" s="15">
        <f>IF(OR(H1101="",F1101=""),"",MAX(H1101,MIN(ROUND(H1101*(1+Параметры!$B$5),IF(H1101*(1+Параметры!$B$5)&gt;=1000,-1,0)),ROUND(F1101*Параметры!$B$6,IF(F1101*Параметры!$B$6&gt;=1000,-1,0)))))</f>
        <v>2140</v>
      </c>
      <c r="J1101" s="15">
        <v>2139</v>
      </c>
      <c r="K1101" s="15">
        <f>IF(OR(J1101="",G1101=""),"",MAX(J1101,MIN(ROUND(J1101*(1+Параметры!$B$5),IF(J1101*(1+Параметры!$B$5)&gt;=1000,-1,0)),ROUND(G1101*Параметры!$B$6,IF(G1101*Параметры!$B$6&gt;=1000,-1,0)))))</f>
        <v>2460</v>
      </c>
      <c r="L1101" s="16">
        <v>2</v>
      </c>
      <c r="M1101" s="17">
        <f t="shared" ref="M1101:M1132" si="90">IF(OR(L1101="",L1101=0),"",1/L1101)</f>
        <v>0.5</v>
      </c>
      <c r="N1101" s="17">
        <f>IF(OR(L1101="",L1101=0),"",Параметры!$B$3/L1101)</f>
        <v>4</v>
      </c>
      <c r="O1101" s="15">
        <f>IF(L1101="","",IFERROR(INDEX('Почасовка — ставки и план'!$D$5:$D$24,MATCH($D1101,'Почасовка — ставки и план'!$A$5:$A$24,0)),""))</f>
        <v>850</v>
      </c>
      <c r="P1101" s="15">
        <f>IF(L1101="","",IFERROR(INDEX('Почасовка — ставки и план'!$E$5:$E$24,MATCH($D1101,'Почасовка — ставки и план'!$A$5:$A$24,0)),""))</f>
        <v>1020</v>
      </c>
      <c r="Q1101" s="15">
        <f t="shared" ref="Q1101:Q1120" si="91">IF(OR(L1101="",O1101=""),"",ROUND(L1101*O1101,0))</f>
        <v>1700</v>
      </c>
      <c r="R1101" s="13" t="str">
        <f>IF(D1101="TEX","аренда техники — сделка/счёт",IF(OR(Q1101="",H1101="",H1101=0),"—",IF(Q1101&lt;H1101*(1-Параметры!$B$7),"почасовка",IF(Q1101&gt;H1101*(1+Параметры!$B$7),"сделка","любой способ"))))</f>
        <v>любой способ</v>
      </c>
      <c r="S1101">
        <v>0</v>
      </c>
      <c r="T1101">
        <v>0</v>
      </c>
    </row>
    <row r="1102" spans="1:20" x14ac:dyDescent="0.25">
      <c r="A1102" s="13" t="s">
        <v>2247</v>
      </c>
      <c r="B1102" s="13" t="s">
        <v>2248</v>
      </c>
      <c r="C1102" s="13" t="s">
        <v>144</v>
      </c>
      <c r="D1102" s="13" t="s">
        <v>326</v>
      </c>
      <c r="E1102" s="13" t="str">
        <f>IFERROR(INDEX('Почасовка — ставки и план'!$B$5:$B$24,MATCH(D1102,'Почасовка — ставки и план'!$A$5:$A$24,0)),"Аренда техники / механизмы")</f>
        <v>Сантехник</v>
      </c>
      <c r="F1102" s="14">
        <v>4000</v>
      </c>
      <c r="G1102" s="14">
        <v>4600</v>
      </c>
      <c r="H1102" s="15">
        <v>2480</v>
      </c>
      <c r="I1102" s="15">
        <f>IF(OR(H1102="",F1102=""),"",MAX(H1102,MIN(ROUND(H1102*(1+Параметры!$B$5),IF(H1102*(1+Параметры!$B$5)&gt;=1000,-1,0)),ROUND(F1102*Параметры!$B$6,IF(F1102*Параметры!$B$6&gt;=1000,-1,0)))))</f>
        <v>2850</v>
      </c>
      <c r="J1102" s="15">
        <v>2852</v>
      </c>
      <c r="K1102" s="15">
        <f>IF(OR(J1102="",G1102=""),"",MAX(J1102,MIN(ROUND(J1102*(1+Параметры!$B$5),IF(J1102*(1+Параметры!$B$5)&gt;=1000,-1,0)),ROUND(G1102*Параметры!$B$6,IF(G1102*Параметры!$B$6&gt;=1000,-1,0)))))</f>
        <v>3280</v>
      </c>
      <c r="L1102" s="16">
        <v>2.8</v>
      </c>
      <c r="M1102" s="17">
        <f t="shared" si="90"/>
        <v>0.35714285714285715</v>
      </c>
      <c r="N1102" s="17">
        <f>IF(OR(L1102="",L1102=0),"",Параметры!$B$3/L1102)</f>
        <v>2.8571428571428572</v>
      </c>
      <c r="O1102" s="15">
        <f>IF(L1102="","",IFERROR(INDEX('Почасовка — ставки и план'!$D$5:$D$24,MATCH($D1102,'Почасовка — ставки и план'!$A$5:$A$24,0)),""))</f>
        <v>850</v>
      </c>
      <c r="P1102" s="15">
        <f>IF(L1102="","",IFERROR(INDEX('Почасовка — ставки и план'!$E$5:$E$24,MATCH($D1102,'Почасовка — ставки и план'!$A$5:$A$24,0)),""))</f>
        <v>1020</v>
      </c>
      <c r="Q1102" s="15">
        <f t="shared" si="91"/>
        <v>2380</v>
      </c>
      <c r="R1102" s="13" t="str">
        <f>IF(D1102="TEX","аренда техники — сделка/счёт",IF(OR(Q1102="",H1102="",H1102=0),"—",IF(Q1102&lt;H1102*(1-Параметры!$B$7),"почасовка",IF(Q1102&gt;H1102*(1+Параметры!$B$7),"сделка","любой способ"))))</f>
        <v>любой способ</v>
      </c>
      <c r="S1102">
        <v>0</v>
      </c>
      <c r="T1102">
        <v>0</v>
      </c>
    </row>
    <row r="1103" spans="1:20" x14ac:dyDescent="0.25">
      <c r="A1103" s="13" t="s">
        <v>2249</v>
      </c>
      <c r="B1103" s="13" t="s">
        <v>2250</v>
      </c>
      <c r="C1103" s="13" t="s">
        <v>144</v>
      </c>
      <c r="D1103" s="13" t="s">
        <v>64</v>
      </c>
      <c r="E1103" s="13" t="str">
        <f>IFERROR(INDEX('Почасовка — ставки и план'!$B$5:$B$24,MATCH(D1103,'Почасовка — ставки и план'!$A$5:$A$24,0)),"Аренда техники / механизмы")</f>
        <v>Сварщик / монтажник МК</v>
      </c>
      <c r="F1103" s="14">
        <v>4800</v>
      </c>
      <c r="G1103" s="14">
        <v>5520</v>
      </c>
      <c r="H1103" s="15">
        <v>2976</v>
      </c>
      <c r="I1103" s="15">
        <f>IF(OR(H1103="",F1103=""),"",MAX(H1103,MIN(ROUND(H1103*(1+Параметры!$B$5),IF(H1103*(1+Параметры!$B$5)&gt;=1000,-1,0)),ROUND(F1103*Параметры!$B$6,IF(F1103*Параметры!$B$6&gt;=1000,-1,0)))))</f>
        <v>3420</v>
      </c>
      <c r="J1103" s="15">
        <v>3422</v>
      </c>
      <c r="K1103" s="15">
        <f>IF(OR(J1103="",G1103=""),"",MAX(J1103,MIN(ROUND(J1103*(1+Параметры!$B$5),IF(J1103*(1+Параметры!$B$5)&gt;=1000,-1,0)),ROUND(G1103*Параметры!$B$6,IF(G1103*Параметры!$B$6&gt;=1000,-1,0)))))</f>
        <v>3940</v>
      </c>
      <c r="L1103" s="16">
        <v>3.8</v>
      </c>
      <c r="M1103" s="17">
        <f t="shared" si="90"/>
        <v>0.26315789473684209</v>
      </c>
      <c r="N1103" s="17">
        <f>IF(OR(L1103="",L1103=0),"",Параметры!$B$3/L1103)</f>
        <v>2.1052631578947367</v>
      </c>
      <c r="O1103" s="15">
        <f>IF(L1103="","",IFERROR(INDEX('Почасовка — ставки и план'!$D$5:$D$24,MATCH($D1103,'Почасовка — ставки и план'!$A$5:$A$24,0)),""))</f>
        <v>900</v>
      </c>
      <c r="P1103" s="15">
        <f>IF(L1103="","",IFERROR(INDEX('Почасовка — ставки и план'!$E$5:$E$24,MATCH($D1103,'Почасовка — ставки и план'!$A$5:$A$24,0)),""))</f>
        <v>1080</v>
      </c>
      <c r="Q1103" s="15">
        <f t="shared" si="91"/>
        <v>3420</v>
      </c>
      <c r="R1103" s="13" t="str">
        <f>IF(D1103="TEX","аренда техники — сделка/счёт",IF(OR(Q1103="",H1103="",H1103=0),"—",IF(Q1103&lt;H1103*(1-Параметры!$B$7),"почасовка",IF(Q1103&gt;H1103*(1+Параметры!$B$7),"сделка","любой способ"))))</f>
        <v>сделка</v>
      </c>
      <c r="S1103">
        <v>0</v>
      </c>
      <c r="T1103">
        <v>0</v>
      </c>
    </row>
    <row r="1104" spans="1:20" x14ac:dyDescent="0.25">
      <c r="A1104" s="13" t="s">
        <v>2251</v>
      </c>
      <c r="B1104" s="13" t="s">
        <v>2252</v>
      </c>
      <c r="C1104" s="13" t="s">
        <v>144</v>
      </c>
      <c r="D1104" s="13" t="s">
        <v>64</v>
      </c>
      <c r="E1104" s="13" t="str">
        <f>IFERROR(INDEX('Почасовка — ставки и план'!$B$5:$B$24,MATCH(D1104,'Почасовка — ставки и план'!$A$5:$A$24,0)),"Аренда техники / механизмы")</f>
        <v>Сварщик / монтажник МК</v>
      </c>
      <c r="F1104" s="14">
        <v>8000</v>
      </c>
      <c r="G1104" s="14">
        <v>9200</v>
      </c>
      <c r="H1104" s="15">
        <v>4960</v>
      </c>
      <c r="I1104" s="15">
        <f>IF(OR(H1104="",F1104=""),"",MAX(H1104,MIN(ROUND(H1104*(1+Параметры!$B$5),IF(H1104*(1+Параметры!$B$5)&gt;=1000,-1,0)),ROUND(F1104*Параметры!$B$6,IF(F1104*Параметры!$B$6&gt;=1000,-1,0)))))</f>
        <v>5700</v>
      </c>
      <c r="J1104" s="15">
        <v>5704</v>
      </c>
      <c r="K1104" s="15">
        <f>IF(OR(J1104="",G1104=""),"",MAX(J1104,MIN(ROUND(J1104*(1+Параметры!$B$5),IF(J1104*(1+Параметры!$B$5)&gt;=1000,-1,0)),ROUND(G1104*Параметры!$B$6,IF(G1104*Параметры!$B$6&gt;=1000,-1,0)))))</f>
        <v>6560</v>
      </c>
      <c r="L1104" s="16">
        <v>6</v>
      </c>
      <c r="M1104" s="17">
        <f t="shared" si="90"/>
        <v>0.16666666666666666</v>
      </c>
      <c r="N1104" s="17">
        <f>IF(OR(L1104="",L1104=0),"",Параметры!$B$3/L1104)</f>
        <v>1.3333333333333333</v>
      </c>
      <c r="O1104" s="15">
        <f>IF(L1104="","",IFERROR(INDEX('Почасовка — ставки и план'!$D$5:$D$24,MATCH($D1104,'Почасовка — ставки и план'!$A$5:$A$24,0)),""))</f>
        <v>900</v>
      </c>
      <c r="P1104" s="15">
        <f>IF(L1104="","",IFERROR(INDEX('Почасовка — ставки и план'!$E$5:$E$24,MATCH($D1104,'Почасовка — ставки и план'!$A$5:$A$24,0)),""))</f>
        <v>1080</v>
      </c>
      <c r="Q1104" s="15">
        <f t="shared" si="91"/>
        <v>5400</v>
      </c>
      <c r="R1104" s="13" t="str">
        <f>IF(D1104="TEX","аренда техники — сделка/счёт",IF(OR(Q1104="",H1104="",H1104=0),"—",IF(Q1104&lt;H1104*(1-Параметры!$B$7),"почасовка",IF(Q1104&gt;H1104*(1+Параметры!$B$7),"сделка","любой способ"))))</f>
        <v>любой способ</v>
      </c>
      <c r="S1104">
        <v>0</v>
      </c>
      <c r="T1104">
        <v>0</v>
      </c>
    </row>
    <row r="1105" spans="1:20" x14ac:dyDescent="0.25">
      <c r="A1105" s="13" t="s">
        <v>2253</v>
      </c>
      <c r="B1105" s="13" t="s">
        <v>2254</v>
      </c>
      <c r="C1105" s="13" t="s">
        <v>144</v>
      </c>
      <c r="D1105" s="13" t="s">
        <v>64</v>
      </c>
      <c r="E1105" s="13" t="str">
        <f>IFERROR(INDEX('Почасовка — ставки и план'!$B$5:$B$24,MATCH(D1105,'Почасовка — ставки и план'!$A$5:$A$24,0)),"Аренда техники / механизмы")</f>
        <v>Сварщик / монтажник МК</v>
      </c>
      <c r="F1105" s="14">
        <v>2000</v>
      </c>
      <c r="G1105" s="14">
        <v>2300</v>
      </c>
      <c r="H1105" s="15">
        <v>1240</v>
      </c>
      <c r="I1105" s="15">
        <f>IF(OR(H1105="",F1105=""),"",MAX(H1105,MIN(ROUND(H1105*(1+Параметры!$B$5),IF(H1105*(1+Параметры!$B$5)&gt;=1000,-1,0)),ROUND(F1105*Параметры!$B$6,IF(F1105*Параметры!$B$6&gt;=1000,-1,0)))))</f>
        <v>1430</v>
      </c>
      <c r="J1105" s="15">
        <v>1426</v>
      </c>
      <c r="K1105" s="15">
        <f>IF(OR(J1105="",G1105=""),"",MAX(J1105,MIN(ROUND(J1105*(1+Параметры!$B$5),IF(J1105*(1+Параметры!$B$5)&gt;=1000,-1,0)),ROUND(G1105*Параметры!$B$6,IF(G1105*Параметры!$B$6&gt;=1000,-1,0)))))</f>
        <v>1640</v>
      </c>
      <c r="L1105" s="16">
        <v>1.5</v>
      </c>
      <c r="M1105" s="17">
        <f t="shared" si="90"/>
        <v>0.66666666666666663</v>
      </c>
      <c r="N1105" s="17">
        <f>IF(OR(L1105="",L1105=0),"",Параметры!$B$3/L1105)</f>
        <v>5.333333333333333</v>
      </c>
      <c r="O1105" s="15">
        <f>IF(L1105="","",IFERROR(INDEX('Почасовка — ставки и план'!$D$5:$D$24,MATCH($D1105,'Почасовка — ставки и план'!$A$5:$A$24,0)),""))</f>
        <v>900</v>
      </c>
      <c r="P1105" s="15">
        <f>IF(L1105="","",IFERROR(INDEX('Почасовка — ставки и план'!$E$5:$E$24,MATCH($D1105,'Почасовка — ставки и план'!$A$5:$A$24,0)),""))</f>
        <v>1080</v>
      </c>
      <c r="Q1105" s="15">
        <f t="shared" si="91"/>
        <v>1350</v>
      </c>
      <c r="R1105" s="13" t="str">
        <f>IF(D1105="TEX","аренда техники — сделка/счёт",IF(OR(Q1105="",H1105="",H1105=0),"—",IF(Q1105&lt;H1105*(1-Параметры!$B$7),"почасовка",IF(Q1105&gt;H1105*(1+Параметры!$B$7),"сделка","любой способ"))))</f>
        <v>любой способ</v>
      </c>
      <c r="S1105">
        <v>0</v>
      </c>
      <c r="T1105">
        <v>0</v>
      </c>
    </row>
    <row r="1106" spans="1:20" x14ac:dyDescent="0.25">
      <c r="A1106" s="13" t="s">
        <v>2255</v>
      </c>
      <c r="B1106" s="13" t="s">
        <v>2256</v>
      </c>
      <c r="C1106" s="13" t="s">
        <v>144</v>
      </c>
      <c r="D1106" s="13" t="s">
        <v>64</v>
      </c>
      <c r="E1106" s="13" t="str">
        <f>IFERROR(INDEX('Почасовка — ставки и план'!$B$5:$B$24,MATCH(D1106,'Почасовка — ставки и план'!$A$5:$A$24,0)),"Аренда техники / механизмы")</f>
        <v>Сварщик / монтажник МК</v>
      </c>
      <c r="F1106" s="14">
        <v>2800</v>
      </c>
      <c r="G1106" s="14">
        <v>3220</v>
      </c>
      <c r="H1106" s="15">
        <v>1736</v>
      </c>
      <c r="I1106" s="15">
        <f>IF(OR(H1106="",F1106=""),"",MAX(H1106,MIN(ROUND(H1106*(1+Параметры!$B$5),IF(H1106*(1+Параметры!$B$5)&gt;=1000,-1,0)),ROUND(F1106*Параметры!$B$6,IF(F1106*Параметры!$B$6&gt;=1000,-1,0)))))</f>
        <v>2000</v>
      </c>
      <c r="J1106" s="15">
        <v>1996</v>
      </c>
      <c r="K1106" s="15">
        <f>IF(OR(J1106="",G1106=""),"",MAX(J1106,MIN(ROUND(J1106*(1+Параметры!$B$5),IF(J1106*(1+Параметры!$B$5)&gt;=1000,-1,0)),ROUND(G1106*Параметры!$B$6,IF(G1106*Параметры!$B$6&gt;=1000,-1,0)))))</f>
        <v>2300</v>
      </c>
      <c r="L1106" s="16">
        <v>2.2000000000000002</v>
      </c>
      <c r="M1106" s="17">
        <f t="shared" si="90"/>
        <v>0.45454545454545453</v>
      </c>
      <c r="N1106" s="17">
        <f>IF(OR(L1106="",L1106=0),"",Параметры!$B$3/L1106)</f>
        <v>3.6363636363636362</v>
      </c>
      <c r="O1106" s="15">
        <f>IF(L1106="","",IFERROR(INDEX('Почасовка — ставки и план'!$D$5:$D$24,MATCH($D1106,'Почасовка — ставки и план'!$A$5:$A$24,0)),""))</f>
        <v>900</v>
      </c>
      <c r="P1106" s="15">
        <f>IF(L1106="","",IFERROR(INDEX('Почасовка — ставки и план'!$E$5:$E$24,MATCH($D1106,'Почасовка — ставки и план'!$A$5:$A$24,0)),""))</f>
        <v>1080</v>
      </c>
      <c r="Q1106" s="15">
        <f t="shared" si="91"/>
        <v>1980</v>
      </c>
      <c r="R1106" s="13" t="str">
        <f>IF(D1106="TEX","аренда техники — сделка/счёт",IF(OR(Q1106="",H1106="",H1106=0),"—",IF(Q1106&lt;H1106*(1-Параметры!$B$7),"почасовка",IF(Q1106&gt;H1106*(1+Параметры!$B$7),"сделка","любой способ"))))</f>
        <v>сделка</v>
      </c>
      <c r="S1106">
        <v>0</v>
      </c>
      <c r="T1106">
        <v>0</v>
      </c>
    </row>
    <row r="1107" spans="1:20" x14ac:dyDescent="0.25">
      <c r="A1107" s="13" t="s">
        <v>2257</v>
      </c>
      <c r="B1107" s="13" t="s">
        <v>2258</v>
      </c>
      <c r="C1107" s="13" t="s">
        <v>144</v>
      </c>
      <c r="D1107" s="13" t="s">
        <v>326</v>
      </c>
      <c r="E1107" s="13" t="str">
        <f>IFERROR(INDEX('Почасовка — ставки и план'!$B$5:$B$24,MATCH(D1107,'Почасовка — ставки и план'!$A$5:$A$24,0)),"Аренда техники / механизмы")</f>
        <v>Сантехник</v>
      </c>
      <c r="F1107" s="14">
        <v>2000</v>
      </c>
      <c r="G1107" s="14">
        <v>2300</v>
      </c>
      <c r="H1107" s="15">
        <v>1240</v>
      </c>
      <c r="I1107" s="15">
        <f>IF(OR(H1107="",F1107=""),"",MAX(H1107,MIN(ROUND(H1107*(1+Параметры!$B$5),IF(H1107*(1+Параметры!$B$5)&gt;=1000,-1,0)),ROUND(F1107*Параметры!$B$6,IF(F1107*Параметры!$B$6&gt;=1000,-1,0)))))</f>
        <v>1430</v>
      </c>
      <c r="J1107" s="15">
        <v>1426</v>
      </c>
      <c r="K1107" s="15">
        <f>IF(OR(J1107="",G1107=""),"",MAX(J1107,MIN(ROUND(J1107*(1+Параметры!$B$5),IF(J1107*(1+Параметры!$B$5)&gt;=1000,-1,0)),ROUND(G1107*Параметры!$B$6,IF(G1107*Параметры!$B$6&gt;=1000,-1,0)))))</f>
        <v>1640</v>
      </c>
      <c r="L1107" s="16">
        <v>1.5</v>
      </c>
      <c r="M1107" s="17">
        <f t="shared" si="90"/>
        <v>0.66666666666666663</v>
      </c>
      <c r="N1107" s="17">
        <f>IF(OR(L1107="",L1107=0),"",Параметры!$B$3/L1107)</f>
        <v>5.333333333333333</v>
      </c>
      <c r="O1107" s="15">
        <f>IF(L1107="","",IFERROR(INDEX('Почасовка — ставки и план'!$D$5:$D$24,MATCH($D1107,'Почасовка — ставки и план'!$A$5:$A$24,0)),""))</f>
        <v>850</v>
      </c>
      <c r="P1107" s="15">
        <f>IF(L1107="","",IFERROR(INDEX('Почасовка — ставки и план'!$E$5:$E$24,MATCH($D1107,'Почасовка — ставки и план'!$A$5:$A$24,0)),""))</f>
        <v>1020</v>
      </c>
      <c r="Q1107" s="15">
        <f t="shared" si="91"/>
        <v>1275</v>
      </c>
      <c r="R1107" s="13" t="str">
        <f>IF(D1107="TEX","аренда техники — сделка/счёт",IF(OR(Q1107="",H1107="",H1107=0),"—",IF(Q1107&lt;H1107*(1-Параметры!$B$7),"почасовка",IF(Q1107&gt;H1107*(1+Параметры!$B$7),"сделка","любой способ"))))</f>
        <v>любой способ</v>
      </c>
      <c r="S1107">
        <v>0</v>
      </c>
      <c r="T1107">
        <v>0</v>
      </c>
    </row>
    <row r="1108" spans="1:20" x14ac:dyDescent="0.25">
      <c r="A1108" s="18" t="s">
        <v>2259</v>
      </c>
      <c r="B1108" s="13" t="s">
        <v>2260</v>
      </c>
      <c r="C1108" s="13" t="s">
        <v>144</v>
      </c>
      <c r="D1108" s="13" t="s">
        <v>326</v>
      </c>
      <c r="E1108" s="13" t="str">
        <f>IFERROR(INDEX('Почасовка — ставки и план'!$B$5:$B$24,MATCH(D1108,'Почасовка — ставки и план'!$A$5:$A$24,0)),"Аренда техники / механизмы")</f>
        <v>Сантехник</v>
      </c>
      <c r="F1108" s="14">
        <v>1200</v>
      </c>
      <c r="G1108" s="14">
        <v>1380</v>
      </c>
      <c r="H1108" s="15">
        <v>744</v>
      </c>
      <c r="I1108" s="15">
        <f>IF(OR(H1108="",F1108=""),"",MAX(H1108,MIN(ROUND(H1108*(1+Параметры!$B$5),IF(H1108*(1+Параметры!$B$5)&gt;=1000,-1,0)),ROUND(F1108*Параметры!$B$6,IF(F1108*Параметры!$B$6&gt;=1000,-1,0)))))</f>
        <v>856</v>
      </c>
      <c r="J1108" s="15">
        <v>856</v>
      </c>
      <c r="K1108" s="15">
        <f>IF(OR(J1108="",G1108=""),"",MAX(J1108,MIN(ROUND(J1108*(1+Параметры!$B$5),IF(J1108*(1+Параметры!$B$5)&gt;=1000,-1,0)),ROUND(G1108*Параметры!$B$6,IF(G1108*Параметры!$B$6&gt;=1000,-1,0)))))</f>
        <v>984</v>
      </c>
      <c r="L1108" s="16">
        <v>0.8</v>
      </c>
      <c r="M1108" s="17">
        <f t="shared" si="90"/>
        <v>1.25</v>
      </c>
      <c r="N1108" s="17">
        <f>IF(OR(L1108="",L1108=0),"",Параметры!$B$3/L1108)</f>
        <v>10</v>
      </c>
      <c r="O1108" s="15">
        <f>IF(L1108="","",IFERROR(INDEX('Почасовка — ставки и план'!$D$5:$D$24,MATCH($D1108,'Почасовка — ставки и план'!$A$5:$A$24,0)),""))</f>
        <v>850</v>
      </c>
      <c r="P1108" s="15">
        <f>IF(L1108="","",IFERROR(INDEX('Почасовка — ставки и план'!$E$5:$E$24,MATCH($D1108,'Почасовка — ставки и план'!$A$5:$A$24,0)),""))</f>
        <v>1020</v>
      </c>
      <c r="Q1108" s="15">
        <f t="shared" si="91"/>
        <v>680</v>
      </c>
      <c r="R1108" s="13" t="str">
        <f>IF(D1108="TEX","аренда техники — сделка/счёт",IF(OR(Q1108="",H1108="",H1108=0),"—",IF(Q1108&lt;H1108*(1-Параметры!$B$7),"почасовка",IF(Q1108&gt;H1108*(1+Параметры!$B$7),"сделка","любой способ"))))</f>
        <v>любой способ</v>
      </c>
      <c r="S1108">
        <v>0</v>
      </c>
      <c r="T1108">
        <v>0</v>
      </c>
    </row>
    <row r="1109" spans="1:20" x14ac:dyDescent="0.25">
      <c r="A1109" s="18" t="s">
        <v>2261</v>
      </c>
      <c r="B1109" s="13" t="s">
        <v>2262</v>
      </c>
      <c r="C1109" s="13" t="s">
        <v>144</v>
      </c>
      <c r="D1109" s="13" t="s">
        <v>326</v>
      </c>
      <c r="E1109" s="13" t="str">
        <f>IFERROR(INDEX('Почасовка — ставки и план'!$B$5:$B$24,MATCH(D1109,'Почасовка — ставки и план'!$A$5:$A$24,0)),"Аренда техники / механизмы")</f>
        <v>Сантехник</v>
      </c>
      <c r="F1109" s="14">
        <v>1100</v>
      </c>
      <c r="G1109" s="14">
        <v>1265</v>
      </c>
      <c r="H1109" s="15">
        <v>682</v>
      </c>
      <c r="I1109" s="15">
        <f>IF(OR(H1109="",F1109=""),"",MAX(H1109,MIN(ROUND(H1109*(1+Параметры!$B$5),IF(H1109*(1+Параметры!$B$5)&gt;=1000,-1,0)),ROUND(F1109*Параметры!$B$6,IF(F1109*Параметры!$B$6&gt;=1000,-1,0)))))</f>
        <v>784</v>
      </c>
      <c r="J1109" s="15">
        <v>784</v>
      </c>
      <c r="K1109" s="15">
        <f>IF(OR(J1109="",G1109=""),"",MAX(J1109,MIN(ROUND(J1109*(1+Параметры!$B$5),IF(J1109*(1+Параметры!$B$5)&gt;=1000,-1,0)),ROUND(G1109*Параметры!$B$6,IF(G1109*Параметры!$B$6&gt;=1000,-1,0)))))</f>
        <v>902</v>
      </c>
      <c r="L1109" s="16">
        <v>0.7</v>
      </c>
      <c r="M1109" s="17">
        <f t="shared" si="90"/>
        <v>1.4285714285714286</v>
      </c>
      <c r="N1109" s="17">
        <f>IF(OR(L1109="",L1109=0),"",Параметры!$B$3/L1109)</f>
        <v>11.428571428571429</v>
      </c>
      <c r="O1109" s="15">
        <f>IF(L1109="","",IFERROR(INDEX('Почасовка — ставки и план'!$D$5:$D$24,MATCH($D1109,'Почасовка — ставки и план'!$A$5:$A$24,0)),""))</f>
        <v>850</v>
      </c>
      <c r="P1109" s="15">
        <f>IF(L1109="","",IFERROR(INDEX('Почасовка — ставки и план'!$E$5:$E$24,MATCH($D1109,'Почасовка — ставки и план'!$A$5:$A$24,0)),""))</f>
        <v>1020</v>
      </c>
      <c r="Q1109" s="15">
        <f t="shared" si="91"/>
        <v>595</v>
      </c>
      <c r="R1109" s="13" t="str">
        <f>IF(D1109="TEX","аренда техники — сделка/счёт",IF(OR(Q1109="",H1109="",H1109=0),"—",IF(Q1109&lt;H1109*(1-Параметры!$B$7),"почасовка",IF(Q1109&gt;H1109*(1+Параметры!$B$7),"сделка","любой способ"))))</f>
        <v>почасовка</v>
      </c>
      <c r="S1109">
        <v>0</v>
      </c>
      <c r="T1109">
        <v>0</v>
      </c>
    </row>
    <row r="1110" spans="1:20" x14ac:dyDescent="0.25">
      <c r="A1110" s="18" t="s">
        <v>2263</v>
      </c>
      <c r="B1110" s="13" t="s">
        <v>2264</v>
      </c>
      <c r="C1110" s="13" t="s">
        <v>144</v>
      </c>
      <c r="D1110" s="13" t="s">
        <v>326</v>
      </c>
      <c r="E1110" s="13" t="str">
        <f>IFERROR(INDEX('Почасовка — ставки и план'!$B$5:$B$24,MATCH(D1110,'Почасовка — ставки и план'!$A$5:$A$24,0)),"Аренда техники / механизмы")</f>
        <v>Сантехник</v>
      </c>
      <c r="F1110" s="14">
        <v>2500</v>
      </c>
      <c r="G1110" s="14">
        <v>2875</v>
      </c>
      <c r="H1110" s="15">
        <v>1550</v>
      </c>
      <c r="I1110" s="15">
        <f>IF(OR(H1110="",F1110=""),"",MAX(H1110,MIN(ROUND(H1110*(1+Параметры!$B$5),IF(H1110*(1+Параметры!$B$5)&gt;=1000,-1,0)),ROUND(F1110*Параметры!$B$6,IF(F1110*Параметры!$B$6&gt;=1000,-1,0)))))</f>
        <v>1780</v>
      </c>
      <c r="J1110" s="15">
        <v>1782</v>
      </c>
      <c r="K1110" s="15">
        <f>IF(OR(J1110="",G1110=""),"",MAX(J1110,MIN(ROUND(J1110*(1+Параметры!$B$5),IF(J1110*(1+Параметры!$B$5)&gt;=1000,-1,0)),ROUND(G1110*Параметры!$B$6,IF(G1110*Параметры!$B$6&gt;=1000,-1,0)))))</f>
        <v>2050</v>
      </c>
      <c r="L1110" s="16">
        <v>1.8</v>
      </c>
      <c r="M1110" s="17">
        <f t="shared" si="90"/>
        <v>0.55555555555555558</v>
      </c>
      <c r="N1110" s="17">
        <f>IF(OR(L1110="",L1110=0),"",Параметры!$B$3/L1110)</f>
        <v>4.4444444444444446</v>
      </c>
      <c r="O1110" s="15">
        <f>IF(L1110="","",IFERROR(INDEX('Почасовка — ставки и план'!$D$5:$D$24,MATCH($D1110,'Почасовка — ставки и план'!$A$5:$A$24,0)),""))</f>
        <v>850</v>
      </c>
      <c r="P1110" s="15">
        <f>IF(L1110="","",IFERROR(INDEX('Почасовка — ставки и план'!$E$5:$E$24,MATCH($D1110,'Почасовка — ставки и план'!$A$5:$A$24,0)),""))</f>
        <v>1020</v>
      </c>
      <c r="Q1110" s="15">
        <f t="shared" si="91"/>
        <v>1530</v>
      </c>
      <c r="R1110" s="13" t="str">
        <f>IF(D1110="TEX","аренда техники — сделка/счёт",IF(OR(Q1110="",H1110="",H1110=0),"—",IF(Q1110&lt;H1110*(1-Параметры!$B$7),"почасовка",IF(Q1110&gt;H1110*(1+Параметры!$B$7),"сделка","любой способ"))))</f>
        <v>любой способ</v>
      </c>
      <c r="S1110">
        <v>0</v>
      </c>
      <c r="T1110">
        <v>0</v>
      </c>
    </row>
    <row r="1111" spans="1:20" x14ac:dyDescent="0.25">
      <c r="A1111" s="18" t="s">
        <v>2265</v>
      </c>
      <c r="B1111" s="13" t="s">
        <v>2266</v>
      </c>
      <c r="C1111" s="13" t="s">
        <v>144</v>
      </c>
      <c r="D1111" s="13" t="s">
        <v>326</v>
      </c>
      <c r="E1111" s="13" t="str">
        <f>IFERROR(INDEX('Почасовка — ставки и план'!$B$5:$B$24,MATCH(D1111,'Почасовка — ставки и план'!$A$5:$A$24,0)),"Аренда техники / механизмы")</f>
        <v>Сантехник</v>
      </c>
      <c r="F1111" s="14">
        <v>2500</v>
      </c>
      <c r="G1111" s="14">
        <v>2875</v>
      </c>
      <c r="H1111" s="15">
        <v>1550</v>
      </c>
      <c r="I1111" s="15">
        <f>IF(OR(H1111="",F1111=""),"",MAX(H1111,MIN(ROUND(H1111*(1+Параметры!$B$5),IF(H1111*(1+Параметры!$B$5)&gt;=1000,-1,0)),ROUND(F1111*Параметры!$B$6,IF(F1111*Параметры!$B$6&gt;=1000,-1,0)))))</f>
        <v>1780</v>
      </c>
      <c r="J1111" s="15">
        <v>1782</v>
      </c>
      <c r="K1111" s="15">
        <f>IF(OR(J1111="",G1111=""),"",MAX(J1111,MIN(ROUND(J1111*(1+Параметры!$B$5),IF(J1111*(1+Параметры!$B$5)&gt;=1000,-1,0)),ROUND(G1111*Параметры!$B$6,IF(G1111*Параметры!$B$6&gt;=1000,-1,0)))))</f>
        <v>2050</v>
      </c>
      <c r="L1111" s="16">
        <v>1.8</v>
      </c>
      <c r="M1111" s="17">
        <f t="shared" si="90"/>
        <v>0.55555555555555558</v>
      </c>
      <c r="N1111" s="17">
        <f>IF(OR(L1111="",L1111=0),"",Параметры!$B$3/L1111)</f>
        <v>4.4444444444444446</v>
      </c>
      <c r="O1111" s="15">
        <f>IF(L1111="","",IFERROR(INDEX('Почасовка — ставки и план'!$D$5:$D$24,MATCH($D1111,'Почасовка — ставки и план'!$A$5:$A$24,0)),""))</f>
        <v>850</v>
      </c>
      <c r="P1111" s="15">
        <f>IF(L1111="","",IFERROR(INDEX('Почасовка — ставки и план'!$E$5:$E$24,MATCH($D1111,'Почасовка — ставки и план'!$A$5:$A$24,0)),""))</f>
        <v>1020</v>
      </c>
      <c r="Q1111" s="15">
        <f t="shared" si="91"/>
        <v>1530</v>
      </c>
      <c r="R1111" s="13" t="str">
        <f>IF(D1111="TEX","аренда техники — сделка/счёт",IF(OR(Q1111="",H1111="",H1111=0),"—",IF(Q1111&lt;H1111*(1-Параметры!$B$7),"почасовка",IF(Q1111&gt;H1111*(1+Параметры!$B$7),"сделка","любой способ"))))</f>
        <v>любой способ</v>
      </c>
      <c r="S1111">
        <v>0</v>
      </c>
      <c r="T1111">
        <v>0</v>
      </c>
    </row>
    <row r="1112" spans="1:20" x14ac:dyDescent="0.25">
      <c r="A1112" s="18" t="s">
        <v>2267</v>
      </c>
      <c r="B1112" s="13" t="s">
        <v>2268</v>
      </c>
      <c r="C1112" s="13" t="s">
        <v>144</v>
      </c>
      <c r="D1112" s="13" t="s">
        <v>326</v>
      </c>
      <c r="E1112" s="13" t="str">
        <f>IFERROR(INDEX('Почасовка — ставки и план'!$B$5:$B$24,MATCH(D1112,'Почасовка — ставки и план'!$A$5:$A$24,0)),"Аренда техники / механизмы")</f>
        <v>Сантехник</v>
      </c>
      <c r="F1112" s="14">
        <v>6000</v>
      </c>
      <c r="G1112" s="14">
        <v>6900</v>
      </c>
      <c r="H1112" s="15">
        <v>3720</v>
      </c>
      <c r="I1112" s="15">
        <f>IF(OR(H1112="",F1112=""),"",MAX(H1112,MIN(ROUND(H1112*(1+Параметры!$B$5),IF(H1112*(1+Параметры!$B$5)&gt;=1000,-1,0)),ROUND(F1112*Параметры!$B$6,IF(F1112*Параметры!$B$6&gt;=1000,-1,0)))))</f>
        <v>4280</v>
      </c>
      <c r="J1112" s="15">
        <v>4278</v>
      </c>
      <c r="K1112" s="15">
        <f>IF(OR(J1112="",G1112=""),"",MAX(J1112,MIN(ROUND(J1112*(1+Параметры!$B$5),IF(J1112*(1+Параметры!$B$5)&gt;=1000,-1,0)),ROUND(G1112*Параметры!$B$6,IF(G1112*Параметры!$B$6&gt;=1000,-1,0)))))</f>
        <v>4920</v>
      </c>
      <c r="L1112" s="16">
        <v>4</v>
      </c>
      <c r="M1112" s="17">
        <f t="shared" si="90"/>
        <v>0.25</v>
      </c>
      <c r="N1112" s="17">
        <f>IF(OR(L1112="",L1112=0),"",Параметры!$B$3/L1112)</f>
        <v>2</v>
      </c>
      <c r="O1112" s="15">
        <f>IF(L1112="","",IFERROR(INDEX('Почасовка — ставки и план'!$D$5:$D$24,MATCH($D1112,'Почасовка — ставки и план'!$A$5:$A$24,0)),""))</f>
        <v>850</v>
      </c>
      <c r="P1112" s="15">
        <f>IF(L1112="","",IFERROR(INDEX('Почасовка — ставки и план'!$E$5:$E$24,MATCH($D1112,'Почасовка — ставки и план'!$A$5:$A$24,0)),""))</f>
        <v>1020</v>
      </c>
      <c r="Q1112" s="15">
        <f t="shared" si="91"/>
        <v>3400</v>
      </c>
      <c r="R1112" s="13" t="str">
        <f>IF(D1112="TEX","аренда техники — сделка/счёт",IF(OR(Q1112="",H1112="",H1112=0),"—",IF(Q1112&lt;H1112*(1-Параметры!$B$7),"почасовка",IF(Q1112&gt;H1112*(1+Параметры!$B$7),"сделка","любой способ"))))</f>
        <v>любой способ</v>
      </c>
      <c r="S1112">
        <v>0</v>
      </c>
      <c r="T1112">
        <v>0</v>
      </c>
    </row>
    <row r="1113" spans="1:20" x14ac:dyDescent="0.25">
      <c r="A1113" s="18" t="s">
        <v>2269</v>
      </c>
      <c r="B1113" s="13" t="s">
        <v>2270</v>
      </c>
      <c r="C1113" s="13" t="s">
        <v>144</v>
      </c>
      <c r="D1113" s="13" t="s">
        <v>326</v>
      </c>
      <c r="E1113" s="13" t="str">
        <f>IFERROR(INDEX('Почасовка — ставки и план'!$B$5:$B$24,MATCH(D1113,'Почасовка — ставки и план'!$A$5:$A$24,0)),"Аренда техники / механизмы")</f>
        <v>Сантехник</v>
      </c>
      <c r="F1113" s="14">
        <v>500</v>
      </c>
      <c r="G1113" s="14">
        <v>575</v>
      </c>
      <c r="H1113" s="15">
        <v>310</v>
      </c>
      <c r="I1113" s="15">
        <f>IF(OR(H1113="",F1113=""),"",MAX(H1113,MIN(ROUND(H1113*(1+Параметры!$B$5),IF(H1113*(1+Параметры!$B$5)&gt;=1000,-1,0)),ROUND(F1113*Параметры!$B$6,IF(F1113*Параметры!$B$6&gt;=1000,-1,0)))))</f>
        <v>357</v>
      </c>
      <c r="J1113" s="15">
        <v>356</v>
      </c>
      <c r="K1113" s="15">
        <f>IF(OR(J1113="",G1113=""),"",MAX(J1113,MIN(ROUND(J1113*(1+Параметры!$B$5),IF(J1113*(1+Параметры!$B$5)&gt;=1000,-1,0)),ROUND(G1113*Параметры!$B$6,IF(G1113*Параметры!$B$6&gt;=1000,-1,0)))))</f>
        <v>409</v>
      </c>
      <c r="L1113" s="16">
        <v>0.3</v>
      </c>
      <c r="M1113" s="17">
        <f t="shared" si="90"/>
        <v>3.3333333333333335</v>
      </c>
      <c r="N1113" s="17">
        <f>IF(OR(L1113="",L1113=0),"",Параметры!$B$3/L1113)</f>
        <v>26.666666666666668</v>
      </c>
      <c r="O1113" s="15">
        <f>IF(L1113="","",IFERROR(INDEX('Почасовка — ставки и план'!$D$5:$D$24,MATCH($D1113,'Почасовка — ставки и план'!$A$5:$A$24,0)),""))</f>
        <v>850</v>
      </c>
      <c r="P1113" s="15">
        <f>IF(L1113="","",IFERROR(INDEX('Почасовка — ставки и план'!$E$5:$E$24,MATCH($D1113,'Почасовка — ставки и план'!$A$5:$A$24,0)),""))</f>
        <v>1020</v>
      </c>
      <c r="Q1113" s="15">
        <f t="shared" si="91"/>
        <v>255</v>
      </c>
      <c r="R1113" s="13" t="str">
        <f>IF(D1113="TEX","аренда техники — сделка/счёт",IF(OR(Q1113="",H1113="",H1113=0),"—",IF(Q1113&lt;H1113*(1-Параметры!$B$7),"почасовка",IF(Q1113&gt;H1113*(1+Параметры!$B$7),"сделка","любой способ"))))</f>
        <v>почасовка</v>
      </c>
      <c r="S1113">
        <v>0</v>
      </c>
      <c r="T1113">
        <v>0</v>
      </c>
    </row>
    <row r="1114" spans="1:20" x14ac:dyDescent="0.25">
      <c r="A1114" s="18" t="s">
        <v>2271</v>
      </c>
      <c r="B1114" s="13" t="s">
        <v>2272</v>
      </c>
      <c r="C1114" s="13" t="s">
        <v>69</v>
      </c>
      <c r="D1114" s="13" t="s">
        <v>326</v>
      </c>
      <c r="E1114" s="13" t="str">
        <f>IFERROR(INDEX('Почасовка — ставки и план'!$B$5:$B$24,MATCH(D1114,'Почасовка — ставки и план'!$A$5:$A$24,0)),"Аренда техники / механизмы")</f>
        <v>Сантехник</v>
      </c>
      <c r="F1114" s="14">
        <v>60</v>
      </c>
      <c r="G1114" s="14">
        <v>69</v>
      </c>
      <c r="H1114" s="15">
        <v>37</v>
      </c>
      <c r="I1114" s="15">
        <f>IF(OR(H1114="",F1114=""),"",MAX(H1114,MIN(ROUND(H1114*(1+Параметры!$B$5),IF(H1114*(1+Параметры!$B$5)&gt;=1000,-1,0)),ROUND(F1114*Параметры!$B$6,IF(F1114*Параметры!$B$6&gt;=1000,-1,0)))))</f>
        <v>43</v>
      </c>
      <c r="J1114" s="15">
        <v>43</v>
      </c>
      <c r="K1114" s="15">
        <f>IF(OR(J1114="",G1114=""),"",MAX(J1114,MIN(ROUND(J1114*(1+Параметры!$B$5),IF(J1114*(1+Параметры!$B$5)&gt;=1000,-1,0)),ROUND(G1114*Параметры!$B$6,IF(G1114*Параметры!$B$6&gt;=1000,-1,0)))))</f>
        <v>49</v>
      </c>
      <c r="L1114" s="16">
        <v>0.04</v>
      </c>
      <c r="M1114" s="17">
        <f t="shared" si="90"/>
        <v>25</v>
      </c>
      <c r="N1114" s="17">
        <f>IF(OR(L1114="",L1114=0),"",Параметры!$B$3/L1114)</f>
        <v>200</v>
      </c>
      <c r="O1114" s="15">
        <f>IF(L1114="","",IFERROR(INDEX('Почасовка — ставки и план'!$D$5:$D$24,MATCH($D1114,'Почасовка — ставки и план'!$A$5:$A$24,0)),""))</f>
        <v>850</v>
      </c>
      <c r="P1114" s="15">
        <f>IF(L1114="","",IFERROR(INDEX('Почасовка — ставки и план'!$E$5:$E$24,MATCH($D1114,'Почасовка — ставки и план'!$A$5:$A$24,0)),""))</f>
        <v>1020</v>
      </c>
      <c r="Q1114" s="15">
        <f t="shared" si="91"/>
        <v>34</v>
      </c>
      <c r="R1114" s="13" t="str">
        <f>IF(D1114="TEX","аренда техники — сделка/счёт",IF(OR(Q1114="",H1114="",H1114=0),"—",IF(Q1114&lt;H1114*(1-Параметры!$B$7),"почасовка",IF(Q1114&gt;H1114*(1+Параметры!$B$7),"сделка","любой способ"))))</f>
        <v>любой способ</v>
      </c>
      <c r="S1114">
        <v>0</v>
      </c>
      <c r="T1114">
        <v>0</v>
      </c>
    </row>
    <row r="1115" spans="1:20" x14ac:dyDescent="0.25">
      <c r="A1115" s="18" t="s">
        <v>2273</v>
      </c>
      <c r="B1115" s="13" t="s">
        <v>2274</v>
      </c>
      <c r="C1115" s="13" t="s">
        <v>144</v>
      </c>
      <c r="D1115" s="13" t="s">
        <v>326</v>
      </c>
      <c r="E1115" s="13" t="str">
        <f>IFERROR(INDEX('Почасовка — ставки и план'!$B$5:$B$24,MATCH(D1115,'Почасовка — ставки и план'!$A$5:$A$24,0)),"Аренда техники / механизмы")</f>
        <v>Сантехник</v>
      </c>
      <c r="F1115" s="14">
        <v>300</v>
      </c>
      <c r="G1115" s="14">
        <v>345</v>
      </c>
      <c r="H1115" s="15">
        <v>186</v>
      </c>
      <c r="I1115" s="15">
        <f>IF(OR(H1115="",F1115=""),"",MAX(H1115,MIN(ROUND(H1115*(1+Параметры!$B$5),IF(H1115*(1+Параметры!$B$5)&gt;=1000,-1,0)),ROUND(F1115*Параметры!$B$6,IF(F1115*Параметры!$B$6&gt;=1000,-1,0)))))</f>
        <v>214</v>
      </c>
      <c r="J1115" s="15">
        <v>214</v>
      </c>
      <c r="K1115" s="15">
        <f>IF(OR(J1115="",G1115=""),"",MAX(J1115,MIN(ROUND(J1115*(1+Параметры!$B$5),IF(J1115*(1+Параметры!$B$5)&gt;=1000,-1,0)),ROUND(G1115*Параметры!$B$6,IF(G1115*Параметры!$B$6&gt;=1000,-1,0)))))</f>
        <v>246</v>
      </c>
      <c r="L1115" s="16">
        <v>0.25</v>
      </c>
      <c r="M1115" s="17">
        <f t="shared" si="90"/>
        <v>4</v>
      </c>
      <c r="N1115" s="17">
        <f>IF(OR(L1115="",L1115=0),"",Параметры!$B$3/L1115)</f>
        <v>32</v>
      </c>
      <c r="O1115" s="15">
        <f>IF(L1115="","",IFERROR(INDEX('Почасовка — ставки и план'!$D$5:$D$24,MATCH($D1115,'Почасовка — ставки и план'!$A$5:$A$24,0)),""))</f>
        <v>850</v>
      </c>
      <c r="P1115" s="15">
        <f>IF(L1115="","",IFERROR(INDEX('Почасовка — ставки и план'!$E$5:$E$24,MATCH($D1115,'Почасовка — ставки и план'!$A$5:$A$24,0)),""))</f>
        <v>1020</v>
      </c>
      <c r="Q1115" s="15">
        <f t="shared" si="91"/>
        <v>213</v>
      </c>
      <c r="R1115" s="13" t="str">
        <f>IF(D1115="TEX","аренда техники — сделка/счёт",IF(OR(Q1115="",H1115="",H1115=0),"—",IF(Q1115&lt;H1115*(1-Параметры!$B$7),"почасовка",IF(Q1115&gt;H1115*(1+Параметры!$B$7),"сделка","любой способ"))))</f>
        <v>сделка</v>
      </c>
      <c r="S1115">
        <v>0</v>
      </c>
      <c r="T1115">
        <v>0</v>
      </c>
    </row>
    <row r="1116" spans="1:20" x14ac:dyDescent="0.25">
      <c r="A1116" s="18" t="s">
        <v>2275</v>
      </c>
      <c r="B1116" s="13" t="s">
        <v>2276</v>
      </c>
      <c r="C1116" s="13" t="s">
        <v>144</v>
      </c>
      <c r="D1116" s="13" t="s">
        <v>326</v>
      </c>
      <c r="E1116" s="13" t="str">
        <f>IFERROR(INDEX('Почасовка — ставки и план'!$B$5:$B$24,MATCH(D1116,'Почасовка — ставки и план'!$A$5:$A$24,0)),"Аренда техники / механизмы")</f>
        <v>Сантехник</v>
      </c>
      <c r="F1116" s="14">
        <v>900</v>
      </c>
      <c r="G1116" s="14">
        <v>1035</v>
      </c>
      <c r="H1116" s="15">
        <v>558</v>
      </c>
      <c r="I1116" s="15">
        <f>IF(OR(H1116="",F1116=""),"",MAX(H1116,MIN(ROUND(H1116*(1+Параметры!$B$5),IF(H1116*(1+Параметры!$B$5)&gt;=1000,-1,0)),ROUND(F1116*Параметры!$B$6,IF(F1116*Параметры!$B$6&gt;=1000,-1,0)))))</f>
        <v>642</v>
      </c>
      <c r="J1116" s="15">
        <v>642</v>
      </c>
      <c r="K1116" s="15">
        <f>IF(OR(J1116="",G1116=""),"",MAX(J1116,MIN(ROUND(J1116*(1+Параметры!$B$5),IF(J1116*(1+Параметры!$B$5)&gt;=1000,-1,0)),ROUND(G1116*Параметры!$B$6,IF(G1116*Параметры!$B$6&gt;=1000,-1,0)))))</f>
        <v>738</v>
      </c>
      <c r="L1116" s="16">
        <v>0.5</v>
      </c>
      <c r="M1116" s="17">
        <f t="shared" si="90"/>
        <v>2</v>
      </c>
      <c r="N1116" s="17">
        <f>IF(OR(L1116="",L1116=0),"",Параметры!$B$3/L1116)</f>
        <v>16</v>
      </c>
      <c r="O1116" s="15">
        <f>IF(L1116="","",IFERROR(INDEX('Почасовка — ставки и план'!$D$5:$D$24,MATCH($D1116,'Почасовка — ставки и план'!$A$5:$A$24,0)),""))</f>
        <v>850</v>
      </c>
      <c r="P1116" s="15">
        <f>IF(L1116="","",IFERROR(INDEX('Почасовка — ставки и план'!$E$5:$E$24,MATCH($D1116,'Почасовка — ставки и план'!$A$5:$A$24,0)),""))</f>
        <v>1020</v>
      </c>
      <c r="Q1116" s="15">
        <f t="shared" si="91"/>
        <v>425</v>
      </c>
      <c r="R1116" s="13" t="str">
        <f>IF(D1116="TEX","аренда техники — сделка/счёт",IF(OR(Q1116="",H1116="",H1116=0),"—",IF(Q1116&lt;H1116*(1-Параметры!$B$7),"почасовка",IF(Q1116&gt;H1116*(1+Параметры!$B$7),"сделка","любой способ"))))</f>
        <v>почасовка</v>
      </c>
      <c r="S1116">
        <v>0</v>
      </c>
      <c r="T1116">
        <v>0</v>
      </c>
    </row>
    <row r="1117" spans="1:20" x14ac:dyDescent="0.25">
      <c r="A1117" s="18" t="s">
        <v>2277</v>
      </c>
      <c r="B1117" s="13" t="s">
        <v>2278</v>
      </c>
      <c r="C1117" s="13" t="s">
        <v>144</v>
      </c>
      <c r="D1117" s="13" t="s">
        <v>326</v>
      </c>
      <c r="E1117" s="13" t="str">
        <f>IFERROR(INDEX('Почасовка — ставки и план'!$B$5:$B$24,MATCH(D1117,'Почасовка — ставки и план'!$A$5:$A$24,0)),"Аренда техники / механизмы")</f>
        <v>Сантехник</v>
      </c>
      <c r="F1117" s="14">
        <v>25000</v>
      </c>
      <c r="G1117" s="14">
        <v>30000</v>
      </c>
      <c r="H1117" s="15">
        <v>15500</v>
      </c>
      <c r="I1117" s="15">
        <f>IF(OR(H1117="",F1117=""),"",MAX(H1117,MIN(ROUND(H1117*(1+Параметры!$B$5),IF(H1117*(1+Параметры!$B$5)&gt;=1000,-1,0)),ROUND(F1117*Параметры!$B$6,IF(F1117*Параметры!$B$6&gt;=1000,-1,0)))))</f>
        <v>17830</v>
      </c>
      <c r="J1117" s="15">
        <v>18600</v>
      </c>
      <c r="K1117" s="15">
        <f>IF(OR(J1117="",G1117=""),"",MAX(J1117,MIN(ROUND(J1117*(1+Параметры!$B$5),IF(J1117*(1+Параметры!$B$5)&gt;=1000,-1,0)),ROUND(G1117*Параметры!$B$6,IF(G1117*Параметры!$B$6&gt;=1000,-1,0)))))</f>
        <v>21390</v>
      </c>
      <c r="L1117" s="16">
        <v>16</v>
      </c>
      <c r="M1117" s="17">
        <f t="shared" si="90"/>
        <v>6.25E-2</v>
      </c>
      <c r="N1117" s="17">
        <f>IF(OR(L1117="",L1117=0),"",Параметры!$B$3/L1117)</f>
        <v>0.5</v>
      </c>
      <c r="O1117" s="15">
        <f>IF(L1117="","",IFERROR(INDEX('Почасовка — ставки и план'!$D$5:$D$24,MATCH($D1117,'Почасовка — ставки и план'!$A$5:$A$24,0)),""))</f>
        <v>850</v>
      </c>
      <c r="P1117" s="15">
        <f>IF(L1117="","",IFERROR(INDEX('Почасовка — ставки и план'!$E$5:$E$24,MATCH($D1117,'Почасовка — ставки и план'!$A$5:$A$24,0)),""))</f>
        <v>1020</v>
      </c>
      <c r="Q1117" s="15">
        <f t="shared" si="91"/>
        <v>13600</v>
      </c>
      <c r="R1117" s="13" t="str">
        <f>IF(D1117="TEX","аренда техники — сделка/счёт",IF(OR(Q1117="",H1117="",H1117=0),"—",IF(Q1117&lt;H1117*(1-Параметры!$B$7),"почасовка",IF(Q1117&gt;H1117*(1+Параметры!$B$7),"сделка","любой способ"))))</f>
        <v>почасовка</v>
      </c>
      <c r="S1117">
        <v>0</v>
      </c>
      <c r="T1117">
        <v>0</v>
      </c>
    </row>
    <row r="1118" spans="1:20" x14ac:dyDescent="0.25">
      <c r="A1118" s="18" t="s">
        <v>2279</v>
      </c>
      <c r="B1118" s="13" t="s">
        <v>2280</v>
      </c>
      <c r="C1118" s="13" t="s">
        <v>69</v>
      </c>
      <c r="D1118" s="13" t="s">
        <v>60</v>
      </c>
      <c r="E1118" s="13" t="str">
        <f>IFERROR(INDEX('Почасовка — ставки и план'!$B$5:$B$24,MATCH(D1118,'Почасовка — ставки и план'!$A$5:$A$24,0)),"Аренда техники / механизмы")</f>
        <v>Разнорабочий / демонтажник</v>
      </c>
      <c r="F1118" s="14">
        <v>120</v>
      </c>
      <c r="G1118" s="14">
        <v>138</v>
      </c>
      <c r="H1118" s="15">
        <v>72</v>
      </c>
      <c r="I1118" s="15">
        <f>IF(OR(H1118="",F1118=""),"",MAX(H1118,MIN(ROUND(H1118*(1+Параметры!$B$5),IF(H1118*(1+Параметры!$B$5)&gt;=1000,-1,0)),ROUND(F1118*Параметры!$B$6,IF(F1118*Параметры!$B$6&gt;=1000,-1,0)))))</f>
        <v>83</v>
      </c>
      <c r="J1118" s="15">
        <v>83</v>
      </c>
      <c r="K1118" s="15">
        <f>IF(OR(J1118="",G1118=""),"",MAX(J1118,MIN(ROUND(J1118*(1+Параметры!$B$5),IF(J1118*(1+Параметры!$B$5)&gt;=1000,-1,0)),ROUND(G1118*Параметры!$B$6,IF(G1118*Параметры!$B$6&gt;=1000,-1,0)))))</f>
        <v>95</v>
      </c>
      <c r="L1118" s="16">
        <v>0.12</v>
      </c>
      <c r="M1118" s="17">
        <f t="shared" si="90"/>
        <v>8.3333333333333339</v>
      </c>
      <c r="N1118" s="17">
        <f>IF(OR(L1118="",L1118=0),"",Параметры!$B$3/L1118)</f>
        <v>66.666666666666671</v>
      </c>
      <c r="O1118" s="15">
        <f>IF(L1118="","",IFERROR(INDEX('Почасовка — ставки и план'!$D$5:$D$24,MATCH($D1118,'Почасовка — ставки и план'!$A$5:$A$24,0)),""))</f>
        <v>550</v>
      </c>
      <c r="P1118" s="15">
        <f>IF(L1118="","",IFERROR(INDEX('Почасовка — ставки и план'!$E$5:$E$24,MATCH($D1118,'Почасовка — ставки и план'!$A$5:$A$24,0)),""))</f>
        <v>660</v>
      </c>
      <c r="Q1118" s="15">
        <f t="shared" si="91"/>
        <v>66</v>
      </c>
      <c r="R1118" s="13" t="str">
        <f>IF(D1118="TEX","аренда техники — сделка/счёт",IF(OR(Q1118="",H1118="",H1118=0),"—",IF(Q1118&lt;H1118*(1-Параметры!$B$7),"почасовка",IF(Q1118&gt;H1118*(1+Параметры!$B$7),"сделка","любой способ"))))</f>
        <v>любой способ</v>
      </c>
      <c r="S1118">
        <v>0</v>
      </c>
      <c r="T1118">
        <v>0</v>
      </c>
    </row>
    <row r="1119" spans="1:20" x14ac:dyDescent="0.25">
      <c r="A1119" s="18" t="s">
        <v>2281</v>
      </c>
      <c r="B1119" s="13" t="s">
        <v>2282</v>
      </c>
      <c r="C1119" s="13" t="s">
        <v>144</v>
      </c>
      <c r="D1119" s="13" t="s">
        <v>326</v>
      </c>
      <c r="E1119" s="13" t="str">
        <f>IFERROR(INDEX('Почасовка — ставки и план'!$B$5:$B$24,MATCH(D1119,'Почасовка — ставки и план'!$A$5:$A$24,0)),"Аренда техники / механизмы")</f>
        <v>Сантехник</v>
      </c>
      <c r="F1119" s="14">
        <v>900</v>
      </c>
      <c r="G1119" s="14">
        <v>1035</v>
      </c>
      <c r="H1119" s="15">
        <v>558</v>
      </c>
      <c r="I1119" s="15">
        <f>IF(OR(H1119="",F1119=""),"",MAX(H1119,MIN(ROUND(H1119*(1+Параметры!$B$5),IF(H1119*(1+Параметры!$B$5)&gt;=1000,-1,0)),ROUND(F1119*Параметры!$B$6,IF(F1119*Параметры!$B$6&gt;=1000,-1,0)))))</f>
        <v>642</v>
      </c>
      <c r="J1119" s="15">
        <v>642</v>
      </c>
      <c r="K1119" s="15">
        <f>IF(OR(J1119="",G1119=""),"",MAX(J1119,MIN(ROUND(J1119*(1+Параметры!$B$5),IF(J1119*(1+Параметры!$B$5)&gt;=1000,-1,0)),ROUND(G1119*Параметры!$B$6,IF(G1119*Параметры!$B$6&gt;=1000,-1,0)))))</f>
        <v>738</v>
      </c>
      <c r="L1119" s="16">
        <v>0.6</v>
      </c>
      <c r="M1119" s="17">
        <f t="shared" si="90"/>
        <v>1.6666666666666667</v>
      </c>
      <c r="N1119" s="17">
        <f>IF(OR(L1119="",L1119=0),"",Параметры!$B$3/L1119)</f>
        <v>13.333333333333334</v>
      </c>
      <c r="O1119" s="15">
        <f>IF(L1119="","",IFERROR(INDEX('Почасовка — ставки и план'!$D$5:$D$24,MATCH($D1119,'Почасовка — ставки и план'!$A$5:$A$24,0)),""))</f>
        <v>850</v>
      </c>
      <c r="P1119" s="15">
        <f>IF(L1119="","",IFERROR(INDEX('Почасовка — ставки и план'!$E$5:$E$24,MATCH($D1119,'Почасовка — ставки и план'!$A$5:$A$24,0)),""))</f>
        <v>1020</v>
      </c>
      <c r="Q1119" s="15">
        <f t="shared" si="91"/>
        <v>510</v>
      </c>
      <c r="R1119" s="13" t="str">
        <f>IF(D1119="TEX","аренда техники — сделка/счёт",IF(OR(Q1119="",H1119="",H1119=0),"—",IF(Q1119&lt;H1119*(1-Параметры!$B$7),"почасовка",IF(Q1119&gt;H1119*(1+Параметры!$B$7),"сделка","любой способ"))))</f>
        <v>любой способ</v>
      </c>
      <c r="S1119">
        <v>0</v>
      </c>
      <c r="T1119">
        <v>0</v>
      </c>
    </row>
    <row r="1120" spans="1:20" x14ac:dyDescent="0.25">
      <c r="A1120" s="18" t="s">
        <v>2283</v>
      </c>
      <c r="B1120" s="13" t="s">
        <v>2284</v>
      </c>
      <c r="C1120" s="13" t="s">
        <v>756</v>
      </c>
      <c r="D1120" s="13" t="s">
        <v>326</v>
      </c>
      <c r="E1120" s="13" t="str">
        <f>IFERROR(INDEX('Почасовка — ставки и план'!$B$5:$B$24,MATCH(D1120,'Почасовка — ставки и план'!$A$5:$A$24,0)),"Аренда техники / механизмы")</f>
        <v>Сантехник</v>
      </c>
      <c r="F1120" s="14">
        <v>4500</v>
      </c>
      <c r="G1120" s="14">
        <v>5175</v>
      </c>
      <c r="H1120" s="15">
        <v>2790</v>
      </c>
      <c r="I1120" s="15">
        <f>IF(OR(H1120="",F1120=""),"",MAX(H1120,MIN(ROUND(H1120*(1+Параметры!$B$5),IF(H1120*(1+Параметры!$B$5)&gt;=1000,-1,0)),ROUND(F1120*Параметры!$B$6,IF(F1120*Параметры!$B$6&gt;=1000,-1,0)))))</f>
        <v>3210</v>
      </c>
      <c r="J1120" s="15">
        <v>3208</v>
      </c>
      <c r="K1120" s="15">
        <f>IF(OR(J1120="",G1120=""),"",MAX(J1120,MIN(ROUND(J1120*(1+Параметры!$B$5),IF(J1120*(1+Параметры!$B$5)&gt;=1000,-1,0)),ROUND(G1120*Параметры!$B$6,IF(G1120*Параметры!$B$6&gt;=1000,-1,0)))))</f>
        <v>3690</v>
      </c>
      <c r="L1120" s="16">
        <v>3</v>
      </c>
      <c r="M1120" s="17">
        <f t="shared" si="90"/>
        <v>0.33333333333333331</v>
      </c>
      <c r="N1120" s="17">
        <f>IF(OR(L1120="",L1120=0),"",Параметры!$B$3/L1120)</f>
        <v>2.6666666666666665</v>
      </c>
      <c r="O1120" s="15">
        <f>IF(L1120="","",IFERROR(INDEX('Почасовка — ставки и план'!$D$5:$D$24,MATCH($D1120,'Почасовка — ставки и план'!$A$5:$A$24,0)),""))</f>
        <v>850</v>
      </c>
      <c r="P1120" s="15">
        <f>IF(L1120="","",IFERROR(INDEX('Почасовка — ставки и план'!$E$5:$E$24,MATCH($D1120,'Почасовка — ставки и план'!$A$5:$A$24,0)),""))</f>
        <v>1020</v>
      </c>
      <c r="Q1120" s="15">
        <f t="shared" si="91"/>
        <v>2550</v>
      </c>
      <c r="R1120" s="13" t="str">
        <f>IF(D1120="TEX","аренда техники — сделка/счёт",IF(OR(Q1120="",H1120="",H1120=0),"—",IF(Q1120&lt;H1120*(1-Параметры!$B$7),"почасовка",IF(Q1120&gt;H1120*(1+Параметры!$B$7),"сделка","любой способ"))))</f>
        <v>любой способ</v>
      </c>
      <c r="S1120">
        <v>0</v>
      </c>
      <c r="T1120">
        <v>0</v>
      </c>
    </row>
    <row r="1121" spans="1:20" x14ac:dyDescent="0.25">
      <c r="A1121" s="11" t="s">
        <v>2285</v>
      </c>
      <c r="B1121" s="12"/>
      <c r="C1121" s="12"/>
      <c r="D1121" s="12"/>
      <c r="E1121" s="12"/>
      <c r="F1121" s="12"/>
      <c r="G1121" s="12"/>
      <c r="H1121" s="12"/>
      <c r="I1121" s="12"/>
      <c r="J1121" s="12"/>
      <c r="K1121" s="12"/>
      <c r="L1121" s="12"/>
      <c r="M1121" s="12"/>
      <c r="N1121" s="12"/>
      <c r="O1121" s="12"/>
      <c r="P1121" s="12"/>
      <c r="Q1121" s="12"/>
      <c r="R1121" s="12"/>
    </row>
    <row r="1122" spans="1:20" x14ac:dyDescent="0.25">
      <c r="A1122" s="13" t="s">
        <v>2286</v>
      </c>
      <c r="B1122" s="13" t="s">
        <v>2287</v>
      </c>
      <c r="C1122" s="13" t="s">
        <v>144</v>
      </c>
      <c r="D1122" s="13" t="s">
        <v>299</v>
      </c>
      <c r="E1122" s="13" t="str">
        <f>IFERROR(INDEX('Почасовка — ставки и план'!$B$5:$B$24,MATCH(D1122,'Почасовка — ставки и план'!$A$5:$A$24,0)),"Аренда техники / механизмы")</f>
        <v>Холодильщик / монтажник кондиционеров</v>
      </c>
      <c r="F1122" s="14">
        <v>2500</v>
      </c>
      <c r="G1122" s="14">
        <v>2900</v>
      </c>
      <c r="H1122" s="15">
        <v>1500</v>
      </c>
      <c r="I1122" s="15">
        <f>IF(OR(H1122="",F1122=""),"",MAX(H1122,MIN(ROUND(H1122*(1+Параметры!$B$5),IF(H1122*(1+Параметры!$B$5)&gt;=1000,-1,0)),ROUND(F1122*Параметры!$B$6,IF(F1122*Параметры!$B$6&gt;=1000,-1,0)))))</f>
        <v>1730</v>
      </c>
      <c r="J1122" s="15">
        <v>1740</v>
      </c>
      <c r="K1122" s="15">
        <f>IF(OR(J1122="",G1122=""),"",MAX(J1122,MIN(ROUND(J1122*(1+Параметры!$B$5),IF(J1122*(1+Параметры!$B$5)&gt;=1000,-1,0)),ROUND(G1122*Параметры!$B$6,IF(G1122*Параметры!$B$6&gt;=1000,-1,0)))))</f>
        <v>2000</v>
      </c>
      <c r="L1122" s="16">
        <v>0.75</v>
      </c>
      <c r="M1122" s="17">
        <f t="shared" ref="M1122:M1185" si="92">IF(OR(L1122="",L1122=0),"",1/L1122)</f>
        <v>1.3333333333333333</v>
      </c>
      <c r="N1122" s="17">
        <f>IF(OR(L1122="",L1122=0),"",Параметры!$B$3/L1122)</f>
        <v>10.666666666666666</v>
      </c>
      <c r="O1122" s="15">
        <f>IF(L1122="","",IFERROR(INDEX('Почасовка — ставки и план'!$D$5:$D$24,MATCH($D1122,'Почасовка — ставки и план'!$A$5:$A$24,0)),""))</f>
        <v>1200</v>
      </c>
      <c r="P1122" s="15">
        <f>IF(L1122="","",IFERROR(INDEX('Почасовка — ставки и план'!$E$5:$E$24,MATCH($D1122,'Почасовка — ставки и план'!$A$5:$A$24,0)),""))</f>
        <v>1440</v>
      </c>
      <c r="Q1122" s="15">
        <f t="shared" ref="Q1122:Q1185" si="93">IF(OR(L1122="",O1122=""),"",ROUND(L1122*O1122,0))</f>
        <v>900</v>
      </c>
      <c r="R1122" s="13" t="str">
        <f>IF(D1122="TEX","аренда техники — сделка/счёт",IF(OR(Q1122="",H1122="",H1122=0),"—",IF(Q1122&lt;H1122*(1-Параметры!$B$7),"почасовка",IF(Q1122&gt;H1122*(1+Параметры!$B$7),"сделка","любой способ"))))</f>
        <v>почасовка</v>
      </c>
      <c r="S1122">
        <v>0</v>
      </c>
      <c r="T1122">
        <v>0</v>
      </c>
    </row>
    <row r="1123" spans="1:20" x14ac:dyDescent="0.25">
      <c r="A1123" s="13" t="s">
        <v>2288</v>
      </c>
      <c r="B1123" s="13" t="s">
        <v>2289</v>
      </c>
      <c r="C1123" s="13" t="s">
        <v>144</v>
      </c>
      <c r="D1123" s="13" t="s">
        <v>299</v>
      </c>
      <c r="E1123" s="13" t="str">
        <f>IFERROR(INDEX('Почасовка — ставки и план'!$B$5:$B$24,MATCH(D1123,'Почасовка — ставки и план'!$A$5:$A$24,0)),"Аренда техники / механизмы")</f>
        <v>Холодильщик / монтажник кондиционеров</v>
      </c>
      <c r="F1123" s="14">
        <v>3000</v>
      </c>
      <c r="G1123" s="14">
        <v>3500</v>
      </c>
      <c r="H1123" s="15">
        <v>1800</v>
      </c>
      <c r="I1123" s="15">
        <f>IF(OR(H1123="",F1123=""),"",MAX(H1123,MIN(ROUND(H1123*(1+Параметры!$B$5),IF(H1123*(1+Параметры!$B$5)&gt;=1000,-1,0)),ROUND(F1123*Параметры!$B$6,IF(F1123*Параметры!$B$6&gt;=1000,-1,0)))))</f>
        <v>2070</v>
      </c>
      <c r="J1123" s="15">
        <v>2100</v>
      </c>
      <c r="K1123" s="15">
        <f>IF(OR(J1123="",G1123=""),"",MAX(J1123,MIN(ROUND(J1123*(1+Параметры!$B$5),IF(J1123*(1+Параметры!$B$5)&gt;=1000,-1,0)),ROUND(G1123*Параметры!$B$6,IF(G1123*Параметры!$B$6&gt;=1000,-1,0)))))</f>
        <v>2420</v>
      </c>
      <c r="L1123" s="16">
        <v>1</v>
      </c>
      <c r="M1123" s="17">
        <f t="shared" si="92"/>
        <v>1</v>
      </c>
      <c r="N1123" s="17">
        <f>IF(OR(L1123="",L1123=0),"",Параметры!$B$3/L1123)</f>
        <v>8</v>
      </c>
      <c r="O1123" s="15">
        <f>IF(L1123="","",IFERROR(INDEX('Почасовка — ставки и план'!$D$5:$D$24,MATCH($D1123,'Почасовка — ставки и план'!$A$5:$A$24,0)),""))</f>
        <v>1200</v>
      </c>
      <c r="P1123" s="15">
        <f>IF(L1123="","",IFERROR(INDEX('Почасовка — ставки и план'!$E$5:$E$24,MATCH($D1123,'Почасовка — ставки и план'!$A$5:$A$24,0)),""))</f>
        <v>1440</v>
      </c>
      <c r="Q1123" s="15">
        <f t="shared" si="93"/>
        <v>1200</v>
      </c>
      <c r="R1123" s="13" t="str">
        <f>IF(D1123="TEX","аренда техники — сделка/счёт",IF(OR(Q1123="",H1123="",H1123=0),"—",IF(Q1123&lt;H1123*(1-Параметры!$B$7),"почасовка",IF(Q1123&gt;H1123*(1+Параметры!$B$7),"сделка","любой способ"))))</f>
        <v>почасовка</v>
      </c>
      <c r="S1123">
        <v>0</v>
      </c>
      <c r="T1123">
        <v>0</v>
      </c>
    </row>
    <row r="1124" spans="1:20" x14ac:dyDescent="0.25">
      <c r="A1124" s="13" t="s">
        <v>2290</v>
      </c>
      <c r="B1124" s="13" t="s">
        <v>2291</v>
      </c>
      <c r="C1124" s="13" t="s">
        <v>144</v>
      </c>
      <c r="D1124" s="13" t="s">
        <v>299</v>
      </c>
      <c r="E1124" s="13" t="str">
        <f>IFERROR(INDEX('Почасовка — ставки и план'!$B$5:$B$24,MATCH(D1124,'Почасовка — ставки и план'!$A$5:$A$24,0)),"Аренда техники / механизмы")</f>
        <v>Холодильщик / монтажник кондиционеров</v>
      </c>
      <c r="F1124" s="14">
        <v>3500</v>
      </c>
      <c r="G1124" s="14">
        <v>4000</v>
      </c>
      <c r="H1124" s="15">
        <v>2100</v>
      </c>
      <c r="I1124" s="15">
        <f>IF(OR(H1124="",F1124=""),"",MAX(H1124,MIN(ROUND(H1124*(1+Параметры!$B$5),IF(H1124*(1+Параметры!$B$5)&gt;=1000,-1,0)),ROUND(F1124*Параметры!$B$6,IF(F1124*Параметры!$B$6&gt;=1000,-1,0)))))</f>
        <v>2420</v>
      </c>
      <c r="J1124" s="15">
        <v>2400</v>
      </c>
      <c r="K1124" s="15">
        <f>IF(OR(J1124="",G1124=""),"",MAX(J1124,MIN(ROUND(J1124*(1+Параметры!$B$5),IF(J1124*(1+Параметры!$B$5)&gt;=1000,-1,0)),ROUND(G1124*Параметры!$B$6,IF(G1124*Параметры!$B$6&gt;=1000,-1,0)))))</f>
        <v>2760</v>
      </c>
      <c r="L1124" s="16">
        <v>1.25</v>
      </c>
      <c r="M1124" s="17">
        <f t="shared" si="92"/>
        <v>0.8</v>
      </c>
      <c r="N1124" s="17">
        <f>IF(OR(L1124="",L1124=0),"",Параметры!$B$3/L1124)</f>
        <v>6.4</v>
      </c>
      <c r="O1124" s="15">
        <f>IF(L1124="","",IFERROR(INDEX('Почасовка — ставки и план'!$D$5:$D$24,MATCH($D1124,'Почасовка — ставки и план'!$A$5:$A$24,0)),""))</f>
        <v>1200</v>
      </c>
      <c r="P1124" s="15">
        <f>IF(L1124="","",IFERROR(INDEX('Почасовка — ставки и план'!$E$5:$E$24,MATCH($D1124,'Почасовка — ставки и план'!$A$5:$A$24,0)),""))</f>
        <v>1440</v>
      </c>
      <c r="Q1124" s="15">
        <f t="shared" si="93"/>
        <v>1500</v>
      </c>
      <c r="R1124" s="13" t="str">
        <f>IF(D1124="TEX","аренда техники — сделка/счёт",IF(OR(Q1124="",H1124="",H1124=0),"—",IF(Q1124&lt;H1124*(1-Параметры!$B$7),"почасовка",IF(Q1124&gt;H1124*(1+Параметры!$B$7),"сделка","любой способ"))))</f>
        <v>почасовка</v>
      </c>
      <c r="S1124">
        <v>0</v>
      </c>
      <c r="T1124">
        <v>0</v>
      </c>
    </row>
    <row r="1125" spans="1:20" x14ac:dyDescent="0.25">
      <c r="A1125" s="13" t="s">
        <v>2292</v>
      </c>
      <c r="B1125" s="13" t="s">
        <v>2293</v>
      </c>
      <c r="C1125" s="13" t="s">
        <v>144</v>
      </c>
      <c r="D1125" s="13" t="s">
        <v>299</v>
      </c>
      <c r="E1125" s="13" t="str">
        <f>IFERROR(INDEX('Почасовка — ставки и план'!$B$5:$B$24,MATCH(D1125,'Почасовка — ставки и план'!$A$5:$A$24,0)),"Аренда техники / механизмы")</f>
        <v>Холодильщик / монтажник кондиционеров</v>
      </c>
      <c r="F1125" s="14">
        <v>4000</v>
      </c>
      <c r="G1125" s="14">
        <v>4600</v>
      </c>
      <c r="H1125" s="15">
        <v>2400</v>
      </c>
      <c r="I1125" s="15">
        <f>IF(OR(H1125="",F1125=""),"",MAX(H1125,MIN(ROUND(H1125*(1+Параметры!$B$5),IF(H1125*(1+Параметры!$B$5)&gt;=1000,-1,0)),ROUND(F1125*Параметры!$B$6,IF(F1125*Параметры!$B$6&gt;=1000,-1,0)))))</f>
        <v>2760</v>
      </c>
      <c r="J1125" s="15">
        <v>2760</v>
      </c>
      <c r="K1125" s="15">
        <f>IF(OR(J1125="",G1125=""),"",MAX(J1125,MIN(ROUND(J1125*(1+Параметры!$B$5),IF(J1125*(1+Параметры!$B$5)&gt;=1000,-1,0)),ROUND(G1125*Параметры!$B$6,IF(G1125*Параметры!$B$6&gt;=1000,-1,0)))))</f>
        <v>3170</v>
      </c>
      <c r="L1125" s="16">
        <v>1.5</v>
      </c>
      <c r="M1125" s="17">
        <f t="shared" si="92"/>
        <v>0.66666666666666663</v>
      </c>
      <c r="N1125" s="17">
        <f>IF(OR(L1125="",L1125=0),"",Параметры!$B$3/L1125)</f>
        <v>5.333333333333333</v>
      </c>
      <c r="O1125" s="15">
        <f>IF(L1125="","",IFERROR(INDEX('Почасовка — ставки и план'!$D$5:$D$24,MATCH($D1125,'Почасовка — ставки и план'!$A$5:$A$24,0)),""))</f>
        <v>1200</v>
      </c>
      <c r="P1125" s="15">
        <f>IF(L1125="","",IFERROR(INDEX('Почасовка — ставки и план'!$E$5:$E$24,MATCH($D1125,'Почасовка — ставки и план'!$A$5:$A$24,0)),""))</f>
        <v>1440</v>
      </c>
      <c r="Q1125" s="15">
        <f t="shared" si="93"/>
        <v>1800</v>
      </c>
      <c r="R1125" s="13" t="str">
        <f>IF(D1125="TEX","аренда техники — сделка/счёт",IF(OR(Q1125="",H1125="",H1125=0),"—",IF(Q1125&lt;H1125*(1-Параметры!$B$7),"почасовка",IF(Q1125&gt;H1125*(1+Параметры!$B$7),"сделка","любой способ"))))</f>
        <v>почасовка</v>
      </c>
      <c r="S1125">
        <v>0</v>
      </c>
      <c r="T1125">
        <v>0</v>
      </c>
    </row>
    <row r="1126" spans="1:20" x14ac:dyDescent="0.25">
      <c r="A1126" s="13" t="s">
        <v>2294</v>
      </c>
      <c r="B1126" s="13" t="s">
        <v>2295</v>
      </c>
      <c r="C1126" s="13" t="s">
        <v>865</v>
      </c>
      <c r="D1126" s="13" t="s">
        <v>288</v>
      </c>
      <c r="E1126" s="13" t="str">
        <f>IFERROR(INDEX('Почасовка — ставки и план'!$B$5:$B$24,MATCH(D1126,'Почасовка — ставки и план'!$A$5:$A$24,0)),"Аренда техники / механизмы")</f>
        <v>Монтажник вентиляции</v>
      </c>
      <c r="F1126" s="14">
        <v>5000</v>
      </c>
      <c r="G1126" s="14">
        <v>6000</v>
      </c>
      <c r="H1126" s="15">
        <v>3000</v>
      </c>
      <c r="I1126" s="15">
        <f>IF(OR(H1126="",F1126=""),"",MAX(H1126,MIN(ROUND(H1126*(1+Параметры!$B$5),IF(H1126*(1+Параметры!$B$5)&gt;=1000,-1,0)),ROUND(F1126*Параметры!$B$6,IF(F1126*Параметры!$B$6&gt;=1000,-1,0)))))</f>
        <v>3450</v>
      </c>
      <c r="J1126" s="15">
        <v>3600</v>
      </c>
      <c r="K1126" s="15">
        <f>IF(OR(J1126="",G1126=""),"",MAX(J1126,MIN(ROUND(J1126*(1+Параметры!$B$5),IF(J1126*(1+Параметры!$B$5)&gt;=1000,-1,0)),ROUND(G1126*Параметры!$B$6,IF(G1126*Параметры!$B$6&gt;=1000,-1,0)))))</f>
        <v>4140</v>
      </c>
      <c r="L1126" s="16">
        <v>3</v>
      </c>
      <c r="M1126" s="17">
        <f t="shared" si="92"/>
        <v>0.33333333333333331</v>
      </c>
      <c r="N1126" s="17">
        <f>IF(OR(L1126="",L1126=0),"",Параметры!$B$3/L1126)</f>
        <v>2.6666666666666665</v>
      </c>
      <c r="O1126" s="15">
        <f>IF(L1126="","",IFERROR(INDEX('Почасовка — ставки и план'!$D$5:$D$24,MATCH($D1126,'Почасовка — ставки и план'!$A$5:$A$24,0)),""))</f>
        <v>850</v>
      </c>
      <c r="P1126" s="15">
        <f>IF(L1126="","",IFERROR(INDEX('Почасовка — ставки и план'!$E$5:$E$24,MATCH($D1126,'Почасовка — ставки и план'!$A$5:$A$24,0)),""))</f>
        <v>1020</v>
      </c>
      <c r="Q1126" s="15">
        <f t="shared" si="93"/>
        <v>2550</v>
      </c>
      <c r="R1126" s="13" t="str">
        <f>IF(D1126="TEX","аренда техники — сделка/счёт",IF(OR(Q1126="",H1126="",H1126=0),"—",IF(Q1126&lt;H1126*(1-Параметры!$B$7),"почасовка",IF(Q1126&gt;H1126*(1+Параметры!$B$7),"сделка","любой способ"))))</f>
        <v>почасовка</v>
      </c>
      <c r="S1126">
        <v>0</v>
      </c>
      <c r="T1126">
        <v>0</v>
      </c>
    </row>
    <row r="1127" spans="1:20" x14ac:dyDescent="0.25">
      <c r="A1127" s="13" t="s">
        <v>2296</v>
      </c>
      <c r="B1127" s="13" t="s">
        <v>2297</v>
      </c>
      <c r="C1127" s="13" t="s">
        <v>865</v>
      </c>
      <c r="D1127" s="13" t="s">
        <v>288</v>
      </c>
      <c r="E1127" s="13" t="str">
        <f>IFERROR(INDEX('Почасовка — ставки и план'!$B$5:$B$24,MATCH(D1127,'Почасовка — ставки и план'!$A$5:$A$24,0)),"Аренда техники / механизмы")</f>
        <v>Монтажник вентиляции</v>
      </c>
      <c r="F1127" s="14">
        <v>8000</v>
      </c>
      <c r="G1127" s="14">
        <v>9500</v>
      </c>
      <c r="H1127" s="15">
        <v>4800</v>
      </c>
      <c r="I1127" s="15">
        <f>IF(OR(H1127="",F1127=""),"",MAX(H1127,MIN(ROUND(H1127*(1+Параметры!$B$5),IF(H1127*(1+Параметры!$B$5)&gt;=1000,-1,0)),ROUND(F1127*Параметры!$B$6,IF(F1127*Параметры!$B$6&gt;=1000,-1,0)))))</f>
        <v>5520</v>
      </c>
      <c r="J1127" s="15">
        <v>5700</v>
      </c>
      <c r="K1127" s="15">
        <f>IF(OR(J1127="",G1127=""),"",MAX(J1127,MIN(ROUND(J1127*(1+Параметры!$B$5),IF(J1127*(1+Параметры!$B$5)&gt;=1000,-1,0)),ROUND(G1127*Параметры!$B$6,IF(G1127*Параметры!$B$6&gt;=1000,-1,0)))))</f>
        <v>6560</v>
      </c>
      <c r="L1127" s="16">
        <v>5</v>
      </c>
      <c r="M1127" s="17">
        <f t="shared" si="92"/>
        <v>0.2</v>
      </c>
      <c r="N1127" s="17">
        <f>IF(OR(L1127="",L1127=0),"",Параметры!$B$3/L1127)</f>
        <v>1.6</v>
      </c>
      <c r="O1127" s="15">
        <f>IF(L1127="","",IFERROR(INDEX('Почасовка — ставки и план'!$D$5:$D$24,MATCH($D1127,'Почасовка — ставки и план'!$A$5:$A$24,0)),""))</f>
        <v>850</v>
      </c>
      <c r="P1127" s="15">
        <f>IF(L1127="","",IFERROR(INDEX('Почасовка — ставки и план'!$E$5:$E$24,MATCH($D1127,'Почасовка — ставки и план'!$A$5:$A$24,0)),""))</f>
        <v>1020</v>
      </c>
      <c r="Q1127" s="15">
        <f t="shared" si="93"/>
        <v>4250</v>
      </c>
      <c r="R1127" s="13" t="str">
        <f>IF(D1127="TEX","аренда техники — сделка/счёт",IF(OR(Q1127="",H1127="",H1127=0),"—",IF(Q1127&lt;H1127*(1-Параметры!$B$7),"почасовка",IF(Q1127&gt;H1127*(1+Параметры!$B$7),"сделка","любой способ"))))</f>
        <v>почасовка</v>
      </c>
      <c r="S1127">
        <v>0</v>
      </c>
      <c r="T1127">
        <v>0</v>
      </c>
    </row>
    <row r="1128" spans="1:20" x14ac:dyDescent="0.25">
      <c r="A1128" s="13" t="s">
        <v>2298</v>
      </c>
      <c r="B1128" s="13" t="s">
        <v>2299</v>
      </c>
      <c r="C1128" s="13" t="s">
        <v>72</v>
      </c>
      <c r="D1128" s="13" t="s">
        <v>288</v>
      </c>
      <c r="E1128" s="13" t="str">
        <f>IFERROR(INDEX('Почасовка — ставки и план'!$B$5:$B$24,MATCH(D1128,'Почасовка — ставки и план'!$A$5:$A$24,0)),"Аренда техники / механизмы")</f>
        <v>Монтажник вентиляции</v>
      </c>
      <c r="F1128" s="14">
        <v>750</v>
      </c>
      <c r="G1128" s="14">
        <v>900</v>
      </c>
      <c r="H1128" s="15">
        <v>450</v>
      </c>
      <c r="I1128" s="15">
        <f>IF(OR(H1128="",F1128=""),"",MAX(H1128,MIN(ROUND(H1128*(1+Параметры!$B$5),IF(H1128*(1+Параметры!$B$5)&gt;=1000,-1,0)),ROUND(F1128*Параметры!$B$6,IF(F1128*Параметры!$B$6&gt;=1000,-1,0)))))</f>
        <v>518</v>
      </c>
      <c r="J1128" s="15">
        <v>540</v>
      </c>
      <c r="K1128" s="15">
        <f>IF(OR(J1128="",G1128=""),"",MAX(J1128,MIN(ROUND(J1128*(1+Параметры!$B$5),IF(J1128*(1+Параметры!$B$5)&gt;=1000,-1,0)),ROUND(G1128*Параметры!$B$6,IF(G1128*Параметры!$B$6&gt;=1000,-1,0)))))</f>
        <v>621</v>
      </c>
      <c r="L1128" s="16">
        <v>0.5</v>
      </c>
      <c r="M1128" s="17">
        <f t="shared" si="92"/>
        <v>2</v>
      </c>
      <c r="N1128" s="17">
        <f>IF(OR(L1128="",L1128=0),"",Параметры!$B$3/L1128)</f>
        <v>16</v>
      </c>
      <c r="O1128" s="15">
        <f>IF(L1128="","",IFERROR(INDEX('Почасовка — ставки и план'!$D$5:$D$24,MATCH($D1128,'Почасовка — ставки и план'!$A$5:$A$24,0)),""))</f>
        <v>850</v>
      </c>
      <c r="P1128" s="15">
        <f>IF(L1128="","",IFERROR(INDEX('Почасовка — ставки и план'!$E$5:$E$24,MATCH($D1128,'Почасовка — ставки и план'!$A$5:$A$24,0)),""))</f>
        <v>1020</v>
      </c>
      <c r="Q1128" s="15">
        <f t="shared" si="93"/>
        <v>425</v>
      </c>
      <c r="R1128" s="13" t="str">
        <f>IF(D1128="TEX","аренда техники — сделка/счёт",IF(OR(Q1128="",H1128="",H1128=0),"—",IF(Q1128&lt;H1128*(1-Параметры!$B$7),"почасовка",IF(Q1128&gt;H1128*(1+Параметры!$B$7),"сделка","любой способ"))))</f>
        <v>любой способ</v>
      </c>
      <c r="S1128">
        <v>0</v>
      </c>
      <c r="T1128">
        <v>0</v>
      </c>
    </row>
    <row r="1129" spans="1:20" x14ac:dyDescent="0.25">
      <c r="A1129" s="13" t="s">
        <v>2300</v>
      </c>
      <c r="B1129" s="13" t="s">
        <v>2301</v>
      </c>
      <c r="C1129" s="13" t="s">
        <v>144</v>
      </c>
      <c r="D1129" s="13" t="s">
        <v>299</v>
      </c>
      <c r="E1129" s="13" t="str">
        <f>IFERROR(INDEX('Почасовка — ставки и план'!$B$5:$B$24,MATCH(D1129,'Почасовка — ставки и план'!$A$5:$A$24,0)),"Аренда техники / механизмы")</f>
        <v>Холодильщик / монтажник кондиционеров</v>
      </c>
      <c r="F1129" s="14">
        <v>3500</v>
      </c>
      <c r="G1129" s="14">
        <v>4000</v>
      </c>
      <c r="H1129" s="15">
        <v>2100</v>
      </c>
      <c r="I1129" s="15">
        <f>IF(OR(H1129="",F1129=""),"",MAX(H1129,MIN(ROUND(H1129*(1+Параметры!$B$5),IF(H1129*(1+Параметры!$B$5)&gt;=1000,-1,0)),ROUND(F1129*Параметры!$B$6,IF(F1129*Параметры!$B$6&gt;=1000,-1,0)))))</f>
        <v>2420</v>
      </c>
      <c r="J1129" s="15">
        <v>2400</v>
      </c>
      <c r="K1129" s="15">
        <f>IF(OR(J1129="",G1129=""),"",MAX(J1129,MIN(ROUND(J1129*(1+Параметры!$B$5),IF(J1129*(1+Параметры!$B$5)&gt;=1000,-1,0)),ROUND(G1129*Параметры!$B$6,IF(G1129*Параметры!$B$6&gt;=1000,-1,0)))))</f>
        <v>2760</v>
      </c>
      <c r="L1129" s="16">
        <v>1</v>
      </c>
      <c r="M1129" s="17">
        <f t="shared" si="92"/>
        <v>1</v>
      </c>
      <c r="N1129" s="17">
        <f>IF(OR(L1129="",L1129=0),"",Параметры!$B$3/L1129)</f>
        <v>8</v>
      </c>
      <c r="O1129" s="15">
        <f>IF(L1129="","",IFERROR(INDEX('Почасовка — ставки и план'!$D$5:$D$24,MATCH($D1129,'Почасовка — ставки и план'!$A$5:$A$24,0)),""))</f>
        <v>1200</v>
      </c>
      <c r="P1129" s="15">
        <f>IF(L1129="","",IFERROR(INDEX('Почасовка — ставки и план'!$E$5:$E$24,MATCH($D1129,'Почасовка — ставки и план'!$A$5:$A$24,0)),""))</f>
        <v>1440</v>
      </c>
      <c r="Q1129" s="15">
        <f t="shared" si="93"/>
        <v>1200</v>
      </c>
      <c r="R1129" s="13" t="str">
        <f>IF(D1129="TEX","аренда техники — сделка/счёт",IF(OR(Q1129="",H1129="",H1129=0),"—",IF(Q1129&lt;H1129*(1-Параметры!$B$7),"почасовка",IF(Q1129&gt;H1129*(1+Параметры!$B$7),"сделка","любой способ"))))</f>
        <v>почасовка</v>
      </c>
      <c r="S1129">
        <v>0</v>
      </c>
      <c r="T1129">
        <v>0</v>
      </c>
    </row>
    <row r="1130" spans="1:20" x14ac:dyDescent="0.25">
      <c r="A1130" s="13" t="s">
        <v>2302</v>
      </c>
      <c r="B1130" s="13" t="s">
        <v>2303</v>
      </c>
      <c r="C1130" s="13" t="s">
        <v>144</v>
      </c>
      <c r="D1130" s="13" t="s">
        <v>299</v>
      </c>
      <c r="E1130" s="13" t="str">
        <f>IFERROR(INDEX('Почасовка — ставки и план'!$B$5:$B$24,MATCH(D1130,'Почасовка — ставки и план'!$A$5:$A$24,0)),"Аренда техники / механизмы")</f>
        <v>Холодильщик / монтажник кондиционеров</v>
      </c>
      <c r="F1130" s="14">
        <v>4000</v>
      </c>
      <c r="G1130" s="14">
        <v>4600</v>
      </c>
      <c r="H1130" s="15">
        <v>2400</v>
      </c>
      <c r="I1130" s="15">
        <f>IF(OR(H1130="",F1130=""),"",MAX(H1130,MIN(ROUND(H1130*(1+Параметры!$B$5),IF(H1130*(1+Параметры!$B$5)&gt;=1000,-1,0)),ROUND(F1130*Параметры!$B$6,IF(F1130*Параметры!$B$6&gt;=1000,-1,0)))))</f>
        <v>2760</v>
      </c>
      <c r="J1130" s="15">
        <v>2760</v>
      </c>
      <c r="K1130" s="15">
        <f>IF(OR(J1130="",G1130=""),"",MAX(J1130,MIN(ROUND(J1130*(1+Параметры!$B$5),IF(J1130*(1+Параметры!$B$5)&gt;=1000,-1,0)),ROUND(G1130*Параметры!$B$6,IF(G1130*Параметры!$B$6&gt;=1000,-1,0)))))</f>
        <v>3170</v>
      </c>
      <c r="L1130" s="16">
        <v>1</v>
      </c>
      <c r="M1130" s="17">
        <f t="shared" si="92"/>
        <v>1</v>
      </c>
      <c r="N1130" s="17">
        <f>IF(OR(L1130="",L1130=0),"",Параметры!$B$3/L1130)</f>
        <v>8</v>
      </c>
      <c r="O1130" s="15">
        <f>IF(L1130="","",IFERROR(INDEX('Почасовка — ставки и план'!$D$5:$D$24,MATCH($D1130,'Почасовка — ставки и план'!$A$5:$A$24,0)),""))</f>
        <v>1200</v>
      </c>
      <c r="P1130" s="15">
        <f>IF(L1130="","",IFERROR(INDEX('Почасовка — ставки и план'!$E$5:$E$24,MATCH($D1130,'Почасовка — ставки и план'!$A$5:$A$24,0)),""))</f>
        <v>1440</v>
      </c>
      <c r="Q1130" s="15">
        <f t="shared" si="93"/>
        <v>1200</v>
      </c>
      <c r="R1130" s="13" t="str">
        <f>IF(D1130="TEX","аренда техники — сделка/счёт",IF(OR(Q1130="",H1130="",H1130=0),"—",IF(Q1130&lt;H1130*(1-Параметры!$B$7),"почасовка",IF(Q1130&gt;H1130*(1+Параметры!$B$7),"сделка","любой способ"))))</f>
        <v>почасовка</v>
      </c>
      <c r="S1130">
        <v>0</v>
      </c>
      <c r="T1130">
        <v>0</v>
      </c>
    </row>
    <row r="1131" spans="1:20" x14ac:dyDescent="0.25">
      <c r="A1131" s="13" t="s">
        <v>2304</v>
      </c>
      <c r="B1131" s="13" t="s">
        <v>2305</v>
      </c>
      <c r="C1131" s="13" t="s">
        <v>144</v>
      </c>
      <c r="D1131" s="13" t="s">
        <v>299</v>
      </c>
      <c r="E1131" s="13" t="str">
        <f>IFERROR(INDEX('Почасовка — ставки и план'!$B$5:$B$24,MATCH(D1131,'Почасовка — ставки и план'!$A$5:$A$24,0)),"Аренда техники / механизмы")</f>
        <v>Холодильщик / монтажник кондиционеров</v>
      </c>
      <c r="F1131" s="14">
        <v>4500</v>
      </c>
      <c r="G1131" s="14">
        <v>5200</v>
      </c>
      <c r="H1131" s="15">
        <v>2790</v>
      </c>
      <c r="I1131" s="15">
        <f>IF(OR(H1131="",F1131=""),"",MAX(H1131,MIN(ROUND(H1131*(1+Параметры!$B$5),IF(H1131*(1+Параметры!$B$5)&gt;=1000,-1,0)),ROUND(F1131*Параметры!$B$6,IF(F1131*Параметры!$B$6&gt;=1000,-1,0)))))</f>
        <v>3210</v>
      </c>
      <c r="J1131" s="15">
        <v>3224</v>
      </c>
      <c r="K1131" s="15">
        <f>IF(OR(J1131="",G1131=""),"",MAX(J1131,MIN(ROUND(J1131*(1+Параметры!$B$5),IF(J1131*(1+Параметры!$B$5)&gt;=1000,-1,0)),ROUND(G1131*Параметры!$B$6,IF(G1131*Параметры!$B$6&gt;=1000,-1,0)))))</f>
        <v>3710</v>
      </c>
      <c r="L1131" s="16">
        <v>2</v>
      </c>
      <c r="M1131" s="17">
        <f t="shared" si="92"/>
        <v>0.5</v>
      </c>
      <c r="N1131" s="17">
        <f>IF(OR(L1131="",L1131=0),"",Параметры!$B$3/L1131)</f>
        <v>4</v>
      </c>
      <c r="O1131" s="15">
        <f>IF(L1131="","",IFERROR(INDEX('Почасовка — ставки и план'!$D$5:$D$24,MATCH($D1131,'Почасовка — ставки и план'!$A$5:$A$24,0)),""))</f>
        <v>1200</v>
      </c>
      <c r="P1131" s="15">
        <f>IF(L1131="","",IFERROR(INDEX('Почасовка — ставки и план'!$E$5:$E$24,MATCH($D1131,'Почасовка — ставки и план'!$A$5:$A$24,0)),""))</f>
        <v>1440</v>
      </c>
      <c r="Q1131" s="15">
        <f t="shared" si="93"/>
        <v>2400</v>
      </c>
      <c r="R1131" s="13" t="str">
        <f>IF(D1131="TEX","аренда техники — сделка/счёт",IF(OR(Q1131="",H1131="",H1131=0),"—",IF(Q1131&lt;H1131*(1-Параметры!$B$7),"почасовка",IF(Q1131&gt;H1131*(1+Параметры!$B$7),"сделка","любой способ"))))</f>
        <v>почасовка</v>
      </c>
      <c r="S1131">
        <v>0</v>
      </c>
      <c r="T1131">
        <v>0</v>
      </c>
    </row>
    <row r="1132" spans="1:20" x14ac:dyDescent="0.25">
      <c r="A1132" s="13" t="s">
        <v>2306</v>
      </c>
      <c r="B1132" s="13" t="s">
        <v>2307</v>
      </c>
      <c r="C1132" s="13" t="s">
        <v>144</v>
      </c>
      <c r="D1132" s="13" t="s">
        <v>299</v>
      </c>
      <c r="E1132" s="13" t="str">
        <f>IFERROR(INDEX('Почасовка — ставки и план'!$B$5:$B$24,MATCH(D1132,'Почасовка — ставки и план'!$A$5:$A$24,0)),"Аренда техники / механизмы")</f>
        <v>Холодильщик / монтажник кондиционеров</v>
      </c>
      <c r="F1132" s="14">
        <v>5000</v>
      </c>
      <c r="G1132" s="14">
        <v>5800</v>
      </c>
      <c r="H1132" s="15">
        <v>3100</v>
      </c>
      <c r="I1132" s="15">
        <f>IF(OR(H1132="",F1132=""),"",MAX(H1132,MIN(ROUND(H1132*(1+Параметры!$B$5),IF(H1132*(1+Параметры!$B$5)&gt;=1000,-1,0)),ROUND(F1132*Параметры!$B$6,IF(F1132*Параметры!$B$6&gt;=1000,-1,0)))))</f>
        <v>3570</v>
      </c>
      <c r="J1132" s="15">
        <v>3596</v>
      </c>
      <c r="K1132" s="15">
        <f>IF(OR(J1132="",G1132=""),"",MAX(J1132,MIN(ROUND(J1132*(1+Параметры!$B$5),IF(J1132*(1+Параметры!$B$5)&gt;=1000,-1,0)),ROUND(G1132*Параметры!$B$6,IF(G1132*Параметры!$B$6&gt;=1000,-1,0)))))</f>
        <v>4140</v>
      </c>
      <c r="L1132" s="16">
        <v>2.5</v>
      </c>
      <c r="M1132" s="17">
        <f t="shared" si="92"/>
        <v>0.4</v>
      </c>
      <c r="N1132" s="17">
        <f>IF(OR(L1132="",L1132=0),"",Параметры!$B$3/L1132)</f>
        <v>3.2</v>
      </c>
      <c r="O1132" s="15">
        <f>IF(L1132="","",IFERROR(INDEX('Почасовка — ставки и план'!$D$5:$D$24,MATCH($D1132,'Почасовка — ставки и план'!$A$5:$A$24,0)),""))</f>
        <v>1200</v>
      </c>
      <c r="P1132" s="15">
        <f>IF(L1132="","",IFERROR(INDEX('Почасовка — ставки и план'!$E$5:$E$24,MATCH($D1132,'Почасовка — ставки и план'!$A$5:$A$24,0)),""))</f>
        <v>1440</v>
      </c>
      <c r="Q1132" s="15">
        <f t="shared" si="93"/>
        <v>3000</v>
      </c>
      <c r="R1132" s="13" t="str">
        <f>IF(D1132="TEX","аренда техники — сделка/счёт",IF(OR(Q1132="",H1132="",H1132=0),"—",IF(Q1132&lt;H1132*(1-Параметры!$B$7),"почасовка",IF(Q1132&gt;H1132*(1+Параметры!$B$7),"сделка","любой способ"))))</f>
        <v>любой способ</v>
      </c>
      <c r="S1132">
        <v>0</v>
      </c>
      <c r="T1132">
        <v>0</v>
      </c>
    </row>
    <row r="1133" spans="1:20" x14ac:dyDescent="0.25">
      <c r="A1133" s="13" t="s">
        <v>2308</v>
      </c>
      <c r="B1133" s="13" t="s">
        <v>2309</v>
      </c>
      <c r="C1133" s="13" t="s">
        <v>144</v>
      </c>
      <c r="D1133" s="13" t="s">
        <v>299</v>
      </c>
      <c r="E1133" s="13" t="str">
        <f>IFERROR(INDEX('Почасовка — ставки и план'!$B$5:$B$24,MATCH(D1133,'Почасовка — ставки и план'!$A$5:$A$24,0)),"Аренда техники / механизмы")</f>
        <v>Холодильщик / монтажник кондиционеров</v>
      </c>
      <c r="F1133" s="14">
        <v>3000</v>
      </c>
      <c r="G1133" s="14">
        <v>3500</v>
      </c>
      <c r="H1133" s="15">
        <v>1860</v>
      </c>
      <c r="I1133" s="15">
        <f>IF(OR(H1133="",F1133=""),"",MAX(H1133,MIN(ROUND(H1133*(1+Параметры!$B$5),IF(H1133*(1+Параметры!$B$5)&gt;=1000,-1,0)),ROUND(F1133*Параметры!$B$6,IF(F1133*Параметры!$B$6&gt;=1000,-1,0)))))</f>
        <v>2140</v>
      </c>
      <c r="J1133" s="15">
        <v>2170</v>
      </c>
      <c r="K1133" s="15">
        <f>IF(OR(J1133="",G1133=""),"",MAX(J1133,MIN(ROUND(J1133*(1+Параметры!$B$5),IF(J1133*(1+Параметры!$B$5)&gt;=1000,-1,0)),ROUND(G1133*Параметры!$B$6,IF(G1133*Параметры!$B$6&gt;=1000,-1,0)))))</f>
        <v>2500</v>
      </c>
      <c r="L1133" s="16">
        <v>1</v>
      </c>
      <c r="M1133" s="17">
        <f t="shared" si="92"/>
        <v>1</v>
      </c>
      <c r="N1133" s="17">
        <f>IF(OR(L1133="",L1133=0),"",Параметры!$B$3/L1133)</f>
        <v>8</v>
      </c>
      <c r="O1133" s="15">
        <f>IF(L1133="","",IFERROR(INDEX('Почасовка — ставки и план'!$D$5:$D$24,MATCH($D1133,'Почасовка — ставки и план'!$A$5:$A$24,0)),""))</f>
        <v>1200</v>
      </c>
      <c r="P1133" s="15">
        <f>IF(L1133="","",IFERROR(INDEX('Почасовка — ставки и план'!$E$5:$E$24,MATCH($D1133,'Почасовка — ставки и план'!$A$5:$A$24,0)),""))</f>
        <v>1440</v>
      </c>
      <c r="Q1133" s="15">
        <f t="shared" si="93"/>
        <v>1200</v>
      </c>
      <c r="R1133" s="13" t="str">
        <f>IF(D1133="TEX","аренда техники — сделка/счёт",IF(OR(Q1133="",H1133="",H1133=0),"—",IF(Q1133&lt;H1133*(1-Параметры!$B$7),"почасовка",IF(Q1133&gt;H1133*(1+Параметры!$B$7),"сделка","любой способ"))))</f>
        <v>почасовка</v>
      </c>
      <c r="S1133">
        <v>0</v>
      </c>
      <c r="T1133">
        <v>0</v>
      </c>
    </row>
    <row r="1134" spans="1:20" x14ac:dyDescent="0.25">
      <c r="A1134" s="13" t="s">
        <v>2310</v>
      </c>
      <c r="B1134" s="13" t="s">
        <v>2311</v>
      </c>
      <c r="C1134" s="13" t="s">
        <v>144</v>
      </c>
      <c r="D1134" s="13" t="s">
        <v>299</v>
      </c>
      <c r="E1134" s="13" t="str">
        <f>IFERROR(INDEX('Почасовка — ставки и план'!$B$5:$B$24,MATCH(D1134,'Почасовка — ставки и план'!$A$5:$A$24,0)),"Аренда техники / механизмы")</f>
        <v>Холодильщик / монтажник кондиционеров</v>
      </c>
      <c r="F1134" s="14">
        <v>2500</v>
      </c>
      <c r="G1134" s="14">
        <v>2900</v>
      </c>
      <c r="H1134" s="15">
        <v>1550</v>
      </c>
      <c r="I1134" s="15">
        <f>IF(OR(H1134="",F1134=""),"",MAX(H1134,MIN(ROUND(H1134*(1+Параметры!$B$5),IF(H1134*(1+Параметры!$B$5)&gt;=1000,-1,0)),ROUND(F1134*Параметры!$B$6,IF(F1134*Параметры!$B$6&gt;=1000,-1,0)))))</f>
        <v>1780</v>
      </c>
      <c r="J1134" s="15">
        <v>1798</v>
      </c>
      <c r="K1134" s="15">
        <f>IF(OR(J1134="",G1134=""),"",MAX(J1134,MIN(ROUND(J1134*(1+Параметры!$B$5),IF(J1134*(1+Параметры!$B$5)&gt;=1000,-1,0)),ROUND(G1134*Параметры!$B$6,IF(G1134*Параметры!$B$6&gt;=1000,-1,0)))))</f>
        <v>2070</v>
      </c>
      <c r="L1134" s="16">
        <v>1</v>
      </c>
      <c r="M1134" s="17">
        <f t="shared" si="92"/>
        <v>1</v>
      </c>
      <c r="N1134" s="17">
        <f>IF(OR(L1134="",L1134=0),"",Параметры!$B$3/L1134)</f>
        <v>8</v>
      </c>
      <c r="O1134" s="15">
        <f>IF(L1134="","",IFERROR(INDEX('Почасовка — ставки и план'!$D$5:$D$24,MATCH($D1134,'Почасовка — ставки и план'!$A$5:$A$24,0)),""))</f>
        <v>1200</v>
      </c>
      <c r="P1134" s="15">
        <f>IF(L1134="","",IFERROR(INDEX('Почасовка — ставки и план'!$E$5:$E$24,MATCH($D1134,'Почасовка — ставки и план'!$A$5:$A$24,0)),""))</f>
        <v>1440</v>
      </c>
      <c r="Q1134" s="15">
        <f t="shared" si="93"/>
        <v>1200</v>
      </c>
      <c r="R1134" s="13" t="str">
        <f>IF(D1134="TEX","аренда техники — сделка/счёт",IF(OR(Q1134="",H1134="",H1134=0),"—",IF(Q1134&lt;H1134*(1-Параметры!$B$7),"почасовка",IF(Q1134&gt;H1134*(1+Параметры!$B$7),"сделка","любой способ"))))</f>
        <v>почасовка</v>
      </c>
      <c r="S1134">
        <v>0</v>
      </c>
      <c r="T1134">
        <v>0</v>
      </c>
    </row>
    <row r="1135" spans="1:20" x14ac:dyDescent="0.25">
      <c r="A1135" s="13" t="s">
        <v>2312</v>
      </c>
      <c r="B1135" s="13" t="s">
        <v>2313</v>
      </c>
      <c r="C1135" s="13" t="s">
        <v>69</v>
      </c>
      <c r="D1135" s="13" t="s">
        <v>288</v>
      </c>
      <c r="E1135" s="13" t="str">
        <f>IFERROR(INDEX('Почасовка — ставки и план'!$B$5:$B$24,MATCH(D1135,'Почасовка — ставки и план'!$A$5:$A$24,0)),"Аренда техники / механизмы")</f>
        <v>Монтажник вентиляции</v>
      </c>
      <c r="F1135" s="14">
        <v>200</v>
      </c>
      <c r="G1135" s="14">
        <v>230</v>
      </c>
      <c r="H1135" s="15">
        <v>120</v>
      </c>
      <c r="I1135" s="15">
        <f>IF(OR(H1135="",F1135=""),"",MAX(H1135,MIN(ROUND(H1135*(1+Параметры!$B$5),IF(H1135*(1+Параметры!$B$5)&gt;=1000,-1,0)),ROUND(F1135*Параметры!$B$6,IF(F1135*Параметры!$B$6&gt;=1000,-1,0)))))</f>
        <v>138</v>
      </c>
      <c r="J1135" s="15">
        <v>138</v>
      </c>
      <c r="K1135" s="15">
        <f>IF(OR(J1135="",G1135=""),"",MAX(J1135,MIN(ROUND(J1135*(1+Параметры!$B$5),IF(J1135*(1+Параметры!$B$5)&gt;=1000,-1,0)),ROUND(G1135*Параметры!$B$6,IF(G1135*Параметры!$B$6&gt;=1000,-1,0)))))</f>
        <v>159</v>
      </c>
      <c r="L1135" s="16">
        <v>0.15</v>
      </c>
      <c r="M1135" s="17">
        <f t="shared" si="92"/>
        <v>6.666666666666667</v>
      </c>
      <c r="N1135" s="17">
        <f>IF(OR(L1135="",L1135=0),"",Параметры!$B$3/L1135)</f>
        <v>53.333333333333336</v>
      </c>
      <c r="O1135" s="15">
        <f>IF(L1135="","",IFERROR(INDEX('Почасовка — ставки и план'!$D$5:$D$24,MATCH($D1135,'Почасовка — ставки и план'!$A$5:$A$24,0)),""))</f>
        <v>850</v>
      </c>
      <c r="P1135" s="15">
        <f>IF(L1135="","",IFERROR(INDEX('Почасовка — ставки и план'!$E$5:$E$24,MATCH($D1135,'Почасовка — ставки и план'!$A$5:$A$24,0)),""))</f>
        <v>1020</v>
      </c>
      <c r="Q1135" s="15">
        <f t="shared" si="93"/>
        <v>128</v>
      </c>
      <c r="R1135" s="13" t="str">
        <f>IF(D1135="TEX","аренда техники — сделка/счёт",IF(OR(Q1135="",H1135="",H1135=0),"—",IF(Q1135&lt;H1135*(1-Параметры!$B$7),"почасовка",IF(Q1135&gt;H1135*(1+Параметры!$B$7),"сделка","любой способ"))))</f>
        <v>любой способ</v>
      </c>
      <c r="S1135">
        <v>0</v>
      </c>
      <c r="T1135">
        <v>0</v>
      </c>
    </row>
    <row r="1136" spans="1:20" x14ac:dyDescent="0.25">
      <c r="A1136" s="13" t="s">
        <v>2314</v>
      </c>
      <c r="B1136" s="13" t="s">
        <v>2315</v>
      </c>
      <c r="C1136" s="13" t="s">
        <v>55</v>
      </c>
      <c r="D1136" s="13" t="s">
        <v>288</v>
      </c>
      <c r="E1136" s="13" t="str">
        <f>IFERROR(INDEX('Почасовка — ставки и план'!$B$5:$B$24,MATCH(D1136,'Почасовка — ставки и план'!$A$5:$A$24,0)),"Аренда техники / механизмы")</f>
        <v>Монтажник вентиляции</v>
      </c>
      <c r="F1136" s="14">
        <v>9067</v>
      </c>
      <c r="G1136" s="14">
        <v>10880</v>
      </c>
      <c r="H1136" s="15">
        <v>5400</v>
      </c>
      <c r="I1136" s="15">
        <f>IF(OR(H1136="",F1136=""),"",MAX(H1136,MIN(ROUND(H1136*(1+Параметры!$B$5),IF(H1136*(1+Параметры!$B$5)&gt;=1000,-1,0)),ROUND(F1136*Параметры!$B$6,IF(F1136*Параметры!$B$6&gt;=1000,-1,0)))))</f>
        <v>6210</v>
      </c>
      <c r="J1136" s="15">
        <v>6300</v>
      </c>
      <c r="K1136" s="15">
        <f>IF(OR(J1136="",G1136=""),"",MAX(J1136,MIN(ROUND(J1136*(1+Параметры!$B$5),IF(J1136*(1+Параметры!$B$5)&gt;=1000,-1,0)),ROUND(G1136*Параметры!$B$6,IF(G1136*Параметры!$B$6&gt;=1000,-1,0)))))</f>
        <v>7250</v>
      </c>
      <c r="L1136" s="16">
        <v>8</v>
      </c>
      <c r="M1136" s="17">
        <f t="shared" si="92"/>
        <v>0.125</v>
      </c>
      <c r="N1136" s="17">
        <f>IF(OR(L1136="",L1136=0),"",Параметры!$B$3/L1136)</f>
        <v>1</v>
      </c>
      <c r="O1136" s="15">
        <f>IF(L1136="","",IFERROR(INDEX('Почасовка — ставки и план'!$D$5:$D$24,MATCH($D1136,'Почасовка — ставки и план'!$A$5:$A$24,0)),""))</f>
        <v>850</v>
      </c>
      <c r="P1136" s="15">
        <f>IF(L1136="","",IFERROR(INDEX('Почасовка — ставки и план'!$E$5:$E$24,MATCH($D1136,'Почасовка — ставки и план'!$A$5:$A$24,0)),""))</f>
        <v>1020</v>
      </c>
      <c r="Q1136" s="15">
        <f t="shared" si="93"/>
        <v>6800</v>
      </c>
      <c r="R1136" s="13" t="str">
        <f>IF(D1136="TEX","аренда техники — сделка/счёт",IF(OR(Q1136="",H1136="",H1136=0),"—",IF(Q1136&lt;H1136*(1-Параметры!$B$7),"почасовка",IF(Q1136&gt;H1136*(1+Параметры!$B$7),"сделка","любой способ"))))</f>
        <v>сделка</v>
      </c>
      <c r="S1136">
        <v>7.4444444444443647E-3</v>
      </c>
      <c r="T1136">
        <v>3.6190476190476113E-2</v>
      </c>
    </row>
    <row r="1137" spans="1:20" x14ac:dyDescent="0.25">
      <c r="A1137" s="13" t="s">
        <v>2316</v>
      </c>
      <c r="B1137" s="13" t="s">
        <v>2317</v>
      </c>
      <c r="C1137" s="13" t="s">
        <v>55</v>
      </c>
      <c r="D1137" s="13" t="s">
        <v>288</v>
      </c>
      <c r="E1137" s="13" t="str">
        <f>IFERROR(INDEX('Почасовка — ставки и план'!$B$5:$B$24,MATCH(D1137,'Почасовка — ставки и план'!$A$5:$A$24,0)),"Аренда техники / механизмы")</f>
        <v>Монтажник вентиляции</v>
      </c>
      <c r="F1137" s="14">
        <v>22667</v>
      </c>
      <c r="G1137" s="14">
        <v>27200</v>
      </c>
      <c r="H1137" s="15">
        <v>13200</v>
      </c>
      <c r="I1137" s="15">
        <f>IF(OR(H1137="",F1137=""),"",MAX(H1137,MIN(ROUND(H1137*(1+Параметры!$B$5),IF(H1137*(1+Параметры!$B$5)&gt;=1000,-1,0)),ROUND(F1137*Параметры!$B$6,IF(F1137*Параметры!$B$6&gt;=1000,-1,0)))))</f>
        <v>15180</v>
      </c>
      <c r="J1137" s="15">
        <v>15600</v>
      </c>
      <c r="K1137" s="15">
        <f>IF(OR(J1137="",G1137=""),"",MAX(J1137,MIN(ROUND(J1137*(1+Параметры!$B$5),IF(J1137*(1+Параметры!$B$5)&gt;=1000,-1,0)),ROUND(G1137*Параметры!$B$6,IF(G1137*Параметры!$B$6&gt;=1000,-1,0)))))</f>
        <v>17940</v>
      </c>
      <c r="L1137" s="16">
        <v>20</v>
      </c>
      <c r="M1137" s="17">
        <f t="shared" si="92"/>
        <v>0.05</v>
      </c>
      <c r="N1137" s="17">
        <f>IF(OR(L1137="",L1137=0),"",Параметры!$B$3/L1137)</f>
        <v>0.4</v>
      </c>
      <c r="O1137" s="15">
        <f>IF(L1137="","",IFERROR(INDEX('Почасовка — ставки и план'!$D$5:$D$24,MATCH($D1137,'Почасовка — ставки и план'!$A$5:$A$24,0)),""))</f>
        <v>850</v>
      </c>
      <c r="P1137" s="15">
        <f>IF(L1137="","",IFERROR(INDEX('Почасовка — ставки и план'!$E$5:$E$24,MATCH($D1137,'Почасовка — ставки и план'!$A$5:$A$24,0)),""))</f>
        <v>1020</v>
      </c>
      <c r="Q1137" s="15">
        <f t="shared" si="93"/>
        <v>17000</v>
      </c>
      <c r="R1137" s="13" t="str">
        <f>IF(D1137="TEX","аренда техники — сделка/счёт",IF(OR(Q1137="",H1137="",H1137=0),"—",IF(Q1137&lt;H1137*(1-Параметры!$B$7),"почасовка",IF(Q1137&gt;H1137*(1+Параметры!$B$7),"сделка","любой способ"))))</f>
        <v>сделка</v>
      </c>
      <c r="S1137">
        <v>3.0318181818181911E-2</v>
      </c>
      <c r="T1137">
        <v>4.6153846153846212E-2</v>
      </c>
    </row>
    <row r="1138" spans="1:20" x14ac:dyDescent="0.25">
      <c r="A1138" s="13" t="s">
        <v>2318</v>
      </c>
      <c r="B1138" s="13" t="s">
        <v>2319</v>
      </c>
      <c r="C1138" s="13" t="s">
        <v>55</v>
      </c>
      <c r="D1138" s="13" t="s">
        <v>288</v>
      </c>
      <c r="E1138" s="13" t="str">
        <f>IFERROR(INDEX('Почасовка — ставки и план'!$B$5:$B$24,MATCH(D1138,'Почасовка — ставки и план'!$A$5:$A$24,0)),"Аренда техники / механизмы")</f>
        <v>Монтажник вентиляции</v>
      </c>
      <c r="F1138" s="14">
        <v>15867</v>
      </c>
      <c r="G1138" s="14">
        <v>19040</v>
      </c>
      <c r="H1138" s="15">
        <v>9000</v>
      </c>
      <c r="I1138" s="15">
        <f>IF(OR(H1138="",F1138=""),"",MAX(H1138,MIN(ROUND(H1138*(1+Параметры!$B$5),IF(H1138*(1+Параметры!$B$5)&gt;=1000,-1,0)),ROUND(F1138*Параметры!$B$6,IF(F1138*Параметры!$B$6&gt;=1000,-1,0)))))</f>
        <v>10350</v>
      </c>
      <c r="J1138" s="15">
        <v>10500</v>
      </c>
      <c r="K1138" s="15">
        <f>IF(OR(J1138="",G1138=""),"",MAX(J1138,MIN(ROUND(J1138*(1+Параметры!$B$5),IF(J1138*(1+Параметры!$B$5)&gt;=1000,-1,0)),ROUND(G1138*Параметры!$B$6,IF(G1138*Параметры!$B$6&gt;=1000,-1,0)))))</f>
        <v>12080</v>
      </c>
      <c r="L1138" s="16">
        <v>14</v>
      </c>
      <c r="M1138" s="17">
        <f t="shared" si="92"/>
        <v>7.1428571428571425E-2</v>
      </c>
      <c r="N1138" s="17">
        <f>IF(OR(L1138="",L1138=0),"",Параметры!$B$3/L1138)</f>
        <v>0.5714285714285714</v>
      </c>
      <c r="O1138" s="15">
        <f>IF(L1138="","",IFERROR(INDEX('Почасовка — ставки и план'!$D$5:$D$24,MATCH($D1138,'Почасовка — ставки и план'!$A$5:$A$24,0)),""))</f>
        <v>850</v>
      </c>
      <c r="P1138" s="15">
        <f>IF(L1138="","",IFERROR(INDEX('Почасовка — ставки и план'!$E$5:$E$24,MATCH($D1138,'Почасовка — ставки и план'!$A$5:$A$24,0)),""))</f>
        <v>1020</v>
      </c>
      <c r="Q1138" s="15">
        <f t="shared" si="93"/>
        <v>11900</v>
      </c>
      <c r="R1138" s="13" t="str">
        <f>IF(D1138="TEX","аренда техники — сделка/счёт",IF(OR(Q1138="",H1138="",H1138=0),"—",IF(Q1138&lt;H1138*(1-Параметры!$B$7),"почасовка",IF(Q1138&gt;H1138*(1+Параметры!$B$7),"сделка","любой способ"))))</f>
        <v>сделка</v>
      </c>
      <c r="S1138">
        <v>5.7800000000000067E-2</v>
      </c>
      <c r="T1138">
        <v>8.8000000000000078E-2</v>
      </c>
    </row>
    <row r="1139" spans="1:20" x14ac:dyDescent="0.25">
      <c r="A1139" s="13" t="s">
        <v>2320</v>
      </c>
      <c r="B1139" s="13" t="s">
        <v>2321</v>
      </c>
      <c r="C1139" s="13" t="s">
        <v>144</v>
      </c>
      <c r="D1139" s="13" t="s">
        <v>299</v>
      </c>
      <c r="E1139" s="13" t="str">
        <f>IFERROR(INDEX('Почасовка — ставки и план'!$B$5:$B$24,MATCH(D1139,'Почасовка — ставки и план'!$A$5:$A$24,0)),"Аренда техники / механизмы")</f>
        <v>Холодильщик / монтажник кондиционеров</v>
      </c>
      <c r="F1139" s="14">
        <v>4500</v>
      </c>
      <c r="G1139" s="14">
        <v>5200</v>
      </c>
      <c r="H1139" s="15">
        <v>2790</v>
      </c>
      <c r="I1139" s="15">
        <f>IF(OR(H1139="",F1139=""),"",MAX(H1139,MIN(ROUND(H1139*(1+Параметры!$B$5),IF(H1139*(1+Параметры!$B$5)&gt;=1000,-1,0)),ROUND(F1139*Параметры!$B$6,IF(F1139*Параметры!$B$6&gt;=1000,-1,0)))))</f>
        <v>3210</v>
      </c>
      <c r="J1139" s="15">
        <v>3224</v>
      </c>
      <c r="K1139" s="15">
        <f>IF(OR(J1139="",G1139=""),"",MAX(J1139,MIN(ROUND(J1139*(1+Параметры!$B$5),IF(J1139*(1+Параметры!$B$5)&gt;=1000,-1,0)),ROUND(G1139*Параметры!$B$6,IF(G1139*Параметры!$B$6&gt;=1000,-1,0)))))</f>
        <v>3710</v>
      </c>
      <c r="L1139" s="16">
        <v>1.5</v>
      </c>
      <c r="M1139" s="17">
        <f t="shared" si="92"/>
        <v>0.66666666666666663</v>
      </c>
      <c r="N1139" s="17">
        <f>IF(OR(L1139="",L1139=0),"",Параметры!$B$3/L1139)</f>
        <v>5.333333333333333</v>
      </c>
      <c r="O1139" s="15">
        <f>IF(L1139="","",IFERROR(INDEX('Почасовка — ставки и план'!$D$5:$D$24,MATCH($D1139,'Почасовка — ставки и план'!$A$5:$A$24,0)),""))</f>
        <v>1200</v>
      </c>
      <c r="P1139" s="15">
        <f>IF(L1139="","",IFERROR(INDEX('Почасовка — ставки и план'!$E$5:$E$24,MATCH($D1139,'Почасовка — ставки и план'!$A$5:$A$24,0)),""))</f>
        <v>1440</v>
      </c>
      <c r="Q1139" s="15">
        <f t="shared" si="93"/>
        <v>1800</v>
      </c>
      <c r="R1139" s="13" t="str">
        <f>IF(D1139="TEX","аренда техники — сделка/счёт",IF(OR(Q1139="",H1139="",H1139=0),"—",IF(Q1139&lt;H1139*(1-Параметры!$B$7),"почасовка",IF(Q1139&gt;H1139*(1+Параметры!$B$7),"сделка","любой способ"))))</f>
        <v>почасовка</v>
      </c>
      <c r="S1139">
        <v>0</v>
      </c>
      <c r="T1139">
        <v>0</v>
      </c>
    </row>
    <row r="1140" spans="1:20" x14ac:dyDescent="0.25">
      <c r="A1140" s="13" t="s">
        <v>2322</v>
      </c>
      <c r="B1140" s="13" t="s">
        <v>2323</v>
      </c>
      <c r="C1140" s="13" t="s">
        <v>144</v>
      </c>
      <c r="D1140" s="13" t="s">
        <v>299</v>
      </c>
      <c r="E1140" s="13" t="str">
        <f>IFERROR(INDEX('Почасовка — ставки и план'!$B$5:$B$24,MATCH(D1140,'Почасовка — ставки и план'!$A$5:$A$24,0)),"Аренда техники / механизмы")</f>
        <v>Холодильщик / монтажник кондиционеров</v>
      </c>
      <c r="F1140" s="14">
        <v>3500</v>
      </c>
      <c r="G1140" s="14">
        <v>4000</v>
      </c>
      <c r="H1140" s="15">
        <v>2170</v>
      </c>
      <c r="I1140" s="15">
        <f>IF(OR(H1140="",F1140=""),"",MAX(H1140,MIN(ROUND(H1140*(1+Параметры!$B$5),IF(H1140*(1+Параметры!$B$5)&gt;=1000,-1,0)),ROUND(F1140*Параметры!$B$6,IF(F1140*Параметры!$B$6&gt;=1000,-1,0)))))</f>
        <v>2500</v>
      </c>
      <c r="J1140" s="15">
        <v>2480</v>
      </c>
      <c r="K1140" s="15">
        <f>IF(OR(J1140="",G1140=""),"",MAX(J1140,MIN(ROUND(J1140*(1+Параметры!$B$5),IF(J1140*(1+Параметры!$B$5)&gt;=1000,-1,0)),ROUND(G1140*Параметры!$B$6,IF(G1140*Параметры!$B$6&gt;=1000,-1,0)))))</f>
        <v>2850</v>
      </c>
      <c r="L1140" s="16">
        <v>2</v>
      </c>
      <c r="M1140" s="17">
        <f t="shared" si="92"/>
        <v>0.5</v>
      </c>
      <c r="N1140" s="17">
        <f>IF(OR(L1140="",L1140=0),"",Параметры!$B$3/L1140)</f>
        <v>4</v>
      </c>
      <c r="O1140" s="15">
        <f>IF(L1140="","",IFERROR(INDEX('Почасовка — ставки и план'!$D$5:$D$24,MATCH($D1140,'Почасовка — ставки и план'!$A$5:$A$24,0)),""))</f>
        <v>1200</v>
      </c>
      <c r="P1140" s="15">
        <f>IF(L1140="","",IFERROR(INDEX('Почасовка — ставки и план'!$E$5:$E$24,MATCH($D1140,'Почасовка — ставки и план'!$A$5:$A$24,0)),""))</f>
        <v>1440</v>
      </c>
      <c r="Q1140" s="15">
        <f t="shared" si="93"/>
        <v>2400</v>
      </c>
      <c r="R1140" s="13" t="str">
        <f>IF(D1140="TEX","аренда техники — сделка/счёт",IF(OR(Q1140="",H1140="",H1140=0),"—",IF(Q1140&lt;H1140*(1-Параметры!$B$7),"почасовка",IF(Q1140&gt;H1140*(1+Параметры!$B$7),"сделка","любой способ"))))</f>
        <v>сделка</v>
      </c>
      <c r="S1140">
        <v>0</v>
      </c>
      <c r="T1140">
        <v>0</v>
      </c>
    </row>
    <row r="1141" spans="1:20" x14ac:dyDescent="0.25">
      <c r="A1141" s="13" t="s">
        <v>2324</v>
      </c>
      <c r="B1141" s="13" t="s">
        <v>2325</v>
      </c>
      <c r="C1141" s="13" t="s">
        <v>144</v>
      </c>
      <c r="D1141" s="13" t="s">
        <v>299</v>
      </c>
      <c r="E1141" s="13" t="str">
        <f>IFERROR(INDEX('Почасовка — ставки и план'!$B$5:$B$24,MATCH(D1141,'Почасовка — ставки и план'!$A$5:$A$24,0)),"Аренда техники / механизмы")</f>
        <v>Холодильщик / монтажник кондиционеров</v>
      </c>
      <c r="F1141" s="14">
        <v>4500</v>
      </c>
      <c r="G1141" s="14">
        <v>5200</v>
      </c>
      <c r="H1141" s="15">
        <v>2790</v>
      </c>
      <c r="I1141" s="15">
        <f>IF(OR(H1141="",F1141=""),"",MAX(H1141,MIN(ROUND(H1141*(1+Параметры!$B$5),IF(H1141*(1+Параметры!$B$5)&gt;=1000,-1,0)),ROUND(F1141*Параметры!$B$6,IF(F1141*Параметры!$B$6&gt;=1000,-1,0)))))</f>
        <v>3210</v>
      </c>
      <c r="J1141" s="15">
        <v>3224</v>
      </c>
      <c r="K1141" s="15">
        <f>IF(OR(J1141="",G1141=""),"",MAX(J1141,MIN(ROUND(J1141*(1+Параметры!$B$5),IF(J1141*(1+Параметры!$B$5)&gt;=1000,-1,0)),ROUND(G1141*Параметры!$B$6,IF(G1141*Параметры!$B$6&gt;=1000,-1,0)))))</f>
        <v>3710</v>
      </c>
      <c r="L1141" s="16">
        <v>2.5</v>
      </c>
      <c r="M1141" s="17">
        <f t="shared" si="92"/>
        <v>0.4</v>
      </c>
      <c r="N1141" s="17">
        <f>IF(OR(L1141="",L1141=0),"",Параметры!$B$3/L1141)</f>
        <v>3.2</v>
      </c>
      <c r="O1141" s="15">
        <f>IF(L1141="","",IFERROR(INDEX('Почасовка — ставки и план'!$D$5:$D$24,MATCH($D1141,'Почасовка — ставки и план'!$A$5:$A$24,0)),""))</f>
        <v>1200</v>
      </c>
      <c r="P1141" s="15">
        <f>IF(L1141="","",IFERROR(INDEX('Почасовка — ставки и план'!$E$5:$E$24,MATCH($D1141,'Почасовка — ставки и план'!$A$5:$A$24,0)),""))</f>
        <v>1440</v>
      </c>
      <c r="Q1141" s="15">
        <f t="shared" si="93"/>
        <v>3000</v>
      </c>
      <c r="R1141" s="13" t="str">
        <f>IF(D1141="TEX","аренда техники — сделка/счёт",IF(OR(Q1141="",H1141="",H1141=0),"—",IF(Q1141&lt;H1141*(1-Параметры!$B$7),"почасовка",IF(Q1141&gt;H1141*(1+Параметры!$B$7),"сделка","любой способ"))))</f>
        <v>любой способ</v>
      </c>
      <c r="S1141">
        <v>0</v>
      </c>
      <c r="T1141">
        <v>0</v>
      </c>
    </row>
    <row r="1142" spans="1:20" x14ac:dyDescent="0.25">
      <c r="A1142" s="13" t="s">
        <v>2326</v>
      </c>
      <c r="B1142" s="13" t="s">
        <v>2327</v>
      </c>
      <c r="C1142" s="13" t="s">
        <v>144</v>
      </c>
      <c r="D1142" s="13" t="s">
        <v>299</v>
      </c>
      <c r="E1142" s="13" t="str">
        <f>IFERROR(INDEX('Почасовка — ставки и план'!$B$5:$B$24,MATCH(D1142,'Почасовка — ставки и план'!$A$5:$A$24,0)),"Аренда техники / механизмы")</f>
        <v>Холодильщик / монтажник кондиционеров</v>
      </c>
      <c r="F1142" s="14">
        <v>6000</v>
      </c>
      <c r="G1142" s="14">
        <v>6900</v>
      </c>
      <c r="H1142" s="15">
        <v>3720</v>
      </c>
      <c r="I1142" s="15">
        <f>IF(OR(H1142="",F1142=""),"",MAX(H1142,MIN(ROUND(H1142*(1+Параметры!$B$5),IF(H1142*(1+Параметры!$B$5)&gt;=1000,-1,0)),ROUND(F1142*Параметры!$B$6,IF(F1142*Параметры!$B$6&gt;=1000,-1,0)))))</f>
        <v>4280</v>
      </c>
      <c r="J1142" s="15">
        <v>4278</v>
      </c>
      <c r="K1142" s="15">
        <f>IF(OR(J1142="",G1142=""),"",MAX(J1142,MIN(ROUND(J1142*(1+Параметры!$B$5),IF(J1142*(1+Параметры!$B$5)&gt;=1000,-1,0)),ROUND(G1142*Параметры!$B$6,IF(G1142*Параметры!$B$6&gt;=1000,-1,0)))))</f>
        <v>4920</v>
      </c>
      <c r="L1142" s="16">
        <v>3.5</v>
      </c>
      <c r="M1142" s="17">
        <f t="shared" si="92"/>
        <v>0.2857142857142857</v>
      </c>
      <c r="N1142" s="17">
        <f>IF(OR(L1142="",L1142=0),"",Параметры!$B$3/L1142)</f>
        <v>2.2857142857142856</v>
      </c>
      <c r="O1142" s="15">
        <f>IF(L1142="","",IFERROR(INDEX('Почасовка — ставки и план'!$D$5:$D$24,MATCH($D1142,'Почасовка — ставки и план'!$A$5:$A$24,0)),""))</f>
        <v>1200</v>
      </c>
      <c r="P1142" s="15">
        <f>IF(L1142="","",IFERROR(INDEX('Почасовка — ставки и план'!$E$5:$E$24,MATCH($D1142,'Почасовка — ставки и план'!$A$5:$A$24,0)),""))</f>
        <v>1440</v>
      </c>
      <c r="Q1142" s="15">
        <f t="shared" si="93"/>
        <v>4200</v>
      </c>
      <c r="R1142" s="13" t="str">
        <f>IF(D1142="TEX","аренда техники — сделка/счёт",IF(OR(Q1142="",H1142="",H1142=0),"—",IF(Q1142&lt;H1142*(1-Параметры!$B$7),"почасовка",IF(Q1142&gt;H1142*(1+Параметры!$B$7),"сделка","любой способ"))))</f>
        <v>сделка</v>
      </c>
      <c r="S1142">
        <v>0</v>
      </c>
      <c r="T1142">
        <v>0</v>
      </c>
    </row>
    <row r="1143" spans="1:20" x14ac:dyDescent="0.25">
      <c r="A1143" s="13" t="s">
        <v>2328</v>
      </c>
      <c r="B1143" s="13" t="s">
        <v>2329</v>
      </c>
      <c r="C1143" s="13" t="s">
        <v>69</v>
      </c>
      <c r="D1143" s="13" t="s">
        <v>299</v>
      </c>
      <c r="E1143" s="13" t="str">
        <f>IFERROR(INDEX('Почасовка — ставки и план'!$B$5:$B$24,MATCH(D1143,'Почасовка — ставки и план'!$A$5:$A$24,0)),"Аренда техники / механизмы")</f>
        <v>Холодильщик / монтажник кондиционеров</v>
      </c>
      <c r="F1143" s="14">
        <v>320</v>
      </c>
      <c r="G1143" s="14">
        <v>384</v>
      </c>
      <c r="H1143" s="15">
        <v>180</v>
      </c>
      <c r="I1143" s="15">
        <f>IF(OR(H1143="",F1143=""),"",MAX(H1143,MIN(ROUND(H1143*(1+Параметры!$B$5),IF(H1143*(1+Параметры!$B$5)&gt;=1000,-1,0)),ROUND(F1143*Параметры!$B$6,IF(F1143*Параметры!$B$6&gt;=1000,-1,0)))))</f>
        <v>207</v>
      </c>
      <c r="J1143" s="15">
        <v>210</v>
      </c>
      <c r="K1143" s="15">
        <f>IF(OR(J1143="",G1143=""),"",MAX(J1143,MIN(ROUND(J1143*(1+Параметры!$B$5),IF(J1143*(1+Параметры!$B$5)&gt;=1000,-1,0)),ROUND(G1143*Параметры!$B$6,IF(G1143*Параметры!$B$6&gt;=1000,-1,0)))))</f>
        <v>242</v>
      </c>
      <c r="L1143" s="16">
        <v>0.2</v>
      </c>
      <c r="M1143" s="17">
        <f t="shared" si="92"/>
        <v>5</v>
      </c>
      <c r="N1143" s="17">
        <f>IF(OR(L1143="",L1143=0),"",Параметры!$B$3/L1143)</f>
        <v>40</v>
      </c>
      <c r="O1143" s="15">
        <f>IF(L1143="","",IFERROR(INDEX('Почасовка — ставки и план'!$D$5:$D$24,MATCH($D1143,'Почасовка — ставки и план'!$A$5:$A$24,0)),""))</f>
        <v>1200</v>
      </c>
      <c r="P1143" s="15">
        <f>IF(L1143="","",IFERROR(INDEX('Почасовка — ставки и план'!$E$5:$E$24,MATCH($D1143,'Почасовка — ставки и план'!$A$5:$A$24,0)),""))</f>
        <v>1440</v>
      </c>
      <c r="Q1143" s="15">
        <f t="shared" si="93"/>
        <v>240</v>
      </c>
      <c r="R1143" s="13" t="str">
        <f>IF(D1143="TEX","аренда техники — сделка/счёт",IF(OR(Q1143="",H1143="",H1143=0),"—",IF(Q1143&lt;H1143*(1-Параметры!$B$7),"почасовка",IF(Q1143&gt;H1143*(1+Параметры!$B$7),"сделка","любой способ"))))</f>
        <v>сделка</v>
      </c>
      <c r="S1143">
        <v>6.6666666666666652E-2</v>
      </c>
      <c r="T1143">
        <v>9.7142857142857197E-2</v>
      </c>
    </row>
    <row r="1144" spans="1:20" x14ac:dyDescent="0.25">
      <c r="A1144" s="13" t="s">
        <v>2330</v>
      </c>
      <c r="B1144" s="13" t="s">
        <v>2331</v>
      </c>
      <c r="C1144" s="13" t="s">
        <v>69</v>
      </c>
      <c r="D1144" s="13" t="s">
        <v>299</v>
      </c>
      <c r="E1144" s="13" t="str">
        <f>IFERROR(INDEX('Почасовка — ставки и план'!$B$5:$B$24,MATCH(D1144,'Почасовка — ставки и план'!$A$5:$A$24,0)),"Аренда техники / механизмы")</f>
        <v>Холодильщик / монтажник кондиционеров</v>
      </c>
      <c r="F1144" s="14">
        <v>250</v>
      </c>
      <c r="G1144" s="14">
        <v>300</v>
      </c>
      <c r="H1144" s="15">
        <v>150</v>
      </c>
      <c r="I1144" s="15">
        <f>IF(OR(H1144="",F1144=""),"",MAX(H1144,MIN(ROUND(H1144*(1+Параметры!$B$5),IF(H1144*(1+Параметры!$B$5)&gt;=1000,-1,0)),ROUND(F1144*Параметры!$B$6,IF(F1144*Параметры!$B$6&gt;=1000,-1,0)))))</f>
        <v>173</v>
      </c>
      <c r="J1144" s="15">
        <v>180</v>
      </c>
      <c r="K1144" s="15">
        <f>IF(OR(J1144="",G1144=""),"",MAX(J1144,MIN(ROUND(J1144*(1+Параметры!$B$5),IF(J1144*(1+Параметры!$B$5)&gt;=1000,-1,0)),ROUND(G1144*Параметры!$B$6,IF(G1144*Параметры!$B$6&gt;=1000,-1,0)))))</f>
        <v>207</v>
      </c>
      <c r="L1144" s="16">
        <v>0.15</v>
      </c>
      <c r="M1144" s="17">
        <f t="shared" si="92"/>
        <v>6.666666666666667</v>
      </c>
      <c r="N1144" s="17">
        <f>IF(OR(L1144="",L1144=0),"",Параметры!$B$3/L1144)</f>
        <v>53.333333333333336</v>
      </c>
      <c r="O1144" s="15">
        <f>IF(L1144="","",IFERROR(INDEX('Почасовка — ставки и план'!$D$5:$D$24,MATCH($D1144,'Почасовка — ставки и план'!$A$5:$A$24,0)),""))</f>
        <v>1200</v>
      </c>
      <c r="P1144" s="15">
        <f>IF(L1144="","",IFERROR(INDEX('Почасовка — ставки и план'!$E$5:$E$24,MATCH($D1144,'Почасовка — ставки и план'!$A$5:$A$24,0)),""))</f>
        <v>1440</v>
      </c>
      <c r="Q1144" s="15">
        <f t="shared" si="93"/>
        <v>180</v>
      </c>
      <c r="R1144" s="13" t="str">
        <f>IF(D1144="TEX","аренда техники — сделка/счёт",IF(OR(Q1144="",H1144="",H1144=0),"—",IF(Q1144&lt;H1144*(1-Параметры!$B$7),"почасовка",IF(Q1144&gt;H1144*(1+Параметры!$B$7),"сделка","любой способ"))))</f>
        <v>сделка</v>
      </c>
      <c r="S1144">
        <v>0</v>
      </c>
      <c r="T1144">
        <v>0</v>
      </c>
    </row>
    <row r="1145" spans="1:20" x14ac:dyDescent="0.25">
      <c r="A1145" s="13" t="s">
        <v>2332</v>
      </c>
      <c r="B1145" s="13" t="s">
        <v>2333</v>
      </c>
      <c r="C1145" s="13" t="s">
        <v>144</v>
      </c>
      <c r="D1145" s="13" t="s">
        <v>299</v>
      </c>
      <c r="E1145" s="13" t="str">
        <f>IFERROR(INDEX('Почасовка — ставки и план'!$B$5:$B$24,MATCH(D1145,'Почасовка — ставки и план'!$A$5:$A$24,0)),"Аренда техники / механизмы")</f>
        <v>Холодильщик / монтажник кондиционеров</v>
      </c>
      <c r="F1145" s="14">
        <v>38000</v>
      </c>
      <c r="G1145" s="14">
        <v>44000</v>
      </c>
      <c r="H1145" s="15">
        <v>22800</v>
      </c>
      <c r="I1145" s="15">
        <f>IF(OR(H1145="",F1145=""),"",MAX(H1145,MIN(ROUND(H1145*(1+Параметры!$B$5),IF(H1145*(1+Параметры!$B$5)&gt;=1000,-1,0)),ROUND(F1145*Параметры!$B$6,IF(F1145*Параметры!$B$6&gt;=1000,-1,0)))))</f>
        <v>26220</v>
      </c>
      <c r="J1145" s="15">
        <v>26400</v>
      </c>
      <c r="K1145" s="15">
        <f>IF(OR(J1145="",G1145=""),"",MAX(J1145,MIN(ROUND(J1145*(1+Параметры!$B$5),IF(J1145*(1+Параметры!$B$5)&gt;=1000,-1,0)),ROUND(G1145*Параметры!$B$6,IF(G1145*Параметры!$B$6&gt;=1000,-1,0)))))</f>
        <v>30360</v>
      </c>
      <c r="L1145" s="16">
        <v>16</v>
      </c>
      <c r="M1145" s="17">
        <f t="shared" si="92"/>
        <v>6.25E-2</v>
      </c>
      <c r="N1145" s="17">
        <f>IF(OR(L1145="",L1145=0),"",Параметры!$B$3/L1145)</f>
        <v>0.5</v>
      </c>
      <c r="O1145" s="15">
        <f>IF(L1145="","",IFERROR(INDEX('Почасовка — ставки и план'!$D$5:$D$24,MATCH($D1145,'Почасовка — ставки и план'!$A$5:$A$24,0)),""))</f>
        <v>1200</v>
      </c>
      <c r="P1145" s="15">
        <f>IF(L1145="","",IFERROR(INDEX('Почасовка — ставки и план'!$E$5:$E$24,MATCH($D1145,'Почасовка — ставки и план'!$A$5:$A$24,0)),""))</f>
        <v>1440</v>
      </c>
      <c r="Q1145" s="15">
        <f t="shared" si="93"/>
        <v>19200</v>
      </c>
      <c r="R1145" s="13" t="str">
        <f>IF(D1145="TEX","аренда техники — сделка/счёт",IF(OR(Q1145="",H1145="",H1145=0),"—",IF(Q1145&lt;H1145*(1-Параметры!$B$7),"почасовка",IF(Q1145&gt;H1145*(1+Параметры!$B$7),"сделка","любой способ"))))</f>
        <v>почасовка</v>
      </c>
      <c r="S1145">
        <v>0</v>
      </c>
      <c r="T1145">
        <v>0</v>
      </c>
    </row>
    <row r="1146" spans="1:20" x14ac:dyDescent="0.25">
      <c r="A1146" s="13" t="s">
        <v>2334</v>
      </c>
      <c r="B1146" s="13" t="s">
        <v>2335</v>
      </c>
      <c r="C1146" s="13" t="s">
        <v>144</v>
      </c>
      <c r="D1146" s="13" t="s">
        <v>299</v>
      </c>
      <c r="E1146" s="13" t="str">
        <f>IFERROR(INDEX('Почасовка — ставки и план'!$B$5:$B$24,MATCH(D1146,'Почасовка — ставки и план'!$A$5:$A$24,0)),"Аренда техники / механизмы")</f>
        <v>Холодильщик / монтажник кондиционеров</v>
      </c>
      <c r="F1146" s="14">
        <v>54000</v>
      </c>
      <c r="G1146" s="14">
        <v>62000</v>
      </c>
      <c r="H1146" s="15">
        <v>32400</v>
      </c>
      <c r="I1146" s="15">
        <f>IF(OR(H1146="",F1146=""),"",MAX(H1146,MIN(ROUND(H1146*(1+Параметры!$B$5),IF(H1146*(1+Параметры!$B$5)&gt;=1000,-1,0)),ROUND(F1146*Параметры!$B$6,IF(F1146*Параметры!$B$6&gt;=1000,-1,0)))))</f>
        <v>37260</v>
      </c>
      <c r="J1146" s="15">
        <v>37200</v>
      </c>
      <c r="K1146" s="15">
        <f>IF(OR(J1146="",G1146=""),"",MAX(J1146,MIN(ROUND(J1146*(1+Параметры!$B$5),IF(J1146*(1+Параметры!$B$5)&gt;=1000,-1,0)),ROUND(G1146*Параметры!$B$6,IF(G1146*Параметры!$B$6&gt;=1000,-1,0)))))</f>
        <v>42780</v>
      </c>
      <c r="L1146" s="16">
        <v>22</v>
      </c>
      <c r="M1146" s="17">
        <f t="shared" si="92"/>
        <v>4.5454545454545456E-2</v>
      </c>
      <c r="N1146" s="17">
        <f>IF(OR(L1146="",L1146=0),"",Параметры!$B$3/L1146)</f>
        <v>0.36363636363636365</v>
      </c>
      <c r="O1146" s="15">
        <f>IF(L1146="","",IFERROR(INDEX('Почасовка — ставки и план'!$D$5:$D$24,MATCH($D1146,'Почасовка — ставки и план'!$A$5:$A$24,0)),""))</f>
        <v>1200</v>
      </c>
      <c r="P1146" s="15">
        <f>IF(L1146="","",IFERROR(INDEX('Почасовка — ставки и план'!$E$5:$E$24,MATCH($D1146,'Почасовка — ставки и план'!$A$5:$A$24,0)),""))</f>
        <v>1440</v>
      </c>
      <c r="Q1146" s="15">
        <f t="shared" si="93"/>
        <v>26400</v>
      </c>
      <c r="R1146" s="13" t="str">
        <f>IF(D1146="TEX","аренда техники — сделка/счёт",IF(OR(Q1146="",H1146="",H1146=0),"—",IF(Q1146&lt;H1146*(1-Параметры!$B$7),"почасовка",IF(Q1146&gt;H1146*(1+Параметры!$B$7),"сделка","любой способ"))))</f>
        <v>почасовка</v>
      </c>
      <c r="S1146">
        <v>0</v>
      </c>
      <c r="T1146">
        <v>0</v>
      </c>
    </row>
    <row r="1147" spans="1:20" x14ac:dyDescent="0.25">
      <c r="A1147" s="13" t="s">
        <v>2336</v>
      </c>
      <c r="B1147" s="13" t="s">
        <v>2337</v>
      </c>
      <c r="C1147" s="13" t="s">
        <v>144</v>
      </c>
      <c r="D1147" s="13" t="s">
        <v>299</v>
      </c>
      <c r="E1147" s="13" t="str">
        <f>IFERROR(INDEX('Почасовка — ставки и план'!$B$5:$B$24,MATCH(D1147,'Почасовка — ставки и план'!$A$5:$A$24,0)),"Аренда техники / механизмы")</f>
        <v>Холодильщик / монтажник кондиционеров</v>
      </c>
      <c r="F1147" s="14">
        <v>70000</v>
      </c>
      <c r="G1147" s="14">
        <v>80000</v>
      </c>
      <c r="H1147" s="15">
        <v>42000</v>
      </c>
      <c r="I1147" s="15">
        <f>IF(OR(H1147="",F1147=""),"",MAX(H1147,MIN(ROUND(H1147*(1+Параметры!$B$5),IF(H1147*(1+Параметры!$B$5)&gt;=1000,-1,0)),ROUND(F1147*Параметры!$B$6,IF(F1147*Параметры!$B$6&gt;=1000,-1,0)))))</f>
        <v>48300</v>
      </c>
      <c r="J1147" s="15">
        <v>48000</v>
      </c>
      <c r="K1147" s="15">
        <f>IF(OR(J1147="",G1147=""),"",MAX(J1147,MIN(ROUND(J1147*(1+Параметры!$B$5),IF(J1147*(1+Параметры!$B$5)&gt;=1000,-1,0)),ROUND(G1147*Параметры!$B$6,IF(G1147*Параметры!$B$6&gt;=1000,-1,0)))))</f>
        <v>55200</v>
      </c>
      <c r="L1147" s="16">
        <v>28</v>
      </c>
      <c r="M1147" s="17">
        <f t="shared" si="92"/>
        <v>3.5714285714285712E-2</v>
      </c>
      <c r="N1147" s="17">
        <f>IF(OR(L1147="",L1147=0),"",Параметры!$B$3/L1147)</f>
        <v>0.2857142857142857</v>
      </c>
      <c r="O1147" s="15">
        <f>IF(L1147="","",IFERROR(INDEX('Почасовка — ставки и план'!$D$5:$D$24,MATCH($D1147,'Почасовка — ставки и план'!$A$5:$A$24,0)),""))</f>
        <v>1200</v>
      </c>
      <c r="P1147" s="15">
        <f>IF(L1147="","",IFERROR(INDEX('Почасовка — ставки и план'!$E$5:$E$24,MATCH($D1147,'Почасовка — ставки и план'!$A$5:$A$24,0)),""))</f>
        <v>1440</v>
      </c>
      <c r="Q1147" s="15">
        <f t="shared" si="93"/>
        <v>33600</v>
      </c>
      <c r="R1147" s="13" t="str">
        <f>IF(D1147="TEX","аренда техники — сделка/счёт",IF(OR(Q1147="",H1147="",H1147=0),"—",IF(Q1147&lt;H1147*(1-Параметры!$B$7),"почасовка",IF(Q1147&gt;H1147*(1+Параметры!$B$7),"сделка","любой способ"))))</f>
        <v>почасовка</v>
      </c>
      <c r="S1147">
        <v>0</v>
      </c>
      <c r="T1147">
        <v>0</v>
      </c>
    </row>
    <row r="1148" spans="1:20" x14ac:dyDescent="0.25">
      <c r="A1148" s="13" t="s">
        <v>2338</v>
      </c>
      <c r="B1148" s="13" t="s">
        <v>2339</v>
      </c>
      <c r="C1148" s="13" t="s">
        <v>144</v>
      </c>
      <c r="D1148" s="13" t="s">
        <v>299</v>
      </c>
      <c r="E1148" s="13" t="str">
        <f>IFERROR(INDEX('Почасовка — ставки и план'!$B$5:$B$24,MATCH(D1148,'Почасовка — ставки и план'!$A$5:$A$24,0)),"Аренда техники / механизмы")</f>
        <v>Холодильщик / монтажник кондиционеров</v>
      </c>
      <c r="F1148" s="14">
        <v>7000</v>
      </c>
      <c r="G1148" s="14">
        <v>8000</v>
      </c>
      <c r="H1148" s="15">
        <v>4340</v>
      </c>
      <c r="I1148" s="15">
        <f>IF(OR(H1148="",F1148=""),"",MAX(H1148,MIN(ROUND(H1148*(1+Параметры!$B$5),IF(H1148*(1+Параметры!$B$5)&gt;=1000,-1,0)),ROUND(F1148*Параметры!$B$6,IF(F1148*Параметры!$B$6&gt;=1000,-1,0)))))</f>
        <v>4990</v>
      </c>
      <c r="J1148" s="15">
        <v>4960</v>
      </c>
      <c r="K1148" s="15">
        <f>IF(OR(J1148="",G1148=""),"",MAX(J1148,MIN(ROUND(J1148*(1+Параметры!$B$5),IF(J1148*(1+Параметры!$B$5)&gt;=1000,-1,0)),ROUND(G1148*Параметры!$B$6,IF(G1148*Параметры!$B$6&gt;=1000,-1,0)))))</f>
        <v>5700</v>
      </c>
      <c r="L1148" s="16">
        <v>4</v>
      </c>
      <c r="M1148" s="17">
        <f t="shared" si="92"/>
        <v>0.25</v>
      </c>
      <c r="N1148" s="17">
        <f>IF(OR(L1148="",L1148=0),"",Параметры!$B$3/L1148)</f>
        <v>2</v>
      </c>
      <c r="O1148" s="15">
        <f>IF(L1148="","",IFERROR(INDEX('Почасовка — ставки и план'!$D$5:$D$24,MATCH($D1148,'Почасовка — ставки и план'!$A$5:$A$24,0)),""))</f>
        <v>1200</v>
      </c>
      <c r="P1148" s="15">
        <f>IF(L1148="","",IFERROR(INDEX('Почасовка — ставки и план'!$E$5:$E$24,MATCH($D1148,'Почасовка — ставки и план'!$A$5:$A$24,0)),""))</f>
        <v>1440</v>
      </c>
      <c r="Q1148" s="15">
        <f t="shared" si="93"/>
        <v>4800</v>
      </c>
      <c r="R1148" s="13" t="str">
        <f>IF(D1148="TEX","аренда техники — сделка/счёт",IF(OR(Q1148="",H1148="",H1148=0),"—",IF(Q1148&lt;H1148*(1-Параметры!$B$7),"почасовка",IF(Q1148&gt;H1148*(1+Параметры!$B$7),"сделка","любой способ"))))</f>
        <v>сделка</v>
      </c>
      <c r="S1148">
        <v>0</v>
      </c>
      <c r="T1148">
        <v>0</v>
      </c>
    </row>
    <row r="1149" spans="1:20" x14ac:dyDescent="0.25">
      <c r="A1149" s="13" t="s">
        <v>2340</v>
      </c>
      <c r="B1149" s="13" t="s">
        <v>2341</v>
      </c>
      <c r="C1149" s="13" t="s">
        <v>144</v>
      </c>
      <c r="D1149" s="13" t="s">
        <v>299</v>
      </c>
      <c r="E1149" s="13" t="str">
        <f>IFERROR(INDEX('Почасовка — ставки и план'!$B$5:$B$24,MATCH(D1149,'Почасовка — ставки и план'!$A$5:$A$24,0)),"Аренда техники / механизмы")</f>
        <v>Холодильщик / монтажник кондиционеров</v>
      </c>
      <c r="F1149" s="14">
        <v>8500</v>
      </c>
      <c r="G1149" s="14">
        <v>9800</v>
      </c>
      <c r="H1149" s="15">
        <v>5270</v>
      </c>
      <c r="I1149" s="15">
        <f>IF(OR(H1149="",F1149=""),"",MAX(H1149,MIN(ROUND(H1149*(1+Параметры!$B$5),IF(H1149*(1+Параметры!$B$5)&gt;=1000,-1,0)),ROUND(F1149*Параметры!$B$6,IF(F1149*Параметры!$B$6&gt;=1000,-1,0)))))</f>
        <v>6060</v>
      </c>
      <c r="J1149" s="15">
        <v>6076</v>
      </c>
      <c r="K1149" s="15">
        <f>IF(OR(J1149="",G1149=""),"",MAX(J1149,MIN(ROUND(J1149*(1+Параметры!$B$5),IF(J1149*(1+Параметры!$B$5)&gt;=1000,-1,0)),ROUND(G1149*Параметры!$B$6,IF(G1149*Параметры!$B$6&gt;=1000,-1,0)))))</f>
        <v>6990</v>
      </c>
      <c r="L1149" s="16">
        <v>5</v>
      </c>
      <c r="M1149" s="17">
        <f t="shared" si="92"/>
        <v>0.2</v>
      </c>
      <c r="N1149" s="17">
        <f>IF(OR(L1149="",L1149=0),"",Параметры!$B$3/L1149)</f>
        <v>1.6</v>
      </c>
      <c r="O1149" s="15">
        <f>IF(L1149="","",IFERROR(INDEX('Почасовка — ставки и план'!$D$5:$D$24,MATCH($D1149,'Почасовка — ставки и план'!$A$5:$A$24,0)),""))</f>
        <v>1200</v>
      </c>
      <c r="P1149" s="15">
        <f>IF(L1149="","",IFERROR(INDEX('Почасовка — ставки и план'!$E$5:$E$24,MATCH($D1149,'Почасовка — ставки и план'!$A$5:$A$24,0)),""))</f>
        <v>1440</v>
      </c>
      <c r="Q1149" s="15">
        <f t="shared" si="93"/>
        <v>6000</v>
      </c>
      <c r="R1149" s="13" t="str">
        <f>IF(D1149="TEX","аренда техники — сделка/счёт",IF(OR(Q1149="",H1149="",H1149=0),"—",IF(Q1149&lt;H1149*(1-Параметры!$B$7),"почасовка",IF(Q1149&gt;H1149*(1+Параметры!$B$7),"сделка","любой способ"))))</f>
        <v>сделка</v>
      </c>
      <c r="S1149">
        <v>0</v>
      </c>
      <c r="T1149">
        <v>0</v>
      </c>
    </row>
    <row r="1150" spans="1:20" x14ac:dyDescent="0.25">
      <c r="A1150" s="13" t="s">
        <v>2342</v>
      </c>
      <c r="B1150" s="13" t="s">
        <v>2343</v>
      </c>
      <c r="C1150" s="13" t="s">
        <v>144</v>
      </c>
      <c r="D1150" s="13" t="s">
        <v>299</v>
      </c>
      <c r="E1150" s="13" t="str">
        <f>IFERROR(INDEX('Почасовка — ставки и план'!$B$5:$B$24,MATCH(D1150,'Почасовка — ставки и план'!$A$5:$A$24,0)),"Аренда техники / механизмы")</f>
        <v>Холодильщик / монтажник кондиционеров</v>
      </c>
      <c r="F1150" s="14">
        <v>11000</v>
      </c>
      <c r="G1150" s="14">
        <v>12500</v>
      </c>
      <c r="H1150" s="15">
        <v>6820</v>
      </c>
      <c r="I1150" s="15">
        <f>IF(OR(H1150="",F1150=""),"",MAX(H1150,MIN(ROUND(H1150*(1+Параметры!$B$5),IF(H1150*(1+Параметры!$B$5)&gt;=1000,-1,0)),ROUND(F1150*Параметры!$B$6,IF(F1150*Параметры!$B$6&gt;=1000,-1,0)))))</f>
        <v>7840</v>
      </c>
      <c r="J1150" s="15">
        <v>7750</v>
      </c>
      <c r="K1150" s="15">
        <f>IF(OR(J1150="",G1150=""),"",MAX(J1150,MIN(ROUND(J1150*(1+Параметры!$B$5),IF(J1150*(1+Параметры!$B$5)&gt;=1000,-1,0)),ROUND(G1150*Параметры!$B$6,IF(G1150*Параметры!$B$6&gt;=1000,-1,0)))))</f>
        <v>8910</v>
      </c>
      <c r="L1150" s="16">
        <v>6.5</v>
      </c>
      <c r="M1150" s="17">
        <f t="shared" si="92"/>
        <v>0.15384615384615385</v>
      </c>
      <c r="N1150" s="17">
        <f>IF(OR(L1150="",L1150=0),"",Параметры!$B$3/L1150)</f>
        <v>1.2307692307692308</v>
      </c>
      <c r="O1150" s="15">
        <f>IF(L1150="","",IFERROR(INDEX('Почасовка — ставки и план'!$D$5:$D$24,MATCH($D1150,'Почасовка — ставки и план'!$A$5:$A$24,0)),""))</f>
        <v>1200</v>
      </c>
      <c r="P1150" s="15">
        <f>IF(L1150="","",IFERROR(INDEX('Почасовка — ставки и план'!$E$5:$E$24,MATCH($D1150,'Почасовка — ставки и план'!$A$5:$A$24,0)),""))</f>
        <v>1440</v>
      </c>
      <c r="Q1150" s="15">
        <f t="shared" si="93"/>
        <v>7800</v>
      </c>
      <c r="R1150" s="13" t="str">
        <f>IF(D1150="TEX","аренда техники — сделка/счёт",IF(OR(Q1150="",H1150="",H1150=0),"—",IF(Q1150&lt;H1150*(1-Параметры!$B$7),"почасовка",IF(Q1150&gt;H1150*(1+Параметры!$B$7),"сделка","любой способ"))))</f>
        <v>сделка</v>
      </c>
      <c r="S1150">
        <v>0</v>
      </c>
      <c r="T1150">
        <v>0</v>
      </c>
    </row>
    <row r="1151" spans="1:20" x14ac:dyDescent="0.25">
      <c r="A1151" s="13" t="s">
        <v>2344</v>
      </c>
      <c r="B1151" s="13" t="s">
        <v>2345</v>
      </c>
      <c r="C1151" s="13" t="s">
        <v>144</v>
      </c>
      <c r="D1151" s="13" t="s">
        <v>288</v>
      </c>
      <c r="E1151" s="13" t="str">
        <f>IFERROR(INDEX('Почасовка — ставки и план'!$B$5:$B$24,MATCH(D1151,'Почасовка — ставки и план'!$A$5:$A$24,0)),"Аренда техники / механизмы")</f>
        <v>Монтажник вентиляции</v>
      </c>
      <c r="F1151" s="14">
        <v>900</v>
      </c>
      <c r="G1151" s="14">
        <v>1000</v>
      </c>
      <c r="H1151" s="15">
        <v>540</v>
      </c>
      <c r="I1151" s="15">
        <f>IF(OR(H1151="",F1151=""),"",MAX(H1151,MIN(ROUND(H1151*(1+Параметры!$B$5),IF(H1151*(1+Параметры!$B$5)&gt;=1000,-1,0)),ROUND(F1151*Параметры!$B$6,IF(F1151*Параметры!$B$6&gt;=1000,-1,0)))))</f>
        <v>621</v>
      </c>
      <c r="J1151" s="15">
        <v>600</v>
      </c>
      <c r="K1151" s="15">
        <f>IF(OR(J1151="",G1151=""),"",MAX(J1151,MIN(ROUND(J1151*(1+Параметры!$B$5),IF(J1151*(1+Параметры!$B$5)&gt;=1000,-1,0)),ROUND(G1151*Параметры!$B$6,IF(G1151*Параметры!$B$6&gt;=1000,-1,0)))))</f>
        <v>690</v>
      </c>
      <c r="L1151" s="16">
        <v>0.5</v>
      </c>
      <c r="M1151" s="17">
        <f t="shared" si="92"/>
        <v>2</v>
      </c>
      <c r="N1151" s="17">
        <f>IF(OR(L1151="",L1151=0),"",Параметры!$B$3/L1151)</f>
        <v>16</v>
      </c>
      <c r="O1151" s="15">
        <f>IF(L1151="","",IFERROR(INDEX('Почасовка — ставки и план'!$D$5:$D$24,MATCH($D1151,'Почасовка — ставки и план'!$A$5:$A$24,0)),""))</f>
        <v>850</v>
      </c>
      <c r="P1151" s="15">
        <f>IF(L1151="","",IFERROR(INDEX('Почасовка — ставки и план'!$E$5:$E$24,MATCH($D1151,'Почасовка — ставки и план'!$A$5:$A$24,0)),""))</f>
        <v>1020</v>
      </c>
      <c r="Q1151" s="15">
        <f t="shared" si="93"/>
        <v>425</v>
      </c>
      <c r="R1151" s="13" t="str">
        <f>IF(D1151="TEX","аренда техники — сделка/счёт",IF(OR(Q1151="",H1151="",H1151=0),"—",IF(Q1151&lt;H1151*(1-Параметры!$B$7),"почасовка",IF(Q1151&gt;H1151*(1+Параметры!$B$7),"сделка","любой способ"))))</f>
        <v>почасовка</v>
      </c>
      <c r="S1151">
        <v>0</v>
      </c>
      <c r="T1151">
        <v>0</v>
      </c>
    </row>
    <row r="1152" spans="1:20" x14ac:dyDescent="0.25">
      <c r="A1152" s="13" t="s">
        <v>2346</v>
      </c>
      <c r="B1152" s="13" t="s">
        <v>2347</v>
      </c>
      <c r="C1152" s="13" t="s">
        <v>144</v>
      </c>
      <c r="D1152" s="13" t="s">
        <v>299</v>
      </c>
      <c r="E1152" s="13" t="str">
        <f>IFERROR(INDEX('Почасовка — ставки и план'!$B$5:$B$24,MATCH(D1152,'Почасовка — ставки и план'!$A$5:$A$24,0)),"Аренда техники / механизмы")</f>
        <v>Холодильщик / монтажник кондиционеров</v>
      </c>
      <c r="F1152" s="14">
        <v>2500</v>
      </c>
      <c r="G1152" s="14">
        <v>2900</v>
      </c>
      <c r="H1152" s="15">
        <v>1500</v>
      </c>
      <c r="I1152" s="15">
        <f>IF(OR(H1152="",F1152=""),"",MAX(H1152,MIN(ROUND(H1152*(1+Параметры!$B$5),IF(H1152*(1+Параметры!$B$5)&gt;=1000,-1,0)),ROUND(F1152*Параметры!$B$6,IF(F1152*Параметры!$B$6&gt;=1000,-1,0)))))</f>
        <v>1730</v>
      </c>
      <c r="J1152" s="15">
        <v>1740</v>
      </c>
      <c r="K1152" s="15">
        <f>IF(OR(J1152="",G1152=""),"",MAX(J1152,MIN(ROUND(J1152*(1+Параметры!$B$5),IF(J1152*(1+Параметры!$B$5)&gt;=1000,-1,0)),ROUND(G1152*Параметры!$B$6,IF(G1152*Параметры!$B$6&gt;=1000,-1,0)))))</f>
        <v>2000</v>
      </c>
      <c r="L1152" s="16">
        <v>1</v>
      </c>
      <c r="M1152" s="17">
        <f t="shared" si="92"/>
        <v>1</v>
      </c>
      <c r="N1152" s="17">
        <f>IF(OR(L1152="",L1152=0),"",Параметры!$B$3/L1152)</f>
        <v>8</v>
      </c>
      <c r="O1152" s="15">
        <f>IF(L1152="","",IFERROR(INDEX('Почасовка — ставки и план'!$D$5:$D$24,MATCH($D1152,'Почасовка — ставки и план'!$A$5:$A$24,0)),""))</f>
        <v>1200</v>
      </c>
      <c r="P1152" s="15">
        <f>IF(L1152="","",IFERROR(INDEX('Почасовка — ставки и план'!$E$5:$E$24,MATCH($D1152,'Почасовка — ставки и план'!$A$5:$A$24,0)),""))</f>
        <v>1440</v>
      </c>
      <c r="Q1152" s="15">
        <f t="shared" si="93"/>
        <v>1200</v>
      </c>
      <c r="R1152" s="13" t="str">
        <f>IF(D1152="TEX","аренда техники — сделка/счёт",IF(OR(Q1152="",H1152="",H1152=0),"—",IF(Q1152&lt;H1152*(1-Параметры!$B$7),"почасовка",IF(Q1152&gt;H1152*(1+Параметры!$B$7),"сделка","любой способ"))))</f>
        <v>почасовка</v>
      </c>
      <c r="S1152">
        <v>0</v>
      </c>
      <c r="T1152">
        <v>0</v>
      </c>
    </row>
    <row r="1153" spans="1:20" x14ac:dyDescent="0.25">
      <c r="A1153" s="13" t="s">
        <v>2348</v>
      </c>
      <c r="B1153" s="13" t="s">
        <v>2349</v>
      </c>
      <c r="C1153" s="13" t="s">
        <v>144</v>
      </c>
      <c r="D1153" s="13" t="s">
        <v>299</v>
      </c>
      <c r="E1153" s="13" t="str">
        <f>IFERROR(INDEX('Почасовка — ставки и план'!$B$5:$B$24,MATCH(D1153,'Почасовка — ставки и план'!$A$5:$A$24,0)),"Аренда техники / механизмы")</f>
        <v>Холодильщик / монтажник кондиционеров</v>
      </c>
      <c r="F1153" s="14">
        <v>2500</v>
      </c>
      <c r="G1153" s="14">
        <v>2900</v>
      </c>
      <c r="H1153" s="15">
        <v>1500</v>
      </c>
      <c r="I1153" s="15">
        <f>IF(OR(H1153="",F1153=""),"",MAX(H1153,MIN(ROUND(H1153*(1+Параметры!$B$5),IF(H1153*(1+Параметры!$B$5)&gt;=1000,-1,0)),ROUND(F1153*Параметры!$B$6,IF(F1153*Параметры!$B$6&gt;=1000,-1,0)))))</f>
        <v>1730</v>
      </c>
      <c r="J1153" s="15">
        <v>1740</v>
      </c>
      <c r="K1153" s="15">
        <f>IF(OR(J1153="",G1153=""),"",MAX(J1153,MIN(ROUND(J1153*(1+Параметры!$B$5),IF(J1153*(1+Параметры!$B$5)&gt;=1000,-1,0)),ROUND(G1153*Параметры!$B$6,IF(G1153*Параметры!$B$6&gt;=1000,-1,0)))))</f>
        <v>2000</v>
      </c>
      <c r="L1153" s="16">
        <v>1</v>
      </c>
      <c r="M1153" s="17">
        <f t="shared" si="92"/>
        <v>1</v>
      </c>
      <c r="N1153" s="17">
        <f>IF(OR(L1153="",L1153=0),"",Параметры!$B$3/L1153)</f>
        <v>8</v>
      </c>
      <c r="O1153" s="15">
        <f>IF(L1153="","",IFERROR(INDEX('Почасовка — ставки и план'!$D$5:$D$24,MATCH($D1153,'Почасовка — ставки и план'!$A$5:$A$24,0)),""))</f>
        <v>1200</v>
      </c>
      <c r="P1153" s="15">
        <f>IF(L1153="","",IFERROR(INDEX('Почасовка — ставки и план'!$E$5:$E$24,MATCH($D1153,'Почасовка — ставки и план'!$A$5:$A$24,0)),""))</f>
        <v>1440</v>
      </c>
      <c r="Q1153" s="15">
        <f t="shared" si="93"/>
        <v>1200</v>
      </c>
      <c r="R1153" s="13" t="str">
        <f>IF(D1153="TEX","аренда техники — сделка/счёт",IF(OR(Q1153="",H1153="",H1153=0),"—",IF(Q1153&lt;H1153*(1-Параметры!$B$7),"почасовка",IF(Q1153&gt;H1153*(1+Параметры!$B$7),"сделка","любой способ"))))</f>
        <v>почасовка</v>
      </c>
      <c r="S1153">
        <v>0</v>
      </c>
      <c r="T1153">
        <v>0</v>
      </c>
    </row>
    <row r="1154" spans="1:20" x14ac:dyDescent="0.25">
      <c r="A1154" s="13" t="s">
        <v>2350</v>
      </c>
      <c r="B1154" s="13" t="s">
        <v>2351</v>
      </c>
      <c r="C1154" s="13" t="s">
        <v>144</v>
      </c>
      <c r="D1154" s="13" t="s">
        <v>288</v>
      </c>
      <c r="E1154" s="13" t="str">
        <f>IFERROR(INDEX('Почасовка — ставки и план'!$B$5:$B$24,MATCH(D1154,'Почасовка — ставки и план'!$A$5:$A$24,0)),"Аренда техники / механизмы")</f>
        <v>Монтажник вентиляции</v>
      </c>
      <c r="F1154" s="14">
        <v>3500</v>
      </c>
      <c r="G1154" s="14">
        <v>4000</v>
      </c>
      <c r="H1154" s="15">
        <v>2100</v>
      </c>
      <c r="I1154" s="15">
        <f>IF(OR(H1154="",F1154=""),"",MAX(H1154,MIN(ROUND(H1154*(1+Параметры!$B$5),IF(H1154*(1+Параметры!$B$5)&gt;=1000,-1,0)),ROUND(F1154*Параметры!$B$6,IF(F1154*Параметры!$B$6&gt;=1000,-1,0)))))</f>
        <v>2420</v>
      </c>
      <c r="J1154" s="15">
        <v>2400</v>
      </c>
      <c r="K1154" s="15">
        <f>IF(OR(J1154="",G1154=""),"",MAX(J1154,MIN(ROUND(J1154*(1+Параметры!$B$5),IF(J1154*(1+Параметры!$B$5)&gt;=1000,-1,0)),ROUND(G1154*Параметры!$B$6,IF(G1154*Параметры!$B$6&gt;=1000,-1,0)))))</f>
        <v>2760</v>
      </c>
      <c r="L1154" s="16">
        <v>2</v>
      </c>
      <c r="M1154" s="17">
        <f t="shared" si="92"/>
        <v>0.5</v>
      </c>
      <c r="N1154" s="17">
        <f>IF(OR(L1154="",L1154=0),"",Параметры!$B$3/L1154)</f>
        <v>4</v>
      </c>
      <c r="O1154" s="15">
        <f>IF(L1154="","",IFERROR(INDEX('Почасовка — ставки и план'!$D$5:$D$24,MATCH($D1154,'Почасовка — ставки и план'!$A$5:$A$24,0)),""))</f>
        <v>850</v>
      </c>
      <c r="P1154" s="15">
        <f>IF(L1154="","",IFERROR(INDEX('Почасовка — ставки и план'!$E$5:$E$24,MATCH($D1154,'Почасовка — ставки и план'!$A$5:$A$24,0)),""))</f>
        <v>1020</v>
      </c>
      <c r="Q1154" s="15">
        <f t="shared" si="93"/>
        <v>1700</v>
      </c>
      <c r="R1154" s="13" t="str">
        <f>IF(D1154="TEX","аренда техники — сделка/счёт",IF(OR(Q1154="",H1154="",H1154=0),"—",IF(Q1154&lt;H1154*(1-Параметры!$B$7),"почасовка",IF(Q1154&gt;H1154*(1+Параметры!$B$7),"сделка","любой способ"))))</f>
        <v>почасовка</v>
      </c>
      <c r="S1154">
        <v>0</v>
      </c>
      <c r="T1154">
        <v>0</v>
      </c>
    </row>
    <row r="1155" spans="1:20" x14ac:dyDescent="0.25">
      <c r="A1155" s="13" t="s">
        <v>2352</v>
      </c>
      <c r="B1155" s="13" t="s">
        <v>2353</v>
      </c>
      <c r="C1155" s="13" t="s">
        <v>144</v>
      </c>
      <c r="D1155" s="13" t="s">
        <v>288</v>
      </c>
      <c r="E1155" s="13" t="str">
        <f>IFERROR(INDEX('Почасовка — ставки и план'!$B$5:$B$24,MATCH(D1155,'Почасовка — ставки и план'!$A$5:$A$24,0)),"Аренда техники / механизмы")</f>
        <v>Монтажник вентиляции</v>
      </c>
      <c r="F1155" s="14">
        <v>3500</v>
      </c>
      <c r="G1155" s="14">
        <v>4200</v>
      </c>
      <c r="H1155" s="15">
        <v>2100</v>
      </c>
      <c r="I1155" s="15">
        <f>IF(OR(H1155="",F1155=""),"",MAX(H1155,MIN(ROUND(H1155*(1+Параметры!$B$5),IF(H1155*(1+Параметры!$B$5)&gt;=1000,-1,0)),ROUND(F1155*Параметры!$B$6,IF(F1155*Параметры!$B$6&gt;=1000,-1,0)))))</f>
        <v>2420</v>
      </c>
      <c r="J1155" s="15">
        <v>2520</v>
      </c>
      <c r="K1155" s="15">
        <f>IF(OR(J1155="",G1155=""),"",MAX(J1155,MIN(ROUND(J1155*(1+Параметры!$B$5),IF(J1155*(1+Параметры!$B$5)&gt;=1000,-1,0)),ROUND(G1155*Параметры!$B$6,IF(G1155*Параметры!$B$6&gt;=1000,-1,0)))))</f>
        <v>2900</v>
      </c>
      <c r="L1155" s="16">
        <v>2.5</v>
      </c>
      <c r="M1155" s="17">
        <f t="shared" si="92"/>
        <v>0.4</v>
      </c>
      <c r="N1155" s="17">
        <f>IF(OR(L1155="",L1155=0),"",Параметры!$B$3/L1155)</f>
        <v>3.2</v>
      </c>
      <c r="O1155" s="15">
        <f>IF(L1155="","",IFERROR(INDEX('Почасовка — ставки и план'!$D$5:$D$24,MATCH($D1155,'Почасовка — ставки и план'!$A$5:$A$24,0)),""))</f>
        <v>850</v>
      </c>
      <c r="P1155" s="15">
        <f>IF(L1155="","",IFERROR(INDEX('Почасовка — ставки и план'!$E$5:$E$24,MATCH($D1155,'Почасовка — ставки и план'!$A$5:$A$24,0)),""))</f>
        <v>1020</v>
      </c>
      <c r="Q1155" s="15">
        <f t="shared" si="93"/>
        <v>2125</v>
      </c>
      <c r="R1155" s="13" t="str">
        <f>IF(D1155="TEX","аренда техники — сделка/счёт",IF(OR(Q1155="",H1155="",H1155=0),"—",IF(Q1155&lt;H1155*(1-Параметры!$B$7),"почасовка",IF(Q1155&gt;H1155*(1+Параметры!$B$7),"сделка","любой способ"))))</f>
        <v>любой способ</v>
      </c>
      <c r="S1155">
        <v>0</v>
      </c>
      <c r="T1155">
        <v>0</v>
      </c>
    </row>
    <row r="1156" spans="1:20" x14ac:dyDescent="0.25">
      <c r="A1156" s="13" t="s">
        <v>2354</v>
      </c>
      <c r="B1156" s="13" t="s">
        <v>2355</v>
      </c>
      <c r="C1156" s="13" t="s">
        <v>144</v>
      </c>
      <c r="D1156" s="13" t="s">
        <v>299</v>
      </c>
      <c r="E1156" s="13" t="str">
        <f>IFERROR(INDEX('Почасовка — ставки и план'!$B$5:$B$24,MATCH(D1156,'Почасовка — ставки и план'!$A$5:$A$24,0)),"Аренда техники / механизмы")</f>
        <v>Холодильщик / монтажник кондиционеров</v>
      </c>
      <c r="F1156" s="14">
        <v>1500</v>
      </c>
      <c r="G1156" s="14">
        <v>1700</v>
      </c>
      <c r="H1156" s="15">
        <v>930</v>
      </c>
      <c r="I1156" s="15">
        <f>IF(OR(H1156="",F1156=""),"",MAX(H1156,MIN(ROUND(H1156*(1+Параметры!$B$5),IF(H1156*(1+Параметры!$B$5)&gt;=1000,-1,0)),ROUND(F1156*Параметры!$B$6,IF(F1156*Параметры!$B$6&gt;=1000,-1,0)))))</f>
        <v>1070</v>
      </c>
      <c r="J1156" s="15">
        <v>1054</v>
      </c>
      <c r="K1156" s="15">
        <f>IF(OR(J1156="",G1156=""),"",MAX(J1156,MIN(ROUND(J1156*(1+Параметры!$B$5),IF(J1156*(1+Параметры!$B$5)&gt;=1000,-1,0)),ROUND(G1156*Параметры!$B$6,IF(G1156*Параметры!$B$6&gt;=1000,-1,0)))))</f>
        <v>1210</v>
      </c>
      <c r="L1156" s="16">
        <v>0.5</v>
      </c>
      <c r="M1156" s="17">
        <f t="shared" si="92"/>
        <v>2</v>
      </c>
      <c r="N1156" s="17">
        <f>IF(OR(L1156="",L1156=0),"",Параметры!$B$3/L1156)</f>
        <v>16</v>
      </c>
      <c r="O1156" s="15">
        <f>IF(L1156="","",IFERROR(INDEX('Почасовка — ставки и план'!$D$5:$D$24,MATCH($D1156,'Почасовка — ставки и план'!$A$5:$A$24,0)),""))</f>
        <v>1200</v>
      </c>
      <c r="P1156" s="15">
        <f>IF(L1156="","",IFERROR(INDEX('Почасовка — ставки и план'!$E$5:$E$24,MATCH($D1156,'Почасовка — ставки и план'!$A$5:$A$24,0)),""))</f>
        <v>1440</v>
      </c>
      <c r="Q1156" s="15">
        <f t="shared" si="93"/>
        <v>600</v>
      </c>
      <c r="R1156" s="13" t="str">
        <f>IF(D1156="TEX","аренда техники — сделка/счёт",IF(OR(Q1156="",H1156="",H1156=0),"—",IF(Q1156&lt;H1156*(1-Параметры!$B$7),"почасовка",IF(Q1156&gt;H1156*(1+Параметры!$B$7),"сделка","любой способ"))))</f>
        <v>почасовка</v>
      </c>
      <c r="S1156">
        <v>0</v>
      </c>
      <c r="T1156">
        <v>0</v>
      </c>
    </row>
    <row r="1157" spans="1:20" x14ac:dyDescent="0.25">
      <c r="A1157" s="13" t="s">
        <v>2356</v>
      </c>
      <c r="B1157" s="13" t="s">
        <v>2357</v>
      </c>
      <c r="C1157" s="13" t="s">
        <v>144</v>
      </c>
      <c r="D1157" s="13" t="s">
        <v>299</v>
      </c>
      <c r="E1157" s="13" t="str">
        <f>IFERROR(INDEX('Почасовка — ставки и план'!$B$5:$B$24,MATCH(D1157,'Почасовка — ставки и план'!$A$5:$A$24,0)),"Аренда техники / механизмы")</f>
        <v>Холодильщик / монтажник кондиционеров</v>
      </c>
      <c r="F1157" s="14">
        <v>2200</v>
      </c>
      <c r="G1157" s="14">
        <v>2600</v>
      </c>
      <c r="H1157" s="15">
        <v>1364</v>
      </c>
      <c r="I1157" s="15">
        <f>IF(OR(H1157="",F1157=""),"",MAX(H1157,MIN(ROUND(H1157*(1+Параметры!$B$5),IF(H1157*(1+Параметры!$B$5)&gt;=1000,-1,0)),ROUND(F1157*Параметры!$B$6,IF(F1157*Параметры!$B$6&gt;=1000,-1,0)))))</f>
        <v>1570</v>
      </c>
      <c r="J1157" s="15">
        <v>1612</v>
      </c>
      <c r="K1157" s="15">
        <f>IF(OR(J1157="",G1157=""),"",MAX(J1157,MIN(ROUND(J1157*(1+Параметры!$B$5),IF(J1157*(1+Параметры!$B$5)&gt;=1000,-1,0)),ROUND(G1157*Параметры!$B$6,IF(G1157*Параметры!$B$6&gt;=1000,-1,0)))))</f>
        <v>1850</v>
      </c>
      <c r="L1157" s="16">
        <v>0.8</v>
      </c>
      <c r="M1157" s="17">
        <f t="shared" si="92"/>
        <v>1.25</v>
      </c>
      <c r="N1157" s="17">
        <f>IF(OR(L1157="",L1157=0),"",Параметры!$B$3/L1157)</f>
        <v>10</v>
      </c>
      <c r="O1157" s="15">
        <f>IF(L1157="","",IFERROR(INDEX('Почасовка — ставки и план'!$D$5:$D$24,MATCH($D1157,'Почасовка — ставки и план'!$A$5:$A$24,0)),""))</f>
        <v>1200</v>
      </c>
      <c r="P1157" s="15">
        <f>IF(L1157="","",IFERROR(INDEX('Почасовка — ставки и план'!$E$5:$E$24,MATCH($D1157,'Почасовка — ставки и план'!$A$5:$A$24,0)),""))</f>
        <v>1440</v>
      </c>
      <c r="Q1157" s="15">
        <f t="shared" si="93"/>
        <v>960</v>
      </c>
      <c r="R1157" s="13" t="str">
        <f>IF(D1157="TEX","аренда техники — сделка/счёт",IF(OR(Q1157="",H1157="",H1157=0),"—",IF(Q1157&lt;H1157*(1-Параметры!$B$7),"почасовка",IF(Q1157&gt;H1157*(1+Параметры!$B$7),"сделка","любой способ"))))</f>
        <v>почасовка</v>
      </c>
      <c r="S1157">
        <v>0</v>
      </c>
      <c r="T1157">
        <v>0</v>
      </c>
    </row>
    <row r="1158" spans="1:20" x14ac:dyDescent="0.25">
      <c r="A1158" s="13" t="s">
        <v>2358</v>
      </c>
      <c r="B1158" s="13" t="s">
        <v>2359</v>
      </c>
      <c r="C1158" s="13" t="s">
        <v>144</v>
      </c>
      <c r="D1158" s="13" t="s">
        <v>299</v>
      </c>
      <c r="E1158" s="13" t="str">
        <f>IFERROR(INDEX('Почасовка — ставки и план'!$B$5:$B$24,MATCH(D1158,'Почасовка — ставки и план'!$A$5:$A$24,0)),"Аренда техники / механизмы")</f>
        <v>Холодильщик / монтажник кондиционеров</v>
      </c>
      <c r="F1158" s="14">
        <v>2500</v>
      </c>
      <c r="G1158" s="14">
        <v>3000</v>
      </c>
      <c r="H1158" s="15">
        <v>1500</v>
      </c>
      <c r="I1158" s="15">
        <f>IF(OR(H1158="",F1158=""),"",MAX(H1158,MIN(ROUND(H1158*(1+Параметры!$B$5),IF(H1158*(1+Параметры!$B$5)&gt;=1000,-1,0)),ROUND(F1158*Параметры!$B$6,IF(F1158*Параметры!$B$6&gt;=1000,-1,0)))))</f>
        <v>1730</v>
      </c>
      <c r="J1158" s="15">
        <v>1800</v>
      </c>
      <c r="K1158" s="15">
        <f>IF(OR(J1158="",G1158=""),"",MAX(J1158,MIN(ROUND(J1158*(1+Параметры!$B$5),IF(J1158*(1+Параметры!$B$5)&gt;=1000,-1,0)),ROUND(G1158*Параметры!$B$6,IF(G1158*Параметры!$B$6&gt;=1000,-1,0)))))</f>
        <v>2070</v>
      </c>
      <c r="L1158" s="16">
        <v>1</v>
      </c>
      <c r="M1158" s="17">
        <f t="shared" si="92"/>
        <v>1</v>
      </c>
      <c r="N1158" s="17">
        <f>IF(OR(L1158="",L1158=0),"",Параметры!$B$3/L1158)</f>
        <v>8</v>
      </c>
      <c r="O1158" s="15">
        <f>IF(L1158="","",IFERROR(INDEX('Почасовка — ставки и план'!$D$5:$D$24,MATCH($D1158,'Почасовка — ставки и план'!$A$5:$A$24,0)),""))</f>
        <v>1200</v>
      </c>
      <c r="P1158" s="15">
        <f>IF(L1158="","",IFERROR(INDEX('Почасовка — ставки и план'!$E$5:$E$24,MATCH($D1158,'Почасовка — ставки и план'!$A$5:$A$24,0)),""))</f>
        <v>1440</v>
      </c>
      <c r="Q1158" s="15">
        <f t="shared" si="93"/>
        <v>1200</v>
      </c>
      <c r="R1158" s="13" t="str">
        <f>IF(D1158="TEX","аренда техники — сделка/счёт",IF(OR(Q1158="",H1158="",H1158=0),"—",IF(Q1158&lt;H1158*(1-Параметры!$B$7),"почасовка",IF(Q1158&gt;H1158*(1+Параметры!$B$7),"сделка","любой способ"))))</f>
        <v>почасовка</v>
      </c>
      <c r="S1158">
        <v>0</v>
      </c>
      <c r="T1158">
        <v>0</v>
      </c>
    </row>
    <row r="1159" spans="1:20" x14ac:dyDescent="0.25">
      <c r="A1159" s="13" t="s">
        <v>2360</v>
      </c>
      <c r="B1159" s="13" t="s">
        <v>2361</v>
      </c>
      <c r="C1159" s="13" t="s">
        <v>144</v>
      </c>
      <c r="D1159" s="13" t="s">
        <v>299</v>
      </c>
      <c r="E1159" s="13" t="str">
        <f>IFERROR(INDEX('Почасовка — ставки и план'!$B$5:$B$24,MATCH(D1159,'Почасовка — ставки и план'!$A$5:$A$24,0)),"Аренда техники / механизмы")</f>
        <v>Холодильщик / монтажник кондиционеров</v>
      </c>
      <c r="F1159" s="14">
        <v>1500</v>
      </c>
      <c r="G1159" s="14">
        <v>1800</v>
      </c>
      <c r="H1159" s="15">
        <v>900</v>
      </c>
      <c r="I1159" s="15">
        <f>IF(OR(H1159="",F1159=""),"",MAX(H1159,MIN(ROUND(H1159*(1+Параметры!$B$5),IF(H1159*(1+Параметры!$B$5)&gt;=1000,-1,0)),ROUND(F1159*Параметры!$B$6,IF(F1159*Параметры!$B$6&gt;=1000,-1,0)))))</f>
        <v>1040</v>
      </c>
      <c r="J1159" s="15">
        <v>1080</v>
      </c>
      <c r="K1159" s="15">
        <f>IF(OR(J1159="",G1159=""),"",MAX(J1159,MIN(ROUND(J1159*(1+Параметры!$B$5),IF(J1159*(1+Параметры!$B$5)&gt;=1000,-1,0)),ROUND(G1159*Параметры!$B$6,IF(G1159*Параметры!$B$6&gt;=1000,-1,0)))))</f>
        <v>1240</v>
      </c>
      <c r="L1159" s="16">
        <v>0.5</v>
      </c>
      <c r="M1159" s="17">
        <f t="shared" si="92"/>
        <v>2</v>
      </c>
      <c r="N1159" s="17">
        <f>IF(OR(L1159="",L1159=0),"",Параметры!$B$3/L1159)</f>
        <v>16</v>
      </c>
      <c r="O1159" s="15">
        <f>IF(L1159="","",IFERROR(INDEX('Почасовка — ставки и план'!$D$5:$D$24,MATCH($D1159,'Почасовка — ставки и план'!$A$5:$A$24,0)),""))</f>
        <v>1200</v>
      </c>
      <c r="P1159" s="15">
        <f>IF(L1159="","",IFERROR(INDEX('Почасовка — ставки и план'!$E$5:$E$24,MATCH($D1159,'Почасовка — ставки и план'!$A$5:$A$24,0)),""))</f>
        <v>1440</v>
      </c>
      <c r="Q1159" s="15">
        <f t="shared" si="93"/>
        <v>600</v>
      </c>
      <c r="R1159" s="13" t="str">
        <f>IF(D1159="TEX","аренда техники — сделка/счёт",IF(OR(Q1159="",H1159="",H1159=0),"—",IF(Q1159&lt;H1159*(1-Параметры!$B$7),"почасовка",IF(Q1159&gt;H1159*(1+Параметры!$B$7),"сделка","любой способ"))))</f>
        <v>почасовка</v>
      </c>
      <c r="S1159">
        <v>0</v>
      </c>
      <c r="T1159">
        <v>0</v>
      </c>
    </row>
    <row r="1160" spans="1:20" x14ac:dyDescent="0.25">
      <c r="A1160" s="13" t="s">
        <v>2362</v>
      </c>
      <c r="B1160" s="13" t="s">
        <v>2363</v>
      </c>
      <c r="C1160" s="13" t="s">
        <v>72</v>
      </c>
      <c r="D1160" s="13" t="s">
        <v>288</v>
      </c>
      <c r="E1160" s="13" t="str">
        <f>IFERROR(INDEX('Почасовка — ставки и план'!$B$5:$B$24,MATCH(D1160,'Почасовка — ставки и план'!$A$5:$A$24,0)),"Аренда техники / механизмы")</f>
        <v>Монтажник вентиляции</v>
      </c>
      <c r="F1160" s="14">
        <v>851</v>
      </c>
      <c r="G1160" s="14">
        <v>1020</v>
      </c>
      <c r="H1160" s="15">
        <v>527</v>
      </c>
      <c r="I1160" s="15">
        <f>IF(OR(H1160="",F1160=""),"",MAX(H1160,MIN(ROUND(H1160*(1+Параметры!$B$5),IF(H1160*(1+Параметры!$B$5)&gt;=1000,-1,0)),ROUND(F1160*Параметры!$B$6,IF(F1160*Параметры!$B$6&gt;=1000,-1,0)))))</f>
        <v>606</v>
      </c>
      <c r="J1160" s="15">
        <v>589</v>
      </c>
      <c r="K1160" s="15">
        <f>IF(OR(J1160="",G1160=""),"",MAX(J1160,MIN(ROUND(J1160*(1+Параметры!$B$5),IF(J1160*(1+Параметры!$B$5)&gt;=1000,-1,0)),ROUND(G1160*Параметры!$B$6,IF(G1160*Параметры!$B$6&gt;=1000,-1,0)))))</f>
        <v>677</v>
      </c>
      <c r="L1160" s="16">
        <v>0.75</v>
      </c>
      <c r="M1160" s="17">
        <f t="shared" si="92"/>
        <v>1.3333333333333333</v>
      </c>
      <c r="N1160" s="17">
        <f>IF(OR(L1160="",L1160=0),"",Параметры!$B$3/L1160)</f>
        <v>10.666666666666666</v>
      </c>
      <c r="O1160" s="15">
        <f>IF(L1160="","",IFERROR(INDEX('Почасовка — ставки и план'!$D$5:$D$24,MATCH($D1160,'Почасовка — ставки и план'!$A$5:$A$24,0)),""))</f>
        <v>850</v>
      </c>
      <c r="P1160" s="15">
        <f>IF(L1160="","",IFERROR(INDEX('Почасовка — ставки и план'!$E$5:$E$24,MATCH($D1160,'Почасовка — ставки и план'!$A$5:$A$24,0)),""))</f>
        <v>1020</v>
      </c>
      <c r="Q1160" s="15">
        <f t="shared" si="93"/>
        <v>638</v>
      </c>
      <c r="R1160" s="13" t="str">
        <f>IF(D1160="TEX","аренда техники — сделка/счёт",IF(OR(Q1160="",H1160="",H1160=0),"—",IF(Q1160&lt;H1160*(1-Параметры!$B$7),"почасовка",IF(Q1160&gt;H1160*(1+Параметры!$B$7),"сделка","любой способ"))))</f>
        <v>сделка</v>
      </c>
      <c r="S1160">
        <v>1.1764705882353339E-3</v>
      </c>
      <c r="T1160">
        <v>7.3684210526315796E-2</v>
      </c>
    </row>
    <row r="1161" spans="1:20" x14ac:dyDescent="0.25">
      <c r="A1161" s="13" t="s">
        <v>2364</v>
      </c>
      <c r="B1161" s="13" t="s">
        <v>2365</v>
      </c>
      <c r="C1161" s="13" t="s">
        <v>72</v>
      </c>
      <c r="D1161" s="13" t="s">
        <v>288</v>
      </c>
      <c r="E1161" s="13" t="str">
        <f>IFERROR(INDEX('Почасовка — ставки и план'!$B$5:$B$24,MATCH(D1161,'Почасовка — ставки и план'!$A$5:$A$24,0)),"Аренда техники / механизмы")</f>
        <v>Монтажник вентиляции</v>
      </c>
      <c r="F1161" s="14">
        <v>964</v>
      </c>
      <c r="G1161" s="14">
        <v>1156</v>
      </c>
      <c r="H1161" s="15">
        <v>558</v>
      </c>
      <c r="I1161" s="15">
        <f>IF(OR(H1161="",F1161=""),"",MAX(H1161,MIN(ROUND(H1161*(1+Параметры!$B$5),IF(H1161*(1+Параметры!$B$5)&gt;=1000,-1,0)),ROUND(F1161*Параметры!$B$6,IF(F1161*Параметры!$B$6&gt;=1000,-1,0)))))</f>
        <v>642</v>
      </c>
      <c r="J1161" s="15">
        <v>620</v>
      </c>
      <c r="K1161" s="15">
        <f>IF(OR(J1161="",G1161=""),"",MAX(J1161,MIN(ROUND(J1161*(1+Параметры!$B$5),IF(J1161*(1+Параметры!$B$5)&gt;=1000,-1,0)),ROUND(G1161*Параметры!$B$6,IF(G1161*Параметры!$B$6&gt;=1000,-1,0)))))</f>
        <v>713</v>
      </c>
      <c r="L1161" s="16">
        <v>0.85</v>
      </c>
      <c r="M1161" s="17">
        <f t="shared" si="92"/>
        <v>1.1764705882352942</v>
      </c>
      <c r="N1161" s="17">
        <f>IF(OR(L1161="",L1161=0),"",Параметры!$B$3/L1161)</f>
        <v>9.4117647058823533</v>
      </c>
      <c r="O1161" s="15">
        <f>IF(L1161="","",IFERROR(INDEX('Почасовка — ставки и план'!$D$5:$D$24,MATCH($D1161,'Почасовка — ставки и план'!$A$5:$A$24,0)),""))</f>
        <v>850</v>
      </c>
      <c r="P1161" s="15">
        <f>IF(L1161="","",IFERROR(INDEX('Почасовка — ставки и план'!$E$5:$E$24,MATCH($D1161,'Почасовка — ставки и план'!$A$5:$A$24,0)),""))</f>
        <v>1020</v>
      </c>
      <c r="Q1161" s="15">
        <f t="shared" si="93"/>
        <v>723</v>
      </c>
      <c r="R1161" s="13" t="str">
        <f>IF(D1161="TEX","аренда техники — сделка/счёт",IF(OR(Q1161="",H1161="",H1161=0),"—",IF(Q1161&lt;H1161*(1-Параметры!$B$7),"почасовка",IF(Q1161&gt;H1161*(1+Параметры!$B$7),"сделка","любой способ"))))</f>
        <v>сделка</v>
      </c>
      <c r="S1161">
        <v>7.1111111111111125E-2</v>
      </c>
      <c r="T1161">
        <v>0.15599999999999989</v>
      </c>
    </row>
    <row r="1162" spans="1:20" x14ac:dyDescent="0.25">
      <c r="A1162" s="13" t="s">
        <v>2366</v>
      </c>
      <c r="B1162" s="13" t="s">
        <v>2367</v>
      </c>
      <c r="C1162" s="13" t="s">
        <v>72</v>
      </c>
      <c r="D1162" s="13" t="s">
        <v>288</v>
      </c>
      <c r="E1162" s="13" t="str">
        <f>IFERROR(INDEX('Почасовка — ставки и план'!$B$5:$B$24,MATCH(D1162,'Почасовка — ставки и план'!$A$5:$A$24,0)),"Аренда техники / механизмы")</f>
        <v>Монтажник вентиляции</v>
      </c>
      <c r="F1162" s="14">
        <v>800</v>
      </c>
      <c r="G1162" s="14">
        <v>952</v>
      </c>
      <c r="H1162" s="15">
        <v>496</v>
      </c>
      <c r="I1162" s="15">
        <f>IF(OR(H1162="",F1162=""),"",MAX(H1162,MIN(ROUND(H1162*(1+Параметры!$B$5),IF(H1162*(1+Параметры!$B$5)&gt;=1000,-1,0)),ROUND(F1162*Параметры!$B$6,IF(F1162*Параметры!$B$6&gt;=1000,-1,0)))))</f>
        <v>570</v>
      </c>
      <c r="J1162" s="15">
        <v>558</v>
      </c>
      <c r="K1162" s="15">
        <f>IF(OR(J1162="",G1162=""),"",MAX(J1162,MIN(ROUND(J1162*(1+Параметры!$B$5),IF(J1162*(1+Параметры!$B$5)&gt;=1000,-1,0)),ROUND(G1162*Параметры!$B$6,IF(G1162*Параметры!$B$6&gt;=1000,-1,0)))))</f>
        <v>642</v>
      </c>
      <c r="L1162" s="16">
        <v>0.7</v>
      </c>
      <c r="M1162" s="17">
        <f t="shared" si="92"/>
        <v>1.4285714285714286</v>
      </c>
      <c r="N1162" s="17">
        <f>IF(OR(L1162="",L1162=0),"",Параметры!$B$3/L1162)</f>
        <v>11.428571428571429</v>
      </c>
      <c r="O1162" s="15">
        <f>IF(L1162="","",IFERROR(INDEX('Почасовка — ставки и план'!$D$5:$D$24,MATCH($D1162,'Почасовка — ставки и план'!$A$5:$A$24,0)),""))</f>
        <v>850</v>
      </c>
      <c r="P1162" s="15">
        <f>IF(L1162="","",IFERROR(INDEX('Почасовка — ставки и план'!$E$5:$E$24,MATCH($D1162,'Почасовка — ставки и план'!$A$5:$A$24,0)),""))</f>
        <v>1020</v>
      </c>
      <c r="Q1162" s="15">
        <f t="shared" si="93"/>
        <v>595</v>
      </c>
      <c r="R1162" s="13" t="str">
        <f>IF(D1162="TEX","аренда техники — сделка/счёт",IF(OR(Q1162="",H1162="",H1162=0),"—",IF(Q1162&lt;H1162*(1-Параметры!$B$7),"почасовка",IF(Q1162&gt;H1162*(1+Параметры!$B$7),"сделка","любой способ"))))</f>
        <v>сделка</v>
      </c>
      <c r="S1162">
        <v>0</v>
      </c>
      <c r="T1162">
        <v>5.7777777777777713E-2</v>
      </c>
    </row>
    <row r="1163" spans="1:20" x14ac:dyDescent="0.25">
      <c r="A1163" s="13" t="s">
        <v>2368</v>
      </c>
      <c r="B1163" s="13" t="s">
        <v>2369</v>
      </c>
      <c r="C1163" s="13" t="s">
        <v>72</v>
      </c>
      <c r="D1163" s="13" t="s">
        <v>288</v>
      </c>
      <c r="E1163" s="13" t="str">
        <f>IFERROR(INDEX('Почасовка — ставки и план'!$B$5:$B$24,MATCH(D1163,'Почасовка — ставки и план'!$A$5:$A$24,0)),"Аренда техники / механизмы")</f>
        <v>Монтажник вентиляции</v>
      </c>
      <c r="F1163" s="14">
        <v>800</v>
      </c>
      <c r="G1163" s="14">
        <v>900</v>
      </c>
      <c r="H1163" s="15">
        <v>496</v>
      </c>
      <c r="I1163" s="15">
        <f>IF(OR(H1163="",F1163=""),"",MAX(H1163,MIN(ROUND(H1163*(1+Параметры!$B$5),IF(H1163*(1+Параметры!$B$5)&gt;=1000,-1,0)),ROUND(F1163*Параметры!$B$6,IF(F1163*Параметры!$B$6&gt;=1000,-1,0)))))</f>
        <v>570</v>
      </c>
      <c r="J1163" s="15">
        <v>558</v>
      </c>
      <c r="K1163" s="15">
        <f>IF(OR(J1163="",G1163=""),"",MAX(J1163,MIN(ROUND(J1163*(1+Параметры!$B$5),IF(J1163*(1+Параметры!$B$5)&gt;=1000,-1,0)),ROUND(G1163*Параметры!$B$6,IF(G1163*Параметры!$B$6&gt;=1000,-1,0)))))</f>
        <v>642</v>
      </c>
      <c r="L1163" s="16">
        <v>0.6</v>
      </c>
      <c r="M1163" s="17">
        <f t="shared" si="92"/>
        <v>1.6666666666666667</v>
      </c>
      <c r="N1163" s="17">
        <f>IF(OR(L1163="",L1163=0),"",Параметры!$B$3/L1163)</f>
        <v>13.333333333333334</v>
      </c>
      <c r="O1163" s="15">
        <f>IF(L1163="","",IFERROR(INDEX('Почасовка — ставки и план'!$D$5:$D$24,MATCH($D1163,'Почасовка — ставки и план'!$A$5:$A$24,0)),""))</f>
        <v>850</v>
      </c>
      <c r="P1163" s="15">
        <f>IF(L1163="","",IFERROR(INDEX('Почасовка — ставки и план'!$E$5:$E$24,MATCH($D1163,'Почасовка — ставки и план'!$A$5:$A$24,0)),""))</f>
        <v>1020</v>
      </c>
      <c r="Q1163" s="15">
        <f t="shared" si="93"/>
        <v>510</v>
      </c>
      <c r="R1163" s="13" t="str">
        <f>IF(D1163="TEX","аренда техники — сделка/счёт",IF(OR(Q1163="",H1163="",H1163=0),"—",IF(Q1163&lt;H1163*(1-Параметры!$B$7),"почасовка",IF(Q1163&gt;H1163*(1+Параметры!$B$7),"сделка","любой способ"))))</f>
        <v>любой способ</v>
      </c>
      <c r="S1163">
        <v>0</v>
      </c>
      <c r="T1163">
        <v>0</v>
      </c>
    </row>
    <row r="1164" spans="1:20" x14ac:dyDescent="0.25">
      <c r="A1164" s="13" t="s">
        <v>2370</v>
      </c>
      <c r="B1164" s="13" t="s">
        <v>2371</v>
      </c>
      <c r="C1164" s="13" t="s">
        <v>72</v>
      </c>
      <c r="D1164" s="13" t="s">
        <v>288</v>
      </c>
      <c r="E1164" s="13" t="str">
        <f>IFERROR(INDEX('Почасовка — ставки и план'!$B$5:$B$24,MATCH(D1164,'Почасовка — ставки и план'!$A$5:$A$24,0)),"Аренда техники / механизмы")</f>
        <v>Монтажник вентиляции</v>
      </c>
      <c r="F1164" s="14">
        <v>780</v>
      </c>
      <c r="G1164" s="14">
        <v>880</v>
      </c>
      <c r="H1164" s="15">
        <v>484</v>
      </c>
      <c r="I1164" s="15">
        <f>IF(OR(H1164="",F1164=""),"",MAX(H1164,MIN(ROUND(H1164*(1+Параметры!$B$5),IF(H1164*(1+Параметры!$B$5)&gt;=1000,-1,0)),ROUND(F1164*Параметры!$B$6,IF(F1164*Параметры!$B$6&gt;=1000,-1,0)))))</f>
        <v>557</v>
      </c>
      <c r="J1164" s="15">
        <v>546</v>
      </c>
      <c r="K1164" s="15">
        <f>IF(OR(J1164="",G1164=""),"",MAX(J1164,MIN(ROUND(J1164*(1+Параметры!$B$5),IF(J1164*(1+Параметры!$B$5)&gt;=1000,-1,0)),ROUND(G1164*Параметры!$B$6,IF(G1164*Параметры!$B$6&gt;=1000,-1,0)))))</f>
        <v>628</v>
      </c>
      <c r="L1164" s="16">
        <v>0.6</v>
      </c>
      <c r="M1164" s="17">
        <f t="shared" si="92"/>
        <v>1.6666666666666667</v>
      </c>
      <c r="N1164" s="17">
        <f>IF(OR(L1164="",L1164=0),"",Параметры!$B$3/L1164)</f>
        <v>13.333333333333334</v>
      </c>
      <c r="O1164" s="15">
        <f>IF(L1164="","",IFERROR(INDEX('Почасовка — ставки и план'!$D$5:$D$24,MATCH($D1164,'Почасовка — ставки и план'!$A$5:$A$24,0)),""))</f>
        <v>850</v>
      </c>
      <c r="P1164" s="15">
        <f>IF(L1164="","",IFERROR(INDEX('Почасовка — ставки и план'!$E$5:$E$24,MATCH($D1164,'Почасовка — ставки и план'!$A$5:$A$24,0)),""))</f>
        <v>1020</v>
      </c>
      <c r="Q1164" s="15">
        <f t="shared" si="93"/>
        <v>510</v>
      </c>
      <c r="R1164" s="13" t="str">
        <f>IF(D1164="TEX","аренда техники — сделка/счёт",IF(OR(Q1164="",H1164="",H1164=0),"—",IF(Q1164&lt;H1164*(1-Параметры!$B$7),"почасовка",IF(Q1164&gt;H1164*(1+Параметры!$B$7),"сделка","любой способ"))))</f>
        <v>любой способ</v>
      </c>
      <c r="S1164">
        <v>0</v>
      </c>
      <c r="T1164">
        <v>0</v>
      </c>
    </row>
    <row r="1165" spans="1:20" x14ac:dyDescent="0.25">
      <c r="A1165" s="13" t="s">
        <v>2372</v>
      </c>
      <c r="B1165" s="13" t="s">
        <v>2373</v>
      </c>
      <c r="C1165" s="13" t="s">
        <v>72</v>
      </c>
      <c r="D1165" s="13" t="s">
        <v>288</v>
      </c>
      <c r="E1165" s="13" t="str">
        <f>IFERROR(INDEX('Почасовка — ставки и план'!$B$5:$B$24,MATCH(D1165,'Почасовка — ставки и план'!$A$5:$A$24,0)),"Аренда техники / механизмы")</f>
        <v>Монтажник вентиляции</v>
      </c>
      <c r="F1165" s="14">
        <v>850</v>
      </c>
      <c r="G1165" s="14">
        <v>980</v>
      </c>
      <c r="H1165" s="15">
        <v>527</v>
      </c>
      <c r="I1165" s="15">
        <f>IF(OR(H1165="",F1165=""),"",MAX(H1165,MIN(ROUND(H1165*(1+Параметры!$B$5),IF(H1165*(1+Параметры!$B$5)&gt;=1000,-1,0)),ROUND(F1165*Параметры!$B$6,IF(F1165*Параметры!$B$6&gt;=1000,-1,0)))))</f>
        <v>606</v>
      </c>
      <c r="J1165" s="15">
        <v>608</v>
      </c>
      <c r="K1165" s="15">
        <f>IF(OR(J1165="",G1165=""),"",MAX(J1165,MIN(ROUND(J1165*(1+Параметры!$B$5),IF(J1165*(1+Параметры!$B$5)&gt;=1000,-1,0)),ROUND(G1165*Параметры!$B$6,IF(G1165*Параметры!$B$6&gt;=1000,-1,0)))))</f>
        <v>699</v>
      </c>
      <c r="L1165" s="16">
        <v>0.7</v>
      </c>
      <c r="M1165" s="17">
        <f t="shared" si="92"/>
        <v>1.4285714285714286</v>
      </c>
      <c r="N1165" s="17">
        <f>IF(OR(L1165="",L1165=0),"",Параметры!$B$3/L1165)</f>
        <v>11.428571428571429</v>
      </c>
      <c r="O1165" s="15">
        <f>IF(L1165="","",IFERROR(INDEX('Почасовка — ставки и план'!$D$5:$D$24,MATCH($D1165,'Почасовка — ставки и план'!$A$5:$A$24,0)),""))</f>
        <v>850</v>
      </c>
      <c r="P1165" s="15">
        <f>IF(L1165="","",IFERROR(INDEX('Почасовка — ставки и план'!$E$5:$E$24,MATCH($D1165,'Почасовка — ставки и план'!$A$5:$A$24,0)),""))</f>
        <v>1020</v>
      </c>
      <c r="Q1165" s="15">
        <f t="shared" si="93"/>
        <v>595</v>
      </c>
      <c r="R1165" s="13" t="str">
        <f>IF(D1165="TEX","аренда техники — сделка/счёт",IF(OR(Q1165="",H1165="",H1165=0),"—",IF(Q1165&lt;H1165*(1-Параметры!$B$7),"почасовка",IF(Q1165&gt;H1165*(1+Параметры!$B$7),"сделка","любой способ"))))</f>
        <v>сделка</v>
      </c>
      <c r="S1165">
        <v>0</v>
      </c>
      <c r="T1165">
        <v>0</v>
      </c>
    </row>
    <row r="1166" spans="1:20" x14ac:dyDescent="0.25">
      <c r="A1166" s="13" t="s">
        <v>2374</v>
      </c>
      <c r="B1166" s="13" t="s">
        <v>2375</v>
      </c>
      <c r="C1166" s="13" t="s">
        <v>72</v>
      </c>
      <c r="D1166" s="13" t="s">
        <v>288</v>
      </c>
      <c r="E1166" s="13" t="str">
        <f>IFERROR(INDEX('Почасовка — ставки и план'!$B$5:$B$24,MATCH(D1166,'Почасовка — ставки и план'!$A$5:$A$24,0)),"Аренда техники / механизмы")</f>
        <v>Монтажник вентиляции</v>
      </c>
      <c r="F1166" s="14">
        <v>850</v>
      </c>
      <c r="G1166" s="14">
        <v>980</v>
      </c>
      <c r="H1166" s="15">
        <v>527</v>
      </c>
      <c r="I1166" s="15">
        <f>IF(OR(H1166="",F1166=""),"",MAX(H1166,MIN(ROUND(H1166*(1+Параметры!$B$5),IF(H1166*(1+Параметры!$B$5)&gt;=1000,-1,0)),ROUND(F1166*Параметры!$B$6,IF(F1166*Параметры!$B$6&gt;=1000,-1,0)))))</f>
        <v>606</v>
      </c>
      <c r="J1166" s="15">
        <v>608</v>
      </c>
      <c r="K1166" s="15">
        <f>IF(OR(J1166="",G1166=""),"",MAX(J1166,MIN(ROUND(J1166*(1+Параметры!$B$5),IF(J1166*(1+Параметры!$B$5)&gt;=1000,-1,0)),ROUND(G1166*Параметры!$B$6,IF(G1166*Параметры!$B$6&gt;=1000,-1,0)))))</f>
        <v>699</v>
      </c>
      <c r="L1166" s="16">
        <v>0.65</v>
      </c>
      <c r="M1166" s="17">
        <f t="shared" si="92"/>
        <v>1.5384615384615383</v>
      </c>
      <c r="N1166" s="17">
        <f>IF(OR(L1166="",L1166=0),"",Параметры!$B$3/L1166)</f>
        <v>12.307692307692307</v>
      </c>
      <c r="O1166" s="15">
        <f>IF(L1166="","",IFERROR(INDEX('Почасовка — ставки и план'!$D$5:$D$24,MATCH($D1166,'Почасовка — ставки и план'!$A$5:$A$24,0)),""))</f>
        <v>850</v>
      </c>
      <c r="P1166" s="15">
        <f>IF(L1166="","",IFERROR(INDEX('Почасовка — ставки и план'!$E$5:$E$24,MATCH($D1166,'Почасовка — ставки и план'!$A$5:$A$24,0)),""))</f>
        <v>1020</v>
      </c>
      <c r="Q1166" s="15">
        <f t="shared" si="93"/>
        <v>553</v>
      </c>
      <c r="R1166" s="13" t="str">
        <f>IF(D1166="TEX","аренда техники — сделка/счёт",IF(OR(Q1166="",H1166="",H1166=0),"—",IF(Q1166&lt;H1166*(1-Параметры!$B$7),"почасовка",IF(Q1166&gt;H1166*(1+Параметры!$B$7),"сделка","любой способ"))))</f>
        <v>любой способ</v>
      </c>
      <c r="S1166">
        <v>0</v>
      </c>
      <c r="T1166">
        <v>0</v>
      </c>
    </row>
    <row r="1167" spans="1:20" x14ac:dyDescent="0.25">
      <c r="A1167" s="13" t="s">
        <v>2376</v>
      </c>
      <c r="B1167" s="13" t="s">
        <v>2377</v>
      </c>
      <c r="C1167" s="13" t="s">
        <v>72</v>
      </c>
      <c r="D1167" s="13" t="s">
        <v>288</v>
      </c>
      <c r="E1167" s="13" t="str">
        <f>IFERROR(INDEX('Почасовка — ставки и план'!$B$5:$B$24,MATCH(D1167,'Почасовка — ставки и план'!$A$5:$A$24,0)),"Аренда техники / механизмы")</f>
        <v>Монтажник вентиляции</v>
      </c>
      <c r="F1167" s="14">
        <v>1000</v>
      </c>
      <c r="G1167" s="14">
        <v>1150</v>
      </c>
      <c r="H1167" s="15">
        <v>620</v>
      </c>
      <c r="I1167" s="15">
        <f>IF(OR(H1167="",F1167=""),"",MAX(H1167,MIN(ROUND(H1167*(1+Параметры!$B$5),IF(H1167*(1+Параметры!$B$5)&gt;=1000,-1,0)),ROUND(F1167*Параметры!$B$6,IF(F1167*Параметры!$B$6&gt;=1000,-1,0)))))</f>
        <v>713</v>
      </c>
      <c r="J1167" s="15">
        <v>713</v>
      </c>
      <c r="K1167" s="15">
        <f>IF(OR(J1167="",G1167=""),"",MAX(J1167,MIN(ROUND(J1167*(1+Параметры!$B$5),IF(J1167*(1+Параметры!$B$5)&gt;=1000,-1,0)),ROUND(G1167*Параметры!$B$6,IF(G1167*Параметры!$B$6&gt;=1000,-1,0)))))</f>
        <v>820</v>
      </c>
      <c r="L1167" s="16">
        <v>0.8</v>
      </c>
      <c r="M1167" s="17">
        <f t="shared" si="92"/>
        <v>1.25</v>
      </c>
      <c r="N1167" s="17">
        <f>IF(OR(L1167="",L1167=0),"",Параметры!$B$3/L1167)</f>
        <v>10</v>
      </c>
      <c r="O1167" s="15">
        <f>IF(L1167="","",IFERROR(INDEX('Почасовка — ставки и план'!$D$5:$D$24,MATCH($D1167,'Почасовка — ставки и план'!$A$5:$A$24,0)),""))</f>
        <v>850</v>
      </c>
      <c r="P1167" s="15">
        <f>IF(L1167="","",IFERROR(INDEX('Почасовка — ставки и план'!$E$5:$E$24,MATCH($D1167,'Почасовка — ставки и план'!$A$5:$A$24,0)),""))</f>
        <v>1020</v>
      </c>
      <c r="Q1167" s="15">
        <f t="shared" si="93"/>
        <v>680</v>
      </c>
      <c r="R1167" s="13" t="str">
        <f>IF(D1167="TEX","аренда техники — сделка/счёт",IF(OR(Q1167="",H1167="",H1167=0),"—",IF(Q1167&lt;H1167*(1-Параметры!$B$7),"почасовка",IF(Q1167&gt;H1167*(1+Параметры!$B$7),"сделка","любой способ"))))</f>
        <v>любой способ</v>
      </c>
      <c r="S1167">
        <v>0</v>
      </c>
      <c r="T1167">
        <v>0</v>
      </c>
    </row>
    <row r="1168" spans="1:20" x14ac:dyDescent="0.25">
      <c r="A1168" s="13" t="s">
        <v>2378</v>
      </c>
      <c r="B1168" s="13" t="s">
        <v>2379</v>
      </c>
      <c r="C1168" s="13" t="s">
        <v>72</v>
      </c>
      <c r="D1168" s="13" t="s">
        <v>288</v>
      </c>
      <c r="E1168" s="13" t="str">
        <f>IFERROR(INDEX('Почасовка — ставки и план'!$B$5:$B$24,MATCH(D1168,'Почасовка — ставки и план'!$A$5:$A$24,0)),"Аренда техники / механизмы")</f>
        <v>Монтажник вентиляции</v>
      </c>
      <c r="F1168" s="14">
        <v>1000</v>
      </c>
      <c r="G1168" s="14">
        <v>1150</v>
      </c>
      <c r="H1168" s="15">
        <v>620</v>
      </c>
      <c r="I1168" s="15">
        <f>IF(OR(H1168="",F1168=""),"",MAX(H1168,MIN(ROUND(H1168*(1+Параметры!$B$5),IF(H1168*(1+Параметры!$B$5)&gt;=1000,-1,0)),ROUND(F1168*Параметры!$B$6,IF(F1168*Параметры!$B$6&gt;=1000,-1,0)))))</f>
        <v>713</v>
      </c>
      <c r="J1168" s="15">
        <v>713</v>
      </c>
      <c r="K1168" s="15">
        <f>IF(OR(J1168="",G1168=""),"",MAX(J1168,MIN(ROUND(J1168*(1+Параметры!$B$5),IF(J1168*(1+Параметры!$B$5)&gt;=1000,-1,0)),ROUND(G1168*Параметры!$B$6,IF(G1168*Параметры!$B$6&gt;=1000,-1,0)))))</f>
        <v>820</v>
      </c>
      <c r="L1168" s="16">
        <v>0.8</v>
      </c>
      <c r="M1168" s="17">
        <f t="shared" si="92"/>
        <v>1.25</v>
      </c>
      <c r="N1168" s="17">
        <f>IF(OR(L1168="",L1168=0),"",Параметры!$B$3/L1168)</f>
        <v>10</v>
      </c>
      <c r="O1168" s="15">
        <f>IF(L1168="","",IFERROR(INDEX('Почасовка — ставки и план'!$D$5:$D$24,MATCH($D1168,'Почасовка — ставки и план'!$A$5:$A$24,0)),""))</f>
        <v>850</v>
      </c>
      <c r="P1168" s="15">
        <f>IF(L1168="","",IFERROR(INDEX('Почасовка — ставки и план'!$E$5:$E$24,MATCH($D1168,'Почасовка — ставки и план'!$A$5:$A$24,0)),""))</f>
        <v>1020</v>
      </c>
      <c r="Q1168" s="15">
        <f t="shared" si="93"/>
        <v>680</v>
      </c>
      <c r="R1168" s="13" t="str">
        <f>IF(D1168="TEX","аренда техники — сделка/счёт",IF(OR(Q1168="",H1168="",H1168=0),"—",IF(Q1168&lt;H1168*(1-Параметры!$B$7),"почасовка",IF(Q1168&gt;H1168*(1+Параметры!$B$7),"сделка","любой способ"))))</f>
        <v>любой способ</v>
      </c>
      <c r="S1168">
        <v>0</v>
      </c>
      <c r="T1168">
        <v>0</v>
      </c>
    </row>
    <row r="1169" spans="1:20" x14ac:dyDescent="0.25">
      <c r="A1169" s="13" t="s">
        <v>2380</v>
      </c>
      <c r="B1169" s="13" t="s">
        <v>2381</v>
      </c>
      <c r="C1169" s="13" t="s">
        <v>72</v>
      </c>
      <c r="D1169" s="13" t="s">
        <v>288</v>
      </c>
      <c r="E1169" s="13" t="str">
        <f>IFERROR(INDEX('Почасовка — ставки и план'!$B$5:$B$24,MATCH(D1169,'Почасовка — ставки и план'!$A$5:$A$24,0)),"Аренда техники / механизмы")</f>
        <v>Монтажник вентиляции</v>
      </c>
      <c r="F1169" s="14">
        <v>900</v>
      </c>
      <c r="G1169" s="14">
        <v>1050</v>
      </c>
      <c r="H1169" s="15">
        <v>558</v>
      </c>
      <c r="I1169" s="15">
        <f>IF(OR(H1169="",F1169=""),"",MAX(H1169,MIN(ROUND(H1169*(1+Параметры!$B$5),IF(H1169*(1+Параметры!$B$5)&gt;=1000,-1,0)),ROUND(F1169*Параметры!$B$6,IF(F1169*Параметры!$B$6&gt;=1000,-1,0)))))</f>
        <v>642</v>
      </c>
      <c r="J1169" s="15">
        <v>651</v>
      </c>
      <c r="K1169" s="15">
        <f>IF(OR(J1169="",G1169=""),"",MAX(J1169,MIN(ROUND(J1169*(1+Параметры!$B$5),IF(J1169*(1+Параметры!$B$5)&gt;=1000,-1,0)),ROUND(G1169*Параметры!$B$6,IF(G1169*Параметры!$B$6&gt;=1000,-1,0)))))</f>
        <v>749</v>
      </c>
      <c r="L1169" s="16">
        <v>0.7</v>
      </c>
      <c r="M1169" s="17">
        <f t="shared" si="92"/>
        <v>1.4285714285714286</v>
      </c>
      <c r="N1169" s="17">
        <f>IF(OR(L1169="",L1169=0),"",Параметры!$B$3/L1169)</f>
        <v>11.428571428571429</v>
      </c>
      <c r="O1169" s="15">
        <f>IF(L1169="","",IFERROR(INDEX('Почасовка — ставки и план'!$D$5:$D$24,MATCH($D1169,'Почасовка — ставки и план'!$A$5:$A$24,0)),""))</f>
        <v>850</v>
      </c>
      <c r="P1169" s="15">
        <f>IF(L1169="","",IFERROR(INDEX('Почасовка — ставки и план'!$E$5:$E$24,MATCH($D1169,'Почасовка — ставки и план'!$A$5:$A$24,0)),""))</f>
        <v>1020</v>
      </c>
      <c r="Q1169" s="15">
        <f t="shared" si="93"/>
        <v>595</v>
      </c>
      <c r="R1169" s="13" t="str">
        <f>IF(D1169="TEX","аренда техники — сделка/счёт",IF(OR(Q1169="",H1169="",H1169=0),"—",IF(Q1169&lt;H1169*(1-Параметры!$B$7),"почасовка",IF(Q1169&gt;H1169*(1+Параметры!$B$7),"сделка","любой способ"))))</f>
        <v>любой способ</v>
      </c>
      <c r="S1169">
        <v>0</v>
      </c>
      <c r="T1169">
        <v>0</v>
      </c>
    </row>
    <row r="1170" spans="1:20" x14ac:dyDescent="0.25">
      <c r="A1170" s="13" t="s">
        <v>2382</v>
      </c>
      <c r="B1170" s="13" t="s">
        <v>2383</v>
      </c>
      <c r="C1170" s="13" t="s">
        <v>72</v>
      </c>
      <c r="D1170" s="13" t="s">
        <v>288</v>
      </c>
      <c r="E1170" s="13" t="str">
        <f>IFERROR(INDEX('Почасовка — ставки и план'!$B$5:$B$24,MATCH(D1170,'Почасовка — ставки и план'!$A$5:$A$24,0)),"Аренда техники / механизмы")</f>
        <v>Монтажник вентиляции</v>
      </c>
      <c r="F1170" s="14">
        <v>1100</v>
      </c>
      <c r="G1170" s="14">
        <v>1250</v>
      </c>
      <c r="H1170" s="15">
        <v>682</v>
      </c>
      <c r="I1170" s="15">
        <f>IF(OR(H1170="",F1170=""),"",MAX(H1170,MIN(ROUND(H1170*(1+Параметры!$B$5),IF(H1170*(1+Параметры!$B$5)&gt;=1000,-1,0)),ROUND(F1170*Параметры!$B$6,IF(F1170*Параметры!$B$6&gt;=1000,-1,0)))))</f>
        <v>784</v>
      </c>
      <c r="J1170" s="15">
        <v>775</v>
      </c>
      <c r="K1170" s="15">
        <f>IF(OR(J1170="",G1170=""),"",MAX(J1170,MIN(ROUND(J1170*(1+Параметры!$B$5),IF(J1170*(1+Параметры!$B$5)&gt;=1000,-1,0)),ROUND(G1170*Параметры!$B$6,IF(G1170*Параметры!$B$6&gt;=1000,-1,0)))))</f>
        <v>891</v>
      </c>
      <c r="L1170" s="16">
        <v>0.9</v>
      </c>
      <c r="M1170" s="17">
        <f t="shared" si="92"/>
        <v>1.1111111111111112</v>
      </c>
      <c r="N1170" s="17">
        <f>IF(OR(L1170="",L1170=0),"",Параметры!$B$3/L1170)</f>
        <v>8.8888888888888893</v>
      </c>
      <c r="O1170" s="15">
        <f>IF(L1170="","",IFERROR(INDEX('Почасовка — ставки и план'!$D$5:$D$24,MATCH($D1170,'Почасовка — ставки и план'!$A$5:$A$24,0)),""))</f>
        <v>850</v>
      </c>
      <c r="P1170" s="15">
        <f>IF(L1170="","",IFERROR(INDEX('Почасовка — ставки и план'!$E$5:$E$24,MATCH($D1170,'Почасовка — ставки и план'!$A$5:$A$24,0)),""))</f>
        <v>1020</v>
      </c>
      <c r="Q1170" s="15">
        <f t="shared" si="93"/>
        <v>765</v>
      </c>
      <c r="R1170" s="13" t="str">
        <f>IF(D1170="TEX","аренда техники — сделка/счёт",IF(OR(Q1170="",H1170="",H1170=0),"—",IF(Q1170&lt;H1170*(1-Параметры!$B$7),"почасовка",IF(Q1170&gt;H1170*(1+Параметры!$B$7),"сделка","любой способ"))))</f>
        <v>сделка</v>
      </c>
      <c r="S1170">
        <v>0</v>
      </c>
      <c r="T1170">
        <v>0</v>
      </c>
    </row>
    <row r="1171" spans="1:20" x14ac:dyDescent="0.25">
      <c r="A1171" s="13" t="s">
        <v>2384</v>
      </c>
      <c r="B1171" s="13" t="s">
        <v>2385</v>
      </c>
      <c r="C1171" s="13" t="s">
        <v>72</v>
      </c>
      <c r="D1171" s="13" t="s">
        <v>288</v>
      </c>
      <c r="E1171" s="13" t="str">
        <f>IFERROR(INDEX('Почасовка — ставки и план'!$B$5:$B$24,MATCH(D1171,'Почасовка — ставки и план'!$A$5:$A$24,0)),"Аренда техники / механизмы")</f>
        <v>Монтажник вентиляции</v>
      </c>
      <c r="F1171" s="14">
        <v>1150</v>
      </c>
      <c r="G1171" s="14">
        <v>1300</v>
      </c>
      <c r="H1171" s="15">
        <v>713</v>
      </c>
      <c r="I1171" s="15">
        <f>IF(OR(H1171="",F1171=""),"",MAX(H1171,MIN(ROUND(H1171*(1+Параметры!$B$5),IF(H1171*(1+Параметры!$B$5)&gt;=1000,-1,0)),ROUND(F1171*Параметры!$B$6,IF(F1171*Параметры!$B$6&gt;=1000,-1,0)))))</f>
        <v>820</v>
      </c>
      <c r="J1171" s="15">
        <v>806</v>
      </c>
      <c r="K1171" s="15">
        <f>IF(OR(J1171="",G1171=""),"",MAX(J1171,MIN(ROUND(J1171*(1+Параметры!$B$5),IF(J1171*(1+Параметры!$B$5)&gt;=1000,-1,0)),ROUND(G1171*Параметры!$B$6,IF(G1171*Параметры!$B$6&gt;=1000,-1,0)))))</f>
        <v>927</v>
      </c>
      <c r="L1171" s="16">
        <v>0.95</v>
      </c>
      <c r="M1171" s="17">
        <f t="shared" si="92"/>
        <v>1.0526315789473684</v>
      </c>
      <c r="N1171" s="17">
        <f>IF(OR(L1171="",L1171=0),"",Параметры!$B$3/L1171)</f>
        <v>8.4210526315789469</v>
      </c>
      <c r="O1171" s="15">
        <f>IF(L1171="","",IFERROR(INDEX('Почасовка — ставки и план'!$D$5:$D$24,MATCH($D1171,'Почасовка — ставки и план'!$A$5:$A$24,0)),""))</f>
        <v>850</v>
      </c>
      <c r="P1171" s="15">
        <f>IF(L1171="","",IFERROR(INDEX('Почасовка — ставки и план'!$E$5:$E$24,MATCH($D1171,'Почасовка — ставки и план'!$A$5:$A$24,0)),""))</f>
        <v>1020</v>
      </c>
      <c r="Q1171" s="15">
        <f t="shared" si="93"/>
        <v>808</v>
      </c>
      <c r="R1171" s="13" t="str">
        <f>IF(D1171="TEX","аренда техники — сделка/счёт",IF(OR(Q1171="",H1171="",H1171=0),"—",IF(Q1171&lt;H1171*(1-Параметры!$B$7),"почасовка",IF(Q1171&gt;H1171*(1+Параметры!$B$7),"сделка","любой способ"))))</f>
        <v>сделка</v>
      </c>
      <c r="S1171">
        <v>0</v>
      </c>
      <c r="T1171">
        <v>0</v>
      </c>
    </row>
    <row r="1172" spans="1:20" x14ac:dyDescent="0.25">
      <c r="A1172" s="13" t="s">
        <v>2386</v>
      </c>
      <c r="B1172" s="13" t="s">
        <v>2387</v>
      </c>
      <c r="C1172" s="13" t="s">
        <v>72</v>
      </c>
      <c r="D1172" s="13" t="s">
        <v>288</v>
      </c>
      <c r="E1172" s="13" t="str">
        <f>IFERROR(INDEX('Почасовка — ставки и план'!$B$5:$B$24,MATCH(D1172,'Почасовка — ставки и план'!$A$5:$A$24,0)),"Аренда техники / механизмы")</f>
        <v>Монтажник вентиляции</v>
      </c>
      <c r="F1172" s="14">
        <v>1150</v>
      </c>
      <c r="G1172" s="14">
        <v>1360</v>
      </c>
      <c r="H1172" s="15">
        <v>713</v>
      </c>
      <c r="I1172" s="15">
        <f>IF(OR(H1172="",F1172=""),"",MAX(H1172,MIN(ROUND(H1172*(1+Параметры!$B$5),IF(H1172*(1+Параметры!$B$5)&gt;=1000,-1,0)),ROUND(F1172*Параметры!$B$6,IF(F1172*Параметры!$B$6&gt;=1000,-1,0)))))</f>
        <v>820</v>
      </c>
      <c r="J1172" s="15">
        <v>806</v>
      </c>
      <c r="K1172" s="15">
        <f>IF(OR(J1172="",G1172=""),"",MAX(J1172,MIN(ROUND(J1172*(1+Параметры!$B$5),IF(J1172*(1+Параметры!$B$5)&gt;=1000,-1,0)),ROUND(G1172*Параметры!$B$6,IF(G1172*Параметры!$B$6&gt;=1000,-1,0)))))</f>
        <v>927</v>
      </c>
      <c r="L1172" s="16">
        <v>1</v>
      </c>
      <c r="M1172" s="17">
        <f t="shared" si="92"/>
        <v>1</v>
      </c>
      <c r="N1172" s="17">
        <f>IF(OR(L1172="",L1172=0),"",Параметры!$B$3/L1172)</f>
        <v>8</v>
      </c>
      <c r="O1172" s="15">
        <f>IF(L1172="","",IFERROR(INDEX('Почасовка — ставки и план'!$D$5:$D$24,MATCH($D1172,'Почасовка — ставки и план'!$A$5:$A$24,0)),""))</f>
        <v>850</v>
      </c>
      <c r="P1172" s="15">
        <f>IF(L1172="","",IFERROR(INDEX('Почасовка — ставки и план'!$E$5:$E$24,MATCH($D1172,'Почасовка — ставки и план'!$A$5:$A$24,0)),""))</f>
        <v>1020</v>
      </c>
      <c r="Q1172" s="15">
        <f t="shared" si="93"/>
        <v>850</v>
      </c>
      <c r="R1172" s="13" t="str">
        <f>IF(D1172="TEX","аренда техники — сделка/счёт",IF(OR(Q1172="",H1172="",H1172=0),"—",IF(Q1172&lt;H1172*(1-Параметры!$B$7),"почасовка",IF(Q1172&gt;H1172*(1+Параметры!$B$7),"сделка","любой способ"))))</f>
        <v>сделка</v>
      </c>
      <c r="S1172">
        <v>0</v>
      </c>
      <c r="T1172">
        <v>4.6153846153846212E-2</v>
      </c>
    </row>
    <row r="1173" spans="1:20" x14ac:dyDescent="0.25">
      <c r="A1173" s="13" t="s">
        <v>2388</v>
      </c>
      <c r="B1173" s="13" t="s">
        <v>2389</v>
      </c>
      <c r="C1173" s="13" t="s">
        <v>72</v>
      </c>
      <c r="D1173" s="13" t="s">
        <v>288</v>
      </c>
      <c r="E1173" s="13" t="str">
        <f>IFERROR(INDEX('Почасовка — ставки и план'!$B$5:$B$24,MATCH(D1173,'Почасовка — ставки и план'!$A$5:$A$24,0)),"Аренда техники / механизмы")</f>
        <v>Монтажник вентиляции</v>
      </c>
      <c r="F1173" s="14">
        <v>1200</v>
      </c>
      <c r="G1173" s="14">
        <v>1428</v>
      </c>
      <c r="H1173" s="15">
        <v>744</v>
      </c>
      <c r="I1173" s="15">
        <f>IF(OR(H1173="",F1173=""),"",MAX(H1173,MIN(ROUND(H1173*(1+Параметры!$B$5),IF(H1173*(1+Параметры!$B$5)&gt;=1000,-1,0)),ROUND(F1173*Параметры!$B$6,IF(F1173*Параметры!$B$6&gt;=1000,-1,0)))))</f>
        <v>856</v>
      </c>
      <c r="J1173" s="15">
        <v>837</v>
      </c>
      <c r="K1173" s="15">
        <f>IF(OR(J1173="",G1173=""),"",MAX(J1173,MIN(ROUND(J1173*(1+Параметры!$B$5),IF(J1173*(1+Параметры!$B$5)&gt;=1000,-1,0)),ROUND(G1173*Параметры!$B$6,IF(G1173*Параметры!$B$6&gt;=1000,-1,0)))))</f>
        <v>963</v>
      </c>
      <c r="L1173" s="16">
        <v>1.05</v>
      </c>
      <c r="M1173" s="17">
        <f t="shared" si="92"/>
        <v>0.95238095238095233</v>
      </c>
      <c r="N1173" s="17">
        <f>IF(OR(L1173="",L1173=0),"",Параметры!$B$3/L1173)</f>
        <v>7.6190476190476186</v>
      </c>
      <c r="O1173" s="15">
        <f>IF(L1173="","",IFERROR(INDEX('Почасовка — ставки и план'!$D$5:$D$24,MATCH($D1173,'Почасовка — ставки и план'!$A$5:$A$24,0)),""))</f>
        <v>850</v>
      </c>
      <c r="P1173" s="15">
        <f>IF(L1173="","",IFERROR(INDEX('Почасовка — ставки и план'!$E$5:$E$24,MATCH($D1173,'Почасовка — ставки и план'!$A$5:$A$24,0)),""))</f>
        <v>1020</v>
      </c>
      <c r="Q1173" s="15">
        <f t="shared" si="93"/>
        <v>893</v>
      </c>
      <c r="R1173" s="13" t="str">
        <f>IF(D1173="TEX","аренда техники — сделка/счёт",IF(OR(Q1173="",H1173="",H1173=0),"—",IF(Q1173&lt;H1173*(1-Параметры!$B$7),"почасовка",IF(Q1173&gt;H1173*(1+Параметры!$B$7),"сделка","любой способ"))))</f>
        <v>сделка</v>
      </c>
      <c r="S1173">
        <v>0</v>
      </c>
      <c r="T1173">
        <v>5.7777777777777713E-2</v>
      </c>
    </row>
    <row r="1174" spans="1:20" x14ac:dyDescent="0.25">
      <c r="A1174" s="13" t="s">
        <v>2390</v>
      </c>
      <c r="B1174" s="13" t="s">
        <v>2391</v>
      </c>
      <c r="C1174" s="13" t="s">
        <v>72</v>
      </c>
      <c r="D1174" s="13" t="s">
        <v>288</v>
      </c>
      <c r="E1174" s="13" t="str">
        <f>IFERROR(INDEX('Почасовка — ставки и план'!$B$5:$B$24,MATCH(D1174,'Почасовка — ставки и план'!$A$5:$A$24,0)),"Аренда техники / механизмы")</f>
        <v>Монтажник вентиляции</v>
      </c>
      <c r="F1174" s="14">
        <v>1250</v>
      </c>
      <c r="G1174" s="14">
        <v>1496</v>
      </c>
      <c r="H1174" s="15">
        <v>775</v>
      </c>
      <c r="I1174" s="15">
        <f>IF(OR(H1174="",F1174=""),"",MAX(H1174,MIN(ROUND(H1174*(1+Параметры!$B$5),IF(H1174*(1+Параметры!$B$5)&gt;=1000,-1,0)),ROUND(F1174*Параметры!$B$6,IF(F1174*Параметры!$B$6&gt;=1000,-1,0)))))</f>
        <v>891</v>
      </c>
      <c r="J1174" s="15">
        <v>899</v>
      </c>
      <c r="K1174" s="15">
        <f>IF(OR(J1174="",G1174=""),"",MAX(J1174,MIN(ROUND(J1174*(1+Параметры!$B$5),IF(J1174*(1+Параметры!$B$5)&gt;=1000,-1,0)),ROUND(G1174*Параметры!$B$6,IF(G1174*Параметры!$B$6&gt;=1000,-1,0)))))</f>
        <v>1030</v>
      </c>
      <c r="L1174" s="16">
        <v>1.1000000000000001</v>
      </c>
      <c r="M1174" s="17">
        <f t="shared" si="92"/>
        <v>0.90909090909090906</v>
      </c>
      <c r="N1174" s="17">
        <f>IF(OR(L1174="",L1174=0),"",Параметры!$B$3/L1174)</f>
        <v>7.2727272727272725</v>
      </c>
      <c r="O1174" s="15">
        <f>IF(L1174="","",IFERROR(INDEX('Почасовка — ставки и план'!$D$5:$D$24,MATCH($D1174,'Почасовка — ставки и план'!$A$5:$A$24,0)),""))</f>
        <v>850</v>
      </c>
      <c r="P1174" s="15">
        <f>IF(L1174="","",IFERROR(INDEX('Почасовка — ставки и план'!$E$5:$E$24,MATCH($D1174,'Почасовка — ставки и план'!$A$5:$A$24,0)),""))</f>
        <v>1020</v>
      </c>
      <c r="Q1174" s="15">
        <f t="shared" si="93"/>
        <v>935</v>
      </c>
      <c r="R1174" s="13" t="str">
        <f>IF(D1174="TEX","аренда техники — сделка/счёт",IF(OR(Q1174="",H1174="",H1174=0),"—",IF(Q1174&lt;H1174*(1-Параметры!$B$7),"почасовка",IF(Q1174&gt;H1174*(1+Параметры!$B$7),"сделка","любой способ"))))</f>
        <v>сделка</v>
      </c>
      <c r="S1174">
        <v>0</v>
      </c>
      <c r="T1174">
        <v>3.1724137931034457E-2</v>
      </c>
    </row>
    <row r="1175" spans="1:20" x14ac:dyDescent="0.25">
      <c r="A1175" s="13" t="s">
        <v>2392</v>
      </c>
      <c r="B1175" s="13" t="s">
        <v>2393</v>
      </c>
      <c r="C1175" s="13" t="s">
        <v>72</v>
      </c>
      <c r="D1175" s="13" t="s">
        <v>288</v>
      </c>
      <c r="E1175" s="13" t="str">
        <f>IFERROR(INDEX('Почасовка — ставки и план'!$B$5:$B$24,MATCH(D1175,'Почасовка — ставки и план'!$A$5:$A$24,0)),"Аренда техники / механизмы")</f>
        <v>Монтажник вентиляции</v>
      </c>
      <c r="F1175" s="14">
        <v>1304</v>
      </c>
      <c r="G1175" s="14">
        <v>1564</v>
      </c>
      <c r="H1175" s="15">
        <v>806</v>
      </c>
      <c r="I1175" s="15">
        <f>IF(OR(H1175="",F1175=""),"",MAX(H1175,MIN(ROUND(H1175*(1+Параметры!$B$5),IF(H1175*(1+Параметры!$B$5)&gt;=1000,-1,0)),ROUND(F1175*Параметры!$B$6,IF(F1175*Параметры!$B$6&gt;=1000,-1,0)))))</f>
        <v>927</v>
      </c>
      <c r="J1175" s="15">
        <v>930</v>
      </c>
      <c r="K1175" s="15">
        <f>IF(OR(J1175="",G1175=""),"",MAX(J1175,MIN(ROUND(J1175*(1+Параметры!$B$5),IF(J1175*(1+Параметры!$B$5)&gt;=1000,-1,0)),ROUND(G1175*Параметры!$B$6,IF(G1175*Параметры!$B$6&gt;=1000,-1,0)))))</f>
        <v>1070</v>
      </c>
      <c r="L1175" s="16">
        <v>1.1499999999999999</v>
      </c>
      <c r="M1175" s="17">
        <f t="shared" si="92"/>
        <v>0.86956521739130443</v>
      </c>
      <c r="N1175" s="17">
        <f>IF(OR(L1175="",L1175=0),"",Параметры!$B$3/L1175)</f>
        <v>6.9565217391304355</v>
      </c>
      <c r="O1175" s="15">
        <f>IF(L1175="","",IFERROR(INDEX('Почасовка — ставки и план'!$D$5:$D$24,MATCH($D1175,'Почасовка — ставки и план'!$A$5:$A$24,0)),""))</f>
        <v>850</v>
      </c>
      <c r="P1175" s="15">
        <f>IF(L1175="","",IFERROR(INDEX('Почасовка — ставки и план'!$E$5:$E$24,MATCH($D1175,'Почасовка — ставки и план'!$A$5:$A$24,0)),""))</f>
        <v>1020</v>
      </c>
      <c r="Q1175" s="15">
        <f t="shared" si="93"/>
        <v>978</v>
      </c>
      <c r="R1175" s="13" t="str">
        <f>IF(D1175="TEX","аренда техники — сделка/счёт",IF(OR(Q1175="",H1175="",H1175=0),"—",IF(Q1175&lt;H1175*(1-Параметры!$B$7),"почасовка",IF(Q1175&gt;H1175*(1+Параметры!$B$7),"сделка","любой способ"))))</f>
        <v>сделка</v>
      </c>
      <c r="S1175">
        <v>3.0769230769229772E-3</v>
      </c>
      <c r="T1175">
        <v>4.2666666666666631E-2</v>
      </c>
    </row>
    <row r="1176" spans="1:20" x14ac:dyDescent="0.25">
      <c r="A1176" s="13" t="s">
        <v>2394</v>
      </c>
      <c r="B1176" s="13" t="s">
        <v>2395</v>
      </c>
      <c r="C1176" s="13" t="s">
        <v>69</v>
      </c>
      <c r="D1176" s="13" t="s">
        <v>299</v>
      </c>
      <c r="E1176" s="13" t="str">
        <f>IFERROR(INDEX('Почасовка — ставки и план'!$B$5:$B$24,MATCH(D1176,'Почасовка — ставки и план'!$A$5:$A$24,0)),"Аренда техники / механизмы")</f>
        <v>Холодильщик / монтажник кондиционеров</v>
      </c>
      <c r="F1176" s="14">
        <v>720</v>
      </c>
      <c r="G1176" s="14">
        <v>864</v>
      </c>
      <c r="H1176" s="15">
        <v>434</v>
      </c>
      <c r="I1176" s="15">
        <f>IF(OR(H1176="",F1176=""),"",MAX(H1176,MIN(ROUND(H1176*(1+Параметры!$B$5),IF(H1176*(1+Параметры!$B$5)&gt;=1000,-1,0)),ROUND(F1176*Параметры!$B$6,IF(F1176*Параметры!$B$6&gt;=1000,-1,0)))))</f>
        <v>499</v>
      </c>
      <c r="J1176" s="15">
        <v>496</v>
      </c>
      <c r="K1176" s="15">
        <f>IF(OR(J1176="",G1176=""),"",MAX(J1176,MIN(ROUND(J1176*(1+Параметры!$B$5),IF(J1176*(1+Параметры!$B$5)&gt;=1000,-1,0)),ROUND(G1176*Параметры!$B$6,IF(G1176*Параметры!$B$6&gt;=1000,-1,0)))))</f>
        <v>570</v>
      </c>
      <c r="L1176" s="16">
        <v>0.45</v>
      </c>
      <c r="M1176" s="17">
        <f t="shared" si="92"/>
        <v>2.2222222222222223</v>
      </c>
      <c r="N1176" s="17">
        <f>IF(OR(L1176="",L1176=0),"",Параметры!$B$3/L1176)</f>
        <v>17.777777777777779</v>
      </c>
      <c r="O1176" s="15">
        <f>IF(L1176="","",IFERROR(INDEX('Почасовка — ставки и план'!$D$5:$D$24,MATCH($D1176,'Почасовка — ставки и план'!$A$5:$A$24,0)),""))</f>
        <v>1200</v>
      </c>
      <c r="P1176" s="15">
        <f>IF(L1176="","",IFERROR(INDEX('Почасовка — ставки и план'!$E$5:$E$24,MATCH($D1176,'Почасовка — ставки и план'!$A$5:$A$24,0)),""))</f>
        <v>1440</v>
      </c>
      <c r="Q1176" s="15">
        <f t="shared" si="93"/>
        <v>540</v>
      </c>
      <c r="R1176" s="13" t="str">
        <f>IF(D1176="TEX","аренда техники — сделка/счёт",IF(OR(Q1176="",H1176="",H1176=0),"—",IF(Q1176&lt;H1176*(1-Параметры!$B$7),"почасовка",IF(Q1176&gt;H1176*(1+Параметры!$B$7),"сделка","любой способ"))))</f>
        <v>сделка</v>
      </c>
      <c r="S1176">
        <v>2.857142857142847E-2</v>
      </c>
      <c r="T1176">
        <v>8.0000000000000071E-2</v>
      </c>
    </row>
    <row r="1177" spans="1:20" x14ac:dyDescent="0.25">
      <c r="A1177" s="13" t="s">
        <v>2396</v>
      </c>
      <c r="B1177" s="13" t="s">
        <v>2397</v>
      </c>
      <c r="C1177" s="13" t="s">
        <v>69</v>
      </c>
      <c r="D1177" s="13" t="s">
        <v>299</v>
      </c>
      <c r="E1177" s="13" t="str">
        <f>IFERROR(INDEX('Почасовка — ставки и план'!$B$5:$B$24,MATCH(D1177,'Почасовка — ставки и план'!$A$5:$A$24,0)),"Аренда техники / механизмы")</f>
        <v>Холодильщик / монтажник кондиционеров</v>
      </c>
      <c r="F1177" s="14">
        <v>880</v>
      </c>
      <c r="G1177" s="14">
        <v>1056</v>
      </c>
      <c r="H1177" s="15">
        <v>527</v>
      </c>
      <c r="I1177" s="15">
        <f>IF(OR(H1177="",F1177=""),"",MAX(H1177,MIN(ROUND(H1177*(1+Параметры!$B$5),IF(H1177*(1+Параметры!$B$5)&gt;=1000,-1,0)),ROUND(F1177*Параметры!$B$6,IF(F1177*Параметры!$B$6&gt;=1000,-1,0)))))</f>
        <v>606</v>
      </c>
      <c r="J1177" s="15">
        <v>620</v>
      </c>
      <c r="K1177" s="15">
        <f>IF(OR(J1177="",G1177=""),"",MAX(J1177,MIN(ROUND(J1177*(1+Параметры!$B$5),IF(J1177*(1+Параметры!$B$5)&gt;=1000,-1,0)),ROUND(G1177*Параметры!$B$6,IF(G1177*Параметры!$B$6&gt;=1000,-1,0)))))</f>
        <v>713</v>
      </c>
      <c r="L1177" s="16">
        <v>0.55000000000000004</v>
      </c>
      <c r="M1177" s="17">
        <f t="shared" si="92"/>
        <v>1.8181818181818181</v>
      </c>
      <c r="N1177" s="17">
        <f>IF(OR(L1177="",L1177=0),"",Параметры!$B$3/L1177)</f>
        <v>14.545454545454545</v>
      </c>
      <c r="O1177" s="15">
        <f>IF(L1177="","",IFERROR(INDEX('Почасовка — ставки и план'!$D$5:$D$24,MATCH($D1177,'Почасовка — ставки и план'!$A$5:$A$24,0)),""))</f>
        <v>1200</v>
      </c>
      <c r="P1177" s="15">
        <f>IF(L1177="","",IFERROR(INDEX('Почасовка — ставки и план'!$E$5:$E$24,MATCH($D1177,'Почасовка — ставки и план'!$A$5:$A$24,0)),""))</f>
        <v>1440</v>
      </c>
      <c r="Q1177" s="15">
        <f t="shared" si="93"/>
        <v>660</v>
      </c>
      <c r="R1177" s="13" t="str">
        <f>IF(D1177="TEX","аренда техники — сделка/счёт",IF(OR(Q1177="",H1177="",H1177=0),"—",IF(Q1177&lt;H1177*(1-Параметры!$B$7),"почасовка",IF(Q1177&gt;H1177*(1+Параметры!$B$7),"сделка","любой способ"))))</f>
        <v>сделка</v>
      </c>
      <c r="S1177">
        <v>3.529411764705892E-2</v>
      </c>
      <c r="T1177">
        <v>5.600000000000005E-2</v>
      </c>
    </row>
    <row r="1178" spans="1:20" x14ac:dyDescent="0.25">
      <c r="A1178" s="13" t="s">
        <v>2398</v>
      </c>
      <c r="B1178" s="13" t="s">
        <v>2399</v>
      </c>
      <c r="C1178" s="13" t="s">
        <v>69</v>
      </c>
      <c r="D1178" s="13" t="s">
        <v>299</v>
      </c>
      <c r="E1178" s="13" t="str">
        <f>IFERROR(INDEX('Почасовка — ставки и план'!$B$5:$B$24,MATCH(D1178,'Почасовка — ставки и план'!$A$5:$A$24,0)),"Аренда техники / механизмы")</f>
        <v>Холодильщик / монтажник кондиционеров</v>
      </c>
      <c r="F1178" s="14">
        <v>1120</v>
      </c>
      <c r="G1178" s="14">
        <v>1344</v>
      </c>
      <c r="H1178" s="15">
        <v>682</v>
      </c>
      <c r="I1178" s="15">
        <f>IF(OR(H1178="",F1178=""),"",MAX(H1178,MIN(ROUND(H1178*(1+Параметры!$B$5),IF(H1178*(1+Параметры!$B$5)&gt;=1000,-1,0)),ROUND(F1178*Параметры!$B$6,IF(F1178*Параметры!$B$6&gt;=1000,-1,0)))))</f>
        <v>784</v>
      </c>
      <c r="J1178" s="15">
        <v>775</v>
      </c>
      <c r="K1178" s="15">
        <f>IF(OR(J1178="",G1178=""),"",MAX(J1178,MIN(ROUND(J1178*(1+Параметры!$B$5),IF(J1178*(1+Параметры!$B$5)&gt;=1000,-1,0)),ROUND(G1178*Параметры!$B$6,IF(G1178*Параметры!$B$6&gt;=1000,-1,0)))))</f>
        <v>891</v>
      </c>
      <c r="L1178" s="16">
        <v>0.7</v>
      </c>
      <c r="M1178" s="17">
        <f t="shared" si="92"/>
        <v>1.4285714285714286</v>
      </c>
      <c r="N1178" s="17">
        <f>IF(OR(L1178="",L1178=0),"",Параметры!$B$3/L1178)</f>
        <v>11.428571428571429</v>
      </c>
      <c r="O1178" s="15">
        <f>IF(L1178="","",IFERROR(INDEX('Почасовка — ставки и план'!$D$5:$D$24,MATCH($D1178,'Почасовка — ставки и план'!$A$5:$A$24,0)),""))</f>
        <v>1200</v>
      </c>
      <c r="P1178" s="15">
        <f>IF(L1178="","",IFERROR(INDEX('Почасовка — ставки и план'!$E$5:$E$24,MATCH($D1178,'Почасовка — ставки и план'!$A$5:$A$24,0)),""))</f>
        <v>1440</v>
      </c>
      <c r="Q1178" s="15">
        <f t="shared" si="93"/>
        <v>840</v>
      </c>
      <c r="R1178" s="13" t="str">
        <f>IF(D1178="TEX","аренда техники — сделка/счёт",IF(OR(Q1178="",H1178="",H1178=0),"—",IF(Q1178&lt;H1178*(1-Параметры!$B$7),"почасовка",IF(Q1178&gt;H1178*(1+Параметры!$B$7),"сделка","любой способ"))))</f>
        <v>сделка</v>
      </c>
      <c r="S1178">
        <v>1.818181818181808E-2</v>
      </c>
      <c r="T1178">
        <v>7.5199999999999934E-2</v>
      </c>
    </row>
    <row r="1179" spans="1:20" x14ac:dyDescent="0.25">
      <c r="A1179" s="13" t="s">
        <v>2400</v>
      </c>
      <c r="B1179" s="13" t="s">
        <v>2401</v>
      </c>
      <c r="C1179" s="13" t="s">
        <v>69</v>
      </c>
      <c r="D1179" s="13" t="s">
        <v>299</v>
      </c>
      <c r="E1179" s="13" t="str">
        <f>IFERROR(INDEX('Почасовка — ставки и план'!$B$5:$B$24,MATCH(D1179,'Почасовка — ставки и план'!$A$5:$A$24,0)),"Аренда техники / механизмы")</f>
        <v>Холодильщик / монтажник кондиционеров</v>
      </c>
      <c r="F1179" s="14">
        <v>1440</v>
      </c>
      <c r="G1179" s="14">
        <v>1728</v>
      </c>
      <c r="H1179" s="15">
        <v>868</v>
      </c>
      <c r="I1179" s="15">
        <f>IF(OR(H1179="",F1179=""),"",MAX(H1179,MIN(ROUND(H1179*(1+Параметры!$B$5),IF(H1179*(1+Параметры!$B$5)&gt;=1000,-1,0)),ROUND(F1179*Параметры!$B$6,IF(F1179*Параметры!$B$6&gt;=1000,-1,0)))))</f>
        <v>998</v>
      </c>
      <c r="J1179" s="15">
        <v>992</v>
      </c>
      <c r="K1179" s="15">
        <f>IF(OR(J1179="",G1179=""),"",MAX(J1179,MIN(ROUND(J1179*(1+Параметры!$B$5),IF(J1179*(1+Параметры!$B$5)&gt;=1000,-1,0)),ROUND(G1179*Параметры!$B$6,IF(G1179*Параметры!$B$6&gt;=1000,-1,0)))))</f>
        <v>1140</v>
      </c>
      <c r="L1179" s="16">
        <v>0.9</v>
      </c>
      <c r="M1179" s="17">
        <f t="shared" si="92"/>
        <v>1.1111111111111112</v>
      </c>
      <c r="N1179" s="17">
        <f>IF(OR(L1179="",L1179=0),"",Параметры!$B$3/L1179)</f>
        <v>8.8888888888888893</v>
      </c>
      <c r="O1179" s="15">
        <f>IF(L1179="","",IFERROR(INDEX('Почасовка — ставки и план'!$D$5:$D$24,MATCH($D1179,'Почасовка — ставки и план'!$A$5:$A$24,0)),""))</f>
        <v>1200</v>
      </c>
      <c r="P1179" s="15">
        <f>IF(L1179="","",IFERROR(INDEX('Почасовка — ставки и план'!$E$5:$E$24,MATCH($D1179,'Почасовка — ставки и план'!$A$5:$A$24,0)),""))</f>
        <v>1440</v>
      </c>
      <c r="Q1179" s="15">
        <f t="shared" si="93"/>
        <v>1080</v>
      </c>
      <c r="R1179" s="13" t="str">
        <f>IF(D1179="TEX","аренда техники — сделка/счёт",IF(OR(Q1179="",H1179="",H1179=0),"—",IF(Q1179&lt;H1179*(1-Параметры!$B$7),"почасовка",IF(Q1179&gt;H1179*(1+Параметры!$B$7),"сделка","любой способ"))))</f>
        <v>сделка</v>
      </c>
      <c r="S1179">
        <v>2.857142857142847E-2</v>
      </c>
      <c r="T1179">
        <v>8.0000000000000071E-2</v>
      </c>
    </row>
    <row r="1180" spans="1:20" x14ac:dyDescent="0.25">
      <c r="A1180" s="13" t="s">
        <v>2402</v>
      </c>
      <c r="B1180" s="13" t="s">
        <v>2403</v>
      </c>
      <c r="C1180" s="13" t="s">
        <v>144</v>
      </c>
      <c r="D1180" s="13" t="s">
        <v>299</v>
      </c>
      <c r="E1180" s="13" t="str">
        <f>IFERROR(INDEX('Почасовка — ставки и план'!$B$5:$B$24,MATCH(D1180,'Почасовка — ставки и план'!$A$5:$A$24,0)),"Аренда техники / механизмы")</f>
        <v>Холодильщик / монтажник кондиционеров</v>
      </c>
      <c r="F1180" s="14">
        <v>2500</v>
      </c>
      <c r="G1180" s="14">
        <v>2900</v>
      </c>
      <c r="H1180" s="15">
        <v>1500</v>
      </c>
      <c r="I1180" s="15">
        <f>IF(OR(H1180="",F1180=""),"",MAX(H1180,MIN(ROUND(H1180*(1+Параметры!$B$5),IF(H1180*(1+Параметры!$B$5)&gt;=1000,-1,0)),ROUND(F1180*Параметры!$B$6,IF(F1180*Параметры!$B$6&gt;=1000,-1,0)))))</f>
        <v>1730</v>
      </c>
      <c r="J1180" s="15">
        <v>1740</v>
      </c>
      <c r="K1180" s="15">
        <f>IF(OR(J1180="",G1180=""),"",MAX(J1180,MIN(ROUND(J1180*(1+Параметры!$B$5),IF(J1180*(1+Параметры!$B$5)&gt;=1000,-1,0)),ROUND(G1180*Параметры!$B$6,IF(G1180*Параметры!$B$6&gt;=1000,-1,0)))))</f>
        <v>2000</v>
      </c>
      <c r="L1180" s="16">
        <v>1.5</v>
      </c>
      <c r="M1180" s="17">
        <f t="shared" si="92"/>
        <v>0.66666666666666663</v>
      </c>
      <c r="N1180" s="17">
        <f>IF(OR(L1180="",L1180=0),"",Параметры!$B$3/L1180)</f>
        <v>5.333333333333333</v>
      </c>
      <c r="O1180" s="15">
        <f>IF(L1180="","",IFERROR(INDEX('Почасовка — ставки и план'!$D$5:$D$24,MATCH($D1180,'Почасовка — ставки и план'!$A$5:$A$24,0)),""))</f>
        <v>1200</v>
      </c>
      <c r="P1180" s="15">
        <f>IF(L1180="","",IFERROR(INDEX('Почасовка — ставки и план'!$E$5:$E$24,MATCH($D1180,'Почасовка — ставки и план'!$A$5:$A$24,0)),""))</f>
        <v>1440</v>
      </c>
      <c r="Q1180" s="15">
        <f t="shared" si="93"/>
        <v>1800</v>
      </c>
      <c r="R1180" s="13" t="str">
        <f>IF(D1180="TEX","аренда техники — сделка/счёт",IF(OR(Q1180="",H1180="",H1180=0),"—",IF(Q1180&lt;H1180*(1-Параметры!$B$7),"почасовка",IF(Q1180&gt;H1180*(1+Параметры!$B$7),"сделка","любой способ"))))</f>
        <v>сделка</v>
      </c>
      <c r="S1180">
        <v>0</v>
      </c>
      <c r="T1180">
        <v>0</v>
      </c>
    </row>
    <row r="1181" spans="1:20" x14ac:dyDescent="0.25">
      <c r="A1181" s="13" t="s">
        <v>2404</v>
      </c>
      <c r="B1181" s="13" t="s">
        <v>2405</v>
      </c>
      <c r="C1181" s="13" t="s">
        <v>865</v>
      </c>
      <c r="D1181" s="13" t="s">
        <v>299</v>
      </c>
      <c r="E1181" s="13" t="str">
        <f>IFERROR(INDEX('Почасовка — ставки и план'!$B$5:$B$24,MATCH(D1181,'Почасовка — ставки и план'!$A$5:$A$24,0)),"Аренда техники / механизмы")</f>
        <v>Холодильщик / монтажник кондиционеров</v>
      </c>
      <c r="F1181" s="14">
        <v>5000</v>
      </c>
      <c r="G1181" s="14">
        <v>5800</v>
      </c>
      <c r="H1181" s="15">
        <v>3000</v>
      </c>
      <c r="I1181" s="15">
        <f>IF(OR(H1181="",F1181=""),"",MAX(H1181,MIN(ROUND(H1181*(1+Параметры!$B$5),IF(H1181*(1+Параметры!$B$5)&gt;=1000,-1,0)),ROUND(F1181*Параметры!$B$6,IF(F1181*Параметры!$B$6&gt;=1000,-1,0)))))</f>
        <v>3450</v>
      </c>
      <c r="J1181" s="15">
        <v>3480</v>
      </c>
      <c r="K1181" s="15">
        <f>IF(OR(J1181="",G1181=""),"",MAX(J1181,MIN(ROUND(J1181*(1+Параметры!$B$5),IF(J1181*(1+Параметры!$B$5)&gt;=1000,-1,0)),ROUND(G1181*Параметры!$B$6,IF(G1181*Параметры!$B$6&gt;=1000,-1,0)))))</f>
        <v>4000</v>
      </c>
      <c r="L1181" s="16">
        <v>2</v>
      </c>
      <c r="M1181" s="17">
        <f t="shared" si="92"/>
        <v>0.5</v>
      </c>
      <c r="N1181" s="17">
        <f>IF(OR(L1181="",L1181=0),"",Параметры!$B$3/L1181)</f>
        <v>4</v>
      </c>
      <c r="O1181" s="15">
        <f>IF(L1181="","",IFERROR(INDEX('Почасовка — ставки и план'!$D$5:$D$24,MATCH($D1181,'Почасовка — ставки и план'!$A$5:$A$24,0)),""))</f>
        <v>1200</v>
      </c>
      <c r="P1181" s="15">
        <f>IF(L1181="","",IFERROR(INDEX('Почасовка — ставки и план'!$E$5:$E$24,MATCH($D1181,'Почасовка — ставки и план'!$A$5:$A$24,0)),""))</f>
        <v>1440</v>
      </c>
      <c r="Q1181" s="15">
        <f t="shared" si="93"/>
        <v>2400</v>
      </c>
      <c r="R1181" s="13" t="str">
        <f>IF(D1181="TEX","аренда техники — сделка/счёт",IF(OR(Q1181="",H1181="",H1181=0),"—",IF(Q1181&lt;H1181*(1-Параметры!$B$7),"почасовка",IF(Q1181&gt;H1181*(1+Параметры!$B$7),"сделка","любой способ"))))</f>
        <v>почасовка</v>
      </c>
      <c r="S1181">
        <v>0</v>
      </c>
      <c r="T1181">
        <v>0</v>
      </c>
    </row>
    <row r="1182" spans="1:20" x14ac:dyDescent="0.25">
      <c r="A1182" s="13" t="s">
        <v>2406</v>
      </c>
      <c r="B1182" s="13" t="s">
        <v>2407</v>
      </c>
      <c r="C1182" s="13" t="s">
        <v>865</v>
      </c>
      <c r="D1182" s="13" t="s">
        <v>299</v>
      </c>
      <c r="E1182" s="13" t="str">
        <f>IFERROR(INDEX('Почасовка — ставки и план'!$B$5:$B$24,MATCH(D1182,'Почасовка — ставки и план'!$A$5:$A$24,0)),"Аренда техники / механизмы")</f>
        <v>Холодильщик / монтажник кондиционеров</v>
      </c>
      <c r="F1182" s="14">
        <v>6500</v>
      </c>
      <c r="G1182" s="14">
        <v>7500</v>
      </c>
      <c r="H1182" s="15">
        <v>3900</v>
      </c>
      <c r="I1182" s="15">
        <f>IF(OR(H1182="",F1182=""),"",MAX(H1182,MIN(ROUND(H1182*(1+Параметры!$B$5),IF(H1182*(1+Параметры!$B$5)&gt;=1000,-1,0)),ROUND(F1182*Параметры!$B$6,IF(F1182*Параметры!$B$6&gt;=1000,-1,0)))))</f>
        <v>4490</v>
      </c>
      <c r="J1182" s="15">
        <v>4500</v>
      </c>
      <c r="K1182" s="15">
        <f>IF(OR(J1182="",G1182=""),"",MAX(J1182,MIN(ROUND(J1182*(1+Параметры!$B$5),IF(J1182*(1+Параметры!$B$5)&gt;=1000,-1,0)),ROUND(G1182*Параметры!$B$6,IF(G1182*Параметры!$B$6&gt;=1000,-1,0)))))</f>
        <v>5180</v>
      </c>
      <c r="L1182" s="16">
        <v>2.5</v>
      </c>
      <c r="M1182" s="17">
        <f t="shared" si="92"/>
        <v>0.4</v>
      </c>
      <c r="N1182" s="17">
        <f>IF(OR(L1182="",L1182=0),"",Параметры!$B$3/L1182)</f>
        <v>3.2</v>
      </c>
      <c r="O1182" s="15">
        <f>IF(L1182="","",IFERROR(INDEX('Почасовка — ставки и план'!$D$5:$D$24,MATCH($D1182,'Почасовка — ставки и план'!$A$5:$A$24,0)),""))</f>
        <v>1200</v>
      </c>
      <c r="P1182" s="15">
        <f>IF(L1182="","",IFERROR(INDEX('Почасовка — ставки и план'!$E$5:$E$24,MATCH($D1182,'Почасовка — ставки и план'!$A$5:$A$24,0)),""))</f>
        <v>1440</v>
      </c>
      <c r="Q1182" s="15">
        <f t="shared" si="93"/>
        <v>3000</v>
      </c>
      <c r="R1182" s="13" t="str">
        <f>IF(D1182="TEX","аренда техники — сделка/счёт",IF(OR(Q1182="",H1182="",H1182=0),"—",IF(Q1182&lt;H1182*(1-Параметры!$B$7),"почасовка",IF(Q1182&gt;H1182*(1+Параметры!$B$7),"сделка","любой способ"))))</f>
        <v>почасовка</v>
      </c>
      <c r="S1182">
        <v>0</v>
      </c>
      <c r="T1182">
        <v>0</v>
      </c>
    </row>
    <row r="1183" spans="1:20" x14ac:dyDescent="0.25">
      <c r="A1183" s="13" t="s">
        <v>2408</v>
      </c>
      <c r="B1183" s="13" t="s">
        <v>2409</v>
      </c>
      <c r="C1183" s="13" t="s">
        <v>865</v>
      </c>
      <c r="D1183" s="13" t="s">
        <v>299</v>
      </c>
      <c r="E1183" s="13" t="str">
        <f>IFERROR(INDEX('Почасовка — ставки и план'!$B$5:$B$24,MATCH(D1183,'Почасовка — ставки и план'!$A$5:$A$24,0)),"Аренда техники / механизмы")</f>
        <v>Холодильщик / монтажник кондиционеров</v>
      </c>
      <c r="F1183" s="14">
        <v>8000</v>
      </c>
      <c r="G1183" s="14">
        <v>9200</v>
      </c>
      <c r="H1183" s="15">
        <v>4800</v>
      </c>
      <c r="I1183" s="15">
        <f>IF(OR(H1183="",F1183=""),"",MAX(H1183,MIN(ROUND(H1183*(1+Параметры!$B$5),IF(H1183*(1+Параметры!$B$5)&gt;=1000,-1,0)),ROUND(F1183*Параметры!$B$6,IF(F1183*Параметры!$B$6&gt;=1000,-1,0)))))</f>
        <v>5520</v>
      </c>
      <c r="J1183" s="15">
        <v>5520</v>
      </c>
      <c r="K1183" s="15">
        <f>IF(OR(J1183="",G1183=""),"",MAX(J1183,MIN(ROUND(J1183*(1+Параметры!$B$5),IF(J1183*(1+Параметры!$B$5)&gt;=1000,-1,0)),ROUND(G1183*Параметры!$B$6,IF(G1183*Параметры!$B$6&gt;=1000,-1,0)))))</f>
        <v>6350</v>
      </c>
      <c r="L1183" s="16">
        <v>3</v>
      </c>
      <c r="M1183" s="17">
        <f t="shared" si="92"/>
        <v>0.33333333333333331</v>
      </c>
      <c r="N1183" s="17">
        <f>IF(OR(L1183="",L1183=0),"",Параметры!$B$3/L1183)</f>
        <v>2.6666666666666665</v>
      </c>
      <c r="O1183" s="15">
        <f>IF(L1183="","",IFERROR(INDEX('Почасовка — ставки и план'!$D$5:$D$24,MATCH($D1183,'Почасовка — ставки и план'!$A$5:$A$24,0)),""))</f>
        <v>1200</v>
      </c>
      <c r="P1183" s="15">
        <f>IF(L1183="","",IFERROR(INDEX('Почасовка — ставки и план'!$E$5:$E$24,MATCH($D1183,'Почасовка — ставки и план'!$A$5:$A$24,0)),""))</f>
        <v>1440</v>
      </c>
      <c r="Q1183" s="15">
        <f t="shared" si="93"/>
        <v>3600</v>
      </c>
      <c r="R1183" s="13" t="str">
        <f>IF(D1183="TEX","аренда техники — сделка/счёт",IF(OR(Q1183="",H1183="",H1183=0),"—",IF(Q1183&lt;H1183*(1-Параметры!$B$7),"почасовка",IF(Q1183&gt;H1183*(1+Параметры!$B$7),"сделка","любой способ"))))</f>
        <v>почасовка</v>
      </c>
      <c r="S1183">
        <v>0</v>
      </c>
      <c r="T1183">
        <v>0</v>
      </c>
    </row>
    <row r="1184" spans="1:20" x14ac:dyDescent="0.25">
      <c r="A1184" s="13" t="s">
        <v>2410</v>
      </c>
      <c r="B1184" s="13" t="s">
        <v>2411</v>
      </c>
      <c r="C1184" s="13" t="s">
        <v>865</v>
      </c>
      <c r="D1184" s="13" t="s">
        <v>299</v>
      </c>
      <c r="E1184" s="13" t="str">
        <f>IFERROR(INDEX('Почасовка — ставки и план'!$B$5:$B$24,MATCH(D1184,'Почасовка — ставки и план'!$A$5:$A$24,0)),"Аренда техники / механизмы")</f>
        <v>Холодильщик / монтажник кондиционеров</v>
      </c>
      <c r="F1184" s="14">
        <v>10000</v>
      </c>
      <c r="G1184" s="14">
        <v>11500</v>
      </c>
      <c r="H1184" s="15">
        <v>6000</v>
      </c>
      <c r="I1184" s="15">
        <f>IF(OR(H1184="",F1184=""),"",MAX(H1184,MIN(ROUND(H1184*(1+Параметры!$B$5),IF(H1184*(1+Параметры!$B$5)&gt;=1000,-1,0)),ROUND(F1184*Параметры!$B$6,IF(F1184*Параметры!$B$6&gt;=1000,-1,0)))))</f>
        <v>6900</v>
      </c>
      <c r="J1184" s="15">
        <v>6900</v>
      </c>
      <c r="K1184" s="15">
        <f>IF(OR(J1184="",G1184=""),"",MAX(J1184,MIN(ROUND(J1184*(1+Параметры!$B$5),IF(J1184*(1+Параметры!$B$5)&gt;=1000,-1,0)),ROUND(G1184*Параметры!$B$6,IF(G1184*Параметры!$B$6&gt;=1000,-1,0)))))</f>
        <v>7940</v>
      </c>
      <c r="L1184" s="16">
        <v>4</v>
      </c>
      <c r="M1184" s="17">
        <f t="shared" si="92"/>
        <v>0.25</v>
      </c>
      <c r="N1184" s="17">
        <f>IF(OR(L1184="",L1184=0),"",Параметры!$B$3/L1184)</f>
        <v>2</v>
      </c>
      <c r="O1184" s="15">
        <f>IF(L1184="","",IFERROR(INDEX('Почасовка — ставки и план'!$D$5:$D$24,MATCH($D1184,'Почасовка — ставки и план'!$A$5:$A$24,0)),""))</f>
        <v>1200</v>
      </c>
      <c r="P1184" s="15">
        <f>IF(L1184="","",IFERROR(INDEX('Почасовка — ставки и план'!$E$5:$E$24,MATCH($D1184,'Почасовка — ставки и план'!$A$5:$A$24,0)),""))</f>
        <v>1440</v>
      </c>
      <c r="Q1184" s="15">
        <f t="shared" si="93"/>
        <v>4800</v>
      </c>
      <c r="R1184" s="13" t="str">
        <f>IF(D1184="TEX","аренда техники — сделка/счёт",IF(OR(Q1184="",H1184="",H1184=0),"—",IF(Q1184&lt;H1184*(1-Параметры!$B$7),"почасовка",IF(Q1184&gt;H1184*(1+Параметры!$B$7),"сделка","любой способ"))))</f>
        <v>почасовка</v>
      </c>
      <c r="S1184">
        <v>0</v>
      </c>
      <c r="T1184">
        <v>0</v>
      </c>
    </row>
    <row r="1185" spans="1:20" x14ac:dyDescent="0.25">
      <c r="A1185" s="13" t="s">
        <v>2412</v>
      </c>
      <c r="B1185" s="13" t="s">
        <v>2413</v>
      </c>
      <c r="C1185" s="13" t="s">
        <v>72</v>
      </c>
      <c r="D1185" s="13" t="s">
        <v>288</v>
      </c>
      <c r="E1185" s="13" t="str">
        <f>IFERROR(INDEX('Почасовка — ставки и план'!$B$5:$B$24,MATCH(D1185,'Почасовка — ставки и план'!$A$5:$A$24,0)),"Аренда техники / механизмы")</f>
        <v>Монтажник вентиляции</v>
      </c>
      <c r="F1185" s="14">
        <v>180</v>
      </c>
      <c r="G1185" s="14">
        <v>210</v>
      </c>
      <c r="H1185" s="15">
        <v>108</v>
      </c>
      <c r="I1185" s="15">
        <f>IF(OR(H1185="",F1185=""),"",MAX(H1185,MIN(ROUND(H1185*(1+Параметры!$B$5),IF(H1185*(1+Параметры!$B$5)&gt;=1000,-1,0)),ROUND(F1185*Параметры!$B$6,IF(F1185*Параметры!$B$6&gt;=1000,-1,0)))))</f>
        <v>124</v>
      </c>
      <c r="J1185" s="15">
        <v>126</v>
      </c>
      <c r="K1185" s="15">
        <f>IF(OR(J1185="",G1185=""),"",MAX(J1185,MIN(ROUND(J1185*(1+Параметры!$B$5),IF(J1185*(1+Параметры!$B$5)&gt;=1000,-1,0)),ROUND(G1185*Параметры!$B$6,IF(G1185*Параметры!$B$6&gt;=1000,-1,0)))))</f>
        <v>145</v>
      </c>
      <c r="L1185" s="16">
        <v>0.15</v>
      </c>
      <c r="M1185" s="17">
        <f t="shared" si="92"/>
        <v>6.666666666666667</v>
      </c>
      <c r="N1185" s="17">
        <f>IF(OR(L1185="",L1185=0),"",Параметры!$B$3/L1185)</f>
        <v>53.333333333333336</v>
      </c>
      <c r="O1185" s="15">
        <f>IF(L1185="","",IFERROR(INDEX('Почасовка — ставки и план'!$D$5:$D$24,MATCH($D1185,'Почасовка — ставки и план'!$A$5:$A$24,0)),""))</f>
        <v>850</v>
      </c>
      <c r="P1185" s="15">
        <f>IF(L1185="","",IFERROR(INDEX('Почасовка — ставки и план'!$E$5:$E$24,MATCH($D1185,'Почасовка — ставки и план'!$A$5:$A$24,0)),""))</f>
        <v>1020</v>
      </c>
      <c r="Q1185" s="15">
        <f t="shared" si="93"/>
        <v>128</v>
      </c>
      <c r="R1185" s="13" t="str">
        <f>IF(D1185="TEX","аренда техники — сделка/счёт",IF(OR(Q1185="",H1185="",H1185=0),"—",IF(Q1185&lt;H1185*(1-Параметры!$B$7),"почасовка",IF(Q1185&gt;H1185*(1+Параметры!$B$7),"сделка","любой способ"))))</f>
        <v>сделка</v>
      </c>
      <c r="S1185">
        <v>0</v>
      </c>
      <c r="T1185">
        <v>0</v>
      </c>
    </row>
    <row r="1186" spans="1:20" x14ac:dyDescent="0.25">
      <c r="A1186" s="13" t="s">
        <v>2414</v>
      </c>
      <c r="B1186" s="13" t="s">
        <v>2415</v>
      </c>
      <c r="C1186" s="13" t="s">
        <v>144</v>
      </c>
      <c r="D1186" s="13" t="s">
        <v>288</v>
      </c>
      <c r="E1186" s="13" t="str">
        <f>IFERROR(INDEX('Почасовка — ставки и план'!$B$5:$B$24,MATCH(D1186,'Почасовка — ставки и план'!$A$5:$A$24,0)),"Аренда техники / механизмы")</f>
        <v>Монтажник вентиляции</v>
      </c>
      <c r="F1186" s="14">
        <v>2000</v>
      </c>
      <c r="G1186" s="14">
        <v>2300</v>
      </c>
      <c r="H1186" s="15">
        <v>1200</v>
      </c>
      <c r="I1186" s="15">
        <f>IF(OR(H1186="",F1186=""),"",MAX(H1186,MIN(ROUND(H1186*(1+Параметры!$B$5),IF(H1186*(1+Параметры!$B$5)&gt;=1000,-1,0)),ROUND(F1186*Параметры!$B$6,IF(F1186*Параметры!$B$6&gt;=1000,-1,0)))))</f>
        <v>1380</v>
      </c>
      <c r="J1186" s="15">
        <v>1380</v>
      </c>
      <c r="K1186" s="15">
        <f>IF(OR(J1186="",G1186=""),"",MAX(J1186,MIN(ROUND(J1186*(1+Параметры!$B$5),IF(J1186*(1+Параметры!$B$5)&gt;=1000,-1,0)),ROUND(G1186*Параметры!$B$6,IF(G1186*Параметры!$B$6&gt;=1000,-1,0)))))</f>
        <v>1590</v>
      </c>
      <c r="L1186" s="16">
        <v>0.75</v>
      </c>
      <c r="M1186" s="17">
        <f t="shared" ref="M1186:M1249" si="94">IF(OR(L1186="",L1186=0),"",1/L1186)</f>
        <v>1.3333333333333333</v>
      </c>
      <c r="N1186" s="17">
        <f>IF(OR(L1186="",L1186=0),"",Параметры!$B$3/L1186)</f>
        <v>10.666666666666666</v>
      </c>
      <c r="O1186" s="15">
        <f>IF(L1186="","",IFERROR(INDEX('Почасовка — ставки и план'!$D$5:$D$24,MATCH($D1186,'Почасовка — ставки и план'!$A$5:$A$24,0)),""))</f>
        <v>850</v>
      </c>
      <c r="P1186" s="15">
        <f>IF(L1186="","",IFERROR(INDEX('Почасовка — ставки и план'!$E$5:$E$24,MATCH($D1186,'Почасовка — ставки и план'!$A$5:$A$24,0)),""))</f>
        <v>1020</v>
      </c>
      <c r="Q1186" s="15">
        <f t="shared" ref="Q1186:Q1249" si="95">IF(OR(L1186="",O1186=""),"",ROUND(L1186*O1186,0))</f>
        <v>638</v>
      </c>
      <c r="R1186" s="13" t="str">
        <f>IF(D1186="TEX","аренда техники — сделка/счёт",IF(OR(Q1186="",H1186="",H1186=0),"—",IF(Q1186&lt;H1186*(1-Параметры!$B$7),"почасовка",IF(Q1186&gt;H1186*(1+Параметры!$B$7),"сделка","любой способ"))))</f>
        <v>почасовка</v>
      </c>
      <c r="S1186">
        <v>0</v>
      </c>
      <c r="T1186">
        <v>0</v>
      </c>
    </row>
    <row r="1187" spans="1:20" x14ac:dyDescent="0.25">
      <c r="A1187" s="13" t="s">
        <v>2416</v>
      </c>
      <c r="B1187" s="13" t="s">
        <v>2417</v>
      </c>
      <c r="C1187" s="13" t="s">
        <v>144</v>
      </c>
      <c r="D1187" s="13" t="s">
        <v>288</v>
      </c>
      <c r="E1187" s="13" t="str">
        <f>IFERROR(INDEX('Почасовка — ставки и план'!$B$5:$B$24,MATCH(D1187,'Почасовка — ставки и план'!$A$5:$A$24,0)),"Аренда техники / механизмы")</f>
        <v>Монтажник вентиляции</v>
      </c>
      <c r="F1187" s="14">
        <v>2500</v>
      </c>
      <c r="G1187" s="14">
        <v>2900</v>
      </c>
      <c r="H1187" s="15">
        <v>1500</v>
      </c>
      <c r="I1187" s="15">
        <f>IF(OR(H1187="",F1187=""),"",MAX(H1187,MIN(ROUND(H1187*(1+Параметры!$B$5),IF(H1187*(1+Параметры!$B$5)&gt;=1000,-1,0)),ROUND(F1187*Параметры!$B$6,IF(F1187*Параметры!$B$6&gt;=1000,-1,0)))))</f>
        <v>1730</v>
      </c>
      <c r="J1187" s="15">
        <v>1740</v>
      </c>
      <c r="K1187" s="15">
        <f>IF(OR(J1187="",G1187=""),"",MAX(J1187,MIN(ROUND(J1187*(1+Параметры!$B$5),IF(J1187*(1+Параметры!$B$5)&gt;=1000,-1,0)),ROUND(G1187*Параметры!$B$6,IF(G1187*Параметры!$B$6&gt;=1000,-1,0)))))</f>
        <v>2000</v>
      </c>
      <c r="L1187" s="16">
        <v>1</v>
      </c>
      <c r="M1187" s="17">
        <f t="shared" si="94"/>
        <v>1</v>
      </c>
      <c r="N1187" s="17">
        <f>IF(OR(L1187="",L1187=0),"",Параметры!$B$3/L1187)</f>
        <v>8</v>
      </c>
      <c r="O1187" s="15">
        <f>IF(L1187="","",IFERROR(INDEX('Почасовка — ставки и план'!$D$5:$D$24,MATCH($D1187,'Почасовка — ставки и план'!$A$5:$A$24,0)),""))</f>
        <v>850</v>
      </c>
      <c r="P1187" s="15">
        <f>IF(L1187="","",IFERROR(INDEX('Почасовка — ставки и план'!$E$5:$E$24,MATCH($D1187,'Почасовка — ставки и план'!$A$5:$A$24,0)),""))</f>
        <v>1020</v>
      </c>
      <c r="Q1187" s="15">
        <f t="shared" si="95"/>
        <v>850</v>
      </c>
      <c r="R1187" s="13" t="str">
        <f>IF(D1187="TEX","аренда техники — сделка/счёт",IF(OR(Q1187="",H1187="",H1187=0),"—",IF(Q1187&lt;H1187*(1-Параметры!$B$7),"почасовка",IF(Q1187&gt;H1187*(1+Параметры!$B$7),"сделка","любой способ"))))</f>
        <v>почасовка</v>
      </c>
      <c r="S1187">
        <v>0</v>
      </c>
      <c r="T1187">
        <v>0</v>
      </c>
    </row>
    <row r="1188" spans="1:20" x14ac:dyDescent="0.25">
      <c r="A1188" s="13" t="s">
        <v>2418</v>
      </c>
      <c r="B1188" s="13" t="s">
        <v>2419</v>
      </c>
      <c r="C1188" s="13" t="s">
        <v>144</v>
      </c>
      <c r="D1188" s="13" t="s">
        <v>288</v>
      </c>
      <c r="E1188" s="13" t="str">
        <f>IFERROR(INDEX('Почасовка — ставки и план'!$B$5:$B$24,MATCH(D1188,'Почасовка — ставки и план'!$A$5:$A$24,0)),"Аренда техники / механизмы")</f>
        <v>Монтажник вентиляции</v>
      </c>
      <c r="F1188" s="14">
        <v>3000</v>
      </c>
      <c r="G1188" s="14">
        <v>3500</v>
      </c>
      <c r="H1188" s="15">
        <v>1800</v>
      </c>
      <c r="I1188" s="15">
        <f>IF(OR(H1188="",F1188=""),"",MAX(H1188,MIN(ROUND(H1188*(1+Параметры!$B$5),IF(H1188*(1+Параметры!$B$5)&gt;=1000,-1,0)),ROUND(F1188*Параметры!$B$6,IF(F1188*Параметры!$B$6&gt;=1000,-1,0)))))</f>
        <v>2070</v>
      </c>
      <c r="J1188" s="15">
        <v>2100</v>
      </c>
      <c r="K1188" s="15">
        <f>IF(OR(J1188="",G1188=""),"",MAX(J1188,MIN(ROUND(J1188*(1+Параметры!$B$5),IF(J1188*(1+Параметры!$B$5)&gt;=1000,-1,0)),ROUND(G1188*Параметры!$B$6,IF(G1188*Параметры!$B$6&gt;=1000,-1,0)))))</f>
        <v>2420</v>
      </c>
      <c r="L1188" s="16">
        <v>1.25</v>
      </c>
      <c r="M1188" s="17">
        <f t="shared" si="94"/>
        <v>0.8</v>
      </c>
      <c r="N1188" s="17">
        <f>IF(OR(L1188="",L1188=0),"",Параметры!$B$3/L1188)</f>
        <v>6.4</v>
      </c>
      <c r="O1188" s="15">
        <f>IF(L1188="","",IFERROR(INDEX('Почасовка — ставки и план'!$D$5:$D$24,MATCH($D1188,'Почасовка — ставки и план'!$A$5:$A$24,0)),""))</f>
        <v>850</v>
      </c>
      <c r="P1188" s="15">
        <f>IF(L1188="","",IFERROR(INDEX('Почасовка — ставки и план'!$E$5:$E$24,MATCH($D1188,'Почасовка — ставки и план'!$A$5:$A$24,0)),""))</f>
        <v>1020</v>
      </c>
      <c r="Q1188" s="15">
        <f t="shared" si="95"/>
        <v>1063</v>
      </c>
      <c r="R1188" s="13" t="str">
        <f>IF(D1188="TEX","аренда техники — сделка/счёт",IF(OR(Q1188="",H1188="",H1188=0),"—",IF(Q1188&lt;H1188*(1-Параметры!$B$7),"почасовка",IF(Q1188&gt;H1188*(1+Параметры!$B$7),"сделка","любой способ"))))</f>
        <v>почасовка</v>
      </c>
      <c r="S1188">
        <v>0</v>
      </c>
      <c r="T1188">
        <v>0</v>
      </c>
    </row>
    <row r="1189" spans="1:20" x14ac:dyDescent="0.25">
      <c r="A1189" s="13" t="s">
        <v>2420</v>
      </c>
      <c r="B1189" s="13" t="s">
        <v>2421</v>
      </c>
      <c r="C1189" s="13" t="s">
        <v>72</v>
      </c>
      <c r="D1189" s="13" t="s">
        <v>288</v>
      </c>
      <c r="E1189" s="13" t="str">
        <f>IFERROR(INDEX('Почасовка — ставки и план'!$B$5:$B$24,MATCH(D1189,'Почасовка — ставки и план'!$A$5:$A$24,0)),"Аренда техники / механизмы")</f>
        <v>Монтажник вентиляции</v>
      </c>
      <c r="F1189" s="14">
        <v>500</v>
      </c>
      <c r="G1189" s="14">
        <v>600</v>
      </c>
      <c r="H1189" s="15">
        <v>300</v>
      </c>
      <c r="I1189" s="15">
        <f>IF(OR(H1189="",F1189=""),"",MAX(H1189,MIN(ROUND(H1189*(1+Параметры!$B$5),IF(H1189*(1+Параметры!$B$5)&gt;=1000,-1,0)),ROUND(F1189*Параметры!$B$6,IF(F1189*Параметры!$B$6&gt;=1000,-1,0)))))</f>
        <v>345</v>
      </c>
      <c r="J1189" s="15">
        <v>360</v>
      </c>
      <c r="K1189" s="15">
        <f>IF(OR(J1189="",G1189=""),"",MAX(J1189,MIN(ROUND(J1189*(1+Параметры!$B$5),IF(J1189*(1+Параметры!$B$5)&gt;=1000,-1,0)),ROUND(G1189*Параметры!$B$6,IF(G1189*Параметры!$B$6&gt;=1000,-1,0)))))</f>
        <v>414</v>
      </c>
      <c r="L1189" s="16">
        <v>0.3</v>
      </c>
      <c r="M1189" s="17">
        <f t="shared" si="94"/>
        <v>3.3333333333333335</v>
      </c>
      <c r="N1189" s="17">
        <f>IF(OR(L1189="",L1189=0),"",Параметры!$B$3/L1189)</f>
        <v>26.666666666666668</v>
      </c>
      <c r="O1189" s="15">
        <f>IF(L1189="","",IFERROR(INDEX('Почасовка — ставки и план'!$D$5:$D$24,MATCH($D1189,'Почасовка — ставки и план'!$A$5:$A$24,0)),""))</f>
        <v>850</v>
      </c>
      <c r="P1189" s="15">
        <f>IF(L1189="","",IFERROR(INDEX('Почасовка — ставки и план'!$E$5:$E$24,MATCH($D1189,'Почасовка — ставки и план'!$A$5:$A$24,0)),""))</f>
        <v>1020</v>
      </c>
      <c r="Q1189" s="15">
        <f t="shared" si="95"/>
        <v>255</v>
      </c>
      <c r="R1189" s="13" t="str">
        <f>IF(D1189="TEX","аренда техники — сделка/счёт",IF(OR(Q1189="",H1189="",H1189=0),"—",IF(Q1189&lt;H1189*(1-Параметры!$B$7),"почасовка",IF(Q1189&gt;H1189*(1+Параметры!$B$7),"сделка","любой способ"))))</f>
        <v>почасовка</v>
      </c>
      <c r="S1189">
        <v>0</v>
      </c>
      <c r="T1189">
        <v>0</v>
      </c>
    </row>
    <row r="1190" spans="1:20" x14ac:dyDescent="0.25">
      <c r="A1190" s="13" t="s">
        <v>2422</v>
      </c>
      <c r="B1190" s="13" t="s">
        <v>2423</v>
      </c>
      <c r="C1190" s="13" t="s">
        <v>144</v>
      </c>
      <c r="D1190" s="13" t="s">
        <v>288</v>
      </c>
      <c r="E1190" s="13" t="str">
        <f>IFERROR(INDEX('Почасовка — ставки и план'!$B$5:$B$24,MATCH(D1190,'Почасовка — ставки и план'!$A$5:$A$24,0)),"Аренда техники / механизмы")</f>
        <v>Монтажник вентиляции</v>
      </c>
      <c r="F1190" s="14">
        <v>15000</v>
      </c>
      <c r="G1190" s="14">
        <v>17500</v>
      </c>
      <c r="H1190" s="15">
        <v>9000</v>
      </c>
      <c r="I1190" s="15">
        <f>IF(OR(H1190="",F1190=""),"",MAX(H1190,MIN(ROUND(H1190*(1+Параметры!$B$5),IF(H1190*(1+Параметры!$B$5)&gt;=1000,-1,0)),ROUND(F1190*Параметры!$B$6,IF(F1190*Параметры!$B$6&gt;=1000,-1,0)))))</f>
        <v>10350</v>
      </c>
      <c r="J1190" s="15">
        <v>10500</v>
      </c>
      <c r="K1190" s="15">
        <f>IF(OR(J1190="",G1190=""),"",MAX(J1190,MIN(ROUND(J1190*(1+Параметры!$B$5),IF(J1190*(1+Параметры!$B$5)&gt;=1000,-1,0)),ROUND(G1190*Параметры!$B$6,IF(G1190*Параметры!$B$6&gt;=1000,-1,0)))))</f>
        <v>12080</v>
      </c>
      <c r="L1190" s="16">
        <v>10</v>
      </c>
      <c r="M1190" s="17">
        <f t="shared" si="94"/>
        <v>0.1</v>
      </c>
      <c r="N1190" s="17">
        <f>IF(OR(L1190="",L1190=0),"",Параметры!$B$3/L1190)</f>
        <v>0.8</v>
      </c>
      <c r="O1190" s="15">
        <f>IF(L1190="","",IFERROR(INDEX('Почасовка — ставки и план'!$D$5:$D$24,MATCH($D1190,'Почасовка — ставки и план'!$A$5:$A$24,0)),""))</f>
        <v>850</v>
      </c>
      <c r="P1190" s="15">
        <f>IF(L1190="","",IFERROR(INDEX('Почасовка — ставки и план'!$E$5:$E$24,MATCH($D1190,'Почасовка — ставки и план'!$A$5:$A$24,0)),""))</f>
        <v>1020</v>
      </c>
      <c r="Q1190" s="15">
        <f t="shared" si="95"/>
        <v>8500</v>
      </c>
      <c r="R1190" s="13" t="str">
        <f>IF(D1190="TEX","аренда техники — сделка/счёт",IF(OR(Q1190="",H1190="",H1190=0),"—",IF(Q1190&lt;H1190*(1-Параметры!$B$7),"почасовка",IF(Q1190&gt;H1190*(1+Параметры!$B$7),"сделка","любой способ"))))</f>
        <v>любой способ</v>
      </c>
      <c r="S1190">
        <v>0</v>
      </c>
      <c r="T1190">
        <v>0</v>
      </c>
    </row>
    <row r="1191" spans="1:20" x14ac:dyDescent="0.25">
      <c r="A1191" s="13" t="s">
        <v>2424</v>
      </c>
      <c r="B1191" s="13" t="s">
        <v>2425</v>
      </c>
      <c r="C1191" s="13" t="s">
        <v>144</v>
      </c>
      <c r="D1191" s="13" t="s">
        <v>299</v>
      </c>
      <c r="E1191" s="13" t="str">
        <f>IFERROR(INDEX('Почасовка — ставки и план'!$B$5:$B$24,MATCH(D1191,'Почасовка — ставки и план'!$A$5:$A$24,0)),"Аренда техники / механизмы")</f>
        <v>Холодильщик / монтажник кондиционеров</v>
      </c>
      <c r="F1191" s="14">
        <v>3500</v>
      </c>
      <c r="G1191" s="14">
        <v>4000</v>
      </c>
      <c r="H1191" s="15">
        <v>2100</v>
      </c>
      <c r="I1191" s="15">
        <f>IF(OR(H1191="",F1191=""),"",MAX(H1191,MIN(ROUND(H1191*(1+Параметры!$B$5),IF(H1191*(1+Параметры!$B$5)&gt;=1000,-1,0)),ROUND(F1191*Параметры!$B$6,IF(F1191*Параметры!$B$6&gt;=1000,-1,0)))))</f>
        <v>2420</v>
      </c>
      <c r="J1191" s="15">
        <v>2400</v>
      </c>
      <c r="K1191" s="15">
        <f>IF(OR(J1191="",G1191=""),"",MAX(J1191,MIN(ROUND(J1191*(1+Параметры!$B$5),IF(J1191*(1+Параметры!$B$5)&gt;=1000,-1,0)),ROUND(G1191*Параметры!$B$6,IF(G1191*Параметры!$B$6&gt;=1000,-1,0)))))</f>
        <v>2760</v>
      </c>
      <c r="L1191" s="16">
        <v>1.5</v>
      </c>
      <c r="M1191" s="17">
        <f t="shared" si="94"/>
        <v>0.66666666666666663</v>
      </c>
      <c r="N1191" s="17">
        <f>IF(OR(L1191="",L1191=0),"",Параметры!$B$3/L1191)</f>
        <v>5.333333333333333</v>
      </c>
      <c r="O1191" s="15">
        <f>IF(L1191="","",IFERROR(INDEX('Почасовка — ставки и план'!$D$5:$D$24,MATCH($D1191,'Почасовка — ставки и план'!$A$5:$A$24,0)),""))</f>
        <v>1200</v>
      </c>
      <c r="P1191" s="15">
        <f>IF(L1191="","",IFERROR(INDEX('Почасовка — ставки и план'!$E$5:$E$24,MATCH($D1191,'Почасовка — ставки и план'!$A$5:$A$24,0)),""))</f>
        <v>1440</v>
      </c>
      <c r="Q1191" s="15">
        <f t="shared" si="95"/>
        <v>1800</v>
      </c>
      <c r="R1191" s="13" t="str">
        <f>IF(D1191="TEX","аренда техники — сделка/счёт",IF(OR(Q1191="",H1191="",H1191=0),"—",IF(Q1191&lt;H1191*(1-Параметры!$B$7),"почасовка",IF(Q1191&gt;H1191*(1+Параметры!$B$7),"сделка","любой способ"))))</f>
        <v>почасовка</v>
      </c>
      <c r="S1191">
        <v>0</v>
      </c>
      <c r="T1191">
        <v>0</v>
      </c>
    </row>
    <row r="1192" spans="1:20" x14ac:dyDescent="0.25">
      <c r="A1192" s="13" t="s">
        <v>2426</v>
      </c>
      <c r="B1192" s="13" t="s">
        <v>2427</v>
      </c>
      <c r="C1192" s="13" t="s">
        <v>144</v>
      </c>
      <c r="D1192" s="13" t="s">
        <v>273</v>
      </c>
      <c r="E1192" s="13" t="str">
        <f>IFERROR(INDEX('Почасовка — ставки и план'!$B$5:$B$24,MATCH(D1192,'Почасовка — ставки и план'!$A$5:$A$24,0)),"Аренда техники / механизмы")</f>
        <v>Электромонтажник</v>
      </c>
      <c r="F1192" s="14">
        <v>2400</v>
      </c>
      <c r="G1192" s="14">
        <v>2800</v>
      </c>
      <c r="H1192" s="15">
        <v>1440</v>
      </c>
      <c r="I1192" s="15">
        <f>IF(OR(H1192="",F1192=""),"",MAX(H1192,MIN(ROUND(H1192*(1+Параметры!$B$5),IF(H1192*(1+Параметры!$B$5)&gt;=1000,-1,0)),ROUND(F1192*Параметры!$B$6,IF(F1192*Параметры!$B$6&gt;=1000,-1,0)))))</f>
        <v>1660</v>
      </c>
      <c r="J1192" s="15">
        <v>1680</v>
      </c>
      <c r="K1192" s="15">
        <f>IF(OR(J1192="",G1192=""),"",MAX(J1192,MIN(ROUND(J1192*(1+Параметры!$B$5),IF(J1192*(1+Параметры!$B$5)&gt;=1000,-1,0)),ROUND(G1192*Параметры!$B$6,IF(G1192*Параметры!$B$6&gt;=1000,-1,0)))))</f>
        <v>1930</v>
      </c>
      <c r="L1192" s="16">
        <v>1</v>
      </c>
      <c r="M1192" s="17">
        <f t="shared" si="94"/>
        <v>1</v>
      </c>
      <c r="N1192" s="17">
        <f>IF(OR(L1192="",L1192=0),"",Параметры!$B$3/L1192)</f>
        <v>8</v>
      </c>
      <c r="O1192" s="15">
        <f>IF(L1192="","",IFERROR(INDEX('Почасовка — ставки и план'!$D$5:$D$24,MATCH($D1192,'Почасовка — ставки и план'!$A$5:$A$24,0)),""))</f>
        <v>850</v>
      </c>
      <c r="P1192" s="15">
        <f>IF(L1192="","",IFERROR(INDEX('Почасовка — ставки и план'!$E$5:$E$24,MATCH($D1192,'Почасовка — ставки и план'!$A$5:$A$24,0)),""))</f>
        <v>1020</v>
      </c>
      <c r="Q1192" s="15">
        <f t="shared" si="95"/>
        <v>850</v>
      </c>
      <c r="R1192" s="13" t="str">
        <f>IF(D1192="TEX","аренда техники — сделка/счёт",IF(OR(Q1192="",H1192="",H1192=0),"—",IF(Q1192&lt;H1192*(1-Параметры!$B$7),"почасовка",IF(Q1192&gt;H1192*(1+Параметры!$B$7),"сделка","любой способ"))))</f>
        <v>почасовка</v>
      </c>
      <c r="S1192">
        <v>0</v>
      </c>
      <c r="T1192">
        <v>0</v>
      </c>
    </row>
    <row r="1193" spans="1:20" x14ac:dyDescent="0.25">
      <c r="A1193" s="13" t="s">
        <v>2428</v>
      </c>
      <c r="B1193" s="13" t="s">
        <v>2429</v>
      </c>
      <c r="C1193" s="13" t="s">
        <v>144</v>
      </c>
      <c r="D1193" s="13" t="s">
        <v>299</v>
      </c>
      <c r="E1193" s="13" t="str">
        <f>IFERROR(INDEX('Почасовка — ставки и план'!$B$5:$B$24,MATCH(D1193,'Почасовка — ставки и план'!$A$5:$A$24,0)),"Аренда техники / механизмы")</f>
        <v>Холодильщик / монтажник кондиционеров</v>
      </c>
      <c r="F1193" s="14">
        <v>5000</v>
      </c>
      <c r="G1193" s="14">
        <v>5800</v>
      </c>
      <c r="H1193" s="15">
        <v>3000</v>
      </c>
      <c r="I1193" s="15">
        <f>IF(OR(H1193="",F1193=""),"",MAX(H1193,MIN(ROUND(H1193*(1+Параметры!$B$5),IF(H1193*(1+Параметры!$B$5)&gt;=1000,-1,0)),ROUND(F1193*Параметры!$B$6,IF(F1193*Параметры!$B$6&gt;=1000,-1,0)))))</f>
        <v>3450</v>
      </c>
      <c r="J1193" s="15">
        <v>3480</v>
      </c>
      <c r="K1193" s="15">
        <f>IF(OR(J1193="",G1193=""),"",MAX(J1193,MIN(ROUND(J1193*(1+Параметры!$B$5),IF(J1193*(1+Параметры!$B$5)&gt;=1000,-1,0)),ROUND(G1193*Параметры!$B$6,IF(G1193*Параметры!$B$6&gt;=1000,-1,0)))))</f>
        <v>4000</v>
      </c>
      <c r="L1193" s="16">
        <v>2.5</v>
      </c>
      <c r="M1193" s="17">
        <f t="shared" si="94"/>
        <v>0.4</v>
      </c>
      <c r="N1193" s="17">
        <f>IF(OR(L1193="",L1193=0),"",Параметры!$B$3/L1193)</f>
        <v>3.2</v>
      </c>
      <c r="O1193" s="15">
        <f>IF(L1193="","",IFERROR(INDEX('Почасовка — ставки и план'!$D$5:$D$24,MATCH($D1193,'Почасовка — ставки и план'!$A$5:$A$24,0)),""))</f>
        <v>1200</v>
      </c>
      <c r="P1193" s="15">
        <f>IF(L1193="","",IFERROR(INDEX('Почасовка — ставки и план'!$E$5:$E$24,MATCH($D1193,'Почасовка — ставки и план'!$A$5:$A$24,0)),""))</f>
        <v>1440</v>
      </c>
      <c r="Q1193" s="15">
        <f t="shared" si="95"/>
        <v>3000</v>
      </c>
      <c r="R1193" s="13" t="str">
        <f>IF(D1193="TEX","аренда техники — сделка/счёт",IF(OR(Q1193="",H1193="",H1193=0),"—",IF(Q1193&lt;H1193*(1-Параметры!$B$7),"почасовка",IF(Q1193&gt;H1193*(1+Параметры!$B$7),"сделка","любой способ"))))</f>
        <v>любой способ</v>
      </c>
      <c r="S1193">
        <v>0</v>
      </c>
      <c r="T1193">
        <v>0</v>
      </c>
    </row>
    <row r="1194" spans="1:20" x14ac:dyDescent="0.25">
      <c r="A1194" s="13" t="s">
        <v>2430</v>
      </c>
      <c r="B1194" s="13" t="s">
        <v>2431</v>
      </c>
      <c r="C1194" s="13" t="s">
        <v>144</v>
      </c>
      <c r="D1194" s="13" t="s">
        <v>326</v>
      </c>
      <c r="E1194" s="13" t="str">
        <f>IFERROR(INDEX('Почасовка — ставки и план'!$B$5:$B$24,MATCH(D1194,'Почасовка — ставки и план'!$A$5:$A$24,0)),"Аренда техники / механизмы")</f>
        <v>Сантехник</v>
      </c>
      <c r="F1194" s="14">
        <v>2000</v>
      </c>
      <c r="G1194" s="14">
        <v>2300</v>
      </c>
      <c r="H1194" s="15">
        <v>1240</v>
      </c>
      <c r="I1194" s="15">
        <f>IF(OR(H1194="",F1194=""),"",MAX(H1194,MIN(ROUND(H1194*(1+Параметры!$B$5),IF(H1194*(1+Параметры!$B$5)&gt;=1000,-1,0)),ROUND(F1194*Параметры!$B$6,IF(F1194*Параметры!$B$6&gt;=1000,-1,0)))))</f>
        <v>1430</v>
      </c>
      <c r="J1194" s="15">
        <v>1426</v>
      </c>
      <c r="K1194" s="15">
        <f>IF(OR(J1194="",G1194=""),"",MAX(J1194,MIN(ROUND(J1194*(1+Параметры!$B$5),IF(J1194*(1+Параметры!$B$5)&gt;=1000,-1,0)),ROUND(G1194*Параметры!$B$6,IF(G1194*Параметры!$B$6&gt;=1000,-1,0)))))</f>
        <v>1640</v>
      </c>
      <c r="L1194" s="16">
        <v>1</v>
      </c>
      <c r="M1194" s="17">
        <f t="shared" si="94"/>
        <v>1</v>
      </c>
      <c r="N1194" s="17">
        <f>IF(OR(L1194="",L1194=0),"",Параметры!$B$3/L1194)</f>
        <v>8</v>
      </c>
      <c r="O1194" s="15">
        <f>IF(L1194="","",IFERROR(INDEX('Почасовка — ставки и план'!$D$5:$D$24,MATCH($D1194,'Почасовка — ставки и план'!$A$5:$A$24,0)),""))</f>
        <v>850</v>
      </c>
      <c r="P1194" s="15">
        <f>IF(L1194="","",IFERROR(INDEX('Почасовка — ставки и план'!$E$5:$E$24,MATCH($D1194,'Почасовка — ставки и план'!$A$5:$A$24,0)),""))</f>
        <v>1020</v>
      </c>
      <c r="Q1194" s="15">
        <f t="shared" si="95"/>
        <v>850</v>
      </c>
      <c r="R1194" s="13" t="str">
        <f>IF(D1194="TEX","аренда техники — сделка/счёт",IF(OR(Q1194="",H1194="",H1194=0),"—",IF(Q1194&lt;H1194*(1-Параметры!$B$7),"почасовка",IF(Q1194&gt;H1194*(1+Параметры!$B$7),"сделка","любой способ"))))</f>
        <v>почасовка</v>
      </c>
      <c r="S1194">
        <v>0</v>
      </c>
      <c r="T1194">
        <v>0</v>
      </c>
    </row>
    <row r="1195" spans="1:20" x14ac:dyDescent="0.25">
      <c r="A1195" s="13" t="s">
        <v>2432</v>
      </c>
      <c r="B1195" s="13" t="s">
        <v>2433</v>
      </c>
      <c r="C1195" s="13" t="s">
        <v>144</v>
      </c>
      <c r="D1195" s="13" t="s">
        <v>326</v>
      </c>
      <c r="E1195" s="13" t="str">
        <f>IFERROR(INDEX('Почасовка — ставки и план'!$B$5:$B$24,MATCH(D1195,'Почасовка — ставки и план'!$A$5:$A$24,0)),"Аренда техники / механизмы")</f>
        <v>Сантехник</v>
      </c>
      <c r="F1195" s="14">
        <v>3000</v>
      </c>
      <c r="G1195" s="14">
        <v>3500</v>
      </c>
      <c r="H1195" s="15">
        <v>1860</v>
      </c>
      <c r="I1195" s="15">
        <f>IF(OR(H1195="",F1195=""),"",MAX(H1195,MIN(ROUND(H1195*(1+Параметры!$B$5),IF(H1195*(1+Параметры!$B$5)&gt;=1000,-1,0)),ROUND(F1195*Параметры!$B$6,IF(F1195*Параметры!$B$6&gt;=1000,-1,0)))))</f>
        <v>2140</v>
      </c>
      <c r="J1195" s="15">
        <v>2170</v>
      </c>
      <c r="K1195" s="15">
        <f>IF(OR(J1195="",G1195=""),"",MAX(J1195,MIN(ROUND(J1195*(1+Параметры!$B$5),IF(J1195*(1+Параметры!$B$5)&gt;=1000,-1,0)),ROUND(G1195*Параметры!$B$6,IF(G1195*Параметры!$B$6&gt;=1000,-1,0)))))</f>
        <v>2500</v>
      </c>
      <c r="L1195" s="16">
        <v>1.5</v>
      </c>
      <c r="M1195" s="17">
        <f t="shared" si="94"/>
        <v>0.66666666666666663</v>
      </c>
      <c r="N1195" s="17">
        <f>IF(OR(L1195="",L1195=0),"",Параметры!$B$3/L1195)</f>
        <v>5.333333333333333</v>
      </c>
      <c r="O1195" s="15">
        <f>IF(L1195="","",IFERROR(INDEX('Почасовка — ставки и план'!$D$5:$D$24,MATCH($D1195,'Почасовка — ставки и план'!$A$5:$A$24,0)),""))</f>
        <v>850</v>
      </c>
      <c r="P1195" s="15">
        <f>IF(L1195="","",IFERROR(INDEX('Почасовка — ставки и план'!$E$5:$E$24,MATCH($D1195,'Почасовка — ставки и план'!$A$5:$A$24,0)),""))</f>
        <v>1020</v>
      </c>
      <c r="Q1195" s="15">
        <f t="shared" si="95"/>
        <v>1275</v>
      </c>
      <c r="R1195" s="13" t="str">
        <f>IF(D1195="TEX","аренда техники — сделка/счёт",IF(OR(Q1195="",H1195="",H1195=0),"—",IF(Q1195&lt;H1195*(1-Параметры!$B$7),"почасовка",IF(Q1195&gt;H1195*(1+Параметры!$B$7),"сделка","любой способ"))))</f>
        <v>почасовка</v>
      </c>
      <c r="S1195">
        <v>0</v>
      </c>
      <c r="T1195">
        <v>0</v>
      </c>
    </row>
    <row r="1196" spans="1:20" x14ac:dyDescent="0.25">
      <c r="A1196" s="13" t="s">
        <v>2434</v>
      </c>
      <c r="B1196" s="13" t="s">
        <v>2435</v>
      </c>
      <c r="C1196" s="13" t="s">
        <v>144</v>
      </c>
      <c r="D1196" s="13" t="s">
        <v>326</v>
      </c>
      <c r="E1196" s="13" t="str">
        <f>IFERROR(INDEX('Почасовка — ставки и план'!$B$5:$B$24,MATCH(D1196,'Почасовка — ставки и план'!$A$5:$A$24,0)),"Аренда техники / механизмы")</f>
        <v>Сантехник</v>
      </c>
      <c r="F1196" s="14">
        <v>3800</v>
      </c>
      <c r="G1196" s="14">
        <v>4400</v>
      </c>
      <c r="H1196" s="15">
        <v>2356</v>
      </c>
      <c r="I1196" s="15">
        <f>IF(OR(H1196="",F1196=""),"",MAX(H1196,MIN(ROUND(H1196*(1+Параметры!$B$5),IF(H1196*(1+Параметры!$B$5)&gt;=1000,-1,0)),ROUND(F1196*Параметры!$B$6,IF(F1196*Параметры!$B$6&gt;=1000,-1,0)))))</f>
        <v>2710</v>
      </c>
      <c r="J1196" s="15">
        <v>2728</v>
      </c>
      <c r="K1196" s="15">
        <f>IF(OR(J1196="",G1196=""),"",MAX(J1196,MIN(ROUND(J1196*(1+Параметры!$B$5),IF(J1196*(1+Параметры!$B$5)&gt;=1000,-1,0)),ROUND(G1196*Параметры!$B$6,IF(G1196*Параметры!$B$6&gt;=1000,-1,0)))))</f>
        <v>3140</v>
      </c>
      <c r="L1196" s="16">
        <v>2</v>
      </c>
      <c r="M1196" s="17">
        <f t="shared" si="94"/>
        <v>0.5</v>
      </c>
      <c r="N1196" s="17">
        <f>IF(OR(L1196="",L1196=0),"",Параметры!$B$3/L1196)</f>
        <v>4</v>
      </c>
      <c r="O1196" s="15">
        <f>IF(L1196="","",IFERROR(INDEX('Почасовка — ставки и план'!$D$5:$D$24,MATCH($D1196,'Почасовка — ставки и план'!$A$5:$A$24,0)),""))</f>
        <v>850</v>
      </c>
      <c r="P1196" s="15">
        <f>IF(L1196="","",IFERROR(INDEX('Почасовка — ставки и план'!$E$5:$E$24,MATCH($D1196,'Почасовка — ставки и план'!$A$5:$A$24,0)),""))</f>
        <v>1020</v>
      </c>
      <c r="Q1196" s="15">
        <f t="shared" si="95"/>
        <v>1700</v>
      </c>
      <c r="R1196" s="13" t="str">
        <f>IF(D1196="TEX","аренда техники — сделка/счёт",IF(OR(Q1196="",H1196="",H1196=0),"—",IF(Q1196&lt;H1196*(1-Параметры!$B$7),"почасовка",IF(Q1196&gt;H1196*(1+Параметры!$B$7),"сделка","любой способ"))))</f>
        <v>почасовка</v>
      </c>
      <c r="S1196">
        <v>0</v>
      </c>
      <c r="T1196">
        <v>0</v>
      </c>
    </row>
    <row r="1197" spans="1:20" x14ac:dyDescent="0.25">
      <c r="A1197" s="13" t="s">
        <v>2436</v>
      </c>
      <c r="B1197" s="13" t="s">
        <v>2437</v>
      </c>
      <c r="C1197" s="13" t="s">
        <v>144</v>
      </c>
      <c r="D1197" s="13" t="s">
        <v>288</v>
      </c>
      <c r="E1197" s="13" t="str">
        <f>IFERROR(INDEX('Почасовка — ставки и план'!$B$5:$B$24,MATCH(D1197,'Почасовка — ставки и план'!$A$5:$A$24,0)),"Аренда техники / механизмы")</f>
        <v>Монтажник вентиляции</v>
      </c>
      <c r="F1197" s="14">
        <v>9067</v>
      </c>
      <c r="G1197" s="14">
        <v>10880</v>
      </c>
      <c r="H1197" s="15">
        <v>5400</v>
      </c>
      <c r="I1197" s="15">
        <f>IF(OR(H1197="",F1197=""),"",MAX(H1197,MIN(ROUND(H1197*(1+Параметры!$B$5),IF(H1197*(1+Параметры!$B$5)&gt;=1000,-1,0)),ROUND(F1197*Параметры!$B$6,IF(F1197*Параметры!$B$6&gt;=1000,-1,0)))))</f>
        <v>6210</v>
      </c>
      <c r="J1197" s="15">
        <v>6300</v>
      </c>
      <c r="K1197" s="15">
        <f>IF(OR(J1197="",G1197=""),"",MAX(J1197,MIN(ROUND(J1197*(1+Параметры!$B$5),IF(J1197*(1+Параметры!$B$5)&gt;=1000,-1,0)),ROUND(G1197*Параметры!$B$6,IF(G1197*Параметры!$B$6&gt;=1000,-1,0)))))</f>
        <v>7250</v>
      </c>
      <c r="L1197" s="16">
        <v>8</v>
      </c>
      <c r="M1197" s="17">
        <f t="shared" si="94"/>
        <v>0.125</v>
      </c>
      <c r="N1197" s="17">
        <f>IF(OR(L1197="",L1197=0),"",Параметры!$B$3/L1197)</f>
        <v>1</v>
      </c>
      <c r="O1197" s="15">
        <f>IF(L1197="","",IFERROR(INDEX('Почасовка — ставки и план'!$D$5:$D$24,MATCH($D1197,'Почасовка — ставки и план'!$A$5:$A$24,0)),""))</f>
        <v>850</v>
      </c>
      <c r="P1197" s="15">
        <f>IF(L1197="","",IFERROR(INDEX('Почасовка — ставки и план'!$E$5:$E$24,MATCH($D1197,'Почасовка — ставки и план'!$A$5:$A$24,0)),""))</f>
        <v>1020</v>
      </c>
      <c r="Q1197" s="15">
        <f t="shared" si="95"/>
        <v>6800</v>
      </c>
      <c r="R1197" s="13" t="str">
        <f>IF(D1197="TEX","аренда техники — сделка/счёт",IF(OR(Q1197="",H1197="",H1197=0),"—",IF(Q1197&lt;H1197*(1-Параметры!$B$7),"почасовка",IF(Q1197&gt;H1197*(1+Параметры!$B$7),"сделка","любой способ"))))</f>
        <v>сделка</v>
      </c>
      <c r="S1197">
        <v>7.4444444444443647E-3</v>
      </c>
      <c r="T1197">
        <v>3.6190476190476113E-2</v>
      </c>
    </row>
    <row r="1198" spans="1:20" x14ac:dyDescent="0.25">
      <c r="A1198" s="13" t="s">
        <v>2438</v>
      </c>
      <c r="B1198" s="13" t="s">
        <v>2439</v>
      </c>
      <c r="C1198" s="13" t="s">
        <v>144</v>
      </c>
      <c r="D1198" s="13" t="s">
        <v>288</v>
      </c>
      <c r="E1198" s="13" t="str">
        <f>IFERROR(INDEX('Почасовка — ставки и план'!$B$5:$B$24,MATCH(D1198,'Почасовка — ставки и план'!$A$5:$A$24,0)),"Аренда техники / механизмы")</f>
        <v>Монтажник вентиляции</v>
      </c>
      <c r="F1198" s="14">
        <v>14000</v>
      </c>
      <c r="G1198" s="14">
        <v>16320</v>
      </c>
      <c r="H1198" s="15">
        <v>8400</v>
      </c>
      <c r="I1198" s="15">
        <f>IF(OR(H1198="",F1198=""),"",MAX(H1198,MIN(ROUND(H1198*(1+Параметры!$B$5),IF(H1198*(1+Параметры!$B$5)&gt;=1000,-1,0)),ROUND(F1198*Параметры!$B$6,IF(F1198*Параметры!$B$6&gt;=1000,-1,0)))))</f>
        <v>9660</v>
      </c>
      <c r="J1198" s="15">
        <v>9600</v>
      </c>
      <c r="K1198" s="15">
        <f>IF(OR(J1198="",G1198=""),"",MAX(J1198,MIN(ROUND(J1198*(1+Параметры!$B$5),IF(J1198*(1+Параметры!$B$5)&gt;=1000,-1,0)),ROUND(G1198*Параметры!$B$6,IF(G1198*Параметры!$B$6&gt;=1000,-1,0)))))</f>
        <v>11040</v>
      </c>
      <c r="L1198" s="16">
        <v>12</v>
      </c>
      <c r="M1198" s="17">
        <f t="shared" si="94"/>
        <v>8.3333333333333329E-2</v>
      </c>
      <c r="N1198" s="17">
        <f>IF(OR(L1198="",L1198=0),"",Параметры!$B$3/L1198)</f>
        <v>0.66666666666666663</v>
      </c>
      <c r="O1198" s="15">
        <f>IF(L1198="","",IFERROR(INDEX('Почасовка — ставки и план'!$D$5:$D$24,MATCH($D1198,'Почасовка — ставки и план'!$A$5:$A$24,0)),""))</f>
        <v>850</v>
      </c>
      <c r="P1198" s="15">
        <f>IF(L1198="","",IFERROR(INDEX('Почасовка — ставки и план'!$E$5:$E$24,MATCH($D1198,'Почасовка — ставки и план'!$A$5:$A$24,0)),""))</f>
        <v>1020</v>
      </c>
      <c r="Q1198" s="15">
        <f t="shared" si="95"/>
        <v>10200</v>
      </c>
      <c r="R1198" s="13" t="str">
        <f>IF(D1198="TEX","аренда техники — сделка/счёт",IF(OR(Q1198="",H1198="",H1198=0),"—",IF(Q1198&lt;H1198*(1-Параметры!$B$7),"почасовка",IF(Q1198&gt;H1198*(1+Параметры!$B$7),"сделка","любой способ"))))</f>
        <v>сделка</v>
      </c>
      <c r="S1198">
        <v>0</v>
      </c>
      <c r="T1198">
        <v>2.0000000000000021E-2</v>
      </c>
    </row>
    <row r="1199" spans="1:20" x14ac:dyDescent="0.25">
      <c r="A1199" s="13" t="s">
        <v>2440</v>
      </c>
      <c r="B1199" s="13" t="s">
        <v>2441</v>
      </c>
      <c r="C1199" s="13" t="s">
        <v>144</v>
      </c>
      <c r="D1199" s="13" t="s">
        <v>288</v>
      </c>
      <c r="E1199" s="13" t="str">
        <f>IFERROR(INDEX('Почасовка — ставки и план'!$B$5:$B$24,MATCH(D1199,'Почасовка — ставки и план'!$A$5:$A$24,0)),"Аренда техники / механизмы")</f>
        <v>Монтажник вентиляции</v>
      </c>
      <c r="F1199" s="14">
        <v>20000</v>
      </c>
      <c r="G1199" s="14">
        <v>23120</v>
      </c>
      <c r="H1199" s="15">
        <v>12000</v>
      </c>
      <c r="I1199" s="15">
        <f>IF(OR(H1199="",F1199=""),"",MAX(H1199,MIN(ROUND(H1199*(1+Параметры!$B$5),IF(H1199*(1+Параметры!$B$5)&gt;=1000,-1,0)),ROUND(F1199*Параметры!$B$6,IF(F1199*Параметры!$B$6&gt;=1000,-1,0)))))</f>
        <v>13800</v>
      </c>
      <c r="J1199" s="15">
        <v>13800</v>
      </c>
      <c r="K1199" s="15">
        <f>IF(OR(J1199="",G1199=""),"",MAX(J1199,MIN(ROUND(J1199*(1+Параметры!$B$5),IF(J1199*(1+Параметры!$B$5)&gt;=1000,-1,0)),ROUND(G1199*Параметры!$B$6,IF(G1199*Параметры!$B$6&gt;=1000,-1,0)))))</f>
        <v>15870</v>
      </c>
      <c r="L1199" s="16">
        <v>17</v>
      </c>
      <c r="M1199" s="17">
        <f t="shared" si="94"/>
        <v>5.8823529411764705E-2</v>
      </c>
      <c r="N1199" s="17">
        <f>IF(OR(L1199="",L1199=0),"",Параметры!$B$3/L1199)</f>
        <v>0.47058823529411764</v>
      </c>
      <c r="O1199" s="15">
        <f>IF(L1199="","",IFERROR(INDEX('Почасовка — ставки и план'!$D$5:$D$24,MATCH($D1199,'Почасовка — ставки и план'!$A$5:$A$24,0)),""))</f>
        <v>850</v>
      </c>
      <c r="P1199" s="15">
        <f>IF(L1199="","",IFERROR(INDEX('Почасовка — ставки и план'!$E$5:$E$24,MATCH($D1199,'Почасовка — ставки и план'!$A$5:$A$24,0)),""))</f>
        <v>1020</v>
      </c>
      <c r="Q1199" s="15">
        <f t="shared" si="95"/>
        <v>14450</v>
      </c>
      <c r="R1199" s="13" t="str">
        <f>IF(D1199="TEX","аренда техники — сделка/счёт",IF(OR(Q1199="",H1199="",H1199=0),"—",IF(Q1199&lt;H1199*(1-Параметры!$B$7),"почасовка",IF(Q1199&gt;H1199*(1+Параметры!$B$7),"сделка","любой способ"))))</f>
        <v>сделка</v>
      </c>
      <c r="S1199">
        <v>0</v>
      </c>
      <c r="T1199">
        <v>5.2173913043478404E-3</v>
      </c>
    </row>
    <row r="1200" spans="1:20" x14ac:dyDescent="0.25">
      <c r="A1200" s="13" t="s">
        <v>2442</v>
      </c>
      <c r="B1200" s="13" t="s">
        <v>2443</v>
      </c>
      <c r="C1200" s="13" t="s">
        <v>144</v>
      </c>
      <c r="D1200" s="13" t="s">
        <v>288</v>
      </c>
      <c r="E1200" s="13" t="str">
        <f>IFERROR(INDEX('Почасовка — ставки и план'!$B$5:$B$24,MATCH(D1200,'Почасовка — ставки и план'!$A$5:$A$24,0)),"Аренда техники / механизмы")</f>
        <v>Монтажник вентиляции</v>
      </c>
      <c r="F1200" s="14">
        <v>28000</v>
      </c>
      <c r="G1200" s="14">
        <v>32640</v>
      </c>
      <c r="H1200" s="15">
        <v>16800</v>
      </c>
      <c r="I1200" s="15">
        <f>IF(OR(H1200="",F1200=""),"",MAX(H1200,MIN(ROUND(H1200*(1+Параметры!$B$5),IF(H1200*(1+Параметры!$B$5)&gt;=1000,-1,0)),ROUND(F1200*Параметры!$B$6,IF(F1200*Параметры!$B$6&gt;=1000,-1,0)))))</f>
        <v>19320</v>
      </c>
      <c r="J1200" s="15">
        <v>19200</v>
      </c>
      <c r="K1200" s="15">
        <f>IF(OR(J1200="",G1200=""),"",MAX(J1200,MIN(ROUND(J1200*(1+Параметры!$B$5),IF(J1200*(1+Параметры!$B$5)&gt;=1000,-1,0)),ROUND(G1200*Параметры!$B$6,IF(G1200*Параметры!$B$6&gt;=1000,-1,0)))))</f>
        <v>22080</v>
      </c>
      <c r="L1200" s="16">
        <v>24</v>
      </c>
      <c r="M1200" s="17">
        <f t="shared" si="94"/>
        <v>4.1666666666666664E-2</v>
      </c>
      <c r="N1200" s="17">
        <f>IF(OR(L1200="",L1200=0),"",Параметры!$B$3/L1200)</f>
        <v>0.33333333333333331</v>
      </c>
      <c r="O1200" s="15">
        <f>IF(L1200="","",IFERROR(INDEX('Почасовка — ставки и план'!$D$5:$D$24,MATCH($D1200,'Почасовка — ставки и план'!$A$5:$A$24,0)),""))</f>
        <v>850</v>
      </c>
      <c r="P1200" s="15">
        <f>IF(L1200="","",IFERROR(INDEX('Почасовка — ставки и план'!$E$5:$E$24,MATCH($D1200,'Почасовка — ставки и план'!$A$5:$A$24,0)),""))</f>
        <v>1020</v>
      </c>
      <c r="Q1200" s="15">
        <f t="shared" si="95"/>
        <v>20400</v>
      </c>
      <c r="R1200" s="13" t="str">
        <f>IF(D1200="TEX","аренда техники — сделка/счёт",IF(OR(Q1200="",H1200="",H1200=0),"—",IF(Q1200&lt;H1200*(1-Параметры!$B$7),"почасовка",IF(Q1200&gt;H1200*(1+Параметры!$B$7),"сделка","любой способ"))))</f>
        <v>сделка</v>
      </c>
      <c r="S1200">
        <v>0</v>
      </c>
      <c r="T1200">
        <v>2.0000000000000021E-2</v>
      </c>
    </row>
    <row r="1201" spans="1:20" x14ac:dyDescent="0.25">
      <c r="A1201" s="13" t="s">
        <v>2444</v>
      </c>
      <c r="B1201" s="13" t="s">
        <v>2445</v>
      </c>
      <c r="C1201" s="13" t="s">
        <v>144</v>
      </c>
      <c r="D1201" s="13" t="s">
        <v>288</v>
      </c>
      <c r="E1201" s="13" t="str">
        <f>IFERROR(INDEX('Почасовка — ставки и план'!$B$5:$B$24,MATCH(D1201,'Почасовка — ставки и план'!$A$5:$A$24,0)),"Аренда техники / механизмы")</f>
        <v>Монтажник вентиляции</v>
      </c>
      <c r="F1201" s="14">
        <v>6000</v>
      </c>
      <c r="G1201" s="14">
        <v>7000</v>
      </c>
      <c r="H1201" s="15">
        <v>3600</v>
      </c>
      <c r="I1201" s="15">
        <f>IF(OR(H1201="",F1201=""),"",MAX(H1201,MIN(ROUND(H1201*(1+Параметры!$B$5),IF(H1201*(1+Параметры!$B$5)&gt;=1000,-1,0)),ROUND(F1201*Параметры!$B$6,IF(F1201*Параметры!$B$6&gt;=1000,-1,0)))))</f>
        <v>4140</v>
      </c>
      <c r="J1201" s="15">
        <v>4200</v>
      </c>
      <c r="K1201" s="15">
        <f>IF(OR(J1201="",G1201=""),"",MAX(J1201,MIN(ROUND(J1201*(1+Параметры!$B$5),IF(J1201*(1+Параметры!$B$5)&gt;=1000,-1,0)),ROUND(G1201*Параметры!$B$6,IF(G1201*Параметры!$B$6&gt;=1000,-1,0)))))</f>
        <v>4830</v>
      </c>
      <c r="L1201" s="16">
        <v>5</v>
      </c>
      <c r="M1201" s="17">
        <f t="shared" si="94"/>
        <v>0.2</v>
      </c>
      <c r="N1201" s="17">
        <f>IF(OR(L1201="",L1201=0),"",Параметры!$B$3/L1201)</f>
        <v>1.6</v>
      </c>
      <c r="O1201" s="15">
        <f>IF(L1201="","",IFERROR(INDEX('Почасовка — ставки и план'!$D$5:$D$24,MATCH($D1201,'Почасовка — ставки и план'!$A$5:$A$24,0)),""))</f>
        <v>850</v>
      </c>
      <c r="P1201" s="15">
        <f>IF(L1201="","",IFERROR(INDEX('Почасовка — ставки и план'!$E$5:$E$24,MATCH($D1201,'Почасовка — ставки и план'!$A$5:$A$24,0)),""))</f>
        <v>1020</v>
      </c>
      <c r="Q1201" s="15">
        <f t="shared" si="95"/>
        <v>4250</v>
      </c>
      <c r="R1201" s="13" t="str">
        <f>IF(D1201="TEX","аренда техники — сделка/счёт",IF(OR(Q1201="",H1201="",H1201=0),"—",IF(Q1201&lt;H1201*(1-Параметры!$B$7),"почасовка",IF(Q1201&gt;H1201*(1+Параметры!$B$7),"сделка","любой способ"))))</f>
        <v>сделка</v>
      </c>
      <c r="S1201">
        <v>0</v>
      </c>
      <c r="T1201">
        <v>0</v>
      </c>
    </row>
    <row r="1202" spans="1:20" x14ac:dyDescent="0.25">
      <c r="A1202" s="13" t="s">
        <v>2446</v>
      </c>
      <c r="B1202" s="13" t="s">
        <v>2447</v>
      </c>
      <c r="C1202" s="13" t="s">
        <v>144</v>
      </c>
      <c r="D1202" s="13" t="s">
        <v>288</v>
      </c>
      <c r="E1202" s="13" t="str">
        <f>IFERROR(INDEX('Почасовка — ставки и план'!$B$5:$B$24,MATCH(D1202,'Почасовка — ставки и план'!$A$5:$A$24,0)),"Аренда техники / механизмы")</f>
        <v>Монтажник вентиляции</v>
      </c>
      <c r="F1202" s="14">
        <v>9067</v>
      </c>
      <c r="G1202" s="14">
        <v>10880</v>
      </c>
      <c r="H1202" s="15">
        <v>5400</v>
      </c>
      <c r="I1202" s="15">
        <f>IF(OR(H1202="",F1202=""),"",MAX(H1202,MIN(ROUND(H1202*(1+Параметры!$B$5),IF(H1202*(1+Параметры!$B$5)&gt;=1000,-1,0)),ROUND(F1202*Параметры!$B$6,IF(F1202*Параметры!$B$6&gt;=1000,-1,0)))))</f>
        <v>6210</v>
      </c>
      <c r="J1202" s="15">
        <v>6300</v>
      </c>
      <c r="K1202" s="15">
        <f>IF(OR(J1202="",G1202=""),"",MAX(J1202,MIN(ROUND(J1202*(1+Параметры!$B$5),IF(J1202*(1+Параметры!$B$5)&gt;=1000,-1,0)),ROUND(G1202*Параметры!$B$6,IF(G1202*Параметры!$B$6&gt;=1000,-1,0)))))</f>
        <v>7250</v>
      </c>
      <c r="L1202" s="16">
        <v>8</v>
      </c>
      <c r="M1202" s="17">
        <f t="shared" si="94"/>
        <v>0.125</v>
      </c>
      <c r="N1202" s="17">
        <f>IF(OR(L1202="",L1202=0),"",Параметры!$B$3/L1202)</f>
        <v>1</v>
      </c>
      <c r="O1202" s="15">
        <f>IF(L1202="","",IFERROR(INDEX('Почасовка — ставки и план'!$D$5:$D$24,MATCH($D1202,'Почасовка — ставки и план'!$A$5:$A$24,0)),""))</f>
        <v>850</v>
      </c>
      <c r="P1202" s="15">
        <f>IF(L1202="","",IFERROR(INDEX('Почасовка — ставки и план'!$E$5:$E$24,MATCH($D1202,'Почасовка — ставки и план'!$A$5:$A$24,0)),""))</f>
        <v>1020</v>
      </c>
      <c r="Q1202" s="15">
        <f t="shared" si="95"/>
        <v>6800</v>
      </c>
      <c r="R1202" s="13" t="str">
        <f>IF(D1202="TEX","аренда техники — сделка/счёт",IF(OR(Q1202="",H1202="",H1202=0),"—",IF(Q1202&lt;H1202*(1-Параметры!$B$7),"почасовка",IF(Q1202&gt;H1202*(1+Параметры!$B$7),"сделка","любой способ"))))</f>
        <v>сделка</v>
      </c>
      <c r="S1202">
        <v>7.4444444444443647E-3</v>
      </c>
      <c r="T1202">
        <v>3.6190476190476113E-2</v>
      </c>
    </row>
    <row r="1203" spans="1:20" x14ac:dyDescent="0.25">
      <c r="A1203" s="13" t="s">
        <v>2448</v>
      </c>
      <c r="B1203" s="13" t="s">
        <v>2449</v>
      </c>
      <c r="C1203" s="13" t="s">
        <v>144</v>
      </c>
      <c r="D1203" s="13" t="s">
        <v>288</v>
      </c>
      <c r="E1203" s="13" t="str">
        <f>IFERROR(INDEX('Почасовка — ставки и план'!$B$5:$B$24,MATCH(D1203,'Почасовка — ставки и план'!$A$5:$A$24,0)),"Аренда техники / механизмы")</f>
        <v>Монтажник вентиляции</v>
      </c>
      <c r="F1203" s="14">
        <v>12000</v>
      </c>
      <c r="G1203" s="14">
        <v>14280</v>
      </c>
      <c r="H1203" s="15">
        <v>7200</v>
      </c>
      <c r="I1203" s="15">
        <f>IF(OR(H1203="",F1203=""),"",MAX(H1203,MIN(ROUND(H1203*(1+Параметры!$B$5),IF(H1203*(1+Параметры!$B$5)&gt;=1000,-1,0)),ROUND(F1203*Параметры!$B$6,IF(F1203*Параметры!$B$6&gt;=1000,-1,0)))))</f>
        <v>8280</v>
      </c>
      <c r="J1203" s="15">
        <v>8400</v>
      </c>
      <c r="K1203" s="15">
        <f>IF(OR(J1203="",G1203=""),"",MAX(J1203,MIN(ROUND(J1203*(1+Параметры!$B$5),IF(J1203*(1+Параметры!$B$5)&gt;=1000,-1,0)),ROUND(G1203*Параметры!$B$6,IF(G1203*Параметры!$B$6&gt;=1000,-1,0)))))</f>
        <v>9660</v>
      </c>
      <c r="L1203" s="16">
        <v>10.5</v>
      </c>
      <c r="M1203" s="17">
        <f t="shared" si="94"/>
        <v>9.5238095238095233E-2</v>
      </c>
      <c r="N1203" s="17">
        <f>IF(OR(L1203="",L1203=0),"",Параметры!$B$3/L1203)</f>
        <v>0.76190476190476186</v>
      </c>
      <c r="O1203" s="15">
        <f>IF(L1203="","",IFERROR(INDEX('Почасовка — ставки и план'!$D$5:$D$24,MATCH($D1203,'Почасовка — ставки и план'!$A$5:$A$24,0)),""))</f>
        <v>850</v>
      </c>
      <c r="P1203" s="15">
        <f>IF(L1203="","",IFERROR(INDEX('Почасовка — ставки и план'!$E$5:$E$24,MATCH($D1203,'Почасовка — ставки и план'!$A$5:$A$24,0)),""))</f>
        <v>1020</v>
      </c>
      <c r="Q1203" s="15">
        <f t="shared" si="95"/>
        <v>8925</v>
      </c>
      <c r="R1203" s="13" t="str">
        <f>IF(D1203="TEX","аренда техники — сделка/счёт",IF(OR(Q1203="",H1203="",H1203=0),"—",IF(Q1203&lt;H1203*(1-Параметры!$B$7),"почасовка",IF(Q1203&gt;H1203*(1+Параметры!$B$7),"сделка","любой способ"))))</f>
        <v>сделка</v>
      </c>
      <c r="S1203">
        <v>0</v>
      </c>
      <c r="T1203">
        <v>2.0000000000000021E-2</v>
      </c>
    </row>
    <row r="1204" spans="1:20" x14ac:dyDescent="0.25">
      <c r="A1204" s="13" t="s">
        <v>2450</v>
      </c>
      <c r="B1204" s="13" t="s">
        <v>2451</v>
      </c>
      <c r="C1204" s="13" t="s">
        <v>144</v>
      </c>
      <c r="D1204" s="13" t="s">
        <v>288</v>
      </c>
      <c r="E1204" s="13" t="str">
        <f>IFERROR(INDEX('Почасовка — ставки и план'!$B$5:$B$24,MATCH(D1204,'Почасовка — ставки и план'!$A$5:$A$24,0)),"Аренда техники / механизмы")</f>
        <v>Монтажник вентиляции</v>
      </c>
      <c r="F1204" s="14">
        <v>16000</v>
      </c>
      <c r="G1204" s="14">
        <v>19040</v>
      </c>
      <c r="H1204" s="15">
        <v>9600</v>
      </c>
      <c r="I1204" s="15">
        <f>IF(OR(H1204="",F1204=""),"",MAX(H1204,MIN(ROUND(H1204*(1+Параметры!$B$5),IF(H1204*(1+Параметры!$B$5)&gt;=1000,-1,0)),ROUND(F1204*Параметры!$B$6,IF(F1204*Параметры!$B$6&gt;=1000,-1,0)))))</f>
        <v>11040</v>
      </c>
      <c r="J1204" s="15">
        <v>11100</v>
      </c>
      <c r="K1204" s="15">
        <f>IF(OR(J1204="",G1204=""),"",MAX(J1204,MIN(ROUND(J1204*(1+Параметры!$B$5),IF(J1204*(1+Параметры!$B$5)&gt;=1000,-1,0)),ROUND(G1204*Параметры!$B$6,IF(G1204*Параметры!$B$6&gt;=1000,-1,0)))))</f>
        <v>12770</v>
      </c>
      <c r="L1204" s="16">
        <v>14</v>
      </c>
      <c r="M1204" s="17">
        <f t="shared" si="94"/>
        <v>7.1428571428571425E-2</v>
      </c>
      <c r="N1204" s="17">
        <f>IF(OR(L1204="",L1204=0),"",Параметры!$B$3/L1204)</f>
        <v>0.5714285714285714</v>
      </c>
      <c r="O1204" s="15">
        <f>IF(L1204="","",IFERROR(INDEX('Почасовка — ставки и план'!$D$5:$D$24,MATCH($D1204,'Почасовка — ставки и план'!$A$5:$A$24,0)),""))</f>
        <v>850</v>
      </c>
      <c r="P1204" s="15">
        <f>IF(L1204="","",IFERROR(INDEX('Почасовка — ставки и план'!$E$5:$E$24,MATCH($D1204,'Почасовка — ставки и план'!$A$5:$A$24,0)),""))</f>
        <v>1020</v>
      </c>
      <c r="Q1204" s="15">
        <f t="shared" si="95"/>
        <v>11900</v>
      </c>
      <c r="R1204" s="13" t="str">
        <f>IF(D1204="TEX","аренда техники — сделка/счёт",IF(OR(Q1204="",H1204="",H1204=0),"—",IF(Q1204&lt;H1204*(1-Параметры!$B$7),"почасовка",IF(Q1204&gt;H1204*(1+Параметры!$B$7),"сделка","любой способ"))))</f>
        <v>сделка</v>
      </c>
      <c r="S1204">
        <v>0</v>
      </c>
      <c r="T1204">
        <v>2.918918918918911E-2</v>
      </c>
    </row>
    <row r="1205" spans="1:20" x14ac:dyDescent="0.25">
      <c r="A1205" s="13" t="s">
        <v>2452</v>
      </c>
      <c r="B1205" s="13" t="s">
        <v>2453</v>
      </c>
      <c r="C1205" s="13" t="s">
        <v>144</v>
      </c>
      <c r="D1205" s="13" t="s">
        <v>299</v>
      </c>
      <c r="E1205" s="13" t="str">
        <f>IFERROR(INDEX('Почасовка — ставки и план'!$B$5:$B$24,MATCH(D1205,'Почасовка — ставки и план'!$A$5:$A$24,0)),"Аренда техники / механизмы")</f>
        <v>Холодильщик / монтажник кондиционеров</v>
      </c>
      <c r="F1205" s="14">
        <v>8000</v>
      </c>
      <c r="G1205" s="14">
        <v>9600</v>
      </c>
      <c r="H1205" s="15">
        <v>4500</v>
      </c>
      <c r="I1205" s="15">
        <f>IF(OR(H1205="",F1205=""),"",MAX(H1205,MIN(ROUND(H1205*(1+Параметры!$B$5),IF(H1205*(1+Параметры!$B$5)&gt;=1000,-1,0)),ROUND(F1205*Параметры!$B$6,IF(F1205*Параметры!$B$6&gt;=1000,-1,0)))))</f>
        <v>5180</v>
      </c>
      <c r="J1205" s="15">
        <v>5160</v>
      </c>
      <c r="K1205" s="15">
        <f>IF(OR(J1205="",G1205=""),"",MAX(J1205,MIN(ROUND(J1205*(1+Параметры!$B$5),IF(J1205*(1+Параметры!$B$5)&gt;=1000,-1,0)),ROUND(G1205*Параметры!$B$6,IF(G1205*Параметры!$B$6&gt;=1000,-1,0)))))</f>
        <v>5930</v>
      </c>
      <c r="L1205" s="16">
        <v>5</v>
      </c>
      <c r="M1205" s="17">
        <f t="shared" si="94"/>
        <v>0.2</v>
      </c>
      <c r="N1205" s="17">
        <f>IF(OR(L1205="",L1205=0),"",Параметры!$B$3/L1205)</f>
        <v>1.6</v>
      </c>
      <c r="O1205" s="15">
        <f>IF(L1205="","",IFERROR(INDEX('Почасовка — ставки и план'!$D$5:$D$24,MATCH($D1205,'Почасовка — ставки и план'!$A$5:$A$24,0)),""))</f>
        <v>1200</v>
      </c>
      <c r="P1205" s="15">
        <f>IF(L1205="","",IFERROR(INDEX('Почасовка — ставки и план'!$E$5:$E$24,MATCH($D1205,'Почасовка — ставки и план'!$A$5:$A$24,0)),""))</f>
        <v>1440</v>
      </c>
      <c r="Q1205" s="15">
        <f t="shared" si="95"/>
        <v>6000</v>
      </c>
      <c r="R1205" s="13" t="str">
        <f>IF(D1205="TEX","аренда техники — сделка/счёт",IF(OR(Q1205="",H1205="",H1205=0),"—",IF(Q1205&lt;H1205*(1-Параметры!$B$7),"почасовка",IF(Q1205&gt;H1205*(1+Параметры!$B$7),"сделка","любой способ"))))</f>
        <v>сделка</v>
      </c>
      <c r="S1205">
        <v>6.6666666666666652E-2</v>
      </c>
      <c r="T1205">
        <v>0.1162790697674418</v>
      </c>
    </row>
    <row r="1206" spans="1:20" x14ac:dyDescent="0.25">
      <c r="A1206" s="13" t="s">
        <v>2454</v>
      </c>
      <c r="B1206" s="13" t="s">
        <v>2455</v>
      </c>
      <c r="C1206" s="13" t="s">
        <v>144</v>
      </c>
      <c r="D1206" s="13" t="s">
        <v>299</v>
      </c>
      <c r="E1206" s="13" t="str">
        <f>IFERROR(INDEX('Почасовка — ставки и план'!$B$5:$B$24,MATCH(D1206,'Почасовка — ставки и план'!$A$5:$A$24,0)),"Аренда техники / механизмы")</f>
        <v>Холодильщик / монтажник кондиционеров</v>
      </c>
      <c r="F1206" s="14">
        <v>9600</v>
      </c>
      <c r="G1206" s="14">
        <v>11520</v>
      </c>
      <c r="H1206" s="15">
        <v>5400</v>
      </c>
      <c r="I1206" s="15">
        <f>IF(OR(H1206="",F1206=""),"",MAX(H1206,MIN(ROUND(H1206*(1+Параметры!$B$5),IF(H1206*(1+Параметры!$B$5)&gt;=1000,-1,0)),ROUND(F1206*Параметры!$B$6,IF(F1206*Параметры!$B$6&gt;=1000,-1,0)))))</f>
        <v>6210</v>
      </c>
      <c r="J1206" s="15">
        <v>6180</v>
      </c>
      <c r="K1206" s="15">
        <f>IF(OR(J1206="",G1206=""),"",MAX(J1206,MIN(ROUND(J1206*(1+Параметры!$B$5),IF(J1206*(1+Параметры!$B$5)&gt;=1000,-1,0)),ROUND(G1206*Параметры!$B$6,IF(G1206*Параметры!$B$6&gt;=1000,-1,0)))))</f>
        <v>7110</v>
      </c>
      <c r="L1206" s="16">
        <v>6</v>
      </c>
      <c r="M1206" s="17">
        <f t="shared" si="94"/>
        <v>0.16666666666666666</v>
      </c>
      <c r="N1206" s="17">
        <f>IF(OR(L1206="",L1206=0),"",Параметры!$B$3/L1206)</f>
        <v>1.3333333333333333</v>
      </c>
      <c r="O1206" s="15">
        <f>IF(L1206="","",IFERROR(INDEX('Почасовка — ставки и план'!$D$5:$D$24,MATCH($D1206,'Почасовка — ставки и план'!$A$5:$A$24,0)),""))</f>
        <v>1200</v>
      </c>
      <c r="P1206" s="15">
        <f>IF(L1206="","",IFERROR(INDEX('Почасовка — ставки и план'!$E$5:$E$24,MATCH($D1206,'Почасовка — ставки и план'!$A$5:$A$24,0)),""))</f>
        <v>1440</v>
      </c>
      <c r="Q1206" s="15">
        <f t="shared" si="95"/>
        <v>7200</v>
      </c>
      <c r="R1206" s="13" t="str">
        <f>IF(D1206="TEX","аренда техники — сделка/счёт",IF(OR(Q1206="",H1206="",H1206=0),"—",IF(Q1206&lt;H1206*(1-Параметры!$B$7),"почасовка",IF(Q1206&gt;H1206*(1+Параметры!$B$7),"сделка","любой способ"))))</f>
        <v>сделка</v>
      </c>
      <c r="S1206">
        <v>6.6666666666666652E-2</v>
      </c>
      <c r="T1206">
        <v>0.1184466019417476</v>
      </c>
    </row>
    <row r="1207" spans="1:20" x14ac:dyDescent="0.25">
      <c r="A1207" s="13" t="s">
        <v>2456</v>
      </c>
      <c r="B1207" s="13" t="s">
        <v>2457</v>
      </c>
      <c r="C1207" s="13" t="s">
        <v>144</v>
      </c>
      <c r="D1207" s="13" t="s">
        <v>299</v>
      </c>
      <c r="E1207" s="13" t="str">
        <f>IFERROR(INDEX('Почасовка — ставки и план'!$B$5:$B$24,MATCH(D1207,'Почасовка — ставки и план'!$A$5:$A$24,0)),"Аренда техники / механизмы")</f>
        <v>Холодильщик / монтажник кондиционеров</v>
      </c>
      <c r="F1207" s="14">
        <v>11200</v>
      </c>
      <c r="G1207" s="14">
        <v>13440</v>
      </c>
      <c r="H1207" s="15">
        <v>6600</v>
      </c>
      <c r="I1207" s="15">
        <f>IF(OR(H1207="",F1207=""),"",MAX(H1207,MIN(ROUND(H1207*(1+Параметры!$B$5),IF(H1207*(1+Параметры!$B$5)&gt;=1000,-1,0)),ROUND(F1207*Параметры!$B$6,IF(F1207*Параметры!$B$6&gt;=1000,-1,0)))))</f>
        <v>7590</v>
      </c>
      <c r="J1207" s="15">
        <v>7560</v>
      </c>
      <c r="K1207" s="15">
        <f>IF(OR(J1207="",G1207=""),"",MAX(J1207,MIN(ROUND(J1207*(1+Параметры!$B$5),IF(J1207*(1+Параметры!$B$5)&gt;=1000,-1,0)),ROUND(G1207*Параметры!$B$6,IF(G1207*Параметры!$B$6&gt;=1000,-1,0)))))</f>
        <v>8690</v>
      </c>
      <c r="L1207" s="16">
        <v>7</v>
      </c>
      <c r="M1207" s="17">
        <f t="shared" si="94"/>
        <v>0.14285714285714285</v>
      </c>
      <c r="N1207" s="17">
        <f>IF(OR(L1207="",L1207=0),"",Параметры!$B$3/L1207)</f>
        <v>1.1428571428571428</v>
      </c>
      <c r="O1207" s="15">
        <f>IF(L1207="","",IFERROR(INDEX('Почасовка — ставки и план'!$D$5:$D$24,MATCH($D1207,'Почасовка — ставки и план'!$A$5:$A$24,0)),""))</f>
        <v>1200</v>
      </c>
      <c r="P1207" s="15">
        <f>IF(L1207="","",IFERROR(INDEX('Почасовка — ставки и план'!$E$5:$E$24,MATCH($D1207,'Почасовка — ставки и план'!$A$5:$A$24,0)),""))</f>
        <v>1440</v>
      </c>
      <c r="Q1207" s="15">
        <f t="shared" si="95"/>
        <v>8400</v>
      </c>
      <c r="R1207" s="13" t="str">
        <f>IF(D1207="TEX","аренда техники — сделка/счёт",IF(OR(Q1207="",H1207="",H1207=0),"—",IF(Q1207&lt;H1207*(1-Параметры!$B$7),"почасовка",IF(Q1207&gt;H1207*(1+Параметры!$B$7),"сделка","любой способ"))))</f>
        <v>сделка</v>
      </c>
      <c r="S1207">
        <v>1.818181818181808E-2</v>
      </c>
      <c r="T1207">
        <v>6.6666666666666652E-2</v>
      </c>
    </row>
    <row r="1208" spans="1:20" x14ac:dyDescent="0.25">
      <c r="A1208" s="13" t="s">
        <v>2458</v>
      </c>
      <c r="B1208" s="13" t="s">
        <v>2459</v>
      </c>
      <c r="C1208" s="13" t="s">
        <v>144</v>
      </c>
      <c r="D1208" s="13" t="s">
        <v>299</v>
      </c>
      <c r="E1208" s="13" t="str">
        <f>IFERROR(INDEX('Почасовка — ставки и план'!$B$5:$B$24,MATCH(D1208,'Почасовка — ставки и план'!$A$5:$A$24,0)),"Аренда техники / механизмы")</f>
        <v>Холодильщик / монтажник кондиционеров</v>
      </c>
      <c r="F1208" s="14">
        <v>7200</v>
      </c>
      <c r="G1208" s="14">
        <v>8640</v>
      </c>
      <c r="H1208" s="15">
        <v>4200</v>
      </c>
      <c r="I1208" s="15">
        <f>IF(OR(H1208="",F1208=""),"",MAX(H1208,MIN(ROUND(H1208*(1+Параметры!$B$5),IF(H1208*(1+Параметры!$B$5)&gt;=1000,-1,0)),ROUND(F1208*Параметры!$B$6,IF(F1208*Параметры!$B$6&gt;=1000,-1,0)))))</f>
        <v>4830</v>
      </c>
      <c r="J1208" s="15">
        <v>4800</v>
      </c>
      <c r="K1208" s="15">
        <f>IF(OR(J1208="",G1208=""),"",MAX(J1208,MIN(ROUND(J1208*(1+Параметры!$B$5),IF(J1208*(1+Параметры!$B$5)&gt;=1000,-1,0)),ROUND(G1208*Параметры!$B$6,IF(G1208*Параметры!$B$6&gt;=1000,-1,0)))))</f>
        <v>5520</v>
      </c>
      <c r="L1208" s="16">
        <v>4.5</v>
      </c>
      <c r="M1208" s="17">
        <f t="shared" si="94"/>
        <v>0.22222222222222221</v>
      </c>
      <c r="N1208" s="17">
        <f>IF(OR(L1208="",L1208=0),"",Параметры!$B$3/L1208)</f>
        <v>1.7777777777777777</v>
      </c>
      <c r="O1208" s="15">
        <f>IF(L1208="","",IFERROR(INDEX('Почасовка — ставки и план'!$D$5:$D$24,MATCH($D1208,'Почасовка — ставки и план'!$A$5:$A$24,0)),""))</f>
        <v>1200</v>
      </c>
      <c r="P1208" s="15">
        <f>IF(L1208="","",IFERROR(INDEX('Почасовка — ставки и план'!$E$5:$E$24,MATCH($D1208,'Почасовка — ставки и план'!$A$5:$A$24,0)),""))</f>
        <v>1440</v>
      </c>
      <c r="Q1208" s="15">
        <f t="shared" si="95"/>
        <v>5400</v>
      </c>
      <c r="R1208" s="13" t="str">
        <f>IF(D1208="TEX","аренда техники — сделка/счёт",IF(OR(Q1208="",H1208="",H1208=0),"—",IF(Q1208&lt;H1208*(1-Параметры!$B$7),"почасовка",IF(Q1208&gt;H1208*(1+Параметры!$B$7),"сделка","любой способ"))))</f>
        <v>сделка</v>
      </c>
      <c r="S1208">
        <v>2.857142857142847E-2</v>
      </c>
      <c r="T1208">
        <v>8.0000000000000071E-2</v>
      </c>
    </row>
    <row r="1209" spans="1:20" x14ac:dyDescent="0.25">
      <c r="A1209" s="13" t="s">
        <v>2460</v>
      </c>
      <c r="B1209" s="13" t="s">
        <v>2461</v>
      </c>
      <c r="C1209" s="13" t="s">
        <v>144</v>
      </c>
      <c r="D1209" s="13" t="s">
        <v>299</v>
      </c>
      <c r="E1209" s="13" t="str">
        <f>IFERROR(INDEX('Почасовка — ставки и план'!$B$5:$B$24,MATCH(D1209,'Почасовка — ставки и план'!$A$5:$A$24,0)),"Аренда техники / механизмы")</f>
        <v>Холодильщик / монтажник кондиционеров</v>
      </c>
      <c r="F1209" s="14">
        <v>8800</v>
      </c>
      <c r="G1209" s="14">
        <v>10560</v>
      </c>
      <c r="H1209" s="15">
        <v>5100</v>
      </c>
      <c r="I1209" s="15">
        <f>IF(OR(H1209="",F1209=""),"",MAX(H1209,MIN(ROUND(H1209*(1+Параметры!$B$5),IF(H1209*(1+Параметры!$B$5)&gt;=1000,-1,0)),ROUND(F1209*Параметры!$B$6,IF(F1209*Параметры!$B$6&gt;=1000,-1,0)))))</f>
        <v>5870</v>
      </c>
      <c r="J1209" s="15">
        <v>5880</v>
      </c>
      <c r="K1209" s="15">
        <f>IF(OR(J1209="",G1209=""),"",MAX(J1209,MIN(ROUND(J1209*(1+Параметры!$B$5),IF(J1209*(1+Параметры!$B$5)&gt;=1000,-1,0)),ROUND(G1209*Параметры!$B$6,IF(G1209*Параметры!$B$6&gt;=1000,-1,0)))))</f>
        <v>6760</v>
      </c>
      <c r="L1209" s="16">
        <v>5.5</v>
      </c>
      <c r="M1209" s="17">
        <f t="shared" si="94"/>
        <v>0.18181818181818182</v>
      </c>
      <c r="N1209" s="17">
        <f>IF(OR(L1209="",L1209=0),"",Параметры!$B$3/L1209)</f>
        <v>1.4545454545454546</v>
      </c>
      <c r="O1209" s="15">
        <f>IF(L1209="","",IFERROR(INDEX('Почасовка — ставки и план'!$D$5:$D$24,MATCH($D1209,'Почасовка — ставки и план'!$A$5:$A$24,0)),""))</f>
        <v>1200</v>
      </c>
      <c r="P1209" s="15">
        <f>IF(L1209="","",IFERROR(INDEX('Почасовка — ставки и план'!$E$5:$E$24,MATCH($D1209,'Почасовка — ставки и план'!$A$5:$A$24,0)),""))</f>
        <v>1440</v>
      </c>
      <c r="Q1209" s="15">
        <f t="shared" si="95"/>
        <v>6600</v>
      </c>
      <c r="R1209" s="13" t="str">
        <f>IF(D1209="TEX","аренда техники — сделка/счёт",IF(OR(Q1209="",H1209="",H1209=0),"—",IF(Q1209&lt;H1209*(1-Параметры!$B$7),"почасовка",IF(Q1209&gt;H1209*(1+Параметры!$B$7),"сделка","любой способ"))))</f>
        <v>сделка</v>
      </c>
      <c r="S1209">
        <v>3.529411764705892E-2</v>
      </c>
      <c r="T1209">
        <v>7.7551020408163307E-2</v>
      </c>
    </row>
    <row r="1210" spans="1:20" x14ac:dyDescent="0.25">
      <c r="A1210" s="13" t="s">
        <v>2462</v>
      </c>
      <c r="B1210" s="13" t="s">
        <v>2463</v>
      </c>
      <c r="C1210" s="13" t="s">
        <v>144</v>
      </c>
      <c r="D1210" s="13" t="s">
        <v>299</v>
      </c>
      <c r="E1210" s="13" t="str">
        <f>IFERROR(INDEX('Почасовка — ставки и план'!$B$5:$B$24,MATCH(D1210,'Почасовка — ставки и план'!$A$5:$A$24,0)),"Аренда техники / механизмы")</f>
        <v>Холодильщик / монтажник кондиционеров</v>
      </c>
      <c r="F1210" s="14">
        <v>10400</v>
      </c>
      <c r="G1210" s="14">
        <v>12480</v>
      </c>
      <c r="H1210" s="15">
        <v>6000</v>
      </c>
      <c r="I1210" s="15">
        <f>IF(OR(H1210="",F1210=""),"",MAX(H1210,MIN(ROUND(H1210*(1+Параметры!$B$5),IF(H1210*(1+Параметры!$B$5)&gt;=1000,-1,0)),ROUND(F1210*Параметры!$B$6,IF(F1210*Параметры!$B$6&gt;=1000,-1,0)))))</f>
        <v>6900</v>
      </c>
      <c r="J1210" s="15">
        <v>6900</v>
      </c>
      <c r="K1210" s="15">
        <f>IF(OR(J1210="",G1210=""),"",MAX(J1210,MIN(ROUND(J1210*(1+Параметры!$B$5),IF(J1210*(1+Параметры!$B$5)&gt;=1000,-1,0)),ROUND(G1210*Параметры!$B$6,IF(G1210*Параметры!$B$6&gt;=1000,-1,0)))))</f>
        <v>7940</v>
      </c>
      <c r="L1210" s="16">
        <v>6.5</v>
      </c>
      <c r="M1210" s="17">
        <f t="shared" si="94"/>
        <v>0.15384615384615385</v>
      </c>
      <c r="N1210" s="17">
        <f>IF(OR(L1210="",L1210=0),"",Параметры!$B$3/L1210)</f>
        <v>1.2307692307692308</v>
      </c>
      <c r="O1210" s="15">
        <f>IF(L1210="","",IFERROR(INDEX('Почасовка — ставки и план'!$D$5:$D$24,MATCH($D1210,'Почасовка — ставки и план'!$A$5:$A$24,0)),""))</f>
        <v>1200</v>
      </c>
      <c r="P1210" s="15">
        <f>IF(L1210="","",IFERROR(INDEX('Почасовка — ставки и план'!$E$5:$E$24,MATCH($D1210,'Почасовка — ставки и план'!$A$5:$A$24,0)),""))</f>
        <v>1440</v>
      </c>
      <c r="Q1210" s="15">
        <f t="shared" si="95"/>
        <v>7800</v>
      </c>
      <c r="R1210" s="13" t="str">
        <f>IF(D1210="TEX","аренда техники — сделка/счёт",IF(OR(Q1210="",H1210="",H1210=0),"—",IF(Q1210&lt;H1210*(1-Параметры!$B$7),"почасовка",IF(Q1210&gt;H1210*(1+Параметры!$B$7),"сделка","любой способ"))))</f>
        <v>сделка</v>
      </c>
      <c r="S1210">
        <v>4.0000000000000042E-2</v>
      </c>
      <c r="T1210">
        <v>8.5217391304347911E-2</v>
      </c>
    </row>
    <row r="1211" spans="1:20" x14ac:dyDescent="0.25">
      <c r="A1211" s="13" t="s">
        <v>2464</v>
      </c>
      <c r="B1211" s="13" t="s">
        <v>2465</v>
      </c>
      <c r="C1211" s="13" t="s">
        <v>144</v>
      </c>
      <c r="D1211" s="13" t="s">
        <v>299</v>
      </c>
      <c r="E1211" s="13" t="str">
        <f>IFERROR(INDEX('Почасовка — ставки и план'!$B$5:$B$24,MATCH(D1211,'Почасовка — ставки и план'!$A$5:$A$24,0)),"Аренда техники / механизмы")</f>
        <v>Холодильщик / монтажник кондиционеров</v>
      </c>
      <c r="F1211" s="14">
        <v>5600</v>
      </c>
      <c r="G1211" s="14">
        <v>6720</v>
      </c>
      <c r="H1211" s="15">
        <v>3300</v>
      </c>
      <c r="I1211" s="15">
        <f>IF(OR(H1211="",F1211=""),"",MAX(H1211,MIN(ROUND(H1211*(1+Параметры!$B$5),IF(H1211*(1+Параметры!$B$5)&gt;=1000,-1,0)),ROUND(F1211*Параметры!$B$6,IF(F1211*Параметры!$B$6&gt;=1000,-1,0)))))</f>
        <v>3800</v>
      </c>
      <c r="J1211" s="15">
        <v>3780</v>
      </c>
      <c r="K1211" s="15">
        <f>IF(OR(J1211="",G1211=""),"",MAX(J1211,MIN(ROUND(J1211*(1+Параметры!$B$5),IF(J1211*(1+Параметры!$B$5)&gt;=1000,-1,0)),ROUND(G1211*Параметры!$B$6,IF(G1211*Параметры!$B$6&gt;=1000,-1,0)))))</f>
        <v>4350</v>
      </c>
      <c r="L1211" s="16">
        <v>3.5</v>
      </c>
      <c r="M1211" s="17">
        <f t="shared" si="94"/>
        <v>0.2857142857142857</v>
      </c>
      <c r="N1211" s="17">
        <f>IF(OR(L1211="",L1211=0),"",Параметры!$B$3/L1211)</f>
        <v>2.2857142857142856</v>
      </c>
      <c r="O1211" s="15">
        <f>IF(L1211="","",IFERROR(INDEX('Почасовка — ставки и план'!$D$5:$D$24,MATCH($D1211,'Почасовка — ставки и план'!$A$5:$A$24,0)),""))</f>
        <v>1200</v>
      </c>
      <c r="P1211" s="15">
        <f>IF(L1211="","",IFERROR(INDEX('Почасовка — ставки и план'!$E$5:$E$24,MATCH($D1211,'Почасовка — ставки и план'!$A$5:$A$24,0)),""))</f>
        <v>1440</v>
      </c>
      <c r="Q1211" s="15">
        <f t="shared" si="95"/>
        <v>4200</v>
      </c>
      <c r="R1211" s="13" t="str">
        <f>IF(D1211="TEX","аренда техники — сделка/счёт",IF(OR(Q1211="",H1211="",H1211=0),"—",IF(Q1211&lt;H1211*(1-Параметры!$B$7),"почасовка",IF(Q1211&gt;H1211*(1+Параметры!$B$7),"сделка","любой способ"))))</f>
        <v>сделка</v>
      </c>
      <c r="S1211">
        <v>1.818181818181808E-2</v>
      </c>
      <c r="T1211">
        <v>6.6666666666666652E-2</v>
      </c>
    </row>
    <row r="1212" spans="1:20" x14ac:dyDescent="0.25">
      <c r="A1212" s="13" t="s">
        <v>2466</v>
      </c>
      <c r="B1212" s="13" t="s">
        <v>2467</v>
      </c>
      <c r="C1212" s="13" t="s">
        <v>144</v>
      </c>
      <c r="D1212" s="13" t="s">
        <v>299</v>
      </c>
      <c r="E1212" s="13" t="str">
        <f>IFERROR(INDEX('Почасовка — ставки и план'!$B$5:$B$24,MATCH(D1212,'Почасовка — ставки и план'!$A$5:$A$24,0)),"Аренда техники / механизмы")</f>
        <v>Холодильщик / монтажник кондиционеров</v>
      </c>
      <c r="F1212" s="14">
        <v>6500</v>
      </c>
      <c r="G1212" s="14">
        <v>7680</v>
      </c>
      <c r="H1212" s="15">
        <v>3900</v>
      </c>
      <c r="I1212" s="15">
        <f>IF(OR(H1212="",F1212=""),"",MAX(H1212,MIN(ROUND(H1212*(1+Параметры!$B$5),IF(H1212*(1+Параметры!$B$5)&gt;=1000,-1,0)),ROUND(F1212*Параметры!$B$6,IF(F1212*Параметры!$B$6&gt;=1000,-1,0)))))</f>
        <v>4490</v>
      </c>
      <c r="J1212" s="15">
        <v>4500</v>
      </c>
      <c r="K1212" s="15">
        <f>IF(OR(J1212="",G1212=""),"",MAX(J1212,MIN(ROUND(J1212*(1+Параметры!$B$5),IF(J1212*(1+Параметры!$B$5)&gt;=1000,-1,0)),ROUND(G1212*Параметры!$B$6,IF(G1212*Параметры!$B$6&gt;=1000,-1,0)))))</f>
        <v>5180</v>
      </c>
      <c r="L1212" s="16">
        <v>4</v>
      </c>
      <c r="M1212" s="17">
        <f t="shared" si="94"/>
        <v>0.25</v>
      </c>
      <c r="N1212" s="17">
        <f>IF(OR(L1212="",L1212=0),"",Параметры!$B$3/L1212)</f>
        <v>2</v>
      </c>
      <c r="O1212" s="15">
        <f>IF(L1212="","",IFERROR(INDEX('Почасовка — ставки и план'!$D$5:$D$24,MATCH($D1212,'Почасовка — ставки и план'!$A$5:$A$24,0)),""))</f>
        <v>1200</v>
      </c>
      <c r="P1212" s="15">
        <f>IF(L1212="","",IFERROR(INDEX('Почасовка — ставки и план'!$E$5:$E$24,MATCH($D1212,'Почасовка — ставки и план'!$A$5:$A$24,0)),""))</f>
        <v>1440</v>
      </c>
      <c r="Q1212" s="15">
        <f t="shared" si="95"/>
        <v>4800</v>
      </c>
      <c r="R1212" s="13" t="str">
        <f>IF(D1212="TEX","аренда техники — сделка/счёт",IF(OR(Q1212="",H1212="",H1212=0),"—",IF(Q1212&lt;H1212*(1-Параметры!$B$7),"почасовка",IF(Q1212&gt;H1212*(1+Параметры!$B$7),"сделка","любой способ"))))</f>
        <v>сделка</v>
      </c>
      <c r="S1212">
        <v>0</v>
      </c>
      <c r="T1212">
        <v>2.4000000000000021E-2</v>
      </c>
    </row>
    <row r="1213" spans="1:20" x14ac:dyDescent="0.25">
      <c r="A1213" s="13" t="s">
        <v>2468</v>
      </c>
      <c r="B1213" s="13" t="s">
        <v>2469</v>
      </c>
      <c r="C1213" s="13" t="s">
        <v>144</v>
      </c>
      <c r="D1213" s="13" t="s">
        <v>299</v>
      </c>
      <c r="E1213" s="13" t="str">
        <f>IFERROR(INDEX('Почасовка — ставки и план'!$B$5:$B$24,MATCH(D1213,'Почасовка — ставки и план'!$A$5:$A$24,0)),"Аренда техники / механизмы")</f>
        <v>Холодильщик / монтажник кондиционеров</v>
      </c>
      <c r="F1213" s="14">
        <v>8000</v>
      </c>
      <c r="G1213" s="14">
        <v>9600</v>
      </c>
      <c r="H1213" s="15">
        <v>4800</v>
      </c>
      <c r="I1213" s="15">
        <f>IF(OR(H1213="",F1213=""),"",MAX(H1213,MIN(ROUND(H1213*(1+Параметры!$B$5),IF(H1213*(1+Параметры!$B$5)&gt;=1000,-1,0)),ROUND(F1213*Параметры!$B$6,IF(F1213*Параметры!$B$6&gt;=1000,-1,0)))))</f>
        <v>5520</v>
      </c>
      <c r="J1213" s="15">
        <v>5520</v>
      </c>
      <c r="K1213" s="15">
        <f>IF(OR(J1213="",G1213=""),"",MAX(J1213,MIN(ROUND(J1213*(1+Параметры!$B$5),IF(J1213*(1+Параметры!$B$5)&gt;=1000,-1,0)),ROUND(G1213*Параметры!$B$6,IF(G1213*Параметры!$B$6&gt;=1000,-1,0)))))</f>
        <v>6350</v>
      </c>
      <c r="L1213" s="16">
        <v>5</v>
      </c>
      <c r="M1213" s="17">
        <f t="shared" si="94"/>
        <v>0.2</v>
      </c>
      <c r="N1213" s="17">
        <f>IF(OR(L1213="",L1213=0),"",Параметры!$B$3/L1213)</f>
        <v>1.6</v>
      </c>
      <c r="O1213" s="15">
        <f>IF(L1213="","",IFERROR(INDEX('Почасовка — ставки и план'!$D$5:$D$24,MATCH($D1213,'Почасовка — ставки и план'!$A$5:$A$24,0)),""))</f>
        <v>1200</v>
      </c>
      <c r="P1213" s="15">
        <f>IF(L1213="","",IFERROR(INDEX('Почасовка — ставки и план'!$E$5:$E$24,MATCH($D1213,'Почасовка — ставки и план'!$A$5:$A$24,0)),""))</f>
        <v>1440</v>
      </c>
      <c r="Q1213" s="15">
        <f t="shared" si="95"/>
        <v>6000</v>
      </c>
      <c r="R1213" s="13" t="str">
        <f>IF(D1213="TEX","аренда техники — сделка/счёт",IF(OR(Q1213="",H1213="",H1213=0),"—",IF(Q1213&lt;H1213*(1-Параметры!$B$7),"почасовка",IF(Q1213&gt;H1213*(1+Параметры!$B$7),"сделка","любой способ"))))</f>
        <v>сделка</v>
      </c>
      <c r="S1213">
        <v>0</v>
      </c>
      <c r="T1213">
        <v>4.3478260869565188E-2</v>
      </c>
    </row>
    <row r="1214" spans="1:20" x14ac:dyDescent="0.25">
      <c r="A1214" s="13" t="s">
        <v>2470</v>
      </c>
      <c r="B1214" s="13" t="s">
        <v>2471</v>
      </c>
      <c r="C1214" s="13" t="s">
        <v>144</v>
      </c>
      <c r="D1214" s="13" t="s">
        <v>299</v>
      </c>
      <c r="E1214" s="13" t="str">
        <f>IFERROR(INDEX('Почасовка — ставки и план'!$B$5:$B$24,MATCH(D1214,'Почасовка — ставки и план'!$A$5:$A$24,0)),"Аренда техники / механизмы")</f>
        <v>Холодильщик / монтажник кондиционеров</v>
      </c>
      <c r="F1214" s="14">
        <v>4800</v>
      </c>
      <c r="G1214" s="14">
        <v>5760</v>
      </c>
      <c r="H1214" s="15">
        <v>2700</v>
      </c>
      <c r="I1214" s="15">
        <f>IF(OR(H1214="",F1214=""),"",MAX(H1214,MIN(ROUND(H1214*(1+Параметры!$B$5),IF(H1214*(1+Параметры!$B$5)&gt;=1000,-1,0)),ROUND(F1214*Параметры!$B$6,IF(F1214*Параметры!$B$6&gt;=1000,-1,0)))))</f>
        <v>3110</v>
      </c>
      <c r="J1214" s="15">
        <v>3120</v>
      </c>
      <c r="K1214" s="15">
        <f>IF(OR(J1214="",G1214=""),"",MAX(J1214,MIN(ROUND(J1214*(1+Параметры!$B$5),IF(J1214*(1+Параметры!$B$5)&gt;=1000,-1,0)),ROUND(G1214*Параметры!$B$6,IF(G1214*Параметры!$B$6&gt;=1000,-1,0)))))</f>
        <v>3590</v>
      </c>
      <c r="L1214" s="16">
        <v>3</v>
      </c>
      <c r="M1214" s="17">
        <f t="shared" si="94"/>
        <v>0.33333333333333331</v>
      </c>
      <c r="N1214" s="17">
        <f>IF(OR(L1214="",L1214=0),"",Параметры!$B$3/L1214)</f>
        <v>2.6666666666666665</v>
      </c>
      <c r="O1214" s="15">
        <f>IF(L1214="","",IFERROR(INDEX('Почасовка — ставки и план'!$D$5:$D$24,MATCH($D1214,'Почасовка — ставки и план'!$A$5:$A$24,0)),""))</f>
        <v>1200</v>
      </c>
      <c r="P1214" s="15">
        <f>IF(L1214="","",IFERROR(INDEX('Почасовка — ставки и план'!$E$5:$E$24,MATCH($D1214,'Почасовка — ставки и план'!$A$5:$A$24,0)),""))</f>
        <v>1440</v>
      </c>
      <c r="Q1214" s="15">
        <f t="shared" si="95"/>
        <v>3600</v>
      </c>
      <c r="R1214" s="13" t="str">
        <f>IF(D1214="TEX","аренда техники — сделка/счёт",IF(OR(Q1214="",H1214="",H1214=0),"—",IF(Q1214&lt;H1214*(1-Параметры!$B$7),"почасовка",IF(Q1214&gt;H1214*(1+Параметры!$B$7),"сделка","любой способ"))))</f>
        <v>сделка</v>
      </c>
      <c r="S1214">
        <v>6.6666666666666652E-2</v>
      </c>
      <c r="T1214">
        <v>0.1076923076923078</v>
      </c>
    </row>
    <row r="1215" spans="1:20" x14ac:dyDescent="0.25">
      <c r="A1215" s="13" t="s">
        <v>2472</v>
      </c>
      <c r="B1215" s="13" t="s">
        <v>2473</v>
      </c>
      <c r="C1215" s="13" t="s">
        <v>144</v>
      </c>
      <c r="D1215" s="13" t="s">
        <v>299</v>
      </c>
      <c r="E1215" s="13" t="str">
        <f>IFERROR(INDEX('Почасовка — ставки и план'!$B$5:$B$24,MATCH(D1215,'Почасовка — ставки и план'!$A$5:$A$24,0)),"Аренда техники / механизмы")</f>
        <v>Холодильщик / монтажник кондиционеров</v>
      </c>
      <c r="F1215" s="14">
        <v>5600</v>
      </c>
      <c r="G1215" s="14">
        <v>6720</v>
      </c>
      <c r="H1215" s="15">
        <v>3300</v>
      </c>
      <c r="I1215" s="15">
        <f>IF(OR(H1215="",F1215=""),"",MAX(H1215,MIN(ROUND(H1215*(1+Параметры!$B$5),IF(H1215*(1+Параметры!$B$5)&gt;=1000,-1,0)),ROUND(F1215*Параметры!$B$6,IF(F1215*Параметры!$B$6&gt;=1000,-1,0)))))</f>
        <v>3800</v>
      </c>
      <c r="J1215" s="15">
        <v>3780</v>
      </c>
      <c r="K1215" s="15">
        <f>IF(OR(J1215="",G1215=""),"",MAX(J1215,MIN(ROUND(J1215*(1+Параметры!$B$5),IF(J1215*(1+Параметры!$B$5)&gt;=1000,-1,0)),ROUND(G1215*Параметры!$B$6,IF(G1215*Параметры!$B$6&gt;=1000,-1,0)))))</f>
        <v>4350</v>
      </c>
      <c r="L1215" s="16">
        <v>3.5</v>
      </c>
      <c r="M1215" s="17">
        <f t="shared" si="94"/>
        <v>0.2857142857142857</v>
      </c>
      <c r="N1215" s="17">
        <f>IF(OR(L1215="",L1215=0),"",Параметры!$B$3/L1215)</f>
        <v>2.2857142857142856</v>
      </c>
      <c r="O1215" s="15">
        <f>IF(L1215="","",IFERROR(INDEX('Почасовка — ставки и план'!$D$5:$D$24,MATCH($D1215,'Почасовка — ставки и план'!$A$5:$A$24,0)),""))</f>
        <v>1200</v>
      </c>
      <c r="P1215" s="15">
        <f>IF(L1215="","",IFERROR(INDEX('Почасовка — ставки и план'!$E$5:$E$24,MATCH($D1215,'Почасовка — ставки и план'!$A$5:$A$24,0)),""))</f>
        <v>1440</v>
      </c>
      <c r="Q1215" s="15">
        <f t="shared" si="95"/>
        <v>4200</v>
      </c>
      <c r="R1215" s="13" t="str">
        <f>IF(D1215="TEX","аренда техники — сделка/счёт",IF(OR(Q1215="",H1215="",H1215=0),"—",IF(Q1215&lt;H1215*(1-Параметры!$B$7),"почасовка",IF(Q1215&gt;H1215*(1+Параметры!$B$7),"сделка","любой способ"))))</f>
        <v>сделка</v>
      </c>
      <c r="S1215">
        <v>1.818181818181808E-2</v>
      </c>
      <c r="T1215">
        <v>6.6666666666666652E-2</v>
      </c>
    </row>
    <row r="1216" spans="1:20" x14ac:dyDescent="0.25">
      <c r="A1216" s="13" t="s">
        <v>2474</v>
      </c>
      <c r="B1216" s="13" t="s">
        <v>2475</v>
      </c>
      <c r="C1216" s="13" t="s">
        <v>144</v>
      </c>
      <c r="D1216" s="13" t="s">
        <v>299</v>
      </c>
      <c r="E1216" s="13" t="str">
        <f>IFERROR(INDEX('Почасовка — ставки и план'!$B$5:$B$24,MATCH(D1216,'Почасовка — ставки и план'!$A$5:$A$24,0)),"Аренда техники / механизмы")</f>
        <v>Холодильщик / монтажник кондиционеров</v>
      </c>
      <c r="F1216" s="14">
        <v>7200</v>
      </c>
      <c r="G1216" s="14">
        <v>8640</v>
      </c>
      <c r="H1216" s="15">
        <v>3900</v>
      </c>
      <c r="I1216" s="15">
        <f>IF(OR(H1216="",F1216=""),"",MAX(H1216,MIN(ROUND(H1216*(1+Параметры!$B$5),IF(H1216*(1+Параметры!$B$5)&gt;=1000,-1,0)),ROUND(F1216*Параметры!$B$6,IF(F1216*Параметры!$B$6&gt;=1000,-1,0)))))</f>
        <v>4490</v>
      </c>
      <c r="J1216" s="15">
        <v>4500</v>
      </c>
      <c r="K1216" s="15">
        <f>IF(OR(J1216="",G1216=""),"",MAX(J1216,MIN(ROUND(J1216*(1+Параметры!$B$5),IF(J1216*(1+Параметры!$B$5)&gt;=1000,-1,0)),ROUND(G1216*Параметры!$B$6,IF(G1216*Параметры!$B$6&gt;=1000,-1,0)))))</f>
        <v>5180</v>
      </c>
      <c r="L1216" s="16">
        <v>4.5</v>
      </c>
      <c r="M1216" s="17">
        <f t="shared" si="94"/>
        <v>0.22222222222222221</v>
      </c>
      <c r="N1216" s="17">
        <f>IF(OR(L1216="",L1216=0),"",Параметры!$B$3/L1216)</f>
        <v>1.7777777777777777</v>
      </c>
      <c r="O1216" s="15">
        <f>IF(L1216="","",IFERROR(INDEX('Почасовка — ставки и план'!$D$5:$D$24,MATCH($D1216,'Почасовка — ставки и план'!$A$5:$A$24,0)),""))</f>
        <v>1200</v>
      </c>
      <c r="P1216" s="15">
        <f>IF(L1216="","",IFERROR(INDEX('Почасовка — ставки и план'!$E$5:$E$24,MATCH($D1216,'Почасовка — ставки и план'!$A$5:$A$24,0)),""))</f>
        <v>1440</v>
      </c>
      <c r="Q1216" s="15">
        <f t="shared" si="95"/>
        <v>5400</v>
      </c>
      <c r="R1216" s="13" t="str">
        <f>IF(D1216="TEX","аренда техники — сделка/счёт",IF(OR(Q1216="",H1216="",H1216=0),"—",IF(Q1216&lt;H1216*(1-Параметры!$B$7),"почасовка",IF(Q1216&gt;H1216*(1+Параметры!$B$7),"сделка","любой способ"))))</f>
        <v>сделка</v>
      </c>
      <c r="S1216">
        <v>0.1076923076923078</v>
      </c>
      <c r="T1216">
        <v>0.15199999999999991</v>
      </c>
    </row>
    <row r="1217" spans="1:20" x14ac:dyDescent="0.25">
      <c r="A1217" s="13" t="s">
        <v>2476</v>
      </c>
      <c r="B1217" s="13" t="s">
        <v>2477</v>
      </c>
      <c r="C1217" s="13" t="s">
        <v>144</v>
      </c>
      <c r="D1217" s="13" t="s">
        <v>288</v>
      </c>
      <c r="E1217" s="13" t="str">
        <f>IFERROR(INDEX('Почасовка — ставки и план'!$B$5:$B$24,MATCH(D1217,'Почасовка — ставки и план'!$A$5:$A$24,0)),"Аренда техники / механизмы")</f>
        <v>Монтажник вентиляции</v>
      </c>
      <c r="F1217" s="14">
        <v>4500</v>
      </c>
      <c r="G1217" s="14">
        <v>5200</v>
      </c>
      <c r="H1217" s="15">
        <v>2790</v>
      </c>
      <c r="I1217" s="15">
        <f>IF(OR(H1217="",F1217=""),"",MAX(H1217,MIN(ROUND(H1217*(1+Параметры!$B$5),IF(H1217*(1+Параметры!$B$5)&gt;=1000,-1,0)),ROUND(F1217*Параметры!$B$6,IF(F1217*Параметры!$B$6&gt;=1000,-1,0)))))</f>
        <v>3210</v>
      </c>
      <c r="J1217" s="15">
        <v>3224</v>
      </c>
      <c r="K1217" s="15">
        <f>IF(OR(J1217="",G1217=""),"",MAX(J1217,MIN(ROUND(J1217*(1+Параметры!$B$5),IF(J1217*(1+Параметры!$B$5)&gt;=1000,-1,0)),ROUND(G1217*Параметры!$B$6,IF(G1217*Параметры!$B$6&gt;=1000,-1,0)))))</f>
        <v>3710</v>
      </c>
      <c r="L1217" s="16">
        <v>3</v>
      </c>
      <c r="M1217" s="17">
        <f t="shared" si="94"/>
        <v>0.33333333333333331</v>
      </c>
      <c r="N1217" s="17">
        <f>IF(OR(L1217="",L1217=0),"",Параметры!$B$3/L1217)</f>
        <v>2.6666666666666665</v>
      </c>
      <c r="O1217" s="15">
        <f>IF(L1217="","",IFERROR(INDEX('Почасовка — ставки и план'!$D$5:$D$24,MATCH($D1217,'Почасовка — ставки и план'!$A$5:$A$24,0)),""))</f>
        <v>850</v>
      </c>
      <c r="P1217" s="15">
        <f>IF(L1217="","",IFERROR(INDEX('Почасовка — ставки и план'!$E$5:$E$24,MATCH($D1217,'Почасовка — ставки и план'!$A$5:$A$24,0)),""))</f>
        <v>1020</v>
      </c>
      <c r="Q1217" s="15">
        <f t="shared" si="95"/>
        <v>2550</v>
      </c>
      <c r="R1217" s="13" t="str">
        <f>IF(D1217="TEX","аренда техники — сделка/счёт",IF(OR(Q1217="",H1217="",H1217=0),"—",IF(Q1217&lt;H1217*(1-Параметры!$B$7),"почасовка",IF(Q1217&gt;H1217*(1+Параметры!$B$7),"сделка","любой способ"))))</f>
        <v>любой способ</v>
      </c>
      <c r="S1217">
        <v>0</v>
      </c>
      <c r="T1217">
        <v>0</v>
      </c>
    </row>
    <row r="1218" spans="1:20" x14ac:dyDescent="0.25">
      <c r="A1218" s="13" t="s">
        <v>2478</v>
      </c>
      <c r="B1218" s="13" t="s">
        <v>2479</v>
      </c>
      <c r="C1218" s="13" t="s">
        <v>144</v>
      </c>
      <c r="D1218" s="13" t="s">
        <v>288</v>
      </c>
      <c r="E1218" s="13" t="str">
        <f>IFERROR(INDEX('Почасовка — ставки и план'!$B$5:$B$24,MATCH(D1218,'Почасовка — ставки и план'!$A$5:$A$24,0)),"Аренда техники / механизмы")</f>
        <v>Монтажник вентиляции</v>
      </c>
      <c r="F1218" s="14">
        <v>8000</v>
      </c>
      <c r="G1218" s="14">
        <v>9200</v>
      </c>
      <c r="H1218" s="15">
        <v>4960</v>
      </c>
      <c r="I1218" s="15">
        <f>IF(OR(H1218="",F1218=""),"",MAX(H1218,MIN(ROUND(H1218*(1+Параметры!$B$5),IF(H1218*(1+Параметры!$B$5)&gt;=1000,-1,0)),ROUND(F1218*Параметры!$B$6,IF(F1218*Параметры!$B$6&gt;=1000,-1,0)))))</f>
        <v>5700</v>
      </c>
      <c r="J1218" s="15">
        <v>5704</v>
      </c>
      <c r="K1218" s="15">
        <f>IF(OR(J1218="",G1218=""),"",MAX(J1218,MIN(ROUND(J1218*(1+Параметры!$B$5),IF(J1218*(1+Параметры!$B$5)&gt;=1000,-1,0)),ROUND(G1218*Параметры!$B$6,IF(G1218*Параметры!$B$6&gt;=1000,-1,0)))))</f>
        <v>6560</v>
      </c>
      <c r="L1218" s="16">
        <v>6</v>
      </c>
      <c r="M1218" s="17">
        <f t="shared" si="94"/>
        <v>0.16666666666666666</v>
      </c>
      <c r="N1218" s="17">
        <f>IF(OR(L1218="",L1218=0),"",Параметры!$B$3/L1218)</f>
        <v>1.3333333333333333</v>
      </c>
      <c r="O1218" s="15">
        <f>IF(L1218="","",IFERROR(INDEX('Почасовка — ставки и план'!$D$5:$D$24,MATCH($D1218,'Почасовка — ставки и план'!$A$5:$A$24,0)),""))</f>
        <v>850</v>
      </c>
      <c r="P1218" s="15">
        <f>IF(L1218="","",IFERROR(INDEX('Почасовка — ставки и план'!$E$5:$E$24,MATCH($D1218,'Почасовка — ставки и план'!$A$5:$A$24,0)),""))</f>
        <v>1020</v>
      </c>
      <c r="Q1218" s="15">
        <f t="shared" si="95"/>
        <v>5100</v>
      </c>
      <c r="R1218" s="13" t="str">
        <f>IF(D1218="TEX","аренда техники — сделка/счёт",IF(OR(Q1218="",H1218="",H1218=0),"—",IF(Q1218&lt;H1218*(1-Параметры!$B$7),"почасовка",IF(Q1218&gt;H1218*(1+Параметры!$B$7),"сделка","любой способ"))))</f>
        <v>любой способ</v>
      </c>
      <c r="S1218">
        <v>0</v>
      </c>
      <c r="T1218">
        <v>0</v>
      </c>
    </row>
    <row r="1219" spans="1:20" x14ac:dyDescent="0.25">
      <c r="A1219" s="13" t="s">
        <v>2480</v>
      </c>
      <c r="B1219" s="13" t="s">
        <v>2481</v>
      </c>
      <c r="C1219" s="13" t="s">
        <v>144</v>
      </c>
      <c r="D1219" s="13" t="s">
        <v>288</v>
      </c>
      <c r="E1219" s="13" t="str">
        <f>IFERROR(INDEX('Почасовка — ставки и план'!$B$5:$B$24,MATCH(D1219,'Почасовка — ставки и план'!$A$5:$A$24,0)),"Аренда техники / механизмы")</f>
        <v>Монтажник вентиляции</v>
      </c>
      <c r="F1219" s="14">
        <v>11000</v>
      </c>
      <c r="G1219" s="14">
        <v>12600</v>
      </c>
      <c r="H1219" s="15">
        <v>6820</v>
      </c>
      <c r="I1219" s="15">
        <f>IF(OR(H1219="",F1219=""),"",MAX(H1219,MIN(ROUND(H1219*(1+Параметры!$B$5),IF(H1219*(1+Параметры!$B$5)&gt;=1000,-1,0)),ROUND(F1219*Параметры!$B$6,IF(F1219*Параметры!$B$6&gt;=1000,-1,0)))))</f>
        <v>7840</v>
      </c>
      <c r="J1219" s="15">
        <v>7812</v>
      </c>
      <c r="K1219" s="15">
        <f>IF(OR(J1219="",G1219=""),"",MAX(J1219,MIN(ROUND(J1219*(1+Параметры!$B$5),IF(J1219*(1+Параметры!$B$5)&gt;=1000,-1,0)),ROUND(G1219*Параметры!$B$6,IF(G1219*Параметры!$B$6&gt;=1000,-1,0)))))</f>
        <v>8980</v>
      </c>
      <c r="L1219" s="16">
        <v>8.5</v>
      </c>
      <c r="M1219" s="17">
        <f t="shared" si="94"/>
        <v>0.11764705882352941</v>
      </c>
      <c r="N1219" s="17">
        <f>IF(OR(L1219="",L1219=0),"",Параметры!$B$3/L1219)</f>
        <v>0.94117647058823528</v>
      </c>
      <c r="O1219" s="15">
        <f>IF(L1219="","",IFERROR(INDEX('Почасовка — ставки и план'!$D$5:$D$24,MATCH($D1219,'Почасовка — ставки и план'!$A$5:$A$24,0)),""))</f>
        <v>850</v>
      </c>
      <c r="P1219" s="15">
        <f>IF(L1219="","",IFERROR(INDEX('Почасовка — ставки и план'!$E$5:$E$24,MATCH($D1219,'Почасовка — ставки и план'!$A$5:$A$24,0)),""))</f>
        <v>1020</v>
      </c>
      <c r="Q1219" s="15">
        <f t="shared" si="95"/>
        <v>7225</v>
      </c>
      <c r="R1219" s="13" t="str">
        <f>IF(D1219="TEX","аренда техники — сделка/счёт",IF(OR(Q1219="",H1219="",H1219=0),"—",IF(Q1219&lt;H1219*(1-Параметры!$B$7),"почасовка",IF(Q1219&gt;H1219*(1+Параметры!$B$7),"сделка","любой способ"))))</f>
        <v>любой способ</v>
      </c>
      <c r="S1219">
        <v>0</v>
      </c>
      <c r="T1219">
        <v>0</v>
      </c>
    </row>
    <row r="1220" spans="1:20" x14ac:dyDescent="0.25">
      <c r="A1220" s="13" t="s">
        <v>2482</v>
      </c>
      <c r="B1220" s="13" t="s">
        <v>2483</v>
      </c>
      <c r="C1220" s="13" t="s">
        <v>144</v>
      </c>
      <c r="D1220" s="13" t="s">
        <v>288</v>
      </c>
      <c r="E1220" s="13" t="str">
        <f>IFERROR(INDEX('Почасовка — ставки и план'!$B$5:$B$24,MATCH(D1220,'Почасовка — ставки и план'!$A$5:$A$24,0)),"Аренда техники / механизмы")</f>
        <v>Монтажник вентиляции</v>
      </c>
      <c r="F1220" s="14">
        <v>14000</v>
      </c>
      <c r="G1220" s="14">
        <v>16000</v>
      </c>
      <c r="H1220" s="15">
        <v>8680</v>
      </c>
      <c r="I1220" s="15">
        <f>IF(OR(H1220="",F1220=""),"",MAX(H1220,MIN(ROUND(H1220*(1+Параметры!$B$5),IF(H1220*(1+Параметры!$B$5)&gt;=1000,-1,0)),ROUND(F1220*Параметры!$B$6,IF(F1220*Параметры!$B$6&gt;=1000,-1,0)))))</f>
        <v>9980</v>
      </c>
      <c r="J1220" s="15">
        <v>9920</v>
      </c>
      <c r="K1220" s="15">
        <f>IF(OR(J1220="",G1220=""),"",MAX(J1220,MIN(ROUND(J1220*(1+Параметры!$B$5),IF(J1220*(1+Параметры!$B$5)&gt;=1000,-1,0)),ROUND(G1220*Параметры!$B$6,IF(G1220*Параметры!$B$6&gt;=1000,-1,0)))))</f>
        <v>11410</v>
      </c>
      <c r="L1220" s="16">
        <v>11</v>
      </c>
      <c r="M1220" s="17">
        <f t="shared" si="94"/>
        <v>9.0909090909090912E-2</v>
      </c>
      <c r="N1220" s="17">
        <f>IF(OR(L1220="",L1220=0),"",Параметры!$B$3/L1220)</f>
        <v>0.72727272727272729</v>
      </c>
      <c r="O1220" s="15">
        <f>IF(L1220="","",IFERROR(INDEX('Почасовка — ставки и план'!$D$5:$D$24,MATCH($D1220,'Почасовка — ставки и план'!$A$5:$A$24,0)),""))</f>
        <v>850</v>
      </c>
      <c r="P1220" s="15">
        <f>IF(L1220="","",IFERROR(INDEX('Почасовка — ставки и план'!$E$5:$E$24,MATCH($D1220,'Почасовка — ставки и план'!$A$5:$A$24,0)),""))</f>
        <v>1020</v>
      </c>
      <c r="Q1220" s="15">
        <f t="shared" si="95"/>
        <v>9350</v>
      </c>
      <c r="R1220" s="13" t="str">
        <f>IF(D1220="TEX","аренда техники — сделка/счёт",IF(OR(Q1220="",H1220="",H1220=0),"—",IF(Q1220&lt;H1220*(1-Параметры!$B$7),"почасовка",IF(Q1220&gt;H1220*(1+Параметры!$B$7),"сделка","любой способ"))))</f>
        <v>любой способ</v>
      </c>
      <c r="S1220">
        <v>0</v>
      </c>
      <c r="T1220">
        <v>0</v>
      </c>
    </row>
    <row r="1221" spans="1:20" x14ac:dyDescent="0.25">
      <c r="A1221" s="13" t="s">
        <v>2484</v>
      </c>
      <c r="B1221" s="13" t="s">
        <v>2485</v>
      </c>
      <c r="C1221" s="13" t="s">
        <v>144</v>
      </c>
      <c r="D1221" s="13" t="s">
        <v>288</v>
      </c>
      <c r="E1221" s="13" t="str">
        <f>IFERROR(INDEX('Почасовка — ставки и план'!$B$5:$B$24,MATCH(D1221,'Почасовка — ставки и план'!$A$5:$A$24,0)),"Аренда техники / механизмы")</f>
        <v>Монтажник вентиляции</v>
      </c>
      <c r="F1221" s="14">
        <v>17000</v>
      </c>
      <c r="G1221" s="14">
        <v>19500</v>
      </c>
      <c r="H1221" s="15">
        <v>10540</v>
      </c>
      <c r="I1221" s="15">
        <f>IF(OR(H1221="",F1221=""),"",MAX(H1221,MIN(ROUND(H1221*(1+Параметры!$B$5),IF(H1221*(1+Параметры!$B$5)&gt;=1000,-1,0)),ROUND(F1221*Параметры!$B$6,IF(F1221*Параметры!$B$6&gt;=1000,-1,0)))))</f>
        <v>12120</v>
      </c>
      <c r="J1221" s="15">
        <v>12090</v>
      </c>
      <c r="K1221" s="15">
        <f>IF(OR(J1221="",G1221=""),"",MAX(J1221,MIN(ROUND(J1221*(1+Параметры!$B$5),IF(J1221*(1+Параметры!$B$5)&gt;=1000,-1,0)),ROUND(G1221*Параметры!$B$6,IF(G1221*Параметры!$B$6&gt;=1000,-1,0)))))</f>
        <v>13900</v>
      </c>
      <c r="L1221" s="16">
        <v>13</v>
      </c>
      <c r="M1221" s="17">
        <f t="shared" si="94"/>
        <v>7.6923076923076927E-2</v>
      </c>
      <c r="N1221" s="17">
        <f>IF(OR(L1221="",L1221=0),"",Параметры!$B$3/L1221)</f>
        <v>0.61538461538461542</v>
      </c>
      <c r="O1221" s="15">
        <f>IF(L1221="","",IFERROR(INDEX('Почасовка — ставки и план'!$D$5:$D$24,MATCH($D1221,'Почасовка — ставки и план'!$A$5:$A$24,0)),""))</f>
        <v>850</v>
      </c>
      <c r="P1221" s="15">
        <f>IF(L1221="","",IFERROR(INDEX('Почасовка — ставки и план'!$E$5:$E$24,MATCH($D1221,'Почасовка — ставки и план'!$A$5:$A$24,0)),""))</f>
        <v>1020</v>
      </c>
      <c r="Q1221" s="15">
        <f t="shared" si="95"/>
        <v>11050</v>
      </c>
      <c r="R1221" s="13" t="str">
        <f>IF(D1221="TEX","аренда техники — сделка/счёт",IF(OR(Q1221="",H1221="",H1221=0),"—",IF(Q1221&lt;H1221*(1-Параметры!$B$7),"почасовка",IF(Q1221&gt;H1221*(1+Параметры!$B$7),"сделка","любой способ"))))</f>
        <v>любой способ</v>
      </c>
      <c r="S1221">
        <v>0</v>
      </c>
      <c r="T1221">
        <v>0</v>
      </c>
    </row>
    <row r="1222" spans="1:20" x14ac:dyDescent="0.25">
      <c r="A1222" s="13" t="s">
        <v>2486</v>
      </c>
      <c r="B1222" s="13" t="s">
        <v>2487</v>
      </c>
      <c r="C1222" s="13" t="s">
        <v>144</v>
      </c>
      <c r="D1222" s="13" t="s">
        <v>288</v>
      </c>
      <c r="E1222" s="13" t="str">
        <f>IFERROR(INDEX('Почасовка — ставки и план'!$B$5:$B$24,MATCH(D1222,'Почасовка — ставки и план'!$A$5:$A$24,0)),"Аренда техники / механизмы")</f>
        <v>Монтажник вентиляции</v>
      </c>
      <c r="F1222" s="14">
        <v>1500</v>
      </c>
      <c r="G1222" s="14">
        <v>1750</v>
      </c>
      <c r="H1222" s="15">
        <v>930</v>
      </c>
      <c r="I1222" s="15">
        <f>IF(OR(H1222="",F1222=""),"",MAX(H1222,MIN(ROUND(H1222*(1+Параметры!$B$5),IF(H1222*(1+Параметры!$B$5)&gt;=1000,-1,0)),ROUND(F1222*Параметры!$B$6,IF(F1222*Параметры!$B$6&gt;=1000,-1,0)))))</f>
        <v>1070</v>
      </c>
      <c r="J1222" s="15">
        <v>1085</v>
      </c>
      <c r="K1222" s="15">
        <f>IF(OR(J1222="",G1222=""),"",MAX(J1222,MIN(ROUND(J1222*(1+Параметры!$B$5),IF(J1222*(1+Параметры!$B$5)&gt;=1000,-1,0)),ROUND(G1222*Параметры!$B$6,IF(G1222*Параметры!$B$6&gt;=1000,-1,0)))))</f>
        <v>1250</v>
      </c>
      <c r="L1222" s="16">
        <v>1.2</v>
      </c>
      <c r="M1222" s="17">
        <f t="shared" si="94"/>
        <v>0.83333333333333337</v>
      </c>
      <c r="N1222" s="17">
        <f>IF(OR(L1222="",L1222=0),"",Параметры!$B$3/L1222)</f>
        <v>6.666666666666667</v>
      </c>
      <c r="O1222" s="15">
        <f>IF(L1222="","",IFERROR(INDEX('Почасовка — ставки и план'!$D$5:$D$24,MATCH($D1222,'Почасовка — ставки и план'!$A$5:$A$24,0)),""))</f>
        <v>850</v>
      </c>
      <c r="P1222" s="15">
        <f>IF(L1222="","",IFERROR(INDEX('Почасовка — ставки и план'!$E$5:$E$24,MATCH($D1222,'Почасовка — ставки и план'!$A$5:$A$24,0)),""))</f>
        <v>1020</v>
      </c>
      <c r="Q1222" s="15">
        <f t="shared" si="95"/>
        <v>1020</v>
      </c>
      <c r="R1222" s="13" t="str">
        <f>IF(D1222="TEX","аренда техники — сделка/счёт",IF(OR(Q1222="",H1222="",H1222=0),"—",IF(Q1222&lt;H1222*(1-Параметры!$B$7),"почасовка",IF(Q1222&gt;H1222*(1+Параметры!$B$7),"сделка","любой способ"))))</f>
        <v>любой способ</v>
      </c>
      <c r="S1222">
        <v>0</v>
      </c>
      <c r="T1222">
        <v>0</v>
      </c>
    </row>
    <row r="1223" spans="1:20" x14ac:dyDescent="0.25">
      <c r="A1223" s="13" t="s">
        <v>2488</v>
      </c>
      <c r="B1223" s="13" t="s">
        <v>2489</v>
      </c>
      <c r="C1223" s="13" t="s">
        <v>144</v>
      </c>
      <c r="D1223" s="13" t="s">
        <v>288</v>
      </c>
      <c r="E1223" s="13" t="str">
        <f>IFERROR(INDEX('Почасовка — ставки и план'!$B$5:$B$24,MATCH(D1223,'Почасовка — ставки и план'!$A$5:$A$24,0)),"Аренда техники / механизмы")</f>
        <v>Монтажник вентиляции</v>
      </c>
      <c r="F1223" s="14">
        <v>2500</v>
      </c>
      <c r="G1223" s="14">
        <v>2900</v>
      </c>
      <c r="H1223" s="15">
        <v>1550</v>
      </c>
      <c r="I1223" s="15">
        <f>IF(OR(H1223="",F1223=""),"",MAX(H1223,MIN(ROUND(H1223*(1+Параметры!$B$5),IF(H1223*(1+Параметры!$B$5)&gt;=1000,-1,0)),ROUND(F1223*Параметры!$B$6,IF(F1223*Параметры!$B$6&gt;=1000,-1,0)))))</f>
        <v>1780</v>
      </c>
      <c r="J1223" s="15">
        <v>1798</v>
      </c>
      <c r="K1223" s="15">
        <f>IF(OR(J1223="",G1223=""),"",MAX(J1223,MIN(ROUND(J1223*(1+Параметры!$B$5),IF(J1223*(1+Параметры!$B$5)&gt;=1000,-1,0)),ROUND(G1223*Параметры!$B$6,IF(G1223*Параметры!$B$6&gt;=1000,-1,0)))))</f>
        <v>2070</v>
      </c>
      <c r="L1223" s="16">
        <v>2</v>
      </c>
      <c r="M1223" s="17">
        <f t="shared" si="94"/>
        <v>0.5</v>
      </c>
      <c r="N1223" s="17">
        <f>IF(OR(L1223="",L1223=0),"",Параметры!$B$3/L1223)</f>
        <v>4</v>
      </c>
      <c r="O1223" s="15">
        <f>IF(L1223="","",IFERROR(INDEX('Почасовка — ставки и план'!$D$5:$D$24,MATCH($D1223,'Почасовка — ставки и план'!$A$5:$A$24,0)),""))</f>
        <v>850</v>
      </c>
      <c r="P1223" s="15">
        <f>IF(L1223="","",IFERROR(INDEX('Почасовка — ставки и план'!$E$5:$E$24,MATCH($D1223,'Почасовка — ставки и план'!$A$5:$A$24,0)),""))</f>
        <v>1020</v>
      </c>
      <c r="Q1223" s="15">
        <f t="shared" si="95"/>
        <v>1700</v>
      </c>
      <c r="R1223" s="13" t="str">
        <f>IF(D1223="TEX","аренда техники — сделка/счёт",IF(OR(Q1223="",H1223="",H1223=0),"—",IF(Q1223&lt;H1223*(1-Параметры!$B$7),"почасовка",IF(Q1223&gt;H1223*(1+Параметры!$B$7),"сделка","любой способ"))))</f>
        <v>любой способ</v>
      </c>
      <c r="S1223">
        <v>0</v>
      </c>
      <c r="T1223">
        <v>0</v>
      </c>
    </row>
    <row r="1224" spans="1:20" x14ac:dyDescent="0.25">
      <c r="A1224" s="13" t="s">
        <v>2490</v>
      </c>
      <c r="B1224" s="13" t="s">
        <v>2491</v>
      </c>
      <c r="C1224" s="13" t="s">
        <v>144</v>
      </c>
      <c r="D1224" s="13" t="s">
        <v>288</v>
      </c>
      <c r="E1224" s="13" t="str">
        <f>IFERROR(INDEX('Почасовка — ставки и план'!$B$5:$B$24,MATCH(D1224,'Почасовка — ставки и план'!$A$5:$A$24,0)),"Аренда техники / механизмы")</f>
        <v>Монтажник вентиляции</v>
      </c>
      <c r="F1224" s="14">
        <v>900</v>
      </c>
      <c r="G1224" s="14">
        <v>1050</v>
      </c>
      <c r="H1224" s="15">
        <v>558</v>
      </c>
      <c r="I1224" s="15">
        <f>IF(OR(H1224="",F1224=""),"",MAX(H1224,MIN(ROUND(H1224*(1+Параметры!$B$5),IF(H1224*(1+Параметры!$B$5)&gt;=1000,-1,0)),ROUND(F1224*Параметры!$B$6,IF(F1224*Параметры!$B$6&gt;=1000,-1,0)))))</f>
        <v>642</v>
      </c>
      <c r="J1224" s="15">
        <v>651</v>
      </c>
      <c r="K1224" s="15">
        <f>IF(OR(J1224="",G1224=""),"",MAX(J1224,MIN(ROUND(J1224*(1+Параметры!$B$5),IF(J1224*(1+Параметры!$B$5)&gt;=1000,-1,0)),ROUND(G1224*Параметры!$B$6,IF(G1224*Параметры!$B$6&gt;=1000,-1,0)))))</f>
        <v>749</v>
      </c>
      <c r="L1224" s="16">
        <v>0.6</v>
      </c>
      <c r="M1224" s="17">
        <f t="shared" si="94"/>
        <v>1.6666666666666667</v>
      </c>
      <c r="N1224" s="17">
        <f>IF(OR(L1224="",L1224=0),"",Параметры!$B$3/L1224)</f>
        <v>13.333333333333334</v>
      </c>
      <c r="O1224" s="15">
        <f>IF(L1224="","",IFERROR(INDEX('Почасовка — ставки и план'!$D$5:$D$24,MATCH($D1224,'Почасовка — ставки и план'!$A$5:$A$24,0)),""))</f>
        <v>850</v>
      </c>
      <c r="P1224" s="15">
        <f>IF(L1224="","",IFERROR(INDEX('Почасовка — ставки и план'!$E$5:$E$24,MATCH($D1224,'Почасовка — ставки и план'!$A$5:$A$24,0)),""))</f>
        <v>1020</v>
      </c>
      <c r="Q1224" s="15">
        <f t="shared" si="95"/>
        <v>510</v>
      </c>
      <c r="R1224" s="13" t="str">
        <f>IF(D1224="TEX","аренда техники — сделка/счёт",IF(OR(Q1224="",H1224="",H1224=0),"—",IF(Q1224&lt;H1224*(1-Параметры!$B$7),"почасовка",IF(Q1224&gt;H1224*(1+Параметры!$B$7),"сделка","любой способ"))))</f>
        <v>любой способ</v>
      </c>
      <c r="S1224">
        <v>0</v>
      </c>
      <c r="T1224">
        <v>0</v>
      </c>
    </row>
    <row r="1225" spans="1:20" x14ac:dyDescent="0.25">
      <c r="A1225" s="13" t="s">
        <v>2492</v>
      </c>
      <c r="B1225" s="13" t="s">
        <v>2493</v>
      </c>
      <c r="C1225" s="13" t="s">
        <v>144</v>
      </c>
      <c r="D1225" s="13" t="s">
        <v>288</v>
      </c>
      <c r="E1225" s="13" t="str">
        <f>IFERROR(INDEX('Почасовка — ставки и план'!$B$5:$B$24,MATCH(D1225,'Почасовка — ставки и план'!$A$5:$A$24,0)),"Аренда техники / механизмы")</f>
        <v>Монтажник вентиляции</v>
      </c>
      <c r="F1225" s="14">
        <v>500</v>
      </c>
      <c r="G1225" s="14">
        <v>600</v>
      </c>
      <c r="H1225" s="15">
        <v>300</v>
      </c>
      <c r="I1225" s="15">
        <f>IF(OR(H1225="",F1225=""),"",MAX(H1225,MIN(ROUND(H1225*(1+Параметры!$B$5),IF(H1225*(1+Параметры!$B$5)&gt;=1000,-1,0)),ROUND(F1225*Параметры!$B$6,IF(F1225*Параметры!$B$6&gt;=1000,-1,0)))))</f>
        <v>345</v>
      </c>
      <c r="J1225" s="15">
        <v>360</v>
      </c>
      <c r="K1225" s="15">
        <f>IF(OR(J1225="",G1225=""),"",MAX(J1225,MIN(ROUND(J1225*(1+Параметры!$B$5),IF(J1225*(1+Параметры!$B$5)&gt;=1000,-1,0)),ROUND(G1225*Параметры!$B$6,IF(G1225*Параметры!$B$6&gt;=1000,-1,0)))))</f>
        <v>414</v>
      </c>
      <c r="L1225" s="16">
        <v>0.3</v>
      </c>
      <c r="M1225" s="17">
        <f t="shared" si="94"/>
        <v>3.3333333333333335</v>
      </c>
      <c r="N1225" s="17">
        <f>IF(OR(L1225="",L1225=0),"",Параметры!$B$3/L1225)</f>
        <v>26.666666666666668</v>
      </c>
      <c r="O1225" s="15">
        <f>IF(L1225="","",IFERROR(INDEX('Почасовка — ставки и план'!$D$5:$D$24,MATCH($D1225,'Почасовка — ставки и план'!$A$5:$A$24,0)),""))</f>
        <v>850</v>
      </c>
      <c r="P1225" s="15">
        <f>IF(L1225="","",IFERROR(INDEX('Почасовка — ставки и план'!$E$5:$E$24,MATCH($D1225,'Почасовка — ставки и план'!$A$5:$A$24,0)),""))</f>
        <v>1020</v>
      </c>
      <c r="Q1225" s="15">
        <f t="shared" si="95"/>
        <v>255</v>
      </c>
      <c r="R1225" s="13" t="str">
        <f>IF(D1225="TEX","аренда техники — сделка/счёт",IF(OR(Q1225="",H1225="",H1225=0),"—",IF(Q1225&lt;H1225*(1-Параметры!$B$7),"почасовка",IF(Q1225&gt;H1225*(1+Параметры!$B$7),"сделка","любой способ"))))</f>
        <v>почасовка</v>
      </c>
      <c r="S1225">
        <v>0</v>
      </c>
      <c r="T1225">
        <v>0</v>
      </c>
    </row>
    <row r="1226" spans="1:20" x14ac:dyDescent="0.25">
      <c r="A1226" s="13" t="s">
        <v>2494</v>
      </c>
      <c r="B1226" s="13" t="s">
        <v>2495</v>
      </c>
      <c r="C1226" s="13" t="s">
        <v>144</v>
      </c>
      <c r="D1226" s="13" t="s">
        <v>288</v>
      </c>
      <c r="E1226" s="13" t="str">
        <f>IFERROR(INDEX('Почасовка — ставки и план'!$B$5:$B$24,MATCH(D1226,'Почасовка — ставки и план'!$A$5:$A$24,0)),"Аренда техники / механизмы")</f>
        <v>Монтажник вентиляции</v>
      </c>
      <c r="F1226" s="14">
        <v>500</v>
      </c>
      <c r="G1226" s="14">
        <v>600</v>
      </c>
      <c r="H1226" s="15">
        <v>300</v>
      </c>
      <c r="I1226" s="15">
        <f>IF(OR(H1226="",F1226=""),"",MAX(H1226,MIN(ROUND(H1226*(1+Параметры!$B$5),IF(H1226*(1+Параметры!$B$5)&gt;=1000,-1,0)),ROUND(F1226*Параметры!$B$6,IF(F1226*Параметры!$B$6&gt;=1000,-1,0)))))</f>
        <v>345</v>
      </c>
      <c r="J1226" s="15">
        <v>360</v>
      </c>
      <c r="K1226" s="15">
        <f>IF(OR(J1226="",G1226=""),"",MAX(J1226,MIN(ROUND(J1226*(1+Параметры!$B$5),IF(J1226*(1+Параметры!$B$5)&gt;=1000,-1,0)),ROUND(G1226*Параметры!$B$6,IF(G1226*Параметры!$B$6&gt;=1000,-1,0)))))</f>
        <v>414</v>
      </c>
      <c r="L1226" s="16">
        <v>0.3</v>
      </c>
      <c r="M1226" s="17">
        <f t="shared" si="94"/>
        <v>3.3333333333333335</v>
      </c>
      <c r="N1226" s="17">
        <f>IF(OR(L1226="",L1226=0),"",Параметры!$B$3/L1226)</f>
        <v>26.666666666666668</v>
      </c>
      <c r="O1226" s="15">
        <f>IF(L1226="","",IFERROR(INDEX('Почасовка — ставки и план'!$D$5:$D$24,MATCH($D1226,'Почасовка — ставки и план'!$A$5:$A$24,0)),""))</f>
        <v>850</v>
      </c>
      <c r="P1226" s="15">
        <f>IF(L1226="","",IFERROR(INDEX('Почасовка — ставки и план'!$E$5:$E$24,MATCH($D1226,'Почасовка — ставки и план'!$A$5:$A$24,0)),""))</f>
        <v>1020</v>
      </c>
      <c r="Q1226" s="15">
        <f t="shared" si="95"/>
        <v>255</v>
      </c>
      <c r="R1226" s="13" t="str">
        <f>IF(D1226="TEX","аренда техники — сделка/счёт",IF(OR(Q1226="",H1226="",H1226=0),"—",IF(Q1226&lt;H1226*(1-Параметры!$B$7),"почасовка",IF(Q1226&gt;H1226*(1+Параметры!$B$7),"сделка","любой способ"))))</f>
        <v>почасовка</v>
      </c>
      <c r="S1226">
        <v>0</v>
      </c>
      <c r="T1226">
        <v>0</v>
      </c>
    </row>
    <row r="1227" spans="1:20" x14ac:dyDescent="0.25">
      <c r="A1227" s="13" t="s">
        <v>2496</v>
      </c>
      <c r="B1227" s="13" t="s">
        <v>2497</v>
      </c>
      <c r="C1227" s="13" t="s">
        <v>72</v>
      </c>
      <c r="D1227" s="13" t="s">
        <v>288</v>
      </c>
      <c r="E1227" s="13" t="str">
        <f>IFERROR(INDEX('Почасовка — ставки и план'!$B$5:$B$24,MATCH(D1227,'Почасовка — ставки и план'!$A$5:$A$24,0)),"Аренда техники / механизмы")</f>
        <v>Монтажник вентиляции</v>
      </c>
      <c r="F1227" s="14">
        <v>2834</v>
      </c>
      <c r="G1227" s="14">
        <v>3400</v>
      </c>
      <c r="H1227" s="15">
        <v>1240</v>
      </c>
      <c r="I1227" s="15">
        <f>IF(OR(H1227="",F1227=""),"",MAX(H1227,MIN(ROUND(H1227*(1+Параметры!$B$5),IF(H1227*(1+Параметры!$B$5)&gt;=1000,-1,0)),ROUND(F1227*Параметры!$B$6,IF(F1227*Параметры!$B$6&gt;=1000,-1,0)))))</f>
        <v>1430</v>
      </c>
      <c r="J1227" s="15">
        <v>1426</v>
      </c>
      <c r="K1227" s="15">
        <f>IF(OR(J1227="",G1227=""),"",MAX(J1227,MIN(ROUND(J1227*(1+Параметры!$B$5),IF(J1227*(1+Параметры!$B$5)&gt;=1000,-1,0)),ROUND(G1227*Параметры!$B$6,IF(G1227*Параметры!$B$6&gt;=1000,-1,0)))))</f>
        <v>1640</v>
      </c>
      <c r="L1227" s="16">
        <v>2.5</v>
      </c>
      <c r="M1227" s="17">
        <f t="shared" si="94"/>
        <v>0.4</v>
      </c>
      <c r="N1227" s="17">
        <f>IF(OR(L1227="",L1227=0),"",Параметры!$B$3/L1227)</f>
        <v>3.2</v>
      </c>
      <c r="O1227" s="15">
        <f>IF(L1227="","",IFERROR(INDEX('Почасовка — ставки и план'!$D$5:$D$24,MATCH($D1227,'Почасовка — ставки и план'!$A$5:$A$24,0)),""))</f>
        <v>850</v>
      </c>
      <c r="P1227" s="15">
        <f>IF(L1227="","",IFERROR(INDEX('Почасовка — ставки и план'!$E$5:$E$24,MATCH($D1227,'Почасовка — ставки и план'!$A$5:$A$24,0)),""))</f>
        <v>1020</v>
      </c>
      <c r="Q1227" s="15">
        <f t="shared" si="95"/>
        <v>2125</v>
      </c>
      <c r="R1227" s="13" t="str">
        <f>IF(D1227="TEX","аренда техники — сделка/счёт",IF(OR(Q1227="",H1227="",H1227=0),"—",IF(Q1227&lt;H1227*(1-Параметры!$B$7),"почасовка",IF(Q1227&gt;H1227*(1+Параметры!$B$7),"сделка","любой способ"))))</f>
        <v>сделка</v>
      </c>
      <c r="S1227">
        <v>0.41699999999999998</v>
      </c>
      <c r="T1227">
        <v>0.47826086956521729</v>
      </c>
    </row>
    <row r="1228" spans="1:20" x14ac:dyDescent="0.25">
      <c r="A1228" s="13" t="s">
        <v>2498</v>
      </c>
      <c r="B1228" s="13" t="s">
        <v>2499</v>
      </c>
      <c r="C1228" s="13" t="s">
        <v>144</v>
      </c>
      <c r="D1228" s="13" t="s">
        <v>273</v>
      </c>
      <c r="E1228" s="13" t="str">
        <f>IFERROR(INDEX('Почасовка — ставки и план'!$B$5:$B$24,MATCH(D1228,'Почасовка — ставки и план'!$A$5:$A$24,0)),"Аренда техники / механизмы")</f>
        <v>Электромонтажник</v>
      </c>
      <c r="F1228" s="14">
        <v>1000</v>
      </c>
      <c r="G1228" s="14">
        <v>1150</v>
      </c>
      <c r="H1228" s="15">
        <v>600</v>
      </c>
      <c r="I1228" s="15">
        <f>IF(OR(H1228="",F1228=""),"",MAX(H1228,MIN(ROUND(H1228*(1+Параметры!$B$5),IF(H1228*(1+Параметры!$B$5)&gt;=1000,-1,0)),ROUND(F1228*Параметры!$B$6,IF(F1228*Параметры!$B$6&gt;=1000,-1,0)))))</f>
        <v>690</v>
      </c>
      <c r="J1228" s="15">
        <v>690</v>
      </c>
      <c r="K1228" s="15">
        <f>IF(OR(J1228="",G1228=""),"",MAX(J1228,MIN(ROUND(J1228*(1+Параметры!$B$5),IF(J1228*(1+Параметры!$B$5)&gt;=1000,-1,0)),ROUND(G1228*Параметры!$B$6,IF(G1228*Параметры!$B$6&gt;=1000,-1,0)))))</f>
        <v>794</v>
      </c>
      <c r="L1228" s="16">
        <v>0.7</v>
      </c>
      <c r="M1228" s="17">
        <f t="shared" si="94"/>
        <v>1.4285714285714286</v>
      </c>
      <c r="N1228" s="17">
        <f>IF(OR(L1228="",L1228=0),"",Параметры!$B$3/L1228)</f>
        <v>11.428571428571429</v>
      </c>
      <c r="O1228" s="15">
        <f>IF(L1228="","",IFERROR(INDEX('Почасовка — ставки и план'!$D$5:$D$24,MATCH($D1228,'Почасовка — ставки и план'!$A$5:$A$24,0)),""))</f>
        <v>850</v>
      </c>
      <c r="P1228" s="15">
        <f>IF(L1228="","",IFERROR(INDEX('Почасовка — ставки и план'!$E$5:$E$24,MATCH($D1228,'Почасовка — ставки и план'!$A$5:$A$24,0)),""))</f>
        <v>1020</v>
      </c>
      <c r="Q1228" s="15">
        <f t="shared" si="95"/>
        <v>595</v>
      </c>
      <c r="R1228" s="13" t="str">
        <f>IF(D1228="TEX","аренда техники — сделка/счёт",IF(OR(Q1228="",H1228="",H1228=0),"—",IF(Q1228&lt;H1228*(1-Параметры!$B$7),"почасовка",IF(Q1228&gt;H1228*(1+Параметры!$B$7),"сделка","любой способ"))))</f>
        <v>любой способ</v>
      </c>
      <c r="S1228">
        <v>0</v>
      </c>
      <c r="T1228">
        <v>0</v>
      </c>
    </row>
    <row r="1229" spans="1:20" x14ac:dyDescent="0.25">
      <c r="A1229" s="13" t="s">
        <v>2500</v>
      </c>
      <c r="B1229" s="13" t="s">
        <v>2501</v>
      </c>
      <c r="C1229" s="13" t="s">
        <v>144</v>
      </c>
      <c r="D1229" s="13" t="s">
        <v>288</v>
      </c>
      <c r="E1229" s="13" t="str">
        <f>IFERROR(INDEX('Почасовка — ставки и план'!$B$5:$B$24,MATCH(D1229,'Почасовка — ставки и план'!$A$5:$A$24,0)),"Аренда техники / механизмы")</f>
        <v>Монтажник вентиляции</v>
      </c>
      <c r="F1229" s="14">
        <v>1800</v>
      </c>
      <c r="G1229" s="14">
        <v>2100</v>
      </c>
      <c r="H1229" s="15">
        <v>1116</v>
      </c>
      <c r="I1229" s="15">
        <f>IF(OR(H1229="",F1229=""),"",MAX(H1229,MIN(ROUND(H1229*(1+Параметры!$B$5),IF(H1229*(1+Параметры!$B$5)&gt;=1000,-1,0)),ROUND(F1229*Параметры!$B$6,IF(F1229*Параметры!$B$6&gt;=1000,-1,0)))))</f>
        <v>1280</v>
      </c>
      <c r="J1229" s="15">
        <v>1302</v>
      </c>
      <c r="K1229" s="15">
        <f>IF(OR(J1229="",G1229=""),"",MAX(J1229,MIN(ROUND(J1229*(1+Параметры!$B$5),IF(J1229*(1+Параметры!$B$5)&gt;=1000,-1,0)),ROUND(G1229*Параметры!$B$6,IF(G1229*Параметры!$B$6&gt;=1000,-1,0)))))</f>
        <v>1500</v>
      </c>
      <c r="L1229" s="16">
        <v>1.2</v>
      </c>
      <c r="M1229" s="17">
        <f t="shared" si="94"/>
        <v>0.83333333333333337</v>
      </c>
      <c r="N1229" s="17">
        <f>IF(OR(L1229="",L1229=0),"",Параметры!$B$3/L1229)</f>
        <v>6.666666666666667</v>
      </c>
      <c r="O1229" s="15">
        <f>IF(L1229="","",IFERROR(INDEX('Почасовка — ставки и план'!$D$5:$D$24,MATCH($D1229,'Почасовка — ставки и план'!$A$5:$A$24,0)),""))</f>
        <v>850</v>
      </c>
      <c r="P1229" s="15">
        <f>IF(L1229="","",IFERROR(INDEX('Почасовка — ставки и план'!$E$5:$E$24,MATCH($D1229,'Почасовка — ставки и план'!$A$5:$A$24,0)),""))</f>
        <v>1020</v>
      </c>
      <c r="Q1229" s="15">
        <f t="shared" si="95"/>
        <v>1020</v>
      </c>
      <c r="R1229" s="13" t="str">
        <f>IF(D1229="TEX","аренда техники — сделка/счёт",IF(OR(Q1229="",H1229="",H1229=0),"—",IF(Q1229&lt;H1229*(1-Параметры!$B$7),"почасовка",IF(Q1229&gt;H1229*(1+Параметры!$B$7),"сделка","любой способ"))))</f>
        <v>любой способ</v>
      </c>
      <c r="S1229">
        <v>0</v>
      </c>
      <c r="T1229">
        <v>0</v>
      </c>
    </row>
    <row r="1230" spans="1:20" x14ac:dyDescent="0.25">
      <c r="A1230" s="13" t="s">
        <v>2502</v>
      </c>
      <c r="B1230" s="13" t="s">
        <v>2503</v>
      </c>
      <c r="C1230" s="13" t="s">
        <v>144</v>
      </c>
      <c r="D1230" s="13" t="s">
        <v>288</v>
      </c>
      <c r="E1230" s="13" t="str">
        <f>IFERROR(INDEX('Почасовка — ставки и план'!$B$5:$B$24,MATCH(D1230,'Почасовка — ставки и план'!$A$5:$A$24,0)),"Аренда техники / механизмы")</f>
        <v>Монтажник вентиляции</v>
      </c>
      <c r="F1230" s="14">
        <v>1000</v>
      </c>
      <c r="G1230" s="14">
        <v>1150</v>
      </c>
      <c r="H1230" s="15">
        <v>620</v>
      </c>
      <c r="I1230" s="15">
        <f>IF(OR(H1230="",F1230=""),"",MAX(H1230,MIN(ROUND(H1230*(1+Параметры!$B$5),IF(H1230*(1+Параметры!$B$5)&gt;=1000,-1,0)),ROUND(F1230*Параметры!$B$6,IF(F1230*Параметры!$B$6&gt;=1000,-1,0)))))</f>
        <v>713</v>
      </c>
      <c r="J1230" s="15">
        <v>713</v>
      </c>
      <c r="K1230" s="15">
        <f>IF(OR(J1230="",G1230=""),"",MAX(J1230,MIN(ROUND(J1230*(1+Параметры!$B$5),IF(J1230*(1+Параметры!$B$5)&gt;=1000,-1,0)),ROUND(G1230*Параметры!$B$6,IF(G1230*Параметры!$B$6&gt;=1000,-1,0)))))</f>
        <v>820</v>
      </c>
      <c r="L1230" s="16">
        <v>0.7</v>
      </c>
      <c r="M1230" s="17">
        <f t="shared" si="94"/>
        <v>1.4285714285714286</v>
      </c>
      <c r="N1230" s="17">
        <f>IF(OR(L1230="",L1230=0),"",Параметры!$B$3/L1230)</f>
        <v>11.428571428571429</v>
      </c>
      <c r="O1230" s="15">
        <f>IF(L1230="","",IFERROR(INDEX('Почасовка — ставки и план'!$D$5:$D$24,MATCH($D1230,'Почасовка — ставки и план'!$A$5:$A$24,0)),""))</f>
        <v>850</v>
      </c>
      <c r="P1230" s="15">
        <f>IF(L1230="","",IFERROR(INDEX('Почасовка — ставки и план'!$E$5:$E$24,MATCH($D1230,'Почасовка — ставки и план'!$A$5:$A$24,0)),""))</f>
        <v>1020</v>
      </c>
      <c r="Q1230" s="15">
        <f t="shared" si="95"/>
        <v>595</v>
      </c>
      <c r="R1230" s="13" t="str">
        <f>IF(D1230="TEX","аренда техники — сделка/счёт",IF(OR(Q1230="",H1230="",H1230=0),"—",IF(Q1230&lt;H1230*(1-Параметры!$B$7),"почасовка",IF(Q1230&gt;H1230*(1+Параметры!$B$7),"сделка","любой способ"))))</f>
        <v>любой способ</v>
      </c>
      <c r="S1230">
        <v>0</v>
      </c>
      <c r="T1230">
        <v>0</v>
      </c>
    </row>
    <row r="1231" spans="1:20" x14ac:dyDescent="0.25">
      <c r="A1231" s="13" t="s">
        <v>2504</v>
      </c>
      <c r="B1231" s="13" t="s">
        <v>2505</v>
      </c>
      <c r="C1231" s="13" t="s">
        <v>72</v>
      </c>
      <c r="D1231" s="13" t="s">
        <v>288</v>
      </c>
      <c r="E1231" s="13" t="str">
        <f>IFERROR(INDEX('Почасовка — ставки и план'!$B$5:$B$24,MATCH(D1231,'Почасовка — ставки и план'!$A$5:$A$24,0)),"Аренда техники / механизмы")</f>
        <v>Монтажник вентиляции</v>
      </c>
      <c r="F1231" s="14">
        <v>2267</v>
      </c>
      <c r="G1231" s="14">
        <v>2720</v>
      </c>
      <c r="H1231" s="15">
        <v>1116</v>
      </c>
      <c r="I1231" s="15">
        <f>IF(OR(H1231="",F1231=""),"",MAX(H1231,MIN(ROUND(H1231*(1+Параметры!$B$5),IF(H1231*(1+Параметры!$B$5)&gt;=1000,-1,0)),ROUND(F1231*Параметры!$B$6,IF(F1231*Параметры!$B$6&gt;=1000,-1,0)))))</f>
        <v>1280</v>
      </c>
      <c r="J1231" s="15">
        <v>1302</v>
      </c>
      <c r="K1231" s="15">
        <f>IF(OR(J1231="",G1231=""),"",MAX(J1231,MIN(ROUND(J1231*(1+Параметры!$B$5),IF(J1231*(1+Параметры!$B$5)&gt;=1000,-1,0)),ROUND(G1231*Параметры!$B$6,IF(G1231*Параметры!$B$6&gt;=1000,-1,0)))))</f>
        <v>1500</v>
      </c>
      <c r="L1231" s="16">
        <v>2</v>
      </c>
      <c r="M1231" s="17">
        <f t="shared" si="94"/>
        <v>0.5</v>
      </c>
      <c r="N1231" s="17">
        <f>IF(OR(L1231="",L1231=0),"",Параметры!$B$3/L1231)</f>
        <v>4</v>
      </c>
      <c r="O1231" s="15">
        <f>IF(L1231="","",IFERROR(INDEX('Почасовка — ставки и план'!$D$5:$D$24,MATCH($D1231,'Почасовка — ставки и план'!$A$5:$A$24,0)),""))</f>
        <v>850</v>
      </c>
      <c r="P1231" s="15">
        <f>IF(L1231="","",IFERROR(INDEX('Почасовка — ставки и план'!$E$5:$E$24,MATCH($D1231,'Почасовка — ставки и план'!$A$5:$A$24,0)),""))</f>
        <v>1020</v>
      </c>
      <c r="Q1231" s="15">
        <f t="shared" si="95"/>
        <v>1700</v>
      </c>
      <c r="R1231" s="13" t="str">
        <f>IF(D1231="TEX","аренда техники — сделка/счёт",IF(OR(Q1231="",H1231="",H1231=0),"—",IF(Q1231&lt;H1231*(1-Параметры!$B$7),"почасовка",IF(Q1231&gt;H1231*(1+Параметры!$B$7),"сделка","любой способ"))))</f>
        <v>сделка</v>
      </c>
      <c r="S1231">
        <v>0.25944444444444442</v>
      </c>
      <c r="T1231">
        <v>0.2952380952380953</v>
      </c>
    </row>
    <row r="1232" spans="1:20" x14ac:dyDescent="0.25">
      <c r="A1232" s="13" t="s">
        <v>2506</v>
      </c>
      <c r="B1232" s="13" t="s">
        <v>2507</v>
      </c>
      <c r="C1232" s="13" t="s">
        <v>144</v>
      </c>
      <c r="D1232" s="13" t="s">
        <v>288</v>
      </c>
      <c r="E1232" s="13" t="str">
        <f>IFERROR(INDEX('Почасовка — ставки и план'!$B$5:$B$24,MATCH(D1232,'Почасовка — ставки и план'!$A$5:$A$24,0)),"Аренда техники / механизмы")</f>
        <v>Монтажник вентиляции</v>
      </c>
      <c r="F1232" s="14">
        <v>4500</v>
      </c>
      <c r="G1232" s="14">
        <v>5200</v>
      </c>
      <c r="H1232" s="15">
        <v>2790</v>
      </c>
      <c r="I1232" s="15">
        <f>IF(OR(H1232="",F1232=""),"",MAX(H1232,MIN(ROUND(H1232*(1+Параметры!$B$5),IF(H1232*(1+Параметры!$B$5)&gt;=1000,-1,0)),ROUND(F1232*Параметры!$B$6,IF(F1232*Параметры!$B$6&gt;=1000,-1,0)))))</f>
        <v>3210</v>
      </c>
      <c r="J1232" s="15">
        <v>3224</v>
      </c>
      <c r="K1232" s="15">
        <f>IF(OR(J1232="",G1232=""),"",MAX(J1232,MIN(ROUND(J1232*(1+Параметры!$B$5),IF(J1232*(1+Параметры!$B$5)&gt;=1000,-1,0)),ROUND(G1232*Параметры!$B$6,IF(G1232*Параметры!$B$6&gt;=1000,-1,0)))))</f>
        <v>3710</v>
      </c>
      <c r="L1232" s="16">
        <v>3</v>
      </c>
      <c r="M1232" s="17">
        <f t="shared" si="94"/>
        <v>0.33333333333333331</v>
      </c>
      <c r="N1232" s="17">
        <f>IF(OR(L1232="",L1232=0),"",Параметры!$B$3/L1232)</f>
        <v>2.6666666666666665</v>
      </c>
      <c r="O1232" s="15">
        <f>IF(L1232="","",IFERROR(INDEX('Почасовка — ставки и план'!$D$5:$D$24,MATCH($D1232,'Почасовка — ставки и план'!$A$5:$A$24,0)),""))</f>
        <v>850</v>
      </c>
      <c r="P1232" s="15">
        <f>IF(L1232="","",IFERROR(INDEX('Почасовка — ставки и план'!$E$5:$E$24,MATCH($D1232,'Почасовка — ставки и план'!$A$5:$A$24,0)),""))</f>
        <v>1020</v>
      </c>
      <c r="Q1232" s="15">
        <f t="shared" si="95"/>
        <v>2550</v>
      </c>
      <c r="R1232" s="13" t="str">
        <f>IF(D1232="TEX","аренда техники — сделка/счёт",IF(OR(Q1232="",H1232="",H1232=0),"—",IF(Q1232&lt;H1232*(1-Параметры!$B$7),"почасовка",IF(Q1232&gt;H1232*(1+Параметры!$B$7),"сделка","любой способ"))))</f>
        <v>любой способ</v>
      </c>
      <c r="S1232">
        <v>0</v>
      </c>
      <c r="T1232">
        <v>0</v>
      </c>
    </row>
    <row r="1233" spans="1:20" x14ac:dyDescent="0.25">
      <c r="A1233" s="13" t="s">
        <v>2508</v>
      </c>
      <c r="B1233" s="13" t="s">
        <v>2509</v>
      </c>
      <c r="C1233" s="13" t="s">
        <v>144</v>
      </c>
      <c r="D1233" s="13" t="s">
        <v>288</v>
      </c>
      <c r="E1233" s="13" t="str">
        <f>IFERROR(INDEX('Почасовка — ставки и план'!$B$5:$B$24,MATCH(D1233,'Почасовка — ставки и план'!$A$5:$A$24,0)),"Аренда техники / механизмы")</f>
        <v>Монтажник вентиляции</v>
      </c>
      <c r="F1233" s="14">
        <v>1500</v>
      </c>
      <c r="G1233" s="14">
        <v>1750</v>
      </c>
      <c r="H1233" s="15">
        <v>930</v>
      </c>
      <c r="I1233" s="15">
        <f>IF(OR(H1233="",F1233=""),"",MAX(H1233,MIN(ROUND(H1233*(1+Параметры!$B$5),IF(H1233*(1+Параметры!$B$5)&gt;=1000,-1,0)),ROUND(F1233*Параметры!$B$6,IF(F1233*Параметры!$B$6&gt;=1000,-1,0)))))</f>
        <v>1070</v>
      </c>
      <c r="J1233" s="15">
        <v>1085</v>
      </c>
      <c r="K1233" s="15">
        <f>IF(OR(J1233="",G1233=""),"",MAX(J1233,MIN(ROUND(J1233*(1+Параметры!$B$5),IF(J1233*(1+Параметры!$B$5)&gt;=1000,-1,0)),ROUND(G1233*Параметры!$B$6,IF(G1233*Параметры!$B$6&gt;=1000,-1,0)))))</f>
        <v>1250</v>
      </c>
      <c r="L1233" s="16">
        <v>1</v>
      </c>
      <c r="M1233" s="17">
        <f t="shared" si="94"/>
        <v>1</v>
      </c>
      <c r="N1233" s="17">
        <f>IF(OR(L1233="",L1233=0),"",Параметры!$B$3/L1233)</f>
        <v>8</v>
      </c>
      <c r="O1233" s="15">
        <f>IF(L1233="","",IFERROR(INDEX('Почасовка — ставки и план'!$D$5:$D$24,MATCH($D1233,'Почасовка — ставки и план'!$A$5:$A$24,0)),""))</f>
        <v>850</v>
      </c>
      <c r="P1233" s="15">
        <f>IF(L1233="","",IFERROR(INDEX('Почасовка — ставки и план'!$E$5:$E$24,MATCH($D1233,'Почасовка — ставки и план'!$A$5:$A$24,0)),""))</f>
        <v>1020</v>
      </c>
      <c r="Q1233" s="15">
        <f t="shared" si="95"/>
        <v>850</v>
      </c>
      <c r="R1233" s="13" t="str">
        <f>IF(D1233="TEX","аренда техники — сделка/счёт",IF(OR(Q1233="",H1233="",H1233=0),"—",IF(Q1233&lt;H1233*(1-Параметры!$B$7),"почасовка",IF(Q1233&gt;H1233*(1+Параметры!$B$7),"сделка","любой способ"))))</f>
        <v>любой способ</v>
      </c>
      <c r="S1233">
        <v>0</v>
      </c>
      <c r="T1233">
        <v>0</v>
      </c>
    </row>
    <row r="1234" spans="1:20" x14ac:dyDescent="0.25">
      <c r="A1234" s="13" t="s">
        <v>2510</v>
      </c>
      <c r="B1234" s="13" t="s">
        <v>2511</v>
      </c>
      <c r="C1234" s="13" t="s">
        <v>144</v>
      </c>
      <c r="D1234" s="13" t="s">
        <v>288</v>
      </c>
      <c r="E1234" s="13" t="str">
        <f>IFERROR(INDEX('Почасовка — ставки и план'!$B$5:$B$24,MATCH(D1234,'Почасовка — ставки и план'!$A$5:$A$24,0)),"Аренда техники / механизмы")</f>
        <v>Монтажник вентиляции</v>
      </c>
      <c r="F1234" s="14">
        <v>1500</v>
      </c>
      <c r="G1234" s="14">
        <v>1750</v>
      </c>
      <c r="H1234" s="15">
        <v>930</v>
      </c>
      <c r="I1234" s="15">
        <f>IF(OR(H1234="",F1234=""),"",MAX(H1234,MIN(ROUND(H1234*(1+Параметры!$B$5),IF(H1234*(1+Параметры!$B$5)&gt;=1000,-1,0)),ROUND(F1234*Параметры!$B$6,IF(F1234*Параметры!$B$6&gt;=1000,-1,0)))))</f>
        <v>1070</v>
      </c>
      <c r="J1234" s="15">
        <v>1085</v>
      </c>
      <c r="K1234" s="15">
        <f>IF(OR(J1234="",G1234=""),"",MAX(J1234,MIN(ROUND(J1234*(1+Параметры!$B$5),IF(J1234*(1+Параметры!$B$5)&gt;=1000,-1,0)),ROUND(G1234*Параметры!$B$6,IF(G1234*Параметры!$B$6&gt;=1000,-1,0)))))</f>
        <v>1250</v>
      </c>
      <c r="L1234" s="16">
        <v>1</v>
      </c>
      <c r="M1234" s="17">
        <f t="shared" si="94"/>
        <v>1</v>
      </c>
      <c r="N1234" s="17">
        <f>IF(OR(L1234="",L1234=0),"",Параметры!$B$3/L1234)</f>
        <v>8</v>
      </c>
      <c r="O1234" s="15">
        <f>IF(L1234="","",IFERROR(INDEX('Почасовка — ставки и план'!$D$5:$D$24,MATCH($D1234,'Почасовка — ставки и план'!$A$5:$A$24,0)),""))</f>
        <v>850</v>
      </c>
      <c r="P1234" s="15">
        <f>IF(L1234="","",IFERROR(INDEX('Почасовка — ставки и план'!$E$5:$E$24,MATCH($D1234,'Почасовка — ставки и план'!$A$5:$A$24,0)),""))</f>
        <v>1020</v>
      </c>
      <c r="Q1234" s="15">
        <f t="shared" si="95"/>
        <v>850</v>
      </c>
      <c r="R1234" s="13" t="str">
        <f>IF(D1234="TEX","аренда техники — сделка/счёт",IF(OR(Q1234="",H1234="",H1234=0),"—",IF(Q1234&lt;H1234*(1-Параметры!$B$7),"почасовка",IF(Q1234&gt;H1234*(1+Параметры!$B$7),"сделка","любой способ"))))</f>
        <v>любой способ</v>
      </c>
      <c r="S1234">
        <v>0</v>
      </c>
      <c r="T1234">
        <v>0</v>
      </c>
    </row>
    <row r="1235" spans="1:20" x14ac:dyDescent="0.25">
      <c r="A1235" s="13" t="s">
        <v>2512</v>
      </c>
      <c r="B1235" s="13" t="s">
        <v>2513</v>
      </c>
      <c r="C1235" s="13" t="s">
        <v>144</v>
      </c>
      <c r="D1235" s="13" t="s">
        <v>273</v>
      </c>
      <c r="E1235" s="13" t="str">
        <f>IFERROR(INDEX('Почасовка — ставки и план'!$B$5:$B$24,MATCH(D1235,'Почасовка — ставки и план'!$A$5:$A$24,0)),"Аренда техники / механизмы")</f>
        <v>Электромонтажник</v>
      </c>
      <c r="F1235" s="14">
        <v>600</v>
      </c>
      <c r="G1235" s="14">
        <v>700</v>
      </c>
      <c r="H1235" s="15">
        <v>360</v>
      </c>
      <c r="I1235" s="15">
        <f>IF(OR(H1235="",F1235=""),"",MAX(H1235,MIN(ROUND(H1235*(1+Параметры!$B$5),IF(H1235*(1+Параметры!$B$5)&gt;=1000,-1,0)),ROUND(F1235*Параметры!$B$6,IF(F1235*Параметры!$B$6&gt;=1000,-1,0)))))</f>
        <v>414</v>
      </c>
      <c r="J1235" s="15">
        <v>420</v>
      </c>
      <c r="K1235" s="15">
        <f>IF(OR(J1235="",G1235=""),"",MAX(J1235,MIN(ROUND(J1235*(1+Параметры!$B$5),IF(J1235*(1+Параметры!$B$5)&gt;=1000,-1,0)),ROUND(G1235*Параметры!$B$6,IF(G1235*Параметры!$B$6&gt;=1000,-1,0)))))</f>
        <v>483</v>
      </c>
      <c r="L1235" s="16">
        <v>0.4</v>
      </c>
      <c r="M1235" s="17">
        <f t="shared" si="94"/>
        <v>2.5</v>
      </c>
      <c r="N1235" s="17">
        <f>IF(OR(L1235="",L1235=0),"",Параметры!$B$3/L1235)</f>
        <v>20</v>
      </c>
      <c r="O1235" s="15">
        <f>IF(L1235="","",IFERROR(INDEX('Почасовка — ставки и план'!$D$5:$D$24,MATCH($D1235,'Почасовка — ставки и план'!$A$5:$A$24,0)),""))</f>
        <v>850</v>
      </c>
      <c r="P1235" s="15">
        <f>IF(L1235="","",IFERROR(INDEX('Почасовка — ставки и план'!$E$5:$E$24,MATCH($D1235,'Почасовка — ставки и план'!$A$5:$A$24,0)),""))</f>
        <v>1020</v>
      </c>
      <c r="Q1235" s="15">
        <f t="shared" si="95"/>
        <v>340</v>
      </c>
      <c r="R1235" s="13" t="str">
        <f>IF(D1235="TEX","аренда техники — сделка/счёт",IF(OR(Q1235="",H1235="",H1235=0),"—",IF(Q1235&lt;H1235*(1-Параметры!$B$7),"почасовка",IF(Q1235&gt;H1235*(1+Параметры!$B$7),"сделка","любой способ"))))</f>
        <v>любой способ</v>
      </c>
      <c r="S1235">
        <v>0</v>
      </c>
      <c r="T1235">
        <v>0</v>
      </c>
    </row>
    <row r="1236" spans="1:20" x14ac:dyDescent="0.25">
      <c r="A1236" s="13" t="s">
        <v>2514</v>
      </c>
      <c r="B1236" s="13" t="s">
        <v>2515</v>
      </c>
      <c r="C1236" s="13" t="s">
        <v>144</v>
      </c>
      <c r="D1236" s="13" t="s">
        <v>273</v>
      </c>
      <c r="E1236" s="13" t="str">
        <f>IFERROR(INDEX('Почасовка — ставки и план'!$B$5:$B$24,MATCH(D1236,'Почасовка — ставки и план'!$A$5:$A$24,0)),"Аренда техники / механизмы")</f>
        <v>Электромонтажник</v>
      </c>
      <c r="F1236" s="14">
        <v>2000</v>
      </c>
      <c r="G1236" s="14">
        <v>2300</v>
      </c>
      <c r="H1236" s="15">
        <v>1200</v>
      </c>
      <c r="I1236" s="15">
        <f>IF(OR(H1236="",F1236=""),"",MAX(H1236,MIN(ROUND(H1236*(1+Параметры!$B$5),IF(H1236*(1+Параметры!$B$5)&gt;=1000,-1,0)),ROUND(F1236*Параметры!$B$6,IF(F1236*Параметры!$B$6&gt;=1000,-1,0)))))</f>
        <v>1380</v>
      </c>
      <c r="J1236" s="15">
        <v>1380</v>
      </c>
      <c r="K1236" s="15">
        <f>IF(OR(J1236="",G1236=""),"",MAX(J1236,MIN(ROUND(J1236*(1+Параметры!$B$5),IF(J1236*(1+Параметры!$B$5)&gt;=1000,-1,0)),ROUND(G1236*Параметры!$B$6,IF(G1236*Параметры!$B$6&gt;=1000,-1,0)))))</f>
        <v>1590</v>
      </c>
      <c r="L1236" s="16">
        <v>1.2</v>
      </c>
      <c r="M1236" s="17">
        <f t="shared" si="94"/>
        <v>0.83333333333333337</v>
      </c>
      <c r="N1236" s="17">
        <f>IF(OR(L1236="",L1236=0),"",Параметры!$B$3/L1236)</f>
        <v>6.666666666666667</v>
      </c>
      <c r="O1236" s="15">
        <f>IF(L1236="","",IFERROR(INDEX('Почасовка — ставки и план'!$D$5:$D$24,MATCH($D1236,'Почасовка — ставки и план'!$A$5:$A$24,0)),""))</f>
        <v>850</v>
      </c>
      <c r="P1236" s="15">
        <f>IF(L1236="","",IFERROR(INDEX('Почасовка — ставки и план'!$E$5:$E$24,MATCH($D1236,'Почасовка — ставки и план'!$A$5:$A$24,0)),""))</f>
        <v>1020</v>
      </c>
      <c r="Q1236" s="15">
        <f t="shared" si="95"/>
        <v>1020</v>
      </c>
      <c r="R1236" s="13" t="str">
        <f>IF(D1236="TEX","аренда техники — сделка/счёт",IF(OR(Q1236="",H1236="",H1236=0),"—",IF(Q1236&lt;H1236*(1-Параметры!$B$7),"почасовка",IF(Q1236&gt;H1236*(1+Параметры!$B$7),"сделка","любой способ"))))</f>
        <v>почасовка</v>
      </c>
      <c r="S1236">
        <v>0</v>
      </c>
      <c r="T1236">
        <v>0</v>
      </c>
    </row>
    <row r="1237" spans="1:20" x14ac:dyDescent="0.25">
      <c r="A1237" s="13" t="s">
        <v>2516</v>
      </c>
      <c r="B1237" s="13" t="s">
        <v>2517</v>
      </c>
      <c r="C1237" s="13" t="s">
        <v>144</v>
      </c>
      <c r="D1237" s="13" t="s">
        <v>299</v>
      </c>
      <c r="E1237" s="13" t="str">
        <f>IFERROR(INDEX('Почасовка — ставки и план'!$B$5:$B$24,MATCH(D1237,'Почасовка — ставки и план'!$A$5:$A$24,0)),"Аренда техники / механизмы")</f>
        <v>Холодильщик / монтажник кондиционеров</v>
      </c>
      <c r="F1237" s="14">
        <v>4800</v>
      </c>
      <c r="G1237" s="14">
        <v>5760</v>
      </c>
      <c r="H1237" s="15">
        <v>2700</v>
      </c>
      <c r="I1237" s="15">
        <f>IF(OR(H1237="",F1237=""),"",MAX(H1237,MIN(ROUND(H1237*(1+Параметры!$B$5),IF(H1237*(1+Параметры!$B$5)&gt;=1000,-1,0)),ROUND(F1237*Параметры!$B$6,IF(F1237*Параметры!$B$6&gt;=1000,-1,0)))))</f>
        <v>3110</v>
      </c>
      <c r="J1237" s="15">
        <v>3120</v>
      </c>
      <c r="K1237" s="15">
        <f>IF(OR(J1237="",G1237=""),"",MAX(J1237,MIN(ROUND(J1237*(1+Параметры!$B$5),IF(J1237*(1+Параметры!$B$5)&gt;=1000,-1,0)),ROUND(G1237*Параметры!$B$6,IF(G1237*Параметры!$B$6&gt;=1000,-1,0)))))</f>
        <v>3590</v>
      </c>
      <c r="L1237" s="16">
        <v>3</v>
      </c>
      <c r="M1237" s="17">
        <f t="shared" si="94"/>
        <v>0.33333333333333331</v>
      </c>
      <c r="N1237" s="17">
        <f>IF(OR(L1237="",L1237=0),"",Параметры!$B$3/L1237)</f>
        <v>2.6666666666666665</v>
      </c>
      <c r="O1237" s="15">
        <f>IF(L1237="","",IFERROR(INDEX('Почасовка — ставки и план'!$D$5:$D$24,MATCH($D1237,'Почасовка — ставки и план'!$A$5:$A$24,0)),""))</f>
        <v>1200</v>
      </c>
      <c r="P1237" s="15">
        <f>IF(L1237="","",IFERROR(INDEX('Почасовка — ставки и план'!$E$5:$E$24,MATCH($D1237,'Почасовка — ставки и план'!$A$5:$A$24,0)),""))</f>
        <v>1440</v>
      </c>
      <c r="Q1237" s="15">
        <f t="shared" si="95"/>
        <v>3600</v>
      </c>
      <c r="R1237" s="13" t="str">
        <f>IF(D1237="TEX","аренда техники — сделка/счёт",IF(OR(Q1237="",H1237="",H1237=0),"—",IF(Q1237&lt;H1237*(1-Параметры!$B$7),"почасовка",IF(Q1237&gt;H1237*(1+Параметры!$B$7),"сделка","любой способ"))))</f>
        <v>сделка</v>
      </c>
      <c r="S1237">
        <v>6.6666666666666652E-2</v>
      </c>
      <c r="T1237">
        <v>0.1076923076923078</v>
      </c>
    </row>
    <row r="1238" spans="1:20" x14ac:dyDescent="0.25">
      <c r="A1238" s="13" t="s">
        <v>2518</v>
      </c>
      <c r="B1238" s="13" t="s">
        <v>2519</v>
      </c>
      <c r="C1238" s="13" t="s">
        <v>144</v>
      </c>
      <c r="D1238" s="13" t="s">
        <v>288</v>
      </c>
      <c r="E1238" s="13" t="str">
        <f>IFERROR(INDEX('Почасовка — ставки и план'!$B$5:$B$24,MATCH(D1238,'Почасовка — ставки и план'!$A$5:$A$24,0)),"Аренда техники / механизмы")</f>
        <v>Монтажник вентиляции</v>
      </c>
      <c r="F1238" s="14">
        <v>15000</v>
      </c>
      <c r="G1238" s="14">
        <v>17500</v>
      </c>
      <c r="H1238" s="15">
        <v>9000</v>
      </c>
      <c r="I1238" s="15">
        <f>IF(OR(H1238="",F1238=""),"",MAX(H1238,MIN(ROUND(H1238*(1+Параметры!$B$5),IF(H1238*(1+Параметры!$B$5)&gt;=1000,-1,0)),ROUND(F1238*Параметры!$B$6,IF(F1238*Параметры!$B$6&gt;=1000,-1,0)))))</f>
        <v>10350</v>
      </c>
      <c r="J1238" s="15">
        <v>10500</v>
      </c>
      <c r="K1238" s="15">
        <f>IF(OR(J1238="",G1238=""),"",MAX(J1238,MIN(ROUND(J1238*(1+Параметры!$B$5),IF(J1238*(1+Параметры!$B$5)&gt;=1000,-1,0)),ROUND(G1238*Параметры!$B$6,IF(G1238*Параметры!$B$6&gt;=1000,-1,0)))))</f>
        <v>12080</v>
      </c>
      <c r="L1238" s="16">
        <v>12</v>
      </c>
      <c r="M1238" s="17">
        <f t="shared" si="94"/>
        <v>8.3333333333333329E-2</v>
      </c>
      <c r="N1238" s="17">
        <f>IF(OR(L1238="",L1238=0),"",Параметры!$B$3/L1238)</f>
        <v>0.66666666666666663</v>
      </c>
      <c r="O1238" s="15">
        <f>IF(L1238="","",IFERROR(INDEX('Почасовка — ставки и план'!$D$5:$D$24,MATCH($D1238,'Почасовка — ставки и план'!$A$5:$A$24,0)),""))</f>
        <v>850</v>
      </c>
      <c r="P1238" s="15">
        <f>IF(L1238="","",IFERROR(INDEX('Почасовка — ставки и план'!$E$5:$E$24,MATCH($D1238,'Почасовка — ставки и план'!$A$5:$A$24,0)),""))</f>
        <v>1020</v>
      </c>
      <c r="Q1238" s="15">
        <f t="shared" si="95"/>
        <v>10200</v>
      </c>
      <c r="R1238" s="13" t="str">
        <f>IF(D1238="TEX","аренда техники — сделка/счёт",IF(OR(Q1238="",H1238="",H1238=0),"—",IF(Q1238&lt;H1238*(1-Параметры!$B$7),"почасовка",IF(Q1238&gt;H1238*(1+Параметры!$B$7),"сделка","любой способ"))))</f>
        <v>сделка</v>
      </c>
      <c r="S1238">
        <v>0</v>
      </c>
      <c r="T1238">
        <v>0</v>
      </c>
    </row>
    <row r="1239" spans="1:20" x14ac:dyDescent="0.25">
      <c r="A1239" s="13" t="s">
        <v>2520</v>
      </c>
      <c r="B1239" s="13" t="s">
        <v>2521</v>
      </c>
      <c r="C1239" s="13" t="s">
        <v>144</v>
      </c>
      <c r="D1239" s="13" t="s">
        <v>288</v>
      </c>
      <c r="E1239" s="13" t="str">
        <f>IFERROR(INDEX('Почасовка — ставки и план'!$B$5:$B$24,MATCH(D1239,'Почасовка — ставки и план'!$A$5:$A$24,0)),"Аренда техники / механизмы")</f>
        <v>Монтажник вентиляции</v>
      </c>
      <c r="F1239" s="14">
        <v>22000</v>
      </c>
      <c r="G1239" s="14">
        <v>25500</v>
      </c>
      <c r="H1239" s="15">
        <v>13200</v>
      </c>
      <c r="I1239" s="15">
        <f>IF(OR(H1239="",F1239=""),"",MAX(H1239,MIN(ROUND(H1239*(1+Параметры!$B$5),IF(H1239*(1+Параметры!$B$5)&gt;=1000,-1,0)),ROUND(F1239*Параметры!$B$6,IF(F1239*Параметры!$B$6&gt;=1000,-1,0)))))</f>
        <v>15180</v>
      </c>
      <c r="J1239" s="15">
        <v>15300</v>
      </c>
      <c r="K1239" s="15">
        <f>IF(OR(J1239="",G1239=""),"",MAX(J1239,MIN(ROUND(J1239*(1+Параметры!$B$5),IF(J1239*(1+Параметры!$B$5)&gt;=1000,-1,0)),ROUND(G1239*Параметры!$B$6,IF(G1239*Параметры!$B$6&gt;=1000,-1,0)))))</f>
        <v>17600</v>
      </c>
      <c r="L1239" s="16">
        <v>18</v>
      </c>
      <c r="M1239" s="17">
        <f t="shared" si="94"/>
        <v>5.5555555555555552E-2</v>
      </c>
      <c r="N1239" s="17">
        <f>IF(OR(L1239="",L1239=0),"",Параметры!$B$3/L1239)</f>
        <v>0.44444444444444442</v>
      </c>
      <c r="O1239" s="15">
        <f>IF(L1239="","",IFERROR(INDEX('Почасовка — ставки и план'!$D$5:$D$24,MATCH($D1239,'Почасовка — ставки и план'!$A$5:$A$24,0)),""))</f>
        <v>850</v>
      </c>
      <c r="P1239" s="15">
        <f>IF(L1239="","",IFERROR(INDEX('Почасовка — ставки и план'!$E$5:$E$24,MATCH($D1239,'Почасовка — ставки и план'!$A$5:$A$24,0)),""))</f>
        <v>1020</v>
      </c>
      <c r="Q1239" s="15">
        <f t="shared" si="95"/>
        <v>15300</v>
      </c>
      <c r="R1239" s="13" t="str">
        <f>IF(D1239="TEX","аренда техники — сделка/счёт",IF(OR(Q1239="",H1239="",H1239=0),"—",IF(Q1239&lt;H1239*(1-Параметры!$B$7),"почасовка",IF(Q1239&gt;H1239*(1+Параметры!$B$7),"сделка","любой способ"))))</f>
        <v>сделка</v>
      </c>
      <c r="S1239">
        <v>0</v>
      </c>
      <c r="T1239">
        <v>0</v>
      </c>
    </row>
    <row r="1240" spans="1:20" x14ac:dyDescent="0.25">
      <c r="A1240" s="13" t="s">
        <v>2522</v>
      </c>
      <c r="B1240" s="13" t="s">
        <v>2523</v>
      </c>
      <c r="C1240" s="13" t="s">
        <v>144</v>
      </c>
      <c r="D1240" s="13" t="s">
        <v>288</v>
      </c>
      <c r="E1240" s="13" t="str">
        <f>IFERROR(INDEX('Почасовка — ставки и план'!$B$5:$B$24,MATCH(D1240,'Почасовка — ставки и план'!$A$5:$A$24,0)),"Аренда техники / механизмы")</f>
        <v>Монтажник вентиляции</v>
      </c>
      <c r="F1240" s="14">
        <v>30000</v>
      </c>
      <c r="G1240" s="14">
        <v>34500</v>
      </c>
      <c r="H1240" s="15">
        <v>18000</v>
      </c>
      <c r="I1240" s="15">
        <f>IF(OR(H1240="",F1240=""),"",MAX(H1240,MIN(ROUND(H1240*(1+Параметры!$B$5),IF(H1240*(1+Параметры!$B$5)&gt;=1000,-1,0)),ROUND(F1240*Параметры!$B$6,IF(F1240*Параметры!$B$6&gt;=1000,-1,0)))))</f>
        <v>20700</v>
      </c>
      <c r="J1240" s="15">
        <v>20700</v>
      </c>
      <c r="K1240" s="15">
        <f>IF(OR(J1240="",G1240=""),"",MAX(J1240,MIN(ROUND(J1240*(1+Параметры!$B$5),IF(J1240*(1+Параметры!$B$5)&gt;=1000,-1,0)),ROUND(G1240*Параметры!$B$6,IF(G1240*Параметры!$B$6&gt;=1000,-1,0)))))</f>
        <v>23810</v>
      </c>
      <c r="L1240" s="16">
        <v>25</v>
      </c>
      <c r="M1240" s="17">
        <f t="shared" si="94"/>
        <v>0.04</v>
      </c>
      <c r="N1240" s="17">
        <f>IF(OR(L1240="",L1240=0),"",Параметры!$B$3/L1240)</f>
        <v>0.32</v>
      </c>
      <c r="O1240" s="15">
        <f>IF(L1240="","",IFERROR(INDEX('Почасовка — ставки и план'!$D$5:$D$24,MATCH($D1240,'Почасовка — ставки и план'!$A$5:$A$24,0)),""))</f>
        <v>850</v>
      </c>
      <c r="P1240" s="15">
        <f>IF(L1240="","",IFERROR(INDEX('Почасовка — ставки и план'!$E$5:$E$24,MATCH($D1240,'Почасовка — ставки и план'!$A$5:$A$24,0)),""))</f>
        <v>1020</v>
      </c>
      <c r="Q1240" s="15">
        <f t="shared" si="95"/>
        <v>21250</v>
      </c>
      <c r="R1240" s="13" t="str">
        <f>IF(D1240="TEX","аренда техники — сделка/счёт",IF(OR(Q1240="",H1240="",H1240=0),"—",IF(Q1240&lt;H1240*(1-Параметры!$B$7),"почасовка",IF(Q1240&gt;H1240*(1+Параметры!$B$7),"сделка","любой способ"))))</f>
        <v>сделка</v>
      </c>
      <c r="S1240">
        <v>0</v>
      </c>
      <c r="T1240">
        <v>0</v>
      </c>
    </row>
    <row r="1241" spans="1:20" x14ac:dyDescent="0.25">
      <c r="A1241" s="13" t="s">
        <v>2524</v>
      </c>
      <c r="B1241" s="13" t="s">
        <v>2525</v>
      </c>
      <c r="C1241" s="13" t="s">
        <v>144</v>
      </c>
      <c r="D1241" s="13" t="s">
        <v>288</v>
      </c>
      <c r="E1241" s="13" t="str">
        <f>IFERROR(INDEX('Почасовка — ставки и план'!$B$5:$B$24,MATCH(D1241,'Почасовка — ставки и план'!$A$5:$A$24,0)),"Аренда техники / механизмы")</f>
        <v>Монтажник вентиляции</v>
      </c>
      <c r="F1241" s="14">
        <v>38000</v>
      </c>
      <c r="G1241" s="14">
        <v>44000</v>
      </c>
      <c r="H1241" s="15">
        <v>22800</v>
      </c>
      <c r="I1241" s="15">
        <f>IF(OR(H1241="",F1241=""),"",MAX(H1241,MIN(ROUND(H1241*(1+Параметры!$B$5),IF(H1241*(1+Параметры!$B$5)&gt;=1000,-1,0)),ROUND(F1241*Параметры!$B$6,IF(F1241*Параметры!$B$6&gt;=1000,-1,0)))))</f>
        <v>26220</v>
      </c>
      <c r="J1241" s="15">
        <v>26400</v>
      </c>
      <c r="K1241" s="15">
        <f>IF(OR(J1241="",G1241=""),"",MAX(J1241,MIN(ROUND(J1241*(1+Параметры!$B$5),IF(J1241*(1+Параметры!$B$5)&gt;=1000,-1,0)),ROUND(G1241*Параметры!$B$6,IF(G1241*Параметры!$B$6&gt;=1000,-1,0)))))</f>
        <v>30360</v>
      </c>
      <c r="L1241" s="16">
        <v>32</v>
      </c>
      <c r="M1241" s="17">
        <f t="shared" si="94"/>
        <v>3.125E-2</v>
      </c>
      <c r="N1241" s="17">
        <f>IF(OR(L1241="",L1241=0),"",Параметры!$B$3/L1241)</f>
        <v>0.25</v>
      </c>
      <c r="O1241" s="15">
        <f>IF(L1241="","",IFERROR(INDEX('Почасовка — ставки и план'!$D$5:$D$24,MATCH($D1241,'Почасовка — ставки и план'!$A$5:$A$24,0)),""))</f>
        <v>850</v>
      </c>
      <c r="P1241" s="15">
        <f>IF(L1241="","",IFERROR(INDEX('Почасовка — ставки и план'!$E$5:$E$24,MATCH($D1241,'Почасовка — ставки и план'!$A$5:$A$24,0)),""))</f>
        <v>1020</v>
      </c>
      <c r="Q1241" s="15">
        <f t="shared" si="95"/>
        <v>27200</v>
      </c>
      <c r="R1241" s="13" t="str">
        <f>IF(D1241="TEX","аренда техники — сделка/счёт",IF(OR(Q1241="",H1241="",H1241=0),"—",IF(Q1241&lt;H1241*(1-Параметры!$B$7),"почасовка",IF(Q1241&gt;H1241*(1+Параметры!$B$7),"сделка","любой способ"))))</f>
        <v>сделка</v>
      </c>
      <c r="S1241">
        <v>0</v>
      </c>
      <c r="T1241">
        <v>0</v>
      </c>
    </row>
    <row r="1242" spans="1:20" x14ac:dyDescent="0.25">
      <c r="A1242" s="13" t="s">
        <v>2526</v>
      </c>
      <c r="B1242" s="13" t="s">
        <v>2527</v>
      </c>
      <c r="C1242" s="13" t="s">
        <v>144</v>
      </c>
      <c r="D1242" s="13" t="s">
        <v>288</v>
      </c>
      <c r="E1242" s="13" t="str">
        <f>IFERROR(INDEX('Почасовка — ставки и план'!$B$5:$B$24,MATCH(D1242,'Почасовка — ставки и план'!$A$5:$A$24,0)),"Аренда техники / механизмы")</f>
        <v>Монтажник вентиляции</v>
      </c>
      <c r="F1242" s="14">
        <v>45000</v>
      </c>
      <c r="G1242" s="14">
        <v>52000</v>
      </c>
      <c r="H1242" s="15">
        <v>27000</v>
      </c>
      <c r="I1242" s="15">
        <f>IF(OR(H1242="",F1242=""),"",MAX(H1242,MIN(ROUND(H1242*(1+Параметры!$B$5),IF(H1242*(1+Параметры!$B$5)&gt;=1000,-1,0)),ROUND(F1242*Параметры!$B$6,IF(F1242*Параметры!$B$6&gt;=1000,-1,0)))))</f>
        <v>31050</v>
      </c>
      <c r="J1242" s="15">
        <v>31200</v>
      </c>
      <c r="K1242" s="15">
        <f>IF(OR(J1242="",G1242=""),"",MAX(J1242,MIN(ROUND(J1242*(1+Параметры!$B$5),IF(J1242*(1+Параметры!$B$5)&gt;=1000,-1,0)),ROUND(G1242*Параметры!$B$6,IF(G1242*Параметры!$B$6&gt;=1000,-1,0)))))</f>
        <v>35880</v>
      </c>
      <c r="L1242" s="16">
        <v>38</v>
      </c>
      <c r="M1242" s="17">
        <f t="shared" si="94"/>
        <v>2.6315789473684209E-2</v>
      </c>
      <c r="N1242" s="17">
        <f>IF(OR(L1242="",L1242=0),"",Параметры!$B$3/L1242)</f>
        <v>0.21052631578947367</v>
      </c>
      <c r="O1242" s="15">
        <f>IF(L1242="","",IFERROR(INDEX('Почасовка — ставки и план'!$D$5:$D$24,MATCH($D1242,'Почасовка — ставки и план'!$A$5:$A$24,0)),""))</f>
        <v>850</v>
      </c>
      <c r="P1242" s="15">
        <f>IF(L1242="","",IFERROR(INDEX('Почасовка — ставки и план'!$E$5:$E$24,MATCH($D1242,'Почасовка — ставки и план'!$A$5:$A$24,0)),""))</f>
        <v>1020</v>
      </c>
      <c r="Q1242" s="15">
        <f t="shared" si="95"/>
        <v>32300</v>
      </c>
      <c r="R1242" s="13" t="str">
        <f>IF(D1242="TEX","аренда техники — сделка/счёт",IF(OR(Q1242="",H1242="",H1242=0),"—",IF(Q1242&lt;H1242*(1-Параметры!$B$7),"почасовка",IF(Q1242&gt;H1242*(1+Параметры!$B$7),"сделка","любой способ"))))</f>
        <v>сделка</v>
      </c>
      <c r="S1242">
        <v>0</v>
      </c>
      <c r="T1242">
        <v>0</v>
      </c>
    </row>
    <row r="1243" spans="1:20" x14ac:dyDescent="0.25">
      <c r="A1243" s="13" t="s">
        <v>2528</v>
      </c>
      <c r="B1243" s="13" t="s">
        <v>2529</v>
      </c>
      <c r="C1243" s="13" t="s">
        <v>144</v>
      </c>
      <c r="D1243" s="13" t="s">
        <v>273</v>
      </c>
      <c r="E1243" s="13" t="str">
        <f>IFERROR(INDEX('Почасовка — ставки и план'!$B$5:$B$24,MATCH(D1243,'Почасовка — ставки и план'!$A$5:$A$24,0)),"Аренда техники / механизмы")</f>
        <v>Электромонтажник</v>
      </c>
      <c r="F1243" s="14">
        <v>900</v>
      </c>
      <c r="G1243" s="14">
        <v>1050</v>
      </c>
      <c r="H1243" s="15">
        <v>540</v>
      </c>
      <c r="I1243" s="15">
        <f>IF(OR(H1243="",F1243=""),"",MAX(H1243,MIN(ROUND(H1243*(1+Параметры!$B$5),IF(H1243*(1+Параметры!$B$5)&gt;=1000,-1,0)),ROUND(F1243*Параметры!$B$6,IF(F1243*Параметры!$B$6&gt;=1000,-1,0)))))</f>
        <v>621</v>
      </c>
      <c r="J1243" s="15">
        <v>630</v>
      </c>
      <c r="K1243" s="15">
        <f>IF(OR(J1243="",G1243=""),"",MAX(J1243,MIN(ROUND(J1243*(1+Параметры!$B$5),IF(J1243*(1+Параметры!$B$5)&gt;=1000,-1,0)),ROUND(G1243*Параметры!$B$6,IF(G1243*Параметры!$B$6&gt;=1000,-1,0)))))</f>
        <v>725</v>
      </c>
      <c r="L1243" s="16">
        <v>0.5</v>
      </c>
      <c r="M1243" s="17">
        <f t="shared" si="94"/>
        <v>2</v>
      </c>
      <c r="N1243" s="17">
        <f>IF(OR(L1243="",L1243=0),"",Параметры!$B$3/L1243)</f>
        <v>16</v>
      </c>
      <c r="O1243" s="15">
        <f>IF(L1243="","",IFERROR(INDEX('Почасовка — ставки и план'!$D$5:$D$24,MATCH($D1243,'Почасовка — ставки и план'!$A$5:$A$24,0)),""))</f>
        <v>850</v>
      </c>
      <c r="P1243" s="15">
        <f>IF(L1243="","",IFERROR(INDEX('Почасовка — ставки и план'!$E$5:$E$24,MATCH($D1243,'Почасовка — ставки и план'!$A$5:$A$24,0)),""))</f>
        <v>1020</v>
      </c>
      <c r="Q1243" s="15">
        <f t="shared" si="95"/>
        <v>425</v>
      </c>
      <c r="R1243" s="13" t="str">
        <f>IF(D1243="TEX","аренда техники — сделка/счёт",IF(OR(Q1243="",H1243="",H1243=0),"—",IF(Q1243&lt;H1243*(1-Параметры!$B$7),"почасовка",IF(Q1243&gt;H1243*(1+Параметры!$B$7),"сделка","любой способ"))))</f>
        <v>почасовка</v>
      </c>
      <c r="S1243">
        <v>0</v>
      </c>
      <c r="T1243">
        <v>0</v>
      </c>
    </row>
    <row r="1244" spans="1:20" x14ac:dyDescent="0.25">
      <c r="A1244" s="13" t="s">
        <v>2530</v>
      </c>
      <c r="B1244" s="13" t="s">
        <v>2531</v>
      </c>
      <c r="C1244" s="13" t="s">
        <v>144</v>
      </c>
      <c r="D1244" s="13" t="s">
        <v>299</v>
      </c>
      <c r="E1244" s="13" t="str">
        <f>IFERROR(INDEX('Почасовка — ставки и план'!$B$5:$B$24,MATCH(D1244,'Почасовка — ставки и план'!$A$5:$A$24,0)),"Аренда техники / механизмы")</f>
        <v>Холодильщик / монтажник кондиционеров</v>
      </c>
      <c r="F1244" s="14">
        <v>3000</v>
      </c>
      <c r="G1244" s="14">
        <v>3500</v>
      </c>
      <c r="H1244" s="15">
        <v>1860</v>
      </c>
      <c r="I1244" s="15">
        <f>IF(OR(H1244="",F1244=""),"",MAX(H1244,MIN(ROUND(H1244*(1+Параметры!$B$5),IF(H1244*(1+Параметры!$B$5)&gt;=1000,-1,0)),ROUND(F1244*Параметры!$B$6,IF(F1244*Параметры!$B$6&gt;=1000,-1,0)))))</f>
        <v>2140</v>
      </c>
      <c r="J1244" s="15">
        <v>2170</v>
      </c>
      <c r="K1244" s="15">
        <f>IF(OR(J1244="",G1244=""),"",MAX(J1244,MIN(ROUND(J1244*(1+Параметры!$B$5),IF(J1244*(1+Параметры!$B$5)&gt;=1000,-1,0)),ROUND(G1244*Параметры!$B$6,IF(G1244*Параметры!$B$6&gt;=1000,-1,0)))))</f>
        <v>2500</v>
      </c>
      <c r="L1244" s="16">
        <v>1.2</v>
      </c>
      <c r="M1244" s="17">
        <f t="shared" si="94"/>
        <v>0.83333333333333337</v>
      </c>
      <c r="N1244" s="17">
        <f>IF(OR(L1244="",L1244=0),"",Параметры!$B$3/L1244)</f>
        <v>6.666666666666667</v>
      </c>
      <c r="O1244" s="15">
        <f>IF(L1244="","",IFERROR(INDEX('Почасовка — ставки и план'!$D$5:$D$24,MATCH($D1244,'Почасовка — ставки и план'!$A$5:$A$24,0)),""))</f>
        <v>1200</v>
      </c>
      <c r="P1244" s="15">
        <f>IF(L1244="","",IFERROR(INDEX('Почасовка — ставки и план'!$E$5:$E$24,MATCH($D1244,'Почасовка — ставки и план'!$A$5:$A$24,0)),""))</f>
        <v>1440</v>
      </c>
      <c r="Q1244" s="15">
        <f t="shared" si="95"/>
        <v>1440</v>
      </c>
      <c r="R1244" s="13" t="str">
        <f>IF(D1244="TEX","аренда техники — сделка/счёт",IF(OR(Q1244="",H1244="",H1244=0),"—",IF(Q1244&lt;H1244*(1-Параметры!$B$7),"почасовка",IF(Q1244&gt;H1244*(1+Параметры!$B$7),"сделка","любой способ"))))</f>
        <v>почасовка</v>
      </c>
      <c r="S1244">
        <v>0</v>
      </c>
      <c r="T1244">
        <v>0</v>
      </c>
    </row>
    <row r="1245" spans="1:20" x14ac:dyDescent="0.25">
      <c r="A1245" s="13" t="s">
        <v>2532</v>
      </c>
      <c r="B1245" s="13" t="s">
        <v>2533</v>
      </c>
      <c r="C1245" s="13" t="s">
        <v>144</v>
      </c>
      <c r="D1245" s="13" t="s">
        <v>299</v>
      </c>
      <c r="E1245" s="13" t="str">
        <f>IFERROR(INDEX('Почасовка — ставки и план'!$B$5:$B$24,MATCH(D1245,'Почасовка — ставки и план'!$A$5:$A$24,0)),"Аренда техники / механизмы")</f>
        <v>Холодильщик / монтажник кондиционеров</v>
      </c>
      <c r="F1245" s="14">
        <v>2500</v>
      </c>
      <c r="G1245" s="14">
        <v>2900</v>
      </c>
      <c r="H1245" s="15">
        <v>1550</v>
      </c>
      <c r="I1245" s="15">
        <f>IF(OR(H1245="",F1245=""),"",MAX(H1245,MIN(ROUND(H1245*(1+Параметры!$B$5),IF(H1245*(1+Параметры!$B$5)&gt;=1000,-1,0)),ROUND(F1245*Параметры!$B$6,IF(F1245*Параметры!$B$6&gt;=1000,-1,0)))))</f>
        <v>1780</v>
      </c>
      <c r="J1245" s="15">
        <v>1798</v>
      </c>
      <c r="K1245" s="15">
        <f>IF(OR(J1245="",G1245=""),"",MAX(J1245,MIN(ROUND(J1245*(1+Параметры!$B$5),IF(J1245*(1+Параметры!$B$5)&gt;=1000,-1,0)),ROUND(G1245*Параметры!$B$6,IF(G1245*Параметры!$B$6&gt;=1000,-1,0)))))</f>
        <v>2070</v>
      </c>
      <c r="L1245" s="16">
        <v>1</v>
      </c>
      <c r="M1245" s="17">
        <f t="shared" si="94"/>
        <v>1</v>
      </c>
      <c r="N1245" s="17">
        <f>IF(OR(L1245="",L1245=0),"",Параметры!$B$3/L1245)</f>
        <v>8</v>
      </c>
      <c r="O1245" s="15">
        <f>IF(L1245="","",IFERROR(INDEX('Почасовка — ставки и план'!$D$5:$D$24,MATCH($D1245,'Почасовка — ставки и план'!$A$5:$A$24,0)),""))</f>
        <v>1200</v>
      </c>
      <c r="P1245" s="15">
        <f>IF(L1245="","",IFERROR(INDEX('Почасовка — ставки и план'!$E$5:$E$24,MATCH($D1245,'Почасовка — ставки и план'!$A$5:$A$24,0)),""))</f>
        <v>1440</v>
      </c>
      <c r="Q1245" s="15">
        <f t="shared" si="95"/>
        <v>1200</v>
      </c>
      <c r="R1245" s="13" t="str">
        <f>IF(D1245="TEX","аренда техники — сделка/счёт",IF(OR(Q1245="",H1245="",H1245=0),"—",IF(Q1245&lt;H1245*(1-Параметры!$B$7),"почасовка",IF(Q1245&gt;H1245*(1+Параметры!$B$7),"сделка","любой способ"))))</f>
        <v>почасовка</v>
      </c>
      <c r="S1245">
        <v>0</v>
      </c>
      <c r="T1245">
        <v>0</v>
      </c>
    </row>
    <row r="1246" spans="1:20" x14ac:dyDescent="0.25">
      <c r="A1246" s="13" t="s">
        <v>2534</v>
      </c>
      <c r="B1246" s="13" t="s">
        <v>2535</v>
      </c>
      <c r="C1246" s="13" t="s">
        <v>144</v>
      </c>
      <c r="D1246" s="13" t="s">
        <v>288</v>
      </c>
      <c r="E1246" s="13" t="str">
        <f>IFERROR(INDEX('Почасовка — ставки и план'!$B$5:$B$24,MATCH(D1246,'Почасовка — ставки и план'!$A$5:$A$24,0)),"Аренда техники / механизмы")</f>
        <v>Монтажник вентиляции</v>
      </c>
      <c r="F1246" s="14">
        <v>1500</v>
      </c>
      <c r="G1246" s="14">
        <v>1700</v>
      </c>
      <c r="H1246" s="15">
        <v>900</v>
      </c>
      <c r="I1246" s="15">
        <f>IF(OR(H1246="",F1246=""),"",MAX(H1246,MIN(ROUND(H1246*(1+Параметры!$B$5),IF(H1246*(1+Параметры!$B$5)&gt;=1000,-1,0)),ROUND(F1246*Параметры!$B$6,IF(F1246*Параметры!$B$6&gt;=1000,-1,0)))))</f>
        <v>1040</v>
      </c>
      <c r="J1246" s="15">
        <v>1020</v>
      </c>
      <c r="K1246" s="15">
        <f>IF(OR(J1246="",G1246=""),"",MAX(J1246,MIN(ROUND(J1246*(1+Параметры!$B$5),IF(J1246*(1+Параметры!$B$5)&gt;=1000,-1,0)),ROUND(G1246*Параметры!$B$6,IF(G1246*Параметры!$B$6&gt;=1000,-1,0)))))</f>
        <v>1170</v>
      </c>
      <c r="L1246" s="16">
        <v>0.8</v>
      </c>
      <c r="M1246" s="17">
        <f t="shared" si="94"/>
        <v>1.25</v>
      </c>
      <c r="N1246" s="17">
        <f>IF(OR(L1246="",L1246=0),"",Параметры!$B$3/L1246)</f>
        <v>10</v>
      </c>
      <c r="O1246" s="15">
        <f>IF(L1246="","",IFERROR(INDEX('Почасовка — ставки и план'!$D$5:$D$24,MATCH($D1246,'Почасовка — ставки и план'!$A$5:$A$24,0)),""))</f>
        <v>850</v>
      </c>
      <c r="P1246" s="15">
        <f>IF(L1246="","",IFERROR(INDEX('Почасовка — ставки и план'!$E$5:$E$24,MATCH($D1246,'Почасовка — ставки и план'!$A$5:$A$24,0)),""))</f>
        <v>1020</v>
      </c>
      <c r="Q1246" s="15">
        <f t="shared" si="95"/>
        <v>680</v>
      </c>
      <c r="R1246" s="13" t="str">
        <f>IF(D1246="TEX","аренда техники — сделка/счёт",IF(OR(Q1246="",H1246="",H1246=0),"—",IF(Q1246&lt;H1246*(1-Параметры!$B$7),"почасовка",IF(Q1246&gt;H1246*(1+Параметры!$B$7),"сделка","любой способ"))))</f>
        <v>почасовка</v>
      </c>
      <c r="S1246">
        <v>0</v>
      </c>
      <c r="T1246">
        <v>0</v>
      </c>
    </row>
    <row r="1247" spans="1:20" x14ac:dyDescent="0.25">
      <c r="A1247" s="13" t="s">
        <v>2536</v>
      </c>
      <c r="B1247" s="13" t="s">
        <v>2537</v>
      </c>
      <c r="C1247" s="13" t="s">
        <v>144</v>
      </c>
      <c r="D1247" s="13" t="s">
        <v>273</v>
      </c>
      <c r="E1247" s="13" t="str">
        <f>IFERROR(INDEX('Почасовка — ставки и план'!$B$5:$B$24,MATCH(D1247,'Почасовка — ставки и план'!$A$5:$A$24,0)),"Аренда техники / механизмы")</f>
        <v>Электромонтажник</v>
      </c>
      <c r="F1247" s="14">
        <v>2000</v>
      </c>
      <c r="G1247" s="14">
        <v>2300</v>
      </c>
      <c r="H1247" s="15">
        <v>1200</v>
      </c>
      <c r="I1247" s="15">
        <f>IF(OR(H1247="",F1247=""),"",MAX(H1247,MIN(ROUND(H1247*(1+Параметры!$B$5),IF(H1247*(1+Параметры!$B$5)&gt;=1000,-1,0)),ROUND(F1247*Параметры!$B$6,IF(F1247*Параметры!$B$6&gt;=1000,-1,0)))))</f>
        <v>1380</v>
      </c>
      <c r="J1247" s="15">
        <v>1380</v>
      </c>
      <c r="K1247" s="15">
        <f>IF(OR(J1247="",G1247=""),"",MAX(J1247,MIN(ROUND(J1247*(1+Параметры!$B$5),IF(J1247*(1+Параметры!$B$5)&gt;=1000,-1,0)),ROUND(G1247*Параметры!$B$6,IF(G1247*Параметры!$B$6&gt;=1000,-1,0)))))</f>
        <v>1590</v>
      </c>
      <c r="L1247" s="16">
        <v>1</v>
      </c>
      <c r="M1247" s="17">
        <f t="shared" si="94"/>
        <v>1</v>
      </c>
      <c r="N1247" s="17">
        <f>IF(OR(L1247="",L1247=0),"",Параметры!$B$3/L1247)</f>
        <v>8</v>
      </c>
      <c r="O1247" s="15">
        <f>IF(L1247="","",IFERROR(INDEX('Почасовка — ставки и план'!$D$5:$D$24,MATCH($D1247,'Почасовка — ставки и план'!$A$5:$A$24,0)),""))</f>
        <v>850</v>
      </c>
      <c r="P1247" s="15">
        <f>IF(L1247="","",IFERROR(INDEX('Почасовка — ставки и план'!$E$5:$E$24,MATCH($D1247,'Почасовка — ставки и план'!$A$5:$A$24,0)),""))</f>
        <v>1020</v>
      </c>
      <c r="Q1247" s="15">
        <f t="shared" si="95"/>
        <v>850</v>
      </c>
      <c r="R1247" s="13" t="str">
        <f>IF(D1247="TEX","аренда техники — сделка/счёт",IF(OR(Q1247="",H1247="",H1247=0),"—",IF(Q1247&lt;H1247*(1-Параметры!$B$7),"почасовка",IF(Q1247&gt;H1247*(1+Параметры!$B$7),"сделка","любой способ"))))</f>
        <v>почасовка</v>
      </c>
      <c r="S1247">
        <v>0</v>
      </c>
      <c r="T1247">
        <v>0</v>
      </c>
    </row>
    <row r="1248" spans="1:20" x14ac:dyDescent="0.25">
      <c r="A1248" s="13" t="s">
        <v>2538</v>
      </c>
      <c r="B1248" s="13" t="s">
        <v>2539</v>
      </c>
      <c r="C1248" s="13" t="s">
        <v>144</v>
      </c>
      <c r="D1248" s="13" t="s">
        <v>273</v>
      </c>
      <c r="E1248" s="13" t="str">
        <f>IFERROR(INDEX('Почасовка — ставки и план'!$B$5:$B$24,MATCH(D1248,'Почасовка — ставки и план'!$A$5:$A$24,0)),"Аренда техники / механизмы")</f>
        <v>Электромонтажник</v>
      </c>
      <c r="F1248" s="14">
        <v>2000</v>
      </c>
      <c r="G1248" s="14">
        <v>2300</v>
      </c>
      <c r="H1248" s="15">
        <v>1200</v>
      </c>
      <c r="I1248" s="15">
        <f>IF(OR(H1248="",F1248=""),"",MAX(H1248,MIN(ROUND(H1248*(1+Параметры!$B$5),IF(H1248*(1+Параметры!$B$5)&gt;=1000,-1,0)),ROUND(F1248*Параметры!$B$6,IF(F1248*Параметры!$B$6&gt;=1000,-1,0)))))</f>
        <v>1380</v>
      </c>
      <c r="J1248" s="15">
        <v>1380</v>
      </c>
      <c r="K1248" s="15">
        <f>IF(OR(J1248="",G1248=""),"",MAX(J1248,MIN(ROUND(J1248*(1+Параметры!$B$5),IF(J1248*(1+Параметры!$B$5)&gt;=1000,-1,0)),ROUND(G1248*Параметры!$B$6,IF(G1248*Параметры!$B$6&gt;=1000,-1,0)))))</f>
        <v>1590</v>
      </c>
      <c r="L1248" s="16">
        <v>1.2</v>
      </c>
      <c r="M1248" s="17">
        <f t="shared" si="94"/>
        <v>0.83333333333333337</v>
      </c>
      <c r="N1248" s="17">
        <f>IF(OR(L1248="",L1248=0),"",Параметры!$B$3/L1248)</f>
        <v>6.666666666666667</v>
      </c>
      <c r="O1248" s="15">
        <f>IF(L1248="","",IFERROR(INDEX('Почасовка — ставки и план'!$D$5:$D$24,MATCH($D1248,'Почасовка — ставки и план'!$A$5:$A$24,0)),""))</f>
        <v>850</v>
      </c>
      <c r="P1248" s="15">
        <f>IF(L1248="","",IFERROR(INDEX('Почасовка — ставки и план'!$E$5:$E$24,MATCH($D1248,'Почасовка — ставки и план'!$A$5:$A$24,0)),""))</f>
        <v>1020</v>
      </c>
      <c r="Q1248" s="15">
        <f t="shared" si="95"/>
        <v>1020</v>
      </c>
      <c r="R1248" s="13" t="str">
        <f>IF(D1248="TEX","аренда техники — сделка/счёт",IF(OR(Q1248="",H1248="",H1248=0),"—",IF(Q1248&lt;H1248*(1-Параметры!$B$7),"почасовка",IF(Q1248&gt;H1248*(1+Параметры!$B$7),"сделка","любой способ"))))</f>
        <v>почасовка</v>
      </c>
      <c r="S1248">
        <v>0</v>
      </c>
      <c r="T1248">
        <v>0</v>
      </c>
    </row>
    <row r="1249" spans="1:20" x14ac:dyDescent="0.25">
      <c r="A1249" s="13" t="s">
        <v>2540</v>
      </c>
      <c r="B1249" s="13" t="s">
        <v>2541</v>
      </c>
      <c r="C1249" s="13" t="s">
        <v>144</v>
      </c>
      <c r="D1249" s="13" t="s">
        <v>288</v>
      </c>
      <c r="E1249" s="13" t="str">
        <f>IFERROR(INDEX('Почасовка — ставки и план'!$B$5:$B$24,MATCH(D1249,'Почасовка — ставки и план'!$A$5:$A$24,0)),"Аренда техники / механизмы")</f>
        <v>Монтажник вентиляции</v>
      </c>
      <c r="F1249" s="14">
        <v>12000</v>
      </c>
      <c r="G1249" s="14">
        <v>14000</v>
      </c>
      <c r="H1249" s="15">
        <v>7200</v>
      </c>
      <c r="I1249" s="15">
        <f>IF(OR(H1249="",F1249=""),"",MAX(H1249,MIN(ROUND(H1249*(1+Параметры!$B$5),IF(H1249*(1+Параметры!$B$5)&gt;=1000,-1,0)),ROUND(F1249*Параметры!$B$6,IF(F1249*Параметры!$B$6&gt;=1000,-1,0)))))</f>
        <v>8280</v>
      </c>
      <c r="J1249" s="15">
        <v>8400</v>
      </c>
      <c r="K1249" s="15">
        <f>IF(OR(J1249="",G1249=""),"",MAX(J1249,MIN(ROUND(J1249*(1+Параметры!$B$5),IF(J1249*(1+Параметры!$B$5)&gt;=1000,-1,0)),ROUND(G1249*Параметры!$B$6,IF(G1249*Параметры!$B$6&gt;=1000,-1,0)))))</f>
        <v>9660</v>
      </c>
      <c r="L1249" s="16">
        <v>9</v>
      </c>
      <c r="M1249" s="17">
        <f t="shared" si="94"/>
        <v>0.1111111111111111</v>
      </c>
      <c r="N1249" s="17">
        <f>IF(OR(L1249="",L1249=0),"",Параметры!$B$3/L1249)</f>
        <v>0.88888888888888884</v>
      </c>
      <c r="O1249" s="15">
        <f>IF(L1249="","",IFERROR(INDEX('Почасовка — ставки и план'!$D$5:$D$24,MATCH($D1249,'Почасовка — ставки и план'!$A$5:$A$24,0)),""))</f>
        <v>850</v>
      </c>
      <c r="P1249" s="15">
        <f>IF(L1249="","",IFERROR(INDEX('Почасовка — ставки и план'!$E$5:$E$24,MATCH($D1249,'Почасовка — ставки и план'!$A$5:$A$24,0)),""))</f>
        <v>1020</v>
      </c>
      <c r="Q1249" s="15">
        <f t="shared" si="95"/>
        <v>7650</v>
      </c>
      <c r="R1249" s="13" t="str">
        <f>IF(D1249="TEX","аренда техники — сделка/счёт",IF(OR(Q1249="",H1249="",H1249=0),"—",IF(Q1249&lt;H1249*(1-Параметры!$B$7),"почасовка",IF(Q1249&gt;H1249*(1+Параметры!$B$7),"сделка","любой способ"))))</f>
        <v>любой способ</v>
      </c>
      <c r="S1249">
        <v>0</v>
      </c>
      <c r="T1249">
        <v>0</v>
      </c>
    </row>
    <row r="1250" spans="1:20" x14ac:dyDescent="0.25">
      <c r="A1250" s="13" t="s">
        <v>2542</v>
      </c>
      <c r="B1250" s="13" t="s">
        <v>2543</v>
      </c>
      <c r="C1250" s="13" t="s">
        <v>144</v>
      </c>
      <c r="D1250" s="13" t="s">
        <v>288</v>
      </c>
      <c r="E1250" s="13" t="str">
        <f>IFERROR(INDEX('Почасовка — ставки и план'!$B$5:$B$24,MATCH(D1250,'Почасовка — ставки и план'!$A$5:$A$24,0)),"Аренда техники / механизмы")</f>
        <v>Монтажник вентиляции</v>
      </c>
      <c r="F1250" s="14">
        <v>1200</v>
      </c>
      <c r="G1250" s="14">
        <v>1400</v>
      </c>
      <c r="H1250" s="15">
        <v>744</v>
      </c>
      <c r="I1250" s="15">
        <f>IF(OR(H1250="",F1250=""),"",MAX(H1250,MIN(ROUND(H1250*(1+Параметры!$B$5),IF(H1250*(1+Параметры!$B$5)&gt;=1000,-1,0)),ROUND(F1250*Параметры!$B$6,IF(F1250*Параметры!$B$6&gt;=1000,-1,0)))))</f>
        <v>856</v>
      </c>
      <c r="J1250" s="15">
        <v>868</v>
      </c>
      <c r="K1250" s="15">
        <f>IF(OR(J1250="",G1250=""),"",MAX(J1250,MIN(ROUND(J1250*(1+Параметры!$B$5),IF(J1250*(1+Параметры!$B$5)&gt;=1000,-1,0)),ROUND(G1250*Параметры!$B$6,IF(G1250*Параметры!$B$6&gt;=1000,-1,0)))))</f>
        <v>998</v>
      </c>
      <c r="L1250" s="16">
        <v>0.8</v>
      </c>
      <c r="M1250" s="17">
        <f t="shared" ref="M1250:M1313" si="96">IF(OR(L1250="",L1250=0),"",1/L1250)</f>
        <v>1.25</v>
      </c>
      <c r="N1250" s="17">
        <f>IF(OR(L1250="",L1250=0),"",Параметры!$B$3/L1250)</f>
        <v>10</v>
      </c>
      <c r="O1250" s="15">
        <f>IF(L1250="","",IFERROR(INDEX('Почасовка — ставки и план'!$D$5:$D$24,MATCH($D1250,'Почасовка — ставки и план'!$A$5:$A$24,0)),""))</f>
        <v>850</v>
      </c>
      <c r="P1250" s="15">
        <f>IF(L1250="","",IFERROR(INDEX('Почасовка — ставки и план'!$E$5:$E$24,MATCH($D1250,'Почасовка — ставки и план'!$A$5:$A$24,0)),""))</f>
        <v>1020</v>
      </c>
      <c r="Q1250" s="15">
        <f t="shared" ref="Q1250:Q1313" si="97">IF(OR(L1250="",O1250=""),"",ROUND(L1250*O1250,0))</f>
        <v>680</v>
      </c>
      <c r="R1250" s="13" t="str">
        <f>IF(D1250="TEX","аренда техники — сделка/счёт",IF(OR(Q1250="",H1250="",H1250=0),"—",IF(Q1250&lt;H1250*(1-Параметры!$B$7),"почасовка",IF(Q1250&gt;H1250*(1+Параметры!$B$7),"сделка","любой способ"))))</f>
        <v>любой способ</v>
      </c>
      <c r="S1250">
        <v>0</v>
      </c>
      <c r="T1250">
        <v>0</v>
      </c>
    </row>
    <row r="1251" spans="1:20" x14ac:dyDescent="0.25">
      <c r="A1251" s="13" t="s">
        <v>2544</v>
      </c>
      <c r="B1251" s="13" t="s">
        <v>2545</v>
      </c>
      <c r="C1251" s="13" t="s">
        <v>144</v>
      </c>
      <c r="D1251" s="13" t="s">
        <v>288</v>
      </c>
      <c r="E1251" s="13" t="str">
        <f>IFERROR(INDEX('Почасовка — ставки и план'!$B$5:$B$24,MATCH(D1251,'Почасовка — ставки и план'!$A$5:$A$24,0)),"Аренда техники / механизмы")</f>
        <v>Монтажник вентиляции</v>
      </c>
      <c r="F1251" s="14">
        <v>1800</v>
      </c>
      <c r="G1251" s="14">
        <v>2100</v>
      </c>
      <c r="H1251" s="15">
        <v>1116</v>
      </c>
      <c r="I1251" s="15">
        <f>IF(OR(H1251="",F1251=""),"",MAX(H1251,MIN(ROUND(H1251*(1+Параметры!$B$5),IF(H1251*(1+Параметры!$B$5)&gt;=1000,-1,0)),ROUND(F1251*Параметры!$B$6,IF(F1251*Параметры!$B$6&gt;=1000,-1,0)))))</f>
        <v>1280</v>
      </c>
      <c r="J1251" s="15">
        <v>1302</v>
      </c>
      <c r="K1251" s="15">
        <f>IF(OR(J1251="",G1251=""),"",MAX(J1251,MIN(ROUND(J1251*(1+Параметры!$B$5),IF(J1251*(1+Параметры!$B$5)&gt;=1000,-1,0)),ROUND(G1251*Параметры!$B$6,IF(G1251*Параметры!$B$6&gt;=1000,-1,0)))))</f>
        <v>1500</v>
      </c>
      <c r="L1251" s="16">
        <v>1.2</v>
      </c>
      <c r="M1251" s="17">
        <f t="shared" si="96"/>
        <v>0.83333333333333337</v>
      </c>
      <c r="N1251" s="17">
        <f>IF(OR(L1251="",L1251=0),"",Параметры!$B$3/L1251)</f>
        <v>6.666666666666667</v>
      </c>
      <c r="O1251" s="15">
        <f>IF(L1251="","",IFERROR(INDEX('Почасовка — ставки и план'!$D$5:$D$24,MATCH($D1251,'Почасовка — ставки и план'!$A$5:$A$24,0)),""))</f>
        <v>850</v>
      </c>
      <c r="P1251" s="15">
        <f>IF(L1251="","",IFERROR(INDEX('Почасовка — ставки и план'!$E$5:$E$24,MATCH($D1251,'Почасовка — ставки и план'!$A$5:$A$24,0)),""))</f>
        <v>1020</v>
      </c>
      <c r="Q1251" s="15">
        <f t="shared" si="97"/>
        <v>1020</v>
      </c>
      <c r="R1251" s="13" t="str">
        <f>IF(D1251="TEX","аренда техники — сделка/счёт",IF(OR(Q1251="",H1251="",H1251=0),"—",IF(Q1251&lt;H1251*(1-Параметры!$B$7),"почасовка",IF(Q1251&gt;H1251*(1+Параметры!$B$7),"сделка","любой способ"))))</f>
        <v>любой способ</v>
      </c>
      <c r="S1251">
        <v>0</v>
      </c>
      <c r="T1251">
        <v>0</v>
      </c>
    </row>
    <row r="1252" spans="1:20" x14ac:dyDescent="0.25">
      <c r="A1252" s="13" t="s">
        <v>2546</v>
      </c>
      <c r="B1252" s="13" t="s">
        <v>2547</v>
      </c>
      <c r="C1252" s="13" t="s">
        <v>144</v>
      </c>
      <c r="D1252" s="13" t="s">
        <v>288</v>
      </c>
      <c r="E1252" s="13" t="str">
        <f>IFERROR(INDEX('Почасовка — ставки и план'!$B$5:$B$24,MATCH(D1252,'Почасовка — ставки и план'!$A$5:$A$24,0)),"Аренда техники / механизмы")</f>
        <v>Монтажник вентиляции</v>
      </c>
      <c r="F1252" s="14">
        <v>2400</v>
      </c>
      <c r="G1252" s="14">
        <v>2800</v>
      </c>
      <c r="H1252" s="15">
        <v>1488</v>
      </c>
      <c r="I1252" s="15">
        <f>IF(OR(H1252="",F1252=""),"",MAX(H1252,MIN(ROUND(H1252*(1+Параметры!$B$5),IF(H1252*(1+Параметры!$B$5)&gt;=1000,-1,0)),ROUND(F1252*Параметры!$B$6,IF(F1252*Параметры!$B$6&gt;=1000,-1,0)))))</f>
        <v>1710</v>
      </c>
      <c r="J1252" s="15">
        <v>1736</v>
      </c>
      <c r="K1252" s="15">
        <f>IF(OR(J1252="",G1252=""),"",MAX(J1252,MIN(ROUND(J1252*(1+Параметры!$B$5),IF(J1252*(1+Параметры!$B$5)&gt;=1000,-1,0)),ROUND(G1252*Параметры!$B$6,IF(G1252*Параметры!$B$6&gt;=1000,-1,0)))))</f>
        <v>2000</v>
      </c>
      <c r="L1252" s="16">
        <v>1.6</v>
      </c>
      <c r="M1252" s="17">
        <f t="shared" si="96"/>
        <v>0.625</v>
      </c>
      <c r="N1252" s="17">
        <f>IF(OR(L1252="",L1252=0),"",Параметры!$B$3/L1252)</f>
        <v>5</v>
      </c>
      <c r="O1252" s="15">
        <f>IF(L1252="","",IFERROR(INDEX('Почасовка — ставки и план'!$D$5:$D$24,MATCH($D1252,'Почасовка — ставки и план'!$A$5:$A$24,0)),""))</f>
        <v>850</v>
      </c>
      <c r="P1252" s="15">
        <f>IF(L1252="","",IFERROR(INDEX('Почасовка — ставки и план'!$E$5:$E$24,MATCH($D1252,'Почасовка — ставки и план'!$A$5:$A$24,0)),""))</f>
        <v>1020</v>
      </c>
      <c r="Q1252" s="15">
        <f t="shared" si="97"/>
        <v>1360</v>
      </c>
      <c r="R1252" s="13" t="str">
        <f>IF(D1252="TEX","аренда техники — сделка/счёт",IF(OR(Q1252="",H1252="",H1252=0),"—",IF(Q1252&lt;H1252*(1-Параметры!$B$7),"почасовка",IF(Q1252&gt;H1252*(1+Параметры!$B$7),"сделка","любой способ"))))</f>
        <v>любой способ</v>
      </c>
      <c r="S1252">
        <v>0</v>
      </c>
      <c r="T1252">
        <v>0</v>
      </c>
    </row>
    <row r="1253" spans="1:20" x14ac:dyDescent="0.25">
      <c r="A1253" s="13" t="s">
        <v>2548</v>
      </c>
      <c r="B1253" s="13" t="s">
        <v>2549</v>
      </c>
      <c r="C1253" s="13" t="s">
        <v>144</v>
      </c>
      <c r="D1253" s="13" t="s">
        <v>288</v>
      </c>
      <c r="E1253" s="13" t="str">
        <f>IFERROR(INDEX('Почасовка — ставки и план'!$B$5:$B$24,MATCH(D1253,'Почасовка — ставки и план'!$A$5:$A$24,0)),"Аренда техники / механизмы")</f>
        <v>Монтажник вентиляции</v>
      </c>
      <c r="F1253" s="14">
        <v>3500</v>
      </c>
      <c r="G1253" s="14">
        <v>4000</v>
      </c>
      <c r="H1253" s="15">
        <v>2170</v>
      </c>
      <c r="I1253" s="15">
        <f>IF(OR(H1253="",F1253=""),"",MAX(H1253,MIN(ROUND(H1253*(1+Параметры!$B$5),IF(H1253*(1+Параметры!$B$5)&gt;=1000,-1,0)),ROUND(F1253*Параметры!$B$6,IF(F1253*Параметры!$B$6&gt;=1000,-1,0)))))</f>
        <v>2500</v>
      </c>
      <c r="J1253" s="15">
        <v>2480</v>
      </c>
      <c r="K1253" s="15">
        <f>IF(OR(J1253="",G1253=""),"",MAX(J1253,MIN(ROUND(J1253*(1+Параметры!$B$5),IF(J1253*(1+Параметры!$B$5)&gt;=1000,-1,0)),ROUND(G1253*Параметры!$B$6,IF(G1253*Параметры!$B$6&gt;=1000,-1,0)))))</f>
        <v>2850</v>
      </c>
      <c r="L1253" s="16">
        <v>2.4</v>
      </c>
      <c r="M1253" s="17">
        <f t="shared" si="96"/>
        <v>0.41666666666666669</v>
      </c>
      <c r="N1253" s="17">
        <f>IF(OR(L1253="",L1253=0),"",Параметры!$B$3/L1253)</f>
        <v>3.3333333333333335</v>
      </c>
      <c r="O1253" s="15">
        <f>IF(L1253="","",IFERROR(INDEX('Почасовка — ставки и план'!$D$5:$D$24,MATCH($D1253,'Почасовка — ставки и план'!$A$5:$A$24,0)),""))</f>
        <v>850</v>
      </c>
      <c r="P1253" s="15">
        <f>IF(L1253="","",IFERROR(INDEX('Почасовка — ставки и план'!$E$5:$E$24,MATCH($D1253,'Почасовка — ставки и план'!$A$5:$A$24,0)),""))</f>
        <v>1020</v>
      </c>
      <c r="Q1253" s="15">
        <f t="shared" si="97"/>
        <v>2040</v>
      </c>
      <c r="R1253" s="13" t="str">
        <f>IF(D1253="TEX","аренда техники — сделка/счёт",IF(OR(Q1253="",H1253="",H1253=0),"—",IF(Q1253&lt;H1253*(1-Параметры!$B$7),"почасовка",IF(Q1253&gt;H1253*(1+Параметры!$B$7),"сделка","любой способ"))))</f>
        <v>любой способ</v>
      </c>
      <c r="S1253">
        <v>0</v>
      </c>
      <c r="T1253">
        <v>0</v>
      </c>
    </row>
    <row r="1254" spans="1:20" x14ac:dyDescent="0.25">
      <c r="A1254" s="13" t="s">
        <v>2550</v>
      </c>
      <c r="B1254" s="13" t="s">
        <v>2551</v>
      </c>
      <c r="C1254" s="13" t="s">
        <v>144</v>
      </c>
      <c r="D1254" s="13" t="s">
        <v>288</v>
      </c>
      <c r="E1254" s="13" t="str">
        <f>IFERROR(INDEX('Почасовка — ставки и план'!$B$5:$B$24,MATCH(D1254,'Почасовка — ставки и план'!$A$5:$A$24,0)),"Аренда техники / механизмы")</f>
        <v>Монтажник вентиляции</v>
      </c>
      <c r="F1254" s="14">
        <v>6000</v>
      </c>
      <c r="G1254" s="14">
        <v>6900</v>
      </c>
      <c r="H1254" s="15">
        <v>3720</v>
      </c>
      <c r="I1254" s="15">
        <f>IF(OR(H1254="",F1254=""),"",MAX(H1254,MIN(ROUND(H1254*(1+Параметры!$B$5),IF(H1254*(1+Параметры!$B$5)&gt;=1000,-1,0)),ROUND(F1254*Параметры!$B$6,IF(F1254*Параметры!$B$6&gt;=1000,-1,0)))))</f>
        <v>4280</v>
      </c>
      <c r="J1254" s="15">
        <v>4278</v>
      </c>
      <c r="K1254" s="15">
        <f>IF(OR(J1254="",G1254=""),"",MAX(J1254,MIN(ROUND(J1254*(1+Параметры!$B$5),IF(J1254*(1+Параметры!$B$5)&gt;=1000,-1,0)),ROUND(G1254*Параметры!$B$6,IF(G1254*Параметры!$B$6&gt;=1000,-1,0)))))</f>
        <v>4920</v>
      </c>
      <c r="L1254" s="16">
        <v>4</v>
      </c>
      <c r="M1254" s="17">
        <f t="shared" si="96"/>
        <v>0.25</v>
      </c>
      <c r="N1254" s="17">
        <f>IF(OR(L1254="",L1254=0),"",Параметры!$B$3/L1254)</f>
        <v>2</v>
      </c>
      <c r="O1254" s="15">
        <f>IF(L1254="","",IFERROR(INDEX('Почасовка — ставки и план'!$D$5:$D$24,MATCH($D1254,'Почасовка — ставки и план'!$A$5:$A$24,0)),""))</f>
        <v>850</v>
      </c>
      <c r="P1254" s="15">
        <f>IF(L1254="","",IFERROR(INDEX('Почасовка — ставки и план'!$E$5:$E$24,MATCH($D1254,'Почасовка — ставки и план'!$A$5:$A$24,0)),""))</f>
        <v>1020</v>
      </c>
      <c r="Q1254" s="15">
        <f t="shared" si="97"/>
        <v>3400</v>
      </c>
      <c r="R1254" s="13" t="str">
        <f>IF(D1254="TEX","аренда техники — сделка/счёт",IF(OR(Q1254="",H1254="",H1254=0),"—",IF(Q1254&lt;H1254*(1-Параметры!$B$7),"почасовка",IF(Q1254&gt;H1254*(1+Параметры!$B$7),"сделка","любой способ"))))</f>
        <v>любой способ</v>
      </c>
      <c r="S1254">
        <v>0</v>
      </c>
      <c r="T1254">
        <v>0</v>
      </c>
    </row>
    <row r="1255" spans="1:20" x14ac:dyDescent="0.25">
      <c r="A1255" s="13" t="s">
        <v>2552</v>
      </c>
      <c r="B1255" s="13" t="s">
        <v>2553</v>
      </c>
      <c r="C1255" s="13" t="s">
        <v>144</v>
      </c>
      <c r="D1255" s="13" t="s">
        <v>288</v>
      </c>
      <c r="E1255" s="13" t="str">
        <f>IFERROR(INDEX('Почасовка — ставки и план'!$B$5:$B$24,MATCH(D1255,'Почасовка — ставки и план'!$A$5:$A$24,0)),"Аренда техники / механизмы")</f>
        <v>Монтажник вентиляции</v>
      </c>
      <c r="F1255" s="14">
        <v>1500</v>
      </c>
      <c r="G1255" s="14">
        <v>1700</v>
      </c>
      <c r="H1255" s="15">
        <v>900</v>
      </c>
      <c r="I1255" s="15">
        <f>IF(OR(H1255="",F1255=""),"",MAX(H1255,MIN(ROUND(H1255*(1+Параметры!$B$5),IF(H1255*(1+Параметры!$B$5)&gt;=1000,-1,0)),ROUND(F1255*Параметры!$B$6,IF(F1255*Параметры!$B$6&gt;=1000,-1,0)))))</f>
        <v>1040</v>
      </c>
      <c r="J1255" s="15">
        <v>1020</v>
      </c>
      <c r="K1255" s="15">
        <f>IF(OR(J1255="",G1255=""),"",MAX(J1255,MIN(ROUND(J1255*(1+Параметры!$B$5),IF(J1255*(1+Параметры!$B$5)&gt;=1000,-1,0)),ROUND(G1255*Параметры!$B$6,IF(G1255*Параметры!$B$6&gt;=1000,-1,0)))))</f>
        <v>1170</v>
      </c>
      <c r="L1255" s="16">
        <v>0.8</v>
      </c>
      <c r="M1255" s="17">
        <f t="shared" si="96"/>
        <v>1.25</v>
      </c>
      <c r="N1255" s="17">
        <f>IF(OR(L1255="",L1255=0),"",Параметры!$B$3/L1255)</f>
        <v>10</v>
      </c>
      <c r="O1255" s="15">
        <f>IF(L1255="","",IFERROR(INDEX('Почасовка — ставки и план'!$D$5:$D$24,MATCH($D1255,'Почасовка — ставки и план'!$A$5:$A$24,0)),""))</f>
        <v>850</v>
      </c>
      <c r="P1255" s="15">
        <f>IF(L1255="","",IFERROR(INDEX('Почасовка — ставки и план'!$E$5:$E$24,MATCH($D1255,'Почасовка — ставки и план'!$A$5:$A$24,0)),""))</f>
        <v>1020</v>
      </c>
      <c r="Q1255" s="15">
        <f t="shared" si="97"/>
        <v>680</v>
      </c>
      <c r="R1255" s="13" t="str">
        <f>IF(D1255="TEX","аренда техники — сделка/счёт",IF(OR(Q1255="",H1255="",H1255=0),"—",IF(Q1255&lt;H1255*(1-Параметры!$B$7),"почасовка",IF(Q1255&gt;H1255*(1+Параметры!$B$7),"сделка","любой способ"))))</f>
        <v>почасовка</v>
      </c>
      <c r="S1255">
        <v>0</v>
      </c>
      <c r="T1255">
        <v>0</v>
      </c>
    </row>
    <row r="1256" spans="1:20" x14ac:dyDescent="0.25">
      <c r="A1256" s="13" t="s">
        <v>2554</v>
      </c>
      <c r="B1256" s="13" t="s">
        <v>2045</v>
      </c>
      <c r="C1256" s="13" t="s">
        <v>144</v>
      </c>
      <c r="D1256" s="13" t="s">
        <v>326</v>
      </c>
      <c r="E1256" s="13" t="str">
        <f>IFERROR(INDEX('Почасовка — ставки и план'!$B$5:$B$24,MATCH(D1256,'Почасовка — ставки и план'!$A$5:$A$24,0)),"Аренда техники / механизмы")</f>
        <v>Сантехник</v>
      </c>
      <c r="F1256" s="14">
        <v>10000</v>
      </c>
      <c r="G1256" s="14">
        <v>11500</v>
      </c>
      <c r="H1256" s="15">
        <v>6000</v>
      </c>
      <c r="I1256" s="15">
        <f>IF(OR(H1256="",F1256=""),"",MAX(H1256,MIN(ROUND(H1256*(1+Параметры!$B$5),IF(H1256*(1+Параметры!$B$5)&gt;=1000,-1,0)),ROUND(F1256*Параметры!$B$6,IF(F1256*Параметры!$B$6&gt;=1000,-1,0)))))</f>
        <v>6900</v>
      </c>
      <c r="J1256" s="15">
        <v>6900</v>
      </c>
      <c r="K1256" s="15">
        <f>IF(OR(J1256="",G1256=""),"",MAX(J1256,MIN(ROUND(J1256*(1+Параметры!$B$5),IF(J1256*(1+Параметры!$B$5)&gt;=1000,-1,0)),ROUND(G1256*Параметры!$B$6,IF(G1256*Параметры!$B$6&gt;=1000,-1,0)))))</f>
        <v>7940</v>
      </c>
      <c r="L1256" s="16">
        <v>7</v>
      </c>
      <c r="M1256" s="17">
        <f t="shared" si="96"/>
        <v>0.14285714285714285</v>
      </c>
      <c r="N1256" s="17">
        <f>IF(OR(L1256="",L1256=0),"",Параметры!$B$3/L1256)</f>
        <v>1.1428571428571428</v>
      </c>
      <c r="O1256" s="15">
        <f>IF(L1256="","",IFERROR(INDEX('Почасовка — ставки и план'!$D$5:$D$24,MATCH($D1256,'Почасовка — ставки и план'!$A$5:$A$24,0)),""))</f>
        <v>850</v>
      </c>
      <c r="P1256" s="15">
        <f>IF(L1256="","",IFERROR(INDEX('Почасовка — ставки и план'!$E$5:$E$24,MATCH($D1256,'Почасовка — ставки и план'!$A$5:$A$24,0)),""))</f>
        <v>1020</v>
      </c>
      <c r="Q1256" s="15">
        <f t="shared" si="97"/>
        <v>5950</v>
      </c>
      <c r="R1256" s="13" t="str">
        <f>IF(D1256="TEX","аренда техники — сделка/счёт",IF(OR(Q1256="",H1256="",H1256=0),"—",IF(Q1256&lt;H1256*(1-Параметры!$B$7),"почасовка",IF(Q1256&gt;H1256*(1+Параметры!$B$7),"сделка","любой способ"))))</f>
        <v>любой способ</v>
      </c>
      <c r="S1256">
        <v>0</v>
      </c>
      <c r="T1256">
        <v>0</v>
      </c>
    </row>
    <row r="1257" spans="1:20" x14ac:dyDescent="0.25">
      <c r="A1257" s="13" t="s">
        <v>2555</v>
      </c>
      <c r="B1257" s="13" t="s">
        <v>2556</v>
      </c>
      <c r="C1257" s="13" t="s">
        <v>144</v>
      </c>
      <c r="D1257" s="13" t="s">
        <v>299</v>
      </c>
      <c r="E1257" s="13" t="str">
        <f>IFERROR(INDEX('Почасовка — ставки и план'!$B$5:$B$24,MATCH(D1257,'Почасовка — ставки и план'!$A$5:$A$24,0)),"Аренда техники / механизмы")</f>
        <v>Холодильщик / монтажник кондиционеров</v>
      </c>
      <c r="F1257" s="14">
        <v>24000</v>
      </c>
      <c r="G1257" s="14">
        <v>27500</v>
      </c>
      <c r="H1257" s="15">
        <v>14400</v>
      </c>
      <c r="I1257" s="15">
        <f>IF(OR(H1257="",F1257=""),"",MAX(H1257,MIN(ROUND(H1257*(1+Параметры!$B$5),IF(H1257*(1+Параметры!$B$5)&gt;=1000,-1,0)),ROUND(F1257*Параметры!$B$6,IF(F1257*Параметры!$B$6&gt;=1000,-1,0)))))</f>
        <v>16560</v>
      </c>
      <c r="J1257" s="15">
        <v>16500</v>
      </c>
      <c r="K1257" s="15">
        <f>IF(OR(J1257="",G1257=""),"",MAX(J1257,MIN(ROUND(J1257*(1+Параметры!$B$5),IF(J1257*(1+Параметры!$B$5)&gt;=1000,-1,0)),ROUND(G1257*Параметры!$B$6,IF(G1257*Параметры!$B$6&gt;=1000,-1,0)))))</f>
        <v>18980</v>
      </c>
      <c r="L1257" s="16">
        <v>14</v>
      </c>
      <c r="M1257" s="17">
        <f t="shared" si="96"/>
        <v>7.1428571428571425E-2</v>
      </c>
      <c r="N1257" s="17">
        <f>IF(OR(L1257="",L1257=0),"",Параметры!$B$3/L1257)</f>
        <v>0.5714285714285714</v>
      </c>
      <c r="O1257" s="15">
        <f>IF(L1257="","",IFERROR(INDEX('Почасовка — ставки и план'!$D$5:$D$24,MATCH($D1257,'Почасовка — ставки и план'!$A$5:$A$24,0)),""))</f>
        <v>1200</v>
      </c>
      <c r="P1257" s="15">
        <f>IF(L1257="","",IFERROR(INDEX('Почасовка — ставки и план'!$E$5:$E$24,MATCH($D1257,'Почасовка — ставки и план'!$A$5:$A$24,0)),""))</f>
        <v>1440</v>
      </c>
      <c r="Q1257" s="15">
        <f t="shared" si="97"/>
        <v>16800</v>
      </c>
      <c r="R1257" s="13" t="str">
        <f>IF(D1257="TEX","аренда техники — сделка/счёт",IF(OR(Q1257="",H1257="",H1257=0),"—",IF(Q1257&lt;H1257*(1-Параметры!$B$7),"почасовка",IF(Q1257&gt;H1257*(1+Параметры!$B$7),"сделка","любой способ"))))</f>
        <v>сделка</v>
      </c>
      <c r="S1257">
        <v>0</v>
      </c>
      <c r="T1257">
        <v>0</v>
      </c>
    </row>
    <row r="1258" spans="1:20" x14ac:dyDescent="0.25">
      <c r="A1258" s="13" t="s">
        <v>2557</v>
      </c>
      <c r="B1258" s="13" t="s">
        <v>2558</v>
      </c>
      <c r="C1258" s="13" t="s">
        <v>144</v>
      </c>
      <c r="D1258" s="13" t="s">
        <v>299</v>
      </c>
      <c r="E1258" s="13" t="str">
        <f>IFERROR(INDEX('Почасовка — ставки и план'!$B$5:$B$24,MATCH(D1258,'Почасовка — ставки и план'!$A$5:$A$24,0)),"Аренда техники / механизмы")</f>
        <v>Холодильщик / монтажник кондиционеров</v>
      </c>
      <c r="F1258" s="14">
        <v>28000</v>
      </c>
      <c r="G1258" s="14">
        <v>32640</v>
      </c>
      <c r="H1258" s="15">
        <v>16800</v>
      </c>
      <c r="I1258" s="15">
        <f>IF(OR(H1258="",F1258=""),"",MAX(H1258,MIN(ROUND(H1258*(1+Параметры!$B$5),IF(H1258*(1+Параметры!$B$5)&gt;=1000,-1,0)),ROUND(F1258*Параметры!$B$6,IF(F1258*Параметры!$B$6&gt;=1000,-1,0)))))</f>
        <v>19320</v>
      </c>
      <c r="J1258" s="15">
        <v>19200</v>
      </c>
      <c r="K1258" s="15">
        <f>IF(OR(J1258="",G1258=""),"",MAX(J1258,MIN(ROUND(J1258*(1+Параметры!$B$5),IF(J1258*(1+Параметры!$B$5)&gt;=1000,-1,0)),ROUND(G1258*Параметры!$B$6,IF(G1258*Параметры!$B$6&gt;=1000,-1,0)))))</f>
        <v>22080</v>
      </c>
      <c r="L1258" s="16">
        <v>17</v>
      </c>
      <c r="M1258" s="17">
        <f t="shared" si="96"/>
        <v>5.8823529411764705E-2</v>
      </c>
      <c r="N1258" s="17">
        <f>IF(OR(L1258="",L1258=0),"",Параметры!$B$3/L1258)</f>
        <v>0.47058823529411764</v>
      </c>
      <c r="O1258" s="15">
        <f>IF(L1258="","",IFERROR(INDEX('Почасовка — ставки и план'!$D$5:$D$24,MATCH($D1258,'Почасовка — ставки и план'!$A$5:$A$24,0)),""))</f>
        <v>1200</v>
      </c>
      <c r="P1258" s="15">
        <f>IF(L1258="","",IFERROR(INDEX('Почасовка — ставки и план'!$E$5:$E$24,MATCH($D1258,'Почасовка — ставки и план'!$A$5:$A$24,0)),""))</f>
        <v>1440</v>
      </c>
      <c r="Q1258" s="15">
        <f t="shared" si="97"/>
        <v>20400</v>
      </c>
      <c r="R1258" s="13" t="str">
        <f>IF(D1258="TEX","аренда техники — сделка/счёт",IF(OR(Q1258="",H1258="",H1258=0),"—",IF(Q1258&lt;H1258*(1-Параметры!$B$7),"почасовка",IF(Q1258&gt;H1258*(1+Параметры!$B$7),"сделка","любой способ"))))</f>
        <v>сделка</v>
      </c>
      <c r="S1258">
        <v>0</v>
      </c>
      <c r="T1258">
        <v>2.0000000000000021E-2</v>
      </c>
    </row>
    <row r="1259" spans="1:20" x14ac:dyDescent="0.25">
      <c r="A1259" s="13" t="s">
        <v>2559</v>
      </c>
      <c r="B1259" s="13" t="s">
        <v>2560</v>
      </c>
      <c r="C1259" s="13" t="s">
        <v>144</v>
      </c>
      <c r="D1259" s="13" t="s">
        <v>299</v>
      </c>
      <c r="E1259" s="13" t="str">
        <f>IFERROR(INDEX('Почасовка — ставки и план'!$B$5:$B$24,MATCH(D1259,'Почасовка — ставки и план'!$A$5:$A$24,0)),"Аренда техники / механизмы")</f>
        <v>Холодильщик / монтажник кондиционеров</v>
      </c>
      <c r="F1259" s="14">
        <v>35000</v>
      </c>
      <c r="G1259" s="14">
        <v>40320</v>
      </c>
      <c r="H1259" s="15">
        <v>21000</v>
      </c>
      <c r="I1259" s="15">
        <f>IF(OR(H1259="",F1259=""),"",MAX(H1259,MIN(ROUND(H1259*(1+Параметры!$B$5),IF(H1259*(1+Параметры!$B$5)&gt;=1000,-1,0)),ROUND(F1259*Параметры!$B$6,IF(F1259*Параметры!$B$6&gt;=1000,-1,0)))))</f>
        <v>24150</v>
      </c>
      <c r="J1259" s="15">
        <v>24000</v>
      </c>
      <c r="K1259" s="15">
        <f>IF(OR(J1259="",G1259=""),"",MAX(J1259,MIN(ROUND(J1259*(1+Параметры!$B$5),IF(J1259*(1+Параметры!$B$5)&gt;=1000,-1,0)),ROUND(G1259*Параметры!$B$6,IF(G1259*Параметры!$B$6&gt;=1000,-1,0)))))</f>
        <v>27600</v>
      </c>
      <c r="L1259" s="16">
        <v>21</v>
      </c>
      <c r="M1259" s="17">
        <f t="shared" si="96"/>
        <v>4.7619047619047616E-2</v>
      </c>
      <c r="N1259" s="17">
        <f>IF(OR(L1259="",L1259=0),"",Параметры!$B$3/L1259)</f>
        <v>0.38095238095238093</v>
      </c>
      <c r="O1259" s="15">
        <f>IF(L1259="","",IFERROR(INDEX('Почасовка — ставки и план'!$D$5:$D$24,MATCH($D1259,'Почасовка — ставки и план'!$A$5:$A$24,0)),""))</f>
        <v>1200</v>
      </c>
      <c r="P1259" s="15">
        <f>IF(L1259="","",IFERROR(INDEX('Почасовка — ставки и план'!$E$5:$E$24,MATCH($D1259,'Почасовка — ставки и план'!$A$5:$A$24,0)),""))</f>
        <v>1440</v>
      </c>
      <c r="Q1259" s="15">
        <f t="shared" si="97"/>
        <v>25200</v>
      </c>
      <c r="R1259" s="13" t="str">
        <f>IF(D1259="TEX","аренда техники — сделка/счёт",IF(OR(Q1259="",H1259="",H1259=0),"—",IF(Q1259&lt;H1259*(1-Параметры!$B$7),"почасовка",IF(Q1259&gt;H1259*(1+Параметры!$B$7),"сделка","любой способ"))))</f>
        <v>сделка</v>
      </c>
      <c r="S1259">
        <v>0</v>
      </c>
      <c r="T1259">
        <v>8.0000000000000071E-3</v>
      </c>
    </row>
    <row r="1260" spans="1:20" x14ac:dyDescent="0.25">
      <c r="A1260" s="13" t="s">
        <v>2561</v>
      </c>
      <c r="B1260" s="13" t="s">
        <v>2562</v>
      </c>
      <c r="C1260" s="13" t="s">
        <v>144</v>
      </c>
      <c r="D1260" s="13" t="s">
        <v>299</v>
      </c>
      <c r="E1260" s="13" t="str">
        <f>IFERROR(INDEX('Почасовка — ставки и план'!$B$5:$B$24,MATCH(D1260,'Почасовка — ставки и план'!$A$5:$A$24,0)),"Аренда техники / механизмы")</f>
        <v>Холодильщик / монтажник кондиционеров</v>
      </c>
      <c r="F1260" s="14">
        <v>22000</v>
      </c>
      <c r="G1260" s="14">
        <v>25500</v>
      </c>
      <c r="H1260" s="15">
        <v>13200</v>
      </c>
      <c r="I1260" s="15">
        <f>IF(OR(H1260="",F1260=""),"",MAX(H1260,MIN(ROUND(H1260*(1+Параметры!$B$5),IF(H1260*(1+Параметры!$B$5)&gt;=1000,-1,0)),ROUND(F1260*Параметры!$B$6,IF(F1260*Параметры!$B$6&gt;=1000,-1,0)))))</f>
        <v>15180</v>
      </c>
      <c r="J1260" s="15">
        <v>15300</v>
      </c>
      <c r="K1260" s="15">
        <f>IF(OR(J1260="",G1260=""),"",MAX(J1260,MIN(ROUND(J1260*(1+Параметры!$B$5),IF(J1260*(1+Параметры!$B$5)&gt;=1000,-1,0)),ROUND(G1260*Параметры!$B$6,IF(G1260*Параметры!$B$6&gt;=1000,-1,0)))))</f>
        <v>17600</v>
      </c>
      <c r="L1260" s="16">
        <v>13</v>
      </c>
      <c r="M1260" s="17">
        <f t="shared" si="96"/>
        <v>7.6923076923076927E-2</v>
      </c>
      <c r="N1260" s="17">
        <f>IF(OR(L1260="",L1260=0),"",Параметры!$B$3/L1260)</f>
        <v>0.61538461538461542</v>
      </c>
      <c r="O1260" s="15">
        <f>IF(L1260="","",IFERROR(INDEX('Почасовка — ставки и план'!$D$5:$D$24,MATCH($D1260,'Почасовка — ставки и план'!$A$5:$A$24,0)),""))</f>
        <v>1200</v>
      </c>
      <c r="P1260" s="15">
        <f>IF(L1260="","",IFERROR(INDEX('Почасовка — ставки и план'!$E$5:$E$24,MATCH($D1260,'Почасовка — ставки и план'!$A$5:$A$24,0)),""))</f>
        <v>1440</v>
      </c>
      <c r="Q1260" s="15">
        <f t="shared" si="97"/>
        <v>15600</v>
      </c>
      <c r="R1260" s="13" t="str">
        <f>IF(D1260="TEX","аренда техники — сделка/счёт",IF(OR(Q1260="",H1260="",H1260=0),"—",IF(Q1260&lt;H1260*(1-Параметры!$B$7),"почасовка",IF(Q1260&gt;H1260*(1+Параметры!$B$7),"сделка","любой способ"))))</f>
        <v>сделка</v>
      </c>
      <c r="S1260">
        <v>0</v>
      </c>
      <c r="T1260">
        <v>0</v>
      </c>
    </row>
    <row r="1261" spans="1:20" x14ac:dyDescent="0.25">
      <c r="A1261" s="13" t="s">
        <v>2563</v>
      </c>
      <c r="B1261" s="13" t="s">
        <v>2564</v>
      </c>
      <c r="C1261" s="13" t="s">
        <v>144</v>
      </c>
      <c r="D1261" s="13" t="s">
        <v>299</v>
      </c>
      <c r="E1261" s="13" t="str">
        <f>IFERROR(INDEX('Почасовка — ставки и план'!$B$5:$B$24,MATCH(D1261,'Почасовка — ставки и план'!$A$5:$A$24,0)),"Аренда техники / механизмы")</f>
        <v>Холодильщик / монтажник кондиционеров</v>
      </c>
      <c r="F1261" s="14">
        <v>26000</v>
      </c>
      <c r="G1261" s="14">
        <v>30000</v>
      </c>
      <c r="H1261" s="15">
        <v>15600</v>
      </c>
      <c r="I1261" s="15">
        <f>IF(OR(H1261="",F1261=""),"",MAX(H1261,MIN(ROUND(H1261*(1+Параметры!$B$5),IF(H1261*(1+Параметры!$B$5)&gt;=1000,-1,0)),ROUND(F1261*Параметры!$B$6,IF(F1261*Параметры!$B$6&gt;=1000,-1,0)))))</f>
        <v>17940</v>
      </c>
      <c r="J1261" s="15">
        <v>18000</v>
      </c>
      <c r="K1261" s="15">
        <f>IF(OR(J1261="",G1261=""),"",MAX(J1261,MIN(ROUND(J1261*(1+Параметры!$B$5),IF(J1261*(1+Параметры!$B$5)&gt;=1000,-1,0)),ROUND(G1261*Параметры!$B$6,IF(G1261*Параметры!$B$6&gt;=1000,-1,0)))))</f>
        <v>20700</v>
      </c>
      <c r="L1261" s="16">
        <v>15</v>
      </c>
      <c r="M1261" s="17">
        <f t="shared" si="96"/>
        <v>6.6666666666666666E-2</v>
      </c>
      <c r="N1261" s="17">
        <f>IF(OR(L1261="",L1261=0),"",Параметры!$B$3/L1261)</f>
        <v>0.53333333333333333</v>
      </c>
      <c r="O1261" s="15">
        <f>IF(L1261="","",IFERROR(INDEX('Почасовка — ставки и план'!$D$5:$D$24,MATCH($D1261,'Почасовка — ставки и план'!$A$5:$A$24,0)),""))</f>
        <v>1200</v>
      </c>
      <c r="P1261" s="15">
        <f>IF(L1261="","",IFERROR(INDEX('Почасовка — ставки и план'!$E$5:$E$24,MATCH($D1261,'Почасовка — ставки и план'!$A$5:$A$24,0)),""))</f>
        <v>1440</v>
      </c>
      <c r="Q1261" s="15">
        <f t="shared" si="97"/>
        <v>18000</v>
      </c>
      <c r="R1261" s="13" t="str">
        <f>IF(D1261="TEX","аренда техники — сделка/счёт",IF(OR(Q1261="",H1261="",H1261=0),"—",IF(Q1261&lt;H1261*(1-Параметры!$B$7),"почасовка",IF(Q1261&gt;H1261*(1+Параметры!$B$7),"сделка","любой способ"))))</f>
        <v>сделка</v>
      </c>
      <c r="S1261">
        <v>0</v>
      </c>
      <c r="T1261">
        <v>0</v>
      </c>
    </row>
    <row r="1262" spans="1:20" x14ac:dyDescent="0.25">
      <c r="A1262" s="13" t="s">
        <v>2565</v>
      </c>
      <c r="B1262" s="13" t="s">
        <v>2566</v>
      </c>
      <c r="C1262" s="13" t="s">
        <v>144</v>
      </c>
      <c r="D1262" s="13" t="s">
        <v>299</v>
      </c>
      <c r="E1262" s="13" t="str">
        <f>IFERROR(INDEX('Почасовка — ставки и план'!$B$5:$B$24,MATCH(D1262,'Почасовка — ставки и план'!$A$5:$A$24,0)),"Аренда техники / механизмы")</f>
        <v>Холодильщик / монтажник кондиционеров</v>
      </c>
      <c r="F1262" s="14">
        <v>33000</v>
      </c>
      <c r="G1262" s="14">
        <v>38000</v>
      </c>
      <c r="H1262" s="15">
        <v>19800</v>
      </c>
      <c r="I1262" s="15">
        <f>IF(OR(H1262="",F1262=""),"",MAX(H1262,MIN(ROUND(H1262*(1+Параметры!$B$5),IF(H1262*(1+Параметры!$B$5)&gt;=1000,-1,0)),ROUND(F1262*Параметры!$B$6,IF(F1262*Параметры!$B$6&gt;=1000,-1,0)))))</f>
        <v>22770</v>
      </c>
      <c r="J1262" s="15">
        <v>22800</v>
      </c>
      <c r="K1262" s="15">
        <f>IF(OR(J1262="",G1262=""),"",MAX(J1262,MIN(ROUND(J1262*(1+Параметры!$B$5),IF(J1262*(1+Параметры!$B$5)&gt;=1000,-1,0)),ROUND(G1262*Параметры!$B$6,IF(G1262*Параметры!$B$6&gt;=1000,-1,0)))))</f>
        <v>26220</v>
      </c>
      <c r="L1262" s="16">
        <v>19</v>
      </c>
      <c r="M1262" s="17">
        <f t="shared" si="96"/>
        <v>5.2631578947368418E-2</v>
      </c>
      <c r="N1262" s="17">
        <f>IF(OR(L1262="",L1262=0),"",Параметры!$B$3/L1262)</f>
        <v>0.42105263157894735</v>
      </c>
      <c r="O1262" s="15">
        <f>IF(L1262="","",IFERROR(INDEX('Почасовка — ставки и план'!$D$5:$D$24,MATCH($D1262,'Почасовка — ставки и план'!$A$5:$A$24,0)),""))</f>
        <v>1200</v>
      </c>
      <c r="P1262" s="15">
        <f>IF(L1262="","",IFERROR(INDEX('Почасовка — ставки и план'!$E$5:$E$24,MATCH($D1262,'Почасовка — ставки и план'!$A$5:$A$24,0)),""))</f>
        <v>1440</v>
      </c>
      <c r="Q1262" s="15">
        <f t="shared" si="97"/>
        <v>22800</v>
      </c>
      <c r="R1262" s="13" t="str">
        <f>IF(D1262="TEX","аренда техники — сделка/счёт",IF(OR(Q1262="",H1262="",H1262=0),"—",IF(Q1262&lt;H1262*(1-Параметры!$B$7),"почасовка",IF(Q1262&gt;H1262*(1+Параметры!$B$7),"сделка","любой способ"))))</f>
        <v>сделка</v>
      </c>
      <c r="S1262">
        <v>0</v>
      </c>
      <c r="T1262">
        <v>0</v>
      </c>
    </row>
    <row r="1263" spans="1:20" x14ac:dyDescent="0.25">
      <c r="A1263" s="13" t="s">
        <v>2567</v>
      </c>
      <c r="B1263" s="13" t="s">
        <v>2568</v>
      </c>
      <c r="C1263" s="13" t="s">
        <v>144</v>
      </c>
      <c r="D1263" s="13" t="s">
        <v>299</v>
      </c>
      <c r="E1263" s="13" t="str">
        <f>IFERROR(INDEX('Почасовка — ставки и план'!$B$5:$B$24,MATCH(D1263,'Почасовка — ставки и план'!$A$5:$A$24,0)),"Аренда техники / механизмы")</f>
        <v>Холодильщик / монтажник кондиционеров</v>
      </c>
      <c r="F1263" s="14">
        <v>20000</v>
      </c>
      <c r="G1263" s="14">
        <v>23040</v>
      </c>
      <c r="H1263" s="15">
        <v>12000</v>
      </c>
      <c r="I1263" s="15">
        <f>IF(OR(H1263="",F1263=""),"",MAX(H1263,MIN(ROUND(H1263*(1+Параметры!$B$5),IF(H1263*(1+Параметры!$B$5)&gt;=1000,-1,0)),ROUND(F1263*Параметры!$B$6,IF(F1263*Параметры!$B$6&gt;=1000,-1,0)))))</f>
        <v>13800</v>
      </c>
      <c r="J1263" s="15">
        <v>13800</v>
      </c>
      <c r="K1263" s="15">
        <f>IF(OR(J1263="",G1263=""),"",MAX(J1263,MIN(ROUND(J1263*(1+Параметры!$B$5),IF(J1263*(1+Параметры!$B$5)&gt;=1000,-1,0)),ROUND(G1263*Параметры!$B$6,IF(G1263*Параметры!$B$6&gt;=1000,-1,0)))))</f>
        <v>15870</v>
      </c>
      <c r="L1263" s="16">
        <v>12</v>
      </c>
      <c r="M1263" s="17">
        <f t="shared" si="96"/>
        <v>8.3333333333333329E-2</v>
      </c>
      <c r="N1263" s="17">
        <f>IF(OR(L1263="",L1263=0),"",Параметры!$B$3/L1263)</f>
        <v>0.66666666666666663</v>
      </c>
      <c r="O1263" s="15">
        <f>IF(L1263="","",IFERROR(INDEX('Почасовка — ставки и план'!$D$5:$D$24,MATCH($D1263,'Почасовка — ставки и план'!$A$5:$A$24,0)),""))</f>
        <v>1200</v>
      </c>
      <c r="P1263" s="15">
        <f>IF(L1263="","",IFERROR(INDEX('Почасовка — ставки и план'!$E$5:$E$24,MATCH($D1263,'Почасовка — ставки и план'!$A$5:$A$24,0)),""))</f>
        <v>1440</v>
      </c>
      <c r="Q1263" s="15">
        <f t="shared" si="97"/>
        <v>14400</v>
      </c>
      <c r="R1263" s="13" t="str">
        <f>IF(D1263="TEX","аренда техники — сделка/счёт",IF(OR(Q1263="",H1263="",H1263=0),"—",IF(Q1263&lt;H1263*(1-Параметры!$B$7),"почасовка",IF(Q1263&gt;H1263*(1+Параметры!$B$7),"сделка","любой способ"))))</f>
        <v>сделка</v>
      </c>
      <c r="S1263">
        <v>0</v>
      </c>
      <c r="T1263">
        <v>1.739130434782687E-3</v>
      </c>
    </row>
    <row r="1264" spans="1:20" x14ac:dyDescent="0.25">
      <c r="A1264" s="13" t="s">
        <v>2569</v>
      </c>
      <c r="B1264" s="13" t="s">
        <v>2570</v>
      </c>
      <c r="C1264" s="13" t="s">
        <v>144</v>
      </c>
      <c r="D1264" s="13" t="s">
        <v>299</v>
      </c>
      <c r="E1264" s="13" t="str">
        <f>IFERROR(INDEX('Почасовка — ставки и план'!$B$5:$B$24,MATCH(D1264,'Почасовка — ставки и план'!$A$5:$A$24,0)),"Аренда техники / механизмы")</f>
        <v>Холодильщик / монтажник кондиционеров</v>
      </c>
      <c r="F1264" s="14">
        <v>24000</v>
      </c>
      <c r="G1264" s="14">
        <v>27500</v>
      </c>
      <c r="H1264" s="15">
        <v>14400</v>
      </c>
      <c r="I1264" s="15">
        <f>IF(OR(H1264="",F1264=""),"",MAX(H1264,MIN(ROUND(H1264*(1+Параметры!$B$5),IF(H1264*(1+Параметры!$B$5)&gt;=1000,-1,0)),ROUND(F1264*Параметры!$B$6,IF(F1264*Параметры!$B$6&gt;=1000,-1,0)))))</f>
        <v>16560</v>
      </c>
      <c r="J1264" s="15">
        <v>16500</v>
      </c>
      <c r="K1264" s="15">
        <f>IF(OR(J1264="",G1264=""),"",MAX(J1264,MIN(ROUND(J1264*(1+Параметры!$B$5),IF(J1264*(1+Параметры!$B$5)&gt;=1000,-1,0)),ROUND(G1264*Параметры!$B$6,IF(G1264*Параметры!$B$6&gt;=1000,-1,0)))))</f>
        <v>18980</v>
      </c>
      <c r="L1264" s="16">
        <v>14</v>
      </c>
      <c r="M1264" s="17">
        <f t="shared" si="96"/>
        <v>7.1428571428571425E-2</v>
      </c>
      <c r="N1264" s="17">
        <f>IF(OR(L1264="",L1264=0),"",Параметры!$B$3/L1264)</f>
        <v>0.5714285714285714</v>
      </c>
      <c r="O1264" s="15">
        <f>IF(L1264="","",IFERROR(INDEX('Почасовка — ставки и план'!$D$5:$D$24,MATCH($D1264,'Почасовка — ставки и план'!$A$5:$A$24,0)),""))</f>
        <v>1200</v>
      </c>
      <c r="P1264" s="15">
        <f>IF(L1264="","",IFERROR(INDEX('Почасовка — ставки и план'!$E$5:$E$24,MATCH($D1264,'Почасовка — ставки и план'!$A$5:$A$24,0)),""))</f>
        <v>1440</v>
      </c>
      <c r="Q1264" s="15">
        <f t="shared" si="97"/>
        <v>16800</v>
      </c>
      <c r="R1264" s="13" t="str">
        <f>IF(D1264="TEX","аренда техники — сделка/счёт",IF(OR(Q1264="",H1264="",H1264=0),"—",IF(Q1264&lt;H1264*(1-Параметры!$B$7),"почасовка",IF(Q1264&gt;H1264*(1+Параметры!$B$7),"сделка","любой способ"))))</f>
        <v>сделка</v>
      </c>
      <c r="S1264">
        <v>0</v>
      </c>
      <c r="T1264">
        <v>0</v>
      </c>
    </row>
    <row r="1265" spans="1:20" x14ac:dyDescent="0.25">
      <c r="A1265" s="13" t="s">
        <v>2571</v>
      </c>
      <c r="B1265" s="13" t="s">
        <v>2572</v>
      </c>
      <c r="C1265" s="13" t="s">
        <v>144</v>
      </c>
      <c r="D1265" s="13" t="s">
        <v>299</v>
      </c>
      <c r="E1265" s="13" t="str">
        <f>IFERROR(INDEX('Почасовка — ставки и план'!$B$5:$B$24,MATCH(D1265,'Почасовка — ставки и план'!$A$5:$A$24,0)),"Аренда техники / механизмы")</f>
        <v>Холодильщик / монтажник кондиционеров</v>
      </c>
      <c r="F1265" s="14">
        <v>30000</v>
      </c>
      <c r="G1265" s="14">
        <v>34500</v>
      </c>
      <c r="H1265" s="15">
        <v>18000</v>
      </c>
      <c r="I1265" s="15">
        <f>IF(OR(H1265="",F1265=""),"",MAX(H1265,MIN(ROUND(H1265*(1+Параметры!$B$5),IF(H1265*(1+Параметры!$B$5)&gt;=1000,-1,0)),ROUND(F1265*Параметры!$B$6,IF(F1265*Параметры!$B$6&gt;=1000,-1,0)))))</f>
        <v>20700</v>
      </c>
      <c r="J1265" s="15">
        <v>20700</v>
      </c>
      <c r="K1265" s="15">
        <f>IF(OR(J1265="",G1265=""),"",MAX(J1265,MIN(ROUND(J1265*(1+Параметры!$B$5),IF(J1265*(1+Параметры!$B$5)&gt;=1000,-1,0)),ROUND(G1265*Параметры!$B$6,IF(G1265*Параметры!$B$6&gt;=1000,-1,0)))))</f>
        <v>23810</v>
      </c>
      <c r="L1265" s="16">
        <v>17</v>
      </c>
      <c r="M1265" s="17">
        <f t="shared" si="96"/>
        <v>5.8823529411764705E-2</v>
      </c>
      <c r="N1265" s="17">
        <f>IF(OR(L1265="",L1265=0),"",Параметры!$B$3/L1265)</f>
        <v>0.47058823529411764</v>
      </c>
      <c r="O1265" s="15">
        <f>IF(L1265="","",IFERROR(INDEX('Почасовка — ставки и план'!$D$5:$D$24,MATCH($D1265,'Почасовка — ставки и план'!$A$5:$A$24,0)),""))</f>
        <v>1200</v>
      </c>
      <c r="P1265" s="15">
        <f>IF(L1265="","",IFERROR(INDEX('Почасовка — ставки и план'!$E$5:$E$24,MATCH($D1265,'Почасовка — ставки и план'!$A$5:$A$24,0)),""))</f>
        <v>1440</v>
      </c>
      <c r="Q1265" s="15">
        <f t="shared" si="97"/>
        <v>20400</v>
      </c>
      <c r="R1265" s="13" t="str">
        <f>IF(D1265="TEX","аренда техники — сделка/счёт",IF(OR(Q1265="",H1265="",H1265=0),"—",IF(Q1265&lt;H1265*(1-Параметры!$B$7),"почасовка",IF(Q1265&gt;H1265*(1+Параметры!$B$7),"сделка","любой способ"))))</f>
        <v>сделка</v>
      </c>
      <c r="S1265">
        <v>0</v>
      </c>
      <c r="T1265">
        <v>0</v>
      </c>
    </row>
    <row r="1266" spans="1:20" x14ac:dyDescent="0.25">
      <c r="A1266" s="13" t="s">
        <v>2573</v>
      </c>
      <c r="B1266" s="13" t="s">
        <v>2574</v>
      </c>
      <c r="C1266" s="13" t="s">
        <v>144</v>
      </c>
      <c r="D1266" s="13" t="s">
        <v>299</v>
      </c>
      <c r="E1266" s="13" t="str">
        <f>IFERROR(INDEX('Почасовка — ставки и план'!$B$5:$B$24,MATCH(D1266,'Почасовка — ставки и план'!$A$5:$A$24,0)),"Аренда техники / механизмы")</f>
        <v>Холодильщик / монтажник кондиционеров</v>
      </c>
      <c r="F1266" s="14">
        <v>14400</v>
      </c>
      <c r="G1266" s="14">
        <v>17280</v>
      </c>
      <c r="H1266" s="15">
        <v>8400</v>
      </c>
      <c r="I1266" s="15">
        <f>IF(OR(H1266="",F1266=""),"",MAX(H1266,MIN(ROUND(H1266*(1+Параметры!$B$5),IF(H1266*(1+Параметры!$B$5)&gt;=1000,-1,0)),ROUND(F1266*Параметры!$B$6,IF(F1266*Параметры!$B$6&gt;=1000,-1,0)))))</f>
        <v>9660</v>
      </c>
      <c r="J1266" s="15">
        <v>9600</v>
      </c>
      <c r="K1266" s="15">
        <f>IF(OR(J1266="",G1266=""),"",MAX(J1266,MIN(ROUND(J1266*(1+Параметры!$B$5),IF(J1266*(1+Параметры!$B$5)&gt;=1000,-1,0)),ROUND(G1266*Параметры!$B$6,IF(G1266*Параметры!$B$6&gt;=1000,-1,0)))))</f>
        <v>11040</v>
      </c>
      <c r="L1266" s="16">
        <v>9</v>
      </c>
      <c r="M1266" s="17">
        <f t="shared" si="96"/>
        <v>0.1111111111111111</v>
      </c>
      <c r="N1266" s="17">
        <f>IF(OR(L1266="",L1266=0),"",Параметры!$B$3/L1266)</f>
        <v>0.88888888888888884</v>
      </c>
      <c r="O1266" s="15">
        <f>IF(L1266="","",IFERROR(INDEX('Почасовка — ставки и план'!$D$5:$D$24,MATCH($D1266,'Почасовка — ставки и план'!$A$5:$A$24,0)),""))</f>
        <v>1200</v>
      </c>
      <c r="P1266" s="15">
        <f>IF(L1266="","",IFERROR(INDEX('Почасовка — ставки и план'!$E$5:$E$24,MATCH($D1266,'Почасовка — ставки и план'!$A$5:$A$24,0)),""))</f>
        <v>1440</v>
      </c>
      <c r="Q1266" s="15">
        <f t="shared" si="97"/>
        <v>10800</v>
      </c>
      <c r="R1266" s="13" t="str">
        <f>IF(D1266="TEX","аренда техники — сделка/счёт",IF(OR(Q1266="",H1266="",H1266=0),"—",IF(Q1266&lt;H1266*(1-Параметры!$B$7),"почасовка",IF(Q1266&gt;H1266*(1+Параметры!$B$7),"сделка","любой способ"))))</f>
        <v>сделка</v>
      </c>
      <c r="S1266">
        <v>2.857142857142847E-2</v>
      </c>
      <c r="T1266">
        <v>8.0000000000000071E-2</v>
      </c>
    </row>
    <row r="1267" spans="1:20" x14ac:dyDescent="0.25">
      <c r="A1267" s="13" t="s">
        <v>2575</v>
      </c>
      <c r="B1267" s="13" t="s">
        <v>2576</v>
      </c>
      <c r="C1267" s="13" t="s">
        <v>144</v>
      </c>
      <c r="D1267" s="13" t="s">
        <v>299</v>
      </c>
      <c r="E1267" s="13" t="str">
        <f>IFERROR(INDEX('Почасовка — ставки и план'!$B$5:$B$24,MATCH(D1267,'Почасовка — ставки и план'!$A$5:$A$24,0)),"Аренда техники / механизмы")</f>
        <v>Холодильщик / монтажник кондиционеров</v>
      </c>
      <c r="F1267" s="14">
        <v>18000</v>
      </c>
      <c r="G1267" s="14">
        <v>21120</v>
      </c>
      <c r="H1267" s="15">
        <v>10800</v>
      </c>
      <c r="I1267" s="15">
        <f>IF(OR(H1267="",F1267=""),"",MAX(H1267,MIN(ROUND(H1267*(1+Параметры!$B$5),IF(H1267*(1+Параметры!$B$5)&gt;=1000,-1,0)),ROUND(F1267*Параметры!$B$6,IF(F1267*Параметры!$B$6&gt;=1000,-1,0)))))</f>
        <v>12420</v>
      </c>
      <c r="J1267" s="15">
        <v>12300</v>
      </c>
      <c r="K1267" s="15">
        <f>IF(OR(J1267="",G1267=""),"",MAX(J1267,MIN(ROUND(J1267*(1+Параметры!$B$5),IF(J1267*(1+Параметры!$B$5)&gt;=1000,-1,0)),ROUND(G1267*Параметры!$B$6,IF(G1267*Параметры!$B$6&gt;=1000,-1,0)))))</f>
        <v>14150</v>
      </c>
      <c r="L1267" s="16">
        <v>11</v>
      </c>
      <c r="M1267" s="17">
        <f t="shared" si="96"/>
        <v>9.0909090909090912E-2</v>
      </c>
      <c r="N1267" s="17">
        <f>IF(OR(L1267="",L1267=0),"",Параметры!$B$3/L1267)</f>
        <v>0.72727272727272729</v>
      </c>
      <c r="O1267" s="15">
        <f>IF(L1267="","",IFERROR(INDEX('Почасовка — ставки и план'!$D$5:$D$24,MATCH($D1267,'Почасовка — ставки и план'!$A$5:$A$24,0)),""))</f>
        <v>1200</v>
      </c>
      <c r="P1267" s="15">
        <f>IF(L1267="","",IFERROR(INDEX('Почасовка — ставки и план'!$E$5:$E$24,MATCH($D1267,'Почасовка — ставки и план'!$A$5:$A$24,0)),""))</f>
        <v>1440</v>
      </c>
      <c r="Q1267" s="15">
        <f t="shared" si="97"/>
        <v>13200</v>
      </c>
      <c r="R1267" s="13" t="str">
        <f>IF(D1267="TEX","аренда техники — сделка/счёт",IF(OR(Q1267="",H1267="",H1267=0),"—",IF(Q1267&lt;H1267*(1-Параметры!$B$7),"почасовка",IF(Q1267&gt;H1267*(1+Параметры!$B$7),"сделка","любой способ"))))</f>
        <v>сделка</v>
      </c>
      <c r="S1267">
        <v>0</v>
      </c>
      <c r="T1267">
        <v>3.0243902439024421E-2</v>
      </c>
    </row>
    <row r="1268" spans="1:20" x14ac:dyDescent="0.25">
      <c r="A1268" s="13" t="s">
        <v>2577</v>
      </c>
      <c r="B1268" s="13" t="s">
        <v>2578</v>
      </c>
      <c r="C1268" s="13" t="s">
        <v>144</v>
      </c>
      <c r="D1268" s="13" t="s">
        <v>299</v>
      </c>
      <c r="E1268" s="13" t="str">
        <f>IFERROR(INDEX('Почасовка — ставки и план'!$B$5:$B$24,MATCH(D1268,'Почасовка — ставки и план'!$A$5:$A$24,0)),"Аренда техники / механизмы")</f>
        <v>Холодильщик / монтажник кондиционеров</v>
      </c>
      <c r="F1268" s="14">
        <v>23000</v>
      </c>
      <c r="G1268" s="14">
        <v>26880</v>
      </c>
      <c r="H1268" s="15">
        <v>13800</v>
      </c>
      <c r="I1268" s="15">
        <f>IF(OR(H1268="",F1268=""),"",MAX(H1268,MIN(ROUND(H1268*(1+Параметры!$B$5),IF(H1268*(1+Параметры!$B$5)&gt;=1000,-1,0)),ROUND(F1268*Параметры!$B$6,IF(F1268*Параметры!$B$6&gt;=1000,-1,0)))))</f>
        <v>15870</v>
      </c>
      <c r="J1268" s="15">
        <v>15600</v>
      </c>
      <c r="K1268" s="15">
        <f>IF(OR(J1268="",G1268=""),"",MAX(J1268,MIN(ROUND(J1268*(1+Параметры!$B$5),IF(J1268*(1+Параметры!$B$5)&gt;=1000,-1,0)),ROUND(G1268*Параметры!$B$6,IF(G1268*Параметры!$B$6&gt;=1000,-1,0)))))</f>
        <v>17940</v>
      </c>
      <c r="L1268" s="16">
        <v>14</v>
      </c>
      <c r="M1268" s="17">
        <f t="shared" si="96"/>
        <v>7.1428571428571425E-2</v>
      </c>
      <c r="N1268" s="17">
        <f>IF(OR(L1268="",L1268=0),"",Параметры!$B$3/L1268)</f>
        <v>0.5714285714285714</v>
      </c>
      <c r="O1268" s="15">
        <f>IF(L1268="","",IFERROR(INDEX('Почасовка — ставки и план'!$D$5:$D$24,MATCH($D1268,'Почасовка — ставки и план'!$A$5:$A$24,0)),""))</f>
        <v>1200</v>
      </c>
      <c r="P1268" s="15">
        <f>IF(L1268="","",IFERROR(INDEX('Почасовка — ставки и план'!$E$5:$E$24,MATCH($D1268,'Почасовка — ставки и план'!$A$5:$A$24,0)),""))</f>
        <v>1440</v>
      </c>
      <c r="Q1268" s="15">
        <f t="shared" si="97"/>
        <v>16800</v>
      </c>
      <c r="R1268" s="13" t="str">
        <f>IF(D1268="TEX","аренда техники — сделка/счёт",IF(OR(Q1268="",H1268="",H1268=0),"—",IF(Q1268&lt;H1268*(1-Параметры!$B$7),"почасовка",IF(Q1268&gt;H1268*(1+Параметры!$B$7),"сделка","любой способ"))))</f>
        <v>сделка</v>
      </c>
      <c r="S1268">
        <v>0</v>
      </c>
      <c r="T1268">
        <v>3.3846153846153859E-2</v>
      </c>
    </row>
    <row r="1269" spans="1:20" x14ac:dyDescent="0.25">
      <c r="A1269" s="13" t="s">
        <v>2579</v>
      </c>
      <c r="B1269" s="13" t="s">
        <v>2580</v>
      </c>
      <c r="C1269" s="13" t="s">
        <v>144</v>
      </c>
      <c r="D1269" s="13" t="s">
        <v>288</v>
      </c>
      <c r="E1269" s="13" t="str">
        <f>IFERROR(INDEX('Почасовка — ставки и план'!$B$5:$B$24,MATCH(D1269,'Почасовка — ставки и план'!$A$5:$A$24,0)),"Аренда техники / механизмы")</f>
        <v>Монтажник вентиляции</v>
      </c>
      <c r="F1269" s="14">
        <v>13000</v>
      </c>
      <c r="G1269" s="14">
        <v>15000</v>
      </c>
      <c r="H1269" s="15">
        <v>7800</v>
      </c>
      <c r="I1269" s="15">
        <f>IF(OR(H1269="",F1269=""),"",MAX(H1269,MIN(ROUND(H1269*(1+Параметры!$B$5),IF(H1269*(1+Параметры!$B$5)&gt;=1000,-1,0)),ROUND(F1269*Параметры!$B$6,IF(F1269*Параметры!$B$6&gt;=1000,-1,0)))))</f>
        <v>8970</v>
      </c>
      <c r="J1269" s="15">
        <v>9000</v>
      </c>
      <c r="K1269" s="15">
        <f>IF(OR(J1269="",G1269=""),"",MAX(J1269,MIN(ROUND(J1269*(1+Параметры!$B$5),IF(J1269*(1+Параметры!$B$5)&gt;=1000,-1,0)),ROUND(G1269*Параметры!$B$6,IF(G1269*Параметры!$B$6&gt;=1000,-1,0)))))</f>
        <v>10350</v>
      </c>
      <c r="L1269" s="16">
        <v>8</v>
      </c>
      <c r="M1269" s="17">
        <f t="shared" si="96"/>
        <v>0.125</v>
      </c>
      <c r="N1269" s="17">
        <f>IF(OR(L1269="",L1269=0),"",Параметры!$B$3/L1269)</f>
        <v>1</v>
      </c>
      <c r="O1269" s="15">
        <f>IF(L1269="","",IFERROR(INDEX('Почасовка — ставки и план'!$D$5:$D$24,MATCH($D1269,'Почасовка — ставки и план'!$A$5:$A$24,0)),""))</f>
        <v>850</v>
      </c>
      <c r="P1269" s="15">
        <f>IF(L1269="","",IFERROR(INDEX('Почасовка — ставки и план'!$E$5:$E$24,MATCH($D1269,'Почасовка — ставки и план'!$A$5:$A$24,0)),""))</f>
        <v>1020</v>
      </c>
      <c r="Q1269" s="15">
        <f t="shared" si="97"/>
        <v>6800</v>
      </c>
      <c r="R1269" s="13" t="str">
        <f>IF(D1269="TEX","аренда техники — сделка/счёт",IF(OR(Q1269="",H1269="",H1269=0),"—",IF(Q1269&lt;H1269*(1-Параметры!$B$7),"почасовка",IF(Q1269&gt;H1269*(1+Параметры!$B$7),"сделка","любой способ"))))</f>
        <v>почасовка</v>
      </c>
      <c r="S1269">
        <v>0</v>
      </c>
      <c r="T1269">
        <v>0</v>
      </c>
    </row>
    <row r="1270" spans="1:20" x14ac:dyDescent="0.25">
      <c r="A1270" s="13" t="s">
        <v>2581</v>
      </c>
      <c r="B1270" s="13" t="s">
        <v>2582</v>
      </c>
      <c r="C1270" s="13" t="s">
        <v>144</v>
      </c>
      <c r="D1270" s="13" t="s">
        <v>288</v>
      </c>
      <c r="E1270" s="13" t="str">
        <f>IFERROR(INDEX('Почасовка — ставки и план'!$B$5:$B$24,MATCH(D1270,'Почасовка — ставки и план'!$A$5:$A$24,0)),"Аренда техники / механизмы")</f>
        <v>Монтажник вентиляции</v>
      </c>
      <c r="F1270" s="14">
        <v>15000</v>
      </c>
      <c r="G1270" s="14">
        <v>17500</v>
      </c>
      <c r="H1270" s="15">
        <v>9000</v>
      </c>
      <c r="I1270" s="15">
        <f>IF(OR(H1270="",F1270=""),"",MAX(H1270,MIN(ROUND(H1270*(1+Параметры!$B$5),IF(H1270*(1+Параметры!$B$5)&gt;=1000,-1,0)),ROUND(F1270*Параметры!$B$6,IF(F1270*Параметры!$B$6&gt;=1000,-1,0)))))</f>
        <v>10350</v>
      </c>
      <c r="J1270" s="15">
        <v>10500</v>
      </c>
      <c r="K1270" s="15">
        <f>IF(OR(J1270="",G1270=""),"",MAX(J1270,MIN(ROUND(J1270*(1+Параметры!$B$5),IF(J1270*(1+Параметры!$B$5)&gt;=1000,-1,0)),ROUND(G1270*Параметры!$B$6,IF(G1270*Параметры!$B$6&gt;=1000,-1,0)))))</f>
        <v>12080</v>
      </c>
      <c r="L1270" s="16">
        <v>9.5</v>
      </c>
      <c r="M1270" s="17">
        <f t="shared" si="96"/>
        <v>0.10526315789473684</v>
      </c>
      <c r="N1270" s="17">
        <f>IF(OR(L1270="",L1270=0),"",Параметры!$B$3/L1270)</f>
        <v>0.84210526315789469</v>
      </c>
      <c r="O1270" s="15">
        <f>IF(L1270="","",IFERROR(INDEX('Почасовка — ставки и план'!$D$5:$D$24,MATCH($D1270,'Почасовка — ставки и план'!$A$5:$A$24,0)),""))</f>
        <v>850</v>
      </c>
      <c r="P1270" s="15">
        <f>IF(L1270="","",IFERROR(INDEX('Почасовка — ставки и план'!$E$5:$E$24,MATCH($D1270,'Почасовка — ставки и план'!$A$5:$A$24,0)),""))</f>
        <v>1020</v>
      </c>
      <c r="Q1270" s="15">
        <f t="shared" si="97"/>
        <v>8075</v>
      </c>
      <c r="R1270" s="13" t="str">
        <f>IF(D1270="TEX","аренда техники — сделка/счёт",IF(OR(Q1270="",H1270="",H1270=0),"—",IF(Q1270&lt;H1270*(1-Параметры!$B$7),"почасовка",IF(Q1270&gt;H1270*(1+Параметры!$B$7),"сделка","любой способ"))))</f>
        <v>почасовка</v>
      </c>
      <c r="S1270">
        <v>0</v>
      </c>
      <c r="T1270">
        <v>0</v>
      </c>
    </row>
    <row r="1271" spans="1:20" x14ac:dyDescent="0.25">
      <c r="A1271" s="13" t="s">
        <v>2583</v>
      </c>
      <c r="B1271" s="13" t="s">
        <v>2584</v>
      </c>
      <c r="C1271" s="13" t="s">
        <v>144</v>
      </c>
      <c r="D1271" s="13" t="s">
        <v>288</v>
      </c>
      <c r="E1271" s="13" t="str">
        <f>IFERROR(INDEX('Почасовка — ставки и план'!$B$5:$B$24,MATCH(D1271,'Почасовка — ставки и план'!$A$5:$A$24,0)),"Аренда техники / механизмы")</f>
        <v>Монтажник вентиляции</v>
      </c>
      <c r="F1271" s="14">
        <v>11000</v>
      </c>
      <c r="G1271" s="14">
        <v>12700</v>
      </c>
      <c r="H1271" s="15">
        <v>6600</v>
      </c>
      <c r="I1271" s="15">
        <f>IF(OR(H1271="",F1271=""),"",MAX(H1271,MIN(ROUND(H1271*(1+Параметры!$B$5),IF(H1271*(1+Параметры!$B$5)&gt;=1000,-1,0)),ROUND(F1271*Параметры!$B$6,IF(F1271*Параметры!$B$6&gt;=1000,-1,0)))))</f>
        <v>7590</v>
      </c>
      <c r="J1271" s="15">
        <v>7620</v>
      </c>
      <c r="K1271" s="15">
        <f>IF(OR(J1271="",G1271=""),"",MAX(J1271,MIN(ROUND(J1271*(1+Параметры!$B$5),IF(J1271*(1+Параметры!$B$5)&gt;=1000,-1,0)),ROUND(G1271*Параметры!$B$6,IF(G1271*Параметры!$B$6&gt;=1000,-1,0)))))</f>
        <v>8760</v>
      </c>
      <c r="L1271" s="16">
        <v>7</v>
      </c>
      <c r="M1271" s="17">
        <f t="shared" si="96"/>
        <v>0.14285714285714285</v>
      </c>
      <c r="N1271" s="17">
        <f>IF(OR(L1271="",L1271=0),"",Параметры!$B$3/L1271)</f>
        <v>1.1428571428571428</v>
      </c>
      <c r="O1271" s="15">
        <f>IF(L1271="","",IFERROR(INDEX('Почасовка — ставки и план'!$D$5:$D$24,MATCH($D1271,'Почасовка — ставки и план'!$A$5:$A$24,0)),""))</f>
        <v>850</v>
      </c>
      <c r="P1271" s="15">
        <f>IF(L1271="","",IFERROR(INDEX('Почасовка — ставки и план'!$E$5:$E$24,MATCH($D1271,'Почасовка — ставки и план'!$A$5:$A$24,0)),""))</f>
        <v>1020</v>
      </c>
      <c r="Q1271" s="15">
        <f t="shared" si="97"/>
        <v>5950</v>
      </c>
      <c r="R1271" s="13" t="str">
        <f>IF(D1271="TEX","аренда техники — сделка/счёт",IF(OR(Q1271="",H1271="",H1271=0),"—",IF(Q1271&lt;H1271*(1-Параметры!$B$7),"почасовка",IF(Q1271&gt;H1271*(1+Параметры!$B$7),"сделка","любой способ"))))</f>
        <v>любой способ</v>
      </c>
      <c r="S1271">
        <v>0</v>
      </c>
      <c r="T1271">
        <v>0</v>
      </c>
    </row>
    <row r="1272" spans="1:20" x14ac:dyDescent="0.25">
      <c r="A1272" s="13" t="s">
        <v>2585</v>
      </c>
      <c r="B1272" s="13" t="s">
        <v>2586</v>
      </c>
      <c r="C1272" s="13" t="s">
        <v>144</v>
      </c>
      <c r="D1272" s="13" t="s">
        <v>288</v>
      </c>
      <c r="E1272" s="13" t="str">
        <f>IFERROR(INDEX('Почасовка — ставки и план'!$B$5:$B$24,MATCH(D1272,'Почасовка — ставки и план'!$A$5:$A$24,0)),"Аренда техники / механизмы")</f>
        <v>Монтажник вентиляции</v>
      </c>
      <c r="F1272" s="14">
        <v>18000</v>
      </c>
      <c r="G1272" s="14">
        <v>21000</v>
      </c>
      <c r="H1272" s="15">
        <v>10800</v>
      </c>
      <c r="I1272" s="15">
        <f>IF(OR(H1272="",F1272=""),"",MAX(H1272,MIN(ROUND(H1272*(1+Параметры!$B$5),IF(H1272*(1+Параметры!$B$5)&gt;=1000,-1,0)),ROUND(F1272*Параметры!$B$6,IF(F1272*Параметры!$B$6&gt;=1000,-1,0)))))</f>
        <v>12420</v>
      </c>
      <c r="J1272" s="15">
        <v>12600</v>
      </c>
      <c r="K1272" s="15">
        <f>IF(OR(J1272="",G1272=""),"",MAX(J1272,MIN(ROUND(J1272*(1+Параметры!$B$5),IF(J1272*(1+Параметры!$B$5)&gt;=1000,-1,0)),ROUND(G1272*Параметры!$B$6,IF(G1272*Параметры!$B$6&gt;=1000,-1,0)))))</f>
        <v>14490</v>
      </c>
      <c r="L1272" s="16">
        <v>11.5</v>
      </c>
      <c r="M1272" s="17">
        <f t="shared" si="96"/>
        <v>8.6956521739130432E-2</v>
      </c>
      <c r="N1272" s="17">
        <f>IF(OR(L1272="",L1272=0),"",Параметры!$B$3/L1272)</f>
        <v>0.69565217391304346</v>
      </c>
      <c r="O1272" s="15">
        <f>IF(L1272="","",IFERROR(INDEX('Почасовка — ставки и план'!$D$5:$D$24,MATCH($D1272,'Почасовка — ставки и план'!$A$5:$A$24,0)),""))</f>
        <v>850</v>
      </c>
      <c r="P1272" s="15">
        <f>IF(L1272="","",IFERROR(INDEX('Почасовка — ставки и план'!$E$5:$E$24,MATCH($D1272,'Почасовка — ставки и план'!$A$5:$A$24,0)),""))</f>
        <v>1020</v>
      </c>
      <c r="Q1272" s="15">
        <f t="shared" si="97"/>
        <v>9775</v>
      </c>
      <c r="R1272" s="13" t="str">
        <f>IF(D1272="TEX","аренда техники — сделка/счёт",IF(OR(Q1272="",H1272="",H1272=0),"—",IF(Q1272&lt;H1272*(1-Параметры!$B$7),"почасовка",IF(Q1272&gt;H1272*(1+Параметры!$B$7),"сделка","любой способ"))))</f>
        <v>любой способ</v>
      </c>
      <c r="S1272">
        <v>0</v>
      </c>
      <c r="T1272">
        <v>0</v>
      </c>
    </row>
    <row r="1273" spans="1:20" x14ac:dyDescent="0.25">
      <c r="A1273" s="13" t="s">
        <v>2587</v>
      </c>
      <c r="B1273" s="13" t="s">
        <v>2588</v>
      </c>
      <c r="C1273" s="13" t="s">
        <v>144</v>
      </c>
      <c r="D1273" s="13" t="s">
        <v>288</v>
      </c>
      <c r="E1273" s="13" t="str">
        <f>IFERROR(INDEX('Почасовка — ставки и план'!$B$5:$B$24,MATCH(D1273,'Почасовка — ставки и план'!$A$5:$A$24,0)),"Аренда техники / механизмы")</f>
        <v>Монтажник вентиляции</v>
      </c>
      <c r="F1273" s="14">
        <v>7500</v>
      </c>
      <c r="G1273" s="14">
        <v>8500</v>
      </c>
      <c r="H1273" s="15">
        <v>4500</v>
      </c>
      <c r="I1273" s="15">
        <f>IF(OR(H1273="",F1273=""),"",MAX(H1273,MIN(ROUND(H1273*(1+Параметры!$B$5),IF(H1273*(1+Параметры!$B$5)&gt;=1000,-1,0)),ROUND(F1273*Параметры!$B$6,IF(F1273*Параметры!$B$6&gt;=1000,-1,0)))))</f>
        <v>5180</v>
      </c>
      <c r="J1273" s="15">
        <v>5100</v>
      </c>
      <c r="K1273" s="15">
        <f>IF(OR(J1273="",G1273=""),"",MAX(J1273,MIN(ROUND(J1273*(1+Параметры!$B$5),IF(J1273*(1+Параметры!$B$5)&gt;=1000,-1,0)),ROUND(G1273*Параметры!$B$6,IF(G1273*Параметры!$B$6&gt;=1000,-1,0)))))</f>
        <v>5870</v>
      </c>
      <c r="L1273" s="16">
        <v>4.5</v>
      </c>
      <c r="M1273" s="17">
        <f t="shared" si="96"/>
        <v>0.22222222222222221</v>
      </c>
      <c r="N1273" s="17">
        <f>IF(OR(L1273="",L1273=0),"",Параметры!$B$3/L1273)</f>
        <v>1.7777777777777777</v>
      </c>
      <c r="O1273" s="15">
        <f>IF(L1273="","",IFERROR(INDEX('Почасовка — ставки и план'!$D$5:$D$24,MATCH($D1273,'Почасовка — ставки и план'!$A$5:$A$24,0)),""))</f>
        <v>850</v>
      </c>
      <c r="P1273" s="15">
        <f>IF(L1273="","",IFERROR(INDEX('Почасовка — ставки и план'!$E$5:$E$24,MATCH($D1273,'Почасовка — ставки и план'!$A$5:$A$24,0)),""))</f>
        <v>1020</v>
      </c>
      <c r="Q1273" s="15">
        <f t="shared" si="97"/>
        <v>3825</v>
      </c>
      <c r="R1273" s="13" t="str">
        <f>IF(D1273="TEX","аренда техники — сделка/счёт",IF(OR(Q1273="",H1273="",H1273=0),"—",IF(Q1273&lt;H1273*(1-Параметры!$B$7),"почасовка",IF(Q1273&gt;H1273*(1+Параметры!$B$7),"сделка","любой способ"))))</f>
        <v>почасовка</v>
      </c>
      <c r="S1273">
        <v>0</v>
      </c>
      <c r="T1273">
        <v>0</v>
      </c>
    </row>
    <row r="1274" spans="1:20" x14ac:dyDescent="0.25">
      <c r="A1274" s="13" t="s">
        <v>2589</v>
      </c>
      <c r="B1274" s="13" t="s">
        <v>2590</v>
      </c>
      <c r="C1274" s="13" t="s">
        <v>144</v>
      </c>
      <c r="D1274" s="13" t="s">
        <v>288</v>
      </c>
      <c r="E1274" s="13" t="str">
        <f>IFERROR(INDEX('Почасовка — ставки и план'!$B$5:$B$24,MATCH(D1274,'Почасовка — ставки и план'!$A$5:$A$24,0)),"Аренда техники / механизмы")</f>
        <v>Монтажник вентиляции</v>
      </c>
      <c r="F1274" s="14">
        <v>8500</v>
      </c>
      <c r="G1274" s="14">
        <v>9800</v>
      </c>
      <c r="H1274" s="15">
        <v>5100</v>
      </c>
      <c r="I1274" s="15">
        <f>IF(OR(H1274="",F1274=""),"",MAX(H1274,MIN(ROUND(H1274*(1+Параметры!$B$5),IF(H1274*(1+Параметры!$B$5)&gt;=1000,-1,0)),ROUND(F1274*Параметры!$B$6,IF(F1274*Параметры!$B$6&gt;=1000,-1,0)))))</f>
        <v>5870</v>
      </c>
      <c r="J1274" s="15">
        <v>5880</v>
      </c>
      <c r="K1274" s="15">
        <f>IF(OR(J1274="",G1274=""),"",MAX(J1274,MIN(ROUND(J1274*(1+Параметры!$B$5),IF(J1274*(1+Параметры!$B$5)&gt;=1000,-1,0)),ROUND(G1274*Параметры!$B$6,IF(G1274*Параметры!$B$6&gt;=1000,-1,0)))))</f>
        <v>6760</v>
      </c>
      <c r="L1274" s="16">
        <v>5</v>
      </c>
      <c r="M1274" s="17">
        <f t="shared" si="96"/>
        <v>0.2</v>
      </c>
      <c r="N1274" s="17">
        <f>IF(OR(L1274="",L1274=0),"",Параметры!$B$3/L1274)</f>
        <v>1.6</v>
      </c>
      <c r="O1274" s="15">
        <f>IF(L1274="","",IFERROR(INDEX('Почасовка — ставки и план'!$D$5:$D$24,MATCH($D1274,'Почасовка — ставки и план'!$A$5:$A$24,0)),""))</f>
        <v>850</v>
      </c>
      <c r="P1274" s="15">
        <f>IF(L1274="","",IFERROR(INDEX('Почасовка — ставки и план'!$E$5:$E$24,MATCH($D1274,'Почасовка — ставки и план'!$A$5:$A$24,0)),""))</f>
        <v>1020</v>
      </c>
      <c r="Q1274" s="15">
        <f t="shared" si="97"/>
        <v>4250</v>
      </c>
      <c r="R1274" s="13" t="str">
        <f>IF(D1274="TEX","аренда техники — сделка/счёт",IF(OR(Q1274="",H1274="",H1274=0),"—",IF(Q1274&lt;H1274*(1-Параметры!$B$7),"почасовка",IF(Q1274&gt;H1274*(1+Параметры!$B$7),"сделка","любой способ"))))</f>
        <v>почасовка</v>
      </c>
      <c r="S1274">
        <v>0</v>
      </c>
      <c r="T1274">
        <v>0</v>
      </c>
    </row>
    <row r="1275" spans="1:20" x14ac:dyDescent="0.25">
      <c r="A1275" s="13" t="s">
        <v>2591</v>
      </c>
      <c r="B1275" s="13" t="s">
        <v>2592</v>
      </c>
      <c r="C1275" s="13" t="s">
        <v>144</v>
      </c>
      <c r="D1275" s="13" t="s">
        <v>288</v>
      </c>
      <c r="E1275" s="13" t="str">
        <f>IFERROR(INDEX('Почасовка — ставки и план'!$B$5:$B$24,MATCH(D1275,'Почасовка — ставки и план'!$A$5:$A$24,0)),"Аренда техники / механизмы")</f>
        <v>Монтажник вентиляции</v>
      </c>
      <c r="F1275" s="14">
        <v>6000</v>
      </c>
      <c r="G1275" s="14">
        <v>7000</v>
      </c>
      <c r="H1275" s="15">
        <v>3600</v>
      </c>
      <c r="I1275" s="15">
        <f>IF(OR(H1275="",F1275=""),"",MAX(H1275,MIN(ROUND(H1275*(1+Параметры!$B$5),IF(H1275*(1+Параметры!$B$5)&gt;=1000,-1,0)),ROUND(F1275*Параметры!$B$6,IF(F1275*Параметры!$B$6&gt;=1000,-1,0)))))</f>
        <v>4140</v>
      </c>
      <c r="J1275" s="15">
        <v>4200</v>
      </c>
      <c r="K1275" s="15">
        <f>IF(OR(J1275="",G1275=""),"",MAX(J1275,MIN(ROUND(J1275*(1+Параметры!$B$5),IF(J1275*(1+Параметры!$B$5)&gt;=1000,-1,0)),ROUND(G1275*Параметры!$B$6,IF(G1275*Параметры!$B$6&gt;=1000,-1,0)))))</f>
        <v>4830</v>
      </c>
      <c r="L1275" s="16">
        <v>3.5</v>
      </c>
      <c r="M1275" s="17">
        <f t="shared" si="96"/>
        <v>0.2857142857142857</v>
      </c>
      <c r="N1275" s="17">
        <f>IF(OR(L1275="",L1275=0),"",Параметры!$B$3/L1275)</f>
        <v>2.2857142857142856</v>
      </c>
      <c r="O1275" s="15">
        <f>IF(L1275="","",IFERROR(INDEX('Почасовка — ставки и план'!$D$5:$D$24,MATCH($D1275,'Почасовка — ставки и план'!$A$5:$A$24,0)),""))</f>
        <v>850</v>
      </c>
      <c r="P1275" s="15">
        <f>IF(L1275="","",IFERROR(INDEX('Почасовка — ставки и план'!$E$5:$E$24,MATCH($D1275,'Почасовка — ставки и план'!$A$5:$A$24,0)),""))</f>
        <v>1020</v>
      </c>
      <c r="Q1275" s="15">
        <f t="shared" si="97"/>
        <v>2975</v>
      </c>
      <c r="R1275" s="13" t="str">
        <f>IF(D1275="TEX","аренда техники — сделка/счёт",IF(OR(Q1275="",H1275="",H1275=0),"—",IF(Q1275&lt;H1275*(1-Параметры!$B$7),"почасовка",IF(Q1275&gt;H1275*(1+Параметры!$B$7),"сделка","любой способ"))))</f>
        <v>почасовка</v>
      </c>
      <c r="S1275">
        <v>0</v>
      </c>
      <c r="T1275">
        <v>0</v>
      </c>
    </row>
    <row r="1276" spans="1:20" x14ac:dyDescent="0.25">
      <c r="A1276" s="13" t="s">
        <v>2593</v>
      </c>
      <c r="B1276" s="13" t="s">
        <v>2594</v>
      </c>
      <c r="C1276" s="13" t="s">
        <v>144</v>
      </c>
      <c r="D1276" s="13" t="s">
        <v>288</v>
      </c>
      <c r="E1276" s="13" t="str">
        <f>IFERROR(INDEX('Почасовка — ставки и план'!$B$5:$B$24,MATCH(D1276,'Почасовка — ставки и план'!$A$5:$A$24,0)),"Аренда техники / механизмы")</f>
        <v>Монтажник вентиляции</v>
      </c>
      <c r="F1276" s="14">
        <v>11000</v>
      </c>
      <c r="G1276" s="14">
        <v>12700</v>
      </c>
      <c r="H1276" s="15">
        <v>6600</v>
      </c>
      <c r="I1276" s="15">
        <f>IF(OR(H1276="",F1276=""),"",MAX(H1276,MIN(ROUND(H1276*(1+Параметры!$B$5),IF(H1276*(1+Параметры!$B$5)&gt;=1000,-1,0)),ROUND(F1276*Параметры!$B$6,IF(F1276*Параметры!$B$6&gt;=1000,-1,0)))))</f>
        <v>7590</v>
      </c>
      <c r="J1276" s="15">
        <v>7620</v>
      </c>
      <c r="K1276" s="15">
        <f>IF(OR(J1276="",G1276=""),"",MAX(J1276,MIN(ROUND(J1276*(1+Параметры!$B$5),IF(J1276*(1+Параметры!$B$5)&gt;=1000,-1,0)),ROUND(G1276*Параметры!$B$6,IF(G1276*Параметры!$B$6&gt;=1000,-1,0)))))</f>
        <v>8760</v>
      </c>
      <c r="L1276" s="16">
        <v>6.5</v>
      </c>
      <c r="M1276" s="17">
        <f t="shared" si="96"/>
        <v>0.15384615384615385</v>
      </c>
      <c r="N1276" s="17">
        <f>IF(OR(L1276="",L1276=0),"",Параметры!$B$3/L1276)</f>
        <v>1.2307692307692308</v>
      </c>
      <c r="O1276" s="15">
        <f>IF(L1276="","",IFERROR(INDEX('Почасовка — ставки и план'!$D$5:$D$24,MATCH($D1276,'Почасовка — ставки и план'!$A$5:$A$24,0)),""))</f>
        <v>850</v>
      </c>
      <c r="P1276" s="15">
        <f>IF(L1276="","",IFERROR(INDEX('Почасовка — ставки и план'!$E$5:$E$24,MATCH($D1276,'Почасовка — ставки и план'!$A$5:$A$24,0)),""))</f>
        <v>1020</v>
      </c>
      <c r="Q1276" s="15">
        <f t="shared" si="97"/>
        <v>5525</v>
      </c>
      <c r="R1276" s="13" t="str">
        <f>IF(D1276="TEX","аренда техники — сделка/счёт",IF(OR(Q1276="",H1276="",H1276=0),"—",IF(Q1276&lt;H1276*(1-Параметры!$B$7),"почасовка",IF(Q1276&gt;H1276*(1+Параметры!$B$7),"сделка","любой способ"))))</f>
        <v>почасовка</v>
      </c>
      <c r="S1276">
        <v>0</v>
      </c>
      <c r="T1276">
        <v>0</v>
      </c>
    </row>
    <row r="1277" spans="1:20" x14ac:dyDescent="0.25">
      <c r="A1277" s="13" t="s">
        <v>2595</v>
      </c>
      <c r="B1277" s="13" t="s">
        <v>2596</v>
      </c>
      <c r="C1277" s="13" t="s">
        <v>144</v>
      </c>
      <c r="D1277" s="13" t="s">
        <v>288</v>
      </c>
      <c r="E1277" s="13" t="str">
        <f>IFERROR(INDEX('Почасовка — ставки и план'!$B$5:$B$24,MATCH(D1277,'Почасовка — ставки и план'!$A$5:$A$24,0)),"Аренда техники / механизмы")</f>
        <v>Монтажник вентиляции</v>
      </c>
      <c r="F1277" s="14">
        <v>5000</v>
      </c>
      <c r="G1277" s="14">
        <v>5800</v>
      </c>
      <c r="H1277" s="15">
        <v>3000</v>
      </c>
      <c r="I1277" s="15">
        <f>IF(OR(H1277="",F1277=""),"",MAX(H1277,MIN(ROUND(H1277*(1+Параметры!$B$5),IF(H1277*(1+Параметры!$B$5)&gt;=1000,-1,0)),ROUND(F1277*Параметры!$B$6,IF(F1277*Параметры!$B$6&gt;=1000,-1,0)))))</f>
        <v>3450</v>
      </c>
      <c r="J1277" s="15">
        <v>3480</v>
      </c>
      <c r="K1277" s="15">
        <f>IF(OR(J1277="",G1277=""),"",MAX(J1277,MIN(ROUND(J1277*(1+Параметры!$B$5),IF(J1277*(1+Параметры!$B$5)&gt;=1000,-1,0)),ROUND(G1277*Параметры!$B$6,IF(G1277*Параметры!$B$6&gt;=1000,-1,0)))))</f>
        <v>4000</v>
      </c>
      <c r="L1277" s="16">
        <v>4</v>
      </c>
      <c r="M1277" s="17">
        <f t="shared" si="96"/>
        <v>0.25</v>
      </c>
      <c r="N1277" s="17">
        <f>IF(OR(L1277="",L1277=0),"",Параметры!$B$3/L1277)</f>
        <v>2</v>
      </c>
      <c r="O1277" s="15">
        <f>IF(L1277="","",IFERROR(INDEX('Почасовка — ставки и план'!$D$5:$D$24,MATCH($D1277,'Почасовка — ставки и план'!$A$5:$A$24,0)),""))</f>
        <v>850</v>
      </c>
      <c r="P1277" s="15">
        <f>IF(L1277="","",IFERROR(INDEX('Почасовка — ставки и план'!$E$5:$E$24,MATCH($D1277,'Почасовка — ставки и план'!$A$5:$A$24,0)),""))</f>
        <v>1020</v>
      </c>
      <c r="Q1277" s="15">
        <f t="shared" si="97"/>
        <v>3400</v>
      </c>
      <c r="R1277" s="13" t="str">
        <f>IF(D1277="TEX","аренда техники — сделка/счёт",IF(OR(Q1277="",H1277="",H1277=0),"—",IF(Q1277&lt;H1277*(1-Параметры!$B$7),"почасовка",IF(Q1277&gt;H1277*(1+Параметры!$B$7),"сделка","любой способ"))))</f>
        <v>сделка</v>
      </c>
      <c r="S1277">
        <v>0</v>
      </c>
      <c r="T1277">
        <v>0</v>
      </c>
    </row>
    <row r="1278" spans="1:20" x14ac:dyDescent="0.25">
      <c r="A1278" s="13" t="s">
        <v>2597</v>
      </c>
      <c r="B1278" s="13" t="s">
        <v>2598</v>
      </c>
      <c r="C1278" s="13" t="s">
        <v>144</v>
      </c>
      <c r="D1278" s="13" t="s">
        <v>288</v>
      </c>
      <c r="E1278" s="13" t="str">
        <f>IFERROR(INDEX('Почасовка — ставки и план'!$B$5:$B$24,MATCH(D1278,'Почасовка — ставки и план'!$A$5:$A$24,0)),"Аренда техники / механизмы")</f>
        <v>Монтажник вентиляции</v>
      </c>
      <c r="F1278" s="14">
        <v>1500</v>
      </c>
      <c r="G1278" s="14">
        <v>1750</v>
      </c>
      <c r="H1278" s="15">
        <v>930</v>
      </c>
      <c r="I1278" s="15">
        <f>IF(OR(H1278="",F1278=""),"",MAX(H1278,MIN(ROUND(H1278*(1+Параметры!$B$5),IF(H1278*(1+Параметры!$B$5)&gt;=1000,-1,0)),ROUND(F1278*Параметры!$B$6,IF(F1278*Параметры!$B$6&gt;=1000,-1,0)))))</f>
        <v>1070</v>
      </c>
      <c r="J1278" s="15">
        <v>1085</v>
      </c>
      <c r="K1278" s="15">
        <f>IF(OR(J1278="",G1278=""),"",MAX(J1278,MIN(ROUND(J1278*(1+Параметры!$B$5),IF(J1278*(1+Параметры!$B$5)&gt;=1000,-1,0)),ROUND(G1278*Параметры!$B$6,IF(G1278*Параметры!$B$6&gt;=1000,-1,0)))))</f>
        <v>1250</v>
      </c>
      <c r="L1278" s="16">
        <v>1</v>
      </c>
      <c r="M1278" s="17">
        <f t="shared" si="96"/>
        <v>1</v>
      </c>
      <c r="N1278" s="17">
        <f>IF(OR(L1278="",L1278=0),"",Параметры!$B$3/L1278)</f>
        <v>8</v>
      </c>
      <c r="O1278" s="15">
        <f>IF(L1278="","",IFERROR(INDEX('Почасовка — ставки и план'!$D$5:$D$24,MATCH($D1278,'Почасовка — ставки и план'!$A$5:$A$24,0)),""))</f>
        <v>850</v>
      </c>
      <c r="P1278" s="15">
        <f>IF(L1278="","",IFERROR(INDEX('Почасовка — ставки и план'!$E$5:$E$24,MATCH($D1278,'Почасовка — ставки и план'!$A$5:$A$24,0)),""))</f>
        <v>1020</v>
      </c>
      <c r="Q1278" s="15">
        <f t="shared" si="97"/>
        <v>850</v>
      </c>
      <c r="R1278" s="13" t="str">
        <f>IF(D1278="TEX","аренда техники — сделка/счёт",IF(OR(Q1278="",H1278="",H1278=0),"—",IF(Q1278&lt;H1278*(1-Параметры!$B$7),"почасовка",IF(Q1278&gt;H1278*(1+Параметры!$B$7),"сделка","любой способ"))))</f>
        <v>любой способ</v>
      </c>
      <c r="S1278">
        <v>0</v>
      </c>
      <c r="T1278">
        <v>0</v>
      </c>
    </row>
    <row r="1279" spans="1:20" x14ac:dyDescent="0.25">
      <c r="A1279" s="13" t="s">
        <v>2599</v>
      </c>
      <c r="B1279" s="13" t="s">
        <v>2600</v>
      </c>
      <c r="C1279" s="13" t="s">
        <v>144</v>
      </c>
      <c r="D1279" s="13" t="s">
        <v>288</v>
      </c>
      <c r="E1279" s="13" t="str">
        <f>IFERROR(INDEX('Почасовка — ставки и план'!$B$5:$B$24,MATCH(D1279,'Почасовка — ставки и план'!$A$5:$A$24,0)),"Аренда техники / механизмы")</f>
        <v>Монтажник вентиляции</v>
      </c>
      <c r="F1279" s="14">
        <v>1300</v>
      </c>
      <c r="G1279" s="14">
        <v>1500</v>
      </c>
      <c r="H1279" s="15">
        <v>806</v>
      </c>
      <c r="I1279" s="15">
        <f>IF(OR(H1279="",F1279=""),"",MAX(H1279,MIN(ROUND(H1279*(1+Параметры!$B$5),IF(H1279*(1+Параметры!$B$5)&gt;=1000,-1,0)),ROUND(F1279*Параметры!$B$6,IF(F1279*Параметры!$B$6&gt;=1000,-1,0)))))</f>
        <v>927</v>
      </c>
      <c r="J1279" s="15">
        <v>930</v>
      </c>
      <c r="K1279" s="15">
        <f>IF(OR(J1279="",G1279=""),"",MAX(J1279,MIN(ROUND(J1279*(1+Параметры!$B$5),IF(J1279*(1+Параметры!$B$5)&gt;=1000,-1,0)),ROUND(G1279*Параметры!$B$6,IF(G1279*Параметры!$B$6&gt;=1000,-1,0)))))</f>
        <v>1070</v>
      </c>
      <c r="L1279" s="16">
        <v>0.9</v>
      </c>
      <c r="M1279" s="17">
        <f t="shared" si="96"/>
        <v>1.1111111111111112</v>
      </c>
      <c r="N1279" s="17">
        <f>IF(OR(L1279="",L1279=0),"",Параметры!$B$3/L1279)</f>
        <v>8.8888888888888893</v>
      </c>
      <c r="O1279" s="15">
        <f>IF(L1279="","",IFERROR(INDEX('Почасовка — ставки и план'!$D$5:$D$24,MATCH($D1279,'Почасовка — ставки и план'!$A$5:$A$24,0)),""))</f>
        <v>850</v>
      </c>
      <c r="P1279" s="15">
        <f>IF(L1279="","",IFERROR(INDEX('Почасовка — ставки и план'!$E$5:$E$24,MATCH($D1279,'Почасовка — ставки и план'!$A$5:$A$24,0)),""))</f>
        <v>1020</v>
      </c>
      <c r="Q1279" s="15">
        <f t="shared" si="97"/>
        <v>765</v>
      </c>
      <c r="R1279" s="13" t="str">
        <f>IF(D1279="TEX","аренда техники — сделка/счёт",IF(OR(Q1279="",H1279="",H1279=0),"—",IF(Q1279&lt;H1279*(1-Параметры!$B$7),"почасовка",IF(Q1279&gt;H1279*(1+Параметры!$B$7),"сделка","любой способ"))))</f>
        <v>любой способ</v>
      </c>
      <c r="S1279">
        <v>0</v>
      </c>
      <c r="T1279">
        <v>0</v>
      </c>
    </row>
    <row r="1280" spans="1:20" x14ac:dyDescent="0.25">
      <c r="A1280" s="13" t="s">
        <v>2601</v>
      </c>
      <c r="B1280" s="13" t="s">
        <v>2602</v>
      </c>
      <c r="C1280" s="13" t="s">
        <v>144</v>
      </c>
      <c r="D1280" s="13" t="s">
        <v>288</v>
      </c>
      <c r="E1280" s="13" t="str">
        <f>IFERROR(INDEX('Почасовка — ставки и план'!$B$5:$B$24,MATCH(D1280,'Почасовка — ставки и план'!$A$5:$A$24,0)),"Аренда техники / механизмы")</f>
        <v>Монтажник вентиляции</v>
      </c>
      <c r="F1280" s="14">
        <v>2000</v>
      </c>
      <c r="G1280" s="14">
        <v>2300</v>
      </c>
      <c r="H1280" s="15">
        <v>1240</v>
      </c>
      <c r="I1280" s="15">
        <f>IF(OR(H1280="",F1280=""),"",MAX(H1280,MIN(ROUND(H1280*(1+Параметры!$B$5),IF(H1280*(1+Параметры!$B$5)&gt;=1000,-1,0)),ROUND(F1280*Параметры!$B$6,IF(F1280*Параметры!$B$6&gt;=1000,-1,0)))))</f>
        <v>1430</v>
      </c>
      <c r="J1280" s="15">
        <v>1426</v>
      </c>
      <c r="K1280" s="15">
        <f>IF(OR(J1280="",G1280=""),"",MAX(J1280,MIN(ROUND(J1280*(1+Параметры!$B$5),IF(J1280*(1+Параметры!$B$5)&gt;=1000,-1,0)),ROUND(G1280*Параметры!$B$6,IF(G1280*Параметры!$B$6&gt;=1000,-1,0)))))</f>
        <v>1640</v>
      </c>
      <c r="L1280" s="16">
        <v>1.3</v>
      </c>
      <c r="M1280" s="17">
        <f t="shared" si="96"/>
        <v>0.76923076923076916</v>
      </c>
      <c r="N1280" s="17">
        <f>IF(OR(L1280="",L1280=0),"",Параметры!$B$3/L1280)</f>
        <v>6.1538461538461533</v>
      </c>
      <c r="O1280" s="15">
        <f>IF(L1280="","",IFERROR(INDEX('Почасовка — ставки и план'!$D$5:$D$24,MATCH($D1280,'Почасовка — ставки и план'!$A$5:$A$24,0)),""))</f>
        <v>850</v>
      </c>
      <c r="P1280" s="15">
        <f>IF(L1280="","",IFERROR(INDEX('Почасовка — ставки и план'!$E$5:$E$24,MATCH($D1280,'Почасовка — ставки и план'!$A$5:$A$24,0)),""))</f>
        <v>1020</v>
      </c>
      <c r="Q1280" s="15">
        <f t="shared" si="97"/>
        <v>1105</v>
      </c>
      <c r="R1280" s="13" t="str">
        <f>IF(D1280="TEX","аренда техники — сделка/счёт",IF(OR(Q1280="",H1280="",H1280=0),"—",IF(Q1280&lt;H1280*(1-Параметры!$B$7),"почасовка",IF(Q1280&gt;H1280*(1+Параметры!$B$7),"сделка","любой способ"))))</f>
        <v>почасовка</v>
      </c>
      <c r="S1280">
        <v>0</v>
      </c>
      <c r="T1280">
        <v>0</v>
      </c>
    </row>
    <row r="1281" spans="1:20" x14ac:dyDescent="0.25">
      <c r="A1281" s="13" t="s">
        <v>2603</v>
      </c>
      <c r="B1281" s="13" t="s">
        <v>2604</v>
      </c>
      <c r="C1281" s="13" t="s">
        <v>144</v>
      </c>
      <c r="D1281" s="13" t="s">
        <v>273</v>
      </c>
      <c r="E1281" s="13" t="str">
        <f>IFERROR(INDEX('Почасовка — ставки и план'!$B$5:$B$24,MATCH(D1281,'Почасовка — ставки и план'!$A$5:$A$24,0)),"Аренда техники / механизмы")</f>
        <v>Электромонтажник</v>
      </c>
      <c r="F1281" s="14">
        <v>4000</v>
      </c>
      <c r="G1281" s="14">
        <v>4600</v>
      </c>
      <c r="H1281" s="15">
        <v>2400</v>
      </c>
      <c r="I1281" s="15">
        <f>IF(OR(H1281="",F1281=""),"",MAX(H1281,MIN(ROUND(H1281*(1+Параметры!$B$5),IF(H1281*(1+Параметры!$B$5)&gt;=1000,-1,0)),ROUND(F1281*Параметры!$B$6,IF(F1281*Параметры!$B$6&gt;=1000,-1,0)))))</f>
        <v>2760</v>
      </c>
      <c r="J1281" s="15">
        <v>2760</v>
      </c>
      <c r="K1281" s="15">
        <f>IF(OR(J1281="",G1281=""),"",MAX(J1281,MIN(ROUND(J1281*(1+Параметры!$B$5),IF(J1281*(1+Параметры!$B$5)&gt;=1000,-1,0)),ROUND(G1281*Параметры!$B$6,IF(G1281*Параметры!$B$6&gt;=1000,-1,0)))))</f>
        <v>3170</v>
      </c>
      <c r="L1281" s="16">
        <v>2.5</v>
      </c>
      <c r="M1281" s="17">
        <f t="shared" si="96"/>
        <v>0.4</v>
      </c>
      <c r="N1281" s="17">
        <f>IF(OR(L1281="",L1281=0),"",Параметры!$B$3/L1281)</f>
        <v>3.2</v>
      </c>
      <c r="O1281" s="15">
        <f>IF(L1281="","",IFERROR(INDEX('Почасовка — ставки и план'!$D$5:$D$24,MATCH($D1281,'Почасовка — ставки и план'!$A$5:$A$24,0)),""))</f>
        <v>850</v>
      </c>
      <c r="P1281" s="15">
        <f>IF(L1281="","",IFERROR(INDEX('Почасовка — ставки и план'!$E$5:$E$24,MATCH($D1281,'Почасовка — ставки и план'!$A$5:$A$24,0)),""))</f>
        <v>1020</v>
      </c>
      <c r="Q1281" s="15">
        <f t="shared" si="97"/>
        <v>2125</v>
      </c>
      <c r="R1281" s="13" t="str">
        <f>IF(D1281="TEX","аренда техники — сделка/счёт",IF(OR(Q1281="",H1281="",H1281=0),"—",IF(Q1281&lt;H1281*(1-Параметры!$B$7),"почасовка",IF(Q1281&gt;H1281*(1+Параметры!$B$7),"сделка","любой способ"))))</f>
        <v>почасовка</v>
      </c>
      <c r="S1281">
        <v>0</v>
      </c>
      <c r="T1281">
        <v>0</v>
      </c>
    </row>
    <row r="1282" spans="1:20" x14ac:dyDescent="0.25">
      <c r="A1282" s="13" t="s">
        <v>2605</v>
      </c>
      <c r="B1282" s="13" t="s">
        <v>2606</v>
      </c>
      <c r="C1282" s="13" t="s">
        <v>144</v>
      </c>
      <c r="D1282" s="13" t="s">
        <v>288</v>
      </c>
      <c r="E1282" s="13" t="str">
        <f>IFERROR(INDEX('Почасовка — ставки и план'!$B$5:$B$24,MATCH(D1282,'Почасовка — ставки и план'!$A$5:$A$24,0)),"Аренда техники / механизмы")</f>
        <v>Монтажник вентиляции</v>
      </c>
      <c r="F1282" s="14">
        <v>2000</v>
      </c>
      <c r="G1282" s="14">
        <v>2300</v>
      </c>
      <c r="H1282" s="15">
        <v>1240</v>
      </c>
      <c r="I1282" s="15">
        <f>IF(OR(H1282="",F1282=""),"",MAX(H1282,MIN(ROUND(H1282*(1+Параметры!$B$5),IF(H1282*(1+Параметры!$B$5)&gt;=1000,-1,0)),ROUND(F1282*Параметры!$B$6,IF(F1282*Параметры!$B$6&gt;=1000,-1,0)))))</f>
        <v>1430</v>
      </c>
      <c r="J1282" s="15">
        <v>1426</v>
      </c>
      <c r="K1282" s="15">
        <f>IF(OR(J1282="",G1282=""),"",MAX(J1282,MIN(ROUND(J1282*(1+Параметры!$B$5),IF(J1282*(1+Параметры!$B$5)&gt;=1000,-1,0)),ROUND(G1282*Параметры!$B$6,IF(G1282*Параметры!$B$6&gt;=1000,-1,0)))))</f>
        <v>1640</v>
      </c>
      <c r="L1282" s="16">
        <v>1.2</v>
      </c>
      <c r="M1282" s="17">
        <f t="shared" si="96"/>
        <v>0.83333333333333337</v>
      </c>
      <c r="N1282" s="17">
        <f>IF(OR(L1282="",L1282=0),"",Параметры!$B$3/L1282)</f>
        <v>6.666666666666667</v>
      </c>
      <c r="O1282" s="15">
        <f>IF(L1282="","",IFERROR(INDEX('Почасовка — ставки и план'!$D$5:$D$24,MATCH($D1282,'Почасовка — ставки и план'!$A$5:$A$24,0)),""))</f>
        <v>850</v>
      </c>
      <c r="P1282" s="15">
        <f>IF(L1282="","",IFERROR(INDEX('Почасовка — ставки и план'!$E$5:$E$24,MATCH($D1282,'Почасовка — ставки и план'!$A$5:$A$24,0)),""))</f>
        <v>1020</v>
      </c>
      <c r="Q1282" s="15">
        <f t="shared" si="97"/>
        <v>1020</v>
      </c>
      <c r="R1282" s="13" t="str">
        <f>IF(D1282="TEX","аренда техники — сделка/счёт",IF(OR(Q1282="",H1282="",H1282=0),"—",IF(Q1282&lt;H1282*(1-Параметры!$B$7),"почасовка",IF(Q1282&gt;H1282*(1+Параметры!$B$7),"сделка","любой способ"))))</f>
        <v>почасовка</v>
      </c>
      <c r="S1282">
        <v>0</v>
      </c>
      <c r="T1282">
        <v>0</v>
      </c>
    </row>
    <row r="1283" spans="1:20" x14ac:dyDescent="0.25">
      <c r="A1283" s="13" t="s">
        <v>2607</v>
      </c>
      <c r="B1283" s="13" t="s">
        <v>2608</v>
      </c>
      <c r="C1283" s="13" t="s">
        <v>144</v>
      </c>
      <c r="D1283" s="13" t="s">
        <v>288</v>
      </c>
      <c r="E1283" s="13" t="str">
        <f>IFERROR(INDEX('Почасовка — ставки и план'!$B$5:$B$24,MATCH(D1283,'Почасовка — ставки и план'!$A$5:$A$24,0)),"Аренда техники / механизмы")</f>
        <v>Монтажник вентиляции</v>
      </c>
      <c r="F1283" s="14">
        <v>2500</v>
      </c>
      <c r="G1283" s="14">
        <v>2900</v>
      </c>
      <c r="H1283" s="15">
        <v>1550</v>
      </c>
      <c r="I1283" s="15">
        <f>IF(OR(H1283="",F1283=""),"",MAX(H1283,MIN(ROUND(H1283*(1+Параметры!$B$5),IF(H1283*(1+Параметры!$B$5)&gt;=1000,-1,0)),ROUND(F1283*Параметры!$B$6,IF(F1283*Параметры!$B$6&gt;=1000,-1,0)))))</f>
        <v>1780</v>
      </c>
      <c r="J1283" s="15">
        <v>1798</v>
      </c>
      <c r="K1283" s="15">
        <f>IF(OR(J1283="",G1283=""),"",MAX(J1283,MIN(ROUND(J1283*(1+Параметры!$B$5),IF(J1283*(1+Параметры!$B$5)&gt;=1000,-1,0)),ROUND(G1283*Параметры!$B$6,IF(G1283*Параметры!$B$6&gt;=1000,-1,0)))))</f>
        <v>2070</v>
      </c>
      <c r="L1283" s="16">
        <v>1.5</v>
      </c>
      <c r="M1283" s="17">
        <f t="shared" si="96"/>
        <v>0.66666666666666663</v>
      </c>
      <c r="N1283" s="17">
        <f>IF(OR(L1283="",L1283=0),"",Параметры!$B$3/L1283)</f>
        <v>5.333333333333333</v>
      </c>
      <c r="O1283" s="15">
        <f>IF(L1283="","",IFERROR(INDEX('Почасовка — ставки и план'!$D$5:$D$24,MATCH($D1283,'Почасовка — ставки и план'!$A$5:$A$24,0)),""))</f>
        <v>850</v>
      </c>
      <c r="P1283" s="15">
        <f>IF(L1283="","",IFERROR(INDEX('Почасовка — ставки и план'!$E$5:$E$24,MATCH($D1283,'Почасовка — ставки и план'!$A$5:$A$24,0)),""))</f>
        <v>1020</v>
      </c>
      <c r="Q1283" s="15">
        <f t="shared" si="97"/>
        <v>1275</v>
      </c>
      <c r="R1283" s="13" t="str">
        <f>IF(D1283="TEX","аренда техники — сделка/счёт",IF(OR(Q1283="",H1283="",H1283=0),"—",IF(Q1283&lt;H1283*(1-Параметры!$B$7),"почасовка",IF(Q1283&gt;H1283*(1+Параметры!$B$7),"сделка","любой способ"))))</f>
        <v>почасовка</v>
      </c>
      <c r="S1283">
        <v>0</v>
      </c>
      <c r="T1283">
        <v>0</v>
      </c>
    </row>
    <row r="1284" spans="1:20" x14ac:dyDescent="0.25">
      <c r="A1284" s="13" t="s">
        <v>2609</v>
      </c>
      <c r="B1284" s="13" t="s">
        <v>2610</v>
      </c>
      <c r="C1284" s="13" t="s">
        <v>144</v>
      </c>
      <c r="D1284" s="13" t="s">
        <v>288</v>
      </c>
      <c r="E1284" s="13" t="str">
        <f>IFERROR(INDEX('Почасовка — ставки и план'!$B$5:$B$24,MATCH(D1284,'Почасовка — ставки и план'!$A$5:$A$24,0)),"Аренда техники / механизмы")</f>
        <v>Монтажник вентиляции</v>
      </c>
      <c r="F1284" s="14">
        <v>1500</v>
      </c>
      <c r="G1284" s="14">
        <v>1700</v>
      </c>
      <c r="H1284" s="15">
        <v>930</v>
      </c>
      <c r="I1284" s="15">
        <f>IF(OR(H1284="",F1284=""),"",MAX(H1284,MIN(ROUND(H1284*(1+Параметры!$B$5),IF(H1284*(1+Параметры!$B$5)&gt;=1000,-1,0)),ROUND(F1284*Параметры!$B$6,IF(F1284*Параметры!$B$6&gt;=1000,-1,0)))))</f>
        <v>1070</v>
      </c>
      <c r="J1284" s="15">
        <v>1054</v>
      </c>
      <c r="K1284" s="15">
        <f>IF(OR(J1284="",G1284=""),"",MAX(J1284,MIN(ROUND(J1284*(1+Параметры!$B$5),IF(J1284*(1+Параметры!$B$5)&gt;=1000,-1,0)),ROUND(G1284*Параметры!$B$6,IF(G1284*Параметры!$B$6&gt;=1000,-1,0)))))</f>
        <v>1210</v>
      </c>
      <c r="L1284" s="16">
        <v>1</v>
      </c>
      <c r="M1284" s="17">
        <f t="shared" si="96"/>
        <v>1</v>
      </c>
      <c r="N1284" s="17">
        <f>IF(OR(L1284="",L1284=0),"",Параметры!$B$3/L1284)</f>
        <v>8</v>
      </c>
      <c r="O1284" s="15">
        <f>IF(L1284="","",IFERROR(INDEX('Почасовка — ставки и план'!$D$5:$D$24,MATCH($D1284,'Почасовка — ставки и план'!$A$5:$A$24,0)),""))</f>
        <v>850</v>
      </c>
      <c r="P1284" s="15">
        <f>IF(L1284="","",IFERROR(INDEX('Почасовка — ставки и план'!$E$5:$E$24,MATCH($D1284,'Почасовка — ставки и план'!$A$5:$A$24,0)),""))</f>
        <v>1020</v>
      </c>
      <c r="Q1284" s="15">
        <f t="shared" si="97"/>
        <v>850</v>
      </c>
      <c r="R1284" s="13" t="str">
        <f>IF(D1284="TEX","аренда техники — сделка/счёт",IF(OR(Q1284="",H1284="",H1284=0),"—",IF(Q1284&lt;H1284*(1-Параметры!$B$7),"почасовка",IF(Q1284&gt;H1284*(1+Параметры!$B$7),"сделка","любой способ"))))</f>
        <v>любой способ</v>
      </c>
      <c r="S1284">
        <v>0</v>
      </c>
      <c r="T1284">
        <v>0</v>
      </c>
    </row>
    <row r="1285" spans="1:20" x14ac:dyDescent="0.25">
      <c r="A1285" s="13" t="s">
        <v>2611</v>
      </c>
      <c r="B1285" s="13" t="s">
        <v>2612</v>
      </c>
      <c r="C1285" s="13" t="s">
        <v>144</v>
      </c>
      <c r="D1285" s="13" t="s">
        <v>288</v>
      </c>
      <c r="E1285" s="13" t="str">
        <f>IFERROR(INDEX('Почасовка — ставки и план'!$B$5:$B$24,MATCH(D1285,'Почасовка — ставки и план'!$A$5:$A$24,0)),"Аренда техники / механизмы")</f>
        <v>Монтажник вентиляции</v>
      </c>
      <c r="F1285" s="14">
        <v>2000</v>
      </c>
      <c r="G1285" s="14">
        <v>2300</v>
      </c>
      <c r="H1285" s="15">
        <v>1240</v>
      </c>
      <c r="I1285" s="15">
        <f>IF(OR(H1285="",F1285=""),"",MAX(H1285,MIN(ROUND(H1285*(1+Параметры!$B$5),IF(H1285*(1+Параметры!$B$5)&gt;=1000,-1,0)),ROUND(F1285*Параметры!$B$6,IF(F1285*Параметры!$B$6&gt;=1000,-1,0)))))</f>
        <v>1430</v>
      </c>
      <c r="J1285" s="15">
        <v>1426</v>
      </c>
      <c r="K1285" s="15">
        <f>IF(OR(J1285="",G1285=""),"",MAX(J1285,MIN(ROUND(J1285*(1+Параметры!$B$5),IF(J1285*(1+Параметры!$B$5)&gt;=1000,-1,0)),ROUND(G1285*Параметры!$B$6,IF(G1285*Параметры!$B$6&gt;=1000,-1,0)))))</f>
        <v>1640</v>
      </c>
      <c r="L1285" s="16">
        <v>1.3</v>
      </c>
      <c r="M1285" s="17">
        <f t="shared" si="96"/>
        <v>0.76923076923076916</v>
      </c>
      <c r="N1285" s="17">
        <f>IF(OR(L1285="",L1285=0),"",Параметры!$B$3/L1285)</f>
        <v>6.1538461538461533</v>
      </c>
      <c r="O1285" s="15">
        <f>IF(L1285="","",IFERROR(INDEX('Почасовка — ставки и план'!$D$5:$D$24,MATCH($D1285,'Почасовка — ставки и план'!$A$5:$A$24,0)),""))</f>
        <v>850</v>
      </c>
      <c r="P1285" s="15">
        <f>IF(L1285="","",IFERROR(INDEX('Почасовка — ставки и план'!$E$5:$E$24,MATCH($D1285,'Почасовка — ставки и план'!$A$5:$A$24,0)),""))</f>
        <v>1020</v>
      </c>
      <c r="Q1285" s="15">
        <f t="shared" si="97"/>
        <v>1105</v>
      </c>
      <c r="R1285" s="13" t="str">
        <f>IF(D1285="TEX","аренда техники — сделка/счёт",IF(OR(Q1285="",H1285="",H1285=0),"—",IF(Q1285&lt;H1285*(1-Параметры!$B$7),"почасовка",IF(Q1285&gt;H1285*(1+Параметры!$B$7),"сделка","любой способ"))))</f>
        <v>почасовка</v>
      </c>
      <c r="S1285">
        <v>0</v>
      </c>
      <c r="T1285">
        <v>0</v>
      </c>
    </row>
    <row r="1286" spans="1:20" x14ac:dyDescent="0.25">
      <c r="A1286" s="13" t="s">
        <v>2613</v>
      </c>
      <c r="B1286" s="13" t="s">
        <v>2614</v>
      </c>
      <c r="C1286" s="13" t="s">
        <v>144</v>
      </c>
      <c r="D1286" s="13" t="s">
        <v>273</v>
      </c>
      <c r="E1286" s="13" t="str">
        <f>IFERROR(INDEX('Почасовка — ставки и план'!$B$5:$B$24,MATCH(D1286,'Почасовка — ставки и план'!$A$5:$A$24,0)),"Аренда техники / механизмы")</f>
        <v>Электромонтажник</v>
      </c>
      <c r="F1286" s="14">
        <v>12000</v>
      </c>
      <c r="G1286" s="14">
        <v>14000</v>
      </c>
      <c r="H1286" s="15">
        <v>7200</v>
      </c>
      <c r="I1286" s="15">
        <f>IF(OR(H1286="",F1286=""),"",MAX(H1286,MIN(ROUND(H1286*(1+Параметры!$B$5),IF(H1286*(1+Параметры!$B$5)&gt;=1000,-1,0)),ROUND(F1286*Параметры!$B$6,IF(F1286*Параметры!$B$6&gt;=1000,-1,0)))))</f>
        <v>8280</v>
      </c>
      <c r="J1286" s="15">
        <v>8400</v>
      </c>
      <c r="K1286" s="15">
        <f>IF(OR(J1286="",G1286=""),"",MAX(J1286,MIN(ROUND(J1286*(1+Параметры!$B$5),IF(J1286*(1+Параметры!$B$5)&gt;=1000,-1,0)),ROUND(G1286*Параметры!$B$6,IF(G1286*Параметры!$B$6&gt;=1000,-1,0)))))</f>
        <v>9660</v>
      </c>
      <c r="L1286" s="16">
        <v>8</v>
      </c>
      <c r="M1286" s="17">
        <f t="shared" si="96"/>
        <v>0.125</v>
      </c>
      <c r="N1286" s="17">
        <f>IF(OR(L1286="",L1286=0),"",Параметры!$B$3/L1286)</f>
        <v>1</v>
      </c>
      <c r="O1286" s="15">
        <f>IF(L1286="","",IFERROR(INDEX('Почасовка — ставки и план'!$D$5:$D$24,MATCH($D1286,'Почасовка — ставки и план'!$A$5:$A$24,0)),""))</f>
        <v>850</v>
      </c>
      <c r="P1286" s="15">
        <f>IF(L1286="","",IFERROR(INDEX('Почасовка — ставки и план'!$E$5:$E$24,MATCH($D1286,'Почасовка — ставки и план'!$A$5:$A$24,0)),""))</f>
        <v>1020</v>
      </c>
      <c r="Q1286" s="15">
        <f t="shared" si="97"/>
        <v>6800</v>
      </c>
      <c r="R1286" s="13" t="str">
        <f>IF(D1286="TEX","аренда техники — сделка/счёт",IF(OR(Q1286="",H1286="",H1286=0),"—",IF(Q1286&lt;H1286*(1-Параметры!$B$7),"почасовка",IF(Q1286&gt;H1286*(1+Параметры!$B$7),"сделка","любой способ"))))</f>
        <v>любой способ</v>
      </c>
      <c r="S1286">
        <v>0</v>
      </c>
      <c r="T1286">
        <v>0</v>
      </c>
    </row>
    <row r="1287" spans="1:20" x14ac:dyDescent="0.25">
      <c r="A1287" s="13" t="s">
        <v>2615</v>
      </c>
      <c r="B1287" s="13" t="s">
        <v>2616</v>
      </c>
      <c r="C1287" s="13" t="s">
        <v>144</v>
      </c>
      <c r="D1287" s="13" t="s">
        <v>288</v>
      </c>
      <c r="E1287" s="13" t="str">
        <f>IFERROR(INDEX('Почасовка — ставки и план'!$B$5:$B$24,MATCH(D1287,'Почасовка — ставки и план'!$A$5:$A$24,0)),"Аренда техники / механизмы")</f>
        <v>Монтажник вентиляции</v>
      </c>
      <c r="F1287" s="14">
        <v>700</v>
      </c>
      <c r="G1287" s="14">
        <v>800</v>
      </c>
      <c r="H1287" s="15">
        <v>434</v>
      </c>
      <c r="I1287" s="15">
        <f>IF(OR(H1287="",F1287=""),"",MAX(H1287,MIN(ROUND(H1287*(1+Параметры!$B$5),IF(H1287*(1+Параметры!$B$5)&gt;=1000,-1,0)),ROUND(F1287*Параметры!$B$6,IF(F1287*Параметры!$B$6&gt;=1000,-1,0)))))</f>
        <v>499</v>
      </c>
      <c r="J1287" s="15">
        <v>496</v>
      </c>
      <c r="K1287" s="15">
        <f>IF(OR(J1287="",G1287=""),"",MAX(J1287,MIN(ROUND(J1287*(1+Параметры!$B$5),IF(J1287*(1+Параметры!$B$5)&gt;=1000,-1,0)),ROUND(G1287*Параметры!$B$6,IF(G1287*Параметры!$B$6&gt;=1000,-1,0)))))</f>
        <v>570</v>
      </c>
      <c r="L1287" s="16">
        <v>0.4</v>
      </c>
      <c r="M1287" s="17">
        <f t="shared" si="96"/>
        <v>2.5</v>
      </c>
      <c r="N1287" s="17">
        <f>IF(OR(L1287="",L1287=0),"",Параметры!$B$3/L1287)</f>
        <v>20</v>
      </c>
      <c r="O1287" s="15">
        <f>IF(L1287="","",IFERROR(INDEX('Почасовка — ставки и план'!$D$5:$D$24,MATCH($D1287,'Почасовка — ставки и план'!$A$5:$A$24,0)),""))</f>
        <v>850</v>
      </c>
      <c r="P1287" s="15">
        <f>IF(L1287="","",IFERROR(INDEX('Почасовка — ставки и план'!$E$5:$E$24,MATCH($D1287,'Почасовка — ставки и план'!$A$5:$A$24,0)),""))</f>
        <v>1020</v>
      </c>
      <c r="Q1287" s="15">
        <f t="shared" si="97"/>
        <v>340</v>
      </c>
      <c r="R1287" s="13" t="str">
        <f>IF(D1287="TEX","аренда техники — сделка/счёт",IF(OR(Q1287="",H1287="",H1287=0),"—",IF(Q1287&lt;H1287*(1-Параметры!$B$7),"почасовка",IF(Q1287&gt;H1287*(1+Параметры!$B$7),"сделка","любой способ"))))</f>
        <v>почасовка</v>
      </c>
      <c r="S1287">
        <v>0</v>
      </c>
      <c r="T1287">
        <v>0</v>
      </c>
    </row>
    <row r="1288" spans="1:20" x14ac:dyDescent="0.25">
      <c r="A1288" s="13" t="s">
        <v>2617</v>
      </c>
      <c r="B1288" s="13" t="s">
        <v>2618</v>
      </c>
      <c r="C1288" s="13" t="s">
        <v>72</v>
      </c>
      <c r="D1288" s="13" t="s">
        <v>288</v>
      </c>
      <c r="E1288" s="13" t="str">
        <f>IFERROR(INDEX('Почасовка — ставки и план'!$B$5:$B$24,MATCH(D1288,'Почасовка — ставки и план'!$A$5:$A$24,0)),"Аренда техники / механизмы")</f>
        <v>Монтажник вентиляции</v>
      </c>
      <c r="F1288" s="14">
        <v>454</v>
      </c>
      <c r="G1288" s="14">
        <v>544</v>
      </c>
      <c r="H1288" s="15">
        <v>270</v>
      </c>
      <c r="I1288" s="15">
        <f>IF(OR(H1288="",F1288=""),"",MAX(H1288,MIN(ROUND(H1288*(1+Параметры!$B$5),IF(H1288*(1+Параметры!$B$5)&gt;=1000,-1,0)),ROUND(F1288*Параметры!$B$6,IF(F1288*Параметры!$B$6&gt;=1000,-1,0)))))</f>
        <v>311</v>
      </c>
      <c r="J1288" s="15">
        <v>312</v>
      </c>
      <c r="K1288" s="15">
        <f>IF(OR(J1288="",G1288=""),"",MAX(J1288,MIN(ROUND(J1288*(1+Параметры!$B$5),IF(J1288*(1+Параметры!$B$5)&gt;=1000,-1,0)),ROUND(G1288*Параметры!$B$6,IF(G1288*Параметры!$B$6&gt;=1000,-1,0)))))</f>
        <v>359</v>
      </c>
      <c r="L1288" s="16">
        <v>0.4</v>
      </c>
      <c r="M1288" s="17">
        <f t="shared" si="96"/>
        <v>2.5</v>
      </c>
      <c r="N1288" s="17">
        <f>IF(OR(L1288="",L1288=0),"",Параметры!$B$3/L1288)</f>
        <v>20</v>
      </c>
      <c r="O1288" s="15">
        <f>IF(L1288="","",IFERROR(INDEX('Почасовка — ставки и план'!$D$5:$D$24,MATCH($D1288,'Почасовка — ставки и план'!$A$5:$A$24,0)),""))</f>
        <v>850</v>
      </c>
      <c r="P1288" s="15">
        <f>IF(L1288="","",IFERROR(INDEX('Почасовка — ставки и план'!$E$5:$E$24,MATCH($D1288,'Почасовка — ставки и план'!$A$5:$A$24,0)),""))</f>
        <v>1020</v>
      </c>
      <c r="Q1288" s="15">
        <f t="shared" si="97"/>
        <v>340</v>
      </c>
      <c r="R1288" s="13" t="str">
        <f>IF(D1288="TEX","аренда техники — сделка/счёт",IF(OR(Q1288="",H1288="",H1288=0),"—",IF(Q1288&lt;H1288*(1-Параметры!$B$7),"почасовка",IF(Q1288&gt;H1288*(1+Параметры!$B$7),"сделка","любой способ"))))</f>
        <v>сделка</v>
      </c>
      <c r="S1288">
        <v>8.8888888888889461E-3</v>
      </c>
      <c r="T1288">
        <v>4.6153846153846212E-2</v>
      </c>
    </row>
    <row r="1289" spans="1:20" x14ac:dyDescent="0.25">
      <c r="A1289" s="13" t="s">
        <v>2619</v>
      </c>
      <c r="B1289" s="13" t="s">
        <v>2620</v>
      </c>
      <c r="C1289" s="13" t="s">
        <v>144</v>
      </c>
      <c r="D1289" s="13" t="s">
        <v>299</v>
      </c>
      <c r="E1289" s="13" t="str">
        <f>IFERROR(INDEX('Почасовка — ставки и план'!$B$5:$B$24,MATCH(D1289,'Почасовка — ставки и план'!$A$5:$A$24,0)),"Аренда техники / механизмы")</f>
        <v>Холодильщик / монтажник кондиционеров</v>
      </c>
      <c r="F1289" s="14">
        <v>1200</v>
      </c>
      <c r="G1289" s="14">
        <v>1400</v>
      </c>
      <c r="H1289" s="15">
        <v>720</v>
      </c>
      <c r="I1289" s="15">
        <f>IF(OR(H1289="",F1289=""),"",MAX(H1289,MIN(ROUND(H1289*(1+Параметры!$B$5),IF(H1289*(1+Параметры!$B$5)&gt;=1000,-1,0)),ROUND(F1289*Параметры!$B$6,IF(F1289*Параметры!$B$6&gt;=1000,-1,0)))))</f>
        <v>828</v>
      </c>
      <c r="J1289" s="15">
        <v>840</v>
      </c>
      <c r="K1289" s="15">
        <f>IF(OR(J1289="",G1289=""),"",MAX(J1289,MIN(ROUND(J1289*(1+Параметры!$B$5),IF(J1289*(1+Параметры!$B$5)&gt;=1000,-1,0)),ROUND(G1289*Параметры!$B$6,IF(G1289*Параметры!$B$6&gt;=1000,-1,0)))))</f>
        <v>966</v>
      </c>
      <c r="L1289" s="16">
        <v>0.7</v>
      </c>
      <c r="M1289" s="17">
        <f t="shared" si="96"/>
        <v>1.4285714285714286</v>
      </c>
      <c r="N1289" s="17">
        <f>IF(OR(L1289="",L1289=0),"",Параметры!$B$3/L1289)</f>
        <v>11.428571428571429</v>
      </c>
      <c r="O1289" s="15">
        <f>IF(L1289="","",IFERROR(INDEX('Почасовка — ставки и план'!$D$5:$D$24,MATCH($D1289,'Почасовка — ставки и план'!$A$5:$A$24,0)),""))</f>
        <v>1200</v>
      </c>
      <c r="P1289" s="15">
        <f>IF(L1289="","",IFERROR(INDEX('Почасовка — ставки и план'!$E$5:$E$24,MATCH($D1289,'Почасовка — ставки и план'!$A$5:$A$24,0)),""))</f>
        <v>1440</v>
      </c>
      <c r="Q1289" s="15">
        <f t="shared" si="97"/>
        <v>840</v>
      </c>
      <c r="R1289" s="13" t="str">
        <f>IF(D1289="TEX","аренда техники — сделка/счёт",IF(OR(Q1289="",H1289="",H1289=0),"—",IF(Q1289&lt;H1289*(1-Параметры!$B$7),"почасовка",IF(Q1289&gt;H1289*(1+Параметры!$B$7),"сделка","любой способ"))))</f>
        <v>сделка</v>
      </c>
      <c r="S1289">
        <v>0</v>
      </c>
      <c r="T1289">
        <v>0</v>
      </c>
    </row>
    <row r="1290" spans="1:20" x14ac:dyDescent="0.25">
      <c r="A1290" s="13" t="s">
        <v>2621</v>
      </c>
      <c r="B1290" s="13" t="s">
        <v>2622</v>
      </c>
      <c r="C1290" s="13" t="s">
        <v>2623</v>
      </c>
      <c r="D1290" s="13" t="s">
        <v>299</v>
      </c>
      <c r="E1290" s="13" t="str">
        <f>IFERROR(INDEX('Почасовка — ставки и план'!$B$5:$B$24,MATCH(D1290,'Почасовка — ставки и план'!$A$5:$A$24,0)),"Аренда техники / механизмы")</f>
        <v>Холодильщик / монтажник кондиционеров</v>
      </c>
      <c r="F1290" s="14">
        <v>250</v>
      </c>
      <c r="G1290" s="14">
        <v>300</v>
      </c>
      <c r="H1290" s="15">
        <v>150</v>
      </c>
      <c r="I1290" s="15">
        <f>IF(OR(H1290="",F1290=""),"",MAX(H1290,MIN(ROUND(H1290*(1+Параметры!$B$5),IF(H1290*(1+Параметры!$B$5)&gt;=1000,-1,0)),ROUND(F1290*Параметры!$B$6,IF(F1290*Параметры!$B$6&gt;=1000,-1,0)))))</f>
        <v>173</v>
      </c>
      <c r="J1290" s="15">
        <v>180</v>
      </c>
      <c r="K1290" s="15">
        <f>IF(OR(J1290="",G1290=""),"",MAX(J1290,MIN(ROUND(J1290*(1+Параметры!$B$5),IF(J1290*(1+Параметры!$B$5)&gt;=1000,-1,0)),ROUND(G1290*Параметры!$B$6,IF(G1290*Параметры!$B$6&gt;=1000,-1,0)))))</f>
        <v>207</v>
      </c>
      <c r="L1290" s="16">
        <v>0.15</v>
      </c>
      <c r="M1290" s="17">
        <f t="shared" si="96"/>
        <v>6.666666666666667</v>
      </c>
      <c r="N1290" s="17">
        <f>IF(OR(L1290="",L1290=0),"",Параметры!$B$3/L1290)</f>
        <v>53.333333333333336</v>
      </c>
      <c r="O1290" s="15">
        <f>IF(L1290="","",IFERROR(INDEX('Почасовка — ставки и план'!$D$5:$D$24,MATCH($D1290,'Почасовка — ставки и план'!$A$5:$A$24,0)),""))</f>
        <v>1200</v>
      </c>
      <c r="P1290" s="15">
        <f>IF(L1290="","",IFERROR(INDEX('Почасовка — ставки и план'!$E$5:$E$24,MATCH($D1290,'Почасовка — ставки и план'!$A$5:$A$24,0)),""))</f>
        <v>1440</v>
      </c>
      <c r="Q1290" s="15">
        <f t="shared" si="97"/>
        <v>180</v>
      </c>
      <c r="R1290" s="13" t="str">
        <f>IF(D1290="TEX","аренда техники — сделка/счёт",IF(OR(Q1290="",H1290="",H1290=0),"—",IF(Q1290&lt;H1290*(1-Параметры!$B$7),"почасовка",IF(Q1290&gt;H1290*(1+Параметры!$B$7),"сделка","любой способ"))))</f>
        <v>сделка</v>
      </c>
      <c r="S1290">
        <v>0</v>
      </c>
      <c r="T1290">
        <v>0</v>
      </c>
    </row>
    <row r="1291" spans="1:20" x14ac:dyDescent="0.25">
      <c r="A1291" s="13" t="s">
        <v>2624</v>
      </c>
      <c r="B1291" s="13" t="s">
        <v>2625</v>
      </c>
      <c r="C1291" s="13" t="s">
        <v>144</v>
      </c>
      <c r="D1291" s="13" t="s">
        <v>299</v>
      </c>
      <c r="E1291" s="13" t="str">
        <f>IFERROR(INDEX('Почасовка — ставки и план'!$B$5:$B$24,MATCH(D1291,'Почасовка — ставки и план'!$A$5:$A$24,0)),"Аренда техники / механизмы")</f>
        <v>Холодильщик / монтажник кондиционеров</v>
      </c>
      <c r="F1291" s="14">
        <v>1000</v>
      </c>
      <c r="G1291" s="14">
        <v>1150</v>
      </c>
      <c r="H1291" s="15">
        <v>600</v>
      </c>
      <c r="I1291" s="15">
        <f>IF(OR(H1291="",F1291=""),"",MAX(H1291,MIN(ROUND(H1291*(1+Параметры!$B$5),IF(H1291*(1+Параметры!$B$5)&gt;=1000,-1,0)),ROUND(F1291*Параметры!$B$6,IF(F1291*Параметры!$B$6&gt;=1000,-1,0)))))</f>
        <v>690</v>
      </c>
      <c r="J1291" s="15">
        <v>690</v>
      </c>
      <c r="K1291" s="15">
        <f>IF(OR(J1291="",G1291=""),"",MAX(J1291,MIN(ROUND(J1291*(1+Параметры!$B$5),IF(J1291*(1+Параметры!$B$5)&gt;=1000,-1,0)),ROUND(G1291*Параметры!$B$6,IF(G1291*Параметры!$B$6&gt;=1000,-1,0)))))</f>
        <v>794</v>
      </c>
      <c r="L1291" s="16">
        <v>0.5</v>
      </c>
      <c r="M1291" s="17">
        <f t="shared" si="96"/>
        <v>2</v>
      </c>
      <c r="N1291" s="17">
        <f>IF(OR(L1291="",L1291=0),"",Параметры!$B$3/L1291)</f>
        <v>16</v>
      </c>
      <c r="O1291" s="15">
        <f>IF(L1291="","",IFERROR(INDEX('Почасовка — ставки и план'!$D$5:$D$24,MATCH($D1291,'Почасовка — ставки и план'!$A$5:$A$24,0)),""))</f>
        <v>1200</v>
      </c>
      <c r="P1291" s="15">
        <f>IF(L1291="","",IFERROR(INDEX('Почасовка — ставки и план'!$E$5:$E$24,MATCH($D1291,'Почасовка — ставки и план'!$A$5:$A$24,0)),""))</f>
        <v>1440</v>
      </c>
      <c r="Q1291" s="15">
        <f t="shared" si="97"/>
        <v>600</v>
      </c>
      <c r="R1291" s="13" t="str">
        <f>IF(D1291="TEX","аренда техники — сделка/счёт",IF(OR(Q1291="",H1291="",H1291=0),"—",IF(Q1291&lt;H1291*(1-Параметры!$B$7),"почасовка",IF(Q1291&gt;H1291*(1+Параметры!$B$7),"сделка","любой способ"))))</f>
        <v>любой способ</v>
      </c>
      <c r="S1291">
        <v>0</v>
      </c>
      <c r="T1291">
        <v>0</v>
      </c>
    </row>
    <row r="1292" spans="1:20" x14ac:dyDescent="0.25">
      <c r="A1292" s="13" t="s">
        <v>2626</v>
      </c>
      <c r="B1292" s="13" t="s">
        <v>2627</v>
      </c>
      <c r="C1292" s="13" t="s">
        <v>144</v>
      </c>
      <c r="D1292" s="13" t="s">
        <v>299</v>
      </c>
      <c r="E1292" s="13" t="str">
        <f>IFERROR(INDEX('Почасовка — ставки и план'!$B$5:$B$24,MATCH(D1292,'Почасовка — ставки и план'!$A$5:$A$24,0)),"Аренда техники / механизмы")</f>
        <v>Холодильщик / монтажник кондиционеров</v>
      </c>
      <c r="F1292" s="14">
        <v>600</v>
      </c>
      <c r="G1292" s="14">
        <v>700</v>
      </c>
      <c r="H1292" s="15">
        <v>360</v>
      </c>
      <c r="I1292" s="15">
        <f>IF(OR(H1292="",F1292=""),"",MAX(H1292,MIN(ROUND(H1292*(1+Параметры!$B$5),IF(H1292*(1+Параметры!$B$5)&gt;=1000,-1,0)),ROUND(F1292*Параметры!$B$6,IF(F1292*Параметры!$B$6&gt;=1000,-1,0)))))</f>
        <v>414</v>
      </c>
      <c r="J1292" s="15">
        <v>420</v>
      </c>
      <c r="K1292" s="15">
        <f>IF(OR(J1292="",G1292=""),"",MAX(J1292,MIN(ROUND(J1292*(1+Параметры!$B$5),IF(J1292*(1+Параметры!$B$5)&gt;=1000,-1,0)),ROUND(G1292*Параметры!$B$6,IF(G1292*Параметры!$B$6&gt;=1000,-1,0)))))</f>
        <v>483</v>
      </c>
      <c r="L1292" s="16">
        <v>0.3</v>
      </c>
      <c r="M1292" s="17">
        <f t="shared" si="96"/>
        <v>3.3333333333333335</v>
      </c>
      <c r="N1292" s="17">
        <f>IF(OR(L1292="",L1292=0),"",Параметры!$B$3/L1292)</f>
        <v>26.666666666666668</v>
      </c>
      <c r="O1292" s="15">
        <f>IF(L1292="","",IFERROR(INDEX('Почасовка — ставки и план'!$D$5:$D$24,MATCH($D1292,'Почасовка — ставки и план'!$A$5:$A$24,0)),""))</f>
        <v>1200</v>
      </c>
      <c r="P1292" s="15">
        <f>IF(L1292="","",IFERROR(INDEX('Почасовка — ставки и план'!$E$5:$E$24,MATCH($D1292,'Почасовка — ставки и план'!$A$5:$A$24,0)),""))</f>
        <v>1440</v>
      </c>
      <c r="Q1292" s="15">
        <f t="shared" si="97"/>
        <v>360</v>
      </c>
      <c r="R1292" s="13" t="str">
        <f>IF(D1292="TEX","аренда техники — сделка/счёт",IF(OR(Q1292="",H1292="",H1292=0),"—",IF(Q1292&lt;H1292*(1-Параметры!$B$7),"почасовка",IF(Q1292&gt;H1292*(1+Параметры!$B$7),"сделка","любой способ"))))</f>
        <v>любой способ</v>
      </c>
      <c r="S1292">
        <v>0</v>
      </c>
      <c r="T1292">
        <v>0</v>
      </c>
    </row>
    <row r="1293" spans="1:20" x14ac:dyDescent="0.25">
      <c r="A1293" s="18" t="s">
        <v>2628</v>
      </c>
      <c r="B1293" s="13" t="s">
        <v>2629</v>
      </c>
      <c r="C1293" s="13" t="s">
        <v>144</v>
      </c>
      <c r="D1293" s="13" t="s">
        <v>299</v>
      </c>
      <c r="E1293" s="13" t="str">
        <f>IFERROR(INDEX('Почасовка — ставки и план'!$B$5:$B$24,MATCH(D1293,'Почасовка — ставки и план'!$A$5:$A$24,0)),"Аренда техники / механизмы")</f>
        <v>Холодильщик / монтажник кондиционеров</v>
      </c>
      <c r="F1293" s="14">
        <v>4500</v>
      </c>
      <c r="G1293" s="14">
        <v>5200</v>
      </c>
      <c r="H1293" s="15">
        <v>2700</v>
      </c>
      <c r="I1293" s="15">
        <f>IF(OR(H1293="",F1293=""),"",MAX(H1293,MIN(ROUND(H1293*(1+Параметры!$B$5),IF(H1293*(1+Параметры!$B$5)&gt;=1000,-1,0)),ROUND(F1293*Параметры!$B$6,IF(F1293*Параметры!$B$6&gt;=1000,-1,0)))))</f>
        <v>3110</v>
      </c>
      <c r="J1293" s="15">
        <v>3120</v>
      </c>
      <c r="K1293" s="15">
        <f>IF(OR(J1293="",G1293=""),"",MAX(J1293,MIN(ROUND(J1293*(1+Параметры!$B$5),IF(J1293*(1+Параметры!$B$5)&gt;=1000,-1,0)),ROUND(G1293*Параметры!$B$6,IF(G1293*Параметры!$B$6&gt;=1000,-1,0)))))</f>
        <v>3590</v>
      </c>
      <c r="L1293" s="16">
        <v>2.5</v>
      </c>
      <c r="M1293" s="17">
        <f t="shared" si="96"/>
        <v>0.4</v>
      </c>
      <c r="N1293" s="17">
        <f>IF(OR(L1293="",L1293=0),"",Параметры!$B$3/L1293)</f>
        <v>3.2</v>
      </c>
      <c r="O1293" s="15">
        <f>IF(L1293="","",IFERROR(INDEX('Почасовка — ставки и план'!$D$5:$D$24,MATCH($D1293,'Почасовка — ставки и план'!$A$5:$A$24,0)),""))</f>
        <v>1200</v>
      </c>
      <c r="P1293" s="15">
        <f>IF(L1293="","",IFERROR(INDEX('Почасовка — ставки и план'!$E$5:$E$24,MATCH($D1293,'Почасовка — ставки и план'!$A$5:$A$24,0)),""))</f>
        <v>1440</v>
      </c>
      <c r="Q1293" s="15">
        <f t="shared" si="97"/>
        <v>3000</v>
      </c>
      <c r="R1293" s="13" t="str">
        <f>IF(D1293="TEX","аренда техники — сделка/счёт",IF(OR(Q1293="",H1293="",H1293=0),"—",IF(Q1293&lt;H1293*(1-Параметры!$B$7),"почасовка",IF(Q1293&gt;H1293*(1+Параметры!$B$7),"сделка","любой способ"))))</f>
        <v>сделка</v>
      </c>
      <c r="S1293">
        <v>0</v>
      </c>
      <c r="T1293">
        <v>0</v>
      </c>
    </row>
    <row r="1294" spans="1:20" x14ac:dyDescent="0.25">
      <c r="A1294" s="18" t="s">
        <v>2630</v>
      </c>
      <c r="B1294" s="13" t="s">
        <v>2631</v>
      </c>
      <c r="C1294" s="13" t="s">
        <v>144</v>
      </c>
      <c r="D1294" s="13" t="s">
        <v>299</v>
      </c>
      <c r="E1294" s="13" t="str">
        <f>IFERROR(INDEX('Почасовка — ставки и план'!$B$5:$B$24,MATCH(D1294,'Почасовка — ставки и план'!$A$5:$A$24,0)),"Аренда техники / механизмы")</f>
        <v>Холодильщик / монтажник кондиционеров</v>
      </c>
      <c r="F1294" s="14">
        <v>6000</v>
      </c>
      <c r="G1294" s="14">
        <v>7000</v>
      </c>
      <c r="H1294" s="15">
        <v>3600</v>
      </c>
      <c r="I1294" s="15">
        <f>IF(OR(H1294="",F1294=""),"",MAX(H1294,MIN(ROUND(H1294*(1+Параметры!$B$5),IF(H1294*(1+Параметры!$B$5)&gt;=1000,-1,0)),ROUND(F1294*Параметры!$B$6,IF(F1294*Параметры!$B$6&gt;=1000,-1,0)))))</f>
        <v>4140</v>
      </c>
      <c r="J1294" s="15">
        <v>4200</v>
      </c>
      <c r="K1294" s="15">
        <f>IF(OR(J1294="",G1294=""),"",MAX(J1294,MIN(ROUND(J1294*(1+Параметры!$B$5),IF(J1294*(1+Параметры!$B$5)&gt;=1000,-1,0)),ROUND(G1294*Параметры!$B$6,IF(G1294*Параметры!$B$6&gt;=1000,-1,0)))))</f>
        <v>4830</v>
      </c>
      <c r="L1294" s="16">
        <v>3.5</v>
      </c>
      <c r="M1294" s="17">
        <f t="shared" si="96"/>
        <v>0.2857142857142857</v>
      </c>
      <c r="N1294" s="17">
        <f>IF(OR(L1294="",L1294=0),"",Параметры!$B$3/L1294)</f>
        <v>2.2857142857142856</v>
      </c>
      <c r="O1294" s="15">
        <f>IF(L1294="","",IFERROR(INDEX('Почасовка — ставки и план'!$D$5:$D$24,MATCH($D1294,'Почасовка — ставки и план'!$A$5:$A$24,0)),""))</f>
        <v>1200</v>
      </c>
      <c r="P1294" s="15">
        <f>IF(L1294="","",IFERROR(INDEX('Почасовка — ставки и план'!$E$5:$E$24,MATCH($D1294,'Почасовка — ставки и план'!$A$5:$A$24,0)),""))</f>
        <v>1440</v>
      </c>
      <c r="Q1294" s="15">
        <f t="shared" si="97"/>
        <v>4200</v>
      </c>
      <c r="R1294" s="13" t="str">
        <f>IF(D1294="TEX","аренда техники — сделка/счёт",IF(OR(Q1294="",H1294="",H1294=0),"—",IF(Q1294&lt;H1294*(1-Параметры!$B$7),"почасовка",IF(Q1294&gt;H1294*(1+Параметры!$B$7),"сделка","любой способ"))))</f>
        <v>сделка</v>
      </c>
      <c r="S1294">
        <v>0</v>
      </c>
      <c r="T1294">
        <v>0</v>
      </c>
    </row>
    <row r="1295" spans="1:20" x14ac:dyDescent="0.25">
      <c r="A1295" s="18" t="s">
        <v>2632</v>
      </c>
      <c r="B1295" s="13" t="s">
        <v>2633</v>
      </c>
      <c r="C1295" s="13" t="s">
        <v>144</v>
      </c>
      <c r="D1295" s="13" t="s">
        <v>299</v>
      </c>
      <c r="E1295" s="13" t="str">
        <f>IFERROR(INDEX('Почасовка — ставки и план'!$B$5:$B$24,MATCH(D1295,'Почасовка — ставки и план'!$A$5:$A$24,0)),"Аренда техники / механизмы")</f>
        <v>Холодильщик / монтажник кондиционеров</v>
      </c>
      <c r="F1295" s="14">
        <v>9600</v>
      </c>
      <c r="G1295" s="14">
        <v>11520</v>
      </c>
      <c r="H1295" s="15">
        <v>5400</v>
      </c>
      <c r="I1295" s="15">
        <f>IF(OR(H1295="",F1295=""),"",MAX(H1295,MIN(ROUND(H1295*(1+Параметры!$B$5),IF(H1295*(1+Параметры!$B$5)&gt;=1000,-1,0)),ROUND(F1295*Параметры!$B$6,IF(F1295*Параметры!$B$6&gt;=1000,-1,0)))))</f>
        <v>6210</v>
      </c>
      <c r="J1295" s="15">
        <v>6300</v>
      </c>
      <c r="K1295" s="15">
        <f>IF(OR(J1295="",G1295=""),"",MAX(J1295,MIN(ROUND(J1295*(1+Параметры!$B$5),IF(J1295*(1+Параметры!$B$5)&gt;=1000,-1,0)),ROUND(G1295*Параметры!$B$6,IF(G1295*Параметры!$B$6&gt;=1000,-1,0)))))</f>
        <v>7250</v>
      </c>
      <c r="L1295" s="16">
        <v>6</v>
      </c>
      <c r="M1295" s="17">
        <f t="shared" si="96"/>
        <v>0.16666666666666666</v>
      </c>
      <c r="N1295" s="17">
        <f>IF(OR(L1295="",L1295=0),"",Параметры!$B$3/L1295)</f>
        <v>1.3333333333333333</v>
      </c>
      <c r="O1295" s="15">
        <f>IF(L1295="","",IFERROR(INDEX('Почасовка — ставки и план'!$D$5:$D$24,MATCH($D1295,'Почасовка — ставки и план'!$A$5:$A$24,0)),""))</f>
        <v>1200</v>
      </c>
      <c r="P1295" s="15">
        <f>IF(L1295="","",IFERROR(INDEX('Почасовка — ставки и план'!$E$5:$E$24,MATCH($D1295,'Почасовка — ставки и план'!$A$5:$A$24,0)),""))</f>
        <v>1440</v>
      </c>
      <c r="Q1295" s="15">
        <f t="shared" si="97"/>
        <v>7200</v>
      </c>
      <c r="R1295" s="13" t="str">
        <f>IF(D1295="TEX","аренда техники — сделка/счёт",IF(OR(Q1295="",H1295="",H1295=0),"—",IF(Q1295&lt;H1295*(1-Параметры!$B$7),"почасовка",IF(Q1295&gt;H1295*(1+Параметры!$B$7),"сделка","любой способ"))))</f>
        <v>сделка</v>
      </c>
      <c r="S1295">
        <v>6.6666666666666652E-2</v>
      </c>
      <c r="T1295">
        <v>9.7142857142857197E-2</v>
      </c>
    </row>
    <row r="1296" spans="1:20" x14ac:dyDescent="0.25">
      <c r="A1296" s="18" t="s">
        <v>2634</v>
      </c>
      <c r="B1296" s="13" t="s">
        <v>2635</v>
      </c>
      <c r="C1296" s="13" t="s">
        <v>144</v>
      </c>
      <c r="D1296" s="13" t="s">
        <v>288</v>
      </c>
      <c r="E1296" s="13" t="str">
        <f>IFERROR(INDEX('Почасовка — ставки и план'!$B$5:$B$24,MATCH(D1296,'Почасовка — ставки и план'!$A$5:$A$24,0)),"Аренда техники / механизмы")</f>
        <v>Монтажник вентиляции</v>
      </c>
      <c r="F1296" s="14">
        <v>5000</v>
      </c>
      <c r="G1296" s="14">
        <v>6000</v>
      </c>
      <c r="H1296" s="15">
        <v>3000</v>
      </c>
      <c r="I1296" s="15">
        <f>IF(OR(H1296="",F1296=""),"",MAX(H1296,MIN(ROUND(H1296*(1+Параметры!$B$5),IF(H1296*(1+Параметры!$B$5)&gt;=1000,-1,0)),ROUND(F1296*Параметры!$B$6,IF(F1296*Параметры!$B$6&gt;=1000,-1,0)))))</f>
        <v>3450</v>
      </c>
      <c r="J1296" s="15">
        <v>3600</v>
      </c>
      <c r="K1296" s="15">
        <f>IF(OR(J1296="",G1296=""),"",MAX(J1296,MIN(ROUND(J1296*(1+Параметры!$B$5),IF(J1296*(1+Параметры!$B$5)&gt;=1000,-1,0)),ROUND(G1296*Параметры!$B$6,IF(G1296*Параметры!$B$6&gt;=1000,-1,0)))))</f>
        <v>4140</v>
      </c>
      <c r="L1296" s="16">
        <v>3</v>
      </c>
      <c r="M1296" s="17">
        <f t="shared" si="96"/>
        <v>0.33333333333333331</v>
      </c>
      <c r="N1296" s="17">
        <f>IF(OR(L1296="",L1296=0),"",Параметры!$B$3/L1296)</f>
        <v>2.6666666666666665</v>
      </c>
      <c r="O1296" s="15">
        <f>IF(L1296="","",IFERROR(INDEX('Почасовка — ставки и план'!$D$5:$D$24,MATCH($D1296,'Почасовка — ставки и план'!$A$5:$A$24,0)),""))</f>
        <v>850</v>
      </c>
      <c r="P1296" s="15">
        <f>IF(L1296="","",IFERROR(INDEX('Почасовка — ставки и план'!$E$5:$E$24,MATCH($D1296,'Почасовка — ставки и план'!$A$5:$A$24,0)),""))</f>
        <v>1020</v>
      </c>
      <c r="Q1296" s="15">
        <f t="shared" si="97"/>
        <v>2550</v>
      </c>
      <c r="R1296" s="13" t="str">
        <f>IF(D1296="TEX","аренда техники — сделка/счёт",IF(OR(Q1296="",H1296="",H1296=0),"—",IF(Q1296&lt;H1296*(1-Параметры!$B$7),"почасовка",IF(Q1296&gt;H1296*(1+Параметры!$B$7),"сделка","любой способ"))))</f>
        <v>почасовка</v>
      </c>
      <c r="S1296">
        <v>0</v>
      </c>
      <c r="T1296">
        <v>0</v>
      </c>
    </row>
    <row r="1297" spans="1:20" x14ac:dyDescent="0.25">
      <c r="A1297" s="18" t="s">
        <v>2636</v>
      </c>
      <c r="B1297" s="13" t="s">
        <v>2637</v>
      </c>
      <c r="C1297" s="13" t="s">
        <v>144</v>
      </c>
      <c r="D1297" s="13" t="s">
        <v>288</v>
      </c>
      <c r="E1297" s="13" t="str">
        <f>IFERROR(INDEX('Почасовка — ставки и план'!$B$5:$B$24,MATCH(D1297,'Почасовка — ставки и план'!$A$5:$A$24,0)),"Аренда техники / механизмы")</f>
        <v>Монтажник вентиляции</v>
      </c>
      <c r="F1297" s="14">
        <v>12000</v>
      </c>
      <c r="G1297" s="14">
        <v>13500</v>
      </c>
      <c r="H1297" s="15">
        <v>7200</v>
      </c>
      <c r="I1297" s="15">
        <f>IF(OR(H1297="",F1297=""),"",MAX(H1297,MIN(ROUND(H1297*(1+Параметры!$B$5),IF(H1297*(1+Параметры!$B$5)&gt;=1000,-1,0)),ROUND(F1297*Параметры!$B$6,IF(F1297*Параметры!$B$6&gt;=1000,-1,0)))))</f>
        <v>8280</v>
      </c>
      <c r="J1297" s="15">
        <v>8100</v>
      </c>
      <c r="K1297" s="15">
        <f>IF(OR(J1297="",G1297=""),"",MAX(J1297,MIN(ROUND(J1297*(1+Параметры!$B$5),IF(J1297*(1+Параметры!$B$5)&gt;=1000,-1,0)),ROUND(G1297*Параметры!$B$6,IF(G1297*Параметры!$B$6&gt;=1000,-1,0)))))</f>
        <v>9320</v>
      </c>
      <c r="L1297" s="16">
        <v>7</v>
      </c>
      <c r="M1297" s="17">
        <f t="shared" si="96"/>
        <v>0.14285714285714285</v>
      </c>
      <c r="N1297" s="17">
        <f>IF(OR(L1297="",L1297=0),"",Параметры!$B$3/L1297)</f>
        <v>1.1428571428571428</v>
      </c>
      <c r="O1297" s="15">
        <f>IF(L1297="","",IFERROR(INDEX('Почасовка — ставки и план'!$D$5:$D$24,MATCH($D1297,'Почасовка — ставки и план'!$A$5:$A$24,0)),""))</f>
        <v>850</v>
      </c>
      <c r="P1297" s="15">
        <f>IF(L1297="","",IFERROR(INDEX('Почасовка — ставки и план'!$E$5:$E$24,MATCH($D1297,'Почасовка — ставки и план'!$A$5:$A$24,0)),""))</f>
        <v>1020</v>
      </c>
      <c r="Q1297" s="15">
        <f t="shared" si="97"/>
        <v>5950</v>
      </c>
      <c r="R1297" s="13" t="str">
        <f>IF(D1297="TEX","аренда техники — сделка/счёт",IF(OR(Q1297="",H1297="",H1297=0),"—",IF(Q1297&lt;H1297*(1-Параметры!$B$7),"почасовка",IF(Q1297&gt;H1297*(1+Параметры!$B$7),"сделка","любой способ"))))</f>
        <v>почасовка</v>
      </c>
      <c r="S1297">
        <v>0</v>
      </c>
      <c r="T1297">
        <v>0</v>
      </c>
    </row>
    <row r="1298" spans="1:20" x14ac:dyDescent="0.25">
      <c r="A1298" s="18" t="s">
        <v>2638</v>
      </c>
      <c r="B1298" s="13" t="s">
        <v>2639</v>
      </c>
      <c r="C1298" s="13" t="s">
        <v>69</v>
      </c>
      <c r="D1298" s="13" t="s">
        <v>288</v>
      </c>
      <c r="E1298" s="13" t="str">
        <f>IFERROR(INDEX('Почасовка — ставки и план'!$B$5:$B$24,MATCH(D1298,'Почасовка — ставки и план'!$A$5:$A$24,0)),"Аренда техники / механизмы")</f>
        <v>Монтажник вентиляции</v>
      </c>
      <c r="F1298" s="14">
        <v>284</v>
      </c>
      <c r="G1298" s="14">
        <v>340</v>
      </c>
      <c r="H1298" s="15">
        <v>150</v>
      </c>
      <c r="I1298" s="15">
        <f>IF(OR(H1298="",F1298=""),"",MAX(H1298,MIN(ROUND(H1298*(1+Параметры!$B$5),IF(H1298*(1+Параметры!$B$5)&gt;=1000,-1,0)),ROUND(F1298*Параметры!$B$6,IF(F1298*Параметры!$B$6&gt;=1000,-1,0)))))</f>
        <v>173</v>
      </c>
      <c r="J1298" s="15">
        <v>180</v>
      </c>
      <c r="K1298" s="15">
        <f>IF(OR(J1298="",G1298=""),"",MAX(J1298,MIN(ROUND(J1298*(1+Параметры!$B$5),IF(J1298*(1+Параметры!$B$5)&gt;=1000,-1,0)),ROUND(G1298*Параметры!$B$6,IF(G1298*Параметры!$B$6&gt;=1000,-1,0)))))</f>
        <v>207</v>
      </c>
      <c r="L1298" s="16">
        <v>0.25</v>
      </c>
      <c r="M1298" s="17">
        <f t="shared" si="96"/>
        <v>4</v>
      </c>
      <c r="N1298" s="17">
        <f>IF(OR(L1298="",L1298=0),"",Параметры!$B$3/L1298)</f>
        <v>32</v>
      </c>
      <c r="O1298" s="15">
        <f>IF(L1298="","",IFERROR(INDEX('Почасовка — ставки и план'!$D$5:$D$24,MATCH($D1298,'Почасовка — ставки и план'!$A$5:$A$24,0)),""))</f>
        <v>850</v>
      </c>
      <c r="P1298" s="15">
        <f>IF(L1298="","",IFERROR(INDEX('Почасовка — ставки и план'!$E$5:$E$24,MATCH($D1298,'Почасовка — ставки и план'!$A$5:$A$24,0)),""))</f>
        <v>1020</v>
      </c>
      <c r="Q1298" s="15">
        <f t="shared" si="97"/>
        <v>213</v>
      </c>
      <c r="R1298" s="13" t="str">
        <f>IF(D1298="TEX","аренда техники — сделка/счёт",IF(OR(Q1298="",H1298="",H1298=0),"—",IF(Q1298&lt;H1298*(1-Параметры!$B$7),"почасовка",IF(Q1298&gt;H1298*(1+Параметры!$B$7),"сделка","любой способ"))))</f>
        <v>сделка</v>
      </c>
      <c r="S1298">
        <v>0.1359999999999999</v>
      </c>
      <c r="T1298">
        <v>0.1333333333333333</v>
      </c>
    </row>
    <row r="1299" spans="1:20" x14ac:dyDescent="0.25">
      <c r="A1299" s="18" t="s">
        <v>2640</v>
      </c>
      <c r="B1299" s="13" t="s">
        <v>2641</v>
      </c>
      <c r="C1299" s="13" t="s">
        <v>144</v>
      </c>
      <c r="D1299" s="13" t="s">
        <v>288</v>
      </c>
      <c r="E1299" s="13" t="str">
        <f>IFERROR(INDEX('Почасовка — ставки и план'!$B$5:$B$24,MATCH(D1299,'Почасовка — ставки и план'!$A$5:$A$24,0)),"Аренда техники / механизмы")</f>
        <v>Монтажник вентиляции</v>
      </c>
      <c r="F1299" s="14">
        <v>700</v>
      </c>
      <c r="G1299" s="14">
        <v>800</v>
      </c>
      <c r="H1299" s="15">
        <v>420</v>
      </c>
      <c r="I1299" s="15">
        <f>IF(OR(H1299="",F1299=""),"",MAX(H1299,MIN(ROUND(H1299*(1+Параметры!$B$5),IF(H1299*(1+Параметры!$B$5)&gt;=1000,-1,0)),ROUND(F1299*Параметры!$B$6,IF(F1299*Параметры!$B$6&gt;=1000,-1,0)))))</f>
        <v>483</v>
      </c>
      <c r="J1299" s="15">
        <v>480</v>
      </c>
      <c r="K1299" s="15">
        <f>IF(OR(J1299="",G1299=""),"",MAX(J1299,MIN(ROUND(J1299*(1+Параметры!$B$5),IF(J1299*(1+Параметры!$B$5)&gt;=1000,-1,0)),ROUND(G1299*Параметры!$B$6,IF(G1299*Параметры!$B$6&gt;=1000,-1,0)))))</f>
        <v>552</v>
      </c>
      <c r="L1299" s="16">
        <v>0.4</v>
      </c>
      <c r="M1299" s="17">
        <f t="shared" si="96"/>
        <v>2.5</v>
      </c>
      <c r="N1299" s="17">
        <f>IF(OR(L1299="",L1299=0),"",Параметры!$B$3/L1299)</f>
        <v>20</v>
      </c>
      <c r="O1299" s="15">
        <f>IF(L1299="","",IFERROR(INDEX('Почасовка — ставки и план'!$D$5:$D$24,MATCH($D1299,'Почасовка — ставки и план'!$A$5:$A$24,0)),""))</f>
        <v>850</v>
      </c>
      <c r="P1299" s="15">
        <f>IF(L1299="","",IFERROR(INDEX('Почасовка — ставки и план'!$E$5:$E$24,MATCH($D1299,'Почасовка — ставки и план'!$A$5:$A$24,0)),""))</f>
        <v>1020</v>
      </c>
      <c r="Q1299" s="15">
        <f t="shared" si="97"/>
        <v>340</v>
      </c>
      <c r="R1299" s="13" t="str">
        <f>IF(D1299="TEX","аренда техники — сделка/счёт",IF(OR(Q1299="",H1299="",H1299=0),"—",IF(Q1299&lt;H1299*(1-Параметры!$B$7),"почасовка",IF(Q1299&gt;H1299*(1+Параметры!$B$7),"сделка","любой способ"))))</f>
        <v>почасовка</v>
      </c>
      <c r="S1299">
        <v>0</v>
      </c>
      <c r="T1299">
        <v>0</v>
      </c>
    </row>
    <row r="1300" spans="1:20" x14ac:dyDescent="0.25">
      <c r="A1300" s="18" t="s">
        <v>2642</v>
      </c>
      <c r="B1300" s="13" t="s">
        <v>2643</v>
      </c>
      <c r="C1300" s="13" t="s">
        <v>144</v>
      </c>
      <c r="D1300" s="13" t="s">
        <v>288</v>
      </c>
      <c r="E1300" s="13" t="str">
        <f>IFERROR(INDEX('Почасовка — ставки и план'!$B$5:$B$24,MATCH(D1300,'Почасовка — ставки и план'!$A$5:$A$24,0)),"Аренда техники / механизмы")</f>
        <v>Монтажник вентиляции</v>
      </c>
      <c r="F1300" s="14">
        <v>3500</v>
      </c>
      <c r="G1300" s="14">
        <v>4500</v>
      </c>
      <c r="H1300" s="15">
        <v>2100</v>
      </c>
      <c r="I1300" s="15">
        <f>IF(OR(H1300="",F1300=""),"",MAX(H1300,MIN(ROUND(H1300*(1+Параметры!$B$5),IF(H1300*(1+Параметры!$B$5)&gt;=1000,-1,0)),ROUND(F1300*Параметры!$B$6,IF(F1300*Параметры!$B$6&gt;=1000,-1,0)))))</f>
        <v>2420</v>
      </c>
      <c r="J1300" s="15">
        <v>2700</v>
      </c>
      <c r="K1300" s="15">
        <f>IF(OR(J1300="",G1300=""),"",MAX(J1300,MIN(ROUND(J1300*(1+Параметры!$B$5),IF(J1300*(1+Параметры!$B$5)&gt;=1000,-1,0)),ROUND(G1300*Параметры!$B$6,IF(G1300*Параметры!$B$6&gt;=1000,-1,0)))))</f>
        <v>3110</v>
      </c>
      <c r="L1300" s="16">
        <v>2</v>
      </c>
      <c r="M1300" s="17">
        <f t="shared" si="96"/>
        <v>0.5</v>
      </c>
      <c r="N1300" s="17">
        <f>IF(OR(L1300="",L1300=0),"",Параметры!$B$3/L1300)</f>
        <v>4</v>
      </c>
      <c r="O1300" s="15">
        <f>IF(L1300="","",IFERROR(INDEX('Почасовка — ставки и план'!$D$5:$D$24,MATCH($D1300,'Почасовка — ставки и план'!$A$5:$A$24,0)),""))</f>
        <v>850</v>
      </c>
      <c r="P1300" s="15">
        <f>IF(L1300="","",IFERROR(INDEX('Почасовка — ставки и план'!$E$5:$E$24,MATCH($D1300,'Почасовка — ставки и план'!$A$5:$A$24,0)),""))</f>
        <v>1020</v>
      </c>
      <c r="Q1300" s="15">
        <f t="shared" si="97"/>
        <v>1700</v>
      </c>
      <c r="R1300" s="13" t="str">
        <f>IF(D1300="TEX","аренда техники — сделка/счёт",IF(OR(Q1300="",H1300="",H1300=0),"—",IF(Q1300&lt;H1300*(1-Параметры!$B$7),"почасовка",IF(Q1300&gt;H1300*(1+Параметры!$B$7),"сделка","любой способ"))))</f>
        <v>почасовка</v>
      </c>
      <c r="S1300">
        <v>0</v>
      </c>
      <c r="T1300">
        <v>0</v>
      </c>
    </row>
    <row r="1301" spans="1:20" x14ac:dyDescent="0.25">
      <c r="A1301" s="18" t="s">
        <v>2644</v>
      </c>
      <c r="B1301" s="13" t="s">
        <v>2645</v>
      </c>
      <c r="C1301" s="13" t="s">
        <v>72</v>
      </c>
      <c r="D1301" s="13" t="s">
        <v>288</v>
      </c>
      <c r="E1301" s="13" t="str">
        <f>IFERROR(INDEX('Почасовка — ставки и план'!$B$5:$B$24,MATCH(D1301,'Почасовка — ставки и план'!$A$5:$A$24,0)),"Аренда техники / механизмы")</f>
        <v>Монтажник вентиляции</v>
      </c>
      <c r="F1301" s="14">
        <v>600</v>
      </c>
      <c r="G1301" s="14">
        <v>700</v>
      </c>
      <c r="H1301" s="15">
        <v>360</v>
      </c>
      <c r="I1301" s="15">
        <f>IF(OR(H1301="",F1301=""),"",MAX(H1301,MIN(ROUND(H1301*(1+Параметры!$B$5),IF(H1301*(1+Параметры!$B$5)&gt;=1000,-1,0)),ROUND(F1301*Параметры!$B$6,IF(F1301*Параметры!$B$6&gt;=1000,-1,0)))))</f>
        <v>414</v>
      </c>
      <c r="J1301" s="15">
        <v>420</v>
      </c>
      <c r="K1301" s="15">
        <f>IF(OR(J1301="",G1301=""),"",MAX(J1301,MIN(ROUND(J1301*(1+Параметры!$B$5),IF(J1301*(1+Параметры!$B$5)&gt;=1000,-1,0)),ROUND(G1301*Параметры!$B$6,IF(G1301*Параметры!$B$6&gt;=1000,-1,0)))))</f>
        <v>483</v>
      </c>
      <c r="L1301" s="16">
        <v>0.45</v>
      </c>
      <c r="M1301" s="17">
        <f t="shared" si="96"/>
        <v>2.2222222222222223</v>
      </c>
      <c r="N1301" s="17">
        <f>IF(OR(L1301="",L1301=0),"",Параметры!$B$3/L1301)</f>
        <v>17.777777777777779</v>
      </c>
      <c r="O1301" s="15">
        <f>IF(L1301="","",IFERROR(INDEX('Почасовка — ставки и план'!$D$5:$D$24,MATCH($D1301,'Почасовка — ставки и план'!$A$5:$A$24,0)),""))</f>
        <v>850</v>
      </c>
      <c r="P1301" s="15">
        <f>IF(L1301="","",IFERROR(INDEX('Почасовка — ставки и план'!$E$5:$E$24,MATCH($D1301,'Почасовка — ставки и план'!$A$5:$A$24,0)),""))</f>
        <v>1020</v>
      </c>
      <c r="Q1301" s="15">
        <f t="shared" si="97"/>
        <v>383</v>
      </c>
      <c r="R1301" s="13" t="str">
        <f>IF(D1301="TEX","аренда техники — сделка/счёт",IF(OR(Q1301="",H1301="",H1301=0),"—",IF(Q1301&lt;H1301*(1-Параметры!$B$7),"почасовка",IF(Q1301&gt;H1301*(1+Параметры!$B$7),"сделка","любой способ"))))</f>
        <v>любой способ</v>
      </c>
      <c r="S1301">
        <v>0</v>
      </c>
      <c r="T1301">
        <v>0</v>
      </c>
    </row>
    <row r="1302" spans="1:20" x14ac:dyDescent="0.25">
      <c r="A1302" s="18" t="s">
        <v>2646</v>
      </c>
      <c r="B1302" s="13" t="s">
        <v>2647</v>
      </c>
      <c r="C1302" s="13" t="s">
        <v>144</v>
      </c>
      <c r="D1302" s="13" t="s">
        <v>288</v>
      </c>
      <c r="E1302" s="13" t="str">
        <f>IFERROR(INDEX('Почасовка — ставки и план'!$B$5:$B$24,MATCH(D1302,'Почасовка — ставки и план'!$A$5:$A$24,0)),"Аренда техники / механизмы")</f>
        <v>Монтажник вентиляции</v>
      </c>
      <c r="F1302" s="14">
        <v>5500</v>
      </c>
      <c r="G1302" s="14">
        <v>6000</v>
      </c>
      <c r="H1302" s="15">
        <v>3300</v>
      </c>
      <c r="I1302" s="15">
        <f>IF(OR(H1302="",F1302=""),"",MAX(H1302,MIN(ROUND(H1302*(1+Параметры!$B$5),IF(H1302*(1+Параметры!$B$5)&gt;=1000,-1,0)),ROUND(F1302*Параметры!$B$6,IF(F1302*Параметры!$B$6&gt;=1000,-1,0)))))</f>
        <v>3800</v>
      </c>
      <c r="J1302" s="15">
        <v>3600</v>
      </c>
      <c r="K1302" s="15">
        <f>IF(OR(J1302="",G1302=""),"",MAX(J1302,MIN(ROUND(J1302*(1+Параметры!$B$5),IF(J1302*(1+Параметры!$B$5)&gt;=1000,-1,0)),ROUND(G1302*Параметры!$B$6,IF(G1302*Параметры!$B$6&gt;=1000,-1,0)))))</f>
        <v>4140</v>
      </c>
      <c r="L1302" s="16">
        <v>3</v>
      </c>
      <c r="M1302" s="17">
        <f t="shared" si="96"/>
        <v>0.33333333333333331</v>
      </c>
      <c r="N1302" s="17">
        <f>IF(OR(L1302="",L1302=0),"",Параметры!$B$3/L1302)</f>
        <v>2.6666666666666665</v>
      </c>
      <c r="O1302" s="15">
        <f>IF(L1302="","",IFERROR(INDEX('Почасовка — ставки и план'!$D$5:$D$24,MATCH($D1302,'Почасовка — ставки и план'!$A$5:$A$24,0)),""))</f>
        <v>850</v>
      </c>
      <c r="P1302" s="15">
        <f>IF(L1302="","",IFERROR(INDEX('Почасовка — ставки и план'!$E$5:$E$24,MATCH($D1302,'Почасовка — ставки и план'!$A$5:$A$24,0)),""))</f>
        <v>1020</v>
      </c>
      <c r="Q1302" s="15">
        <f t="shared" si="97"/>
        <v>2550</v>
      </c>
      <c r="R1302" s="13" t="str">
        <f>IF(D1302="TEX","аренда техники — сделка/счёт",IF(OR(Q1302="",H1302="",H1302=0),"—",IF(Q1302&lt;H1302*(1-Параметры!$B$7),"почасовка",IF(Q1302&gt;H1302*(1+Параметры!$B$7),"сделка","любой способ"))))</f>
        <v>почасовка</v>
      </c>
      <c r="S1302">
        <v>0</v>
      </c>
      <c r="T1302">
        <v>0</v>
      </c>
    </row>
    <row r="1303" spans="1:20" x14ac:dyDescent="0.25">
      <c r="A1303" s="18" t="s">
        <v>2648</v>
      </c>
      <c r="B1303" s="13" t="s">
        <v>2649</v>
      </c>
      <c r="C1303" s="13" t="s">
        <v>144</v>
      </c>
      <c r="D1303" s="13" t="s">
        <v>288</v>
      </c>
      <c r="E1303" s="13" t="str">
        <f>IFERROR(INDEX('Почасовка — ставки и план'!$B$5:$B$24,MATCH(D1303,'Почасовка — ставки и план'!$A$5:$A$24,0)),"Аренда техники / механизмы")</f>
        <v>Монтажник вентиляции</v>
      </c>
      <c r="F1303" s="14">
        <v>7000</v>
      </c>
      <c r="G1303" s="14">
        <v>7500</v>
      </c>
      <c r="H1303" s="15">
        <v>4200</v>
      </c>
      <c r="I1303" s="15">
        <f>IF(OR(H1303="",F1303=""),"",MAX(H1303,MIN(ROUND(H1303*(1+Параметры!$B$5),IF(H1303*(1+Параметры!$B$5)&gt;=1000,-1,0)),ROUND(F1303*Параметры!$B$6,IF(F1303*Параметры!$B$6&gt;=1000,-1,0)))))</f>
        <v>4830</v>
      </c>
      <c r="J1303" s="15">
        <v>4500</v>
      </c>
      <c r="K1303" s="15">
        <f>IF(OR(J1303="",G1303=""),"",MAX(J1303,MIN(ROUND(J1303*(1+Параметры!$B$5),IF(J1303*(1+Параметры!$B$5)&gt;=1000,-1,0)),ROUND(G1303*Параметры!$B$6,IF(G1303*Параметры!$B$6&gt;=1000,-1,0)))))</f>
        <v>5180</v>
      </c>
      <c r="L1303" s="16">
        <v>4.5</v>
      </c>
      <c r="M1303" s="17">
        <f t="shared" si="96"/>
        <v>0.22222222222222221</v>
      </c>
      <c r="N1303" s="17">
        <f>IF(OR(L1303="",L1303=0),"",Параметры!$B$3/L1303)</f>
        <v>1.7777777777777777</v>
      </c>
      <c r="O1303" s="15">
        <f>IF(L1303="","",IFERROR(INDEX('Почасовка — ставки и план'!$D$5:$D$24,MATCH($D1303,'Почасовка — ставки и план'!$A$5:$A$24,0)),""))</f>
        <v>850</v>
      </c>
      <c r="P1303" s="15">
        <f>IF(L1303="","",IFERROR(INDEX('Почасовка — ставки и план'!$E$5:$E$24,MATCH($D1303,'Почасовка — ставки и план'!$A$5:$A$24,0)),""))</f>
        <v>1020</v>
      </c>
      <c r="Q1303" s="15">
        <f t="shared" si="97"/>
        <v>3825</v>
      </c>
      <c r="R1303" s="13" t="str">
        <f>IF(D1303="TEX","аренда техники — сделка/счёт",IF(OR(Q1303="",H1303="",H1303=0),"—",IF(Q1303&lt;H1303*(1-Параметры!$B$7),"почасовка",IF(Q1303&gt;H1303*(1+Параметры!$B$7),"сделка","любой способ"))))</f>
        <v>любой способ</v>
      </c>
      <c r="S1303">
        <v>0</v>
      </c>
      <c r="T1303">
        <v>0</v>
      </c>
    </row>
    <row r="1304" spans="1:20" x14ac:dyDescent="0.25">
      <c r="A1304" s="18" t="s">
        <v>2650</v>
      </c>
      <c r="B1304" s="13" t="s">
        <v>2651</v>
      </c>
      <c r="C1304" s="13" t="s">
        <v>144</v>
      </c>
      <c r="D1304" s="13" t="s">
        <v>288</v>
      </c>
      <c r="E1304" s="13" t="str">
        <f>IFERROR(INDEX('Почасовка — ставки и план'!$B$5:$B$24,MATCH(D1304,'Почасовка — ставки и план'!$A$5:$A$24,0)),"Аренда техники / механизмы")</f>
        <v>Монтажник вентиляции</v>
      </c>
      <c r="F1304" s="14">
        <v>2500</v>
      </c>
      <c r="G1304" s="14">
        <v>2800</v>
      </c>
      <c r="H1304" s="15">
        <v>1500</v>
      </c>
      <c r="I1304" s="15">
        <f>IF(OR(H1304="",F1304=""),"",MAX(H1304,MIN(ROUND(H1304*(1+Параметры!$B$5),IF(H1304*(1+Параметры!$B$5)&gt;=1000,-1,0)),ROUND(F1304*Параметры!$B$6,IF(F1304*Параметры!$B$6&gt;=1000,-1,0)))))</f>
        <v>1730</v>
      </c>
      <c r="J1304" s="15">
        <v>1680</v>
      </c>
      <c r="K1304" s="15">
        <f>IF(OR(J1304="",G1304=""),"",MAX(J1304,MIN(ROUND(J1304*(1+Параметры!$B$5),IF(J1304*(1+Параметры!$B$5)&gt;=1000,-1,0)),ROUND(G1304*Параметры!$B$6,IF(G1304*Параметры!$B$6&gt;=1000,-1,0)))))</f>
        <v>1930</v>
      </c>
      <c r="L1304" s="16">
        <v>1.5</v>
      </c>
      <c r="M1304" s="17">
        <f t="shared" si="96"/>
        <v>0.66666666666666663</v>
      </c>
      <c r="N1304" s="17">
        <f>IF(OR(L1304="",L1304=0),"",Параметры!$B$3/L1304)</f>
        <v>5.333333333333333</v>
      </c>
      <c r="O1304" s="15">
        <f>IF(L1304="","",IFERROR(INDEX('Почасовка — ставки и план'!$D$5:$D$24,MATCH($D1304,'Почасовка — ставки и план'!$A$5:$A$24,0)),""))</f>
        <v>850</v>
      </c>
      <c r="P1304" s="15">
        <f>IF(L1304="","",IFERROR(INDEX('Почасовка — ставки и план'!$E$5:$E$24,MATCH($D1304,'Почасовка — ставки и план'!$A$5:$A$24,0)),""))</f>
        <v>1020</v>
      </c>
      <c r="Q1304" s="15">
        <f t="shared" si="97"/>
        <v>1275</v>
      </c>
      <c r="R1304" s="13" t="str">
        <f>IF(D1304="TEX","аренда техники — сделка/счёт",IF(OR(Q1304="",H1304="",H1304=0),"—",IF(Q1304&lt;H1304*(1-Параметры!$B$7),"почасовка",IF(Q1304&gt;H1304*(1+Параметры!$B$7),"сделка","любой способ"))))</f>
        <v>почасовка</v>
      </c>
      <c r="S1304">
        <v>0</v>
      </c>
      <c r="T1304">
        <v>0</v>
      </c>
    </row>
    <row r="1305" spans="1:20" x14ac:dyDescent="0.25">
      <c r="A1305" s="18" t="s">
        <v>2652</v>
      </c>
      <c r="B1305" s="13" t="s">
        <v>2653</v>
      </c>
      <c r="C1305" s="13" t="s">
        <v>144</v>
      </c>
      <c r="D1305" s="13" t="s">
        <v>288</v>
      </c>
      <c r="E1305" s="13" t="str">
        <f>IFERROR(INDEX('Почасовка — ставки и план'!$B$5:$B$24,MATCH(D1305,'Почасовка — ставки и план'!$A$5:$A$24,0)),"Аренда техники / механизмы")</f>
        <v>Монтажник вентиляции</v>
      </c>
      <c r="F1305" s="14">
        <v>2800</v>
      </c>
      <c r="G1305" s="14">
        <v>3200</v>
      </c>
      <c r="H1305" s="15">
        <v>1680</v>
      </c>
      <c r="I1305" s="15">
        <f>IF(OR(H1305="",F1305=""),"",MAX(H1305,MIN(ROUND(H1305*(1+Параметры!$B$5),IF(H1305*(1+Параметры!$B$5)&gt;=1000,-1,0)),ROUND(F1305*Параметры!$B$6,IF(F1305*Параметры!$B$6&gt;=1000,-1,0)))))</f>
        <v>1930</v>
      </c>
      <c r="J1305" s="15">
        <v>1920</v>
      </c>
      <c r="K1305" s="15">
        <f>IF(OR(J1305="",G1305=""),"",MAX(J1305,MIN(ROUND(J1305*(1+Параметры!$B$5),IF(J1305*(1+Параметры!$B$5)&gt;=1000,-1,0)),ROUND(G1305*Параметры!$B$6,IF(G1305*Параметры!$B$6&gt;=1000,-1,0)))))</f>
        <v>2210</v>
      </c>
      <c r="L1305" s="16">
        <v>1.5</v>
      </c>
      <c r="M1305" s="17">
        <f t="shared" si="96"/>
        <v>0.66666666666666663</v>
      </c>
      <c r="N1305" s="17">
        <f>IF(OR(L1305="",L1305=0),"",Параметры!$B$3/L1305)</f>
        <v>5.333333333333333</v>
      </c>
      <c r="O1305" s="15">
        <f>IF(L1305="","",IFERROR(INDEX('Почасовка — ставки и план'!$D$5:$D$24,MATCH($D1305,'Почасовка — ставки и план'!$A$5:$A$24,0)),""))</f>
        <v>850</v>
      </c>
      <c r="P1305" s="15">
        <f>IF(L1305="","",IFERROR(INDEX('Почасовка — ставки и план'!$E$5:$E$24,MATCH($D1305,'Почасовка — ставки и план'!$A$5:$A$24,0)),""))</f>
        <v>1020</v>
      </c>
      <c r="Q1305" s="15">
        <f t="shared" si="97"/>
        <v>1275</v>
      </c>
      <c r="R1305" s="13" t="str">
        <f>IF(D1305="TEX","аренда техники — сделка/счёт",IF(OR(Q1305="",H1305="",H1305=0),"—",IF(Q1305&lt;H1305*(1-Параметры!$B$7),"почасовка",IF(Q1305&gt;H1305*(1+Параметры!$B$7),"сделка","любой способ"))))</f>
        <v>почасовка</v>
      </c>
      <c r="S1305">
        <v>0</v>
      </c>
      <c r="T1305">
        <v>0</v>
      </c>
    </row>
    <row r="1306" spans="1:20" x14ac:dyDescent="0.25">
      <c r="A1306" s="18" t="s">
        <v>2654</v>
      </c>
      <c r="B1306" s="13" t="s">
        <v>2655</v>
      </c>
      <c r="C1306" s="13" t="s">
        <v>756</v>
      </c>
      <c r="D1306" s="13" t="s">
        <v>288</v>
      </c>
      <c r="E1306" s="13" t="str">
        <f>IFERROR(INDEX('Почасовка — ставки и план'!$B$5:$B$24,MATCH(D1306,'Почасовка — ставки и план'!$A$5:$A$24,0)),"Аренда техники / механизмы")</f>
        <v>Монтажник вентиляции</v>
      </c>
      <c r="F1306" s="14">
        <v>800</v>
      </c>
      <c r="G1306" s="14">
        <v>950</v>
      </c>
      <c r="H1306" s="15">
        <v>480</v>
      </c>
      <c r="I1306" s="15">
        <f>IF(OR(H1306="",F1306=""),"",MAX(H1306,MIN(ROUND(H1306*(1+Параметры!$B$5),IF(H1306*(1+Параметры!$B$5)&gt;=1000,-1,0)),ROUND(F1306*Параметры!$B$6,IF(F1306*Параметры!$B$6&gt;=1000,-1,0)))))</f>
        <v>552</v>
      </c>
      <c r="J1306" s="15">
        <v>570</v>
      </c>
      <c r="K1306" s="15">
        <f>IF(OR(J1306="",G1306=""),"",MAX(J1306,MIN(ROUND(J1306*(1+Параметры!$B$5),IF(J1306*(1+Параметры!$B$5)&gt;=1000,-1,0)),ROUND(G1306*Параметры!$B$6,IF(G1306*Параметры!$B$6&gt;=1000,-1,0)))))</f>
        <v>656</v>
      </c>
      <c r="L1306" s="16">
        <v>0.5</v>
      </c>
      <c r="M1306" s="17">
        <f t="shared" si="96"/>
        <v>2</v>
      </c>
      <c r="N1306" s="17">
        <f>IF(OR(L1306="",L1306=0),"",Параметры!$B$3/L1306)</f>
        <v>16</v>
      </c>
      <c r="O1306" s="15">
        <f>IF(L1306="","",IFERROR(INDEX('Почасовка — ставки и план'!$D$5:$D$24,MATCH($D1306,'Почасовка — ставки и план'!$A$5:$A$24,0)),""))</f>
        <v>850</v>
      </c>
      <c r="P1306" s="15">
        <f>IF(L1306="","",IFERROR(INDEX('Почасовка — ставки и план'!$E$5:$E$24,MATCH($D1306,'Почасовка — ставки и план'!$A$5:$A$24,0)),""))</f>
        <v>1020</v>
      </c>
      <c r="Q1306" s="15">
        <f t="shared" si="97"/>
        <v>425</v>
      </c>
      <c r="R1306" s="13" t="str">
        <f>IF(D1306="TEX","аренда техники — сделка/счёт",IF(OR(Q1306="",H1306="",H1306=0),"—",IF(Q1306&lt;H1306*(1-Параметры!$B$7),"почасовка",IF(Q1306&gt;H1306*(1+Параметры!$B$7),"сделка","любой способ"))))</f>
        <v>почасовка</v>
      </c>
      <c r="S1306">
        <v>0</v>
      </c>
      <c r="T1306">
        <v>0</v>
      </c>
    </row>
    <row r="1307" spans="1:20" x14ac:dyDescent="0.25">
      <c r="A1307" s="18" t="s">
        <v>2656</v>
      </c>
      <c r="B1307" s="13" t="s">
        <v>2657</v>
      </c>
      <c r="C1307" s="13" t="s">
        <v>144</v>
      </c>
      <c r="D1307" s="13" t="s">
        <v>299</v>
      </c>
      <c r="E1307" s="13" t="str">
        <f>IFERROR(INDEX('Почасовка — ставки и план'!$B$5:$B$24,MATCH(D1307,'Почасовка — ставки и план'!$A$5:$A$24,0)),"Аренда техники / механизмы")</f>
        <v>Холодильщик / монтажник кондиционеров</v>
      </c>
      <c r="F1307" s="14">
        <v>8000</v>
      </c>
      <c r="G1307" s="14">
        <v>9200</v>
      </c>
      <c r="H1307" s="15">
        <v>4800</v>
      </c>
      <c r="I1307" s="15">
        <f>IF(OR(H1307="",F1307=""),"",MAX(H1307,MIN(ROUND(H1307*(1+Параметры!$B$5),IF(H1307*(1+Параметры!$B$5)&gt;=1000,-1,0)),ROUND(F1307*Параметры!$B$6,IF(F1307*Параметры!$B$6&gt;=1000,-1,0)))))</f>
        <v>5520</v>
      </c>
      <c r="J1307" s="15">
        <v>5520</v>
      </c>
      <c r="K1307" s="15">
        <f>IF(OR(J1307="",G1307=""),"",MAX(J1307,MIN(ROUND(J1307*(1+Параметры!$B$5),IF(J1307*(1+Параметры!$B$5)&gt;=1000,-1,0)),ROUND(G1307*Параметры!$B$6,IF(G1307*Параметры!$B$6&gt;=1000,-1,0)))))</f>
        <v>6350</v>
      </c>
      <c r="L1307" s="16">
        <v>3.5</v>
      </c>
      <c r="M1307" s="17">
        <f t="shared" si="96"/>
        <v>0.2857142857142857</v>
      </c>
      <c r="N1307" s="17">
        <f>IF(OR(L1307="",L1307=0),"",Параметры!$B$3/L1307)</f>
        <v>2.2857142857142856</v>
      </c>
      <c r="O1307" s="15">
        <f>IF(L1307="","",IFERROR(INDEX('Почасовка — ставки и план'!$D$5:$D$24,MATCH($D1307,'Почасовка — ставки и план'!$A$5:$A$24,0)),""))</f>
        <v>1200</v>
      </c>
      <c r="P1307" s="15">
        <f>IF(L1307="","",IFERROR(INDEX('Почасовка — ставки и план'!$E$5:$E$24,MATCH($D1307,'Почасовка — ставки и план'!$A$5:$A$24,0)),""))</f>
        <v>1440</v>
      </c>
      <c r="Q1307" s="15">
        <f t="shared" si="97"/>
        <v>4200</v>
      </c>
      <c r="R1307" s="13" t="str">
        <f>IF(D1307="TEX","аренда техники — сделка/счёт",IF(OR(Q1307="",H1307="",H1307=0),"—",IF(Q1307&lt;H1307*(1-Параметры!$B$7),"почасовка",IF(Q1307&gt;H1307*(1+Параметры!$B$7),"сделка","любой способ"))))</f>
        <v>почасовка</v>
      </c>
      <c r="S1307">
        <v>0</v>
      </c>
      <c r="T1307">
        <v>0</v>
      </c>
    </row>
    <row r="1308" spans="1:20" x14ac:dyDescent="0.25">
      <c r="A1308" s="18" t="s">
        <v>2658</v>
      </c>
      <c r="B1308" s="13" t="s">
        <v>2659</v>
      </c>
      <c r="C1308" s="13" t="s">
        <v>144</v>
      </c>
      <c r="D1308" s="13" t="s">
        <v>299</v>
      </c>
      <c r="E1308" s="13" t="str">
        <f>IFERROR(INDEX('Почасовка — ставки и план'!$B$5:$B$24,MATCH(D1308,'Почасовка — ставки и план'!$A$5:$A$24,0)),"Аренда техники / механизмы")</f>
        <v>Холодильщик / монтажник кондиционеров</v>
      </c>
      <c r="F1308" s="14">
        <v>13000</v>
      </c>
      <c r="G1308" s="14">
        <v>15000</v>
      </c>
      <c r="H1308" s="15">
        <v>7800</v>
      </c>
      <c r="I1308" s="15">
        <f>IF(OR(H1308="",F1308=""),"",MAX(H1308,MIN(ROUND(H1308*(1+Параметры!$B$5),IF(H1308*(1+Параметры!$B$5)&gt;=1000,-1,0)),ROUND(F1308*Параметры!$B$6,IF(F1308*Параметры!$B$6&gt;=1000,-1,0)))))</f>
        <v>8970</v>
      </c>
      <c r="J1308" s="15">
        <v>9000</v>
      </c>
      <c r="K1308" s="15">
        <f>IF(OR(J1308="",G1308=""),"",MAX(J1308,MIN(ROUND(J1308*(1+Параметры!$B$5),IF(J1308*(1+Параметры!$B$5)&gt;=1000,-1,0)),ROUND(G1308*Параметры!$B$6,IF(G1308*Параметры!$B$6&gt;=1000,-1,0)))))</f>
        <v>10350</v>
      </c>
      <c r="L1308" s="16">
        <v>6</v>
      </c>
      <c r="M1308" s="17">
        <f t="shared" si="96"/>
        <v>0.16666666666666666</v>
      </c>
      <c r="N1308" s="17">
        <f>IF(OR(L1308="",L1308=0),"",Параметры!$B$3/L1308)</f>
        <v>1.3333333333333333</v>
      </c>
      <c r="O1308" s="15">
        <f>IF(L1308="","",IFERROR(INDEX('Почасовка — ставки и план'!$D$5:$D$24,MATCH($D1308,'Почасовка — ставки и план'!$A$5:$A$24,0)),""))</f>
        <v>1200</v>
      </c>
      <c r="P1308" s="15">
        <f>IF(L1308="","",IFERROR(INDEX('Почасовка — ставки и план'!$E$5:$E$24,MATCH($D1308,'Почасовка — ставки и план'!$A$5:$A$24,0)),""))</f>
        <v>1440</v>
      </c>
      <c r="Q1308" s="15">
        <f t="shared" si="97"/>
        <v>7200</v>
      </c>
      <c r="R1308" s="13" t="str">
        <f>IF(D1308="TEX","аренда техники — сделка/счёт",IF(OR(Q1308="",H1308="",H1308=0),"—",IF(Q1308&lt;H1308*(1-Параметры!$B$7),"почасовка",IF(Q1308&gt;H1308*(1+Параметры!$B$7),"сделка","любой способ"))))</f>
        <v>любой способ</v>
      </c>
      <c r="S1308">
        <v>0</v>
      </c>
      <c r="T1308">
        <v>0</v>
      </c>
    </row>
    <row r="1309" spans="1:20" x14ac:dyDescent="0.25">
      <c r="A1309" s="18" t="s">
        <v>2660</v>
      </c>
      <c r="B1309" s="13" t="s">
        <v>2661</v>
      </c>
      <c r="C1309" s="13" t="s">
        <v>2662</v>
      </c>
      <c r="D1309" s="13" t="s">
        <v>2663</v>
      </c>
      <c r="E1309" s="13" t="str">
        <f>IFERROR(INDEX('Почасовка — ставки и план'!$B$5:$B$24,MATCH(D1309,'Почасовка — ставки и план'!$A$5:$A$24,0)),"Аренда техники / механизмы")</f>
        <v>Инженер электролаборатории / ПНР</v>
      </c>
      <c r="F1309" s="14">
        <v>14934</v>
      </c>
      <c r="G1309" s="14">
        <v>17920</v>
      </c>
      <c r="H1309" s="15">
        <v>7200</v>
      </c>
      <c r="I1309" s="15">
        <f>IF(OR(H1309="",F1309=""),"",MAX(H1309,MIN(ROUND(H1309*(1+Параметры!$B$5),IF(H1309*(1+Параметры!$B$5)&gt;=1000,-1,0)),ROUND(F1309*Параметры!$B$6,IF(F1309*Параметры!$B$6&gt;=1000,-1,0)))))</f>
        <v>8280</v>
      </c>
      <c r="J1309" s="15">
        <v>8400</v>
      </c>
      <c r="K1309" s="15">
        <f>IF(OR(J1309="",G1309=""),"",MAX(J1309,MIN(ROUND(J1309*(1+Параметры!$B$5),IF(J1309*(1+Параметры!$B$5)&gt;=1000,-1,0)),ROUND(G1309*Параметры!$B$6,IF(G1309*Параметры!$B$6&gt;=1000,-1,0)))))</f>
        <v>9660</v>
      </c>
      <c r="L1309" s="16">
        <v>8</v>
      </c>
      <c r="M1309" s="17">
        <f t="shared" si="96"/>
        <v>0.125</v>
      </c>
      <c r="N1309" s="17">
        <f>IF(OR(L1309="",L1309=0),"",Параметры!$B$3/L1309)</f>
        <v>1</v>
      </c>
      <c r="O1309" s="15">
        <f>IF(L1309="","",IFERROR(INDEX('Почасовка — ставки и план'!$D$5:$D$24,MATCH($D1309,'Почасовка — ставки и план'!$A$5:$A$24,0)),""))</f>
        <v>1400</v>
      </c>
      <c r="P1309" s="15">
        <f>IF(L1309="","",IFERROR(INDEX('Почасовка — ставки и план'!$E$5:$E$24,MATCH($D1309,'Почасовка — ставки и план'!$A$5:$A$24,0)),""))</f>
        <v>1680</v>
      </c>
      <c r="Q1309" s="15">
        <f t="shared" si="97"/>
        <v>11200</v>
      </c>
      <c r="R1309" s="13" t="str">
        <f>IF(D1309="TEX","аренда техники — сделка/счёт",IF(OR(Q1309="",H1309="",H1309=0),"—",IF(Q1309&lt;H1309*(1-Параметры!$B$7),"почасовка",IF(Q1309&gt;H1309*(1+Параметры!$B$7),"сделка","любой способ"))))</f>
        <v>сделка</v>
      </c>
      <c r="S1309">
        <v>0.24449999999999991</v>
      </c>
      <c r="T1309">
        <v>0.28000000000000003</v>
      </c>
    </row>
    <row r="1310" spans="1:20" x14ac:dyDescent="0.25">
      <c r="A1310" s="18" t="s">
        <v>2664</v>
      </c>
      <c r="B1310" s="13" t="s">
        <v>2665</v>
      </c>
      <c r="C1310" s="13" t="s">
        <v>2662</v>
      </c>
      <c r="D1310" s="13" t="s">
        <v>2663</v>
      </c>
      <c r="E1310" s="13" t="str">
        <f>IFERROR(INDEX('Почасовка — ставки и план'!$B$5:$B$24,MATCH(D1310,'Почасовка — ставки и план'!$A$5:$A$24,0)),"Аренда техники / механизмы")</f>
        <v>Инженер электролаборатории / ПНР</v>
      </c>
      <c r="F1310" s="14">
        <v>11200</v>
      </c>
      <c r="G1310" s="14">
        <v>13440</v>
      </c>
      <c r="H1310" s="15">
        <v>4800</v>
      </c>
      <c r="I1310" s="15">
        <f>IF(OR(H1310="",F1310=""),"",MAX(H1310,MIN(ROUND(H1310*(1+Параметры!$B$5),IF(H1310*(1+Параметры!$B$5)&gt;=1000,-1,0)),ROUND(F1310*Параметры!$B$6,IF(F1310*Параметры!$B$6&gt;=1000,-1,0)))))</f>
        <v>5520</v>
      </c>
      <c r="J1310" s="15">
        <v>5700</v>
      </c>
      <c r="K1310" s="15">
        <f>IF(OR(J1310="",G1310=""),"",MAX(J1310,MIN(ROUND(J1310*(1+Параметры!$B$5),IF(J1310*(1+Параметры!$B$5)&gt;=1000,-1,0)),ROUND(G1310*Параметры!$B$6,IF(G1310*Параметры!$B$6&gt;=1000,-1,0)))))</f>
        <v>6560</v>
      </c>
      <c r="L1310" s="16">
        <v>6</v>
      </c>
      <c r="M1310" s="17">
        <f t="shared" si="96"/>
        <v>0.16666666666666666</v>
      </c>
      <c r="N1310" s="17">
        <f>IF(OR(L1310="",L1310=0),"",Параметры!$B$3/L1310)</f>
        <v>1.3333333333333333</v>
      </c>
      <c r="O1310" s="15">
        <f>IF(L1310="","",IFERROR(INDEX('Почасовка — ставки и план'!$D$5:$D$24,MATCH($D1310,'Почасовка — ставки и план'!$A$5:$A$24,0)),""))</f>
        <v>1400</v>
      </c>
      <c r="P1310" s="15">
        <f>IF(L1310="","",IFERROR(INDEX('Почасовка — ставки и план'!$E$5:$E$24,MATCH($D1310,'Почасовка — ставки и план'!$A$5:$A$24,0)),""))</f>
        <v>1680</v>
      </c>
      <c r="Q1310" s="15">
        <f t="shared" si="97"/>
        <v>8400</v>
      </c>
      <c r="R1310" s="13" t="str">
        <f>IF(D1310="TEX","аренда техники — сделка/счёт",IF(OR(Q1310="",H1310="",H1310=0),"—",IF(Q1310&lt;H1310*(1-Параметры!$B$7),"почасовка",IF(Q1310&gt;H1310*(1+Параметры!$B$7),"сделка","любой способ"))))</f>
        <v>сделка</v>
      </c>
      <c r="S1310">
        <v>0.39999999999999991</v>
      </c>
      <c r="T1310">
        <v>0.41473684210526313</v>
      </c>
    </row>
    <row r="1311" spans="1:20" x14ac:dyDescent="0.25">
      <c r="A1311" s="18" t="s">
        <v>2666</v>
      </c>
      <c r="B1311" s="13" t="s">
        <v>2667</v>
      </c>
      <c r="C1311" s="13" t="s">
        <v>144</v>
      </c>
      <c r="D1311" s="13" t="s">
        <v>288</v>
      </c>
      <c r="E1311" s="13" t="str">
        <f>IFERROR(INDEX('Почасовка — ставки и план'!$B$5:$B$24,MATCH(D1311,'Почасовка — ставки и план'!$A$5:$A$24,0)),"Аренда техники / механизмы")</f>
        <v>Монтажник вентиляции</v>
      </c>
      <c r="F1311" s="14">
        <v>2000</v>
      </c>
      <c r="G1311" s="14">
        <v>2300</v>
      </c>
      <c r="H1311" s="15">
        <v>1200</v>
      </c>
      <c r="I1311" s="15">
        <f>IF(OR(H1311="",F1311=""),"",MAX(H1311,MIN(ROUND(H1311*(1+Параметры!$B$5),IF(H1311*(1+Параметры!$B$5)&gt;=1000,-1,0)),ROUND(F1311*Параметры!$B$6,IF(F1311*Параметры!$B$6&gt;=1000,-1,0)))))</f>
        <v>1380</v>
      </c>
      <c r="J1311" s="15">
        <v>1380</v>
      </c>
      <c r="K1311" s="15">
        <f>IF(OR(J1311="",G1311=""),"",MAX(J1311,MIN(ROUND(J1311*(1+Параметры!$B$5),IF(J1311*(1+Параметры!$B$5)&gt;=1000,-1,0)),ROUND(G1311*Параметры!$B$6,IF(G1311*Параметры!$B$6&gt;=1000,-1,0)))))</f>
        <v>1590</v>
      </c>
      <c r="L1311" s="16">
        <v>1.5</v>
      </c>
      <c r="M1311" s="17">
        <f t="shared" si="96"/>
        <v>0.66666666666666663</v>
      </c>
      <c r="N1311" s="17">
        <f>IF(OR(L1311="",L1311=0),"",Параметры!$B$3/L1311)</f>
        <v>5.333333333333333</v>
      </c>
      <c r="O1311" s="15">
        <f>IF(L1311="","",IFERROR(INDEX('Почасовка — ставки и план'!$D$5:$D$24,MATCH($D1311,'Почасовка — ставки и план'!$A$5:$A$24,0)),""))</f>
        <v>850</v>
      </c>
      <c r="P1311" s="15">
        <f>IF(L1311="","",IFERROR(INDEX('Почасовка — ставки и план'!$E$5:$E$24,MATCH($D1311,'Почасовка — ставки и план'!$A$5:$A$24,0)),""))</f>
        <v>1020</v>
      </c>
      <c r="Q1311" s="15">
        <f t="shared" si="97"/>
        <v>1275</v>
      </c>
      <c r="R1311" s="13" t="str">
        <f>IF(D1311="TEX","аренда техники — сделка/счёт",IF(OR(Q1311="",H1311="",H1311=0),"—",IF(Q1311&lt;H1311*(1-Параметры!$B$7),"почасовка",IF(Q1311&gt;H1311*(1+Параметры!$B$7),"сделка","любой способ"))))</f>
        <v>любой способ</v>
      </c>
      <c r="S1311">
        <v>0</v>
      </c>
      <c r="T1311">
        <v>0</v>
      </c>
    </row>
    <row r="1312" spans="1:20" x14ac:dyDescent="0.25">
      <c r="A1312" s="18" t="s">
        <v>2668</v>
      </c>
      <c r="B1312" s="13" t="s">
        <v>2669</v>
      </c>
      <c r="C1312" s="13" t="s">
        <v>144</v>
      </c>
      <c r="D1312" s="13" t="s">
        <v>91</v>
      </c>
      <c r="E1312" s="13" t="str">
        <f>IFERROR(INDEX('Почасовка — ставки и план'!$B$5:$B$24,MATCH(D1312,'Почасовка — ставки и план'!$A$5:$A$24,0)),"Аренда техники / механизмы")</f>
        <v>Фасадчик / промальпинист</v>
      </c>
      <c r="F1312" s="14">
        <v>9000</v>
      </c>
      <c r="G1312" s="14">
        <v>10500</v>
      </c>
      <c r="H1312" s="15">
        <v>5400</v>
      </c>
      <c r="I1312" s="15">
        <f>IF(OR(H1312="",F1312=""),"",MAX(H1312,MIN(ROUND(H1312*(1+Параметры!$B$5),IF(H1312*(1+Параметры!$B$5)&gt;=1000,-1,0)),ROUND(F1312*Параметры!$B$6,IF(F1312*Параметры!$B$6&gt;=1000,-1,0)))))</f>
        <v>6210</v>
      </c>
      <c r="J1312" s="15">
        <v>6300</v>
      </c>
      <c r="K1312" s="15">
        <f>IF(OR(J1312="",G1312=""),"",MAX(J1312,MIN(ROUND(J1312*(1+Параметры!$B$5),IF(J1312*(1+Параметры!$B$5)&gt;=1000,-1,0)),ROUND(G1312*Параметры!$B$6,IF(G1312*Параметры!$B$6&gt;=1000,-1,0)))))</f>
        <v>7250</v>
      </c>
      <c r="L1312" s="16">
        <v>4</v>
      </c>
      <c r="M1312" s="17">
        <f t="shared" si="96"/>
        <v>0.25</v>
      </c>
      <c r="N1312" s="17">
        <f>IF(OR(L1312="",L1312=0),"",Параметры!$B$3/L1312)</f>
        <v>2</v>
      </c>
      <c r="O1312" s="15">
        <f>IF(L1312="","",IFERROR(INDEX('Почасовка — ставки и план'!$D$5:$D$24,MATCH($D1312,'Почасовка — ставки и план'!$A$5:$A$24,0)),""))</f>
        <v>1100</v>
      </c>
      <c r="P1312" s="15">
        <f>IF(L1312="","",IFERROR(INDEX('Почасовка — ставки и план'!$E$5:$E$24,MATCH($D1312,'Почасовка — ставки и план'!$A$5:$A$24,0)),""))</f>
        <v>1300</v>
      </c>
      <c r="Q1312" s="15">
        <f t="shared" si="97"/>
        <v>4400</v>
      </c>
      <c r="R1312" s="13" t="str">
        <f>IF(D1312="TEX","аренда техники — сделка/счёт",IF(OR(Q1312="",H1312="",H1312=0),"—",IF(Q1312&lt;H1312*(1-Параметры!$B$7),"почасовка",IF(Q1312&gt;H1312*(1+Параметры!$B$7),"сделка","любой способ"))))</f>
        <v>почасовка</v>
      </c>
      <c r="S1312">
        <v>0</v>
      </c>
      <c r="T1312">
        <v>0</v>
      </c>
    </row>
    <row r="1313" spans="1:20" x14ac:dyDescent="0.25">
      <c r="A1313" s="18" t="s">
        <v>2670</v>
      </c>
      <c r="B1313" s="13" t="s">
        <v>2671</v>
      </c>
      <c r="C1313" s="13" t="s">
        <v>144</v>
      </c>
      <c r="D1313" s="13" t="s">
        <v>299</v>
      </c>
      <c r="E1313" s="13" t="str">
        <f>IFERROR(INDEX('Почасовка — ставки и план'!$B$5:$B$24,MATCH(D1313,'Почасовка — ставки и план'!$A$5:$A$24,0)),"Аренда техники / механизмы")</f>
        <v>Холодильщик / монтажник кондиционеров</v>
      </c>
      <c r="F1313" s="14">
        <v>1500</v>
      </c>
      <c r="G1313" s="14">
        <v>1700</v>
      </c>
      <c r="H1313" s="15">
        <v>900</v>
      </c>
      <c r="I1313" s="15">
        <f>IF(OR(H1313="",F1313=""),"",MAX(H1313,MIN(ROUND(H1313*(1+Параметры!$B$5),IF(H1313*(1+Параметры!$B$5)&gt;=1000,-1,0)),ROUND(F1313*Параметры!$B$6,IF(F1313*Параметры!$B$6&gt;=1000,-1,0)))))</f>
        <v>1040</v>
      </c>
      <c r="J1313" s="15">
        <v>1020</v>
      </c>
      <c r="K1313" s="15">
        <f>IF(OR(J1313="",G1313=""),"",MAX(J1313,MIN(ROUND(J1313*(1+Параметры!$B$5),IF(J1313*(1+Параметры!$B$5)&gt;=1000,-1,0)),ROUND(G1313*Параметры!$B$6,IF(G1313*Параметры!$B$6&gt;=1000,-1,0)))))</f>
        <v>1170</v>
      </c>
      <c r="L1313" s="16">
        <v>0.5</v>
      </c>
      <c r="M1313" s="17">
        <f t="shared" si="96"/>
        <v>2</v>
      </c>
      <c r="N1313" s="17">
        <f>IF(OR(L1313="",L1313=0),"",Параметры!$B$3/L1313)</f>
        <v>16</v>
      </c>
      <c r="O1313" s="15">
        <f>IF(L1313="","",IFERROR(INDEX('Почасовка — ставки и план'!$D$5:$D$24,MATCH($D1313,'Почасовка — ставки и план'!$A$5:$A$24,0)),""))</f>
        <v>1200</v>
      </c>
      <c r="P1313" s="15">
        <f>IF(L1313="","",IFERROR(INDEX('Почасовка — ставки и план'!$E$5:$E$24,MATCH($D1313,'Почасовка — ставки и план'!$A$5:$A$24,0)),""))</f>
        <v>1440</v>
      </c>
      <c r="Q1313" s="15">
        <f t="shared" si="97"/>
        <v>600</v>
      </c>
      <c r="R1313" s="13" t="str">
        <f>IF(D1313="TEX","аренда техники — сделка/счёт",IF(OR(Q1313="",H1313="",H1313=0),"—",IF(Q1313&lt;H1313*(1-Параметры!$B$7),"почасовка",IF(Q1313&gt;H1313*(1+Параметры!$B$7),"сделка","любой способ"))))</f>
        <v>почасовка</v>
      </c>
      <c r="S1313">
        <v>0</v>
      </c>
      <c r="T1313">
        <v>0</v>
      </c>
    </row>
    <row r="1314" spans="1:20" x14ac:dyDescent="0.25">
      <c r="A1314" s="18" t="s">
        <v>2672</v>
      </c>
      <c r="B1314" s="13" t="s">
        <v>2673</v>
      </c>
      <c r="C1314" s="13" t="s">
        <v>69</v>
      </c>
      <c r="D1314" s="13" t="s">
        <v>299</v>
      </c>
      <c r="E1314" s="13" t="str">
        <f>IFERROR(INDEX('Почасовка — ставки и план'!$B$5:$B$24,MATCH(D1314,'Почасовка — ставки и план'!$A$5:$A$24,0)),"Аренда техники / механизмы")</f>
        <v>Холодильщик / монтажник кондиционеров</v>
      </c>
      <c r="F1314" s="14">
        <v>480</v>
      </c>
      <c r="G1314" s="14">
        <v>576</v>
      </c>
      <c r="H1314" s="15">
        <v>270</v>
      </c>
      <c r="I1314" s="15">
        <f>IF(OR(H1314="",F1314=""),"",MAX(H1314,MIN(ROUND(H1314*(1+Параметры!$B$5),IF(H1314*(1+Параметры!$B$5)&gt;=1000,-1,0)),ROUND(F1314*Параметры!$B$6,IF(F1314*Параметры!$B$6&gt;=1000,-1,0)))))</f>
        <v>311</v>
      </c>
      <c r="J1314" s="15">
        <v>300</v>
      </c>
      <c r="K1314" s="15">
        <f>IF(OR(J1314="",G1314=""),"",MAX(J1314,MIN(ROUND(J1314*(1+Параметры!$B$5),IF(J1314*(1+Параметры!$B$5)&gt;=1000,-1,0)),ROUND(G1314*Параметры!$B$6,IF(G1314*Параметры!$B$6&gt;=1000,-1,0)))))</f>
        <v>345</v>
      </c>
      <c r="L1314" s="16">
        <v>0.3</v>
      </c>
      <c r="M1314" s="17">
        <f t="shared" ref="M1314:M1377" si="98">IF(OR(L1314="",L1314=0),"",1/L1314)</f>
        <v>3.3333333333333335</v>
      </c>
      <c r="N1314" s="17">
        <f>IF(OR(L1314="",L1314=0),"",Параметры!$B$3/L1314)</f>
        <v>26.666666666666668</v>
      </c>
      <c r="O1314" s="15">
        <f>IF(L1314="","",IFERROR(INDEX('Почасовка — ставки и план'!$D$5:$D$24,MATCH($D1314,'Почасовка — ставки и план'!$A$5:$A$24,0)),""))</f>
        <v>1200</v>
      </c>
      <c r="P1314" s="15">
        <f>IF(L1314="","",IFERROR(INDEX('Почасовка — ставки и план'!$E$5:$E$24,MATCH($D1314,'Почасовка — ставки и план'!$A$5:$A$24,0)),""))</f>
        <v>1440</v>
      </c>
      <c r="Q1314" s="15">
        <f t="shared" ref="Q1314:Q1322" si="99">IF(OR(L1314="",O1314=""),"",ROUND(L1314*O1314,0))</f>
        <v>360</v>
      </c>
      <c r="R1314" s="13" t="str">
        <f>IF(D1314="TEX","аренда техники — сделка/счёт",IF(OR(Q1314="",H1314="",H1314=0),"—",IF(Q1314&lt;H1314*(1-Параметры!$B$7),"почасовка",IF(Q1314&gt;H1314*(1+Параметры!$B$7),"сделка","любой способ"))))</f>
        <v>сделка</v>
      </c>
      <c r="S1314">
        <v>6.6666666666666652E-2</v>
      </c>
      <c r="T1314">
        <v>0.15199999999999991</v>
      </c>
    </row>
    <row r="1315" spans="1:20" x14ac:dyDescent="0.25">
      <c r="A1315" s="18" t="s">
        <v>2674</v>
      </c>
      <c r="B1315" s="13" t="s">
        <v>2675</v>
      </c>
      <c r="C1315" s="13" t="s">
        <v>144</v>
      </c>
      <c r="D1315" s="13" t="s">
        <v>299</v>
      </c>
      <c r="E1315" s="13" t="str">
        <f>IFERROR(INDEX('Почасовка — ставки и план'!$B$5:$B$24,MATCH(D1315,'Почасовка — ставки и план'!$A$5:$A$24,0)),"Аренда техники / механизмы")</f>
        <v>Холодильщик / монтажник кондиционеров</v>
      </c>
      <c r="F1315" s="14">
        <v>2500</v>
      </c>
      <c r="G1315" s="14">
        <v>2900</v>
      </c>
      <c r="H1315" s="15">
        <v>1500</v>
      </c>
      <c r="I1315" s="15">
        <f>IF(OR(H1315="",F1315=""),"",MAX(H1315,MIN(ROUND(H1315*(1+Параметры!$B$5),IF(H1315*(1+Параметры!$B$5)&gt;=1000,-1,0)),ROUND(F1315*Параметры!$B$6,IF(F1315*Параметры!$B$6&gt;=1000,-1,0)))))</f>
        <v>1730</v>
      </c>
      <c r="J1315" s="15">
        <v>1740</v>
      </c>
      <c r="K1315" s="15">
        <f>IF(OR(J1315="",G1315=""),"",MAX(J1315,MIN(ROUND(J1315*(1+Параметры!$B$5),IF(J1315*(1+Параметры!$B$5)&gt;=1000,-1,0)),ROUND(G1315*Параметры!$B$6,IF(G1315*Параметры!$B$6&gt;=1000,-1,0)))))</f>
        <v>2000</v>
      </c>
      <c r="L1315" s="16">
        <v>1.5</v>
      </c>
      <c r="M1315" s="17">
        <f t="shared" si="98"/>
        <v>0.66666666666666663</v>
      </c>
      <c r="N1315" s="17">
        <f>IF(OR(L1315="",L1315=0),"",Параметры!$B$3/L1315)</f>
        <v>5.333333333333333</v>
      </c>
      <c r="O1315" s="15">
        <f>IF(L1315="","",IFERROR(INDEX('Почасовка — ставки и план'!$D$5:$D$24,MATCH($D1315,'Почасовка — ставки и план'!$A$5:$A$24,0)),""))</f>
        <v>1200</v>
      </c>
      <c r="P1315" s="15">
        <f>IF(L1315="","",IFERROR(INDEX('Почасовка — ставки и план'!$E$5:$E$24,MATCH($D1315,'Почасовка — ставки и план'!$A$5:$A$24,0)),""))</f>
        <v>1440</v>
      </c>
      <c r="Q1315" s="15">
        <f t="shared" si="99"/>
        <v>1800</v>
      </c>
      <c r="R1315" s="13" t="str">
        <f>IF(D1315="TEX","аренда техники — сделка/счёт",IF(OR(Q1315="",H1315="",H1315=0),"—",IF(Q1315&lt;H1315*(1-Параметры!$B$7),"почасовка",IF(Q1315&gt;H1315*(1+Параметры!$B$7),"сделка","любой способ"))))</f>
        <v>сделка</v>
      </c>
      <c r="S1315">
        <v>0</v>
      </c>
      <c r="T1315">
        <v>0</v>
      </c>
    </row>
    <row r="1316" spans="1:20" x14ac:dyDescent="0.25">
      <c r="A1316" s="18" t="s">
        <v>2676</v>
      </c>
      <c r="B1316" s="13" t="s">
        <v>2677</v>
      </c>
      <c r="C1316" s="13" t="s">
        <v>144</v>
      </c>
      <c r="D1316" s="13" t="s">
        <v>299</v>
      </c>
      <c r="E1316" s="13" t="str">
        <f>IFERROR(INDEX('Почасовка — ставки и план'!$B$5:$B$24,MATCH(D1316,'Почасовка — ставки и план'!$A$5:$A$24,0)),"Аренда техники / механизмы")</f>
        <v>Холодильщик / монтажник кондиционеров</v>
      </c>
      <c r="F1316" s="14">
        <v>12000</v>
      </c>
      <c r="G1316" s="14">
        <v>14000</v>
      </c>
      <c r="H1316" s="15">
        <v>7200</v>
      </c>
      <c r="I1316" s="15">
        <f>IF(OR(H1316="",F1316=""),"",MAX(H1316,MIN(ROUND(H1316*(1+Параметры!$B$5),IF(H1316*(1+Параметры!$B$5)&gt;=1000,-1,0)),ROUND(F1316*Параметры!$B$6,IF(F1316*Параметры!$B$6&gt;=1000,-1,0)))))</f>
        <v>8280</v>
      </c>
      <c r="J1316" s="15">
        <v>8400</v>
      </c>
      <c r="K1316" s="15">
        <f>IF(OR(J1316="",G1316=""),"",MAX(J1316,MIN(ROUND(J1316*(1+Параметры!$B$5),IF(J1316*(1+Параметры!$B$5)&gt;=1000,-1,0)),ROUND(G1316*Параметры!$B$6,IF(G1316*Параметры!$B$6&gt;=1000,-1,0)))))</f>
        <v>9660</v>
      </c>
      <c r="L1316" s="16">
        <v>6</v>
      </c>
      <c r="M1316" s="17">
        <f t="shared" si="98"/>
        <v>0.16666666666666666</v>
      </c>
      <c r="N1316" s="17">
        <f>IF(OR(L1316="",L1316=0),"",Параметры!$B$3/L1316)</f>
        <v>1.3333333333333333</v>
      </c>
      <c r="O1316" s="15">
        <f>IF(L1316="","",IFERROR(INDEX('Почасовка — ставки и план'!$D$5:$D$24,MATCH($D1316,'Почасовка — ставки и план'!$A$5:$A$24,0)),""))</f>
        <v>1200</v>
      </c>
      <c r="P1316" s="15">
        <f>IF(L1316="","",IFERROR(INDEX('Почасовка — ставки и план'!$E$5:$E$24,MATCH($D1316,'Почасовка — ставки и план'!$A$5:$A$24,0)),""))</f>
        <v>1440</v>
      </c>
      <c r="Q1316" s="15">
        <f t="shared" si="99"/>
        <v>7200</v>
      </c>
      <c r="R1316" s="13" t="str">
        <f>IF(D1316="TEX","аренда техники — сделка/счёт",IF(OR(Q1316="",H1316="",H1316=0),"—",IF(Q1316&lt;H1316*(1-Параметры!$B$7),"почасовка",IF(Q1316&gt;H1316*(1+Параметры!$B$7),"сделка","любой способ"))))</f>
        <v>любой способ</v>
      </c>
      <c r="S1316">
        <v>0</v>
      </c>
      <c r="T1316">
        <v>0</v>
      </c>
    </row>
    <row r="1317" spans="1:20" x14ac:dyDescent="0.25">
      <c r="A1317" s="18" t="s">
        <v>2678</v>
      </c>
      <c r="B1317" s="13" t="s">
        <v>2679</v>
      </c>
      <c r="C1317" s="13" t="s">
        <v>144</v>
      </c>
      <c r="D1317" s="13" t="s">
        <v>299</v>
      </c>
      <c r="E1317" s="13" t="str">
        <f>IFERROR(INDEX('Почасовка — ставки и план'!$B$5:$B$24,MATCH(D1317,'Почасовка — ставки и план'!$A$5:$A$24,0)),"Аренда техники / механизмы")</f>
        <v>Холодильщик / монтажник кондиционеров</v>
      </c>
      <c r="F1317" s="14">
        <v>4000</v>
      </c>
      <c r="G1317" s="14">
        <v>4600</v>
      </c>
      <c r="H1317" s="15">
        <v>2400</v>
      </c>
      <c r="I1317" s="15">
        <f>IF(OR(H1317="",F1317=""),"",MAX(H1317,MIN(ROUND(H1317*(1+Параметры!$B$5),IF(H1317*(1+Параметры!$B$5)&gt;=1000,-1,0)),ROUND(F1317*Параметры!$B$6,IF(F1317*Параметры!$B$6&gt;=1000,-1,0)))))</f>
        <v>2760</v>
      </c>
      <c r="J1317" s="15">
        <v>2760</v>
      </c>
      <c r="K1317" s="15">
        <f>IF(OR(J1317="",G1317=""),"",MAX(J1317,MIN(ROUND(J1317*(1+Параметры!$B$5),IF(J1317*(1+Параметры!$B$5)&gt;=1000,-1,0)),ROUND(G1317*Параметры!$B$6,IF(G1317*Параметры!$B$6&gt;=1000,-1,0)))))</f>
        <v>3170</v>
      </c>
      <c r="L1317" s="16">
        <v>1</v>
      </c>
      <c r="M1317" s="17">
        <f t="shared" si="98"/>
        <v>1</v>
      </c>
      <c r="N1317" s="17">
        <f>IF(OR(L1317="",L1317=0),"",Параметры!$B$3/L1317)</f>
        <v>8</v>
      </c>
      <c r="O1317" s="15">
        <f>IF(L1317="","",IFERROR(INDEX('Почасовка — ставки и план'!$D$5:$D$24,MATCH($D1317,'Почасовка — ставки и план'!$A$5:$A$24,0)),""))</f>
        <v>1200</v>
      </c>
      <c r="P1317" s="15">
        <f>IF(L1317="","",IFERROR(INDEX('Почасовка — ставки и план'!$E$5:$E$24,MATCH($D1317,'Почасовка — ставки и план'!$A$5:$A$24,0)),""))</f>
        <v>1440</v>
      </c>
      <c r="Q1317" s="15">
        <f t="shared" si="99"/>
        <v>1200</v>
      </c>
      <c r="R1317" s="13" t="str">
        <f>IF(D1317="TEX","аренда техники — сделка/счёт",IF(OR(Q1317="",H1317="",H1317=0),"—",IF(Q1317&lt;H1317*(1-Параметры!$B$7),"почасовка",IF(Q1317&gt;H1317*(1+Параметры!$B$7),"сделка","любой способ"))))</f>
        <v>почасовка</v>
      </c>
      <c r="S1317">
        <v>0</v>
      </c>
      <c r="T1317">
        <v>0</v>
      </c>
    </row>
    <row r="1318" spans="1:20" x14ac:dyDescent="0.25">
      <c r="A1318" s="18" t="s">
        <v>2680</v>
      </c>
      <c r="B1318" s="13" t="s">
        <v>2681</v>
      </c>
      <c r="C1318" s="13" t="s">
        <v>144</v>
      </c>
      <c r="D1318" s="13" t="s">
        <v>299</v>
      </c>
      <c r="E1318" s="13" t="str">
        <f>IFERROR(INDEX('Почасовка — ставки и план'!$B$5:$B$24,MATCH(D1318,'Почасовка — ставки и план'!$A$5:$A$24,0)),"Аренда техники / механизмы")</f>
        <v>Холодильщик / монтажник кондиционеров</v>
      </c>
      <c r="F1318" s="14">
        <v>6000</v>
      </c>
      <c r="G1318" s="14">
        <v>7000</v>
      </c>
      <c r="H1318" s="15">
        <v>3600</v>
      </c>
      <c r="I1318" s="15">
        <f>IF(OR(H1318="",F1318=""),"",MAX(H1318,MIN(ROUND(H1318*(1+Параметры!$B$5),IF(H1318*(1+Параметры!$B$5)&gt;=1000,-1,0)),ROUND(F1318*Параметры!$B$6,IF(F1318*Параметры!$B$6&gt;=1000,-1,0)))))</f>
        <v>4140</v>
      </c>
      <c r="J1318" s="15">
        <v>4200</v>
      </c>
      <c r="K1318" s="15">
        <f>IF(OR(J1318="",G1318=""),"",MAX(J1318,MIN(ROUND(J1318*(1+Параметры!$B$5),IF(J1318*(1+Параметры!$B$5)&gt;=1000,-1,0)),ROUND(G1318*Параметры!$B$6,IF(G1318*Параметры!$B$6&gt;=1000,-1,0)))))</f>
        <v>4830</v>
      </c>
      <c r="L1318" s="16">
        <v>3</v>
      </c>
      <c r="M1318" s="17">
        <f t="shared" si="98"/>
        <v>0.33333333333333331</v>
      </c>
      <c r="N1318" s="17">
        <f>IF(OR(L1318="",L1318=0),"",Параметры!$B$3/L1318)</f>
        <v>2.6666666666666665</v>
      </c>
      <c r="O1318" s="15">
        <f>IF(L1318="","",IFERROR(INDEX('Почасовка — ставки и план'!$D$5:$D$24,MATCH($D1318,'Почасовка — ставки и план'!$A$5:$A$24,0)),""))</f>
        <v>1200</v>
      </c>
      <c r="P1318" s="15">
        <f>IF(L1318="","",IFERROR(INDEX('Почасовка — ставки и план'!$E$5:$E$24,MATCH($D1318,'Почасовка — ставки и план'!$A$5:$A$24,0)),""))</f>
        <v>1440</v>
      </c>
      <c r="Q1318" s="15">
        <f t="shared" si="99"/>
        <v>3600</v>
      </c>
      <c r="R1318" s="13" t="str">
        <f>IF(D1318="TEX","аренда техники — сделка/счёт",IF(OR(Q1318="",H1318="",H1318=0),"—",IF(Q1318&lt;H1318*(1-Параметры!$B$7),"почасовка",IF(Q1318&gt;H1318*(1+Параметры!$B$7),"сделка","любой способ"))))</f>
        <v>любой способ</v>
      </c>
      <c r="S1318">
        <v>0</v>
      </c>
      <c r="T1318">
        <v>0</v>
      </c>
    </row>
    <row r="1319" spans="1:20" x14ac:dyDescent="0.25">
      <c r="A1319" s="18" t="s">
        <v>2682</v>
      </c>
      <c r="B1319" s="13" t="s">
        <v>2683</v>
      </c>
      <c r="C1319" s="13" t="s">
        <v>144</v>
      </c>
      <c r="D1319" s="13" t="s">
        <v>299</v>
      </c>
      <c r="E1319" s="13" t="str">
        <f>IFERROR(INDEX('Почасовка — ставки и план'!$B$5:$B$24,MATCH(D1319,'Почасовка — ставки и план'!$A$5:$A$24,0)),"Аренда техники / механизмы")</f>
        <v>Холодильщик / монтажник кондиционеров</v>
      </c>
      <c r="F1319" s="14">
        <v>2000</v>
      </c>
      <c r="G1319" s="14">
        <v>2300</v>
      </c>
      <c r="H1319" s="15">
        <v>1200</v>
      </c>
      <c r="I1319" s="15">
        <f>IF(OR(H1319="",F1319=""),"",MAX(H1319,MIN(ROUND(H1319*(1+Параметры!$B$5),IF(H1319*(1+Параметры!$B$5)&gt;=1000,-1,0)),ROUND(F1319*Параметры!$B$6,IF(F1319*Параметры!$B$6&gt;=1000,-1,0)))))</f>
        <v>1380</v>
      </c>
      <c r="J1319" s="15">
        <v>1380</v>
      </c>
      <c r="K1319" s="15">
        <f>IF(OR(J1319="",G1319=""),"",MAX(J1319,MIN(ROUND(J1319*(1+Параметры!$B$5),IF(J1319*(1+Параметры!$B$5)&gt;=1000,-1,0)),ROUND(G1319*Параметры!$B$6,IF(G1319*Параметры!$B$6&gt;=1000,-1,0)))))</f>
        <v>1590</v>
      </c>
      <c r="L1319" s="16">
        <v>1</v>
      </c>
      <c r="M1319" s="17">
        <f t="shared" si="98"/>
        <v>1</v>
      </c>
      <c r="N1319" s="17">
        <f>IF(OR(L1319="",L1319=0),"",Параметры!$B$3/L1319)</f>
        <v>8</v>
      </c>
      <c r="O1319" s="15">
        <f>IF(L1319="","",IFERROR(INDEX('Почасовка — ставки и план'!$D$5:$D$24,MATCH($D1319,'Почасовка — ставки и план'!$A$5:$A$24,0)),""))</f>
        <v>1200</v>
      </c>
      <c r="P1319" s="15">
        <f>IF(L1319="","",IFERROR(INDEX('Почасовка — ставки и план'!$E$5:$E$24,MATCH($D1319,'Почасовка — ставки и план'!$A$5:$A$24,0)),""))</f>
        <v>1440</v>
      </c>
      <c r="Q1319" s="15">
        <f t="shared" si="99"/>
        <v>1200</v>
      </c>
      <c r="R1319" s="13" t="str">
        <f>IF(D1319="TEX","аренда техники — сделка/счёт",IF(OR(Q1319="",H1319="",H1319=0),"—",IF(Q1319&lt;H1319*(1-Параметры!$B$7),"почасовка",IF(Q1319&gt;H1319*(1+Параметры!$B$7),"сделка","любой способ"))))</f>
        <v>любой способ</v>
      </c>
      <c r="S1319">
        <v>0</v>
      </c>
      <c r="T1319">
        <v>0</v>
      </c>
    </row>
    <row r="1320" spans="1:20" x14ac:dyDescent="0.25">
      <c r="A1320" s="18" t="s">
        <v>2684</v>
      </c>
      <c r="B1320" s="13" t="s">
        <v>2685</v>
      </c>
      <c r="C1320" s="13" t="s">
        <v>69</v>
      </c>
      <c r="D1320" s="13" t="s">
        <v>2686</v>
      </c>
      <c r="E1320" s="13" t="str">
        <f>IFERROR(INDEX('Почасовка — ставки и план'!$B$5:$B$24,MATCH(D1320,'Почасовка — ставки и план'!$A$5:$A$24,0)),"Аренда техники / механизмы")</f>
        <v>Дезинфектор (ОЗДС)</v>
      </c>
      <c r="F1320" s="14">
        <v>50</v>
      </c>
      <c r="G1320" s="14">
        <v>60</v>
      </c>
      <c r="H1320" s="15">
        <v>30</v>
      </c>
      <c r="I1320" s="15">
        <f>IF(OR(H1320="",F1320=""),"",MAX(H1320,MIN(ROUND(H1320*(1+Параметры!$B$5),IF(H1320*(1+Параметры!$B$5)&gt;=1000,-1,0)),ROUND(F1320*Параметры!$B$6,IF(F1320*Параметры!$B$6&gt;=1000,-1,0)))))</f>
        <v>35</v>
      </c>
      <c r="J1320" s="15">
        <v>36</v>
      </c>
      <c r="K1320" s="15">
        <f>IF(OR(J1320="",G1320=""),"",MAX(J1320,MIN(ROUND(J1320*(1+Параметры!$B$5),IF(J1320*(1+Параметры!$B$5)&gt;=1000,-1,0)),ROUND(G1320*Параметры!$B$6,IF(G1320*Параметры!$B$6&gt;=1000,-1,0)))))</f>
        <v>41</v>
      </c>
      <c r="L1320" s="16">
        <v>0.03</v>
      </c>
      <c r="M1320" s="17">
        <f t="shared" si="98"/>
        <v>33.333333333333336</v>
      </c>
      <c r="N1320" s="17">
        <f>IF(OR(L1320="",L1320=0),"",Параметры!$B$3/L1320)</f>
        <v>266.66666666666669</v>
      </c>
      <c r="O1320" s="15">
        <f>IF(L1320="","",IFERROR(INDEX('Почасовка — ставки и план'!$D$5:$D$24,MATCH($D1320,'Почасовка — ставки и план'!$A$5:$A$24,0)),""))</f>
        <v>850</v>
      </c>
      <c r="P1320" s="15">
        <f>IF(L1320="","",IFERROR(INDEX('Почасовка — ставки и план'!$E$5:$E$24,MATCH($D1320,'Почасовка — ставки и план'!$A$5:$A$24,0)),""))</f>
        <v>1020</v>
      </c>
      <c r="Q1320" s="15">
        <f t="shared" si="99"/>
        <v>26</v>
      </c>
      <c r="R1320" s="13" t="str">
        <f>IF(D1320="TEX","аренда техники — сделка/счёт",IF(OR(Q1320="",H1320="",H1320=0),"—",IF(Q1320&lt;H1320*(1-Параметры!$B$7),"почасовка",IF(Q1320&gt;H1320*(1+Параметры!$B$7),"сделка","любой способ"))))</f>
        <v>почасовка</v>
      </c>
      <c r="S1320">
        <v>0</v>
      </c>
      <c r="T1320">
        <v>0</v>
      </c>
    </row>
    <row r="1321" spans="1:20" x14ac:dyDescent="0.25">
      <c r="A1321" s="18" t="s">
        <v>2687</v>
      </c>
      <c r="B1321" s="13" t="s">
        <v>2688</v>
      </c>
      <c r="C1321" s="13" t="s">
        <v>144</v>
      </c>
      <c r="D1321" s="13" t="s">
        <v>2686</v>
      </c>
      <c r="E1321" s="13" t="str">
        <f>IFERROR(INDEX('Почасовка — ставки и план'!$B$5:$B$24,MATCH(D1321,'Почасовка — ставки и план'!$A$5:$A$24,0)),"Аренда техники / механизмы")</f>
        <v>Дезинфектор (ОЗДС)</v>
      </c>
      <c r="F1321" s="14">
        <v>1200</v>
      </c>
      <c r="G1321" s="14">
        <v>1400</v>
      </c>
      <c r="H1321" s="15">
        <v>720</v>
      </c>
      <c r="I1321" s="15">
        <f>IF(OR(H1321="",F1321=""),"",MAX(H1321,MIN(ROUND(H1321*(1+Параметры!$B$5),IF(H1321*(1+Параметры!$B$5)&gt;=1000,-1,0)),ROUND(F1321*Параметры!$B$6,IF(F1321*Параметры!$B$6&gt;=1000,-1,0)))))</f>
        <v>828</v>
      </c>
      <c r="J1321" s="15">
        <v>840</v>
      </c>
      <c r="K1321" s="15">
        <f>IF(OR(J1321="",G1321=""),"",MAX(J1321,MIN(ROUND(J1321*(1+Параметры!$B$5),IF(J1321*(1+Параметры!$B$5)&gt;=1000,-1,0)),ROUND(G1321*Параметры!$B$6,IF(G1321*Параметры!$B$6&gt;=1000,-1,0)))))</f>
        <v>966</v>
      </c>
      <c r="L1321" s="16">
        <v>0.3</v>
      </c>
      <c r="M1321" s="17">
        <f t="shared" si="98"/>
        <v>3.3333333333333335</v>
      </c>
      <c r="N1321" s="17">
        <f>IF(OR(L1321="",L1321=0),"",Параметры!$B$3/L1321)</f>
        <v>26.666666666666668</v>
      </c>
      <c r="O1321" s="15">
        <f>IF(L1321="","",IFERROR(INDEX('Почасовка — ставки и план'!$D$5:$D$24,MATCH($D1321,'Почасовка — ставки и план'!$A$5:$A$24,0)),""))</f>
        <v>850</v>
      </c>
      <c r="P1321" s="15">
        <f>IF(L1321="","",IFERROR(INDEX('Почасовка — ставки и план'!$E$5:$E$24,MATCH($D1321,'Почасовка — ставки и план'!$A$5:$A$24,0)),""))</f>
        <v>1020</v>
      </c>
      <c r="Q1321" s="15">
        <f t="shared" si="99"/>
        <v>255</v>
      </c>
      <c r="R1321" s="13" t="str">
        <f>IF(D1321="TEX","аренда техники — сделка/счёт",IF(OR(Q1321="",H1321="",H1321=0),"—",IF(Q1321&lt;H1321*(1-Параметры!$B$7),"почасовка",IF(Q1321&gt;H1321*(1+Параметры!$B$7),"сделка","любой способ"))))</f>
        <v>почасовка</v>
      </c>
      <c r="S1321">
        <v>0</v>
      </c>
      <c r="T1321">
        <v>0</v>
      </c>
    </row>
    <row r="1322" spans="1:20" x14ac:dyDescent="0.25">
      <c r="A1322" s="18" t="s">
        <v>2689</v>
      </c>
      <c r="B1322" s="13" t="s">
        <v>2690</v>
      </c>
      <c r="C1322" s="13" t="s">
        <v>144</v>
      </c>
      <c r="D1322" s="13" t="s">
        <v>273</v>
      </c>
      <c r="E1322" s="13" t="str">
        <f>IFERROR(INDEX('Почасовка — ставки и план'!$B$5:$B$24,MATCH(D1322,'Почасовка — ставки и план'!$A$5:$A$24,0)),"Аренда техники / механизмы")</f>
        <v>Электромонтажник</v>
      </c>
      <c r="F1322" s="14">
        <v>1000</v>
      </c>
      <c r="G1322" s="14">
        <v>1150</v>
      </c>
      <c r="H1322" s="15">
        <v>600</v>
      </c>
      <c r="I1322" s="15">
        <f>IF(OR(H1322="",F1322=""),"",MAX(H1322,MIN(ROUND(H1322*(1+Параметры!$B$5),IF(H1322*(1+Параметры!$B$5)&gt;=1000,-1,0)),ROUND(F1322*Параметры!$B$6,IF(F1322*Параметры!$B$6&gt;=1000,-1,0)))))</f>
        <v>690</v>
      </c>
      <c r="J1322" s="15">
        <v>690</v>
      </c>
      <c r="K1322" s="15">
        <f>IF(OR(J1322="",G1322=""),"",MAX(J1322,MIN(ROUND(J1322*(1+Параметры!$B$5),IF(J1322*(1+Параметры!$B$5)&gt;=1000,-1,0)),ROUND(G1322*Параметры!$B$6,IF(G1322*Параметры!$B$6&gt;=1000,-1,0)))))</f>
        <v>794</v>
      </c>
      <c r="L1322" s="16">
        <v>0.8</v>
      </c>
      <c r="M1322" s="17">
        <f t="shared" si="98"/>
        <v>1.25</v>
      </c>
      <c r="N1322" s="17">
        <f>IF(OR(L1322="",L1322=0),"",Параметры!$B$3/L1322)</f>
        <v>10</v>
      </c>
      <c r="O1322" s="15">
        <f>IF(L1322="","",IFERROR(INDEX('Почасовка — ставки и план'!$D$5:$D$24,MATCH($D1322,'Почасовка — ставки и план'!$A$5:$A$24,0)),""))</f>
        <v>850</v>
      </c>
      <c r="P1322" s="15">
        <f>IF(L1322="","",IFERROR(INDEX('Почасовка — ставки и план'!$E$5:$E$24,MATCH($D1322,'Почасовка — ставки и план'!$A$5:$A$24,0)),""))</f>
        <v>1020</v>
      </c>
      <c r="Q1322" s="15">
        <f t="shared" si="99"/>
        <v>680</v>
      </c>
      <c r="R1322" s="13" t="str">
        <f>IF(D1322="TEX","аренда техники — сделка/счёт",IF(OR(Q1322="",H1322="",H1322=0),"—",IF(Q1322&lt;H1322*(1-Параметры!$B$7),"почасовка",IF(Q1322&gt;H1322*(1+Параметры!$B$7),"сделка","любой способ"))))</f>
        <v>сделка</v>
      </c>
      <c r="S1322">
        <v>0</v>
      </c>
      <c r="T1322">
        <v>0</v>
      </c>
    </row>
    <row r="1323" spans="1:20" x14ac:dyDescent="0.25">
      <c r="A1323" s="11" t="s">
        <v>2691</v>
      </c>
      <c r="B1323" s="12"/>
      <c r="C1323" s="12"/>
      <c r="D1323" s="12"/>
      <c r="E1323" s="12"/>
      <c r="F1323" s="12"/>
      <c r="G1323" s="12"/>
      <c r="H1323" s="12"/>
      <c r="I1323" s="12"/>
      <c r="J1323" s="12"/>
      <c r="K1323" s="12"/>
      <c r="L1323" s="12"/>
      <c r="M1323" s="12"/>
      <c r="N1323" s="12"/>
      <c r="O1323" s="12"/>
      <c r="P1323" s="12"/>
      <c r="Q1323" s="12"/>
      <c r="R1323" s="12"/>
    </row>
    <row r="1324" spans="1:20" x14ac:dyDescent="0.25">
      <c r="A1324" s="13" t="s">
        <v>2692</v>
      </c>
      <c r="B1324" s="13" t="s">
        <v>2693</v>
      </c>
      <c r="C1324" s="13" t="s">
        <v>144</v>
      </c>
      <c r="D1324" s="13" t="s">
        <v>273</v>
      </c>
      <c r="E1324" s="13" t="str">
        <f>IFERROR(INDEX('Почасовка — ставки и план'!$B$5:$B$24,MATCH(D1324,'Почасовка — ставки и план'!$A$5:$A$24,0)),"Аренда техники / механизмы")</f>
        <v>Электромонтажник</v>
      </c>
      <c r="F1324" s="14">
        <v>2000</v>
      </c>
      <c r="G1324" s="14">
        <v>2400</v>
      </c>
      <c r="H1324" s="15">
        <v>1250</v>
      </c>
      <c r="I1324" s="15">
        <f>IF(OR(H1324="",F1324=""),"",MAX(H1324,MIN(ROUND(H1324*(1+Параметры!$B$5),IF(H1324*(1+Параметры!$B$5)&gt;=1000,-1,0)),ROUND(F1324*Параметры!$B$6,IF(F1324*Параметры!$B$6&gt;=1000,-1,0)))))</f>
        <v>1440</v>
      </c>
      <c r="J1324" s="15">
        <v>1500</v>
      </c>
      <c r="K1324" s="15">
        <f>IF(OR(J1324="",G1324=""),"",MAX(J1324,MIN(ROUND(J1324*(1+Параметры!$B$5),IF(J1324*(1+Параметры!$B$5)&gt;=1000,-1,0)),ROUND(G1324*Параметры!$B$6,IF(G1324*Параметры!$B$6&gt;=1000,-1,0)))))</f>
        <v>1730</v>
      </c>
      <c r="L1324" s="16">
        <v>1.4</v>
      </c>
      <c r="M1324" s="17">
        <f t="shared" ref="M1324:M1358" si="100">IF(OR(L1324="",L1324=0),"",1/L1324)</f>
        <v>0.7142857142857143</v>
      </c>
      <c r="N1324" s="17">
        <f>IF(OR(L1324="",L1324=0),"",Параметры!$B$3/L1324)</f>
        <v>5.7142857142857144</v>
      </c>
      <c r="O1324" s="15">
        <f>IF(L1324="","",IFERROR(INDEX('Почасовка — ставки и план'!$D$5:$D$24,MATCH($D1324,'Почасовка — ставки и план'!$A$5:$A$24,0)),""))</f>
        <v>850</v>
      </c>
      <c r="P1324" s="15">
        <f>IF(L1324="","",IFERROR(INDEX('Почасовка — ставки и план'!$E$5:$E$24,MATCH($D1324,'Почасовка — ставки и план'!$A$5:$A$24,0)),""))</f>
        <v>1020</v>
      </c>
      <c r="Q1324" s="15">
        <f t="shared" ref="Q1324:Q1358" si="101">IF(OR(L1324="",O1324=""),"",ROUND(L1324*O1324,0))</f>
        <v>1190</v>
      </c>
      <c r="R1324" s="13" t="str">
        <f>IF(D1324="TEX","аренда техники — сделка/счёт",IF(OR(Q1324="",H1324="",H1324=0),"—",IF(Q1324&lt;H1324*(1-Параметры!$B$7),"почасовка",IF(Q1324&gt;H1324*(1+Параметры!$B$7),"сделка","любой способ"))))</f>
        <v>любой способ</v>
      </c>
      <c r="S1324">
        <v>0</v>
      </c>
      <c r="T1324">
        <v>0</v>
      </c>
    </row>
    <row r="1325" spans="1:20" x14ac:dyDescent="0.25">
      <c r="A1325" s="13" t="s">
        <v>2694</v>
      </c>
      <c r="B1325" s="13" t="s">
        <v>2695</v>
      </c>
      <c r="C1325" s="13" t="s">
        <v>144</v>
      </c>
      <c r="D1325" s="13" t="s">
        <v>273</v>
      </c>
      <c r="E1325" s="13" t="str">
        <f>IFERROR(INDEX('Почасовка — ставки и план'!$B$5:$B$24,MATCH(D1325,'Почасовка — ставки и план'!$A$5:$A$24,0)),"Аренда техники / механизмы")</f>
        <v>Электромонтажник</v>
      </c>
      <c r="F1325" s="14">
        <v>1100</v>
      </c>
      <c r="G1325" s="14">
        <v>1300</v>
      </c>
      <c r="H1325" s="15">
        <v>700</v>
      </c>
      <c r="I1325" s="15">
        <f>IF(OR(H1325="",F1325=""),"",MAX(H1325,MIN(ROUND(H1325*(1+Параметры!$B$5),IF(H1325*(1+Параметры!$B$5)&gt;=1000,-1,0)),ROUND(F1325*Параметры!$B$6,IF(F1325*Параметры!$B$6&gt;=1000,-1,0)))))</f>
        <v>805</v>
      </c>
      <c r="J1325" s="15">
        <v>820</v>
      </c>
      <c r="K1325" s="15">
        <f>IF(OR(J1325="",G1325=""),"",MAX(J1325,MIN(ROUND(J1325*(1+Параметры!$B$5),IF(J1325*(1+Параметры!$B$5)&gt;=1000,-1,0)),ROUND(G1325*Параметры!$B$6,IF(G1325*Параметры!$B$6&gt;=1000,-1,0)))))</f>
        <v>943</v>
      </c>
      <c r="L1325" s="16">
        <v>0.8</v>
      </c>
      <c r="M1325" s="17">
        <f t="shared" si="100"/>
        <v>1.25</v>
      </c>
      <c r="N1325" s="17">
        <f>IF(OR(L1325="",L1325=0),"",Параметры!$B$3/L1325)</f>
        <v>10</v>
      </c>
      <c r="O1325" s="15">
        <f>IF(L1325="","",IFERROR(INDEX('Почасовка — ставки и план'!$D$5:$D$24,MATCH($D1325,'Почасовка — ставки и план'!$A$5:$A$24,0)),""))</f>
        <v>850</v>
      </c>
      <c r="P1325" s="15">
        <f>IF(L1325="","",IFERROR(INDEX('Почасовка — ставки и план'!$E$5:$E$24,MATCH($D1325,'Почасовка — ставки и план'!$A$5:$A$24,0)),""))</f>
        <v>1020</v>
      </c>
      <c r="Q1325" s="15">
        <f t="shared" si="101"/>
        <v>680</v>
      </c>
      <c r="R1325" s="13" t="str">
        <f>IF(D1325="TEX","аренда техники — сделка/счёт",IF(OR(Q1325="",H1325="",H1325=0),"—",IF(Q1325&lt;H1325*(1-Параметры!$B$7),"почасовка",IF(Q1325&gt;H1325*(1+Параметры!$B$7),"сделка","любой способ"))))</f>
        <v>любой способ</v>
      </c>
      <c r="S1325">
        <v>0</v>
      </c>
      <c r="T1325">
        <v>0</v>
      </c>
    </row>
    <row r="1326" spans="1:20" x14ac:dyDescent="0.25">
      <c r="A1326" s="13" t="s">
        <v>2696</v>
      </c>
      <c r="B1326" s="13" t="s">
        <v>2697</v>
      </c>
      <c r="C1326" s="13" t="s">
        <v>144</v>
      </c>
      <c r="D1326" s="13" t="s">
        <v>273</v>
      </c>
      <c r="E1326" s="13" t="str">
        <f>IFERROR(INDEX('Почасовка — ставки и план'!$B$5:$B$24,MATCH(D1326,'Почасовка — ставки и план'!$A$5:$A$24,0)),"Аренда техники / механизмы")</f>
        <v>Электромонтажник</v>
      </c>
      <c r="F1326" s="14">
        <v>3800</v>
      </c>
      <c r="G1326" s="14">
        <v>4500</v>
      </c>
      <c r="H1326" s="15">
        <v>2400</v>
      </c>
      <c r="I1326" s="15">
        <f>IF(OR(H1326="",F1326=""),"",MAX(H1326,MIN(ROUND(H1326*(1+Параметры!$B$5),IF(H1326*(1+Параметры!$B$5)&gt;=1000,-1,0)),ROUND(F1326*Параметры!$B$6,IF(F1326*Параметры!$B$6&gt;=1000,-1,0)))))</f>
        <v>2760</v>
      </c>
      <c r="J1326" s="15">
        <v>2850</v>
      </c>
      <c r="K1326" s="15">
        <f>IF(OR(J1326="",G1326=""),"",MAX(J1326,MIN(ROUND(J1326*(1+Параметры!$B$5),IF(J1326*(1+Параметры!$B$5)&gt;=1000,-1,0)),ROUND(G1326*Параметры!$B$6,IF(G1326*Параметры!$B$6&gt;=1000,-1,0)))))</f>
        <v>3280</v>
      </c>
      <c r="L1326" s="16">
        <v>2.6</v>
      </c>
      <c r="M1326" s="17">
        <f t="shared" si="100"/>
        <v>0.38461538461538458</v>
      </c>
      <c r="N1326" s="17">
        <f>IF(OR(L1326="",L1326=0),"",Параметры!$B$3/L1326)</f>
        <v>3.0769230769230766</v>
      </c>
      <c r="O1326" s="15">
        <f>IF(L1326="","",IFERROR(INDEX('Почасовка — ставки и план'!$D$5:$D$24,MATCH($D1326,'Почасовка — ставки и план'!$A$5:$A$24,0)),""))</f>
        <v>850</v>
      </c>
      <c r="P1326" s="15">
        <f>IF(L1326="","",IFERROR(INDEX('Почасовка — ставки и план'!$E$5:$E$24,MATCH($D1326,'Почасовка — ставки и план'!$A$5:$A$24,0)),""))</f>
        <v>1020</v>
      </c>
      <c r="Q1326" s="15">
        <f t="shared" si="101"/>
        <v>2210</v>
      </c>
      <c r="R1326" s="13" t="str">
        <f>IF(D1326="TEX","аренда техники — сделка/счёт",IF(OR(Q1326="",H1326="",H1326=0),"—",IF(Q1326&lt;H1326*(1-Параметры!$B$7),"почасовка",IF(Q1326&gt;H1326*(1+Параметры!$B$7),"сделка","любой способ"))))</f>
        <v>любой способ</v>
      </c>
      <c r="S1326">
        <v>0</v>
      </c>
      <c r="T1326">
        <v>0</v>
      </c>
    </row>
    <row r="1327" spans="1:20" x14ac:dyDescent="0.25">
      <c r="A1327" s="13" t="s">
        <v>2698</v>
      </c>
      <c r="B1327" s="13" t="s">
        <v>2699</v>
      </c>
      <c r="C1327" s="13" t="s">
        <v>144</v>
      </c>
      <c r="D1327" s="13" t="s">
        <v>273</v>
      </c>
      <c r="E1327" s="13" t="str">
        <f>IFERROR(INDEX('Почасовка — ставки и план'!$B$5:$B$24,MATCH(D1327,'Почасовка — ставки и план'!$A$5:$A$24,0)),"Аренда техники / механизмы")</f>
        <v>Электромонтажник</v>
      </c>
      <c r="F1327" s="14">
        <v>5500</v>
      </c>
      <c r="G1327" s="14">
        <v>6500</v>
      </c>
      <c r="H1327" s="15">
        <v>3500</v>
      </c>
      <c r="I1327" s="15">
        <f>IF(OR(H1327="",F1327=""),"",MAX(H1327,MIN(ROUND(H1327*(1+Параметры!$B$5),IF(H1327*(1+Параметры!$B$5)&gt;=1000,-1,0)),ROUND(F1327*Параметры!$B$6,IF(F1327*Параметры!$B$6&gt;=1000,-1,0)))))</f>
        <v>4030</v>
      </c>
      <c r="J1327" s="15">
        <v>4100</v>
      </c>
      <c r="K1327" s="15">
        <f>IF(OR(J1327="",G1327=""),"",MAX(J1327,MIN(ROUND(J1327*(1+Параметры!$B$5),IF(J1327*(1+Параметры!$B$5)&gt;=1000,-1,0)),ROUND(G1327*Параметры!$B$6,IF(G1327*Параметры!$B$6&gt;=1000,-1,0)))))</f>
        <v>4720</v>
      </c>
      <c r="L1327" s="16">
        <v>3.6</v>
      </c>
      <c r="M1327" s="17">
        <f t="shared" si="100"/>
        <v>0.27777777777777779</v>
      </c>
      <c r="N1327" s="17">
        <f>IF(OR(L1327="",L1327=0),"",Параметры!$B$3/L1327)</f>
        <v>2.2222222222222223</v>
      </c>
      <c r="O1327" s="15">
        <f>IF(L1327="","",IFERROR(INDEX('Почасовка — ставки и план'!$D$5:$D$24,MATCH($D1327,'Почасовка — ставки и план'!$A$5:$A$24,0)),""))</f>
        <v>850</v>
      </c>
      <c r="P1327" s="15">
        <f>IF(L1327="","",IFERROR(INDEX('Почасовка — ставки и план'!$E$5:$E$24,MATCH($D1327,'Почасовка — ставки и план'!$A$5:$A$24,0)),""))</f>
        <v>1020</v>
      </c>
      <c r="Q1327" s="15">
        <f t="shared" si="101"/>
        <v>3060</v>
      </c>
      <c r="R1327" s="13" t="str">
        <f>IF(D1327="TEX","аренда техники — сделка/счёт",IF(OR(Q1327="",H1327="",H1327=0),"—",IF(Q1327&lt;H1327*(1-Параметры!$B$7),"почасовка",IF(Q1327&gt;H1327*(1+Параметры!$B$7),"сделка","любой способ"))))</f>
        <v>почасовка</v>
      </c>
      <c r="S1327">
        <v>0</v>
      </c>
      <c r="T1327">
        <v>0</v>
      </c>
    </row>
    <row r="1328" spans="1:20" x14ac:dyDescent="0.25">
      <c r="A1328" s="13" t="s">
        <v>2700</v>
      </c>
      <c r="B1328" s="13" t="s">
        <v>2701</v>
      </c>
      <c r="C1328" s="13" t="s">
        <v>144</v>
      </c>
      <c r="D1328" s="13" t="s">
        <v>273</v>
      </c>
      <c r="E1328" s="13" t="str">
        <f>IFERROR(INDEX('Почасовка — ставки и план'!$B$5:$B$24,MATCH(D1328,'Почасовка — ставки и план'!$A$5:$A$24,0)),"Аренда техники / механизмы")</f>
        <v>Электромонтажник</v>
      </c>
      <c r="F1328" s="14">
        <v>7500</v>
      </c>
      <c r="G1328" s="14">
        <v>8800</v>
      </c>
      <c r="H1328" s="15">
        <v>4800</v>
      </c>
      <c r="I1328" s="15">
        <f>IF(OR(H1328="",F1328=""),"",MAX(H1328,MIN(ROUND(H1328*(1+Параметры!$B$5),IF(H1328*(1+Параметры!$B$5)&gt;=1000,-1,0)),ROUND(F1328*Параметры!$B$6,IF(F1328*Параметры!$B$6&gt;=1000,-1,0)))))</f>
        <v>5520</v>
      </c>
      <c r="J1328" s="15">
        <v>5600</v>
      </c>
      <c r="K1328" s="15">
        <f>IF(OR(J1328="",G1328=""),"",MAX(J1328,MIN(ROUND(J1328*(1+Параметры!$B$5),IF(J1328*(1+Параметры!$B$5)&gt;=1000,-1,0)),ROUND(G1328*Параметры!$B$6,IF(G1328*Параметры!$B$6&gt;=1000,-1,0)))))</f>
        <v>6440</v>
      </c>
      <c r="L1328" s="16">
        <v>5</v>
      </c>
      <c r="M1328" s="17">
        <f t="shared" si="100"/>
        <v>0.2</v>
      </c>
      <c r="N1328" s="17">
        <f>IF(OR(L1328="",L1328=0),"",Параметры!$B$3/L1328)</f>
        <v>1.6</v>
      </c>
      <c r="O1328" s="15">
        <f>IF(L1328="","",IFERROR(INDEX('Почасовка — ставки и план'!$D$5:$D$24,MATCH($D1328,'Почасовка — ставки и план'!$A$5:$A$24,0)),""))</f>
        <v>850</v>
      </c>
      <c r="P1328" s="15">
        <f>IF(L1328="","",IFERROR(INDEX('Почасовка — ставки и план'!$E$5:$E$24,MATCH($D1328,'Почасовка — ставки и план'!$A$5:$A$24,0)),""))</f>
        <v>1020</v>
      </c>
      <c r="Q1328" s="15">
        <f t="shared" si="101"/>
        <v>4250</v>
      </c>
      <c r="R1328" s="13" t="str">
        <f>IF(D1328="TEX","аренда техники — сделка/счёт",IF(OR(Q1328="",H1328="",H1328=0),"—",IF(Q1328&lt;H1328*(1-Параметры!$B$7),"почасовка",IF(Q1328&gt;H1328*(1+Параметры!$B$7),"сделка","любой способ"))))</f>
        <v>почасовка</v>
      </c>
      <c r="S1328">
        <v>0</v>
      </c>
      <c r="T1328">
        <v>0</v>
      </c>
    </row>
    <row r="1329" spans="1:20" x14ac:dyDescent="0.25">
      <c r="A1329" s="13" t="s">
        <v>2702</v>
      </c>
      <c r="B1329" s="13" t="s">
        <v>2703</v>
      </c>
      <c r="C1329" s="13" t="s">
        <v>144</v>
      </c>
      <c r="D1329" s="13" t="s">
        <v>273</v>
      </c>
      <c r="E1329" s="13" t="str">
        <f>IFERROR(INDEX('Почасовка — ставки и план'!$B$5:$B$24,MATCH(D1329,'Почасовка — ставки и план'!$A$5:$A$24,0)),"Аренда техники / механизмы")</f>
        <v>Электромонтажник</v>
      </c>
      <c r="F1329" s="14">
        <v>3500</v>
      </c>
      <c r="G1329" s="14">
        <v>4100</v>
      </c>
      <c r="H1329" s="15">
        <v>2200</v>
      </c>
      <c r="I1329" s="15">
        <f>IF(OR(H1329="",F1329=""),"",MAX(H1329,MIN(ROUND(H1329*(1+Параметры!$B$5),IF(H1329*(1+Параметры!$B$5)&gt;=1000,-1,0)),ROUND(F1329*Параметры!$B$6,IF(F1329*Параметры!$B$6&gt;=1000,-1,0)))))</f>
        <v>2530</v>
      </c>
      <c r="J1329" s="15">
        <v>2600</v>
      </c>
      <c r="K1329" s="15">
        <f>IF(OR(J1329="",G1329=""),"",MAX(J1329,MIN(ROUND(J1329*(1+Параметры!$B$5),IF(J1329*(1+Параметры!$B$5)&gt;=1000,-1,0)),ROUND(G1329*Параметры!$B$6,IF(G1329*Параметры!$B$6&gt;=1000,-1,0)))))</f>
        <v>2990</v>
      </c>
      <c r="L1329" s="16">
        <v>2.5</v>
      </c>
      <c r="M1329" s="17">
        <f t="shared" si="100"/>
        <v>0.4</v>
      </c>
      <c r="N1329" s="17">
        <f>IF(OR(L1329="",L1329=0),"",Параметры!$B$3/L1329)</f>
        <v>3.2</v>
      </c>
      <c r="O1329" s="15">
        <f>IF(L1329="","",IFERROR(INDEX('Почасовка — ставки и план'!$D$5:$D$24,MATCH($D1329,'Почасовка — ставки и план'!$A$5:$A$24,0)),""))</f>
        <v>850</v>
      </c>
      <c r="P1329" s="15">
        <f>IF(L1329="","",IFERROR(INDEX('Почасовка — ставки и план'!$E$5:$E$24,MATCH($D1329,'Почасовка — ставки и план'!$A$5:$A$24,0)),""))</f>
        <v>1020</v>
      </c>
      <c r="Q1329" s="15">
        <f t="shared" si="101"/>
        <v>2125</v>
      </c>
      <c r="R1329" s="13" t="str">
        <f>IF(D1329="TEX","аренда техники — сделка/счёт",IF(OR(Q1329="",H1329="",H1329=0),"—",IF(Q1329&lt;H1329*(1-Параметры!$B$7),"почасовка",IF(Q1329&gt;H1329*(1+Параметры!$B$7),"сделка","любой способ"))))</f>
        <v>любой способ</v>
      </c>
      <c r="S1329">
        <v>0</v>
      </c>
      <c r="T1329">
        <v>0</v>
      </c>
    </row>
    <row r="1330" spans="1:20" x14ac:dyDescent="0.25">
      <c r="A1330" s="13" t="s">
        <v>2704</v>
      </c>
      <c r="B1330" s="13" t="s">
        <v>2705</v>
      </c>
      <c r="C1330" s="13" t="s">
        <v>144</v>
      </c>
      <c r="D1330" s="13" t="s">
        <v>273</v>
      </c>
      <c r="E1330" s="13" t="str">
        <f>IFERROR(INDEX('Почасовка — ставки и план'!$B$5:$B$24,MATCH(D1330,'Почасовка — ставки и план'!$A$5:$A$24,0)),"Аренда техники / механизмы")</f>
        <v>Электромонтажник</v>
      </c>
      <c r="F1330" s="14">
        <v>300</v>
      </c>
      <c r="G1330" s="14">
        <v>350</v>
      </c>
      <c r="H1330" s="15">
        <v>180</v>
      </c>
      <c r="I1330" s="15">
        <f>IF(OR(H1330="",F1330=""),"",MAX(H1330,MIN(ROUND(H1330*(1+Параметры!$B$5),IF(H1330*(1+Параметры!$B$5)&gt;=1000,-1,0)),ROUND(F1330*Параметры!$B$6,IF(F1330*Параметры!$B$6&gt;=1000,-1,0)))))</f>
        <v>207</v>
      </c>
      <c r="J1330" s="15">
        <v>210</v>
      </c>
      <c r="K1330" s="15">
        <f>IF(OR(J1330="",G1330=""),"",MAX(J1330,MIN(ROUND(J1330*(1+Параметры!$B$5),IF(J1330*(1+Параметры!$B$5)&gt;=1000,-1,0)),ROUND(G1330*Параметры!$B$6,IF(G1330*Параметры!$B$6&gt;=1000,-1,0)))))</f>
        <v>242</v>
      </c>
      <c r="L1330" s="16">
        <v>0.15</v>
      </c>
      <c r="M1330" s="17">
        <f t="shared" si="100"/>
        <v>6.666666666666667</v>
      </c>
      <c r="N1330" s="17">
        <f>IF(OR(L1330="",L1330=0),"",Параметры!$B$3/L1330)</f>
        <v>53.333333333333336</v>
      </c>
      <c r="O1330" s="15">
        <f>IF(L1330="","",IFERROR(INDEX('Почасовка — ставки и план'!$D$5:$D$24,MATCH($D1330,'Почасовка — ставки и план'!$A$5:$A$24,0)),""))</f>
        <v>850</v>
      </c>
      <c r="P1330" s="15">
        <f>IF(L1330="","",IFERROR(INDEX('Почасовка — ставки и план'!$E$5:$E$24,MATCH($D1330,'Почасовка — ставки и план'!$A$5:$A$24,0)),""))</f>
        <v>1020</v>
      </c>
      <c r="Q1330" s="15">
        <f t="shared" si="101"/>
        <v>128</v>
      </c>
      <c r="R1330" s="13" t="str">
        <f>IF(D1330="TEX","аренда техники — сделка/счёт",IF(OR(Q1330="",H1330="",H1330=0),"—",IF(Q1330&lt;H1330*(1-Параметры!$B$7),"почасовка",IF(Q1330&gt;H1330*(1+Параметры!$B$7),"сделка","любой способ"))))</f>
        <v>почасовка</v>
      </c>
      <c r="S1330">
        <v>0</v>
      </c>
      <c r="T1330">
        <v>0</v>
      </c>
    </row>
    <row r="1331" spans="1:20" x14ac:dyDescent="0.25">
      <c r="A1331" s="13" t="s">
        <v>2706</v>
      </c>
      <c r="B1331" s="13" t="s">
        <v>2707</v>
      </c>
      <c r="C1331" s="13" t="s">
        <v>144</v>
      </c>
      <c r="D1331" s="13" t="s">
        <v>273</v>
      </c>
      <c r="E1331" s="13" t="str">
        <f>IFERROR(INDEX('Почасовка — ставки и план'!$B$5:$B$24,MATCH(D1331,'Почасовка — ставки и план'!$A$5:$A$24,0)),"Аренда техники / механизмы")</f>
        <v>Электромонтажник</v>
      </c>
      <c r="F1331" s="14">
        <v>600</v>
      </c>
      <c r="G1331" s="14">
        <v>700</v>
      </c>
      <c r="H1331" s="15">
        <v>380</v>
      </c>
      <c r="I1331" s="15">
        <f>IF(OR(H1331="",F1331=""),"",MAX(H1331,MIN(ROUND(H1331*(1+Параметры!$B$5),IF(H1331*(1+Параметры!$B$5)&gt;=1000,-1,0)),ROUND(F1331*Параметры!$B$6,IF(F1331*Параметры!$B$6&gt;=1000,-1,0)))))</f>
        <v>437</v>
      </c>
      <c r="J1331" s="15">
        <v>440</v>
      </c>
      <c r="K1331" s="15">
        <f>IF(OR(J1331="",G1331=""),"",MAX(J1331,MIN(ROUND(J1331*(1+Параметры!$B$5),IF(J1331*(1+Параметры!$B$5)&gt;=1000,-1,0)),ROUND(G1331*Параметры!$B$6,IF(G1331*Параметры!$B$6&gt;=1000,-1,0)))))</f>
        <v>506</v>
      </c>
      <c r="L1331" s="16">
        <v>0.4</v>
      </c>
      <c r="M1331" s="17">
        <f t="shared" si="100"/>
        <v>2.5</v>
      </c>
      <c r="N1331" s="17">
        <f>IF(OR(L1331="",L1331=0),"",Параметры!$B$3/L1331)</f>
        <v>20</v>
      </c>
      <c r="O1331" s="15">
        <f>IF(L1331="","",IFERROR(INDEX('Почасовка — ставки и план'!$D$5:$D$24,MATCH($D1331,'Почасовка — ставки и план'!$A$5:$A$24,0)),""))</f>
        <v>850</v>
      </c>
      <c r="P1331" s="15">
        <f>IF(L1331="","",IFERROR(INDEX('Почасовка — ставки и план'!$E$5:$E$24,MATCH($D1331,'Почасовка — ставки и план'!$A$5:$A$24,0)),""))</f>
        <v>1020</v>
      </c>
      <c r="Q1331" s="15">
        <f t="shared" si="101"/>
        <v>340</v>
      </c>
      <c r="R1331" s="13" t="str">
        <f>IF(D1331="TEX","аренда техники — сделка/счёт",IF(OR(Q1331="",H1331="",H1331=0),"—",IF(Q1331&lt;H1331*(1-Параметры!$B$7),"почасовка",IF(Q1331&gt;H1331*(1+Параметры!$B$7),"сделка","любой способ"))))</f>
        <v>почасовка</v>
      </c>
      <c r="S1331">
        <v>0</v>
      </c>
      <c r="T1331">
        <v>0</v>
      </c>
    </row>
    <row r="1332" spans="1:20" x14ac:dyDescent="0.25">
      <c r="A1332" s="13" t="s">
        <v>2708</v>
      </c>
      <c r="B1332" s="13" t="s">
        <v>2709</v>
      </c>
      <c r="C1332" s="13" t="s">
        <v>144</v>
      </c>
      <c r="D1332" s="13" t="s">
        <v>273</v>
      </c>
      <c r="E1332" s="13" t="str">
        <f>IFERROR(INDEX('Почасовка — ставки и план'!$B$5:$B$24,MATCH(D1332,'Почасовка — ставки и план'!$A$5:$A$24,0)),"Аренда техники / механизмы")</f>
        <v>Электромонтажник</v>
      </c>
      <c r="F1332" s="14">
        <v>750</v>
      </c>
      <c r="G1332" s="14">
        <v>850</v>
      </c>
      <c r="H1332" s="15">
        <v>470</v>
      </c>
      <c r="I1332" s="15">
        <f>IF(OR(H1332="",F1332=""),"",MAX(H1332,MIN(ROUND(H1332*(1+Параметры!$B$5),IF(H1332*(1+Параметры!$B$5)&gt;=1000,-1,0)),ROUND(F1332*Параметры!$B$6,IF(F1332*Параметры!$B$6&gt;=1000,-1,0)))))</f>
        <v>541</v>
      </c>
      <c r="J1332" s="15">
        <v>540</v>
      </c>
      <c r="K1332" s="15">
        <f>IF(OR(J1332="",G1332=""),"",MAX(J1332,MIN(ROUND(J1332*(1+Параметры!$B$5),IF(J1332*(1+Параметры!$B$5)&gt;=1000,-1,0)),ROUND(G1332*Параметры!$B$6,IF(G1332*Параметры!$B$6&gt;=1000,-1,0)))))</f>
        <v>621</v>
      </c>
      <c r="L1332" s="16">
        <v>0.5</v>
      </c>
      <c r="M1332" s="17">
        <f t="shared" si="100"/>
        <v>2</v>
      </c>
      <c r="N1332" s="17">
        <f>IF(OR(L1332="",L1332=0),"",Параметры!$B$3/L1332)</f>
        <v>16</v>
      </c>
      <c r="O1332" s="15">
        <f>IF(L1332="","",IFERROR(INDEX('Почасовка — ставки и план'!$D$5:$D$24,MATCH($D1332,'Почасовка — ставки и план'!$A$5:$A$24,0)),""))</f>
        <v>850</v>
      </c>
      <c r="P1332" s="15">
        <f>IF(L1332="","",IFERROR(INDEX('Почасовка — ставки и план'!$E$5:$E$24,MATCH($D1332,'Почасовка — ставки и план'!$A$5:$A$24,0)),""))</f>
        <v>1020</v>
      </c>
      <c r="Q1332" s="15">
        <f t="shared" si="101"/>
        <v>425</v>
      </c>
      <c r="R1332" s="13" t="str">
        <f>IF(D1332="TEX","аренда техники — сделка/счёт",IF(OR(Q1332="",H1332="",H1332=0),"—",IF(Q1332&lt;H1332*(1-Параметры!$B$7),"почасовка",IF(Q1332&gt;H1332*(1+Параметры!$B$7),"сделка","любой способ"))))</f>
        <v>любой способ</v>
      </c>
      <c r="S1332">
        <v>0</v>
      </c>
      <c r="T1332">
        <v>0</v>
      </c>
    </row>
    <row r="1333" spans="1:20" x14ac:dyDescent="0.25">
      <c r="A1333" s="13" t="s">
        <v>2710</v>
      </c>
      <c r="B1333" s="13" t="s">
        <v>2711</v>
      </c>
      <c r="C1333" s="13" t="s">
        <v>144</v>
      </c>
      <c r="D1333" s="13" t="s">
        <v>273</v>
      </c>
      <c r="E1333" s="13" t="str">
        <f>IFERROR(INDEX('Почасовка — ставки и план'!$B$5:$B$24,MATCH(D1333,'Почасовка — ставки и план'!$A$5:$A$24,0)),"Аренда техники / механизмы")</f>
        <v>Электромонтажник</v>
      </c>
      <c r="F1333" s="14">
        <v>900</v>
      </c>
      <c r="G1333" s="14">
        <v>1050</v>
      </c>
      <c r="H1333" s="15">
        <v>560</v>
      </c>
      <c r="I1333" s="15">
        <f>IF(OR(H1333="",F1333=""),"",MAX(H1333,MIN(ROUND(H1333*(1+Параметры!$B$5),IF(H1333*(1+Параметры!$B$5)&gt;=1000,-1,0)),ROUND(F1333*Параметры!$B$6,IF(F1333*Параметры!$B$6&gt;=1000,-1,0)))))</f>
        <v>644</v>
      </c>
      <c r="J1333" s="15">
        <v>650</v>
      </c>
      <c r="K1333" s="15">
        <f>IF(OR(J1333="",G1333=""),"",MAX(J1333,MIN(ROUND(J1333*(1+Параметры!$B$5),IF(J1333*(1+Параметры!$B$5)&gt;=1000,-1,0)),ROUND(G1333*Параметры!$B$6,IF(G1333*Параметры!$B$6&gt;=1000,-1,0)))))</f>
        <v>748</v>
      </c>
      <c r="L1333" s="16">
        <v>0.6</v>
      </c>
      <c r="M1333" s="17">
        <f t="shared" si="100"/>
        <v>1.6666666666666667</v>
      </c>
      <c r="N1333" s="17">
        <f>IF(OR(L1333="",L1333=0),"",Параметры!$B$3/L1333)</f>
        <v>13.333333333333334</v>
      </c>
      <c r="O1333" s="15">
        <f>IF(L1333="","",IFERROR(INDEX('Почасовка — ставки и план'!$D$5:$D$24,MATCH($D1333,'Почасовка — ставки и план'!$A$5:$A$24,0)),""))</f>
        <v>850</v>
      </c>
      <c r="P1333" s="15">
        <f>IF(L1333="","",IFERROR(INDEX('Почасовка — ставки и план'!$E$5:$E$24,MATCH($D1333,'Почасовка — ставки и план'!$A$5:$A$24,0)),""))</f>
        <v>1020</v>
      </c>
      <c r="Q1333" s="15">
        <f t="shared" si="101"/>
        <v>510</v>
      </c>
      <c r="R1333" s="13" t="str">
        <f>IF(D1333="TEX","аренда техники — сделка/счёт",IF(OR(Q1333="",H1333="",H1333=0),"—",IF(Q1333&lt;H1333*(1-Параметры!$B$7),"почасовка",IF(Q1333&gt;H1333*(1+Параметры!$B$7),"сделка","любой способ"))))</f>
        <v>любой способ</v>
      </c>
      <c r="S1333">
        <v>0</v>
      </c>
      <c r="T1333">
        <v>0</v>
      </c>
    </row>
    <row r="1334" spans="1:20" x14ac:dyDescent="0.25">
      <c r="A1334" s="13" t="s">
        <v>2712</v>
      </c>
      <c r="B1334" s="13" t="s">
        <v>2713</v>
      </c>
      <c r="C1334" s="13" t="s">
        <v>144</v>
      </c>
      <c r="D1334" s="13" t="s">
        <v>273</v>
      </c>
      <c r="E1334" s="13" t="str">
        <f>IFERROR(INDEX('Почасовка — ставки и план'!$B$5:$B$24,MATCH(D1334,'Почасовка — ставки и план'!$A$5:$A$24,0)),"Аренда техники / механизмы")</f>
        <v>Электромонтажник</v>
      </c>
      <c r="F1334" s="14">
        <v>450</v>
      </c>
      <c r="G1334" s="14">
        <v>520</v>
      </c>
      <c r="H1334" s="15">
        <v>280</v>
      </c>
      <c r="I1334" s="15">
        <f>IF(OR(H1334="",F1334=""),"",MAX(H1334,MIN(ROUND(H1334*(1+Параметры!$B$5),IF(H1334*(1+Параметры!$B$5)&gt;=1000,-1,0)),ROUND(F1334*Параметры!$B$6,IF(F1334*Параметры!$B$6&gt;=1000,-1,0)))))</f>
        <v>322</v>
      </c>
      <c r="J1334" s="15">
        <v>330</v>
      </c>
      <c r="K1334" s="15">
        <f>IF(OR(J1334="",G1334=""),"",MAX(J1334,MIN(ROUND(J1334*(1+Параметры!$B$5),IF(J1334*(1+Параметры!$B$5)&gt;=1000,-1,0)),ROUND(G1334*Параметры!$B$6,IF(G1334*Параметры!$B$6&gt;=1000,-1,0)))))</f>
        <v>380</v>
      </c>
      <c r="L1334" s="16">
        <v>0.3</v>
      </c>
      <c r="M1334" s="17">
        <f t="shared" si="100"/>
        <v>3.3333333333333335</v>
      </c>
      <c r="N1334" s="17">
        <f>IF(OR(L1334="",L1334=0),"",Параметры!$B$3/L1334)</f>
        <v>26.666666666666668</v>
      </c>
      <c r="O1334" s="15">
        <f>IF(L1334="","",IFERROR(INDEX('Почасовка — ставки и план'!$D$5:$D$24,MATCH($D1334,'Почасовка — ставки и план'!$A$5:$A$24,0)),""))</f>
        <v>850</v>
      </c>
      <c r="P1334" s="15">
        <f>IF(L1334="","",IFERROR(INDEX('Почасовка — ставки и план'!$E$5:$E$24,MATCH($D1334,'Почасовка — ставки и план'!$A$5:$A$24,0)),""))</f>
        <v>1020</v>
      </c>
      <c r="Q1334" s="15">
        <f t="shared" si="101"/>
        <v>255</v>
      </c>
      <c r="R1334" s="13" t="str">
        <f>IF(D1334="TEX","аренда техники — сделка/счёт",IF(OR(Q1334="",H1334="",H1334=0),"—",IF(Q1334&lt;H1334*(1-Параметры!$B$7),"почасовка",IF(Q1334&gt;H1334*(1+Параметры!$B$7),"сделка","любой способ"))))</f>
        <v>любой способ</v>
      </c>
      <c r="S1334">
        <v>0</v>
      </c>
      <c r="T1334">
        <v>0</v>
      </c>
    </row>
    <row r="1335" spans="1:20" x14ac:dyDescent="0.25">
      <c r="A1335" s="13" t="s">
        <v>2714</v>
      </c>
      <c r="B1335" s="13" t="s">
        <v>2715</v>
      </c>
      <c r="C1335" s="13" t="s">
        <v>144</v>
      </c>
      <c r="D1335" s="13" t="s">
        <v>273</v>
      </c>
      <c r="E1335" s="13" t="str">
        <f>IFERROR(INDEX('Почасовка — ставки и план'!$B$5:$B$24,MATCH(D1335,'Почасовка — ставки и план'!$A$5:$A$24,0)),"Аренда техники / механизмы")</f>
        <v>Электромонтажник</v>
      </c>
      <c r="F1335" s="14">
        <v>550</v>
      </c>
      <c r="G1335" s="14">
        <v>650</v>
      </c>
      <c r="H1335" s="15">
        <v>350</v>
      </c>
      <c r="I1335" s="15">
        <f>IF(OR(H1335="",F1335=""),"",MAX(H1335,MIN(ROUND(H1335*(1+Параметры!$B$5),IF(H1335*(1+Параметры!$B$5)&gt;=1000,-1,0)),ROUND(F1335*Параметры!$B$6,IF(F1335*Параметры!$B$6&gt;=1000,-1,0)))))</f>
        <v>403</v>
      </c>
      <c r="J1335" s="15">
        <v>410</v>
      </c>
      <c r="K1335" s="15">
        <f>IF(OR(J1335="",G1335=""),"",MAX(J1335,MIN(ROUND(J1335*(1+Параметры!$B$5),IF(J1335*(1+Параметры!$B$5)&gt;=1000,-1,0)),ROUND(G1335*Параметры!$B$6,IF(G1335*Параметры!$B$6&gt;=1000,-1,0)))))</f>
        <v>472</v>
      </c>
      <c r="L1335" s="16">
        <v>0.4</v>
      </c>
      <c r="M1335" s="17">
        <f t="shared" si="100"/>
        <v>2.5</v>
      </c>
      <c r="N1335" s="17">
        <f>IF(OR(L1335="",L1335=0),"",Параметры!$B$3/L1335)</f>
        <v>20</v>
      </c>
      <c r="O1335" s="15">
        <f>IF(L1335="","",IFERROR(INDEX('Почасовка — ставки и план'!$D$5:$D$24,MATCH($D1335,'Почасовка — ставки и план'!$A$5:$A$24,0)),""))</f>
        <v>850</v>
      </c>
      <c r="P1335" s="15">
        <f>IF(L1335="","",IFERROR(INDEX('Почасовка — ставки и план'!$E$5:$E$24,MATCH($D1335,'Почасовка — ставки и план'!$A$5:$A$24,0)),""))</f>
        <v>1020</v>
      </c>
      <c r="Q1335" s="15">
        <f t="shared" si="101"/>
        <v>340</v>
      </c>
      <c r="R1335" s="13" t="str">
        <f>IF(D1335="TEX","аренда техники — сделка/счёт",IF(OR(Q1335="",H1335="",H1335=0),"—",IF(Q1335&lt;H1335*(1-Параметры!$B$7),"почасовка",IF(Q1335&gt;H1335*(1+Параметры!$B$7),"сделка","любой способ"))))</f>
        <v>любой способ</v>
      </c>
      <c r="S1335">
        <v>0</v>
      </c>
      <c r="T1335">
        <v>0</v>
      </c>
    </row>
    <row r="1336" spans="1:20" x14ac:dyDescent="0.25">
      <c r="A1336" s="13" t="s">
        <v>2716</v>
      </c>
      <c r="B1336" s="13" t="s">
        <v>2717</v>
      </c>
      <c r="C1336" s="13" t="s">
        <v>144</v>
      </c>
      <c r="D1336" s="13" t="s">
        <v>273</v>
      </c>
      <c r="E1336" s="13" t="str">
        <f>IFERROR(INDEX('Почасовка — ставки и план'!$B$5:$B$24,MATCH(D1336,'Почасовка — ставки и план'!$A$5:$A$24,0)),"Аренда техники / механизмы")</f>
        <v>Электромонтажник</v>
      </c>
      <c r="F1336" s="14">
        <v>700</v>
      </c>
      <c r="G1336" s="14">
        <v>820</v>
      </c>
      <c r="H1336" s="15">
        <v>440</v>
      </c>
      <c r="I1336" s="15">
        <f>IF(OR(H1336="",F1336=""),"",MAX(H1336,MIN(ROUND(H1336*(1+Параметры!$B$5),IF(H1336*(1+Параметры!$B$5)&gt;=1000,-1,0)),ROUND(F1336*Параметры!$B$6,IF(F1336*Параметры!$B$6&gt;=1000,-1,0)))))</f>
        <v>506</v>
      </c>
      <c r="J1336" s="15">
        <v>520</v>
      </c>
      <c r="K1336" s="15">
        <f>IF(OR(J1336="",G1336=""),"",MAX(J1336,MIN(ROUND(J1336*(1+Параметры!$B$5),IF(J1336*(1+Параметры!$B$5)&gt;=1000,-1,0)),ROUND(G1336*Параметры!$B$6,IF(G1336*Параметры!$B$6&gt;=1000,-1,0)))))</f>
        <v>598</v>
      </c>
      <c r="L1336" s="16">
        <v>0.5</v>
      </c>
      <c r="M1336" s="17">
        <f t="shared" si="100"/>
        <v>2</v>
      </c>
      <c r="N1336" s="17">
        <f>IF(OR(L1336="",L1336=0),"",Параметры!$B$3/L1336)</f>
        <v>16</v>
      </c>
      <c r="O1336" s="15">
        <f>IF(L1336="","",IFERROR(INDEX('Почасовка — ставки и план'!$D$5:$D$24,MATCH($D1336,'Почасовка — ставки и план'!$A$5:$A$24,0)),""))</f>
        <v>850</v>
      </c>
      <c r="P1336" s="15">
        <f>IF(L1336="","",IFERROR(INDEX('Почасовка — ставки и план'!$E$5:$E$24,MATCH($D1336,'Почасовка — ставки и план'!$A$5:$A$24,0)),""))</f>
        <v>1020</v>
      </c>
      <c r="Q1336" s="15">
        <f t="shared" si="101"/>
        <v>425</v>
      </c>
      <c r="R1336" s="13" t="str">
        <f>IF(D1336="TEX","аренда техники — сделка/счёт",IF(OR(Q1336="",H1336="",H1336=0),"—",IF(Q1336&lt;H1336*(1-Параметры!$B$7),"почасовка",IF(Q1336&gt;H1336*(1+Параметры!$B$7),"сделка","любой способ"))))</f>
        <v>любой способ</v>
      </c>
      <c r="S1336">
        <v>0</v>
      </c>
      <c r="T1336">
        <v>0</v>
      </c>
    </row>
    <row r="1337" spans="1:20" x14ac:dyDescent="0.25">
      <c r="A1337" s="13" t="s">
        <v>2718</v>
      </c>
      <c r="B1337" s="13" t="s">
        <v>2719</v>
      </c>
      <c r="C1337" s="13" t="s">
        <v>144</v>
      </c>
      <c r="D1337" s="13" t="s">
        <v>273</v>
      </c>
      <c r="E1337" s="13" t="str">
        <f>IFERROR(INDEX('Почасовка — ставки и план'!$B$5:$B$24,MATCH(D1337,'Почасовка — ставки и план'!$A$5:$A$24,0)),"Аренда техники / механизмы")</f>
        <v>Электромонтажник</v>
      </c>
      <c r="F1337" s="14">
        <v>850</v>
      </c>
      <c r="G1337" s="14">
        <v>1000</v>
      </c>
      <c r="H1337" s="15">
        <v>530</v>
      </c>
      <c r="I1337" s="15">
        <f>IF(OR(H1337="",F1337=""),"",MAX(H1337,MIN(ROUND(H1337*(1+Параметры!$B$5),IF(H1337*(1+Параметры!$B$5)&gt;=1000,-1,0)),ROUND(F1337*Параметры!$B$6,IF(F1337*Параметры!$B$6&gt;=1000,-1,0)))))</f>
        <v>610</v>
      </c>
      <c r="J1337" s="15">
        <v>630</v>
      </c>
      <c r="K1337" s="15">
        <f>IF(OR(J1337="",G1337=""),"",MAX(J1337,MIN(ROUND(J1337*(1+Параметры!$B$5),IF(J1337*(1+Параметры!$B$5)&gt;=1000,-1,0)),ROUND(G1337*Параметры!$B$6,IF(G1337*Параметры!$B$6&gt;=1000,-1,0)))))</f>
        <v>725</v>
      </c>
      <c r="L1337" s="16">
        <v>0.6</v>
      </c>
      <c r="M1337" s="17">
        <f t="shared" si="100"/>
        <v>1.6666666666666667</v>
      </c>
      <c r="N1337" s="17">
        <f>IF(OR(L1337="",L1337=0),"",Параметры!$B$3/L1337)</f>
        <v>13.333333333333334</v>
      </c>
      <c r="O1337" s="15">
        <f>IF(L1337="","",IFERROR(INDEX('Почасовка — ставки и план'!$D$5:$D$24,MATCH($D1337,'Почасовка — ставки и план'!$A$5:$A$24,0)),""))</f>
        <v>850</v>
      </c>
      <c r="P1337" s="15">
        <f>IF(L1337="","",IFERROR(INDEX('Почасовка — ставки и план'!$E$5:$E$24,MATCH($D1337,'Почасовка — ставки и план'!$A$5:$A$24,0)),""))</f>
        <v>1020</v>
      </c>
      <c r="Q1337" s="15">
        <f t="shared" si="101"/>
        <v>510</v>
      </c>
      <c r="R1337" s="13" t="str">
        <f>IF(D1337="TEX","аренда техники — сделка/счёт",IF(OR(Q1337="",H1337="",H1337=0),"—",IF(Q1337&lt;H1337*(1-Параметры!$B$7),"почасовка",IF(Q1337&gt;H1337*(1+Параметры!$B$7),"сделка","любой способ"))))</f>
        <v>любой способ</v>
      </c>
      <c r="S1337">
        <v>0</v>
      </c>
      <c r="T1337">
        <v>0</v>
      </c>
    </row>
    <row r="1338" spans="1:20" x14ac:dyDescent="0.25">
      <c r="A1338" s="13" t="s">
        <v>2720</v>
      </c>
      <c r="B1338" s="13" t="s">
        <v>2721</v>
      </c>
      <c r="C1338" s="13" t="s">
        <v>144</v>
      </c>
      <c r="D1338" s="13" t="s">
        <v>273</v>
      </c>
      <c r="E1338" s="13" t="str">
        <f>IFERROR(INDEX('Почасовка — ставки и план'!$B$5:$B$24,MATCH(D1338,'Почасовка — ставки и план'!$A$5:$A$24,0)),"Аренда техники / механизмы")</f>
        <v>Электромонтажник</v>
      </c>
      <c r="F1338" s="14">
        <v>1000</v>
      </c>
      <c r="G1338" s="14">
        <v>1200</v>
      </c>
      <c r="H1338" s="15">
        <v>630</v>
      </c>
      <c r="I1338" s="15">
        <f>IF(OR(H1338="",F1338=""),"",MAX(H1338,MIN(ROUND(H1338*(1+Параметры!$B$5),IF(H1338*(1+Параметры!$B$5)&gt;=1000,-1,0)),ROUND(F1338*Параметры!$B$6,IF(F1338*Параметры!$B$6&gt;=1000,-1,0)))))</f>
        <v>725</v>
      </c>
      <c r="J1338" s="15">
        <v>750</v>
      </c>
      <c r="K1338" s="15">
        <f>IF(OR(J1338="",G1338=""),"",MAX(J1338,MIN(ROUND(J1338*(1+Параметры!$B$5),IF(J1338*(1+Параметры!$B$5)&gt;=1000,-1,0)),ROUND(G1338*Параметры!$B$6,IF(G1338*Параметры!$B$6&gt;=1000,-1,0)))))</f>
        <v>863</v>
      </c>
      <c r="L1338" s="16">
        <v>0.7</v>
      </c>
      <c r="M1338" s="17">
        <f t="shared" si="100"/>
        <v>1.4285714285714286</v>
      </c>
      <c r="N1338" s="17">
        <f>IF(OR(L1338="",L1338=0),"",Параметры!$B$3/L1338)</f>
        <v>11.428571428571429</v>
      </c>
      <c r="O1338" s="15">
        <f>IF(L1338="","",IFERROR(INDEX('Почасовка — ставки и план'!$D$5:$D$24,MATCH($D1338,'Почасовка — ставки и план'!$A$5:$A$24,0)),""))</f>
        <v>850</v>
      </c>
      <c r="P1338" s="15">
        <f>IF(L1338="","",IFERROR(INDEX('Почасовка — ставки и план'!$E$5:$E$24,MATCH($D1338,'Почасовка — ставки и план'!$A$5:$A$24,0)),""))</f>
        <v>1020</v>
      </c>
      <c r="Q1338" s="15">
        <f t="shared" si="101"/>
        <v>595</v>
      </c>
      <c r="R1338" s="13" t="str">
        <f>IF(D1338="TEX","аренда техники — сделка/счёт",IF(OR(Q1338="",H1338="",H1338=0),"—",IF(Q1338&lt;H1338*(1-Параметры!$B$7),"почасовка",IF(Q1338&gt;H1338*(1+Параметры!$B$7),"сделка","любой способ"))))</f>
        <v>любой способ</v>
      </c>
      <c r="S1338">
        <v>0</v>
      </c>
      <c r="T1338">
        <v>0</v>
      </c>
    </row>
    <row r="1339" spans="1:20" x14ac:dyDescent="0.25">
      <c r="A1339" s="13" t="s">
        <v>2722</v>
      </c>
      <c r="B1339" s="13" t="s">
        <v>2723</v>
      </c>
      <c r="C1339" s="13" t="s">
        <v>144</v>
      </c>
      <c r="D1339" s="13" t="s">
        <v>273</v>
      </c>
      <c r="E1339" s="13" t="str">
        <f>IFERROR(INDEX('Почасовка — ставки и план'!$B$5:$B$24,MATCH(D1339,'Почасовка — ставки и план'!$A$5:$A$24,0)),"Аренда техники / механизмы")</f>
        <v>Электромонтажник</v>
      </c>
      <c r="F1339" s="14">
        <v>900</v>
      </c>
      <c r="G1339" s="14">
        <v>1050</v>
      </c>
      <c r="H1339" s="15">
        <v>560</v>
      </c>
      <c r="I1339" s="15">
        <f>IF(OR(H1339="",F1339=""),"",MAX(H1339,MIN(ROUND(H1339*(1+Параметры!$B$5),IF(H1339*(1+Параметры!$B$5)&gt;=1000,-1,0)),ROUND(F1339*Параметры!$B$6,IF(F1339*Параметры!$B$6&gt;=1000,-1,0)))))</f>
        <v>644</v>
      </c>
      <c r="J1339" s="15">
        <v>650</v>
      </c>
      <c r="K1339" s="15">
        <f>IF(OR(J1339="",G1339=""),"",MAX(J1339,MIN(ROUND(J1339*(1+Параметры!$B$5),IF(J1339*(1+Параметры!$B$5)&gt;=1000,-1,0)),ROUND(G1339*Параметры!$B$6,IF(G1339*Параметры!$B$6&gt;=1000,-1,0)))))</f>
        <v>748</v>
      </c>
      <c r="L1339" s="16">
        <v>0.6</v>
      </c>
      <c r="M1339" s="17">
        <f t="shared" si="100"/>
        <v>1.6666666666666667</v>
      </c>
      <c r="N1339" s="17">
        <f>IF(OR(L1339="",L1339=0),"",Параметры!$B$3/L1339)</f>
        <v>13.333333333333334</v>
      </c>
      <c r="O1339" s="15">
        <f>IF(L1339="","",IFERROR(INDEX('Почасовка — ставки и план'!$D$5:$D$24,MATCH($D1339,'Почасовка — ставки и план'!$A$5:$A$24,0)),""))</f>
        <v>850</v>
      </c>
      <c r="P1339" s="15">
        <f>IF(L1339="","",IFERROR(INDEX('Почасовка — ставки и план'!$E$5:$E$24,MATCH($D1339,'Почасовка — ставки и план'!$A$5:$A$24,0)),""))</f>
        <v>1020</v>
      </c>
      <c r="Q1339" s="15">
        <f t="shared" si="101"/>
        <v>510</v>
      </c>
      <c r="R1339" s="13" t="str">
        <f>IF(D1339="TEX","аренда техники — сделка/счёт",IF(OR(Q1339="",H1339="",H1339=0),"—",IF(Q1339&lt;H1339*(1-Параметры!$B$7),"почасовка",IF(Q1339&gt;H1339*(1+Параметры!$B$7),"сделка","любой способ"))))</f>
        <v>любой способ</v>
      </c>
      <c r="S1339">
        <v>0</v>
      </c>
      <c r="T1339">
        <v>0</v>
      </c>
    </row>
    <row r="1340" spans="1:20" x14ac:dyDescent="0.25">
      <c r="A1340" s="13" t="s">
        <v>2724</v>
      </c>
      <c r="B1340" s="13" t="s">
        <v>2725</v>
      </c>
      <c r="C1340" s="13" t="s">
        <v>144</v>
      </c>
      <c r="D1340" s="13" t="s">
        <v>273</v>
      </c>
      <c r="E1340" s="13" t="str">
        <f>IFERROR(INDEX('Почасовка — ставки и план'!$B$5:$B$24,MATCH(D1340,'Почасовка — ставки и план'!$A$5:$A$24,0)),"Аренда техники / механизмы")</f>
        <v>Электромонтажник</v>
      </c>
      <c r="F1340" s="14">
        <v>900</v>
      </c>
      <c r="G1340" s="14">
        <v>1050</v>
      </c>
      <c r="H1340" s="15">
        <v>560</v>
      </c>
      <c r="I1340" s="15">
        <f>IF(OR(H1340="",F1340=""),"",MAX(H1340,MIN(ROUND(H1340*(1+Параметры!$B$5),IF(H1340*(1+Параметры!$B$5)&gt;=1000,-1,0)),ROUND(F1340*Параметры!$B$6,IF(F1340*Параметры!$B$6&gt;=1000,-1,0)))))</f>
        <v>644</v>
      </c>
      <c r="J1340" s="15">
        <v>650</v>
      </c>
      <c r="K1340" s="15">
        <f>IF(OR(J1340="",G1340=""),"",MAX(J1340,MIN(ROUND(J1340*(1+Параметры!$B$5),IF(J1340*(1+Параметры!$B$5)&gt;=1000,-1,0)),ROUND(G1340*Параметры!$B$6,IF(G1340*Параметры!$B$6&gt;=1000,-1,0)))))</f>
        <v>748</v>
      </c>
      <c r="L1340" s="16">
        <v>0.6</v>
      </c>
      <c r="M1340" s="17">
        <f t="shared" si="100"/>
        <v>1.6666666666666667</v>
      </c>
      <c r="N1340" s="17">
        <f>IF(OR(L1340="",L1340=0),"",Параметры!$B$3/L1340)</f>
        <v>13.333333333333334</v>
      </c>
      <c r="O1340" s="15">
        <f>IF(L1340="","",IFERROR(INDEX('Почасовка — ставки и план'!$D$5:$D$24,MATCH($D1340,'Почасовка — ставки и план'!$A$5:$A$24,0)),""))</f>
        <v>850</v>
      </c>
      <c r="P1340" s="15">
        <f>IF(L1340="","",IFERROR(INDEX('Почасовка — ставки и план'!$E$5:$E$24,MATCH($D1340,'Почасовка — ставки и план'!$A$5:$A$24,0)),""))</f>
        <v>1020</v>
      </c>
      <c r="Q1340" s="15">
        <f t="shared" si="101"/>
        <v>510</v>
      </c>
      <c r="R1340" s="13" t="str">
        <f>IF(D1340="TEX","аренда техники — сделка/счёт",IF(OR(Q1340="",H1340="",H1340=0),"—",IF(Q1340&lt;H1340*(1-Параметры!$B$7),"почасовка",IF(Q1340&gt;H1340*(1+Параметры!$B$7),"сделка","любой способ"))))</f>
        <v>любой способ</v>
      </c>
      <c r="S1340">
        <v>0</v>
      </c>
      <c r="T1340">
        <v>0</v>
      </c>
    </row>
    <row r="1341" spans="1:20" x14ac:dyDescent="0.25">
      <c r="A1341" s="13" t="s">
        <v>2726</v>
      </c>
      <c r="B1341" s="13" t="s">
        <v>2727</v>
      </c>
      <c r="C1341" s="13" t="s">
        <v>144</v>
      </c>
      <c r="D1341" s="13" t="s">
        <v>273</v>
      </c>
      <c r="E1341" s="13" t="str">
        <f>IFERROR(INDEX('Почасовка — ставки и план'!$B$5:$B$24,MATCH(D1341,'Почасовка — ставки и план'!$A$5:$A$24,0)),"Аренда техники / механизмы")</f>
        <v>Электромонтажник</v>
      </c>
      <c r="F1341" s="14">
        <v>1100</v>
      </c>
      <c r="G1341" s="14">
        <v>1300</v>
      </c>
      <c r="H1341" s="15">
        <v>700</v>
      </c>
      <c r="I1341" s="15">
        <f>IF(OR(H1341="",F1341=""),"",MAX(H1341,MIN(ROUND(H1341*(1+Параметры!$B$5),IF(H1341*(1+Параметры!$B$5)&gt;=1000,-1,0)),ROUND(F1341*Параметры!$B$6,IF(F1341*Параметры!$B$6&gt;=1000,-1,0)))))</f>
        <v>805</v>
      </c>
      <c r="J1341" s="15">
        <v>820</v>
      </c>
      <c r="K1341" s="15">
        <f>IF(OR(J1341="",G1341=""),"",MAX(J1341,MIN(ROUND(J1341*(1+Параметры!$B$5),IF(J1341*(1+Параметры!$B$5)&gt;=1000,-1,0)),ROUND(G1341*Параметры!$B$6,IF(G1341*Параметры!$B$6&gt;=1000,-1,0)))))</f>
        <v>943</v>
      </c>
      <c r="L1341" s="16">
        <v>0.8</v>
      </c>
      <c r="M1341" s="17">
        <f t="shared" si="100"/>
        <v>1.25</v>
      </c>
      <c r="N1341" s="17">
        <f>IF(OR(L1341="",L1341=0),"",Параметры!$B$3/L1341)</f>
        <v>10</v>
      </c>
      <c r="O1341" s="15">
        <f>IF(L1341="","",IFERROR(INDEX('Почасовка — ставки и план'!$D$5:$D$24,MATCH($D1341,'Почасовка — ставки и план'!$A$5:$A$24,0)),""))</f>
        <v>850</v>
      </c>
      <c r="P1341" s="15">
        <f>IF(L1341="","",IFERROR(INDEX('Почасовка — ставки и план'!$E$5:$E$24,MATCH($D1341,'Почасовка — ставки и план'!$A$5:$A$24,0)),""))</f>
        <v>1020</v>
      </c>
      <c r="Q1341" s="15">
        <f t="shared" si="101"/>
        <v>680</v>
      </c>
      <c r="R1341" s="13" t="str">
        <f>IF(D1341="TEX","аренда техники — сделка/счёт",IF(OR(Q1341="",H1341="",H1341=0),"—",IF(Q1341&lt;H1341*(1-Параметры!$B$7),"почасовка",IF(Q1341&gt;H1341*(1+Параметры!$B$7),"сделка","любой способ"))))</f>
        <v>любой способ</v>
      </c>
      <c r="S1341">
        <v>0</v>
      </c>
      <c r="T1341">
        <v>0</v>
      </c>
    </row>
    <row r="1342" spans="1:20" x14ac:dyDescent="0.25">
      <c r="A1342" s="13" t="s">
        <v>2728</v>
      </c>
      <c r="B1342" s="13" t="s">
        <v>2729</v>
      </c>
      <c r="C1342" s="13" t="s">
        <v>144</v>
      </c>
      <c r="D1342" s="13" t="s">
        <v>273</v>
      </c>
      <c r="E1342" s="13" t="str">
        <f>IFERROR(INDEX('Почасовка — ставки и план'!$B$5:$B$24,MATCH(D1342,'Почасовка — ставки и план'!$A$5:$A$24,0)),"Аренда техники / механизмы")</f>
        <v>Электромонтажник</v>
      </c>
      <c r="F1342" s="14">
        <v>2000</v>
      </c>
      <c r="G1342" s="14">
        <v>2400</v>
      </c>
      <c r="H1342" s="15">
        <v>1250</v>
      </c>
      <c r="I1342" s="15">
        <f>IF(OR(H1342="",F1342=""),"",MAX(H1342,MIN(ROUND(H1342*(1+Параметры!$B$5),IF(H1342*(1+Параметры!$B$5)&gt;=1000,-1,0)),ROUND(F1342*Параметры!$B$6,IF(F1342*Параметры!$B$6&gt;=1000,-1,0)))))</f>
        <v>1440</v>
      </c>
      <c r="J1342" s="15">
        <v>1500</v>
      </c>
      <c r="K1342" s="15">
        <f>IF(OR(J1342="",G1342=""),"",MAX(J1342,MIN(ROUND(J1342*(1+Параметры!$B$5),IF(J1342*(1+Параметры!$B$5)&gt;=1000,-1,0)),ROUND(G1342*Параметры!$B$6,IF(G1342*Параметры!$B$6&gt;=1000,-1,0)))))</f>
        <v>1730</v>
      </c>
      <c r="L1342" s="16">
        <v>1.5</v>
      </c>
      <c r="M1342" s="17">
        <f t="shared" si="100"/>
        <v>0.66666666666666663</v>
      </c>
      <c r="N1342" s="17">
        <f>IF(OR(L1342="",L1342=0),"",Параметры!$B$3/L1342)</f>
        <v>5.333333333333333</v>
      </c>
      <c r="O1342" s="15">
        <f>IF(L1342="","",IFERROR(INDEX('Почасовка — ставки и план'!$D$5:$D$24,MATCH($D1342,'Почасовка — ставки и план'!$A$5:$A$24,0)),""))</f>
        <v>850</v>
      </c>
      <c r="P1342" s="15">
        <f>IF(L1342="","",IFERROR(INDEX('Почасовка — ставки и план'!$E$5:$E$24,MATCH($D1342,'Почасовка — ставки и план'!$A$5:$A$24,0)),""))</f>
        <v>1020</v>
      </c>
      <c r="Q1342" s="15">
        <f t="shared" si="101"/>
        <v>1275</v>
      </c>
      <c r="R1342" s="13" t="str">
        <f>IF(D1342="TEX","аренда техники — сделка/счёт",IF(OR(Q1342="",H1342="",H1342=0),"—",IF(Q1342&lt;H1342*(1-Параметры!$B$7),"почасовка",IF(Q1342&gt;H1342*(1+Параметры!$B$7),"сделка","любой способ"))))</f>
        <v>любой способ</v>
      </c>
      <c r="S1342">
        <v>0</v>
      </c>
      <c r="T1342">
        <v>0</v>
      </c>
    </row>
    <row r="1343" spans="1:20" x14ac:dyDescent="0.25">
      <c r="A1343" s="13" t="s">
        <v>2730</v>
      </c>
      <c r="B1343" s="13" t="s">
        <v>2731</v>
      </c>
      <c r="C1343" s="13" t="s">
        <v>144</v>
      </c>
      <c r="D1343" s="13" t="s">
        <v>273</v>
      </c>
      <c r="E1343" s="13" t="str">
        <f>IFERROR(INDEX('Почасовка — ставки и план'!$B$5:$B$24,MATCH(D1343,'Почасовка — ставки и план'!$A$5:$A$24,0)),"Аренда техники / механизмы")</f>
        <v>Электромонтажник</v>
      </c>
      <c r="F1343" s="14">
        <v>4500</v>
      </c>
      <c r="G1343" s="14">
        <v>5300</v>
      </c>
      <c r="H1343" s="15">
        <v>2800</v>
      </c>
      <c r="I1343" s="15">
        <f>IF(OR(H1343="",F1343=""),"",MAX(H1343,MIN(ROUND(H1343*(1+Параметры!$B$5),IF(H1343*(1+Параметры!$B$5)&gt;=1000,-1,0)),ROUND(F1343*Параметры!$B$6,IF(F1343*Параметры!$B$6&gt;=1000,-1,0)))))</f>
        <v>3220</v>
      </c>
      <c r="J1343" s="15">
        <v>3300</v>
      </c>
      <c r="K1343" s="15">
        <f>IF(OR(J1343="",G1343=""),"",MAX(J1343,MIN(ROUND(J1343*(1+Параметры!$B$5),IF(J1343*(1+Параметры!$B$5)&gt;=1000,-1,0)),ROUND(G1343*Параметры!$B$6,IF(G1343*Параметры!$B$6&gt;=1000,-1,0)))))</f>
        <v>3800</v>
      </c>
      <c r="L1343" s="16">
        <v>3.5</v>
      </c>
      <c r="M1343" s="17">
        <f t="shared" si="100"/>
        <v>0.2857142857142857</v>
      </c>
      <c r="N1343" s="17">
        <f>IF(OR(L1343="",L1343=0),"",Параметры!$B$3/L1343)</f>
        <v>2.2857142857142856</v>
      </c>
      <c r="O1343" s="15">
        <f>IF(L1343="","",IFERROR(INDEX('Почасовка — ставки и план'!$D$5:$D$24,MATCH($D1343,'Почасовка — ставки и план'!$A$5:$A$24,0)),""))</f>
        <v>850</v>
      </c>
      <c r="P1343" s="15">
        <f>IF(L1343="","",IFERROR(INDEX('Почасовка — ставки и план'!$E$5:$E$24,MATCH($D1343,'Почасовка — ставки и план'!$A$5:$A$24,0)),""))</f>
        <v>1020</v>
      </c>
      <c r="Q1343" s="15">
        <f t="shared" si="101"/>
        <v>2975</v>
      </c>
      <c r="R1343" s="13" t="str">
        <f>IF(D1343="TEX","аренда техники — сделка/счёт",IF(OR(Q1343="",H1343="",H1343=0),"—",IF(Q1343&lt;H1343*(1-Параметры!$B$7),"почасовка",IF(Q1343&gt;H1343*(1+Параметры!$B$7),"сделка","любой способ"))))</f>
        <v>любой способ</v>
      </c>
      <c r="S1343">
        <v>0</v>
      </c>
      <c r="T1343">
        <v>0</v>
      </c>
    </row>
    <row r="1344" spans="1:20" x14ac:dyDescent="0.25">
      <c r="A1344" s="13" t="s">
        <v>2732</v>
      </c>
      <c r="B1344" s="13" t="s">
        <v>2733</v>
      </c>
      <c r="C1344" s="13" t="s">
        <v>144</v>
      </c>
      <c r="D1344" s="13" t="s">
        <v>273</v>
      </c>
      <c r="E1344" s="13" t="str">
        <f>IFERROR(INDEX('Почасовка — ставки и план'!$B$5:$B$24,MATCH(D1344,'Почасовка — ставки и план'!$A$5:$A$24,0)),"Аренда техники / механизмы")</f>
        <v>Электромонтажник</v>
      </c>
      <c r="F1344" s="14">
        <v>2500</v>
      </c>
      <c r="G1344" s="14">
        <v>3000</v>
      </c>
      <c r="H1344" s="15">
        <v>1550</v>
      </c>
      <c r="I1344" s="15">
        <f>IF(OR(H1344="",F1344=""),"",MAX(H1344,MIN(ROUND(H1344*(1+Параметры!$B$5),IF(H1344*(1+Параметры!$B$5)&gt;=1000,-1,0)),ROUND(F1344*Параметры!$B$6,IF(F1344*Параметры!$B$6&gt;=1000,-1,0)))))</f>
        <v>1780</v>
      </c>
      <c r="J1344" s="15">
        <v>1850</v>
      </c>
      <c r="K1344" s="15">
        <f>IF(OR(J1344="",G1344=""),"",MAX(J1344,MIN(ROUND(J1344*(1+Параметры!$B$5),IF(J1344*(1+Параметры!$B$5)&gt;=1000,-1,0)),ROUND(G1344*Параметры!$B$6,IF(G1344*Параметры!$B$6&gt;=1000,-1,0)))))</f>
        <v>2130</v>
      </c>
      <c r="L1344" s="16">
        <v>2</v>
      </c>
      <c r="M1344" s="17">
        <f t="shared" si="100"/>
        <v>0.5</v>
      </c>
      <c r="N1344" s="17">
        <f>IF(OR(L1344="",L1344=0),"",Параметры!$B$3/L1344)</f>
        <v>4</v>
      </c>
      <c r="O1344" s="15">
        <f>IF(L1344="","",IFERROR(INDEX('Почасовка — ставки и план'!$D$5:$D$24,MATCH($D1344,'Почасовка — ставки и план'!$A$5:$A$24,0)),""))</f>
        <v>850</v>
      </c>
      <c r="P1344" s="15">
        <f>IF(L1344="","",IFERROR(INDEX('Почасовка — ставки и план'!$E$5:$E$24,MATCH($D1344,'Почасовка — ставки и план'!$A$5:$A$24,0)),""))</f>
        <v>1020</v>
      </c>
      <c r="Q1344" s="15">
        <f t="shared" si="101"/>
        <v>1700</v>
      </c>
      <c r="R1344" s="13" t="str">
        <f>IF(D1344="TEX","аренда техники — сделка/счёт",IF(OR(Q1344="",H1344="",H1344=0),"—",IF(Q1344&lt;H1344*(1-Параметры!$B$7),"почасовка",IF(Q1344&gt;H1344*(1+Параметры!$B$7),"сделка","любой способ"))))</f>
        <v>любой способ</v>
      </c>
      <c r="S1344">
        <v>0</v>
      </c>
      <c r="T1344">
        <v>0</v>
      </c>
    </row>
    <row r="1345" spans="1:20" x14ac:dyDescent="0.25">
      <c r="A1345" s="13" t="s">
        <v>2734</v>
      </c>
      <c r="B1345" s="13" t="s">
        <v>2735</v>
      </c>
      <c r="C1345" s="13" t="s">
        <v>144</v>
      </c>
      <c r="D1345" s="13" t="s">
        <v>273</v>
      </c>
      <c r="E1345" s="13" t="str">
        <f>IFERROR(INDEX('Почасовка — ставки и план'!$B$5:$B$24,MATCH(D1345,'Почасовка — ставки и план'!$A$5:$A$24,0)),"Аренда техники / механизмы")</f>
        <v>Электромонтажник</v>
      </c>
      <c r="F1345" s="14">
        <v>800</v>
      </c>
      <c r="G1345" s="14">
        <v>950</v>
      </c>
      <c r="H1345" s="15">
        <v>500</v>
      </c>
      <c r="I1345" s="15">
        <f>IF(OR(H1345="",F1345=""),"",MAX(H1345,MIN(ROUND(H1345*(1+Параметры!$B$5),IF(H1345*(1+Параметры!$B$5)&gt;=1000,-1,0)),ROUND(F1345*Параметры!$B$6,IF(F1345*Параметры!$B$6&gt;=1000,-1,0)))))</f>
        <v>575</v>
      </c>
      <c r="J1345" s="15">
        <v>590</v>
      </c>
      <c r="K1345" s="15">
        <f>IF(OR(J1345="",G1345=""),"",MAX(J1345,MIN(ROUND(J1345*(1+Параметры!$B$5),IF(J1345*(1+Параметры!$B$5)&gt;=1000,-1,0)),ROUND(G1345*Параметры!$B$6,IF(G1345*Параметры!$B$6&gt;=1000,-1,0)))))</f>
        <v>679</v>
      </c>
      <c r="L1345" s="16">
        <v>0.5</v>
      </c>
      <c r="M1345" s="17">
        <f t="shared" si="100"/>
        <v>2</v>
      </c>
      <c r="N1345" s="17">
        <f>IF(OR(L1345="",L1345=0),"",Параметры!$B$3/L1345)</f>
        <v>16</v>
      </c>
      <c r="O1345" s="15">
        <f>IF(L1345="","",IFERROR(INDEX('Почасовка — ставки и план'!$D$5:$D$24,MATCH($D1345,'Почасовка — ставки и план'!$A$5:$A$24,0)),""))</f>
        <v>850</v>
      </c>
      <c r="P1345" s="15">
        <f>IF(L1345="","",IFERROR(INDEX('Почасовка — ставки и план'!$E$5:$E$24,MATCH($D1345,'Почасовка — ставки и план'!$A$5:$A$24,0)),""))</f>
        <v>1020</v>
      </c>
      <c r="Q1345" s="15">
        <f t="shared" si="101"/>
        <v>425</v>
      </c>
      <c r="R1345" s="13" t="str">
        <f>IF(D1345="TEX","аренда техники — сделка/счёт",IF(OR(Q1345="",H1345="",H1345=0),"—",IF(Q1345&lt;H1345*(1-Параметры!$B$7),"почасовка",IF(Q1345&gt;H1345*(1+Параметры!$B$7),"сделка","любой способ"))))</f>
        <v>почасовка</v>
      </c>
      <c r="S1345">
        <v>0</v>
      </c>
      <c r="T1345">
        <v>0</v>
      </c>
    </row>
    <row r="1346" spans="1:20" x14ac:dyDescent="0.25">
      <c r="A1346" s="13" t="s">
        <v>2736</v>
      </c>
      <c r="B1346" s="13" t="s">
        <v>2737</v>
      </c>
      <c r="C1346" s="13" t="s">
        <v>144</v>
      </c>
      <c r="D1346" s="13" t="s">
        <v>273</v>
      </c>
      <c r="E1346" s="13" t="str">
        <f>IFERROR(INDEX('Почасовка — ставки и план'!$B$5:$B$24,MATCH(D1346,'Почасовка — ставки и план'!$A$5:$A$24,0)),"Аренда техники / механизмы")</f>
        <v>Электромонтажник</v>
      </c>
      <c r="F1346" s="14">
        <v>1700</v>
      </c>
      <c r="G1346" s="14">
        <v>2000</v>
      </c>
      <c r="H1346" s="15">
        <v>1050</v>
      </c>
      <c r="I1346" s="15">
        <f>IF(OR(H1346="",F1346=""),"",MAX(H1346,MIN(ROUND(H1346*(1+Параметры!$B$5),IF(H1346*(1+Параметры!$B$5)&gt;=1000,-1,0)),ROUND(F1346*Параметры!$B$6,IF(F1346*Параметры!$B$6&gt;=1000,-1,0)))))</f>
        <v>1210</v>
      </c>
      <c r="J1346" s="15">
        <v>1250</v>
      </c>
      <c r="K1346" s="15">
        <f>IF(OR(J1346="",G1346=""),"",MAX(J1346,MIN(ROUND(J1346*(1+Параметры!$B$5),IF(J1346*(1+Параметры!$B$5)&gt;=1000,-1,0)),ROUND(G1346*Параметры!$B$6,IF(G1346*Параметры!$B$6&gt;=1000,-1,0)))))</f>
        <v>1440</v>
      </c>
      <c r="L1346" s="16">
        <v>1.2</v>
      </c>
      <c r="M1346" s="17">
        <f t="shared" si="100"/>
        <v>0.83333333333333337</v>
      </c>
      <c r="N1346" s="17">
        <f>IF(OR(L1346="",L1346=0),"",Параметры!$B$3/L1346)</f>
        <v>6.666666666666667</v>
      </c>
      <c r="O1346" s="15">
        <f>IF(L1346="","",IFERROR(INDEX('Почасовка — ставки и план'!$D$5:$D$24,MATCH($D1346,'Почасовка — ставки и план'!$A$5:$A$24,0)),""))</f>
        <v>850</v>
      </c>
      <c r="P1346" s="15">
        <f>IF(L1346="","",IFERROR(INDEX('Почасовка — ставки и план'!$E$5:$E$24,MATCH($D1346,'Почасовка — ставки и план'!$A$5:$A$24,0)),""))</f>
        <v>1020</v>
      </c>
      <c r="Q1346" s="15">
        <f t="shared" si="101"/>
        <v>1020</v>
      </c>
      <c r="R1346" s="13" t="str">
        <f>IF(D1346="TEX","аренда техники — сделка/счёт",IF(OR(Q1346="",H1346="",H1346=0),"—",IF(Q1346&lt;H1346*(1-Параметры!$B$7),"почасовка",IF(Q1346&gt;H1346*(1+Параметры!$B$7),"сделка","любой способ"))))</f>
        <v>любой способ</v>
      </c>
      <c r="S1346">
        <v>0</v>
      </c>
      <c r="T1346">
        <v>0</v>
      </c>
    </row>
    <row r="1347" spans="1:20" x14ac:dyDescent="0.25">
      <c r="A1347" s="13" t="s">
        <v>2738</v>
      </c>
      <c r="B1347" s="13" t="s">
        <v>2739</v>
      </c>
      <c r="C1347" s="13" t="s">
        <v>144</v>
      </c>
      <c r="D1347" s="13" t="s">
        <v>273</v>
      </c>
      <c r="E1347" s="13" t="str">
        <f>IFERROR(INDEX('Почасовка — ставки и план'!$B$5:$B$24,MATCH(D1347,'Почасовка — ставки и план'!$A$5:$A$24,0)),"Аренда техники / механизмы")</f>
        <v>Электромонтажник</v>
      </c>
      <c r="F1347" s="14">
        <v>4500</v>
      </c>
      <c r="G1347" s="14">
        <v>5300</v>
      </c>
      <c r="H1347" s="15">
        <v>2800</v>
      </c>
      <c r="I1347" s="15">
        <f>IF(OR(H1347="",F1347=""),"",MAX(H1347,MIN(ROUND(H1347*(1+Параметры!$B$5),IF(H1347*(1+Параметры!$B$5)&gt;=1000,-1,0)),ROUND(F1347*Параметры!$B$6,IF(F1347*Параметры!$B$6&gt;=1000,-1,0)))))</f>
        <v>3220</v>
      </c>
      <c r="J1347" s="15">
        <v>3300</v>
      </c>
      <c r="K1347" s="15">
        <f>IF(OR(J1347="",G1347=""),"",MAX(J1347,MIN(ROUND(J1347*(1+Параметры!$B$5),IF(J1347*(1+Параметры!$B$5)&gt;=1000,-1,0)),ROUND(G1347*Параметры!$B$6,IF(G1347*Параметры!$B$6&gt;=1000,-1,0)))))</f>
        <v>3800</v>
      </c>
      <c r="L1347" s="16">
        <v>3</v>
      </c>
      <c r="M1347" s="17">
        <f t="shared" si="100"/>
        <v>0.33333333333333331</v>
      </c>
      <c r="N1347" s="17">
        <f>IF(OR(L1347="",L1347=0),"",Параметры!$B$3/L1347)</f>
        <v>2.6666666666666665</v>
      </c>
      <c r="O1347" s="15">
        <f>IF(L1347="","",IFERROR(INDEX('Почасовка — ставки и план'!$D$5:$D$24,MATCH($D1347,'Почасовка — ставки и план'!$A$5:$A$24,0)),""))</f>
        <v>850</v>
      </c>
      <c r="P1347" s="15">
        <f>IF(L1347="","",IFERROR(INDEX('Почасовка — ставки и план'!$E$5:$E$24,MATCH($D1347,'Почасовка — ставки и план'!$A$5:$A$24,0)),""))</f>
        <v>1020</v>
      </c>
      <c r="Q1347" s="15">
        <f t="shared" si="101"/>
        <v>2550</v>
      </c>
      <c r="R1347" s="13" t="str">
        <f>IF(D1347="TEX","аренда техники — сделка/счёт",IF(OR(Q1347="",H1347="",H1347=0),"—",IF(Q1347&lt;H1347*(1-Параметры!$B$7),"почасовка",IF(Q1347&gt;H1347*(1+Параметры!$B$7),"сделка","любой способ"))))</f>
        <v>любой способ</v>
      </c>
      <c r="S1347">
        <v>0</v>
      </c>
      <c r="T1347">
        <v>0</v>
      </c>
    </row>
    <row r="1348" spans="1:20" x14ac:dyDescent="0.25">
      <c r="A1348" s="13" t="s">
        <v>2740</v>
      </c>
      <c r="B1348" s="13" t="s">
        <v>2741</v>
      </c>
      <c r="C1348" s="13" t="s">
        <v>144</v>
      </c>
      <c r="D1348" s="13" t="s">
        <v>2663</v>
      </c>
      <c r="E1348" s="13" t="str">
        <f>IFERROR(INDEX('Почасовка — ставки и план'!$B$5:$B$24,MATCH(D1348,'Почасовка — ставки и план'!$A$5:$A$24,0)),"Аренда техники / механизмы")</f>
        <v>Инженер электролаборатории / ПНР</v>
      </c>
      <c r="F1348" s="14">
        <v>18667</v>
      </c>
      <c r="G1348" s="14">
        <v>22400</v>
      </c>
      <c r="H1348" s="15">
        <v>9500</v>
      </c>
      <c r="I1348" s="15">
        <f>IF(OR(H1348="",F1348=""),"",MAX(H1348,MIN(ROUND(H1348*(1+Параметры!$B$5),IF(H1348*(1+Параметры!$B$5)&gt;=1000,-1,0)),ROUND(F1348*Параметры!$B$6,IF(F1348*Параметры!$B$6&gt;=1000,-1,0)))))</f>
        <v>10930</v>
      </c>
      <c r="J1348" s="15">
        <v>11000</v>
      </c>
      <c r="K1348" s="15">
        <f>IF(OR(J1348="",G1348=""),"",MAX(J1348,MIN(ROUND(J1348*(1+Параметры!$B$5),IF(J1348*(1+Параметры!$B$5)&gt;=1000,-1,0)),ROUND(G1348*Параметры!$B$6,IF(G1348*Параметры!$B$6&gt;=1000,-1,0)))))</f>
        <v>12650</v>
      </c>
      <c r="L1348" s="16">
        <v>10</v>
      </c>
      <c r="M1348" s="17">
        <f t="shared" si="100"/>
        <v>0.1</v>
      </c>
      <c r="N1348" s="17">
        <f>IF(OR(L1348="",L1348=0),"",Параметры!$B$3/L1348)</f>
        <v>0.8</v>
      </c>
      <c r="O1348" s="15">
        <f>IF(L1348="","",IFERROR(INDEX('Почасовка — ставки и план'!$D$5:$D$24,MATCH($D1348,'Почасовка — ставки и план'!$A$5:$A$24,0)),""))</f>
        <v>1400</v>
      </c>
      <c r="P1348" s="15">
        <f>IF(L1348="","",IFERROR(INDEX('Почасовка — ставки и план'!$E$5:$E$24,MATCH($D1348,'Почасовка — ставки и план'!$A$5:$A$24,0)),""))</f>
        <v>1680</v>
      </c>
      <c r="Q1348" s="15">
        <f t="shared" si="101"/>
        <v>14000</v>
      </c>
      <c r="R1348" s="13" t="str">
        <f>IF(D1348="TEX","аренда техники — сделка/счёт",IF(OR(Q1348="",H1348="",H1348=0),"—",IF(Q1348&lt;H1348*(1-Параметры!$B$7),"почасовка",IF(Q1348&gt;H1348*(1+Параметры!$B$7),"сделка","любой способ"))))</f>
        <v>сделка</v>
      </c>
      <c r="S1348">
        <v>0.24446666666666661</v>
      </c>
      <c r="T1348">
        <v>0.28000000000000003</v>
      </c>
    </row>
    <row r="1349" spans="1:20" x14ac:dyDescent="0.25">
      <c r="A1349" s="13" t="s">
        <v>2742</v>
      </c>
      <c r="B1349" s="13" t="s">
        <v>2743</v>
      </c>
      <c r="C1349" s="13" t="s">
        <v>144</v>
      </c>
      <c r="D1349" s="13" t="s">
        <v>273</v>
      </c>
      <c r="E1349" s="13" t="str">
        <f>IFERROR(INDEX('Почасовка — ставки и план'!$B$5:$B$24,MATCH(D1349,'Почасовка — ставки и план'!$A$5:$A$24,0)),"Аренда техники / механизмы")</f>
        <v>Электромонтажник</v>
      </c>
      <c r="F1349" s="14">
        <v>3500</v>
      </c>
      <c r="G1349" s="14">
        <v>4100</v>
      </c>
      <c r="H1349" s="15">
        <v>2200</v>
      </c>
      <c r="I1349" s="15">
        <f>IF(OR(H1349="",F1349=""),"",MAX(H1349,MIN(ROUND(H1349*(1+Параметры!$B$5),IF(H1349*(1+Параметры!$B$5)&gt;=1000,-1,0)),ROUND(F1349*Параметры!$B$6,IF(F1349*Параметры!$B$6&gt;=1000,-1,0)))))</f>
        <v>2530</v>
      </c>
      <c r="J1349" s="15">
        <v>2600</v>
      </c>
      <c r="K1349" s="15">
        <f>IF(OR(J1349="",G1349=""),"",MAX(J1349,MIN(ROUND(J1349*(1+Параметры!$B$5),IF(J1349*(1+Параметры!$B$5)&gt;=1000,-1,0)),ROUND(G1349*Параметры!$B$6,IF(G1349*Параметры!$B$6&gt;=1000,-1,0)))))</f>
        <v>2990</v>
      </c>
      <c r="L1349" s="16">
        <v>2.5</v>
      </c>
      <c r="M1349" s="17">
        <f t="shared" si="100"/>
        <v>0.4</v>
      </c>
      <c r="N1349" s="17">
        <f>IF(OR(L1349="",L1349=0),"",Параметры!$B$3/L1349)</f>
        <v>3.2</v>
      </c>
      <c r="O1349" s="15">
        <f>IF(L1349="","",IFERROR(INDEX('Почасовка — ставки и план'!$D$5:$D$24,MATCH($D1349,'Почасовка — ставки и план'!$A$5:$A$24,0)),""))</f>
        <v>850</v>
      </c>
      <c r="P1349" s="15">
        <f>IF(L1349="","",IFERROR(INDEX('Почасовка — ставки и план'!$E$5:$E$24,MATCH($D1349,'Почасовка — ставки и план'!$A$5:$A$24,0)),""))</f>
        <v>1020</v>
      </c>
      <c r="Q1349" s="15">
        <f t="shared" si="101"/>
        <v>2125</v>
      </c>
      <c r="R1349" s="13" t="str">
        <f>IF(D1349="TEX","аренда техники — сделка/счёт",IF(OR(Q1349="",H1349="",H1349=0),"—",IF(Q1349&lt;H1349*(1-Параметры!$B$7),"почасовка",IF(Q1349&gt;H1349*(1+Параметры!$B$7),"сделка","любой способ"))))</f>
        <v>любой способ</v>
      </c>
      <c r="S1349">
        <v>0</v>
      </c>
      <c r="T1349">
        <v>0</v>
      </c>
    </row>
    <row r="1350" spans="1:20" x14ac:dyDescent="0.25">
      <c r="A1350" s="13" t="s">
        <v>2744</v>
      </c>
      <c r="B1350" s="13" t="s">
        <v>2745</v>
      </c>
      <c r="C1350" s="13" t="s">
        <v>144</v>
      </c>
      <c r="D1350" s="13" t="s">
        <v>273</v>
      </c>
      <c r="E1350" s="13" t="str">
        <f>IFERROR(INDEX('Почасовка — ставки и план'!$B$5:$B$24,MATCH(D1350,'Почасовка — ставки и план'!$A$5:$A$24,0)),"Аренда техники / механизмы")</f>
        <v>Электромонтажник</v>
      </c>
      <c r="F1350" s="14">
        <v>2000</v>
      </c>
      <c r="G1350" s="14">
        <v>2400</v>
      </c>
      <c r="H1350" s="15">
        <v>1250</v>
      </c>
      <c r="I1350" s="15">
        <f>IF(OR(H1350="",F1350=""),"",MAX(H1350,MIN(ROUND(H1350*(1+Параметры!$B$5),IF(H1350*(1+Параметры!$B$5)&gt;=1000,-1,0)),ROUND(F1350*Параметры!$B$6,IF(F1350*Параметры!$B$6&gt;=1000,-1,0)))))</f>
        <v>1440</v>
      </c>
      <c r="J1350" s="15">
        <v>1500</v>
      </c>
      <c r="K1350" s="15">
        <f>IF(OR(J1350="",G1350=""),"",MAX(J1350,MIN(ROUND(J1350*(1+Параметры!$B$5),IF(J1350*(1+Параметры!$B$5)&gt;=1000,-1,0)),ROUND(G1350*Параметры!$B$6,IF(G1350*Параметры!$B$6&gt;=1000,-1,0)))))</f>
        <v>1730</v>
      </c>
      <c r="L1350" s="16">
        <v>1.5</v>
      </c>
      <c r="M1350" s="17">
        <f t="shared" si="100"/>
        <v>0.66666666666666663</v>
      </c>
      <c r="N1350" s="17">
        <f>IF(OR(L1350="",L1350=0),"",Параметры!$B$3/L1350)</f>
        <v>5.333333333333333</v>
      </c>
      <c r="O1350" s="15">
        <f>IF(L1350="","",IFERROR(INDEX('Почасовка — ставки и план'!$D$5:$D$24,MATCH($D1350,'Почасовка — ставки и план'!$A$5:$A$24,0)),""))</f>
        <v>850</v>
      </c>
      <c r="P1350" s="15">
        <f>IF(L1350="","",IFERROR(INDEX('Почасовка — ставки и план'!$E$5:$E$24,MATCH($D1350,'Почасовка — ставки и план'!$A$5:$A$24,0)),""))</f>
        <v>1020</v>
      </c>
      <c r="Q1350" s="15">
        <f t="shared" si="101"/>
        <v>1275</v>
      </c>
      <c r="R1350" s="13" t="str">
        <f>IF(D1350="TEX","аренда техники — сделка/счёт",IF(OR(Q1350="",H1350="",H1350=0),"—",IF(Q1350&lt;H1350*(1-Параметры!$B$7),"почасовка",IF(Q1350&gt;H1350*(1+Параметры!$B$7),"сделка","любой способ"))))</f>
        <v>любой способ</v>
      </c>
      <c r="S1350">
        <v>0</v>
      </c>
      <c r="T1350">
        <v>0</v>
      </c>
    </row>
    <row r="1351" spans="1:20" x14ac:dyDescent="0.25">
      <c r="A1351" s="18" t="s">
        <v>2746</v>
      </c>
      <c r="B1351" s="13" t="s">
        <v>2747</v>
      </c>
      <c r="C1351" s="13" t="s">
        <v>144</v>
      </c>
      <c r="D1351" s="13" t="s">
        <v>273</v>
      </c>
      <c r="E1351" s="13" t="str">
        <f>IFERROR(INDEX('Почасовка — ставки и план'!$B$5:$B$24,MATCH(D1351,'Почасовка — ставки и план'!$A$5:$A$24,0)),"Аренда техники / механизмы")</f>
        <v>Электромонтажник</v>
      </c>
      <c r="F1351" s="14">
        <v>250</v>
      </c>
      <c r="G1351" s="14">
        <v>300</v>
      </c>
      <c r="H1351" s="15">
        <v>155</v>
      </c>
      <c r="I1351" s="15">
        <f>IF(OR(H1351="",F1351=""),"",MAX(H1351,MIN(ROUND(H1351*(1+Параметры!$B$5),IF(H1351*(1+Параметры!$B$5)&gt;=1000,-1,0)),ROUND(F1351*Параметры!$B$6,IF(F1351*Параметры!$B$6&gt;=1000,-1,0)))))</f>
        <v>178</v>
      </c>
      <c r="J1351" s="15">
        <v>185</v>
      </c>
      <c r="K1351" s="15">
        <f>IF(OR(J1351="",G1351=""),"",MAX(J1351,MIN(ROUND(J1351*(1+Параметры!$B$5),IF(J1351*(1+Параметры!$B$5)&gt;=1000,-1,0)),ROUND(G1351*Параметры!$B$6,IF(G1351*Параметры!$B$6&gt;=1000,-1,0)))))</f>
        <v>213</v>
      </c>
      <c r="L1351" s="16">
        <v>0.15</v>
      </c>
      <c r="M1351" s="17">
        <f t="shared" si="100"/>
        <v>6.666666666666667</v>
      </c>
      <c r="N1351" s="17">
        <f>IF(OR(L1351="",L1351=0),"",Параметры!$B$3/L1351)</f>
        <v>53.333333333333336</v>
      </c>
      <c r="O1351" s="15">
        <f>IF(L1351="","",IFERROR(INDEX('Почасовка — ставки и план'!$D$5:$D$24,MATCH($D1351,'Почасовка — ставки и план'!$A$5:$A$24,0)),""))</f>
        <v>850</v>
      </c>
      <c r="P1351" s="15">
        <f>IF(L1351="","",IFERROR(INDEX('Почасовка — ставки и план'!$E$5:$E$24,MATCH($D1351,'Почасовка — ставки и план'!$A$5:$A$24,0)),""))</f>
        <v>1020</v>
      </c>
      <c r="Q1351" s="15">
        <f t="shared" si="101"/>
        <v>128</v>
      </c>
      <c r="R1351" s="13" t="str">
        <f>IF(D1351="TEX","аренда техники — сделка/счёт",IF(OR(Q1351="",H1351="",H1351=0),"—",IF(Q1351&lt;H1351*(1-Параметры!$B$7),"почасовка",IF(Q1351&gt;H1351*(1+Параметры!$B$7),"сделка","любой способ"))))</f>
        <v>почасовка</v>
      </c>
      <c r="S1351">
        <v>0</v>
      </c>
      <c r="T1351">
        <v>0</v>
      </c>
    </row>
    <row r="1352" spans="1:20" x14ac:dyDescent="0.25">
      <c r="A1352" s="18" t="s">
        <v>2748</v>
      </c>
      <c r="B1352" s="13" t="s">
        <v>2749</v>
      </c>
      <c r="C1352" s="13" t="s">
        <v>2750</v>
      </c>
      <c r="D1352" s="13" t="s">
        <v>273</v>
      </c>
      <c r="E1352" s="13" t="str">
        <f>IFERROR(INDEX('Почасовка — ставки и план'!$B$5:$B$24,MATCH(D1352,'Почасовка — ставки и план'!$A$5:$A$24,0)),"Аренда техники / механизмы")</f>
        <v>Электромонтажник</v>
      </c>
      <c r="F1352" s="14">
        <v>450</v>
      </c>
      <c r="G1352" s="14">
        <v>520</v>
      </c>
      <c r="H1352" s="15">
        <v>280</v>
      </c>
      <c r="I1352" s="15">
        <f>IF(OR(H1352="",F1352=""),"",MAX(H1352,MIN(ROUND(H1352*(1+Параметры!$B$5),IF(H1352*(1+Параметры!$B$5)&gt;=1000,-1,0)),ROUND(F1352*Параметры!$B$6,IF(F1352*Параметры!$B$6&gt;=1000,-1,0)))))</f>
        <v>322</v>
      </c>
      <c r="J1352" s="15">
        <v>320</v>
      </c>
      <c r="K1352" s="15">
        <f>IF(OR(J1352="",G1352=""),"",MAX(J1352,MIN(ROUND(J1352*(1+Параметры!$B$5),IF(J1352*(1+Параметры!$B$5)&gt;=1000,-1,0)),ROUND(G1352*Параметры!$B$6,IF(G1352*Параметры!$B$6&gt;=1000,-1,0)))))</f>
        <v>368</v>
      </c>
      <c r="L1352" s="16">
        <v>0.35</v>
      </c>
      <c r="M1352" s="17">
        <f t="shared" si="100"/>
        <v>2.8571428571428572</v>
      </c>
      <c r="N1352" s="17">
        <f>IF(OR(L1352="",L1352=0),"",Параметры!$B$3/L1352)</f>
        <v>22.857142857142858</v>
      </c>
      <c r="O1352" s="15">
        <f>IF(L1352="","",IFERROR(INDEX('Почасовка — ставки и план'!$D$5:$D$24,MATCH($D1352,'Почасовка — ставки и план'!$A$5:$A$24,0)),""))</f>
        <v>850</v>
      </c>
      <c r="P1352" s="15">
        <f>IF(L1352="","",IFERROR(INDEX('Почасовка — ставки и план'!$E$5:$E$24,MATCH($D1352,'Почасовка — ставки и план'!$A$5:$A$24,0)),""))</f>
        <v>1020</v>
      </c>
      <c r="Q1352" s="15">
        <f t="shared" si="101"/>
        <v>298</v>
      </c>
      <c r="R1352" s="13" t="str">
        <f>IF(D1352="TEX","аренда техники — сделка/счёт",IF(OR(Q1352="",H1352="",H1352=0),"—",IF(Q1352&lt;H1352*(1-Параметры!$B$7),"почасовка",IF(Q1352&gt;H1352*(1+Параметры!$B$7),"сделка","любой способ"))))</f>
        <v>любой способ</v>
      </c>
      <c r="S1352">
        <v>0</v>
      </c>
      <c r="T1352">
        <v>0</v>
      </c>
    </row>
    <row r="1353" spans="1:20" x14ac:dyDescent="0.25">
      <c r="A1353" s="18" t="s">
        <v>2751</v>
      </c>
      <c r="B1353" s="13" t="s">
        <v>2752</v>
      </c>
      <c r="C1353" s="13" t="s">
        <v>144</v>
      </c>
      <c r="D1353" s="13" t="s">
        <v>273</v>
      </c>
      <c r="E1353" s="13" t="str">
        <f>IFERROR(INDEX('Почасовка — ставки и план'!$B$5:$B$24,MATCH(D1353,'Почасовка — ставки и план'!$A$5:$A$24,0)),"Аренда техники / механизмы")</f>
        <v>Электромонтажник</v>
      </c>
      <c r="F1353" s="14">
        <v>800</v>
      </c>
      <c r="G1353" s="14">
        <v>950</v>
      </c>
      <c r="H1353" s="15">
        <v>500</v>
      </c>
      <c r="I1353" s="15">
        <f>IF(OR(H1353="",F1353=""),"",MAX(H1353,MIN(ROUND(H1353*(1+Параметры!$B$5),IF(H1353*(1+Параметры!$B$5)&gt;=1000,-1,0)),ROUND(F1353*Параметры!$B$6,IF(F1353*Параметры!$B$6&gt;=1000,-1,0)))))</f>
        <v>575</v>
      </c>
      <c r="J1353" s="15">
        <v>590</v>
      </c>
      <c r="K1353" s="15">
        <f>IF(OR(J1353="",G1353=""),"",MAX(J1353,MIN(ROUND(J1353*(1+Параметры!$B$5),IF(J1353*(1+Параметры!$B$5)&gt;=1000,-1,0)),ROUND(G1353*Параметры!$B$6,IF(G1353*Параметры!$B$6&gt;=1000,-1,0)))))</f>
        <v>679</v>
      </c>
      <c r="L1353" s="16">
        <v>0.5</v>
      </c>
      <c r="M1353" s="17">
        <f t="shared" si="100"/>
        <v>2</v>
      </c>
      <c r="N1353" s="17">
        <f>IF(OR(L1353="",L1353=0),"",Параметры!$B$3/L1353)</f>
        <v>16</v>
      </c>
      <c r="O1353" s="15">
        <f>IF(L1353="","",IFERROR(INDEX('Почасовка — ставки и план'!$D$5:$D$24,MATCH($D1353,'Почасовка — ставки и план'!$A$5:$A$24,0)),""))</f>
        <v>850</v>
      </c>
      <c r="P1353" s="15">
        <f>IF(L1353="","",IFERROR(INDEX('Почасовка — ставки и план'!$E$5:$E$24,MATCH($D1353,'Почасовка — ставки и план'!$A$5:$A$24,0)),""))</f>
        <v>1020</v>
      </c>
      <c r="Q1353" s="15">
        <f t="shared" si="101"/>
        <v>425</v>
      </c>
      <c r="R1353" s="13" t="str">
        <f>IF(D1353="TEX","аренда техники — сделка/счёт",IF(OR(Q1353="",H1353="",H1353=0),"—",IF(Q1353&lt;H1353*(1-Параметры!$B$7),"почасовка",IF(Q1353&gt;H1353*(1+Параметры!$B$7),"сделка","любой способ"))))</f>
        <v>почасовка</v>
      </c>
      <c r="S1353">
        <v>0</v>
      </c>
      <c r="T1353">
        <v>0</v>
      </c>
    </row>
    <row r="1354" spans="1:20" x14ac:dyDescent="0.25">
      <c r="A1354" s="18" t="s">
        <v>2753</v>
      </c>
      <c r="B1354" s="13" t="s">
        <v>2754</v>
      </c>
      <c r="C1354" s="13" t="s">
        <v>144</v>
      </c>
      <c r="D1354" s="13" t="s">
        <v>273</v>
      </c>
      <c r="E1354" s="13" t="str">
        <f>IFERROR(INDEX('Почасовка — ставки и план'!$B$5:$B$24,MATCH(D1354,'Почасовка — ставки и план'!$A$5:$A$24,0)),"Аренда техники / механизмы")</f>
        <v>Электромонтажник</v>
      </c>
      <c r="F1354" s="14">
        <v>1200</v>
      </c>
      <c r="G1354" s="14">
        <v>1400</v>
      </c>
      <c r="H1354" s="15">
        <v>750</v>
      </c>
      <c r="I1354" s="15">
        <f>IF(OR(H1354="",F1354=""),"",MAX(H1354,MIN(ROUND(H1354*(1+Параметры!$B$5),IF(H1354*(1+Параметры!$B$5)&gt;=1000,-1,0)),ROUND(F1354*Параметры!$B$6,IF(F1354*Параметры!$B$6&gt;=1000,-1,0)))))</f>
        <v>863</v>
      </c>
      <c r="J1354" s="15">
        <v>880</v>
      </c>
      <c r="K1354" s="15">
        <f>IF(OR(J1354="",G1354=""),"",MAX(J1354,MIN(ROUND(J1354*(1+Параметры!$B$5),IF(J1354*(1+Параметры!$B$5)&gt;=1000,-1,0)),ROUND(G1354*Параметры!$B$6,IF(G1354*Параметры!$B$6&gt;=1000,-1,0)))))</f>
        <v>1010</v>
      </c>
      <c r="L1354" s="16">
        <v>1</v>
      </c>
      <c r="M1354" s="17">
        <f t="shared" si="100"/>
        <v>1</v>
      </c>
      <c r="N1354" s="17">
        <f>IF(OR(L1354="",L1354=0),"",Параметры!$B$3/L1354)</f>
        <v>8</v>
      </c>
      <c r="O1354" s="15">
        <f>IF(L1354="","",IFERROR(INDEX('Почасовка — ставки и план'!$D$5:$D$24,MATCH($D1354,'Почасовка — ставки и план'!$A$5:$A$24,0)),""))</f>
        <v>850</v>
      </c>
      <c r="P1354" s="15">
        <f>IF(L1354="","",IFERROR(INDEX('Почасовка — ставки и план'!$E$5:$E$24,MATCH($D1354,'Почасовка — ставки и план'!$A$5:$A$24,0)),""))</f>
        <v>1020</v>
      </c>
      <c r="Q1354" s="15">
        <f t="shared" si="101"/>
        <v>850</v>
      </c>
      <c r="R1354" s="13" t="str">
        <f>IF(D1354="TEX","аренда техники — сделка/счёт",IF(OR(Q1354="",H1354="",H1354=0),"—",IF(Q1354&lt;H1354*(1-Параметры!$B$7),"почасовка",IF(Q1354&gt;H1354*(1+Параметры!$B$7),"сделка","любой способ"))))</f>
        <v>сделка</v>
      </c>
      <c r="S1354">
        <v>0</v>
      </c>
      <c r="T1354">
        <v>0</v>
      </c>
    </row>
    <row r="1355" spans="1:20" x14ac:dyDescent="0.25">
      <c r="A1355" s="18" t="s">
        <v>2755</v>
      </c>
      <c r="B1355" s="13" t="s">
        <v>2756</v>
      </c>
      <c r="C1355" s="13" t="s">
        <v>144</v>
      </c>
      <c r="D1355" s="13" t="s">
        <v>273</v>
      </c>
      <c r="E1355" s="13" t="str">
        <f>IFERROR(INDEX('Почасовка — ставки и план'!$B$5:$B$24,MATCH(D1355,'Почасовка — ставки и план'!$A$5:$A$24,0)),"Аренда техники / механизмы")</f>
        <v>Электромонтажник</v>
      </c>
      <c r="F1355" s="14">
        <v>200</v>
      </c>
      <c r="G1355" s="14">
        <v>240</v>
      </c>
      <c r="H1355" s="15">
        <v>125</v>
      </c>
      <c r="I1355" s="15">
        <f>IF(OR(H1355="",F1355=""),"",MAX(H1355,MIN(ROUND(H1355*(1+Параметры!$B$5),IF(H1355*(1+Параметры!$B$5)&gt;=1000,-1,0)),ROUND(F1355*Параметры!$B$6,IF(F1355*Параметры!$B$6&gt;=1000,-1,0)))))</f>
        <v>144</v>
      </c>
      <c r="J1355" s="15">
        <v>150</v>
      </c>
      <c r="K1355" s="15">
        <f>IF(OR(J1355="",G1355=""),"",MAX(J1355,MIN(ROUND(J1355*(1+Параметры!$B$5),IF(J1355*(1+Параметры!$B$5)&gt;=1000,-1,0)),ROUND(G1355*Параметры!$B$6,IF(G1355*Параметры!$B$6&gt;=1000,-1,0)))))</f>
        <v>173</v>
      </c>
      <c r="L1355" s="16">
        <v>0.15</v>
      </c>
      <c r="M1355" s="17">
        <f t="shared" si="100"/>
        <v>6.666666666666667</v>
      </c>
      <c r="N1355" s="17">
        <f>IF(OR(L1355="",L1355=0),"",Параметры!$B$3/L1355)</f>
        <v>53.333333333333336</v>
      </c>
      <c r="O1355" s="15">
        <f>IF(L1355="","",IFERROR(INDEX('Почасовка — ставки и план'!$D$5:$D$24,MATCH($D1355,'Почасовка — ставки и план'!$A$5:$A$24,0)),""))</f>
        <v>850</v>
      </c>
      <c r="P1355" s="15">
        <f>IF(L1355="","",IFERROR(INDEX('Почасовка — ставки и план'!$E$5:$E$24,MATCH($D1355,'Почасовка — ставки и план'!$A$5:$A$24,0)),""))</f>
        <v>1020</v>
      </c>
      <c r="Q1355" s="15">
        <f t="shared" si="101"/>
        <v>128</v>
      </c>
      <c r="R1355" s="13" t="str">
        <f>IF(D1355="TEX","аренда техники — сделка/счёт",IF(OR(Q1355="",H1355="",H1355=0),"—",IF(Q1355&lt;H1355*(1-Параметры!$B$7),"почасовка",IF(Q1355&gt;H1355*(1+Параметры!$B$7),"сделка","любой способ"))))</f>
        <v>любой способ</v>
      </c>
      <c r="S1355">
        <v>0</v>
      </c>
      <c r="T1355">
        <v>0</v>
      </c>
    </row>
    <row r="1356" spans="1:20" x14ac:dyDescent="0.25">
      <c r="A1356" s="18" t="s">
        <v>2757</v>
      </c>
      <c r="B1356" s="13" t="s">
        <v>2758</v>
      </c>
      <c r="C1356" s="13" t="s">
        <v>144</v>
      </c>
      <c r="D1356" s="13" t="s">
        <v>273</v>
      </c>
      <c r="E1356" s="13" t="str">
        <f>IFERROR(INDEX('Почасовка — ставки и план'!$B$5:$B$24,MATCH(D1356,'Почасовка — ставки и план'!$A$5:$A$24,0)),"Аренда техники / механизмы")</f>
        <v>Электромонтажник</v>
      </c>
      <c r="F1356" s="14">
        <v>900</v>
      </c>
      <c r="G1356" s="14">
        <v>1050</v>
      </c>
      <c r="H1356" s="15">
        <v>560</v>
      </c>
      <c r="I1356" s="15">
        <f>IF(OR(H1356="",F1356=""),"",MAX(H1356,MIN(ROUND(H1356*(1+Параметры!$B$5),IF(H1356*(1+Параметры!$B$5)&gt;=1000,-1,0)),ROUND(F1356*Параметры!$B$6,IF(F1356*Параметры!$B$6&gt;=1000,-1,0)))))</f>
        <v>644</v>
      </c>
      <c r="J1356" s="15">
        <v>650</v>
      </c>
      <c r="K1356" s="15">
        <f>IF(OR(J1356="",G1356=""),"",MAX(J1356,MIN(ROUND(J1356*(1+Параметры!$B$5),IF(J1356*(1+Параметры!$B$5)&gt;=1000,-1,0)),ROUND(G1356*Параметры!$B$6,IF(G1356*Параметры!$B$6&gt;=1000,-1,0)))))</f>
        <v>748</v>
      </c>
      <c r="L1356" s="16">
        <v>0.6</v>
      </c>
      <c r="M1356" s="17">
        <f t="shared" si="100"/>
        <v>1.6666666666666667</v>
      </c>
      <c r="N1356" s="17">
        <f>IF(OR(L1356="",L1356=0),"",Параметры!$B$3/L1356)</f>
        <v>13.333333333333334</v>
      </c>
      <c r="O1356" s="15">
        <f>IF(L1356="","",IFERROR(INDEX('Почасовка — ставки и план'!$D$5:$D$24,MATCH($D1356,'Почасовка — ставки и план'!$A$5:$A$24,0)),""))</f>
        <v>850</v>
      </c>
      <c r="P1356" s="15">
        <f>IF(L1356="","",IFERROR(INDEX('Почасовка — ставки и план'!$E$5:$E$24,MATCH($D1356,'Почасовка — ставки и план'!$A$5:$A$24,0)),""))</f>
        <v>1020</v>
      </c>
      <c r="Q1356" s="15">
        <f t="shared" si="101"/>
        <v>510</v>
      </c>
      <c r="R1356" s="13" t="str">
        <f>IF(D1356="TEX","аренда техники — сделка/счёт",IF(OR(Q1356="",H1356="",H1356=0),"—",IF(Q1356&lt;H1356*(1-Параметры!$B$7),"почасовка",IF(Q1356&gt;H1356*(1+Параметры!$B$7),"сделка","любой способ"))))</f>
        <v>любой способ</v>
      </c>
      <c r="S1356">
        <v>0</v>
      </c>
      <c r="T1356">
        <v>0</v>
      </c>
    </row>
    <row r="1357" spans="1:20" x14ac:dyDescent="0.25">
      <c r="A1357" s="18" t="s">
        <v>2759</v>
      </c>
      <c r="B1357" s="13" t="s">
        <v>2760</v>
      </c>
      <c r="C1357" s="13" t="s">
        <v>2761</v>
      </c>
      <c r="D1357" s="13" t="s">
        <v>273</v>
      </c>
      <c r="E1357" s="13" t="str">
        <f>IFERROR(INDEX('Почасовка — ставки и план'!$B$5:$B$24,MATCH(D1357,'Почасовка — ставки и план'!$A$5:$A$24,0)),"Аренда техники / механизмы")</f>
        <v>Электромонтажник</v>
      </c>
      <c r="F1357" s="14">
        <v>2000</v>
      </c>
      <c r="G1357" s="14">
        <v>2400</v>
      </c>
      <c r="H1357" s="15">
        <v>1200</v>
      </c>
      <c r="I1357" s="15">
        <f>IF(OR(H1357="",F1357=""),"",MAX(H1357,MIN(ROUND(H1357*(1+Параметры!$B$5),IF(H1357*(1+Параметры!$B$5)&gt;=1000,-1,0)),ROUND(F1357*Параметры!$B$6,IF(F1357*Параметры!$B$6&gt;=1000,-1,0)))))</f>
        <v>1380</v>
      </c>
      <c r="J1357" s="15">
        <v>1450</v>
      </c>
      <c r="K1357" s="15">
        <f>IF(OR(J1357="",G1357=""),"",MAX(J1357,MIN(ROUND(J1357*(1+Параметры!$B$5),IF(J1357*(1+Параметры!$B$5)&gt;=1000,-1,0)),ROUND(G1357*Параметры!$B$6,IF(G1357*Параметры!$B$6&gt;=1000,-1,0)))))</f>
        <v>1670</v>
      </c>
      <c r="L1357" s="16">
        <v>1.5</v>
      </c>
      <c r="M1357" s="17">
        <f t="shared" si="100"/>
        <v>0.66666666666666663</v>
      </c>
      <c r="N1357" s="17">
        <f>IF(OR(L1357="",L1357=0),"",Параметры!$B$3/L1357)</f>
        <v>5.333333333333333</v>
      </c>
      <c r="O1357" s="15">
        <f>IF(L1357="","",IFERROR(INDEX('Почасовка — ставки и план'!$D$5:$D$24,MATCH($D1357,'Почасовка — ставки и план'!$A$5:$A$24,0)),""))</f>
        <v>850</v>
      </c>
      <c r="P1357" s="15">
        <f>IF(L1357="","",IFERROR(INDEX('Почасовка — ставки и план'!$E$5:$E$24,MATCH($D1357,'Почасовка — ставки и план'!$A$5:$A$24,0)),""))</f>
        <v>1020</v>
      </c>
      <c r="Q1357" s="15">
        <f t="shared" si="101"/>
        <v>1275</v>
      </c>
      <c r="R1357" s="13" t="str">
        <f>IF(D1357="TEX","аренда техники — сделка/счёт",IF(OR(Q1357="",H1357="",H1357=0),"—",IF(Q1357&lt;H1357*(1-Параметры!$B$7),"почасовка",IF(Q1357&gt;H1357*(1+Параметры!$B$7),"сделка","любой способ"))))</f>
        <v>любой способ</v>
      </c>
      <c r="S1357">
        <v>0</v>
      </c>
      <c r="T1357">
        <v>0</v>
      </c>
    </row>
    <row r="1358" spans="1:20" x14ac:dyDescent="0.25">
      <c r="A1358" s="18" t="s">
        <v>2762</v>
      </c>
      <c r="B1358" s="13" t="s">
        <v>2763</v>
      </c>
      <c r="C1358" s="13" t="s">
        <v>144</v>
      </c>
      <c r="D1358" s="13" t="s">
        <v>273</v>
      </c>
      <c r="E1358" s="13" t="str">
        <f>IFERROR(INDEX('Почасовка — ставки и план'!$B$5:$B$24,MATCH(D1358,'Почасовка — ставки и план'!$A$5:$A$24,0)),"Аренда техники / механизмы")</f>
        <v>Электромонтажник</v>
      </c>
      <c r="F1358" s="14">
        <v>900</v>
      </c>
      <c r="G1358" s="14">
        <v>1050</v>
      </c>
      <c r="H1358" s="15">
        <v>540</v>
      </c>
      <c r="I1358" s="15">
        <f>IF(OR(H1358="",F1358=""),"",MAX(H1358,MIN(ROUND(H1358*(1+Параметры!$B$5),IF(H1358*(1+Параметры!$B$5)&gt;=1000,-1,0)),ROUND(F1358*Параметры!$B$6,IF(F1358*Параметры!$B$6&gt;=1000,-1,0)))))</f>
        <v>621</v>
      </c>
      <c r="J1358" s="15">
        <v>630</v>
      </c>
      <c r="K1358" s="15">
        <f>IF(OR(J1358="",G1358=""),"",MAX(J1358,MIN(ROUND(J1358*(1+Параметры!$B$5),IF(J1358*(1+Параметры!$B$5)&gt;=1000,-1,0)),ROUND(G1358*Параметры!$B$6,IF(G1358*Параметры!$B$6&gt;=1000,-1,0)))))</f>
        <v>725</v>
      </c>
      <c r="L1358" s="16">
        <v>0.6</v>
      </c>
      <c r="M1358" s="17">
        <f t="shared" si="100"/>
        <v>1.6666666666666667</v>
      </c>
      <c r="N1358" s="17">
        <f>IF(OR(L1358="",L1358=0),"",Параметры!$B$3/L1358)</f>
        <v>13.333333333333334</v>
      </c>
      <c r="O1358" s="15">
        <f>IF(L1358="","",IFERROR(INDEX('Почасовка — ставки и план'!$D$5:$D$24,MATCH($D1358,'Почасовка — ставки и план'!$A$5:$A$24,0)),""))</f>
        <v>850</v>
      </c>
      <c r="P1358" s="15">
        <f>IF(L1358="","",IFERROR(INDEX('Почасовка — ставки и план'!$E$5:$E$24,MATCH($D1358,'Почасовка — ставки и план'!$A$5:$A$24,0)),""))</f>
        <v>1020</v>
      </c>
      <c r="Q1358" s="15">
        <f t="shared" si="101"/>
        <v>510</v>
      </c>
      <c r="R1358" s="13" t="str">
        <f>IF(D1358="TEX","аренда техники — сделка/счёт",IF(OR(Q1358="",H1358="",H1358=0),"—",IF(Q1358&lt;H1358*(1-Параметры!$B$7),"почасовка",IF(Q1358&gt;H1358*(1+Параметры!$B$7),"сделка","любой способ"))))</f>
        <v>любой способ</v>
      </c>
      <c r="S1358">
        <v>0</v>
      </c>
      <c r="T1358">
        <v>0</v>
      </c>
    </row>
    <row r="1359" spans="1:20" x14ac:dyDescent="0.25">
      <c r="A1359" s="11" t="s">
        <v>2764</v>
      </c>
      <c r="B1359" s="12"/>
      <c r="C1359" s="12"/>
      <c r="D1359" s="12"/>
      <c r="E1359" s="12"/>
      <c r="F1359" s="12"/>
      <c r="G1359" s="12"/>
      <c r="H1359" s="12"/>
      <c r="I1359" s="12"/>
      <c r="J1359" s="12"/>
      <c r="K1359" s="12"/>
      <c r="L1359" s="12"/>
      <c r="M1359" s="12"/>
      <c r="N1359" s="12"/>
      <c r="O1359" s="12"/>
      <c r="P1359" s="12"/>
      <c r="Q1359" s="12"/>
      <c r="R1359" s="12"/>
    </row>
    <row r="1360" spans="1:20" x14ac:dyDescent="0.25">
      <c r="A1360" s="13" t="s">
        <v>2765</v>
      </c>
      <c r="B1360" s="13" t="s">
        <v>2766</v>
      </c>
      <c r="C1360" s="13" t="s">
        <v>69</v>
      </c>
      <c r="D1360" s="13" t="s">
        <v>273</v>
      </c>
      <c r="E1360" s="13" t="str">
        <f>IFERROR(INDEX('Почасовка — ставки и план'!$B$5:$B$24,MATCH(D1360,'Почасовка — ставки и план'!$A$5:$A$24,0)),"Аренда техники / механизмы")</f>
        <v>Электромонтажник</v>
      </c>
      <c r="F1360" s="14">
        <v>110</v>
      </c>
      <c r="G1360" s="14">
        <v>130</v>
      </c>
      <c r="H1360" s="15">
        <v>65</v>
      </c>
      <c r="I1360" s="15">
        <f>IF(OR(H1360="",F1360=""),"",MAX(H1360,MIN(ROUND(H1360*(1+Параметры!$B$5),IF(H1360*(1+Параметры!$B$5)&gt;=1000,-1,0)),ROUND(F1360*Параметры!$B$6,IF(F1360*Параметры!$B$6&gt;=1000,-1,0)))))</f>
        <v>75</v>
      </c>
      <c r="J1360" s="15">
        <v>80</v>
      </c>
      <c r="K1360" s="15">
        <f>IF(OR(J1360="",G1360=""),"",MAX(J1360,MIN(ROUND(J1360*(1+Параметры!$B$5),IF(J1360*(1+Параметры!$B$5)&gt;=1000,-1,0)),ROUND(G1360*Параметры!$B$6,IF(G1360*Параметры!$B$6&gt;=1000,-1,0)))))</f>
        <v>92</v>
      </c>
      <c r="L1360" s="16">
        <v>7.0000000000000007E-2</v>
      </c>
      <c r="M1360" s="17">
        <f t="shared" ref="M1360:M1407" si="102">IF(OR(L1360="",L1360=0),"",1/L1360)</f>
        <v>14.285714285714285</v>
      </c>
      <c r="N1360" s="17">
        <f>IF(OR(L1360="",L1360=0),"",Параметры!$B$3/L1360)</f>
        <v>114.28571428571428</v>
      </c>
      <c r="O1360" s="15">
        <f>IF(L1360="","",IFERROR(INDEX('Почасовка — ставки и план'!$D$5:$D$24,MATCH($D1360,'Почасовка — ставки и план'!$A$5:$A$24,0)),""))</f>
        <v>850</v>
      </c>
      <c r="P1360" s="15">
        <f>IF(L1360="","",IFERROR(INDEX('Почасовка — ставки и план'!$E$5:$E$24,MATCH($D1360,'Почасовка — ставки и план'!$A$5:$A$24,0)),""))</f>
        <v>1020</v>
      </c>
      <c r="Q1360" s="15">
        <f t="shared" ref="Q1360:Q1407" si="103">IF(OR(L1360="",O1360=""),"",ROUND(L1360*O1360,0))</f>
        <v>60</v>
      </c>
      <c r="R1360" s="13" t="str">
        <f>IF(D1360="TEX","аренда техники — сделка/счёт",IF(OR(Q1360="",H1360="",H1360=0),"—",IF(Q1360&lt;H1360*(1-Параметры!$B$7),"почасовка",IF(Q1360&gt;H1360*(1+Параметры!$B$7),"сделка","любой способ"))))</f>
        <v>любой способ</v>
      </c>
      <c r="S1360">
        <v>0</v>
      </c>
      <c r="T1360">
        <v>0</v>
      </c>
    </row>
    <row r="1361" spans="1:20" x14ac:dyDescent="0.25">
      <c r="A1361" s="13" t="s">
        <v>2767</v>
      </c>
      <c r="B1361" s="13" t="s">
        <v>2768</v>
      </c>
      <c r="C1361" s="13" t="s">
        <v>69</v>
      </c>
      <c r="D1361" s="13" t="s">
        <v>273</v>
      </c>
      <c r="E1361" s="13" t="str">
        <f>IFERROR(INDEX('Почасовка — ставки и план'!$B$5:$B$24,MATCH(D1361,'Почасовка — ставки и план'!$A$5:$A$24,0)),"Аренда техники / механизмы")</f>
        <v>Электромонтажник</v>
      </c>
      <c r="F1361" s="14">
        <v>60</v>
      </c>
      <c r="G1361" s="14">
        <v>70</v>
      </c>
      <c r="H1361" s="15">
        <v>35</v>
      </c>
      <c r="I1361" s="15">
        <f>IF(OR(H1361="",F1361=""),"",MAX(H1361,MIN(ROUND(H1361*(1+Параметры!$B$5),IF(H1361*(1+Параметры!$B$5)&gt;=1000,-1,0)),ROUND(F1361*Параметры!$B$6,IF(F1361*Параметры!$B$6&gt;=1000,-1,0)))))</f>
        <v>40</v>
      </c>
      <c r="J1361" s="15">
        <v>42</v>
      </c>
      <c r="K1361" s="15">
        <f>IF(OR(J1361="",G1361=""),"",MAX(J1361,MIN(ROUND(J1361*(1+Параметры!$B$5),IF(J1361*(1+Параметры!$B$5)&gt;=1000,-1,0)),ROUND(G1361*Параметры!$B$6,IF(G1361*Параметры!$B$6&gt;=1000,-1,0)))))</f>
        <v>48</v>
      </c>
      <c r="L1361" s="16">
        <v>0.04</v>
      </c>
      <c r="M1361" s="17">
        <f t="shared" si="102"/>
        <v>25</v>
      </c>
      <c r="N1361" s="17">
        <f>IF(OR(L1361="",L1361=0),"",Параметры!$B$3/L1361)</f>
        <v>200</v>
      </c>
      <c r="O1361" s="15">
        <f>IF(L1361="","",IFERROR(INDEX('Почасовка — ставки и план'!$D$5:$D$24,MATCH($D1361,'Почасовка — ставки и план'!$A$5:$A$24,0)),""))</f>
        <v>850</v>
      </c>
      <c r="P1361" s="15">
        <f>IF(L1361="","",IFERROR(INDEX('Почасовка — ставки и план'!$E$5:$E$24,MATCH($D1361,'Почасовка — ставки и план'!$A$5:$A$24,0)),""))</f>
        <v>1020</v>
      </c>
      <c r="Q1361" s="15">
        <f t="shared" si="103"/>
        <v>34</v>
      </c>
      <c r="R1361" s="13" t="str">
        <f>IF(D1361="TEX","аренда техники — сделка/счёт",IF(OR(Q1361="",H1361="",H1361=0),"—",IF(Q1361&lt;H1361*(1-Параметры!$B$7),"почасовка",IF(Q1361&gt;H1361*(1+Параметры!$B$7),"сделка","любой способ"))))</f>
        <v>любой способ</v>
      </c>
      <c r="S1361">
        <v>0</v>
      </c>
      <c r="T1361">
        <v>0</v>
      </c>
    </row>
    <row r="1362" spans="1:20" x14ac:dyDescent="0.25">
      <c r="A1362" s="13" t="s">
        <v>2769</v>
      </c>
      <c r="B1362" s="13" t="s">
        <v>2770</v>
      </c>
      <c r="C1362" s="13" t="s">
        <v>69</v>
      </c>
      <c r="D1362" s="13" t="s">
        <v>273</v>
      </c>
      <c r="E1362" s="13" t="str">
        <f>IFERROR(INDEX('Почасовка — ставки и план'!$B$5:$B$24,MATCH(D1362,'Почасовка — ставки и план'!$A$5:$A$24,0)),"Аренда техники / механизмы")</f>
        <v>Электромонтажник</v>
      </c>
      <c r="F1362" s="14">
        <v>170</v>
      </c>
      <c r="G1362" s="14">
        <v>200</v>
      </c>
      <c r="H1362" s="15">
        <v>100</v>
      </c>
      <c r="I1362" s="15">
        <f>IF(OR(H1362="",F1362=""),"",MAX(H1362,MIN(ROUND(H1362*(1+Параметры!$B$5),IF(H1362*(1+Параметры!$B$5)&gt;=1000,-1,0)),ROUND(F1362*Параметры!$B$6,IF(F1362*Параметры!$B$6&gt;=1000,-1,0)))))</f>
        <v>115</v>
      </c>
      <c r="J1362" s="15">
        <v>120</v>
      </c>
      <c r="K1362" s="15">
        <f>IF(OR(J1362="",G1362=""),"",MAX(J1362,MIN(ROUND(J1362*(1+Параметры!$B$5),IF(J1362*(1+Параметры!$B$5)&gt;=1000,-1,0)),ROUND(G1362*Параметры!$B$6,IF(G1362*Параметры!$B$6&gt;=1000,-1,0)))))</f>
        <v>138</v>
      </c>
      <c r="L1362" s="16">
        <v>0.1</v>
      </c>
      <c r="M1362" s="17">
        <f t="shared" si="102"/>
        <v>10</v>
      </c>
      <c r="N1362" s="17">
        <f>IF(OR(L1362="",L1362=0),"",Параметры!$B$3/L1362)</f>
        <v>80</v>
      </c>
      <c r="O1362" s="15">
        <f>IF(L1362="","",IFERROR(INDEX('Почасовка — ставки и план'!$D$5:$D$24,MATCH($D1362,'Почасовка — ставки и план'!$A$5:$A$24,0)),""))</f>
        <v>850</v>
      </c>
      <c r="P1362" s="15">
        <f>IF(L1362="","",IFERROR(INDEX('Почасовка — ставки и план'!$E$5:$E$24,MATCH($D1362,'Почасовка — ставки и план'!$A$5:$A$24,0)),""))</f>
        <v>1020</v>
      </c>
      <c r="Q1362" s="15">
        <f t="shared" si="103"/>
        <v>85</v>
      </c>
      <c r="R1362" s="13" t="str">
        <f>IF(D1362="TEX","аренда техники — сделка/счёт",IF(OR(Q1362="",H1362="",H1362=0),"—",IF(Q1362&lt;H1362*(1-Параметры!$B$7),"почасовка",IF(Q1362&gt;H1362*(1+Параметры!$B$7),"сделка","любой способ"))))</f>
        <v>почасовка</v>
      </c>
      <c r="S1362">
        <v>0</v>
      </c>
      <c r="T1362">
        <v>0</v>
      </c>
    </row>
    <row r="1363" spans="1:20" x14ac:dyDescent="0.25">
      <c r="A1363" s="13" t="s">
        <v>2771</v>
      </c>
      <c r="B1363" s="13" t="s">
        <v>2772</v>
      </c>
      <c r="C1363" s="13" t="s">
        <v>69</v>
      </c>
      <c r="D1363" s="13" t="s">
        <v>273</v>
      </c>
      <c r="E1363" s="13" t="str">
        <f>IFERROR(INDEX('Почасовка — ставки и план'!$B$5:$B$24,MATCH(D1363,'Почасовка — ставки и план'!$A$5:$A$24,0)),"Аренда техники / механизмы")</f>
        <v>Электромонтажник</v>
      </c>
      <c r="F1363" s="14">
        <v>75</v>
      </c>
      <c r="G1363" s="14">
        <v>90</v>
      </c>
      <c r="H1363" s="15">
        <v>45</v>
      </c>
      <c r="I1363" s="15">
        <f>IF(OR(H1363="",F1363=""),"",MAX(H1363,MIN(ROUND(H1363*(1+Параметры!$B$5),IF(H1363*(1+Параметры!$B$5)&gt;=1000,-1,0)),ROUND(F1363*Параметры!$B$6,IF(F1363*Параметры!$B$6&gt;=1000,-1,0)))))</f>
        <v>52</v>
      </c>
      <c r="J1363" s="15">
        <v>55</v>
      </c>
      <c r="K1363" s="15">
        <f>IF(OR(J1363="",G1363=""),"",MAX(J1363,MIN(ROUND(J1363*(1+Параметры!$B$5),IF(J1363*(1+Параметры!$B$5)&gt;=1000,-1,0)),ROUND(G1363*Параметры!$B$6,IF(G1363*Параметры!$B$6&gt;=1000,-1,0)))))</f>
        <v>63</v>
      </c>
      <c r="L1363" s="16">
        <v>0.05</v>
      </c>
      <c r="M1363" s="17">
        <f t="shared" si="102"/>
        <v>20</v>
      </c>
      <c r="N1363" s="17">
        <f>IF(OR(L1363="",L1363=0),"",Параметры!$B$3/L1363)</f>
        <v>160</v>
      </c>
      <c r="O1363" s="15">
        <f>IF(L1363="","",IFERROR(INDEX('Почасовка — ставки и план'!$D$5:$D$24,MATCH($D1363,'Почасовка — ставки и план'!$A$5:$A$24,0)),""))</f>
        <v>850</v>
      </c>
      <c r="P1363" s="15">
        <f>IF(L1363="","",IFERROR(INDEX('Почасовка — ставки и план'!$E$5:$E$24,MATCH($D1363,'Почасовка — ставки и план'!$A$5:$A$24,0)),""))</f>
        <v>1020</v>
      </c>
      <c r="Q1363" s="15">
        <f t="shared" si="103"/>
        <v>43</v>
      </c>
      <c r="R1363" s="13" t="str">
        <f>IF(D1363="TEX","аренда техники — сделка/счёт",IF(OR(Q1363="",H1363="",H1363=0),"—",IF(Q1363&lt;H1363*(1-Параметры!$B$7),"почасовка",IF(Q1363&gt;H1363*(1+Параметры!$B$7),"сделка","любой способ"))))</f>
        <v>любой способ</v>
      </c>
      <c r="S1363">
        <v>0</v>
      </c>
      <c r="T1363">
        <v>0</v>
      </c>
    </row>
    <row r="1364" spans="1:20" x14ac:dyDescent="0.25">
      <c r="A1364" s="13" t="s">
        <v>2773</v>
      </c>
      <c r="B1364" s="13" t="s">
        <v>2774</v>
      </c>
      <c r="C1364" s="13" t="s">
        <v>69</v>
      </c>
      <c r="D1364" s="13" t="s">
        <v>273</v>
      </c>
      <c r="E1364" s="13" t="str">
        <f>IFERROR(INDEX('Почасовка — ставки и план'!$B$5:$B$24,MATCH(D1364,'Почасовка — ставки и план'!$A$5:$A$24,0)),"Аренда техники / механизмы")</f>
        <v>Электромонтажник</v>
      </c>
      <c r="F1364" s="14">
        <v>260</v>
      </c>
      <c r="G1364" s="14">
        <v>310</v>
      </c>
      <c r="H1364" s="15">
        <v>160</v>
      </c>
      <c r="I1364" s="15">
        <f>IF(OR(H1364="",F1364=""),"",MAX(H1364,MIN(ROUND(H1364*(1+Параметры!$B$5),IF(H1364*(1+Параметры!$B$5)&gt;=1000,-1,0)),ROUND(F1364*Параметры!$B$6,IF(F1364*Параметры!$B$6&gt;=1000,-1,0)))))</f>
        <v>184</v>
      </c>
      <c r="J1364" s="15">
        <v>190</v>
      </c>
      <c r="K1364" s="15">
        <f>IF(OR(J1364="",G1364=""),"",MAX(J1364,MIN(ROUND(J1364*(1+Параметры!$B$5),IF(J1364*(1+Параметры!$B$5)&gt;=1000,-1,0)),ROUND(G1364*Параметры!$B$6,IF(G1364*Параметры!$B$6&gt;=1000,-1,0)))))</f>
        <v>219</v>
      </c>
      <c r="L1364" s="16">
        <v>0.15</v>
      </c>
      <c r="M1364" s="17">
        <f t="shared" si="102"/>
        <v>6.666666666666667</v>
      </c>
      <c r="N1364" s="17">
        <f>IF(OR(L1364="",L1364=0),"",Параметры!$B$3/L1364)</f>
        <v>53.333333333333336</v>
      </c>
      <c r="O1364" s="15">
        <f>IF(L1364="","",IFERROR(INDEX('Почасовка — ставки и план'!$D$5:$D$24,MATCH($D1364,'Почасовка — ставки и план'!$A$5:$A$24,0)),""))</f>
        <v>850</v>
      </c>
      <c r="P1364" s="15">
        <f>IF(L1364="","",IFERROR(INDEX('Почасовка — ставки и план'!$E$5:$E$24,MATCH($D1364,'Почасовка — ставки и план'!$A$5:$A$24,0)),""))</f>
        <v>1020</v>
      </c>
      <c r="Q1364" s="15">
        <f t="shared" si="103"/>
        <v>128</v>
      </c>
      <c r="R1364" s="13" t="str">
        <f>IF(D1364="TEX","аренда техники — сделка/счёт",IF(OR(Q1364="",H1364="",H1364=0),"—",IF(Q1364&lt;H1364*(1-Параметры!$B$7),"почасовка",IF(Q1364&gt;H1364*(1+Параметры!$B$7),"сделка","любой способ"))))</f>
        <v>почасовка</v>
      </c>
      <c r="S1364">
        <v>0</v>
      </c>
      <c r="T1364">
        <v>0</v>
      </c>
    </row>
    <row r="1365" spans="1:20" x14ac:dyDescent="0.25">
      <c r="A1365" s="13" t="s">
        <v>2775</v>
      </c>
      <c r="B1365" s="13" t="s">
        <v>2776</v>
      </c>
      <c r="C1365" s="13" t="s">
        <v>69</v>
      </c>
      <c r="D1365" s="13" t="s">
        <v>273</v>
      </c>
      <c r="E1365" s="13" t="str">
        <f>IFERROR(INDEX('Почасовка — ставки и план'!$B$5:$B$24,MATCH(D1365,'Почасовка — ставки и план'!$A$5:$A$24,0)),"Аренда техники / механизмы")</f>
        <v>Электромонтажник</v>
      </c>
      <c r="F1365" s="14">
        <v>520</v>
      </c>
      <c r="G1365" s="14">
        <v>620</v>
      </c>
      <c r="H1365" s="15">
        <v>320</v>
      </c>
      <c r="I1365" s="15">
        <f>IF(OR(H1365="",F1365=""),"",MAX(H1365,MIN(ROUND(H1365*(1+Параметры!$B$5),IF(H1365*(1+Параметры!$B$5)&gt;=1000,-1,0)),ROUND(F1365*Параметры!$B$6,IF(F1365*Параметры!$B$6&gt;=1000,-1,0)))))</f>
        <v>368</v>
      </c>
      <c r="J1365" s="15">
        <v>380</v>
      </c>
      <c r="K1365" s="15">
        <f>IF(OR(J1365="",G1365=""),"",MAX(J1365,MIN(ROUND(J1365*(1+Параметры!$B$5),IF(J1365*(1+Параметры!$B$5)&gt;=1000,-1,0)),ROUND(G1365*Параметры!$B$6,IF(G1365*Параметры!$B$6&gt;=1000,-1,0)))))</f>
        <v>437</v>
      </c>
      <c r="L1365" s="16">
        <v>0.25</v>
      </c>
      <c r="M1365" s="17">
        <f t="shared" si="102"/>
        <v>4</v>
      </c>
      <c r="N1365" s="17">
        <f>IF(OR(L1365="",L1365=0),"",Параметры!$B$3/L1365)</f>
        <v>32</v>
      </c>
      <c r="O1365" s="15">
        <f>IF(L1365="","",IFERROR(INDEX('Почасовка — ставки и план'!$D$5:$D$24,MATCH($D1365,'Почасовка — ставки и план'!$A$5:$A$24,0)),""))</f>
        <v>850</v>
      </c>
      <c r="P1365" s="15">
        <f>IF(L1365="","",IFERROR(INDEX('Почасовка — ставки и план'!$E$5:$E$24,MATCH($D1365,'Почасовка — ставки и план'!$A$5:$A$24,0)),""))</f>
        <v>1020</v>
      </c>
      <c r="Q1365" s="15">
        <f t="shared" si="103"/>
        <v>213</v>
      </c>
      <c r="R1365" s="13" t="str">
        <f>IF(D1365="TEX","аренда техники — сделка/счёт",IF(OR(Q1365="",H1365="",H1365=0),"—",IF(Q1365&lt;H1365*(1-Параметры!$B$7),"почасовка",IF(Q1365&gt;H1365*(1+Параметры!$B$7),"сделка","любой способ"))))</f>
        <v>почасовка</v>
      </c>
      <c r="S1365">
        <v>0</v>
      </c>
      <c r="T1365">
        <v>0</v>
      </c>
    </row>
    <row r="1366" spans="1:20" x14ac:dyDescent="0.25">
      <c r="A1366" s="13" t="s">
        <v>2777</v>
      </c>
      <c r="B1366" s="13" t="s">
        <v>2778</v>
      </c>
      <c r="C1366" s="13" t="s">
        <v>69</v>
      </c>
      <c r="D1366" s="13" t="s">
        <v>273</v>
      </c>
      <c r="E1366" s="13" t="str">
        <f>IFERROR(INDEX('Почасовка — ставки и план'!$B$5:$B$24,MATCH(D1366,'Почасовка — ставки и план'!$A$5:$A$24,0)),"Аренда техники / механизмы")</f>
        <v>Электромонтажник</v>
      </c>
      <c r="F1366" s="14">
        <v>180</v>
      </c>
      <c r="G1366" s="14">
        <v>210</v>
      </c>
      <c r="H1366" s="15">
        <v>110</v>
      </c>
      <c r="I1366" s="15">
        <f>IF(OR(H1366="",F1366=""),"",MAX(H1366,MIN(ROUND(H1366*(1+Параметры!$B$5),IF(H1366*(1+Параметры!$B$5)&gt;=1000,-1,0)),ROUND(F1366*Параметры!$B$6,IF(F1366*Параметры!$B$6&gt;=1000,-1,0)))))</f>
        <v>127</v>
      </c>
      <c r="J1366" s="15">
        <v>130</v>
      </c>
      <c r="K1366" s="15">
        <f>IF(OR(J1366="",G1366=""),"",MAX(J1366,MIN(ROUND(J1366*(1+Параметры!$B$5),IF(J1366*(1+Параметры!$B$5)&gt;=1000,-1,0)),ROUND(G1366*Параметры!$B$6,IF(G1366*Параметры!$B$6&gt;=1000,-1,0)))))</f>
        <v>150</v>
      </c>
      <c r="L1366" s="16">
        <v>0.09</v>
      </c>
      <c r="M1366" s="17">
        <f t="shared" si="102"/>
        <v>11.111111111111111</v>
      </c>
      <c r="N1366" s="17">
        <f>IF(OR(L1366="",L1366=0),"",Параметры!$B$3/L1366)</f>
        <v>88.888888888888886</v>
      </c>
      <c r="O1366" s="15">
        <f>IF(L1366="","",IFERROR(INDEX('Почасовка — ставки и план'!$D$5:$D$24,MATCH($D1366,'Почасовка — ставки и план'!$A$5:$A$24,0)),""))</f>
        <v>850</v>
      </c>
      <c r="P1366" s="15">
        <f>IF(L1366="","",IFERROR(INDEX('Почасовка — ставки и план'!$E$5:$E$24,MATCH($D1366,'Почасовка — ставки и план'!$A$5:$A$24,0)),""))</f>
        <v>1020</v>
      </c>
      <c r="Q1366" s="15">
        <f t="shared" si="103"/>
        <v>77</v>
      </c>
      <c r="R1366" s="13" t="str">
        <f>IF(D1366="TEX","аренда техники — сделка/счёт",IF(OR(Q1366="",H1366="",H1366=0),"—",IF(Q1366&lt;H1366*(1-Параметры!$B$7),"почасовка",IF(Q1366&gt;H1366*(1+Параметры!$B$7),"сделка","любой способ"))))</f>
        <v>почасовка</v>
      </c>
      <c r="S1366">
        <v>0</v>
      </c>
      <c r="T1366">
        <v>0</v>
      </c>
    </row>
    <row r="1367" spans="1:20" x14ac:dyDescent="0.25">
      <c r="A1367" s="13" t="s">
        <v>2779</v>
      </c>
      <c r="B1367" s="13" t="s">
        <v>2780</v>
      </c>
      <c r="C1367" s="13" t="s">
        <v>69</v>
      </c>
      <c r="D1367" s="13" t="s">
        <v>273</v>
      </c>
      <c r="E1367" s="13" t="str">
        <f>IFERROR(INDEX('Почасовка — ставки и план'!$B$5:$B$24,MATCH(D1367,'Почасовка — ставки и план'!$A$5:$A$24,0)),"Аренда техники / механизмы")</f>
        <v>Электромонтажник</v>
      </c>
      <c r="F1367" s="14">
        <v>110</v>
      </c>
      <c r="G1367" s="14">
        <v>125</v>
      </c>
      <c r="H1367" s="15">
        <v>65</v>
      </c>
      <c r="I1367" s="15">
        <f>IF(OR(H1367="",F1367=""),"",MAX(H1367,MIN(ROUND(H1367*(1+Параметры!$B$5),IF(H1367*(1+Параметры!$B$5)&gt;=1000,-1,0)),ROUND(F1367*Параметры!$B$6,IF(F1367*Параметры!$B$6&gt;=1000,-1,0)))))</f>
        <v>75</v>
      </c>
      <c r="J1367" s="15">
        <v>75</v>
      </c>
      <c r="K1367" s="15">
        <f>IF(OR(J1367="",G1367=""),"",MAX(J1367,MIN(ROUND(J1367*(1+Параметры!$B$5),IF(J1367*(1+Параметры!$B$5)&gt;=1000,-1,0)),ROUND(G1367*Параметры!$B$6,IF(G1367*Параметры!$B$6&gt;=1000,-1,0)))))</f>
        <v>86</v>
      </c>
      <c r="L1367" s="16">
        <v>0.06</v>
      </c>
      <c r="M1367" s="17">
        <f t="shared" si="102"/>
        <v>16.666666666666668</v>
      </c>
      <c r="N1367" s="17">
        <f>IF(OR(L1367="",L1367=0),"",Параметры!$B$3/L1367)</f>
        <v>133.33333333333334</v>
      </c>
      <c r="O1367" s="15">
        <f>IF(L1367="","",IFERROR(INDEX('Почасовка — ставки и план'!$D$5:$D$24,MATCH($D1367,'Почасовка — ставки и план'!$A$5:$A$24,0)),""))</f>
        <v>850</v>
      </c>
      <c r="P1367" s="15">
        <f>IF(L1367="","",IFERROR(INDEX('Почасовка — ставки и план'!$E$5:$E$24,MATCH($D1367,'Почасовка — ставки и план'!$A$5:$A$24,0)),""))</f>
        <v>1020</v>
      </c>
      <c r="Q1367" s="15">
        <f t="shared" si="103"/>
        <v>51</v>
      </c>
      <c r="R1367" s="13" t="str">
        <f>IF(D1367="TEX","аренда техники — сделка/счёт",IF(OR(Q1367="",H1367="",H1367=0),"—",IF(Q1367&lt;H1367*(1-Параметры!$B$7),"почасовка",IF(Q1367&gt;H1367*(1+Параметры!$B$7),"сделка","любой способ"))))</f>
        <v>почасовка</v>
      </c>
      <c r="S1367">
        <v>0</v>
      </c>
      <c r="T1367">
        <v>0</v>
      </c>
    </row>
    <row r="1368" spans="1:20" x14ac:dyDescent="0.25">
      <c r="A1368" s="13" t="s">
        <v>2781</v>
      </c>
      <c r="B1368" s="13" t="s">
        <v>2782</v>
      </c>
      <c r="C1368" s="13" t="s">
        <v>69</v>
      </c>
      <c r="D1368" s="13" t="s">
        <v>273</v>
      </c>
      <c r="E1368" s="13" t="str">
        <f>IFERROR(INDEX('Почасовка — ставки и план'!$B$5:$B$24,MATCH(D1368,'Почасовка — ставки и план'!$A$5:$A$24,0)),"Аренда техники / механизмы")</f>
        <v>Электромонтажник</v>
      </c>
      <c r="F1368" s="14">
        <v>900</v>
      </c>
      <c r="G1368" s="14">
        <v>1100</v>
      </c>
      <c r="H1368" s="15">
        <v>560</v>
      </c>
      <c r="I1368" s="15">
        <f>IF(OR(H1368="",F1368=""),"",MAX(H1368,MIN(ROUND(H1368*(1+Параметры!$B$5),IF(H1368*(1+Параметры!$B$5)&gt;=1000,-1,0)),ROUND(F1368*Параметры!$B$6,IF(F1368*Параметры!$B$6&gt;=1000,-1,0)))))</f>
        <v>644</v>
      </c>
      <c r="J1368" s="15">
        <v>680</v>
      </c>
      <c r="K1368" s="15">
        <f>IF(OR(J1368="",G1368=""),"",MAX(J1368,MIN(ROUND(J1368*(1+Параметры!$B$5),IF(J1368*(1+Параметры!$B$5)&gt;=1000,-1,0)),ROUND(G1368*Параметры!$B$6,IF(G1368*Параметры!$B$6&gt;=1000,-1,0)))))</f>
        <v>782</v>
      </c>
      <c r="L1368" s="16">
        <v>0.4</v>
      </c>
      <c r="M1368" s="17">
        <f t="shared" si="102"/>
        <v>2.5</v>
      </c>
      <c r="N1368" s="17">
        <f>IF(OR(L1368="",L1368=0),"",Параметры!$B$3/L1368)</f>
        <v>20</v>
      </c>
      <c r="O1368" s="15">
        <f>IF(L1368="","",IFERROR(INDEX('Почасовка — ставки и план'!$D$5:$D$24,MATCH($D1368,'Почасовка — ставки и план'!$A$5:$A$24,0)),""))</f>
        <v>850</v>
      </c>
      <c r="P1368" s="15">
        <f>IF(L1368="","",IFERROR(INDEX('Почасовка — ставки и план'!$E$5:$E$24,MATCH($D1368,'Почасовка — ставки и план'!$A$5:$A$24,0)),""))</f>
        <v>1020</v>
      </c>
      <c r="Q1368" s="15">
        <f t="shared" si="103"/>
        <v>340</v>
      </c>
      <c r="R1368" s="13" t="str">
        <f>IF(D1368="TEX","аренда техники — сделка/счёт",IF(OR(Q1368="",H1368="",H1368=0),"—",IF(Q1368&lt;H1368*(1-Параметры!$B$7),"почасовка",IF(Q1368&gt;H1368*(1+Параметры!$B$7),"сделка","любой способ"))))</f>
        <v>почасовка</v>
      </c>
      <c r="S1368">
        <v>0</v>
      </c>
      <c r="T1368">
        <v>0</v>
      </c>
    </row>
    <row r="1369" spans="1:20" x14ac:dyDescent="0.25">
      <c r="A1369" s="13" t="s">
        <v>2783</v>
      </c>
      <c r="B1369" s="13" t="s">
        <v>2784</v>
      </c>
      <c r="C1369" s="13" t="s">
        <v>69</v>
      </c>
      <c r="D1369" s="13" t="s">
        <v>273</v>
      </c>
      <c r="E1369" s="13" t="str">
        <f>IFERROR(INDEX('Почасовка — ставки и план'!$B$5:$B$24,MATCH(D1369,'Почасовка — ставки и план'!$A$5:$A$24,0)),"Аренда техники / механизмы")</f>
        <v>Электромонтажник</v>
      </c>
      <c r="F1369" s="14">
        <v>260</v>
      </c>
      <c r="G1369" s="14">
        <v>310</v>
      </c>
      <c r="H1369" s="15">
        <v>160</v>
      </c>
      <c r="I1369" s="15">
        <f>IF(OR(H1369="",F1369=""),"",MAX(H1369,MIN(ROUND(H1369*(1+Параметры!$B$5),IF(H1369*(1+Параметры!$B$5)&gt;=1000,-1,0)),ROUND(F1369*Параметры!$B$6,IF(F1369*Параметры!$B$6&gt;=1000,-1,0)))))</f>
        <v>184</v>
      </c>
      <c r="J1369" s="15">
        <v>190</v>
      </c>
      <c r="K1369" s="15">
        <f>IF(OR(J1369="",G1369=""),"",MAX(J1369,MIN(ROUND(J1369*(1+Параметры!$B$5),IF(J1369*(1+Параметры!$B$5)&gt;=1000,-1,0)),ROUND(G1369*Параметры!$B$6,IF(G1369*Параметры!$B$6&gt;=1000,-1,0)))))</f>
        <v>219</v>
      </c>
      <c r="L1369" s="16">
        <v>0.13</v>
      </c>
      <c r="M1369" s="17">
        <f t="shared" si="102"/>
        <v>7.6923076923076916</v>
      </c>
      <c r="N1369" s="17">
        <f>IF(OR(L1369="",L1369=0),"",Параметры!$B$3/L1369)</f>
        <v>61.538461538461533</v>
      </c>
      <c r="O1369" s="15">
        <f>IF(L1369="","",IFERROR(INDEX('Почасовка — ставки и план'!$D$5:$D$24,MATCH($D1369,'Почасовка — ставки и план'!$A$5:$A$24,0)),""))</f>
        <v>850</v>
      </c>
      <c r="P1369" s="15">
        <f>IF(L1369="","",IFERROR(INDEX('Почасовка — ставки и план'!$E$5:$E$24,MATCH($D1369,'Почасовка — ставки и план'!$A$5:$A$24,0)),""))</f>
        <v>1020</v>
      </c>
      <c r="Q1369" s="15">
        <f t="shared" si="103"/>
        <v>111</v>
      </c>
      <c r="R1369" s="13" t="str">
        <f>IF(D1369="TEX","аренда техники — сделка/счёт",IF(OR(Q1369="",H1369="",H1369=0),"—",IF(Q1369&lt;H1369*(1-Параметры!$B$7),"почасовка",IF(Q1369&gt;H1369*(1+Параметры!$B$7),"сделка","любой способ"))))</f>
        <v>почасовка</v>
      </c>
      <c r="S1369">
        <v>0</v>
      </c>
      <c r="T1369">
        <v>0</v>
      </c>
    </row>
    <row r="1370" spans="1:20" x14ac:dyDescent="0.25">
      <c r="A1370" s="13" t="s">
        <v>2785</v>
      </c>
      <c r="B1370" s="13" t="s">
        <v>2786</v>
      </c>
      <c r="C1370" s="13" t="s">
        <v>69</v>
      </c>
      <c r="D1370" s="13" t="s">
        <v>273</v>
      </c>
      <c r="E1370" s="13" t="str">
        <f>IFERROR(INDEX('Почасовка — ставки и план'!$B$5:$B$24,MATCH(D1370,'Почасовка — ставки и план'!$A$5:$A$24,0)),"Аренда техники / механизмы")</f>
        <v>Электромонтажник</v>
      </c>
      <c r="F1370" s="14">
        <v>1300</v>
      </c>
      <c r="G1370" s="14">
        <v>1550</v>
      </c>
      <c r="H1370" s="15">
        <v>800</v>
      </c>
      <c r="I1370" s="15">
        <f>IF(OR(H1370="",F1370=""),"",MAX(H1370,MIN(ROUND(H1370*(1+Параметры!$B$5),IF(H1370*(1+Параметры!$B$5)&gt;=1000,-1,0)),ROUND(F1370*Параметры!$B$6,IF(F1370*Параметры!$B$6&gt;=1000,-1,0)))))</f>
        <v>920</v>
      </c>
      <c r="J1370" s="15">
        <v>950</v>
      </c>
      <c r="K1370" s="15">
        <f>IF(OR(J1370="",G1370=""),"",MAX(J1370,MIN(ROUND(J1370*(1+Параметры!$B$5),IF(J1370*(1+Параметры!$B$5)&gt;=1000,-1,0)),ROUND(G1370*Параметры!$B$6,IF(G1370*Параметры!$B$6&gt;=1000,-1,0)))))</f>
        <v>1090</v>
      </c>
      <c r="L1370" s="16">
        <v>0.55000000000000004</v>
      </c>
      <c r="M1370" s="17">
        <f t="shared" si="102"/>
        <v>1.8181818181818181</v>
      </c>
      <c r="N1370" s="17">
        <f>IF(OR(L1370="",L1370=0),"",Параметры!$B$3/L1370)</f>
        <v>14.545454545454545</v>
      </c>
      <c r="O1370" s="15">
        <f>IF(L1370="","",IFERROR(INDEX('Почасовка — ставки и план'!$D$5:$D$24,MATCH($D1370,'Почасовка — ставки и план'!$A$5:$A$24,0)),""))</f>
        <v>850</v>
      </c>
      <c r="P1370" s="15">
        <f>IF(L1370="","",IFERROR(INDEX('Почасовка — ставки и план'!$E$5:$E$24,MATCH($D1370,'Почасовка — ставки и план'!$A$5:$A$24,0)),""))</f>
        <v>1020</v>
      </c>
      <c r="Q1370" s="15">
        <f t="shared" si="103"/>
        <v>468</v>
      </c>
      <c r="R1370" s="13" t="str">
        <f>IF(D1370="TEX","аренда техники — сделка/счёт",IF(OR(Q1370="",H1370="",H1370=0),"—",IF(Q1370&lt;H1370*(1-Параметры!$B$7),"почасовка",IF(Q1370&gt;H1370*(1+Параметры!$B$7),"сделка","любой способ"))))</f>
        <v>почасовка</v>
      </c>
      <c r="S1370">
        <v>0</v>
      </c>
      <c r="T1370">
        <v>0</v>
      </c>
    </row>
    <row r="1371" spans="1:20" x14ac:dyDescent="0.25">
      <c r="A1371" s="13" t="s">
        <v>2787</v>
      </c>
      <c r="B1371" s="13" t="s">
        <v>2788</v>
      </c>
      <c r="C1371" s="13" t="s">
        <v>69</v>
      </c>
      <c r="D1371" s="13" t="s">
        <v>273</v>
      </c>
      <c r="E1371" s="13" t="str">
        <f>IFERROR(INDEX('Почасовка — ставки и план'!$B$5:$B$24,MATCH(D1371,'Почасовка — ставки и план'!$A$5:$A$24,0)),"Аренда техники / механизмы")</f>
        <v>Электромонтажник</v>
      </c>
      <c r="F1371" s="14">
        <v>130</v>
      </c>
      <c r="G1371" s="14">
        <v>150</v>
      </c>
      <c r="H1371" s="15">
        <v>80</v>
      </c>
      <c r="I1371" s="15">
        <f>IF(OR(H1371="",F1371=""),"",MAX(H1371,MIN(ROUND(H1371*(1+Параметры!$B$5),IF(H1371*(1+Параметры!$B$5)&gt;=1000,-1,0)),ROUND(F1371*Параметры!$B$6,IF(F1371*Параметры!$B$6&gt;=1000,-1,0)))))</f>
        <v>92</v>
      </c>
      <c r="J1371" s="15">
        <v>95</v>
      </c>
      <c r="K1371" s="15">
        <f>IF(OR(J1371="",G1371=""),"",MAX(J1371,MIN(ROUND(J1371*(1+Параметры!$B$5),IF(J1371*(1+Параметры!$B$5)&gt;=1000,-1,0)),ROUND(G1371*Параметры!$B$6,IF(G1371*Параметры!$B$6&gt;=1000,-1,0)))))</f>
        <v>109</v>
      </c>
      <c r="L1371" s="16">
        <v>7.0000000000000007E-2</v>
      </c>
      <c r="M1371" s="17">
        <f t="shared" si="102"/>
        <v>14.285714285714285</v>
      </c>
      <c r="N1371" s="17">
        <f>IF(OR(L1371="",L1371=0),"",Параметры!$B$3/L1371)</f>
        <v>114.28571428571428</v>
      </c>
      <c r="O1371" s="15">
        <f>IF(L1371="","",IFERROR(INDEX('Почасовка — ставки и план'!$D$5:$D$24,MATCH($D1371,'Почасовка — ставки и план'!$A$5:$A$24,0)),""))</f>
        <v>850</v>
      </c>
      <c r="P1371" s="15">
        <f>IF(L1371="","",IFERROR(INDEX('Почасовка — ставки и план'!$E$5:$E$24,MATCH($D1371,'Почасовка — ставки и план'!$A$5:$A$24,0)),""))</f>
        <v>1020</v>
      </c>
      <c r="Q1371" s="15">
        <f t="shared" si="103"/>
        <v>60</v>
      </c>
      <c r="R1371" s="13" t="str">
        <f>IF(D1371="TEX","аренда техники — сделка/счёт",IF(OR(Q1371="",H1371="",H1371=0),"—",IF(Q1371&lt;H1371*(1-Параметры!$B$7),"почасовка",IF(Q1371&gt;H1371*(1+Параметры!$B$7),"сделка","любой способ"))))</f>
        <v>почасовка</v>
      </c>
      <c r="S1371">
        <v>0</v>
      </c>
      <c r="T1371">
        <v>0</v>
      </c>
    </row>
    <row r="1372" spans="1:20" x14ac:dyDescent="0.25">
      <c r="A1372" s="13" t="s">
        <v>2789</v>
      </c>
      <c r="B1372" s="13" t="s">
        <v>2790</v>
      </c>
      <c r="C1372" s="13" t="s">
        <v>69</v>
      </c>
      <c r="D1372" s="13" t="s">
        <v>273</v>
      </c>
      <c r="E1372" s="13" t="str">
        <f>IFERROR(INDEX('Почасовка — ставки и план'!$B$5:$B$24,MATCH(D1372,'Почасовка — ставки и план'!$A$5:$A$24,0)),"Аренда техники / механизмы")</f>
        <v>Электромонтажник</v>
      </c>
      <c r="F1372" s="14">
        <v>380</v>
      </c>
      <c r="G1372" s="14">
        <v>450</v>
      </c>
      <c r="H1372" s="15">
        <v>230</v>
      </c>
      <c r="I1372" s="15">
        <f>IF(OR(H1372="",F1372=""),"",MAX(H1372,MIN(ROUND(H1372*(1+Параметры!$B$5),IF(H1372*(1+Параметры!$B$5)&gt;=1000,-1,0)),ROUND(F1372*Параметры!$B$6,IF(F1372*Параметры!$B$6&gt;=1000,-1,0)))))</f>
        <v>265</v>
      </c>
      <c r="J1372" s="15">
        <v>280</v>
      </c>
      <c r="K1372" s="15">
        <f>IF(OR(J1372="",G1372=""),"",MAX(J1372,MIN(ROUND(J1372*(1+Параметры!$B$5),IF(J1372*(1+Параметры!$B$5)&gt;=1000,-1,0)),ROUND(G1372*Параметры!$B$6,IF(G1372*Параметры!$B$6&gt;=1000,-1,0)))))</f>
        <v>322</v>
      </c>
      <c r="L1372" s="16">
        <v>0.18</v>
      </c>
      <c r="M1372" s="17">
        <f t="shared" si="102"/>
        <v>5.5555555555555554</v>
      </c>
      <c r="N1372" s="17">
        <f>IF(OR(L1372="",L1372=0),"",Параметры!$B$3/L1372)</f>
        <v>44.444444444444443</v>
      </c>
      <c r="O1372" s="15">
        <f>IF(L1372="","",IFERROR(INDEX('Почасовка — ставки и план'!$D$5:$D$24,MATCH($D1372,'Почасовка — ставки и план'!$A$5:$A$24,0)),""))</f>
        <v>850</v>
      </c>
      <c r="P1372" s="15">
        <f>IF(L1372="","",IFERROR(INDEX('Почасовка — ставки и план'!$E$5:$E$24,MATCH($D1372,'Почасовка — ставки и план'!$A$5:$A$24,0)),""))</f>
        <v>1020</v>
      </c>
      <c r="Q1372" s="15">
        <f t="shared" si="103"/>
        <v>153</v>
      </c>
      <c r="R1372" s="13" t="str">
        <f>IF(D1372="TEX","аренда техники — сделка/счёт",IF(OR(Q1372="",H1372="",H1372=0),"—",IF(Q1372&lt;H1372*(1-Параметры!$B$7),"почасовка",IF(Q1372&gt;H1372*(1+Параметры!$B$7),"сделка","любой способ"))))</f>
        <v>почасовка</v>
      </c>
      <c r="S1372">
        <v>0</v>
      </c>
      <c r="T1372">
        <v>0</v>
      </c>
    </row>
    <row r="1373" spans="1:20" x14ac:dyDescent="0.25">
      <c r="A1373" s="13" t="s">
        <v>2791</v>
      </c>
      <c r="B1373" s="13" t="s">
        <v>2792</v>
      </c>
      <c r="C1373" s="13" t="s">
        <v>69</v>
      </c>
      <c r="D1373" s="13" t="s">
        <v>273</v>
      </c>
      <c r="E1373" s="13" t="str">
        <f>IFERROR(INDEX('Почасовка — ставки и план'!$B$5:$B$24,MATCH(D1373,'Почасовка — ставки и план'!$A$5:$A$24,0)),"Аренда техники / механизмы")</f>
        <v>Электромонтажник</v>
      </c>
      <c r="F1373" s="14">
        <v>420</v>
      </c>
      <c r="G1373" s="14">
        <v>500</v>
      </c>
      <c r="H1373" s="15">
        <v>260</v>
      </c>
      <c r="I1373" s="15">
        <f>IF(OR(H1373="",F1373=""),"",MAX(H1373,MIN(ROUND(H1373*(1+Параметры!$B$5),IF(H1373*(1+Параметры!$B$5)&gt;=1000,-1,0)),ROUND(F1373*Параметры!$B$6,IF(F1373*Параметры!$B$6&gt;=1000,-1,0)))))</f>
        <v>299</v>
      </c>
      <c r="J1373" s="15">
        <v>310</v>
      </c>
      <c r="K1373" s="15">
        <f>IF(OR(J1373="",G1373=""),"",MAX(J1373,MIN(ROUND(J1373*(1+Параметры!$B$5),IF(J1373*(1+Параметры!$B$5)&gt;=1000,-1,0)),ROUND(G1373*Параметры!$B$6,IF(G1373*Параметры!$B$6&gt;=1000,-1,0)))))</f>
        <v>357</v>
      </c>
      <c r="L1373" s="16">
        <v>0.25</v>
      </c>
      <c r="M1373" s="17">
        <f t="shared" si="102"/>
        <v>4</v>
      </c>
      <c r="N1373" s="17">
        <f>IF(OR(L1373="",L1373=0),"",Параметры!$B$3/L1373)</f>
        <v>32</v>
      </c>
      <c r="O1373" s="15">
        <f>IF(L1373="","",IFERROR(INDEX('Почасовка — ставки и план'!$D$5:$D$24,MATCH($D1373,'Почасовка — ставки и план'!$A$5:$A$24,0)),""))</f>
        <v>850</v>
      </c>
      <c r="P1373" s="15">
        <f>IF(L1373="","",IFERROR(INDEX('Почасовка — ставки и план'!$E$5:$E$24,MATCH($D1373,'Почасовка — ставки и план'!$A$5:$A$24,0)),""))</f>
        <v>1020</v>
      </c>
      <c r="Q1373" s="15">
        <f t="shared" si="103"/>
        <v>213</v>
      </c>
      <c r="R1373" s="13" t="str">
        <f>IF(D1373="TEX","аренда техники — сделка/счёт",IF(OR(Q1373="",H1373="",H1373=0),"—",IF(Q1373&lt;H1373*(1-Параметры!$B$7),"почасовка",IF(Q1373&gt;H1373*(1+Параметры!$B$7),"сделка","любой способ"))))</f>
        <v>почасовка</v>
      </c>
      <c r="S1373">
        <v>0</v>
      </c>
      <c r="T1373">
        <v>0</v>
      </c>
    </row>
    <row r="1374" spans="1:20" x14ac:dyDescent="0.25">
      <c r="A1374" s="13" t="s">
        <v>2793</v>
      </c>
      <c r="B1374" s="13" t="s">
        <v>2794</v>
      </c>
      <c r="C1374" s="13" t="s">
        <v>69</v>
      </c>
      <c r="D1374" s="13" t="s">
        <v>273</v>
      </c>
      <c r="E1374" s="13" t="str">
        <f>IFERROR(INDEX('Почасовка — ставки и план'!$B$5:$B$24,MATCH(D1374,'Почасовка — ставки и план'!$A$5:$A$24,0)),"Аренда техники / механизмы")</f>
        <v>Электромонтажник</v>
      </c>
      <c r="F1374" s="14">
        <v>220</v>
      </c>
      <c r="G1374" s="14">
        <v>260</v>
      </c>
      <c r="H1374" s="15">
        <v>135</v>
      </c>
      <c r="I1374" s="15">
        <f>IF(OR(H1374="",F1374=""),"",MAX(H1374,MIN(ROUND(H1374*(1+Параметры!$B$5),IF(H1374*(1+Параметры!$B$5)&gt;=1000,-1,0)),ROUND(F1374*Параметры!$B$6,IF(F1374*Параметры!$B$6&gt;=1000,-1,0)))))</f>
        <v>155</v>
      </c>
      <c r="J1374" s="15">
        <v>160</v>
      </c>
      <c r="K1374" s="15">
        <f>IF(OR(J1374="",G1374=""),"",MAX(J1374,MIN(ROUND(J1374*(1+Параметры!$B$5),IF(J1374*(1+Параметры!$B$5)&gt;=1000,-1,0)),ROUND(G1374*Параметры!$B$6,IF(G1374*Параметры!$B$6&gt;=1000,-1,0)))))</f>
        <v>184</v>
      </c>
      <c r="L1374" s="16">
        <v>0.15</v>
      </c>
      <c r="M1374" s="17">
        <f t="shared" si="102"/>
        <v>6.666666666666667</v>
      </c>
      <c r="N1374" s="17">
        <f>IF(OR(L1374="",L1374=0),"",Параметры!$B$3/L1374)</f>
        <v>53.333333333333336</v>
      </c>
      <c r="O1374" s="15">
        <f>IF(L1374="","",IFERROR(INDEX('Почасовка — ставки и план'!$D$5:$D$24,MATCH($D1374,'Почасовка — ставки и план'!$A$5:$A$24,0)),""))</f>
        <v>850</v>
      </c>
      <c r="P1374" s="15">
        <f>IF(L1374="","",IFERROR(INDEX('Почасовка — ставки и план'!$E$5:$E$24,MATCH($D1374,'Почасовка — ставки и план'!$A$5:$A$24,0)),""))</f>
        <v>1020</v>
      </c>
      <c r="Q1374" s="15">
        <f t="shared" si="103"/>
        <v>128</v>
      </c>
      <c r="R1374" s="13" t="str">
        <f>IF(D1374="TEX","аренда техники — сделка/счёт",IF(OR(Q1374="",H1374="",H1374=0),"—",IF(Q1374&lt;H1374*(1-Параметры!$B$7),"почасовка",IF(Q1374&gt;H1374*(1+Параметры!$B$7),"сделка","любой способ"))))</f>
        <v>любой способ</v>
      </c>
      <c r="S1374">
        <v>0</v>
      </c>
      <c r="T1374">
        <v>0</v>
      </c>
    </row>
    <row r="1375" spans="1:20" x14ac:dyDescent="0.25">
      <c r="A1375" s="13" t="s">
        <v>2795</v>
      </c>
      <c r="B1375" s="13" t="s">
        <v>2796</v>
      </c>
      <c r="C1375" s="13" t="s">
        <v>69</v>
      </c>
      <c r="D1375" s="13" t="s">
        <v>273</v>
      </c>
      <c r="E1375" s="13" t="str">
        <f>IFERROR(INDEX('Почасовка — ставки и план'!$B$5:$B$24,MATCH(D1375,'Почасовка — ставки и план'!$A$5:$A$24,0)),"Аренда техники / механизмы")</f>
        <v>Электромонтажник</v>
      </c>
      <c r="F1375" s="14">
        <v>280</v>
      </c>
      <c r="G1375" s="14">
        <v>330</v>
      </c>
      <c r="H1375" s="15">
        <v>170</v>
      </c>
      <c r="I1375" s="15">
        <f>IF(OR(H1375="",F1375=""),"",MAX(H1375,MIN(ROUND(H1375*(1+Параметры!$B$5),IF(H1375*(1+Параметры!$B$5)&gt;=1000,-1,0)),ROUND(F1375*Параметры!$B$6,IF(F1375*Параметры!$B$6&gt;=1000,-1,0)))))</f>
        <v>196</v>
      </c>
      <c r="J1375" s="15">
        <v>200</v>
      </c>
      <c r="K1375" s="15">
        <f>IF(OR(J1375="",G1375=""),"",MAX(J1375,MIN(ROUND(J1375*(1+Параметры!$B$5),IF(J1375*(1+Параметры!$B$5)&gt;=1000,-1,0)),ROUND(G1375*Параметры!$B$6,IF(G1375*Параметры!$B$6&gt;=1000,-1,0)))))</f>
        <v>230</v>
      </c>
      <c r="L1375" s="16">
        <v>0.18</v>
      </c>
      <c r="M1375" s="17">
        <f t="shared" si="102"/>
        <v>5.5555555555555554</v>
      </c>
      <c r="N1375" s="17">
        <f>IF(OR(L1375="",L1375=0),"",Параметры!$B$3/L1375)</f>
        <v>44.444444444444443</v>
      </c>
      <c r="O1375" s="15">
        <f>IF(L1375="","",IFERROR(INDEX('Почасовка — ставки и план'!$D$5:$D$24,MATCH($D1375,'Почасовка — ставки и план'!$A$5:$A$24,0)),""))</f>
        <v>850</v>
      </c>
      <c r="P1375" s="15">
        <f>IF(L1375="","",IFERROR(INDEX('Почасовка — ставки и план'!$E$5:$E$24,MATCH($D1375,'Почасовка — ставки и план'!$A$5:$A$24,0)),""))</f>
        <v>1020</v>
      </c>
      <c r="Q1375" s="15">
        <f t="shared" si="103"/>
        <v>153</v>
      </c>
      <c r="R1375" s="13" t="str">
        <f>IF(D1375="TEX","аренда техники — сделка/счёт",IF(OR(Q1375="",H1375="",H1375=0),"—",IF(Q1375&lt;H1375*(1-Параметры!$B$7),"почасовка",IF(Q1375&gt;H1375*(1+Параметры!$B$7),"сделка","любой способ"))))</f>
        <v>любой способ</v>
      </c>
      <c r="S1375">
        <v>0</v>
      </c>
      <c r="T1375">
        <v>0</v>
      </c>
    </row>
    <row r="1376" spans="1:20" x14ac:dyDescent="0.25">
      <c r="A1376" s="13" t="s">
        <v>2797</v>
      </c>
      <c r="B1376" s="13" t="s">
        <v>2798</v>
      </c>
      <c r="C1376" s="13" t="s">
        <v>144</v>
      </c>
      <c r="D1376" s="13" t="s">
        <v>273</v>
      </c>
      <c r="E1376" s="13" t="str">
        <f>IFERROR(INDEX('Почасовка — ставки и план'!$B$5:$B$24,MATCH(D1376,'Почасовка — ставки и план'!$A$5:$A$24,0)),"Аренда техники / механизмы")</f>
        <v>Электромонтажник</v>
      </c>
      <c r="F1376" s="14">
        <v>567</v>
      </c>
      <c r="G1376" s="14">
        <v>680</v>
      </c>
      <c r="H1376" s="15">
        <v>340</v>
      </c>
      <c r="I1376" s="15">
        <f>IF(OR(H1376="",F1376=""),"",MAX(H1376,MIN(ROUND(H1376*(1+Параметры!$B$5),IF(H1376*(1+Параметры!$B$5)&gt;=1000,-1,0)),ROUND(F1376*Параметры!$B$6,IF(F1376*Параметры!$B$6&gt;=1000,-1,0)))))</f>
        <v>391</v>
      </c>
      <c r="J1376" s="15">
        <v>400</v>
      </c>
      <c r="K1376" s="15">
        <f>IF(OR(J1376="",G1376=""),"",MAX(J1376,MIN(ROUND(J1376*(1+Параметры!$B$5),IF(J1376*(1+Параметры!$B$5)&gt;=1000,-1,0)),ROUND(G1376*Параметры!$B$6,IF(G1376*Параметры!$B$6&gt;=1000,-1,0)))))</f>
        <v>460</v>
      </c>
      <c r="L1376" s="16">
        <v>0.5</v>
      </c>
      <c r="M1376" s="17">
        <f t="shared" si="102"/>
        <v>2</v>
      </c>
      <c r="N1376" s="17">
        <f>IF(OR(L1376="",L1376=0),"",Параметры!$B$3/L1376)</f>
        <v>16</v>
      </c>
      <c r="O1376" s="15">
        <f>IF(L1376="","",IFERROR(INDEX('Почасовка — ставки и план'!$D$5:$D$24,MATCH($D1376,'Почасовка — ставки и план'!$A$5:$A$24,0)),""))</f>
        <v>850</v>
      </c>
      <c r="P1376" s="15">
        <f>IF(L1376="","",IFERROR(INDEX('Почасовка — ставки и план'!$E$5:$E$24,MATCH($D1376,'Почасовка — ставки и план'!$A$5:$A$24,0)),""))</f>
        <v>1020</v>
      </c>
      <c r="Q1376" s="15">
        <f t="shared" si="103"/>
        <v>425</v>
      </c>
      <c r="R1376" s="13" t="str">
        <f>IF(D1376="TEX","аренда техники — сделка/счёт",IF(OR(Q1376="",H1376="",H1376=0),"—",IF(Q1376&lt;H1376*(1-Параметры!$B$7),"почасовка",IF(Q1376&gt;H1376*(1+Параметры!$B$7),"сделка","любой способ"))))</f>
        <v>сделка</v>
      </c>
      <c r="S1376">
        <v>3.0909090909091001E-2</v>
      </c>
      <c r="T1376">
        <v>4.6153846153846212E-2</v>
      </c>
    </row>
    <row r="1377" spans="1:20" x14ac:dyDescent="0.25">
      <c r="A1377" s="13" t="s">
        <v>2799</v>
      </c>
      <c r="B1377" s="13" t="s">
        <v>2800</v>
      </c>
      <c r="C1377" s="13" t="s">
        <v>144</v>
      </c>
      <c r="D1377" s="13" t="s">
        <v>273</v>
      </c>
      <c r="E1377" s="13" t="str">
        <f>IFERROR(INDEX('Почасовка — ставки и план'!$B$5:$B$24,MATCH(D1377,'Почасовка — ставки и план'!$A$5:$A$24,0)),"Аренда техники / механизмы")</f>
        <v>Электромонтажник</v>
      </c>
      <c r="F1377" s="14">
        <v>136</v>
      </c>
      <c r="G1377" s="14">
        <v>163</v>
      </c>
      <c r="H1377" s="15">
        <v>80</v>
      </c>
      <c r="I1377" s="15">
        <f>IF(OR(H1377="",F1377=""),"",MAX(H1377,MIN(ROUND(H1377*(1+Параметры!$B$5),IF(H1377*(1+Параметры!$B$5)&gt;=1000,-1,0)),ROUND(F1377*Параметры!$B$6,IF(F1377*Параметры!$B$6&gt;=1000,-1,0)))))</f>
        <v>92</v>
      </c>
      <c r="J1377" s="15">
        <v>95</v>
      </c>
      <c r="K1377" s="15">
        <f>IF(OR(J1377="",G1377=""),"",MAX(J1377,MIN(ROUND(J1377*(1+Параметры!$B$5),IF(J1377*(1+Параметры!$B$5)&gt;=1000,-1,0)),ROUND(G1377*Параметры!$B$6,IF(G1377*Параметры!$B$6&gt;=1000,-1,0)))))</f>
        <v>109</v>
      </c>
      <c r="L1377" s="16">
        <v>0.12</v>
      </c>
      <c r="M1377" s="17">
        <f t="shared" si="102"/>
        <v>8.3333333333333339</v>
      </c>
      <c r="N1377" s="17">
        <f>IF(OR(L1377="",L1377=0),"",Параметры!$B$3/L1377)</f>
        <v>66.666666666666671</v>
      </c>
      <c r="O1377" s="15">
        <f>IF(L1377="","",IFERROR(INDEX('Почасовка — ставки и план'!$D$5:$D$24,MATCH($D1377,'Почасовка — ставки и план'!$A$5:$A$24,0)),""))</f>
        <v>850</v>
      </c>
      <c r="P1377" s="15">
        <f>IF(L1377="","",IFERROR(INDEX('Почасовка — ставки и план'!$E$5:$E$24,MATCH($D1377,'Почасовка — ставки и план'!$A$5:$A$24,0)),""))</f>
        <v>1020</v>
      </c>
      <c r="Q1377" s="15">
        <f t="shared" si="103"/>
        <v>102</v>
      </c>
      <c r="R1377" s="13" t="str">
        <f>IF(D1377="TEX","аренда техники — сделка/счёт",IF(OR(Q1377="",H1377="",H1377=0),"—",IF(Q1377&lt;H1377*(1-Параметры!$B$7),"почасовка",IF(Q1377&gt;H1377*(1+Параметры!$B$7),"сделка","любой способ"))))</f>
        <v>сделка</v>
      </c>
      <c r="S1377">
        <v>4.6153846153846212E-2</v>
      </c>
      <c r="T1377">
        <v>8.666666666666667E-2</v>
      </c>
    </row>
    <row r="1378" spans="1:20" x14ac:dyDescent="0.25">
      <c r="A1378" s="13" t="s">
        <v>2801</v>
      </c>
      <c r="B1378" s="13" t="s">
        <v>2802</v>
      </c>
      <c r="C1378" s="13" t="s">
        <v>144</v>
      </c>
      <c r="D1378" s="13" t="s">
        <v>273</v>
      </c>
      <c r="E1378" s="13" t="str">
        <f>IFERROR(INDEX('Почасовка — ставки и план'!$B$5:$B$24,MATCH(D1378,'Почасовка — ставки и план'!$A$5:$A$24,0)),"Аренда техники / механизмы")</f>
        <v>Электромонтажник</v>
      </c>
      <c r="F1378" s="14">
        <v>60</v>
      </c>
      <c r="G1378" s="14">
        <v>70</v>
      </c>
      <c r="H1378" s="15">
        <v>35</v>
      </c>
      <c r="I1378" s="15">
        <f>IF(OR(H1378="",F1378=""),"",MAX(H1378,MIN(ROUND(H1378*(1+Параметры!$B$5),IF(H1378*(1+Параметры!$B$5)&gt;=1000,-1,0)),ROUND(F1378*Параметры!$B$6,IF(F1378*Параметры!$B$6&gt;=1000,-1,0)))))</f>
        <v>40</v>
      </c>
      <c r="J1378" s="15">
        <v>42</v>
      </c>
      <c r="K1378" s="15">
        <f>IF(OR(J1378="",G1378=""),"",MAX(J1378,MIN(ROUND(J1378*(1+Параметры!$B$5),IF(J1378*(1+Параметры!$B$5)&gt;=1000,-1,0)),ROUND(G1378*Параметры!$B$6,IF(G1378*Параметры!$B$6&gt;=1000,-1,0)))))</f>
        <v>48</v>
      </c>
      <c r="L1378" s="16">
        <v>0.05</v>
      </c>
      <c r="M1378" s="17">
        <f t="shared" si="102"/>
        <v>20</v>
      </c>
      <c r="N1378" s="17">
        <f>IF(OR(L1378="",L1378=0),"",Параметры!$B$3/L1378)</f>
        <v>160</v>
      </c>
      <c r="O1378" s="15">
        <f>IF(L1378="","",IFERROR(INDEX('Почасовка — ставки и план'!$D$5:$D$24,MATCH($D1378,'Почасовка — ставки и план'!$A$5:$A$24,0)),""))</f>
        <v>850</v>
      </c>
      <c r="P1378" s="15">
        <f>IF(L1378="","",IFERROR(INDEX('Почасовка — ставки и план'!$E$5:$E$24,MATCH($D1378,'Почасовка — ставки и план'!$A$5:$A$24,0)),""))</f>
        <v>1020</v>
      </c>
      <c r="Q1378" s="15">
        <f t="shared" si="103"/>
        <v>43</v>
      </c>
      <c r="R1378" s="13" t="str">
        <f>IF(D1378="TEX","аренда техники — сделка/счёт",IF(OR(Q1378="",H1378="",H1378=0),"—",IF(Q1378&lt;H1378*(1-Параметры!$B$7),"почасовка",IF(Q1378&gt;H1378*(1+Параметры!$B$7),"сделка","любой способ"))))</f>
        <v>сделка</v>
      </c>
      <c r="S1378">
        <v>0</v>
      </c>
      <c r="T1378">
        <v>0</v>
      </c>
    </row>
    <row r="1379" spans="1:20" x14ac:dyDescent="0.25">
      <c r="A1379" s="13" t="s">
        <v>2803</v>
      </c>
      <c r="B1379" s="13" t="s">
        <v>2804</v>
      </c>
      <c r="C1379" s="13" t="s">
        <v>144</v>
      </c>
      <c r="D1379" s="13" t="s">
        <v>273</v>
      </c>
      <c r="E1379" s="13" t="str">
        <f>IFERROR(INDEX('Почасовка — ставки и план'!$B$5:$B$24,MATCH(D1379,'Почасовка — ставки и план'!$A$5:$A$24,0)),"Аренда техники / механизмы")</f>
        <v>Электромонтажник</v>
      </c>
      <c r="F1379" s="14">
        <v>227</v>
      </c>
      <c r="G1379" s="14">
        <v>272</v>
      </c>
      <c r="H1379" s="15">
        <v>135</v>
      </c>
      <c r="I1379" s="15">
        <f>IF(OR(H1379="",F1379=""),"",MAX(H1379,MIN(ROUND(H1379*(1+Параметры!$B$5),IF(H1379*(1+Параметры!$B$5)&gt;=1000,-1,0)),ROUND(F1379*Параметры!$B$6,IF(F1379*Параметры!$B$6&gt;=1000,-1,0)))))</f>
        <v>155</v>
      </c>
      <c r="J1379" s="15">
        <v>160</v>
      </c>
      <c r="K1379" s="15">
        <f>IF(OR(J1379="",G1379=""),"",MAX(J1379,MIN(ROUND(J1379*(1+Параметры!$B$5),IF(J1379*(1+Параметры!$B$5)&gt;=1000,-1,0)),ROUND(G1379*Параметры!$B$6,IF(G1379*Параметры!$B$6&gt;=1000,-1,0)))))</f>
        <v>184</v>
      </c>
      <c r="L1379" s="16">
        <v>0.2</v>
      </c>
      <c r="M1379" s="17">
        <f t="shared" si="102"/>
        <v>5</v>
      </c>
      <c r="N1379" s="17">
        <f>IF(OR(L1379="",L1379=0),"",Параметры!$B$3/L1379)</f>
        <v>40</v>
      </c>
      <c r="O1379" s="15">
        <f>IF(L1379="","",IFERROR(INDEX('Почасовка — ставки и план'!$D$5:$D$24,MATCH($D1379,'Почасовка — ставки и план'!$A$5:$A$24,0)),""))</f>
        <v>850</v>
      </c>
      <c r="P1379" s="15">
        <f>IF(L1379="","",IFERROR(INDEX('Почасовка — ставки и план'!$E$5:$E$24,MATCH($D1379,'Почасовка — ставки и план'!$A$5:$A$24,0)),""))</f>
        <v>1020</v>
      </c>
      <c r="Q1379" s="15">
        <f t="shared" si="103"/>
        <v>170</v>
      </c>
      <c r="R1379" s="13" t="str">
        <f>IF(D1379="TEX","аренда техники — сделка/счёт",IF(OR(Q1379="",H1379="",H1379=0),"—",IF(Q1379&lt;H1379*(1-Параметры!$B$7),"почасовка",IF(Q1379&gt;H1379*(1+Параметры!$B$7),"сделка","любой способ"))))</f>
        <v>сделка</v>
      </c>
      <c r="S1379">
        <v>3.1818181818181752E-2</v>
      </c>
      <c r="T1379">
        <v>4.6153846153846212E-2</v>
      </c>
    </row>
    <row r="1380" spans="1:20" x14ac:dyDescent="0.25">
      <c r="A1380" s="13" t="s">
        <v>2805</v>
      </c>
      <c r="B1380" s="13" t="s">
        <v>2806</v>
      </c>
      <c r="C1380" s="13" t="s">
        <v>144</v>
      </c>
      <c r="D1380" s="13" t="s">
        <v>273</v>
      </c>
      <c r="E1380" s="13" t="str">
        <f>IFERROR(INDEX('Почасовка — ставки и план'!$B$5:$B$24,MATCH(D1380,'Почасовка — ставки и план'!$A$5:$A$24,0)),"Аренда техники / механизмы")</f>
        <v>Электромонтажник</v>
      </c>
      <c r="F1380" s="14">
        <v>80</v>
      </c>
      <c r="G1380" s="14">
        <v>95</v>
      </c>
      <c r="H1380" s="15">
        <v>50</v>
      </c>
      <c r="I1380" s="15">
        <f>IF(OR(H1380="",F1380=""),"",MAX(H1380,MIN(ROUND(H1380*(1+Параметры!$B$5),IF(H1380*(1+Параметры!$B$5)&gt;=1000,-1,0)),ROUND(F1380*Параметры!$B$6,IF(F1380*Параметры!$B$6&gt;=1000,-1,0)))))</f>
        <v>58</v>
      </c>
      <c r="J1380" s="15">
        <v>58</v>
      </c>
      <c r="K1380" s="15">
        <f>IF(OR(J1380="",G1380=""),"",MAX(J1380,MIN(ROUND(J1380*(1+Параметры!$B$5),IF(J1380*(1+Параметры!$B$5)&gt;=1000,-1,0)),ROUND(G1380*Параметры!$B$6,IF(G1380*Параметры!$B$6&gt;=1000,-1,0)))))</f>
        <v>67</v>
      </c>
      <c r="L1380" s="16">
        <v>7.0000000000000007E-2</v>
      </c>
      <c r="M1380" s="17">
        <f t="shared" si="102"/>
        <v>14.285714285714285</v>
      </c>
      <c r="N1380" s="17">
        <f>IF(OR(L1380="",L1380=0),"",Параметры!$B$3/L1380)</f>
        <v>114.28571428571428</v>
      </c>
      <c r="O1380" s="15">
        <f>IF(L1380="","",IFERROR(INDEX('Почасовка — ставки и план'!$D$5:$D$24,MATCH($D1380,'Почасовка — ставки и план'!$A$5:$A$24,0)),""))</f>
        <v>850</v>
      </c>
      <c r="P1380" s="15">
        <f>IF(L1380="","",IFERROR(INDEX('Почасовка — ставки и план'!$E$5:$E$24,MATCH($D1380,'Почасовка — ставки и план'!$A$5:$A$24,0)),""))</f>
        <v>1020</v>
      </c>
      <c r="Q1380" s="15">
        <f t="shared" si="103"/>
        <v>60</v>
      </c>
      <c r="R1380" s="13" t="str">
        <f>IF(D1380="TEX","аренда техники — сделка/счёт",IF(OR(Q1380="",H1380="",H1380=0),"—",IF(Q1380&lt;H1380*(1-Параметры!$B$7),"почасовка",IF(Q1380&gt;H1380*(1+Параметры!$B$7),"сделка","любой способ"))))</f>
        <v>сделка</v>
      </c>
      <c r="S1380">
        <v>0</v>
      </c>
      <c r="T1380">
        <v>0</v>
      </c>
    </row>
    <row r="1381" spans="1:20" x14ac:dyDescent="0.25">
      <c r="A1381" s="13" t="s">
        <v>2807</v>
      </c>
      <c r="B1381" s="13" t="s">
        <v>2808</v>
      </c>
      <c r="C1381" s="13" t="s">
        <v>144</v>
      </c>
      <c r="D1381" s="13" t="s">
        <v>273</v>
      </c>
      <c r="E1381" s="13" t="str">
        <f>IFERROR(INDEX('Почасовка — ставки и план'!$B$5:$B$24,MATCH(D1381,'Почасовка — ставки и план'!$A$5:$A$24,0)),"Аренда техники / механизмы")</f>
        <v>Электромонтажник</v>
      </c>
      <c r="F1381" s="14">
        <v>340</v>
      </c>
      <c r="G1381" s="14">
        <v>408</v>
      </c>
      <c r="H1381" s="15">
        <v>200</v>
      </c>
      <c r="I1381" s="15">
        <f>IF(OR(H1381="",F1381=""),"",MAX(H1381,MIN(ROUND(H1381*(1+Параметры!$B$5),IF(H1381*(1+Параметры!$B$5)&gt;=1000,-1,0)),ROUND(F1381*Параметры!$B$6,IF(F1381*Параметры!$B$6&gt;=1000,-1,0)))))</f>
        <v>230</v>
      </c>
      <c r="J1381" s="15">
        <v>240</v>
      </c>
      <c r="K1381" s="15">
        <f>IF(OR(J1381="",G1381=""),"",MAX(J1381,MIN(ROUND(J1381*(1+Параметры!$B$5),IF(J1381*(1+Параметры!$B$5)&gt;=1000,-1,0)),ROUND(G1381*Параметры!$B$6,IF(G1381*Параметры!$B$6&gt;=1000,-1,0)))))</f>
        <v>276</v>
      </c>
      <c r="L1381" s="16">
        <v>0.3</v>
      </c>
      <c r="M1381" s="17">
        <f t="shared" si="102"/>
        <v>3.3333333333333335</v>
      </c>
      <c r="N1381" s="17">
        <f>IF(OR(L1381="",L1381=0),"",Параметры!$B$3/L1381)</f>
        <v>26.666666666666668</v>
      </c>
      <c r="O1381" s="15">
        <f>IF(L1381="","",IFERROR(INDEX('Почасовка — ставки и план'!$D$5:$D$24,MATCH($D1381,'Почасовка — ставки и план'!$A$5:$A$24,0)),""))</f>
        <v>850</v>
      </c>
      <c r="P1381" s="15">
        <f>IF(L1381="","",IFERROR(INDEX('Почасовка — ставки и план'!$E$5:$E$24,MATCH($D1381,'Почасовка — ставки и план'!$A$5:$A$24,0)),""))</f>
        <v>1020</v>
      </c>
      <c r="Q1381" s="15">
        <f t="shared" si="103"/>
        <v>255</v>
      </c>
      <c r="R1381" s="13" t="str">
        <f>IF(D1381="TEX","аренда техники — сделка/счёт",IF(OR(Q1381="",H1381="",H1381=0),"—",IF(Q1381&lt;H1381*(1-Параметры!$B$7),"почасовка",IF(Q1381&gt;H1381*(1+Параметры!$B$7),"сделка","любой способ"))))</f>
        <v>сделка</v>
      </c>
      <c r="S1381">
        <v>3.030303030303028E-2</v>
      </c>
      <c r="T1381">
        <v>4.6153846153846212E-2</v>
      </c>
    </row>
    <row r="1382" spans="1:20" x14ac:dyDescent="0.25">
      <c r="A1382" s="13" t="s">
        <v>2809</v>
      </c>
      <c r="B1382" s="13" t="s">
        <v>2810</v>
      </c>
      <c r="C1382" s="13" t="s">
        <v>144</v>
      </c>
      <c r="D1382" s="13" t="s">
        <v>273</v>
      </c>
      <c r="E1382" s="13" t="str">
        <f>IFERROR(INDEX('Почасовка — ставки и план'!$B$5:$B$24,MATCH(D1382,'Почасовка — ставки и план'!$A$5:$A$24,0)),"Аренда техники / механизмы")</f>
        <v>Электромонтажник</v>
      </c>
      <c r="F1382" s="14">
        <v>284</v>
      </c>
      <c r="G1382" s="14">
        <v>340</v>
      </c>
      <c r="H1382" s="15">
        <v>155</v>
      </c>
      <c r="I1382" s="15">
        <f>IF(OR(H1382="",F1382=""),"",MAX(H1382,MIN(ROUND(H1382*(1+Параметры!$B$5),IF(H1382*(1+Параметры!$B$5)&gt;=1000,-1,0)),ROUND(F1382*Параметры!$B$6,IF(F1382*Параметры!$B$6&gt;=1000,-1,0)))))</f>
        <v>178</v>
      </c>
      <c r="J1382" s="15">
        <v>185</v>
      </c>
      <c r="K1382" s="15">
        <f>IF(OR(J1382="",G1382=""),"",MAX(J1382,MIN(ROUND(J1382*(1+Параметры!$B$5),IF(J1382*(1+Параметры!$B$5)&gt;=1000,-1,0)),ROUND(G1382*Параметры!$B$6,IF(G1382*Параметры!$B$6&gt;=1000,-1,0)))))</f>
        <v>213</v>
      </c>
      <c r="L1382" s="16">
        <v>0.25</v>
      </c>
      <c r="M1382" s="17">
        <f t="shared" si="102"/>
        <v>4</v>
      </c>
      <c r="N1382" s="17">
        <f>IF(OR(L1382="",L1382=0),"",Параметры!$B$3/L1382)</f>
        <v>32</v>
      </c>
      <c r="O1382" s="15">
        <f>IF(L1382="","",IFERROR(INDEX('Почасовка — ставки и план'!$D$5:$D$24,MATCH($D1382,'Почасовка — ставки и план'!$A$5:$A$24,0)),""))</f>
        <v>850</v>
      </c>
      <c r="P1382" s="15">
        <f>IF(L1382="","",IFERROR(INDEX('Почасовка — ставки и план'!$E$5:$E$24,MATCH($D1382,'Почасовка — ставки и план'!$A$5:$A$24,0)),""))</f>
        <v>1020</v>
      </c>
      <c r="Q1382" s="15">
        <f t="shared" si="103"/>
        <v>213</v>
      </c>
      <c r="R1382" s="13" t="str">
        <f>IF(D1382="TEX","аренда техники — сделка/счёт",IF(OR(Q1382="",H1382="",H1382=0),"—",IF(Q1382&lt;H1382*(1-Параметры!$B$7),"почасовка",IF(Q1382&gt;H1382*(1+Параметры!$B$7),"сделка","любой способ"))))</f>
        <v>сделка</v>
      </c>
      <c r="S1382">
        <v>0.1359999999999999</v>
      </c>
      <c r="T1382">
        <v>0.1333333333333333</v>
      </c>
    </row>
    <row r="1383" spans="1:20" x14ac:dyDescent="0.25">
      <c r="A1383" s="13" t="s">
        <v>2811</v>
      </c>
      <c r="B1383" s="13" t="s">
        <v>2812</v>
      </c>
      <c r="C1383" s="13" t="s">
        <v>144</v>
      </c>
      <c r="D1383" s="13" t="s">
        <v>273</v>
      </c>
      <c r="E1383" s="13" t="str">
        <f>IFERROR(INDEX('Почасовка — ставки и план'!$B$5:$B$24,MATCH(D1383,'Почасовка — ставки и план'!$A$5:$A$24,0)),"Аренда техники / механизмы")</f>
        <v>Электромонтажник</v>
      </c>
      <c r="F1383" s="14">
        <v>454</v>
      </c>
      <c r="G1383" s="14">
        <v>544</v>
      </c>
      <c r="H1383" s="15">
        <v>280</v>
      </c>
      <c r="I1383" s="15">
        <f>IF(OR(H1383="",F1383=""),"",MAX(H1383,MIN(ROUND(H1383*(1+Параметры!$B$5),IF(H1383*(1+Параметры!$B$5)&gt;=1000,-1,0)),ROUND(F1383*Параметры!$B$6,IF(F1383*Параметры!$B$6&gt;=1000,-1,0)))))</f>
        <v>322</v>
      </c>
      <c r="J1383" s="15">
        <v>330</v>
      </c>
      <c r="K1383" s="15">
        <f>IF(OR(J1383="",G1383=""),"",MAX(J1383,MIN(ROUND(J1383*(1+Параметры!$B$5),IF(J1383*(1+Параметры!$B$5)&gt;=1000,-1,0)),ROUND(G1383*Параметры!$B$6,IF(G1383*Параметры!$B$6&gt;=1000,-1,0)))))</f>
        <v>380</v>
      </c>
      <c r="L1383" s="16">
        <v>0.4</v>
      </c>
      <c r="M1383" s="17">
        <f t="shared" si="102"/>
        <v>2.5</v>
      </c>
      <c r="N1383" s="17">
        <f>IF(OR(L1383="",L1383=0),"",Параметры!$B$3/L1383)</f>
        <v>20</v>
      </c>
      <c r="O1383" s="15">
        <f>IF(L1383="","",IFERROR(INDEX('Почасовка — ставки и план'!$D$5:$D$24,MATCH($D1383,'Почасовка — ставки и план'!$A$5:$A$24,0)),""))</f>
        <v>850</v>
      </c>
      <c r="P1383" s="15">
        <f>IF(L1383="","",IFERROR(INDEX('Почасовка — ставки и план'!$E$5:$E$24,MATCH($D1383,'Почасовка — ставки и план'!$A$5:$A$24,0)),""))</f>
        <v>1020</v>
      </c>
      <c r="Q1383" s="15">
        <f t="shared" si="103"/>
        <v>340</v>
      </c>
      <c r="R1383" s="13" t="str">
        <f>IF(D1383="TEX","аренда техники — сделка/счёт",IF(OR(Q1383="",H1383="",H1383=0),"—",IF(Q1383&lt;H1383*(1-Параметры!$B$7),"почасовка",IF(Q1383&gt;H1383*(1+Параметры!$B$7),"сделка","любой способ"))))</f>
        <v>сделка</v>
      </c>
      <c r="S1383">
        <v>8.8888888888889461E-3</v>
      </c>
      <c r="T1383">
        <v>2.6415094339622639E-2</v>
      </c>
    </row>
    <row r="1384" spans="1:20" x14ac:dyDescent="0.25">
      <c r="A1384" s="13" t="s">
        <v>2813</v>
      </c>
      <c r="B1384" s="13" t="s">
        <v>2814</v>
      </c>
      <c r="C1384" s="13" t="s">
        <v>144</v>
      </c>
      <c r="D1384" s="13" t="s">
        <v>273</v>
      </c>
      <c r="E1384" s="13" t="str">
        <f>IFERROR(INDEX('Почасовка — ставки и план'!$B$5:$B$24,MATCH(D1384,'Почасовка — ставки и план'!$A$5:$A$24,0)),"Аренда техники / механизмы")</f>
        <v>Электромонтажник</v>
      </c>
      <c r="F1384" s="14">
        <v>300</v>
      </c>
      <c r="G1384" s="14">
        <v>350</v>
      </c>
      <c r="H1384" s="15">
        <v>185</v>
      </c>
      <c r="I1384" s="15">
        <f>IF(OR(H1384="",F1384=""),"",MAX(H1384,MIN(ROUND(H1384*(1+Параметры!$B$5),IF(H1384*(1+Параметры!$B$5)&gt;=1000,-1,0)),ROUND(F1384*Параметры!$B$6,IF(F1384*Параметры!$B$6&gt;=1000,-1,0)))))</f>
        <v>213</v>
      </c>
      <c r="J1384" s="15">
        <v>220</v>
      </c>
      <c r="K1384" s="15">
        <f>IF(OR(J1384="",G1384=""),"",MAX(J1384,MIN(ROUND(J1384*(1+Параметры!$B$5),IF(J1384*(1+Параметры!$B$5)&gt;=1000,-1,0)),ROUND(G1384*Параметры!$B$6,IF(G1384*Параметры!$B$6&gt;=1000,-1,0)))))</f>
        <v>253</v>
      </c>
      <c r="L1384" s="16">
        <v>0.25</v>
      </c>
      <c r="M1384" s="17">
        <f t="shared" si="102"/>
        <v>4</v>
      </c>
      <c r="N1384" s="17">
        <f>IF(OR(L1384="",L1384=0),"",Параметры!$B$3/L1384)</f>
        <v>32</v>
      </c>
      <c r="O1384" s="15">
        <f>IF(L1384="","",IFERROR(INDEX('Почасовка — ставки и план'!$D$5:$D$24,MATCH($D1384,'Почасовка — ставки и план'!$A$5:$A$24,0)),""))</f>
        <v>850</v>
      </c>
      <c r="P1384" s="15">
        <f>IF(L1384="","",IFERROR(INDEX('Почасовка — ставки и план'!$E$5:$E$24,MATCH($D1384,'Почасовка — ставки и план'!$A$5:$A$24,0)),""))</f>
        <v>1020</v>
      </c>
      <c r="Q1384" s="15">
        <f t="shared" si="103"/>
        <v>213</v>
      </c>
      <c r="R1384" s="13" t="str">
        <f>IF(D1384="TEX","аренда техники — сделка/счёт",IF(OR(Q1384="",H1384="",H1384=0),"—",IF(Q1384&lt;H1384*(1-Параметры!$B$7),"почасовка",IF(Q1384&gt;H1384*(1+Параметры!$B$7),"сделка","любой способ"))))</f>
        <v>сделка</v>
      </c>
      <c r="S1384">
        <v>0</v>
      </c>
      <c r="T1384">
        <v>0</v>
      </c>
    </row>
    <row r="1385" spans="1:20" x14ac:dyDescent="0.25">
      <c r="A1385" s="13" t="s">
        <v>2815</v>
      </c>
      <c r="B1385" s="13" t="s">
        <v>2816</v>
      </c>
      <c r="C1385" s="13" t="s">
        <v>69</v>
      </c>
      <c r="D1385" s="13" t="s">
        <v>273</v>
      </c>
      <c r="E1385" s="13" t="str">
        <f>IFERROR(INDEX('Почасовка — ставки и план'!$B$5:$B$24,MATCH(D1385,'Почасовка — ставки и план'!$A$5:$A$24,0)),"Аренда техники / механизмы")</f>
        <v>Электромонтажник</v>
      </c>
      <c r="F1385" s="14">
        <v>450</v>
      </c>
      <c r="G1385" s="14">
        <v>520</v>
      </c>
      <c r="H1385" s="15">
        <v>280</v>
      </c>
      <c r="I1385" s="15">
        <f>IF(OR(H1385="",F1385=""),"",MAX(H1385,MIN(ROUND(H1385*(1+Параметры!$B$5),IF(H1385*(1+Параметры!$B$5)&gt;=1000,-1,0)),ROUND(F1385*Параметры!$B$6,IF(F1385*Параметры!$B$6&gt;=1000,-1,0)))))</f>
        <v>322</v>
      </c>
      <c r="J1385" s="15">
        <v>320</v>
      </c>
      <c r="K1385" s="15">
        <f>IF(OR(J1385="",G1385=""),"",MAX(J1385,MIN(ROUND(J1385*(1+Параметры!$B$5),IF(J1385*(1+Параметры!$B$5)&gt;=1000,-1,0)),ROUND(G1385*Параметры!$B$6,IF(G1385*Параметры!$B$6&gt;=1000,-1,0)))))</f>
        <v>368</v>
      </c>
      <c r="L1385" s="16">
        <v>0.25</v>
      </c>
      <c r="M1385" s="17">
        <f t="shared" si="102"/>
        <v>4</v>
      </c>
      <c r="N1385" s="17">
        <f>IF(OR(L1385="",L1385=0),"",Параметры!$B$3/L1385)</f>
        <v>32</v>
      </c>
      <c r="O1385" s="15">
        <f>IF(L1385="","",IFERROR(INDEX('Почасовка — ставки и план'!$D$5:$D$24,MATCH($D1385,'Почасовка — ставки и план'!$A$5:$A$24,0)),""))</f>
        <v>850</v>
      </c>
      <c r="P1385" s="15">
        <f>IF(L1385="","",IFERROR(INDEX('Почасовка — ставки и план'!$E$5:$E$24,MATCH($D1385,'Почасовка — ставки и план'!$A$5:$A$24,0)),""))</f>
        <v>1020</v>
      </c>
      <c r="Q1385" s="15">
        <f t="shared" si="103"/>
        <v>213</v>
      </c>
      <c r="R1385" s="13" t="str">
        <f>IF(D1385="TEX","аренда техники — сделка/счёт",IF(OR(Q1385="",H1385="",H1385=0),"—",IF(Q1385&lt;H1385*(1-Параметры!$B$7),"почасовка",IF(Q1385&gt;H1385*(1+Параметры!$B$7),"сделка","любой способ"))))</f>
        <v>почасовка</v>
      </c>
      <c r="S1385">
        <v>0</v>
      </c>
      <c r="T1385">
        <v>0</v>
      </c>
    </row>
    <row r="1386" spans="1:20" x14ac:dyDescent="0.25">
      <c r="A1386" s="13" t="s">
        <v>2817</v>
      </c>
      <c r="B1386" s="13" t="s">
        <v>2818</v>
      </c>
      <c r="C1386" s="13" t="s">
        <v>69</v>
      </c>
      <c r="D1386" s="13" t="s">
        <v>273</v>
      </c>
      <c r="E1386" s="13" t="str">
        <f>IFERROR(INDEX('Почасовка — ставки и план'!$B$5:$B$24,MATCH(D1386,'Почасовка — ставки и план'!$A$5:$A$24,0)),"Аренда техники / механизмы")</f>
        <v>Электромонтажник</v>
      </c>
      <c r="F1386" s="14">
        <v>500</v>
      </c>
      <c r="G1386" s="14">
        <v>600</v>
      </c>
      <c r="H1386" s="15">
        <v>310</v>
      </c>
      <c r="I1386" s="15">
        <f>IF(OR(H1386="",F1386=""),"",MAX(H1386,MIN(ROUND(H1386*(1+Параметры!$B$5),IF(H1386*(1+Параметры!$B$5)&gt;=1000,-1,0)),ROUND(F1386*Параметры!$B$6,IF(F1386*Параметры!$B$6&gt;=1000,-1,0)))))</f>
        <v>357</v>
      </c>
      <c r="J1386" s="15">
        <v>370</v>
      </c>
      <c r="K1386" s="15">
        <f>IF(OR(J1386="",G1386=""),"",MAX(J1386,MIN(ROUND(J1386*(1+Параметры!$B$5),IF(J1386*(1+Параметры!$B$5)&gt;=1000,-1,0)),ROUND(G1386*Параметры!$B$6,IF(G1386*Параметры!$B$6&gt;=1000,-1,0)))))</f>
        <v>426</v>
      </c>
      <c r="L1386" s="16">
        <v>0.3</v>
      </c>
      <c r="M1386" s="17">
        <f t="shared" si="102"/>
        <v>3.3333333333333335</v>
      </c>
      <c r="N1386" s="17">
        <f>IF(OR(L1386="",L1386=0),"",Параметры!$B$3/L1386)</f>
        <v>26.666666666666668</v>
      </c>
      <c r="O1386" s="15">
        <f>IF(L1386="","",IFERROR(INDEX('Почасовка — ставки и план'!$D$5:$D$24,MATCH($D1386,'Почасовка — ставки и план'!$A$5:$A$24,0)),""))</f>
        <v>850</v>
      </c>
      <c r="P1386" s="15">
        <f>IF(L1386="","",IFERROR(INDEX('Почасовка — ставки и план'!$E$5:$E$24,MATCH($D1386,'Почасовка — ставки и план'!$A$5:$A$24,0)),""))</f>
        <v>1020</v>
      </c>
      <c r="Q1386" s="15">
        <f t="shared" si="103"/>
        <v>255</v>
      </c>
      <c r="R1386" s="13" t="str">
        <f>IF(D1386="TEX","аренда техники — сделка/счёт",IF(OR(Q1386="",H1386="",H1386=0),"—",IF(Q1386&lt;H1386*(1-Параметры!$B$7),"почасовка",IF(Q1386&gt;H1386*(1+Параметры!$B$7),"сделка","любой способ"))))</f>
        <v>почасовка</v>
      </c>
      <c r="S1386">
        <v>0</v>
      </c>
      <c r="T1386">
        <v>0</v>
      </c>
    </row>
    <row r="1387" spans="1:20" x14ac:dyDescent="0.25">
      <c r="A1387" s="13" t="s">
        <v>2819</v>
      </c>
      <c r="B1387" s="13" t="s">
        <v>2820</v>
      </c>
      <c r="C1387" s="13" t="s">
        <v>69</v>
      </c>
      <c r="D1387" s="13" t="s">
        <v>273</v>
      </c>
      <c r="E1387" s="13" t="str">
        <f>IFERROR(INDEX('Почасовка — ставки и план'!$B$5:$B$24,MATCH(D1387,'Почасовка — ставки и план'!$A$5:$A$24,0)),"Аренда техники / механизмы")</f>
        <v>Электромонтажник</v>
      </c>
      <c r="F1387" s="14">
        <v>700</v>
      </c>
      <c r="G1387" s="14">
        <v>850</v>
      </c>
      <c r="H1387" s="15">
        <v>430</v>
      </c>
      <c r="I1387" s="15">
        <f>IF(OR(H1387="",F1387=""),"",MAX(H1387,MIN(ROUND(H1387*(1+Параметры!$B$5),IF(H1387*(1+Параметры!$B$5)&gt;=1000,-1,0)),ROUND(F1387*Параметры!$B$6,IF(F1387*Параметры!$B$6&gt;=1000,-1,0)))))</f>
        <v>495</v>
      </c>
      <c r="J1387" s="15">
        <v>520</v>
      </c>
      <c r="K1387" s="15">
        <f>IF(OR(J1387="",G1387=""),"",MAX(J1387,MIN(ROUND(J1387*(1+Параметры!$B$5),IF(J1387*(1+Параметры!$B$5)&gt;=1000,-1,0)),ROUND(G1387*Параметры!$B$6,IF(G1387*Параметры!$B$6&gt;=1000,-1,0)))))</f>
        <v>598</v>
      </c>
      <c r="L1387" s="16">
        <v>0.45</v>
      </c>
      <c r="M1387" s="17">
        <f t="shared" si="102"/>
        <v>2.2222222222222223</v>
      </c>
      <c r="N1387" s="17">
        <f>IF(OR(L1387="",L1387=0),"",Параметры!$B$3/L1387)</f>
        <v>17.777777777777779</v>
      </c>
      <c r="O1387" s="15">
        <f>IF(L1387="","",IFERROR(INDEX('Почасовка — ставки и план'!$D$5:$D$24,MATCH($D1387,'Почасовка — ставки и план'!$A$5:$A$24,0)),""))</f>
        <v>850</v>
      </c>
      <c r="P1387" s="15">
        <f>IF(L1387="","",IFERROR(INDEX('Почасовка — ставки и план'!$E$5:$E$24,MATCH($D1387,'Почасовка — ставки и план'!$A$5:$A$24,0)),""))</f>
        <v>1020</v>
      </c>
      <c r="Q1387" s="15">
        <f t="shared" si="103"/>
        <v>383</v>
      </c>
      <c r="R1387" s="13" t="str">
        <f>IF(D1387="TEX","аренда техники — сделка/счёт",IF(OR(Q1387="",H1387="",H1387=0),"—",IF(Q1387&lt;H1387*(1-Параметры!$B$7),"почасовка",IF(Q1387&gt;H1387*(1+Параметры!$B$7),"сделка","любой способ"))))</f>
        <v>почасовка</v>
      </c>
      <c r="S1387">
        <v>0</v>
      </c>
      <c r="T1387">
        <v>0</v>
      </c>
    </row>
    <row r="1388" spans="1:20" x14ac:dyDescent="0.25">
      <c r="A1388" s="13" t="s">
        <v>2821</v>
      </c>
      <c r="B1388" s="13" t="s">
        <v>2822</v>
      </c>
      <c r="C1388" s="13" t="s">
        <v>144</v>
      </c>
      <c r="D1388" s="13" t="s">
        <v>273</v>
      </c>
      <c r="E1388" s="13" t="str">
        <f>IFERROR(INDEX('Почасовка — ставки и план'!$B$5:$B$24,MATCH(D1388,'Почасовка — ставки и план'!$A$5:$A$24,0)),"Аренда техники / механизмы")</f>
        <v>Электромонтажник</v>
      </c>
      <c r="F1388" s="14">
        <v>150</v>
      </c>
      <c r="G1388" s="14">
        <v>180</v>
      </c>
      <c r="H1388" s="15">
        <v>90</v>
      </c>
      <c r="I1388" s="15">
        <f>IF(OR(H1388="",F1388=""),"",MAX(H1388,MIN(ROUND(H1388*(1+Параметры!$B$5),IF(H1388*(1+Параметры!$B$5)&gt;=1000,-1,0)),ROUND(F1388*Параметры!$B$6,IF(F1388*Параметры!$B$6&gt;=1000,-1,0)))))</f>
        <v>104</v>
      </c>
      <c r="J1388" s="15">
        <v>110</v>
      </c>
      <c r="K1388" s="15">
        <f>IF(OR(J1388="",G1388=""),"",MAX(J1388,MIN(ROUND(J1388*(1+Параметры!$B$5),IF(J1388*(1+Параметры!$B$5)&gt;=1000,-1,0)),ROUND(G1388*Параметры!$B$6,IF(G1388*Параметры!$B$6&gt;=1000,-1,0)))))</f>
        <v>127</v>
      </c>
      <c r="L1388" s="16">
        <v>0.12</v>
      </c>
      <c r="M1388" s="17">
        <f t="shared" si="102"/>
        <v>8.3333333333333339</v>
      </c>
      <c r="N1388" s="17">
        <f>IF(OR(L1388="",L1388=0),"",Параметры!$B$3/L1388)</f>
        <v>66.666666666666671</v>
      </c>
      <c r="O1388" s="15">
        <f>IF(L1388="","",IFERROR(INDEX('Почасовка — ставки и план'!$D$5:$D$24,MATCH($D1388,'Почасовка — ставки и план'!$A$5:$A$24,0)),""))</f>
        <v>850</v>
      </c>
      <c r="P1388" s="15">
        <f>IF(L1388="","",IFERROR(INDEX('Почасовка — ставки и план'!$E$5:$E$24,MATCH($D1388,'Почасовка — ставки и план'!$A$5:$A$24,0)),""))</f>
        <v>1020</v>
      </c>
      <c r="Q1388" s="15">
        <f t="shared" si="103"/>
        <v>102</v>
      </c>
      <c r="R1388" s="13" t="str">
        <f>IF(D1388="TEX","аренда техники — сделка/счёт",IF(OR(Q1388="",H1388="",H1388=0),"—",IF(Q1388&lt;H1388*(1-Параметры!$B$7),"почасовка",IF(Q1388&gt;H1388*(1+Параметры!$B$7),"сделка","любой способ"))))</f>
        <v>сделка</v>
      </c>
      <c r="S1388">
        <v>0</v>
      </c>
      <c r="T1388">
        <v>0</v>
      </c>
    </row>
    <row r="1389" spans="1:20" x14ac:dyDescent="0.25">
      <c r="A1389" s="13" t="s">
        <v>2823</v>
      </c>
      <c r="B1389" s="13" t="s">
        <v>2824</v>
      </c>
      <c r="C1389" s="13" t="s">
        <v>69</v>
      </c>
      <c r="D1389" s="13" t="s">
        <v>273</v>
      </c>
      <c r="E1389" s="13" t="str">
        <f>IFERROR(INDEX('Почасовка — ставки и план'!$B$5:$B$24,MATCH(D1389,'Почасовка — ставки и план'!$A$5:$A$24,0)),"Аренда техники / механизмы")</f>
        <v>Электромонтажник</v>
      </c>
      <c r="F1389" s="14">
        <v>700</v>
      </c>
      <c r="G1389" s="14">
        <v>820</v>
      </c>
      <c r="H1389" s="15">
        <v>430</v>
      </c>
      <c r="I1389" s="15">
        <f>IF(OR(H1389="",F1389=""),"",MAX(H1389,MIN(ROUND(H1389*(1+Параметры!$B$5),IF(H1389*(1+Параметры!$B$5)&gt;=1000,-1,0)),ROUND(F1389*Параметры!$B$6,IF(F1389*Параметры!$B$6&gt;=1000,-1,0)))))</f>
        <v>495</v>
      </c>
      <c r="J1389" s="15">
        <v>510</v>
      </c>
      <c r="K1389" s="15">
        <f>IF(OR(J1389="",G1389=""),"",MAX(J1389,MIN(ROUND(J1389*(1+Параметры!$B$5),IF(J1389*(1+Параметры!$B$5)&gt;=1000,-1,0)),ROUND(G1389*Параметры!$B$6,IF(G1389*Параметры!$B$6&gt;=1000,-1,0)))))</f>
        <v>587</v>
      </c>
      <c r="L1389" s="16">
        <v>0.6</v>
      </c>
      <c r="M1389" s="17">
        <f t="shared" si="102"/>
        <v>1.6666666666666667</v>
      </c>
      <c r="N1389" s="17">
        <f>IF(OR(L1389="",L1389=0),"",Параметры!$B$3/L1389)</f>
        <v>13.333333333333334</v>
      </c>
      <c r="O1389" s="15">
        <f>IF(L1389="","",IFERROR(INDEX('Почасовка — ставки и план'!$D$5:$D$24,MATCH($D1389,'Почасовка — ставки и план'!$A$5:$A$24,0)),""))</f>
        <v>850</v>
      </c>
      <c r="P1389" s="15">
        <f>IF(L1389="","",IFERROR(INDEX('Почасовка — ставки и план'!$E$5:$E$24,MATCH($D1389,'Почасовка — ставки и план'!$A$5:$A$24,0)),""))</f>
        <v>1020</v>
      </c>
      <c r="Q1389" s="15">
        <f t="shared" si="103"/>
        <v>510</v>
      </c>
      <c r="R1389" s="13" t="str">
        <f>IF(D1389="TEX","аренда техники — сделка/счёт",IF(OR(Q1389="",H1389="",H1389=0),"—",IF(Q1389&lt;H1389*(1-Параметры!$B$7),"почасовка",IF(Q1389&gt;H1389*(1+Параметры!$B$7),"сделка","любой способ"))))</f>
        <v>сделка</v>
      </c>
      <c r="S1389">
        <v>0</v>
      </c>
      <c r="T1389">
        <v>0</v>
      </c>
    </row>
    <row r="1390" spans="1:20" x14ac:dyDescent="0.25">
      <c r="A1390" s="13" t="s">
        <v>2825</v>
      </c>
      <c r="B1390" s="13" t="s">
        <v>2826</v>
      </c>
      <c r="C1390" s="13" t="s">
        <v>69</v>
      </c>
      <c r="D1390" s="13" t="s">
        <v>273</v>
      </c>
      <c r="E1390" s="13" t="str">
        <f>IFERROR(INDEX('Почасовка — ставки и план'!$B$5:$B$24,MATCH(D1390,'Почасовка — ставки и план'!$A$5:$A$24,0)),"Аренда техники / механизмы")</f>
        <v>Электромонтажник</v>
      </c>
      <c r="F1390" s="14">
        <v>400</v>
      </c>
      <c r="G1390" s="14">
        <v>470</v>
      </c>
      <c r="H1390" s="15">
        <v>250</v>
      </c>
      <c r="I1390" s="15">
        <f>IF(OR(H1390="",F1390=""),"",MAX(H1390,MIN(ROUND(H1390*(1+Параметры!$B$5),IF(H1390*(1+Параметры!$B$5)&gt;=1000,-1,0)),ROUND(F1390*Параметры!$B$6,IF(F1390*Параметры!$B$6&gt;=1000,-1,0)))))</f>
        <v>288</v>
      </c>
      <c r="J1390" s="15">
        <v>290</v>
      </c>
      <c r="K1390" s="15">
        <f>IF(OR(J1390="",G1390=""),"",MAX(J1390,MIN(ROUND(J1390*(1+Параметры!$B$5),IF(J1390*(1+Параметры!$B$5)&gt;=1000,-1,0)),ROUND(G1390*Параметры!$B$6,IF(G1390*Параметры!$B$6&gt;=1000,-1,0)))))</f>
        <v>334</v>
      </c>
      <c r="L1390" s="16">
        <v>0.3</v>
      </c>
      <c r="M1390" s="17">
        <f t="shared" si="102"/>
        <v>3.3333333333333335</v>
      </c>
      <c r="N1390" s="17">
        <f>IF(OR(L1390="",L1390=0),"",Параметры!$B$3/L1390)</f>
        <v>26.666666666666668</v>
      </c>
      <c r="O1390" s="15">
        <f>IF(L1390="","",IFERROR(INDEX('Почасовка — ставки и план'!$D$5:$D$24,MATCH($D1390,'Почасовка — ставки и план'!$A$5:$A$24,0)),""))</f>
        <v>850</v>
      </c>
      <c r="P1390" s="15">
        <f>IF(L1390="","",IFERROR(INDEX('Почасовка — ставки и план'!$E$5:$E$24,MATCH($D1390,'Почасовка — ставки и план'!$A$5:$A$24,0)),""))</f>
        <v>1020</v>
      </c>
      <c r="Q1390" s="15">
        <f t="shared" si="103"/>
        <v>255</v>
      </c>
      <c r="R1390" s="13" t="str">
        <f>IF(D1390="TEX","аренда техники — сделка/счёт",IF(OR(Q1390="",H1390="",H1390=0),"—",IF(Q1390&lt;H1390*(1-Параметры!$B$7),"почасовка",IF(Q1390&gt;H1390*(1+Параметры!$B$7),"сделка","любой способ"))))</f>
        <v>любой способ</v>
      </c>
      <c r="S1390">
        <v>0</v>
      </c>
      <c r="T1390">
        <v>0</v>
      </c>
    </row>
    <row r="1391" spans="1:20" x14ac:dyDescent="0.25">
      <c r="A1391" s="13" t="s">
        <v>2827</v>
      </c>
      <c r="B1391" s="13" t="s">
        <v>2828</v>
      </c>
      <c r="C1391" s="13" t="s">
        <v>69</v>
      </c>
      <c r="D1391" s="13" t="s">
        <v>273</v>
      </c>
      <c r="E1391" s="13" t="str">
        <f>IFERROR(INDEX('Почасовка — ставки и план'!$B$5:$B$24,MATCH(D1391,'Почасовка — ставки и план'!$A$5:$A$24,0)),"Аренда техники / механизмы")</f>
        <v>Электромонтажник</v>
      </c>
      <c r="F1391" s="14">
        <v>280</v>
      </c>
      <c r="G1391" s="14">
        <v>330</v>
      </c>
      <c r="H1391" s="15">
        <v>175</v>
      </c>
      <c r="I1391" s="15">
        <f>IF(OR(H1391="",F1391=""),"",MAX(H1391,MIN(ROUND(H1391*(1+Параметры!$B$5),IF(H1391*(1+Параметры!$B$5)&gt;=1000,-1,0)),ROUND(F1391*Параметры!$B$6,IF(F1391*Параметры!$B$6&gt;=1000,-1,0)))))</f>
        <v>201</v>
      </c>
      <c r="J1391" s="15">
        <v>205</v>
      </c>
      <c r="K1391" s="15">
        <f>IF(OR(J1391="",G1391=""),"",MAX(J1391,MIN(ROUND(J1391*(1+Параметры!$B$5),IF(J1391*(1+Параметры!$B$5)&gt;=1000,-1,0)),ROUND(G1391*Параметры!$B$6,IF(G1391*Параметры!$B$6&gt;=1000,-1,0)))))</f>
        <v>236</v>
      </c>
      <c r="L1391" s="16">
        <v>0.2</v>
      </c>
      <c r="M1391" s="17">
        <f t="shared" si="102"/>
        <v>5</v>
      </c>
      <c r="N1391" s="17">
        <f>IF(OR(L1391="",L1391=0),"",Параметры!$B$3/L1391)</f>
        <v>40</v>
      </c>
      <c r="O1391" s="15">
        <f>IF(L1391="","",IFERROR(INDEX('Почасовка — ставки и план'!$D$5:$D$24,MATCH($D1391,'Почасовка — ставки и план'!$A$5:$A$24,0)),""))</f>
        <v>850</v>
      </c>
      <c r="P1391" s="15">
        <f>IF(L1391="","",IFERROR(INDEX('Почасовка — ставки и план'!$E$5:$E$24,MATCH($D1391,'Почасовка — ставки и план'!$A$5:$A$24,0)),""))</f>
        <v>1020</v>
      </c>
      <c r="Q1391" s="15">
        <f t="shared" si="103"/>
        <v>170</v>
      </c>
      <c r="R1391" s="13" t="str">
        <f>IF(D1391="TEX","аренда техники — сделка/счёт",IF(OR(Q1391="",H1391="",H1391=0),"—",IF(Q1391&lt;H1391*(1-Параметры!$B$7),"почасовка",IF(Q1391&gt;H1391*(1+Параметры!$B$7),"сделка","любой способ"))))</f>
        <v>любой способ</v>
      </c>
      <c r="S1391">
        <v>0</v>
      </c>
      <c r="T1391">
        <v>0</v>
      </c>
    </row>
    <row r="1392" spans="1:20" x14ac:dyDescent="0.25">
      <c r="A1392" s="13" t="s">
        <v>2829</v>
      </c>
      <c r="B1392" s="13" t="s">
        <v>2830</v>
      </c>
      <c r="C1392" s="13" t="s">
        <v>69</v>
      </c>
      <c r="D1392" s="13" t="s">
        <v>273</v>
      </c>
      <c r="E1392" s="13" t="str">
        <f>IFERROR(INDEX('Почасовка — ставки и план'!$B$5:$B$24,MATCH(D1392,'Почасовка — ставки и план'!$A$5:$A$24,0)),"Аренда техники / механизмы")</f>
        <v>Электромонтажник</v>
      </c>
      <c r="F1392" s="14">
        <v>330</v>
      </c>
      <c r="G1392" s="14">
        <v>390</v>
      </c>
      <c r="H1392" s="15">
        <v>205</v>
      </c>
      <c r="I1392" s="15">
        <f>IF(OR(H1392="",F1392=""),"",MAX(H1392,MIN(ROUND(H1392*(1+Параметры!$B$5),IF(H1392*(1+Параметры!$B$5)&gt;=1000,-1,0)),ROUND(F1392*Параметры!$B$6,IF(F1392*Параметры!$B$6&gt;=1000,-1,0)))))</f>
        <v>236</v>
      </c>
      <c r="J1392" s="15">
        <v>240</v>
      </c>
      <c r="K1392" s="15">
        <f>IF(OR(J1392="",G1392=""),"",MAX(J1392,MIN(ROUND(J1392*(1+Параметры!$B$5),IF(J1392*(1+Параметры!$B$5)&gt;=1000,-1,0)),ROUND(G1392*Параметры!$B$6,IF(G1392*Параметры!$B$6&gt;=1000,-1,0)))))</f>
        <v>276</v>
      </c>
      <c r="L1392" s="16">
        <v>0.25</v>
      </c>
      <c r="M1392" s="17">
        <f t="shared" si="102"/>
        <v>4</v>
      </c>
      <c r="N1392" s="17">
        <f>IF(OR(L1392="",L1392=0),"",Параметры!$B$3/L1392)</f>
        <v>32</v>
      </c>
      <c r="O1392" s="15">
        <f>IF(L1392="","",IFERROR(INDEX('Почасовка — ставки и план'!$D$5:$D$24,MATCH($D1392,'Почасовка — ставки и план'!$A$5:$A$24,0)),""))</f>
        <v>850</v>
      </c>
      <c r="P1392" s="15">
        <f>IF(L1392="","",IFERROR(INDEX('Почасовка — ставки и план'!$E$5:$E$24,MATCH($D1392,'Почасовка — ставки и план'!$A$5:$A$24,0)),""))</f>
        <v>1020</v>
      </c>
      <c r="Q1392" s="15">
        <f t="shared" si="103"/>
        <v>213</v>
      </c>
      <c r="R1392" s="13" t="str">
        <f>IF(D1392="TEX","аренда техники — сделка/счёт",IF(OR(Q1392="",H1392="",H1392=0),"—",IF(Q1392&lt;H1392*(1-Параметры!$B$7),"почасовка",IF(Q1392&gt;H1392*(1+Параметры!$B$7),"сделка","любой способ"))))</f>
        <v>любой способ</v>
      </c>
      <c r="S1392">
        <v>0</v>
      </c>
      <c r="T1392">
        <v>0</v>
      </c>
    </row>
    <row r="1393" spans="1:20" x14ac:dyDescent="0.25">
      <c r="A1393" s="13" t="s">
        <v>2831</v>
      </c>
      <c r="B1393" s="13" t="s">
        <v>2832</v>
      </c>
      <c r="C1393" s="13" t="s">
        <v>69</v>
      </c>
      <c r="D1393" s="13" t="s">
        <v>273</v>
      </c>
      <c r="E1393" s="13" t="str">
        <f>IFERROR(INDEX('Почасовка — ставки и план'!$B$5:$B$24,MATCH(D1393,'Почасовка — ставки и план'!$A$5:$A$24,0)),"Аренда техники / механизмы")</f>
        <v>Электромонтажник</v>
      </c>
      <c r="F1393" s="14">
        <v>400</v>
      </c>
      <c r="G1393" s="14">
        <v>470</v>
      </c>
      <c r="H1393" s="15">
        <v>250</v>
      </c>
      <c r="I1393" s="15">
        <f>IF(OR(H1393="",F1393=""),"",MAX(H1393,MIN(ROUND(H1393*(1+Параметры!$B$5),IF(H1393*(1+Параметры!$B$5)&gt;=1000,-1,0)),ROUND(F1393*Параметры!$B$6,IF(F1393*Параметры!$B$6&gt;=1000,-1,0)))))</f>
        <v>288</v>
      </c>
      <c r="J1393" s="15">
        <v>290</v>
      </c>
      <c r="K1393" s="15">
        <f>IF(OR(J1393="",G1393=""),"",MAX(J1393,MIN(ROUND(J1393*(1+Параметры!$B$5),IF(J1393*(1+Параметры!$B$5)&gt;=1000,-1,0)),ROUND(G1393*Параметры!$B$6,IF(G1393*Параметры!$B$6&gt;=1000,-1,0)))))</f>
        <v>334</v>
      </c>
      <c r="L1393" s="16">
        <v>0.3</v>
      </c>
      <c r="M1393" s="17">
        <f t="shared" si="102"/>
        <v>3.3333333333333335</v>
      </c>
      <c r="N1393" s="17">
        <f>IF(OR(L1393="",L1393=0),"",Параметры!$B$3/L1393)</f>
        <v>26.666666666666668</v>
      </c>
      <c r="O1393" s="15">
        <f>IF(L1393="","",IFERROR(INDEX('Почасовка — ставки и план'!$D$5:$D$24,MATCH($D1393,'Почасовка — ставки и план'!$A$5:$A$24,0)),""))</f>
        <v>850</v>
      </c>
      <c r="P1393" s="15">
        <f>IF(L1393="","",IFERROR(INDEX('Почасовка — ставки и план'!$E$5:$E$24,MATCH($D1393,'Почасовка — ставки и план'!$A$5:$A$24,0)),""))</f>
        <v>1020</v>
      </c>
      <c r="Q1393" s="15">
        <f t="shared" si="103"/>
        <v>255</v>
      </c>
      <c r="R1393" s="13" t="str">
        <f>IF(D1393="TEX","аренда техники — сделка/счёт",IF(OR(Q1393="",H1393="",H1393=0),"—",IF(Q1393&lt;H1393*(1-Параметры!$B$7),"почасовка",IF(Q1393&gt;H1393*(1+Параметры!$B$7),"сделка","любой способ"))))</f>
        <v>любой способ</v>
      </c>
      <c r="S1393">
        <v>0</v>
      </c>
      <c r="T1393">
        <v>0</v>
      </c>
    </row>
    <row r="1394" spans="1:20" x14ac:dyDescent="0.25">
      <c r="A1394" s="13" t="s">
        <v>2833</v>
      </c>
      <c r="B1394" s="13" t="s">
        <v>2834</v>
      </c>
      <c r="C1394" s="13" t="s">
        <v>69</v>
      </c>
      <c r="D1394" s="13" t="s">
        <v>273</v>
      </c>
      <c r="E1394" s="13" t="str">
        <f>IFERROR(INDEX('Почасовка — ставки и план'!$B$5:$B$24,MATCH(D1394,'Почасовка — ставки и план'!$A$5:$A$24,0)),"Аренда техники / механизмы")</f>
        <v>Электромонтажник</v>
      </c>
      <c r="F1394" s="14">
        <v>204</v>
      </c>
      <c r="G1394" s="14">
        <v>246</v>
      </c>
      <c r="H1394" s="15">
        <v>125</v>
      </c>
      <c r="I1394" s="15">
        <f>IF(OR(H1394="",F1394=""),"",MAX(H1394,MIN(ROUND(H1394*(1+Параметры!$B$5),IF(H1394*(1+Параметры!$B$5)&gt;=1000,-1,0)),ROUND(F1394*Параметры!$B$6,IF(F1394*Параметры!$B$6&gt;=1000,-1,0)))))</f>
        <v>144</v>
      </c>
      <c r="J1394" s="15">
        <v>150</v>
      </c>
      <c r="K1394" s="15">
        <f>IF(OR(J1394="",G1394=""),"",MAX(J1394,MIN(ROUND(J1394*(1+Параметры!$B$5),IF(J1394*(1+Параметры!$B$5)&gt;=1000,-1,0)),ROUND(G1394*Параметры!$B$6,IF(G1394*Параметры!$B$6&gt;=1000,-1,0)))))</f>
        <v>173</v>
      </c>
      <c r="L1394" s="16">
        <v>0.18</v>
      </c>
      <c r="M1394" s="17">
        <f t="shared" si="102"/>
        <v>5.5555555555555554</v>
      </c>
      <c r="N1394" s="17">
        <f>IF(OR(L1394="",L1394=0),"",Параметры!$B$3/L1394)</f>
        <v>44.444444444444443</v>
      </c>
      <c r="O1394" s="15">
        <f>IF(L1394="","",IFERROR(INDEX('Почасовка — ставки и план'!$D$5:$D$24,MATCH($D1394,'Почасовка — ставки и план'!$A$5:$A$24,0)),""))</f>
        <v>850</v>
      </c>
      <c r="P1394" s="15">
        <f>IF(L1394="","",IFERROR(INDEX('Почасовка — ставки и план'!$E$5:$E$24,MATCH($D1394,'Почасовка — ставки и план'!$A$5:$A$24,0)),""))</f>
        <v>1020</v>
      </c>
      <c r="Q1394" s="15">
        <f t="shared" si="103"/>
        <v>153</v>
      </c>
      <c r="R1394" s="13" t="str">
        <f>IF(D1394="TEX","аренда техники — сделка/счёт",IF(OR(Q1394="",H1394="",H1394=0),"—",IF(Q1394&lt;H1394*(1-Параметры!$B$7),"почасовка",IF(Q1394&gt;H1394*(1+Параметры!$B$7),"сделка","любой способ"))))</f>
        <v>сделка</v>
      </c>
      <c r="S1394">
        <v>2.0000000000000021E-2</v>
      </c>
      <c r="T1394">
        <v>2.4999999999999911E-2</v>
      </c>
    </row>
    <row r="1395" spans="1:20" x14ac:dyDescent="0.25">
      <c r="A1395" s="13" t="s">
        <v>2835</v>
      </c>
      <c r="B1395" s="13" t="s">
        <v>2836</v>
      </c>
      <c r="C1395" s="13" t="s">
        <v>69</v>
      </c>
      <c r="D1395" s="13" t="s">
        <v>273</v>
      </c>
      <c r="E1395" s="13" t="str">
        <f>IFERROR(INDEX('Почасовка — ставки и план'!$B$5:$B$24,MATCH(D1395,'Почасовка — ставки и план'!$A$5:$A$24,0)),"Аренда техники / механизмы")</f>
        <v>Электромонтажник</v>
      </c>
      <c r="F1395" s="14">
        <v>290</v>
      </c>
      <c r="G1395" s="14">
        <v>340</v>
      </c>
      <c r="H1395" s="15">
        <v>180</v>
      </c>
      <c r="I1395" s="15">
        <f>IF(OR(H1395="",F1395=""),"",MAX(H1395,MIN(ROUND(H1395*(1+Параметры!$B$5),IF(H1395*(1+Параметры!$B$5)&gt;=1000,-1,0)),ROUND(F1395*Параметры!$B$6,IF(F1395*Параметры!$B$6&gt;=1000,-1,0)))))</f>
        <v>207</v>
      </c>
      <c r="J1395" s="15">
        <v>210</v>
      </c>
      <c r="K1395" s="15">
        <f>IF(OR(J1395="",G1395=""),"",MAX(J1395,MIN(ROUND(J1395*(1+Параметры!$B$5),IF(J1395*(1+Параметры!$B$5)&gt;=1000,-1,0)),ROUND(G1395*Параметры!$B$6,IF(G1395*Параметры!$B$6&gt;=1000,-1,0)))))</f>
        <v>242</v>
      </c>
      <c r="L1395" s="16">
        <v>0.25</v>
      </c>
      <c r="M1395" s="17">
        <f t="shared" si="102"/>
        <v>4</v>
      </c>
      <c r="N1395" s="17">
        <f>IF(OR(L1395="",L1395=0),"",Параметры!$B$3/L1395)</f>
        <v>32</v>
      </c>
      <c r="O1395" s="15">
        <f>IF(L1395="","",IFERROR(INDEX('Почасовка — ставки и план'!$D$5:$D$24,MATCH($D1395,'Почасовка — ставки и план'!$A$5:$A$24,0)),""))</f>
        <v>850</v>
      </c>
      <c r="P1395" s="15">
        <f>IF(L1395="","",IFERROR(INDEX('Почасовка — ставки и план'!$E$5:$E$24,MATCH($D1395,'Почасовка — ставки и план'!$A$5:$A$24,0)),""))</f>
        <v>1020</v>
      </c>
      <c r="Q1395" s="15">
        <f t="shared" si="103"/>
        <v>213</v>
      </c>
      <c r="R1395" s="13" t="str">
        <f>IF(D1395="TEX","аренда техники — сделка/счёт",IF(OR(Q1395="",H1395="",H1395=0),"—",IF(Q1395&lt;H1395*(1-Параметры!$B$7),"почасовка",IF(Q1395&gt;H1395*(1+Параметры!$B$7),"сделка","любой способ"))))</f>
        <v>сделка</v>
      </c>
      <c r="S1395">
        <v>0</v>
      </c>
      <c r="T1395">
        <v>0</v>
      </c>
    </row>
    <row r="1396" spans="1:20" x14ac:dyDescent="0.25">
      <c r="A1396" s="13" t="s">
        <v>2837</v>
      </c>
      <c r="B1396" s="13" t="s">
        <v>2838</v>
      </c>
      <c r="C1396" s="13" t="s">
        <v>69</v>
      </c>
      <c r="D1396" s="13" t="s">
        <v>273</v>
      </c>
      <c r="E1396" s="13" t="str">
        <f>IFERROR(INDEX('Почасовка — ставки и план'!$B$5:$B$24,MATCH(D1396,'Почасовка — ставки и план'!$A$5:$A$24,0)),"Аренда техники / механизмы")</f>
        <v>Электромонтажник</v>
      </c>
      <c r="F1396" s="14">
        <v>350</v>
      </c>
      <c r="G1396" s="14">
        <v>410</v>
      </c>
      <c r="H1396" s="15">
        <v>215</v>
      </c>
      <c r="I1396" s="15">
        <f>IF(OR(H1396="",F1396=""),"",MAX(H1396,MIN(ROUND(H1396*(1+Параметры!$B$5),IF(H1396*(1+Параметры!$B$5)&gt;=1000,-1,0)),ROUND(F1396*Параметры!$B$6,IF(F1396*Параметры!$B$6&gt;=1000,-1,0)))))</f>
        <v>247</v>
      </c>
      <c r="J1396" s="15">
        <v>255</v>
      </c>
      <c r="K1396" s="15">
        <f>IF(OR(J1396="",G1396=""),"",MAX(J1396,MIN(ROUND(J1396*(1+Параметры!$B$5),IF(J1396*(1+Параметры!$B$5)&gt;=1000,-1,0)),ROUND(G1396*Параметры!$B$6,IF(G1396*Параметры!$B$6&gt;=1000,-1,0)))))</f>
        <v>293</v>
      </c>
      <c r="L1396" s="16">
        <v>0.3</v>
      </c>
      <c r="M1396" s="17">
        <f t="shared" si="102"/>
        <v>3.3333333333333335</v>
      </c>
      <c r="N1396" s="17">
        <f>IF(OR(L1396="",L1396=0),"",Параметры!$B$3/L1396)</f>
        <v>26.666666666666668</v>
      </c>
      <c r="O1396" s="15">
        <f>IF(L1396="","",IFERROR(INDEX('Почасовка — ставки и план'!$D$5:$D$24,MATCH($D1396,'Почасовка — ставки и план'!$A$5:$A$24,0)),""))</f>
        <v>850</v>
      </c>
      <c r="P1396" s="15">
        <f>IF(L1396="","",IFERROR(INDEX('Почасовка — ставки и план'!$E$5:$E$24,MATCH($D1396,'Почасовка — ставки и план'!$A$5:$A$24,0)),""))</f>
        <v>1020</v>
      </c>
      <c r="Q1396" s="15">
        <f t="shared" si="103"/>
        <v>255</v>
      </c>
      <c r="R1396" s="13" t="str">
        <f>IF(D1396="TEX","аренда техники — сделка/счёт",IF(OR(Q1396="",H1396="",H1396=0),"—",IF(Q1396&lt;H1396*(1-Параметры!$B$7),"почасовка",IF(Q1396&gt;H1396*(1+Параметры!$B$7),"сделка","любой способ"))))</f>
        <v>сделка</v>
      </c>
      <c r="S1396">
        <v>0</v>
      </c>
      <c r="T1396">
        <v>0</v>
      </c>
    </row>
    <row r="1397" spans="1:20" x14ac:dyDescent="0.25">
      <c r="A1397" s="13" t="s">
        <v>2839</v>
      </c>
      <c r="B1397" s="13" t="s">
        <v>2840</v>
      </c>
      <c r="C1397" s="13" t="s">
        <v>69</v>
      </c>
      <c r="D1397" s="13" t="s">
        <v>273</v>
      </c>
      <c r="E1397" s="13" t="str">
        <f>IFERROR(INDEX('Почасовка — ставки и план'!$B$5:$B$24,MATCH(D1397,'Почасовка — ставки и план'!$A$5:$A$24,0)),"Аренда техники / механизмы")</f>
        <v>Электромонтажник</v>
      </c>
      <c r="F1397" s="14">
        <v>120</v>
      </c>
      <c r="G1397" s="14">
        <v>140</v>
      </c>
      <c r="H1397" s="15">
        <v>75</v>
      </c>
      <c r="I1397" s="15">
        <f>IF(OR(H1397="",F1397=""),"",MAX(H1397,MIN(ROUND(H1397*(1+Параметры!$B$5),IF(H1397*(1+Параметры!$B$5)&gt;=1000,-1,0)),ROUND(F1397*Параметры!$B$6,IF(F1397*Параметры!$B$6&gt;=1000,-1,0)))))</f>
        <v>86</v>
      </c>
      <c r="J1397" s="15">
        <v>88</v>
      </c>
      <c r="K1397" s="15">
        <f>IF(OR(J1397="",G1397=""),"",MAX(J1397,MIN(ROUND(J1397*(1+Параметры!$B$5),IF(J1397*(1+Параметры!$B$5)&gt;=1000,-1,0)),ROUND(G1397*Параметры!$B$6,IF(G1397*Параметры!$B$6&gt;=1000,-1,0)))))</f>
        <v>101</v>
      </c>
      <c r="L1397" s="16">
        <v>0.1</v>
      </c>
      <c r="M1397" s="17">
        <f t="shared" si="102"/>
        <v>10</v>
      </c>
      <c r="N1397" s="17">
        <f>IF(OR(L1397="",L1397=0),"",Параметры!$B$3/L1397)</f>
        <v>80</v>
      </c>
      <c r="O1397" s="15">
        <f>IF(L1397="","",IFERROR(INDEX('Почасовка — ставки и план'!$D$5:$D$24,MATCH($D1397,'Почасовка — ставки и план'!$A$5:$A$24,0)),""))</f>
        <v>850</v>
      </c>
      <c r="P1397" s="15">
        <f>IF(L1397="","",IFERROR(INDEX('Почасовка — ставки и план'!$E$5:$E$24,MATCH($D1397,'Почасовка — ставки и план'!$A$5:$A$24,0)),""))</f>
        <v>1020</v>
      </c>
      <c r="Q1397" s="15">
        <f t="shared" si="103"/>
        <v>85</v>
      </c>
      <c r="R1397" s="13" t="str">
        <f>IF(D1397="TEX","аренда техники — сделка/счёт",IF(OR(Q1397="",H1397="",H1397=0),"—",IF(Q1397&lt;H1397*(1-Параметры!$B$7),"почасовка",IF(Q1397&gt;H1397*(1+Параметры!$B$7),"сделка","любой способ"))))</f>
        <v>сделка</v>
      </c>
      <c r="S1397">
        <v>0</v>
      </c>
      <c r="T1397">
        <v>0</v>
      </c>
    </row>
    <row r="1398" spans="1:20" x14ac:dyDescent="0.25">
      <c r="A1398" s="18" t="s">
        <v>2841</v>
      </c>
      <c r="B1398" s="13" t="s">
        <v>2842</v>
      </c>
      <c r="C1398" s="13" t="s">
        <v>69</v>
      </c>
      <c r="D1398" s="13" t="s">
        <v>273</v>
      </c>
      <c r="E1398" s="13" t="str">
        <f>IFERROR(INDEX('Почасовка — ставки и план'!$B$5:$B$24,MATCH(D1398,'Почасовка — ставки и план'!$A$5:$A$24,0)),"Аренда техники / механизмы")</f>
        <v>Электромонтажник</v>
      </c>
      <c r="F1398" s="14">
        <v>70</v>
      </c>
      <c r="G1398" s="14">
        <v>80</v>
      </c>
      <c r="H1398" s="15">
        <v>42</v>
      </c>
      <c r="I1398" s="15">
        <f>IF(OR(H1398="",F1398=""),"",MAX(H1398,MIN(ROUND(H1398*(1+Параметры!$B$5),IF(H1398*(1+Параметры!$B$5)&gt;=1000,-1,0)),ROUND(F1398*Параметры!$B$6,IF(F1398*Параметры!$B$6&gt;=1000,-1,0)))))</f>
        <v>48</v>
      </c>
      <c r="J1398" s="15">
        <v>50</v>
      </c>
      <c r="K1398" s="15">
        <f>IF(OR(J1398="",G1398=""),"",MAX(J1398,MIN(ROUND(J1398*(1+Параметры!$B$5),IF(J1398*(1+Параметры!$B$5)&gt;=1000,-1,0)),ROUND(G1398*Параметры!$B$6,IF(G1398*Параметры!$B$6&gt;=1000,-1,0)))))</f>
        <v>58</v>
      </c>
      <c r="L1398" s="16">
        <v>0.04</v>
      </c>
      <c r="M1398" s="17">
        <f t="shared" si="102"/>
        <v>25</v>
      </c>
      <c r="N1398" s="17">
        <f>IF(OR(L1398="",L1398=0),"",Параметры!$B$3/L1398)</f>
        <v>200</v>
      </c>
      <c r="O1398" s="15">
        <f>IF(L1398="","",IFERROR(INDEX('Почасовка — ставки и план'!$D$5:$D$24,MATCH($D1398,'Почасовка — ставки и план'!$A$5:$A$24,0)),""))</f>
        <v>850</v>
      </c>
      <c r="P1398" s="15">
        <f>IF(L1398="","",IFERROR(INDEX('Почасовка — ставки и план'!$E$5:$E$24,MATCH($D1398,'Почасовка — ставки и план'!$A$5:$A$24,0)),""))</f>
        <v>1020</v>
      </c>
      <c r="Q1398" s="15">
        <f t="shared" si="103"/>
        <v>34</v>
      </c>
      <c r="R1398" s="13" t="str">
        <f>IF(D1398="TEX","аренда техники — сделка/счёт",IF(OR(Q1398="",H1398="",H1398=0),"—",IF(Q1398&lt;H1398*(1-Параметры!$B$7),"почасовка",IF(Q1398&gt;H1398*(1+Параметры!$B$7),"сделка","любой способ"))))</f>
        <v>почасовка</v>
      </c>
      <c r="S1398">
        <v>0</v>
      </c>
      <c r="T1398">
        <v>0</v>
      </c>
    </row>
    <row r="1399" spans="1:20" x14ac:dyDescent="0.25">
      <c r="A1399" s="18" t="s">
        <v>2843</v>
      </c>
      <c r="B1399" s="13" t="s">
        <v>2844</v>
      </c>
      <c r="C1399" s="13" t="s">
        <v>69</v>
      </c>
      <c r="D1399" s="13" t="s">
        <v>273</v>
      </c>
      <c r="E1399" s="13" t="str">
        <f>IFERROR(INDEX('Почасовка — ставки и план'!$B$5:$B$24,MATCH(D1399,'Почасовка — ставки и план'!$A$5:$A$24,0)),"Аренда техники / механизмы")</f>
        <v>Электромонтажник</v>
      </c>
      <c r="F1399" s="14">
        <v>140</v>
      </c>
      <c r="G1399" s="14">
        <v>165</v>
      </c>
      <c r="H1399" s="15">
        <v>85</v>
      </c>
      <c r="I1399" s="15">
        <f>IF(OR(H1399="",F1399=""),"",MAX(H1399,MIN(ROUND(H1399*(1+Параметры!$B$5),IF(H1399*(1+Параметры!$B$5)&gt;=1000,-1,0)),ROUND(F1399*Параметры!$B$6,IF(F1399*Параметры!$B$6&gt;=1000,-1,0)))))</f>
        <v>98</v>
      </c>
      <c r="J1399" s="15">
        <v>100</v>
      </c>
      <c r="K1399" s="15">
        <f>IF(OR(J1399="",G1399=""),"",MAX(J1399,MIN(ROUND(J1399*(1+Параметры!$B$5),IF(J1399*(1+Параметры!$B$5)&gt;=1000,-1,0)),ROUND(G1399*Параметры!$B$6,IF(G1399*Параметры!$B$6&gt;=1000,-1,0)))))</f>
        <v>115</v>
      </c>
      <c r="L1399" s="16">
        <v>0.08</v>
      </c>
      <c r="M1399" s="17">
        <f t="shared" si="102"/>
        <v>12.5</v>
      </c>
      <c r="N1399" s="17">
        <f>IF(OR(L1399="",L1399=0),"",Параметры!$B$3/L1399)</f>
        <v>100</v>
      </c>
      <c r="O1399" s="15">
        <f>IF(L1399="","",IFERROR(INDEX('Почасовка — ставки и план'!$D$5:$D$24,MATCH($D1399,'Почасовка — ставки и план'!$A$5:$A$24,0)),""))</f>
        <v>850</v>
      </c>
      <c r="P1399" s="15">
        <f>IF(L1399="","",IFERROR(INDEX('Почасовка — ставки и план'!$E$5:$E$24,MATCH($D1399,'Почасовка — ставки и план'!$A$5:$A$24,0)),""))</f>
        <v>1020</v>
      </c>
      <c r="Q1399" s="15">
        <f t="shared" si="103"/>
        <v>68</v>
      </c>
      <c r="R1399" s="13" t="str">
        <f>IF(D1399="TEX","аренда техники — сделка/счёт",IF(OR(Q1399="",H1399="",H1399=0),"—",IF(Q1399&lt;H1399*(1-Параметры!$B$7),"почасовка",IF(Q1399&gt;H1399*(1+Параметры!$B$7),"сделка","любой способ"))))</f>
        <v>почасовка</v>
      </c>
      <c r="S1399">
        <v>0</v>
      </c>
      <c r="T1399">
        <v>0</v>
      </c>
    </row>
    <row r="1400" spans="1:20" x14ac:dyDescent="0.25">
      <c r="A1400" s="18" t="s">
        <v>2845</v>
      </c>
      <c r="B1400" s="13" t="s">
        <v>2846</v>
      </c>
      <c r="C1400" s="13" t="s">
        <v>69</v>
      </c>
      <c r="D1400" s="13" t="s">
        <v>273</v>
      </c>
      <c r="E1400" s="13" t="str">
        <f>IFERROR(INDEX('Почасовка — ставки и план'!$B$5:$B$24,MATCH(D1400,'Почасовка — ставки и план'!$A$5:$A$24,0)),"Аренда техники / механизмы")</f>
        <v>Электромонтажник</v>
      </c>
      <c r="F1400" s="14">
        <v>220</v>
      </c>
      <c r="G1400" s="14">
        <v>260</v>
      </c>
      <c r="H1400" s="15">
        <v>135</v>
      </c>
      <c r="I1400" s="15">
        <f>IF(OR(H1400="",F1400=""),"",MAX(H1400,MIN(ROUND(H1400*(1+Параметры!$B$5),IF(H1400*(1+Параметры!$B$5)&gt;=1000,-1,0)),ROUND(F1400*Параметры!$B$6,IF(F1400*Параметры!$B$6&gt;=1000,-1,0)))))</f>
        <v>155</v>
      </c>
      <c r="J1400" s="15">
        <v>160</v>
      </c>
      <c r="K1400" s="15">
        <f>IF(OR(J1400="",G1400=""),"",MAX(J1400,MIN(ROUND(J1400*(1+Параметры!$B$5),IF(J1400*(1+Параметры!$B$5)&gt;=1000,-1,0)),ROUND(G1400*Параметры!$B$6,IF(G1400*Параметры!$B$6&gt;=1000,-1,0)))))</f>
        <v>184</v>
      </c>
      <c r="L1400" s="16">
        <v>0.12</v>
      </c>
      <c r="M1400" s="17">
        <f t="shared" si="102"/>
        <v>8.3333333333333339</v>
      </c>
      <c r="N1400" s="17">
        <f>IF(OR(L1400="",L1400=0),"",Параметры!$B$3/L1400)</f>
        <v>66.666666666666671</v>
      </c>
      <c r="O1400" s="15">
        <f>IF(L1400="","",IFERROR(INDEX('Почасовка — ставки и план'!$D$5:$D$24,MATCH($D1400,'Почасовка — ставки и план'!$A$5:$A$24,0)),""))</f>
        <v>850</v>
      </c>
      <c r="P1400" s="15">
        <f>IF(L1400="","",IFERROR(INDEX('Почасовка — ставки и план'!$E$5:$E$24,MATCH($D1400,'Почасовка — ставки и план'!$A$5:$A$24,0)),""))</f>
        <v>1020</v>
      </c>
      <c r="Q1400" s="15">
        <f t="shared" si="103"/>
        <v>102</v>
      </c>
      <c r="R1400" s="13" t="str">
        <f>IF(D1400="TEX","аренда техники — сделка/счёт",IF(OR(Q1400="",H1400="",H1400=0),"—",IF(Q1400&lt;H1400*(1-Параметры!$B$7),"почасовка",IF(Q1400&gt;H1400*(1+Параметры!$B$7),"сделка","любой способ"))))</f>
        <v>почасовка</v>
      </c>
      <c r="S1400">
        <v>0</v>
      </c>
      <c r="T1400">
        <v>0</v>
      </c>
    </row>
    <row r="1401" spans="1:20" x14ac:dyDescent="0.25">
      <c r="A1401" s="18" t="s">
        <v>2847</v>
      </c>
      <c r="B1401" s="13" t="s">
        <v>2848</v>
      </c>
      <c r="C1401" s="13" t="s">
        <v>144</v>
      </c>
      <c r="D1401" s="13" t="s">
        <v>273</v>
      </c>
      <c r="E1401" s="13" t="str">
        <f>IFERROR(INDEX('Почасовка — ставки и план'!$B$5:$B$24,MATCH(D1401,'Почасовка — ставки и план'!$A$5:$A$24,0)),"Аренда техники / механизмы")</f>
        <v>Электромонтажник</v>
      </c>
      <c r="F1401" s="14">
        <v>400</v>
      </c>
      <c r="G1401" s="14">
        <v>470</v>
      </c>
      <c r="H1401" s="15">
        <v>250</v>
      </c>
      <c r="I1401" s="15">
        <f>IF(OR(H1401="",F1401=""),"",MAX(H1401,MIN(ROUND(H1401*(1+Параметры!$B$5),IF(H1401*(1+Параметры!$B$5)&gt;=1000,-1,0)),ROUND(F1401*Параметры!$B$6,IF(F1401*Параметры!$B$6&gt;=1000,-1,0)))))</f>
        <v>288</v>
      </c>
      <c r="J1401" s="15">
        <v>290</v>
      </c>
      <c r="K1401" s="15">
        <f>IF(OR(J1401="",G1401=""),"",MAX(J1401,MIN(ROUND(J1401*(1+Параметры!$B$5),IF(J1401*(1+Параметры!$B$5)&gt;=1000,-1,0)),ROUND(G1401*Параметры!$B$6,IF(G1401*Параметры!$B$6&gt;=1000,-1,0)))))</f>
        <v>334</v>
      </c>
      <c r="L1401" s="16">
        <v>0.3</v>
      </c>
      <c r="M1401" s="17">
        <f t="shared" si="102"/>
        <v>3.3333333333333335</v>
      </c>
      <c r="N1401" s="17">
        <f>IF(OR(L1401="",L1401=0),"",Параметры!$B$3/L1401)</f>
        <v>26.666666666666668</v>
      </c>
      <c r="O1401" s="15">
        <f>IF(L1401="","",IFERROR(INDEX('Почасовка — ставки и план'!$D$5:$D$24,MATCH($D1401,'Почасовка — ставки и план'!$A$5:$A$24,0)),""))</f>
        <v>850</v>
      </c>
      <c r="P1401" s="15">
        <f>IF(L1401="","",IFERROR(INDEX('Почасовка — ставки и план'!$E$5:$E$24,MATCH($D1401,'Почасовка — ставки и план'!$A$5:$A$24,0)),""))</f>
        <v>1020</v>
      </c>
      <c r="Q1401" s="15">
        <f t="shared" si="103"/>
        <v>255</v>
      </c>
      <c r="R1401" s="13" t="str">
        <f>IF(D1401="TEX","аренда техники — сделка/счёт",IF(OR(Q1401="",H1401="",H1401=0),"—",IF(Q1401&lt;H1401*(1-Параметры!$B$7),"почасовка",IF(Q1401&gt;H1401*(1+Параметры!$B$7),"сделка","любой способ"))))</f>
        <v>любой способ</v>
      </c>
      <c r="S1401">
        <v>0</v>
      </c>
      <c r="T1401">
        <v>0</v>
      </c>
    </row>
    <row r="1402" spans="1:20" x14ac:dyDescent="0.25">
      <c r="A1402" s="18" t="s">
        <v>2849</v>
      </c>
      <c r="B1402" s="13" t="s">
        <v>2850</v>
      </c>
      <c r="C1402" s="13" t="s">
        <v>69</v>
      </c>
      <c r="D1402" s="13" t="s">
        <v>273</v>
      </c>
      <c r="E1402" s="13" t="str">
        <f>IFERROR(INDEX('Почасовка — ставки и план'!$B$5:$B$24,MATCH(D1402,'Почасовка — ставки и план'!$A$5:$A$24,0)),"Аренда техники / механизмы")</f>
        <v>Электромонтажник</v>
      </c>
      <c r="F1402" s="14">
        <v>180</v>
      </c>
      <c r="G1402" s="14">
        <v>210</v>
      </c>
      <c r="H1402" s="15">
        <v>110</v>
      </c>
      <c r="I1402" s="15">
        <f>IF(OR(H1402="",F1402=""),"",MAX(H1402,MIN(ROUND(H1402*(1+Параметры!$B$5),IF(H1402*(1+Параметры!$B$5)&gt;=1000,-1,0)),ROUND(F1402*Параметры!$B$6,IF(F1402*Параметры!$B$6&gt;=1000,-1,0)))))</f>
        <v>127</v>
      </c>
      <c r="J1402" s="15">
        <v>130</v>
      </c>
      <c r="K1402" s="15">
        <f>IF(OR(J1402="",G1402=""),"",MAX(J1402,MIN(ROUND(J1402*(1+Параметры!$B$5),IF(J1402*(1+Параметры!$B$5)&gt;=1000,-1,0)),ROUND(G1402*Параметры!$B$6,IF(G1402*Параметры!$B$6&gt;=1000,-1,0)))))</f>
        <v>150</v>
      </c>
      <c r="L1402" s="16">
        <v>0.12</v>
      </c>
      <c r="M1402" s="17">
        <f t="shared" si="102"/>
        <v>8.3333333333333339</v>
      </c>
      <c r="N1402" s="17">
        <f>IF(OR(L1402="",L1402=0),"",Параметры!$B$3/L1402)</f>
        <v>66.666666666666671</v>
      </c>
      <c r="O1402" s="15">
        <f>IF(L1402="","",IFERROR(INDEX('Почасовка — ставки и план'!$D$5:$D$24,MATCH($D1402,'Почасовка — ставки и план'!$A$5:$A$24,0)),""))</f>
        <v>850</v>
      </c>
      <c r="P1402" s="15">
        <f>IF(L1402="","",IFERROR(INDEX('Почасовка — ставки и план'!$E$5:$E$24,MATCH($D1402,'Почасовка — ставки и план'!$A$5:$A$24,0)),""))</f>
        <v>1020</v>
      </c>
      <c r="Q1402" s="15">
        <f t="shared" si="103"/>
        <v>102</v>
      </c>
      <c r="R1402" s="13" t="str">
        <f>IF(D1402="TEX","аренда техники — сделка/счёт",IF(OR(Q1402="",H1402="",H1402=0),"—",IF(Q1402&lt;H1402*(1-Параметры!$B$7),"почасовка",IF(Q1402&gt;H1402*(1+Параметры!$B$7),"сделка","любой способ"))))</f>
        <v>любой способ</v>
      </c>
      <c r="S1402">
        <v>0</v>
      </c>
      <c r="T1402">
        <v>0</v>
      </c>
    </row>
    <row r="1403" spans="1:20" x14ac:dyDescent="0.25">
      <c r="A1403" s="18" t="s">
        <v>2851</v>
      </c>
      <c r="B1403" s="13" t="s">
        <v>2852</v>
      </c>
      <c r="C1403" s="13" t="s">
        <v>144</v>
      </c>
      <c r="D1403" s="13" t="s">
        <v>273</v>
      </c>
      <c r="E1403" s="13" t="str">
        <f>IFERROR(INDEX('Почасовка — ставки и план'!$B$5:$B$24,MATCH(D1403,'Почасовка — ставки и план'!$A$5:$A$24,0)),"Аренда техники / механизмы")</f>
        <v>Электромонтажник</v>
      </c>
      <c r="F1403" s="14">
        <v>700</v>
      </c>
      <c r="G1403" s="14">
        <v>820</v>
      </c>
      <c r="H1403" s="15">
        <v>430</v>
      </c>
      <c r="I1403" s="15">
        <f>IF(OR(H1403="",F1403=""),"",MAX(H1403,MIN(ROUND(H1403*(1+Параметры!$B$5),IF(H1403*(1+Параметры!$B$5)&gt;=1000,-1,0)),ROUND(F1403*Параметры!$B$6,IF(F1403*Параметры!$B$6&gt;=1000,-1,0)))))</f>
        <v>495</v>
      </c>
      <c r="J1403" s="15">
        <v>500</v>
      </c>
      <c r="K1403" s="15">
        <f>IF(OR(J1403="",G1403=""),"",MAX(J1403,MIN(ROUND(J1403*(1+Параметры!$B$5),IF(J1403*(1+Параметры!$B$5)&gt;=1000,-1,0)),ROUND(G1403*Параметры!$B$6,IF(G1403*Параметры!$B$6&gt;=1000,-1,0)))))</f>
        <v>575</v>
      </c>
      <c r="L1403" s="16">
        <v>0.5</v>
      </c>
      <c r="M1403" s="17">
        <f t="shared" si="102"/>
        <v>2</v>
      </c>
      <c r="N1403" s="17">
        <f>IF(OR(L1403="",L1403=0),"",Параметры!$B$3/L1403)</f>
        <v>16</v>
      </c>
      <c r="O1403" s="15">
        <f>IF(L1403="","",IFERROR(INDEX('Почасовка — ставки и план'!$D$5:$D$24,MATCH($D1403,'Почасовка — ставки и план'!$A$5:$A$24,0)),""))</f>
        <v>850</v>
      </c>
      <c r="P1403" s="15">
        <f>IF(L1403="","",IFERROR(INDEX('Почасовка — ставки и план'!$E$5:$E$24,MATCH($D1403,'Почасовка — ставки и план'!$A$5:$A$24,0)),""))</f>
        <v>1020</v>
      </c>
      <c r="Q1403" s="15">
        <f t="shared" si="103"/>
        <v>425</v>
      </c>
      <c r="R1403" s="13" t="str">
        <f>IF(D1403="TEX","аренда техники — сделка/счёт",IF(OR(Q1403="",H1403="",H1403=0),"—",IF(Q1403&lt;H1403*(1-Параметры!$B$7),"почасовка",IF(Q1403&gt;H1403*(1+Параметры!$B$7),"сделка","любой способ"))))</f>
        <v>любой способ</v>
      </c>
      <c r="S1403">
        <v>0</v>
      </c>
      <c r="T1403">
        <v>0</v>
      </c>
    </row>
    <row r="1404" spans="1:20" x14ac:dyDescent="0.25">
      <c r="A1404" s="18" t="s">
        <v>2853</v>
      </c>
      <c r="B1404" s="13" t="s">
        <v>2854</v>
      </c>
      <c r="C1404" s="13" t="s">
        <v>144</v>
      </c>
      <c r="D1404" s="13" t="s">
        <v>273</v>
      </c>
      <c r="E1404" s="13" t="str">
        <f>IFERROR(INDEX('Почасовка — ставки и план'!$B$5:$B$24,MATCH(D1404,'Почасовка — ставки и план'!$A$5:$A$24,0)),"Аренда техники / механизмы")</f>
        <v>Электромонтажник</v>
      </c>
      <c r="F1404" s="14">
        <v>900</v>
      </c>
      <c r="G1404" s="14">
        <v>1050</v>
      </c>
      <c r="H1404" s="15">
        <v>540</v>
      </c>
      <c r="I1404" s="15">
        <f>IF(OR(H1404="",F1404=""),"",MAX(H1404,MIN(ROUND(H1404*(1+Параметры!$B$5),IF(H1404*(1+Параметры!$B$5)&gt;=1000,-1,0)),ROUND(F1404*Параметры!$B$6,IF(F1404*Параметры!$B$6&gt;=1000,-1,0)))))</f>
        <v>621</v>
      </c>
      <c r="J1404" s="15">
        <v>630</v>
      </c>
      <c r="K1404" s="15">
        <f>IF(OR(J1404="",G1404=""),"",MAX(J1404,MIN(ROUND(J1404*(1+Параметры!$B$5),IF(J1404*(1+Параметры!$B$5)&gt;=1000,-1,0)),ROUND(G1404*Параметры!$B$6,IF(G1404*Параметры!$B$6&gt;=1000,-1,0)))))</f>
        <v>725</v>
      </c>
      <c r="L1404" s="16">
        <v>0.5</v>
      </c>
      <c r="M1404" s="17">
        <f t="shared" si="102"/>
        <v>2</v>
      </c>
      <c r="N1404" s="17">
        <f>IF(OR(L1404="",L1404=0),"",Параметры!$B$3/L1404)</f>
        <v>16</v>
      </c>
      <c r="O1404" s="15">
        <f>IF(L1404="","",IFERROR(INDEX('Почасовка — ставки и план'!$D$5:$D$24,MATCH($D1404,'Почасовка — ставки и план'!$A$5:$A$24,0)),""))</f>
        <v>850</v>
      </c>
      <c r="P1404" s="15">
        <f>IF(L1404="","",IFERROR(INDEX('Почасовка — ставки и план'!$E$5:$E$24,MATCH($D1404,'Почасовка — ставки и план'!$A$5:$A$24,0)),""))</f>
        <v>1020</v>
      </c>
      <c r="Q1404" s="15">
        <f t="shared" si="103"/>
        <v>425</v>
      </c>
      <c r="R1404" s="13" t="str">
        <f>IF(D1404="TEX","аренда техники — сделка/счёт",IF(OR(Q1404="",H1404="",H1404=0),"—",IF(Q1404&lt;H1404*(1-Параметры!$B$7),"почасовка",IF(Q1404&gt;H1404*(1+Параметры!$B$7),"сделка","любой способ"))))</f>
        <v>почасовка</v>
      </c>
      <c r="S1404">
        <v>0</v>
      </c>
      <c r="T1404">
        <v>0</v>
      </c>
    </row>
    <row r="1405" spans="1:20" x14ac:dyDescent="0.25">
      <c r="A1405" s="18" t="s">
        <v>2855</v>
      </c>
      <c r="B1405" s="13" t="s">
        <v>2856</v>
      </c>
      <c r="C1405" s="13" t="s">
        <v>69</v>
      </c>
      <c r="D1405" s="13" t="s">
        <v>273</v>
      </c>
      <c r="E1405" s="13" t="str">
        <f>IFERROR(INDEX('Почасовка — ставки и план'!$B$5:$B$24,MATCH(D1405,'Почасовка — ставки и план'!$A$5:$A$24,0)),"Аренда техники / механизмы")</f>
        <v>Электромонтажник</v>
      </c>
      <c r="F1405" s="14">
        <v>50</v>
      </c>
      <c r="G1405" s="14">
        <v>60</v>
      </c>
      <c r="H1405" s="15">
        <v>30</v>
      </c>
      <c r="I1405" s="15">
        <f>IF(OR(H1405="",F1405=""),"",MAX(H1405,MIN(ROUND(H1405*(1+Параметры!$B$5),IF(H1405*(1+Параметры!$B$5)&gt;=1000,-1,0)),ROUND(F1405*Параметры!$B$6,IF(F1405*Параметры!$B$6&gt;=1000,-1,0)))))</f>
        <v>35</v>
      </c>
      <c r="J1405" s="15">
        <v>36</v>
      </c>
      <c r="K1405" s="15">
        <f>IF(OR(J1405="",G1405=""),"",MAX(J1405,MIN(ROUND(J1405*(1+Параметры!$B$5),IF(J1405*(1+Параметры!$B$5)&gt;=1000,-1,0)),ROUND(G1405*Параметры!$B$6,IF(G1405*Параметры!$B$6&gt;=1000,-1,0)))))</f>
        <v>41</v>
      </c>
      <c r="L1405" s="16">
        <v>0.03</v>
      </c>
      <c r="M1405" s="17">
        <f t="shared" si="102"/>
        <v>33.333333333333336</v>
      </c>
      <c r="N1405" s="17">
        <f>IF(OR(L1405="",L1405=0),"",Параметры!$B$3/L1405)</f>
        <v>266.66666666666669</v>
      </c>
      <c r="O1405" s="15">
        <f>IF(L1405="","",IFERROR(INDEX('Почасовка — ставки и план'!$D$5:$D$24,MATCH($D1405,'Почасовка — ставки и план'!$A$5:$A$24,0)),""))</f>
        <v>850</v>
      </c>
      <c r="P1405" s="15">
        <f>IF(L1405="","",IFERROR(INDEX('Почасовка — ставки и план'!$E$5:$E$24,MATCH($D1405,'Почасовка — ставки и план'!$A$5:$A$24,0)),""))</f>
        <v>1020</v>
      </c>
      <c r="Q1405" s="15">
        <f t="shared" si="103"/>
        <v>26</v>
      </c>
      <c r="R1405" s="13" t="str">
        <f>IF(D1405="TEX","аренда техники — сделка/счёт",IF(OR(Q1405="",H1405="",H1405=0),"—",IF(Q1405&lt;H1405*(1-Параметры!$B$7),"почасовка",IF(Q1405&gt;H1405*(1+Параметры!$B$7),"сделка","любой способ"))))</f>
        <v>почасовка</v>
      </c>
      <c r="S1405">
        <v>0</v>
      </c>
      <c r="T1405">
        <v>0</v>
      </c>
    </row>
    <row r="1406" spans="1:20" x14ac:dyDescent="0.25">
      <c r="A1406" s="18" t="s">
        <v>2857</v>
      </c>
      <c r="B1406" s="13" t="s">
        <v>2858</v>
      </c>
      <c r="C1406" s="13" t="s">
        <v>144</v>
      </c>
      <c r="D1406" s="13" t="s">
        <v>273</v>
      </c>
      <c r="E1406" s="13" t="str">
        <f>IFERROR(INDEX('Почасовка — ставки и план'!$B$5:$B$24,MATCH(D1406,'Почасовка — ставки и план'!$A$5:$A$24,0)),"Аренда техники / механизмы")</f>
        <v>Электромонтажник</v>
      </c>
      <c r="F1406" s="14">
        <v>454</v>
      </c>
      <c r="G1406" s="14">
        <v>544</v>
      </c>
      <c r="H1406" s="15">
        <v>280</v>
      </c>
      <c r="I1406" s="15">
        <f>IF(OR(H1406="",F1406=""),"",MAX(H1406,MIN(ROUND(H1406*(1+Параметры!$B$5),IF(H1406*(1+Параметры!$B$5)&gt;=1000,-1,0)),ROUND(F1406*Параметры!$B$6,IF(F1406*Параметры!$B$6&gt;=1000,-1,0)))))</f>
        <v>322</v>
      </c>
      <c r="J1406" s="15">
        <v>330</v>
      </c>
      <c r="K1406" s="15">
        <f>IF(OR(J1406="",G1406=""),"",MAX(J1406,MIN(ROUND(J1406*(1+Параметры!$B$5),IF(J1406*(1+Параметры!$B$5)&gt;=1000,-1,0)),ROUND(G1406*Параметры!$B$6,IF(G1406*Параметры!$B$6&gt;=1000,-1,0)))))</f>
        <v>380</v>
      </c>
      <c r="L1406" s="16">
        <v>0.4</v>
      </c>
      <c r="M1406" s="17">
        <f t="shared" si="102"/>
        <v>2.5</v>
      </c>
      <c r="N1406" s="17">
        <f>IF(OR(L1406="",L1406=0),"",Параметры!$B$3/L1406)</f>
        <v>20</v>
      </c>
      <c r="O1406" s="15">
        <f>IF(L1406="","",IFERROR(INDEX('Почасовка — ставки и план'!$D$5:$D$24,MATCH($D1406,'Почасовка — ставки и план'!$A$5:$A$24,0)),""))</f>
        <v>850</v>
      </c>
      <c r="P1406" s="15">
        <f>IF(L1406="","",IFERROR(INDEX('Почасовка — ставки и план'!$E$5:$E$24,MATCH($D1406,'Почасовка — ставки и план'!$A$5:$A$24,0)),""))</f>
        <v>1020</v>
      </c>
      <c r="Q1406" s="15">
        <f t="shared" si="103"/>
        <v>340</v>
      </c>
      <c r="R1406" s="13" t="str">
        <f>IF(D1406="TEX","аренда техники — сделка/счёт",IF(OR(Q1406="",H1406="",H1406=0),"—",IF(Q1406&lt;H1406*(1-Параметры!$B$7),"почасовка",IF(Q1406&gt;H1406*(1+Параметры!$B$7),"сделка","любой способ"))))</f>
        <v>сделка</v>
      </c>
      <c r="S1406">
        <v>8.8888888888889461E-3</v>
      </c>
      <c r="T1406">
        <v>2.6415094339622639E-2</v>
      </c>
    </row>
    <row r="1407" spans="1:20" x14ac:dyDescent="0.25">
      <c r="A1407" s="18" t="s">
        <v>2859</v>
      </c>
      <c r="B1407" s="13" t="s">
        <v>2860</v>
      </c>
      <c r="C1407" s="13" t="s">
        <v>144</v>
      </c>
      <c r="D1407" s="13" t="s">
        <v>273</v>
      </c>
      <c r="E1407" s="13" t="str">
        <f>IFERROR(INDEX('Почасовка — ставки и план'!$B$5:$B$24,MATCH(D1407,'Почасовка — ставки и план'!$A$5:$A$24,0)),"Аренда техники / механизмы")</f>
        <v>Электромонтажник</v>
      </c>
      <c r="F1407" s="14">
        <v>58</v>
      </c>
      <c r="G1407" s="14">
        <v>68</v>
      </c>
      <c r="H1407" s="15">
        <v>30</v>
      </c>
      <c r="I1407" s="15">
        <f>IF(OR(H1407="",F1407=""),"",MAX(H1407,MIN(ROUND(H1407*(1+Параметры!$B$5),IF(H1407*(1+Параметры!$B$5)&gt;=1000,-1,0)),ROUND(F1407*Параметры!$B$6,IF(F1407*Параметры!$B$6&gt;=1000,-1,0)))))</f>
        <v>35</v>
      </c>
      <c r="J1407" s="15">
        <v>35</v>
      </c>
      <c r="K1407" s="15">
        <f>IF(OR(J1407="",G1407=""),"",MAX(J1407,MIN(ROUND(J1407*(1+Параметры!$B$5),IF(J1407*(1+Параметры!$B$5)&gt;=1000,-1,0)),ROUND(G1407*Параметры!$B$6,IF(G1407*Параметры!$B$6&gt;=1000,-1,0)))))</f>
        <v>40</v>
      </c>
      <c r="L1407" s="16">
        <v>0.05</v>
      </c>
      <c r="M1407" s="17">
        <f t="shared" si="102"/>
        <v>20</v>
      </c>
      <c r="N1407" s="17">
        <f>IF(OR(L1407="",L1407=0),"",Параметры!$B$3/L1407)</f>
        <v>160</v>
      </c>
      <c r="O1407" s="15">
        <f>IF(L1407="","",IFERROR(INDEX('Почасовка — ставки и план'!$D$5:$D$24,MATCH($D1407,'Почасовка — ставки и план'!$A$5:$A$24,0)),""))</f>
        <v>850</v>
      </c>
      <c r="P1407" s="15">
        <f>IF(L1407="","",IFERROR(INDEX('Почасовка — ставки и план'!$E$5:$E$24,MATCH($D1407,'Почасовка — ставки и план'!$A$5:$A$24,0)),""))</f>
        <v>1020</v>
      </c>
      <c r="Q1407" s="15">
        <f t="shared" si="103"/>
        <v>43</v>
      </c>
      <c r="R1407" s="13" t="str">
        <f>IF(D1407="TEX","аренда техники — сделка/счёт",IF(OR(Q1407="",H1407="",H1407=0),"—",IF(Q1407&lt;H1407*(1-Параметры!$B$7),"почасовка",IF(Q1407&gt;H1407*(1+Параметры!$B$7),"сделка","любой способ"))))</f>
        <v>сделка</v>
      </c>
      <c r="S1407">
        <v>0.15999999999999989</v>
      </c>
      <c r="T1407">
        <v>0.1333333333333333</v>
      </c>
    </row>
    <row r="1408" spans="1:20" x14ac:dyDescent="0.25">
      <c r="A1408" s="11" t="s">
        <v>2861</v>
      </c>
      <c r="B1408" s="12"/>
      <c r="C1408" s="12"/>
      <c r="D1408" s="12"/>
      <c r="E1408" s="12"/>
      <c r="F1408" s="12"/>
      <c r="G1408" s="12"/>
      <c r="H1408" s="12"/>
      <c r="I1408" s="12"/>
      <c r="J1408" s="12"/>
      <c r="K1408" s="12"/>
      <c r="L1408" s="12"/>
      <c r="M1408" s="12"/>
      <c r="N1408" s="12"/>
      <c r="O1408" s="12"/>
      <c r="P1408" s="12"/>
      <c r="Q1408" s="12"/>
      <c r="R1408" s="12"/>
    </row>
    <row r="1409" spans="1:20" x14ac:dyDescent="0.25">
      <c r="A1409" s="13" t="s">
        <v>2862</v>
      </c>
      <c r="B1409" s="13" t="s">
        <v>2863</v>
      </c>
      <c r="C1409" s="13" t="s">
        <v>144</v>
      </c>
      <c r="D1409" s="13" t="s">
        <v>2663</v>
      </c>
      <c r="E1409" s="13" t="str">
        <f>IFERROR(INDEX('Почасовка — ставки и план'!$B$5:$B$24,MATCH(D1409,'Почасовка — ставки и план'!$A$5:$A$24,0)),"Аренда техники / механизмы")</f>
        <v>Инженер электролаборатории / ПНР</v>
      </c>
      <c r="F1409" s="14">
        <v>2500</v>
      </c>
      <c r="G1409" s="14">
        <v>2900</v>
      </c>
      <c r="H1409" s="15">
        <v>1500</v>
      </c>
      <c r="I1409" s="15">
        <f>IF(OR(H1409="",F1409=""),"",MAX(H1409,MIN(ROUND(H1409*(1+Параметры!$B$5),IF(H1409*(1+Параметры!$B$5)&gt;=1000,-1,0)),ROUND(F1409*Параметры!$B$6,IF(F1409*Параметры!$B$6&gt;=1000,-1,0)))))</f>
        <v>1730</v>
      </c>
      <c r="J1409" s="15">
        <v>1750</v>
      </c>
      <c r="K1409" s="15">
        <f>IF(OR(J1409="",G1409=""),"",MAX(J1409,MIN(ROUND(J1409*(1+Параметры!$B$5),IF(J1409*(1+Параметры!$B$5)&gt;=1000,-1,0)),ROUND(G1409*Параметры!$B$6,IF(G1409*Параметры!$B$6&gt;=1000,-1,0)))))</f>
        <v>2010</v>
      </c>
      <c r="L1409" s="16">
        <v>1</v>
      </c>
      <c r="M1409" s="17">
        <f t="shared" ref="M1409:M1440" si="104">IF(OR(L1409="",L1409=0),"",1/L1409)</f>
        <v>1</v>
      </c>
      <c r="N1409" s="17">
        <f>IF(OR(L1409="",L1409=0),"",Параметры!$B$3/L1409)</f>
        <v>8</v>
      </c>
      <c r="O1409" s="15">
        <f>IF(L1409="","",IFERROR(INDEX('Почасовка — ставки и план'!$D$5:$D$24,MATCH($D1409,'Почасовка — ставки и план'!$A$5:$A$24,0)),""))</f>
        <v>1400</v>
      </c>
      <c r="P1409" s="15">
        <f>IF(L1409="","",IFERROR(INDEX('Почасовка — ставки и план'!$E$5:$E$24,MATCH($D1409,'Почасовка — ставки и план'!$A$5:$A$24,0)),""))</f>
        <v>1680</v>
      </c>
      <c r="Q1409" s="15">
        <f t="shared" ref="Q1409:Q1440" si="105">IF(OR(L1409="",O1409=""),"",ROUND(L1409*O1409,0))</f>
        <v>1400</v>
      </c>
      <c r="R1409" s="13" t="str">
        <f>IF(D1409="TEX","аренда техники — сделка/счёт",IF(OR(Q1409="",H1409="",H1409=0),"—",IF(Q1409&lt;H1409*(1-Параметры!$B$7),"почасовка",IF(Q1409&gt;H1409*(1+Параметры!$B$7),"сделка","любой способ"))))</f>
        <v>любой способ</v>
      </c>
      <c r="S1409">
        <v>0</v>
      </c>
      <c r="T1409">
        <v>0</v>
      </c>
    </row>
    <row r="1410" spans="1:20" x14ac:dyDescent="0.25">
      <c r="A1410" s="13" t="s">
        <v>2864</v>
      </c>
      <c r="B1410" s="13" t="s">
        <v>2865</v>
      </c>
      <c r="C1410" s="13" t="s">
        <v>144</v>
      </c>
      <c r="D1410" s="13" t="s">
        <v>2663</v>
      </c>
      <c r="E1410" s="13" t="str">
        <f>IFERROR(INDEX('Почасовка — ставки и план'!$B$5:$B$24,MATCH(D1410,'Почасовка — ставки и план'!$A$5:$A$24,0)),"Аренда техники / механизмы")</f>
        <v>Инженер электролаборатории / ПНР</v>
      </c>
      <c r="F1410" s="14">
        <v>2500</v>
      </c>
      <c r="G1410" s="14">
        <v>2900</v>
      </c>
      <c r="H1410" s="15">
        <v>1500</v>
      </c>
      <c r="I1410" s="15">
        <f>IF(OR(H1410="",F1410=""),"",MAX(H1410,MIN(ROUND(H1410*(1+Параметры!$B$5),IF(H1410*(1+Параметры!$B$5)&gt;=1000,-1,0)),ROUND(F1410*Параметры!$B$6,IF(F1410*Параметры!$B$6&gt;=1000,-1,0)))))</f>
        <v>1730</v>
      </c>
      <c r="J1410" s="15">
        <v>1750</v>
      </c>
      <c r="K1410" s="15">
        <f>IF(OR(J1410="",G1410=""),"",MAX(J1410,MIN(ROUND(J1410*(1+Параметры!$B$5),IF(J1410*(1+Параметры!$B$5)&gt;=1000,-1,0)),ROUND(G1410*Параметры!$B$6,IF(G1410*Параметры!$B$6&gt;=1000,-1,0)))))</f>
        <v>2010</v>
      </c>
      <c r="L1410" s="16">
        <v>1</v>
      </c>
      <c r="M1410" s="17">
        <f t="shared" si="104"/>
        <v>1</v>
      </c>
      <c r="N1410" s="17">
        <f>IF(OR(L1410="",L1410=0),"",Параметры!$B$3/L1410)</f>
        <v>8</v>
      </c>
      <c r="O1410" s="15">
        <f>IF(L1410="","",IFERROR(INDEX('Почасовка — ставки и план'!$D$5:$D$24,MATCH($D1410,'Почасовка — ставки и план'!$A$5:$A$24,0)),""))</f>
        <v>1400</v>
      </c>
      <c r="P1410" s="15">
        <f>IF(L1410="","",IFERROR(INDEX('Почасовка — ставки и план'!$E$5:$E$24,MATCH($D1410,'Почасовка — ставки и план'!$A$5:$A$24,0)),""))</f>
        <v>1680</v>
      </c>
      <c r="Q1410" s="15">
        <f t="shared" si="105"/>
        <v>1400</v>
      </c>
      <c r="R1410" s="13" t="str">
        <f>IF(D1410="TEX","аренда техники — сделка/счёт",IF(OR(Q1410="",H1410="",H1410=0),"—",IF(Q1410&lt;H1410*(1-Параметры!$B$7),"почасовка",IF(Q1410&gt;H1410*(1+Параметры!$B$7),"сделка","любой способ"))))</f>
        <v>любой способ</v>
      </c>
      <c r="S1410">
        <v>0</v>
      </c>
      <c r="T1410">
        <v>0</v>
      </c>
    </row>
    <row r="1411" spans="1:20" x14ac:dyDescent="0.25">
      <c r="A1411" s="13" t="s">
        <v>2866</v>
      </c>
      <c r="B1411" s="13" t="s">
        <v>2867</v>
      </c>
      <c r="C1411" s="13" t="s">
        <v>144</v>
      </c>
      <c r="D1411" s="13" t="s">
        <v>2663</v>
      </c>
      <c r="E1411" s="13" t="str">
        <f>IFERROR(INDEX('Почасовка — ставки и план'!$B$5:$B$24,MATCH(D1411,'Почасовка — ставки и план'!$A$5:$A$24,0)),"Аренда техники / механизмы")</f>
        <v>Инженер электролаборатории / ПНР</v>
      </c>
      <c r="F1411" s="14">
        <v>5000</v>
      </c>
      <c r="G1411" s="14">
        <v>5800</v>
      </c>
      <c r="H1411" s="15">
        <v>3000</v>
      </c>
      <c r="I1411" s="15">
        <f>IF(OR(H1411="",F1411=""),"",MAX(H1411,MIN(ROUND(H1411*(1+Параметры!$B$5),IF(H1411*(1+Параметры!$B$5)&gt;=1000,-1,0)),ROUND(F1411*Параметры!$B$6,IF(F1411*Параметры!$B$6&gt;=1000,-1,0)))))</f>
        <v>3450</v>
      </c>
      <c r="J1411" s="15">
        <v>3500</v>
      </c>
      <c r="K1411" s="15">
        <f>IF(OR(J1411="",G1411=""),"",MAX(J1411,MIN(ROUND(J1411*(1+Параметры!$B$5),IF(J1411*(1+Параметры!$B$5)&gt;=1000,-1,0)),ROUND(G1411*Параметры!$B$6,IF(G1411*Параметры!$B$6&gt;=1000,-1,0)))))</f>
        <v>4030</v>
      </c>
      <c r="L1411" s="16">
        <v>2.5</v>
      </c>
      <c r="M1411" s="17">
        <f t="shared" si="104"/>
        <v>0.4</v>
      </c>
      <c r="N1411" s="17">
        <f>IF(OR(L1411="",L1411=0),"",Параметры!$B$3/L1411)</f>
        <v>3.2</v>
      </c>
      <c r="O1411" s="15">
        <f>IF(L1411="","",IFERROR(INDEX('Почасовка — ставки и план'!$D$5:$D$24,MATCH($D1411,'Почасовка — ставки и план'!$A$5:$A$24,0)),""))</f>
        <v>1400</v>
      </c>
      <c r="P1411" s="15">
        <f>IF(L1411="","",IFERROR(INDEX('Почасовка — ставки и план'!$E$5:$E$24,MATCH($D1411,'Почасовка — ставки и план'!$A$5:$A$24,0)),""))</f>
        <v>1680</v>
      </c>
      <c r="Q1411" s="15">
        <f t="shared" si="105"/>
        <v>3500</v>
      </c>
      <c r="R1411" s="13" t="str">
        <f>IF(D1411="TEX","аренда техники — сделка/счёт",IF(OR(Q1411="",H1411="",H1411=0),"—",IF(Q1411&lt;H1411*(1-Параметры!$B$7),"почасовка",IF(Q1411&gt;H1411*(1+Параметры!$B$7),"сделка","любой способ"))))</f>
        <v>сделка</v>
      </c>
      <c r="S1411">
        <v>0</v>
      </c>
      <c r="T1411">
        <v>0</v>
      </c>
    </row>
    <row r="1412" spans="1:20" x14ac:dyDescent="0.25">
      <c r="A1412" s="13" t="s">
        <v>2868</v>
      </c>
      <c r="B1412" s="13" t="s">
        <v>2869</v>
      </c>
      <c r="C1412" s="13" t="s">
        <v>144</v>
      </c>
      <c r="D1412" s="13" t="s">
        <v>273</v>
      </c>
      <c r="E1412" s="13" t="str">
        <f>IFERROR(INDEX('Почасовка — ставки и план'!$B$5:$B$24,MATCH(D1412,'Почасовка — ставки и план'!$A$5:$A$24,0)),"Аренда техники / механизмы")</f>
        <v>Электромонтажник</v>
      </c>
      <c r="F1412" s="14">
        <v>1500</v>
      </c>
      <c r="G1412" s="14">
        <v>1750</v>
      </c>
      <c r="H1412" s="15">
        <v>900</v>
      </c>
      <c r="I1412" s="15">
        <f>IF(OR(H1412="",F1412=""),"",MAX(H1412,MIN(ROUND(H1412*(1+Параметры!$B$5),IF(H1412*(1+Параметры!$B$5)&gt;=1000,-1,0)),ROUND(F1412*Параметры!$B$6,IF(F1412*Параметры!$B$6&gt;=1000,-1,0)))))</f>
        <v>1040</v>
      </c>
      <c r="J1412" s="15">
        <v>1050</v>
      </c>
      <c r="K1412" s="15">
        <f>IF(OR(J1412="",G1412=""),"",MAX(J1412,MIN(ROUND(J1412*(1+Параметры!$B$5),IF(J1412*(1+Параметры!$B$5)&gt;=1000,-1,0)),ROUND(G1412*Параметры!$B$6,IF(G1412*Параметры!$B$6&gt;=1000,-1,0)))))</f>
        <v>1210</v>
      </c>
      <c r="L1412" s="16">
        <v>0.8</v>
      </c>
      <c r="M1412" s="17">
        <f t="shared" si="104"/>
        <v>1.25</v>
      </c>
      <c r="N1412" s="17">
        <f>IF(OR(L1412="",L1412=0),"",Параметры!$B$3/L1412)</f>
        <v>10</v>
      </c>
      <c r="O1412" s="15">
        <f>IF(L1412="","",IFERROR(INDEX('Почасовка — ставки и план'!$D$5:$D$24,MATCH($D1412,'Почасовка — ставки и план'!$A$5:$A$24,0)),""))</f>
        <v>850</v>
      </c>
      <c r="P1412" s="15">
        <f>IF(L1412="","",IFERROR(INDEX('Почасовка — ставки и план'!$E$5:$E$24,MATCH($D1412,'Почасовка — ставки и план'!$A$5:$A$24,0)),""))</f>
        <v>1020</v>
      </c>
      <c r="Q1412" s="15">
        <f t="shared" si="105"/>
        <v>680</v>
      </c>
      <c r="R1412" s="13" t="str">
        <f>IF(D1412="TEX","аренда техники — сделка/счёт",IF(OR(Q1412="",H1412="",H1412=0),"—",IF(Q1412&lt;H1412*(1-Параметры!$B$7),"почасовка",IF(Q1412&gt;H1412*(1+Параметры!$B$7),"сделка","любой способ"))))</f>
        <v>почасовка</v>
      </c>
      <c r="S1412">
        <v>0</v>
      </c>
      <c r="T1412">
        <v>0</v>
      </c>
    </row>
    <row r="1413" spans="1:20" x14ac:dyDescent="0.25">
      <c r="A1413" s="13" t="s">
        <v>2870</v>
      </c>
      <c r="B1413" s="13" t="s">
        <v>2871</v>
      </c>
      <c r="C1413" s="13" t="s">
        <v>144</v>
      </c>
      <c r="D1413" s="13" t="s">
        <v>273</v>
      </c>
      <c r="E1413" s="13" t="str">
        <f>IFERROR(INDEX('Почасовка — ставки и план'!$B$5:$B$24,MATCH(D1413,'Почасовка — ставки и план'!$A$5:$A$24,0)),"Аренда техники / механизмы")</f>
        <v>Электромонтажник</v>
      </c>
      <c r="F1413" s="14">
        <v>700</v>
      </c>
      <c r="G1413" s="14">
        <v>820</v>
      </c>
      <c r="H1413" s="15">
        <v>420</v>
      </c>
      <c r="I1413" s="15">
        <f>IF(OR(H1413="",F1413=""),"",MAX(H1413,MIN(ROUND(H1413*(1+Параметры!$B$5),IF(H1413*(1+Параметры!$B$5)&gt;=1000,-1,0)),ROUND(F1413*Параметры!$B$6,IF(F1413*Параметры!$B$6&gt;=1000,-1,0)))))</f>
        <v>483</v>
      </c>
      <c r="J1413" s="15">
        <v>500</v>
      </c>
      <c r="K1413" s="15">
        <f>IF(OR(J1413="",G1413=""),"",MAX(J1413,MIN(ROUND(J1413*(1+Параметры!$B$5),IF(J1413*(1+Параметры!$B$5)&gt;=1000,-1,0)),ROUND(G1413*Параметры!$B$6,IF(G1413*Параметры!$B$6&gt;=1000,-1,0)))))</f>
        <v>575</v>
      </c>
      <c r="L1413" s="16">
        <v>0.4</v>
      </c>
      <c r="M1413" s="17">
        <f t="shared" si="104"/>
        <v>2.5</v>
      </c>
      <c r="N1413" s="17">
        <f>IF(OR(L1413="",L1413=0),"",Параметры!$B$3/L1413)</f>
        <v>20</v>
      </c>
      <c r="O1413" s="15">
        <f>IF(L1413="","",IFERROR(INDEX('Почасовка — ставки и план'!$D$5:$D$24,MATCH($D1413,'Почасовка — ставки и план'!$A$5:$A$24,0)),""))</f>
        <v>850</v>
      </c>
      <c r="P1413" s="15">
        <f>IF(L1413="","",IFERROR(INDEX('Почасовка — ставки и план'!$E$5:$E$24,MATCH($D1413,'Почасовка — ставки и план'!$A$5:$A$24,0)),""))</f>
        <v>1020</v>
      </c>
      <c r="Q1413" s="15">
        <f t="shared" si="105"/>
        <v>340</v>
      </c>
      <c r="R1413" s="13" t="str">
        <f>IF(D1413="TEX","аренда техники — сделка/счёт",IF(OR(Q1413="",H1413="",H1413=0),"—",IF(Q1413&lt;H1413*(1-Параметры!$B$7),"почасовка",IF(Q1413&gt;H1413*(1+Параметры!$B$7),"сделка","любой способ"))))</f>
        <v>почасовка</v>
      </c>
      <c r="S1413">
        <v>0</v>
      </c>
      <c r="T1413">
        <v>0</v>
      </c>
    </row>
    <row r="1414" spans="1:20" x14ac:dyDescent="0.25">
      <c r="A1414" s="13" t="s">
        <v>2872</v>
      </c>
      <c r="B1414" s="13" t="s">
        <v>2873</v>
      </c>
      <c r="C1414" s="13" t="s">
        <v>144</v>
      </c>
      <c r="D1414" s="13" t="s">
        <v>273</v>
      </c>
      <c r="E1414" s="13" t="str">
        <f>IFERROR(INDEX('Почасовка — ставки и план'!$B$5:$B$24,MATCH(D1414,'Почасовка — ставки и план'!$A$5:$A$24,0)),"Аренда техники / механизмы")</f>
        <v>Электромонтажник</v>
      </c>
      <c r="F1414" s="14">
        <v>800</v>
      </c>
      <c r="G1414" s="14">
        <v>950</v>
      </c>
      <c r="H1414" s="15">
        <v>500</v>
      </c>
      <c r="I1414" s="15">
        <f>IF(OR(H1414="",F1414=""),"",MAX(H1414,MIN(ROUND(H1414*(1+Параметры!$B$5),IF(H1414*(1+Параметры!$B$5)&gt;=1000,-1,0)),ROUND(F1414*Параметры!$B$6,IF(F1414*Параметры!$B$6&gt;=1000,-1,0)))))</f>
        <v>575</v>
      </c>
      <c r="J1414" s="15">
        <v>580</v>
      </c>
      <c r="K1414" s="15">
        <f>IF(OR(J1414="",G1414=""),"",MAX(J1414,MIN(ROUND(J1414*(1+Параметры!$B$5),IF(J1414*(1+Параметры!$B$5)&gt;=1000,-1,0)),ROUND(G1414*Параметры!$B$6,IF(G1414*Параметры!$B$6&gt;=1000,-1,0)))))</f>
        <v>667</v>
      </c>
      <c r="L1414" s="16">
        <v>0.5</v>
      </c>
      <c r="M1414" s="17">
        <f t="shared" si="104"/>
        <v>2</v>
      </c>
      <c r="N1414" s="17">
        <f>IF(OR(L1414="",L1414=0),"",Параметры!$B$3/L1414)</f>
        <v>16</v>
      </c>
      <c r="O1414" s="15">
        <f>IF(L1414="","",IFERROR(INDEX('Почасовка — ставки и план'!$D$5:$D$24,MATCH($D1414,'Почасовка — ставки и план'!$A$5:$A$24,0)),""))</f>
        <v>850</v>
      </c>
      <c r="P1414" s="15">
        <f>IF(L1414="","",IFERROR(INDEX('Почасовка — ставки и план'!$E$5:$E$24,MATCH($D1414,'Почасовка — ставки и план'!$A$5:$A$24,0)),""))</f>
        <v>1020</v>
      </c>
      <c r="Q1414" s="15">
        <f t="shared" si="105"/>
        <v>425</v>
      </c>
      <c r="R1414" s="13" t="str">
        <f>IF(D1414="TEX","аренда техники — сделка/счёт",IF(OR(Q1414="",H1414="",H1414=0),"—",IF(Q1414&lt;H1414*(1-Параметры!$B$7),"почасовка",IF(Q1414&gt;H1414*(1+Параметры!$B$7),"сделка","любой способ"))))</f>
        <v>почасовка</v>
      </c>
      <c r="S1414">
        <v>0</v>
      </c>
      <c r="T1414">
        <v>0</v>
      </c>
    </row>
    <row r="1415" spans="1:20" x14ac:dyDescent="0.25">
      <c r="A1415" s="13" t="s">
        <v>2874</v>
      </c>
      <c r="B1415" s="13" t="s">
        <v>2875</v>
      </c>
      <c r="C1415" s="13" t="s">
        <v>144</v>
      </c>
      <c r="D1415" s="13" t="s">
        <v>273</v>
      </c>
      <c r="E1415" s="13" t="str">
        <f>IFERROR(INDEX('Почасовка — ставки и план'!$B$5:$B$24,MATCH(D1415,'Почасовка — ставки и план'!$A$5:$A$24,0)),"Аренда техники / механизмы")</f>
        <v>Электромонтажник</v>
      </c>
      <c r="F1415" s="14">
        <v>700</v>
      </c>
      <c r="G1415" s="14">
        <v>820</v>
      </c>
      <c r="H1415" s="15">
        <v>430</v>
      </c>
      <c r="I1415" s="15">
        <f>IF(OR(H1415="",F1415=""),"",MAX(H1415,MIN(ROUND(H1415*(1+Параметры!$B$5),IF(H1415*(1+Параметры!$B$5)&gt;=1000,-1,0)),ROUND(F1415*Параметры!$B$6,IF(F1415*Параметры!$B$6&gt;=1000,-1,0)))))</f>
        <v>495</v>
      </c>
      <c r="J1415" s="15">
        <v>500</v>
      </c>
      <c r="K1415" s="15">
        <f>IF(OR(J1415="",G1415=""),"",MAX(J1415,MIN(ROUND(J1415*(1+Параметры!$B$5),IF(J1415*(1+Параметры!$B$5)&gt;=1000,-1,0)),ROUND(G1415*Параметры!$B$6,IF(G1415*Параметры!$B$6&gt;=1000,-1,0)))))</f>
        <v>575</v>
      </c>
      <c r="L1415" s="16">
        <v>0.5</v>
      </c>
      <c r="M1415" s="17">
        <f t="shared" si="104"/>
        <v>2</v>
      </c>
      <c r="N1415" s="17">
        <f>IF(OR(L1415="",L1415=0),"",Параметры!$B$3/L1415)</f>
        <v>16</v>
      </c>
      <c r="O1415" s="15">
        <f>IF(L1415="","",IFERROR(INDEX('Почасовка — ставки и план'!$D$5:$D$24,MATCH($D1415,'Почасовка — ставки и план'!$A$5:$A$24,0)),""))</f>
        <v>850</v>
      </c>
      <c r="P1415" s="15">
        <f>IF(L1415="","",IFERROR(INDEX('Почасовка — ставки и план'!$E$5:$E$24,MATCH($D1415,'Почасовка — ставки и план'!$A$5:$A$24,0)),""))</f>
        <v>1020</v>
      </c>
      <c r="Q1415" s="15">
        <f t="shared" si="105"/>
        <v>425</v>
      </c>
      <c r="R1415" s="13" t="str">
        <f>IF(D1415="TEX","аренда техники — сделка/счёт",IF(OR(Q1415="",H1415="",H1415=0),"—",IF(Q1415&lt;H1415*(1-Параметры!$B$7),"почасовка",IF(Q1415&gt;H1415*(1+Параметры!$B$7),"сделка","любой способ"))))</f>
        <v>любой способ</v>
      </c>
      <c r="S1415">
        <v>0</v>
      </c>
      <c r="T1415">
        <v>0</v>
      </c>
    </row>
    <row r="1416" spans="1:20" x14ac:dyDescent="0.25">
      <c r="A1416" s="13" t="s">
        <v>2876</v>
      </c>
      <c r="B1416" s="13" t="s">
        <v>2877</v>
      </c>
      <c r="C1416" s="13" t="s">
        <v>144</v>
      </c>
      <c r="D1416" s="13" t="s">
        <v>273</v>
      </c>
      <c r="E1416" s="13" t="str">
        <f>IFERROR(INDEX('Почасовка — ставки и план'!$B$5:$B$24,MATCH(D1416,'Почасовка — ставки и план'!$A$5:$A$24,0)),"Аренда техники / механизмы")</f>
        <v>Электромонтажник</v>
      </c>
      <c r="F1416" s="14">
        <v>420</v>
      </c>
      <c r="G1416" s="14">
        <v>500</v>
      </c>
      <c r="H1416" s="15">
        <v>260</v>
      </c>
      <c r="I1416" s="15">
        <f>IF(OR(H1416="",F1416=""),"",MAX(H1416,MIN(ROUND(H1416*(1+Параметры!$B$5),IF(H1416*(1+Параметры!$B$5)&gt;=1000,-1,0)),ROUND(F1416*Параметры!$B$6,IF(F1416*Параметры!$B$6&gt;=1000,-1,0)))))</f>
        <v>299</v>
      </c>
      <c r="J1416" s="15">
        <v>310</v>
      </c>
      <c r="K1416" s="15">
        <f>IF(OR(J1416="",G1416=""),"",MAX(J1416,MIN(ROUND(J1416*(1+Параметры!$B$5),IF(J1416*(1+Параметры!$B$5)&gt;=1000,-1,0)),ROUND(G1416*Параметры!$B$6,IF(G1416*Параметры!$B$6&gt;=1000,-1,0)))))</f>
        <v>357</v>
      </c>
      <c r="L1416" s="16">
        <v>0.35</v>
      </c>
      <c r="M1416" s="17">
        <f t="shared" si="104"/>
        <v>2.8571428571428572</v>
      </c>
      <c r="N1416" s="17">
        <f>IF(OR(L1416="",L1416=0),"",Параметры!$B$3/L1416)</f>
        <v>22.857142857142858</v>
      </c>
      <c r="O1416" s="15">
        <f>IF(L1416="","",IFERROR(INDEX('Почасовка — ставки и план'!$D$5:$D$24,MATCH($D1416,'Почасовка — ставки и план'!$A$5:$A$24,0)),""))</f>
        <v>850</v>
      </c>
      <c r="P1416" s="15">
        <f>IF(L1416="","",IFERROR(INDEX('Почасовка — ставки и план'!$E$5:$E$24,MATCH($D1416,'Почасовка — ставки и план'!$A$5:$A$24,0)),""))</f>
        <v>1020</v>
      </c>
      <c r="Q1416" s="15">
        <f t="shared" si="105"/>
        <v>298</v>
      </c>
      <c r="R1416" s="13" t="str">
        <f>IF(D1416="TEX","аренда техники — сделка/счёт",IF(OR(Q1416="",H1416="",H1416=0),"—",IF(Q1416&lt;H1416*(1-Параметры!$B$7),"почасовка",IF(Q1416&gt;H1416*(1+Параметры!$B$7),"сделка","любой способ"))))</f>
        <v>сделка</v>
      </c>
      <c r="S1416">
        <v>0</v>
      </c>
      <c r="T1416">
        <v>0</v>
      </c>
    </row>
    <row r="1417" spans="1:20" x14ac:dyDescent="0.25">
      <c r="A1417" s="13" t="s">
        <v>2878</v>
      </c>
      <c r="B1417" s="13" t="s">
        <v>2879</v>
      </c>
      <c r="C1417" s="13" t="s">
        <v>144</v>
      </c>
      <c r="D1417" s="13" t="s">
        <v>273</v>
      </c>
      <c r="E1417" s="13" t="str">
        <f>IFERROR(INDEX('Почасовка — ставки и план'!$B$5:$B$24,MATCH(D1417,'Почасовка — ставки и план'!$A$5:$A$24,0)),"Аренда техники / механизмы")</f>
        <v>Электромонтажник</v>
      </c>
      <c r="F1417" s="14">
        <v>454</v>
      </c>
      <c r="G1417" s="14">
        <v>544</v>
      </c>
      <c r="H1417" s="15">
        <v>280</v>
      </c>
      <c r="I1417" s="15">
        <f>IF(OR(H1417="",F1417=""),"",MAX(H1417,MIN(ROUND(H1417*(1+Параметры!$B$5),IF(H1417*(1+Параметры!$B$5)&gt;=1000,-1,0)),ROUND(F1417*Параметры!$B$6,IF(F1417*Параметры!$B$6&gt;=1000,-1,0)))))</f>
        <v>322</v>
      </c>
      <c r="J1417" s="15">
        <v>330</v>
      </c>
      <c r="K1417" s="15">
        <f>IF(OR(J1417="",G1417=""),"",MAX(J1417,MIN(ROUND(J1417*(1+Параметры!$B$5),IF(J1417*(1+Параметры!$B$5)&gt;=1000,-1,0)),ROUND(G1417*Параметры!$B$6,IF(G1417*Параметры!$B$6&gt;=1000,-1,0)))))</f>
        <v>380</v>
      </c>
      <c r="L1417" s="16">
        <v>0.4</v>
      </c>
      <c r="M1417" s="17">
        <f t="shared" si="104"/>
        <v>2.5</v>
      </c>
      <c r="N1417" s="17">
        <f>IF(OR(L1417="",L1417=0),"",Параметры!$B$3/L1417)</f>
        <v>20</v>
      </c>
      <c r="O1417" s="15">
        <f>IF(L1417="","",IFERROR(INDEX('Почасовка — ставки и план'!$D$5:$D$24,MATCH($D1417,'Почасовка — ставки и план'!$A$5:$A$24,0)),""))</f>
        <v>850</v>
      </c>
      <c r="P1417" s="15">
        <f>IF(L1417="","",IFERROR(INDEX('Почасовка — ставки и план'!$E$5:$E$24,MATCH($D1417,'Почасовка — ставки и план'!$A$5:$A$24,0)),""))</f>
        <v>1020</v>
      </c>
      <c r="Q1417" s="15">
        <f t="shared" si="105"/>
        <v>340</v>
      </c>
      <c r="R1417" s="13" t="str">
        <f>IF(D1417="TEX","аренда техники — сделка/счёт",IF(OR(Q1417="",H1417="",H1417=0),"—",IF(Q1417&lt;H1417*(1-Параметры!$B$7),"почасовка",IF(Q1417&gt;H1417*(1+Параметры!$B$7),"сделка","любой способ"))))</f>
        <v>сделка</v>
      </c>
      <c r="S1417">
        <v>8.8888888888889461E-3</v>
      </c>
      <c r="T1417">
        <v>2.6415094339622639E-2</v>
      </c>
    </row>
    <row r="1418" spans="1:20" x14ac:dyDescent="0.25">
      <c r="A1418" s="13" t="s">
        <v>2880</v>
      </c>
      <c r="B1418" s="13" t="s">
        <v>2881</v>
      </c>
      <c r="C1418" s="13" t="s">
        <v>144</v>
      </c>
      <c r="D1418" s="13" t="s">
        <v>273</v>
      </c>
      <c r="E1418" s="13" t="str">
        <f>IFERROR(INDEX('Почасовка — ставки и план'!$B$5:$B$24,MATCH(D1418,'Почасовка — ставки и план'!$A$5:$A$24,0)),"Аренда техники / механизмы")</f>
        <v>Электромонтажник</v>
      </c>
      <c r="F1418" s="14">
        <v>420</v>
      </c>
      <c r="G1418" s="14">
        <v>500</v>
      </c>
      <c r="H1418" s="15">
        <v>260</v>
      </c>
      <c r="I1418" s="15">
        <f>IF(OR(H1418="",F1418=""),"",MAX(H1418,MIN(ROUND(H1418*(1+Параметры!$B$5),IF(H1418*(1+Параметры!$B$5)&gt;=1000,-1,0)),ROUND(F1418*Параметры!$B$6,IF(F1418*Параметры!$B$6&gt;=1000,-1,0)))))</f>
        <v>299</v>
      </c>
      <c r="J1418" s="15">
        <v>310</v>
      </c>
      <c r="K1418" s="15">
        <f>IF(OR(J1418="",G1418=""),"",MAX(J1418,MIN(ROUND(J1418*(1+Параметры!$B$5),IF(J1418*(1+Параметры!$B$5)&gt;=1000,-1,0)),ROUND(G1418*Параметры!$B$6,IF(G1418*Параметры!$B$6&gt;=1000,-1,0)))))</f>
        <v>357</v>
      </c>
      <c r="L1418" s="16">
        <v>0.35</v>
      </c>
      <c r="M1418" s="17">
        <f t="shared" si="104"/>
        <v>2.8571428571428572</v>
      </c>
      <c r="N1418" s="17">
        <f>IF(OR(L1418="",L1418=0),"",Параметры!$B$3/L1418)</f>
        <v>22.857142857142858</v>
      </c>
      <c r="O1418" s="15">
        <f>IF(L1418="","",IFERROR(INDEX('Почасовка — ставки и план'!$D$5:$D$24,MATCH($D1418,'Почасовка — ставки и план'!$A$5:$A$24,0)),""))</f>
        <v>850</v>
      </c>
      <c r="P1418" s="15">
        <f>IF(L1418="","",IFERROR(INDEX('Почасовка — ставки и план'!$E$5:$E$24,MATCH($D1418,'Почасовка — ставки и план'!$A$5:$A$24,0)),""))</f>
        <v>1020</v>
      </c>
      <c r="Q1418" s="15">
        <f t="shared" si="105"/>
        <v>298</v>
      </c>
      <c r="R1418" s="13" t="str">
        <f>IF(D1418="TEX","аренда техники — сделка/счёт",IF(OR(Q1418="",H1418="",H1418=0),"—",IF(Q1418&lt;H1418*(1-Параметры!$B$7),"почасовка",IF(Q1418&gt;H1418*(1+Параметры!$B$7),"сделка","любой способ"))))</f>
        <v>сделка</v>
      </c>
      <c r="S1418">
        <v>0</v>
      </c>
      <c r="T1418">
        <v>0</v>
      </c>
    </row>
    <row r="1419" spans="1:20" x14ac:dyDescent="0.25">
      <c r="A1419" s="13" t="s">
        <v>2882</v>
      </c>
      <c r="B1419" s="13" t="s">
        <v>2883</v>
      </c>
      <c r="C1419" s="13" t="s">
        <v>144</v>
      </c>
      <c r="D1419" s="13" t="s">
        <v>273</v>
      </c>
      <c r="E1419" s="13" t="str">
        <f>IFERROR(INDEX('Почасовка — ставки и план'!$B$5:$B$24,MATCH(D1419,'Почасовка — ставки и план'!$A$5:$A$24,0)),"Аренда техники / механизмы")</f>
        <v>Электромонтажник</v>
      </c>
      <c r="F1419" s="14">
        <v>380</v>
      </c>
      <c r="G1419" s="14">
        <v>450</v>
      </c>
      <c r="H1419" s="15">
        <v>240</v>
      </c>
      <c r="I1419" s="15">
        <f>IF(OR(H1419="",F1419=""),"",MAX(H1419,MIN(ROUND(H1419*(1+Параметры!$B$5),IF(H1419*(1+Параметры!$B$5)&gt;=1000,-1,0)),ROUND(F1419*Параметры!$B$6,IF(F1419*Параметры!$B$6&gt;=1000,-1,0)))))</f>
        <v>276</v>
      </c>
      <c r="J1419" s="15">
        <v>280</v>
      </c>
      <c r="K1419" s="15">
        <f>IF(OR(J1419="",G1419=""),"",MAX(J1419,MIN(ROUND(J1419*(1+Параметры!$B$5),IF(J1419*(1+Параметры!$B$5)&gt;=1000,-1,0)),ROUND(G1419*Параметры!$B$6,IF(G1419*Параметры!$B$6&gt;=1000,-1,0)))))</f>
        <v>322</v>
      </c>
      <c r="L1419" s="16">
        <v>0.3</v>
      </c>
      <c r="M1419" s="17">
        <f t="shared" si="104"/>
        <v>3.3333333333333335</v>
      </c>
      <c r="N1419" s="17">
        <f>IF(OR(L1419="",L1419=0),"",Параметры!$B$3/L1419)</f>
        <v>26.666666666666668</v>
      </c>
      <c r="O1419" s="15">
        <f>IF(L1419="","",IFERROR(INDEX('Почасовка — ставки и план'!$D$5:$D$24,MATCH($D1419,'Почасовка — ставки и план'!$A$5:$A$24,0)),""))</f>
        <v>850</v>
      </c>
      <c r="P1419" s="15">
        <f>IF(L1419="","",IFERROR(INDEX('Почасовка — ставки и план'!$E$5:$E$24,MATCH($D1419,'Почасовка — ставки и план'!$A$5:$A$24,0)),""))</f>
        <v>1020</v>
      </c>
      <c r="Q1419" s="15">
        <f t="shared" si="105"/>
        <v>255</v>
      </c>
      <c r="R1419" s="13" t="str">
        <f>IF(D1419="TEX","аренда техники — сделка/счёт",IF(OR(Q1419="",H1419="",H1419=0),"—",IF(Q1419&lt;H1419*(1-Параметры!$B$7),"почасовка",IF(Q1419&gt;H1419*(1+Параметры!$B$7),"сделка","любой способ"))))</f>
        <v>любой способ</v>
      </c>
      <c r="S1419">
        <v>0</v>
      </c>
      <c r="T1419">
        <v>0</v>
      </c>
    </row>
    <row r="1420" spans="1:20" x14ac:dyDescent="0.25">
      <c r="A1420" s="13" t="s">
        <v>2884</v>
      </c>
      <c r="B1420" s="13" t="s">
        <v>2885</v>
      </c>
      <c r="C1420" s="13" t="s">
        <v>144</v>
      </c>
      <c r="D1420" s="13" t="s">
        <v>273</v>
      </c>
      <c r="E1420" s="13" t="str">
        <f>IFERROR(INDEX('Почасовка — ставки и план'!$B$5:$B$24,MATCH(D1420,'Почасовка — ставки и план'!$A$5:$A$24,0)),"Аренда техники / механизмы")</f>
        <v>Электромонтажник</v>
      </c>
      <c r="F1420" s="14">
        <v>420</v>
      </c>
      <c r="G1420" s="14">
        <v>500</v>
      </c>
      <c r="H1420" s="15">
        <v>260</v>
      </c>
      <c r="I1420" s="15">
        <f>IF(OR(H1420="",F1420=""),"",MAX(H1420,MIN(ROUND(H1420*(1+Параметры!$B$5),IF(H1420*(1+Параметры!$B$5)&gt;=1000,-1,0)),ROUND(F1420*Параметры!$B$6,IF(F1420*Параметры!$B$6&gt;=1000,-1,0)))))</f>
        <v>299</v>
      </c>
      <c r="J1420" s="15">
        <v>310</v>
      </c>
      <c r="K1420" s="15">
        <f>IF(OR(J1420="",G1420=""),"",MAX(J1420,MIN(ROUND(J1420*(1+Параметры!$B$5),IF(J1420*(1+Параметры!$B$5)&gt;=1000,-1,0)),ROUND(G1420*Параметры!$B$6,IF(G1420*Параметры!$B$6&gt;=1000,-1,0)))))</f>
        <v>357</v>
      </c>
      <c r="L1420" s="16">
        <v>0.35</v>
      </c>
      <c r="M1420" s="17">
        <f t="shared" si="104"/>
        <v>2.8571428571428572</v>
      </c>
      <c r="N1420" s="17">
        <f>IF(OR(L1420="",L1420=0),"",Параметры!$B$3/L1420)</f>
        <v>22.857142857142858</v>
      </c>
      <c r="O1420" s="15">
        <f>IF(L1420="","",IFERROR(INDEX('Почасовка — ставки и план'!$D$5:$D$24,MATCH($D1420,'Почасовка — ставки и план'!$A$5:$A$24,0)),""))</f>
        <v>850</v>
      </c>
      <c r="P1420" s="15">
        <f>IF(L1420="","",IFERROR(INDEX('Почасовка — ставки и план'!$E$5:$E$24,MATCH($D1420,'Почасовка — ставки и план'!$A$5:$A$24,0)),""))</f>
        <v>1020</v>
      </c>
      <c r="Q1420" s="15">
        <f t="shared" si="105"/>
        <v>298</v>
      </c>
      <c r="R1420" s="13" t="str">
        <f>IF(D1420="TEX","аренда техники — сделка/счёт",IF(OR(Q1420="",H1420="",H1420=0),"—",IF(Q1420&lt;H1420*(1-Параметры!$B$7),"почасовка",IF(Q1420&gt;H1420*(1+Параметры!$B$7),"сделка","любой способ"))))</f>
        <v>сделка</v>
      </c>
      <c r="S1420">
        <v>0</v>
      </c>
      <c r="T1420">
        <v>0</v>
      </c>
    </row>
    <row r="1421" spans="1:20" x14ac:dyDescent="0.25">
      <c r="A1421" s="13" t="s">
        <v>2886</v>
      </c>
      <c r="B1421" s="13" t="s">
        <v>2887</v>
      </c>
      <c r="C1421" s="13" t="s">
        <v>144</v>
      </c>
      <c r="D1421" s="13" t="s">
        <v>273</v>
      </c>
      <c r="E1421" s="13" t="str">
        <f>IFERROR(INDEX('Почасовка — ставки и план'!$B$5:$B$24,MATCH(D1421,'Почасовка — ставки и план'!$A$5:$A$24,0)),"Аренда техники / механизмы")</f>
        <v>Электромонтажник</v>
      </c>
      <c r="F1421" s="14">
        <v>400</v>
      </c>
      <c r="G1421" s="14">
        <v>470</v>
      </c>
      <c r="H1421" s="15">
        <v>250</v>
      </c>
      <c r="I1421" s="15">
        <f>IF(OR(H1421="",F1421=""),"",MAX(H1421,MIN(ROUND(H1421*(1+Параметры!$B$5),IF(H1421*(1+Параметры!$B$5)&gt;=1000,-1,0)),ROUND(F1421*Параметры!$B$6,IF(F1421*Параметры!$B$6&gt;=1000,-1,0)))))</f>
        <v>288</v>
      </c>
      <c r="J1421" s="15">
        <v>290</v>
      </c>
      <c r="K1421" s="15">
        <f>IF(OR(J1421="",G1421=""),"",MAX(J1421,MIN(ROUND(J1421*(1+Параметры!$B$5),IF(J1421*(1+Параметры!$B$5)&gt;=1000,-1,0)),ROUND(G1421*Параметры!$B$6,IF(G1421*Параметры!$B$6&gt;=1000,-1,0)))))</f>
        <v>334</v>
      </c>
      <c r="L1421" s="16">
        <v>0.3</v>
      </c>
      <c r="M1421" s="17">
        <f t="shared" si="104"/>
        <v>3.3333333333333335</v>
      </c>
      <c r="N1421" s="17">
        <f>IF(OR(L1421="",L1421=0),"",Параметры!$B$3/L1421)</f>
        <v>26.666666666666668</v>
      </c>
      <c r="O1421" s="15">
        <f>IF(L1421="","",IFERROR(INDEX('Почасовка — ставки и план'!$D$5:$D$24,MATCH($D1421,'Почасовка — ставки и план'!$A$5:$A$24,0)),""))</f>
        <v>850</v>
      </c>
      <c r="P1421" s="15">
        <f>IF(L1421="","",IFERROR(INDEX('Почасовка — ставки и план'!$E$5:$E$24,MATCH($D1421,'Почасовка — ставки и план'!$A$5:$A$24,0)),""))</f>
        <v>1020</v>
      </c>
      <c r="Q1421" s="15">
        <f t="shared" si="105"/>
        <v>255</v>
      </c>
      <c r="R1421" s="13" t="str">
        <f>IF(D1421="TEX","аренда техники — сделка/счёт",IF(OR(Q1421="",H1421="",H1421=0),"—",IF(Q1421&lt;H1421*(1-Параметры!$B$7),"почасовка",IF(Q1421&gt;H1421*(1+Параметры!$B$7),"сделка","любой способ"))))</f>
        <v>любой способ</v>
      </c>
      <c r="S1421">
        <v>0</v>
      </c>
      <c r="T1421">
        <v>0</v>
      </c>
    </row>
    <row r="1422" spans="1:20" x14ac:dyDescent="0.25">
      <c r="A1422" s="13" t="s">
        <v>2888</v>
      </c>
      <c r="B1422" s="13" t="s">
        <v>2889</v>
      </c>
      <c r="C1422" s="13" t="s">
        <v>144</v>
      </c>
      <c r="D1422" s="13" t="s">
        <v>273</v>
      </c>
      <c r="E1422" s="13" t="str">
        <f>IFERROR(INDEX('Почасовка — ставки и план'!$B$5:$B$24,MATCH(D1422,'Почасовка — ставки и план'!$A$5:$A$24,0)),"Аренда техники / механизмы")</f>
        <v>Электромонтажник</v>
      </c>
      <c r="F1422" s="14">
        <v>500</v>
      </c>
      <c r="G1422" s="14">
        <v>600</v>
      </c>
      <c r="H1422" s="15">
        <v>300</v>
      </c>
      <c r="I1422" s="15">
        <f>IF(OR(H1422="",F1422=""),"",MAX(H1422,MIN(ROUND(H1422*(1+Параметры!$B$5),IF(H1422*(1+Параметры!$B$5)&gt;=1000,-1,0)),ROUND(F1422*Параметры!$B$6,IF(F1422*Параметры!$B$6&gt;=1000,-1,0)))))</f>
        <v>345</v>
      </c>
      <c r="J1422" s="15">
        <v>360</v>
      </c>
      <c r="K1422" s="15">
        <f>IF(OR(J1422="",G1422=""),"",MAX(J1422,MIN(ROUND(J1422*(1+Параметры!$B$5),IF(J1422*(1+Параметры!$B$5)&gt;=1000,-1,0)),ROUND(G1422*Параметры!$B$6,IF(G1422*Параметры!$B$6&gt;=1000,-1,0)))))</f>
        <v>414</v>
      </c>
      <c r="L1422" s="16">
        <v>0.3</v>
      </c>
      <c r="M1422" s="17">
        <f t="shared" si="104"/>
        <v>3.3333333333333335</v>
      </c>
      <c r="N1422" s="17">
        <f>IF(OR(L1422="",L1422=0),"",Параметры!$B$3/L1422)</f>
        <v>26.666666666666668</v>
      </c>
      <c r="O1422" s="15">
        <f>IF(L1422="","",IFERROR(INDEX('Почасовка — ставки и план'!$D$5:$D$24,MATCH($D1422,'Почасовка — ставки и план'!$A$5:$A$24,0)),""))</f>
        <v>850</v>
      </c>
      <c r="P1422" s="15">
        <f>IF(L1422="","",IFERROR(INDEX('Почасовка — ставки и план'!$E$5:$E$24,MATCH($D1422,'Почасовка — ставки и план'!$A$5:$A$24,0)),""))</f>
        <v>1020</v>
      </c>
      <c r="Q1422" s="15">
        <f t="shared" si="105"/>
        <v>255</v>
      </c>
      <c r="R1422" s="13" t="str">
        <f>IF(D1422="TEX","аренда техники — сделка/счёт",IF(OR(Q1422="",H1422="",H1422=0),"—",IF(Q1422&lt;H1422*(1-Параметры!$B$7),"почасовка",IF(Q1422&gt;H1422*(1+Параметры!$B$7),"сделка","любой способ"))))</f>
        <v>почасовка</v>
      </c>
      <c r="S1422">
        <v>0</v>
      </c>
      <c r="T1422">
        <v>0</v>
      </c>
    </row>
    <row r="1423" spans="1:20" x14ac:dyDescent="0.25">
      <c r="A1423" s="13" t="s">
        <v>2890</v>
      </c>
      <c r="B1423" s="13" t="s">
        <v>2891</v>
      </c>
      <c r="C1423" s="13" t="s">
        <v>144</v>
      </c>
      <c r="D1423" s="13" t="s">
        <v>273</v>
      </c>
      <c r="E1423" s="13" t="str">
        <f>IFERROR(INDEX('Почасовка — ставки и план'!$B$5:$B$24,MATCH(D1423,'Почасовка — ставки и план'!$A$5:$A$24,0)),"Аренда техники / механизмы")</f>
        <v>Электромонтажник</v>
      </c>
      <c r="F1423" s="14">
        <v>900</v>
      </c>
      <c r="G1423" s="14">
        <v>1050</v>
      </c>
      <c r="H1423" s="15">
        <v>560</v>
      </c>
      <c r="I1423" s="15">
        <f>IF(OR(H1423="",F1423=""),"",MAX(H1423,MIN(ROUND(H1423*(1+Параметры!$B$5),IF(H1423*(1+Параметры!$B$5)&gt;=1000,-1,0)),ROUND(F1423*Параметры!$B$6,IF(F1423*Параметры!$B$6&gt;=1000,-1,0)))))</f>
        <v>644</v>
      </c>
      <c r="J1423" s="15">
        <v>650</v>
      </c>
      <c r="K1423" s="15">
        <f>IF(OR(J1423="",G1423=""),"",MAX(J1423,MIN(ROUND(J1423*(1+Параметры!$B$5),IF(J1423*(1+Параметры!$B$5)&gt;=1000,-1,0)),ROUND(G1423*Параметры!$B$6,IF(G1423*Параметры!$B$6&gt;=1000,-1,0)))))</f>
        <v>748</v>
      </c>
      <c r="L1423" s="16">
        <v>0.6</v>
      </c>
      <c r="M1423" s="17">
        <f t="shared" si="104"/>
        <v>1.6666666666666667</v>
      </c>
      <c r="N1423" s="17">
        <f>IF(OR(L1423="",L1423=0),"",Параметры!$B$3/L1423)</f>
        <v>13.333333333333334</v>
      </c>
      <c r="O1423" s="15">
        <f>IF(L1423="","",IFERROR(INDEX('Почасовка — ставки и план'!$D$5:$D$24,MATCH($D1423,'Почасовка — ставки и план'!$A$5:$A$24,0)),""))</f>
        <v>850</v>
      </c>
      <c r="P1423" s="15">
        <f>IF(L1423="","",IFERROR(INDEX('Почасовка — ставки и план'!$E$5:$E$24,MATCH($D1423,'Почасовка — ставки и план'!$A$5:$A$24,0)),""))</f>
        <v>1020</v>
      </c>
      <c r="Q1423" s="15">
        <f t="shared" si="105"/>
        <v>510</v>
      </c>
      <c r="R1423" s="13" t="str">
        <f>IF(D1423="TEX","аренда техники — сделка/счёт",IF(OR(Q1423="",H1423="",H1423=0),"—",IF(Q1423&lt;H1423*(1-Параметры!$B$7),"почасовка",IF(Q1423&gt;H1423*(1+Параметры!$B$7),"сделка","любой способ"))))</f>
        <v>любой способ</v>
      </c>
      <c r="S1423">
        <v>0</v>
      </c>
      <c r="T1423">
        <v>0</v>
      </c>
    </row>
    <row r="1424" spans="1:20" x14ac:dyDescent="0.25">
      <c r="A1424" s="13" t="s">
        <v>2892</v>
      </c>
      <c r="B1424" s="13" t="s">
        <v>2893</v>
      </c>
      <c r="C1424" s="13" t="s">
        <v>144</v>
      </c>
      <c r="D1424" s="13" t="s">
        <v>273</v>
      </c>
      <c r="E1424" s="13" t="str">
        <f>IFERROR(INDEX('Почасовка — ставки и план'!$B$5:$B$24,MATCH(D1424,'Почасовка — ставки и план'!$A$5:$A$24,0)),"Аренда техники / механизмы")</f>
        <v>Электромонтажник</v>
      </c>
      <c r="F1424" s="14">
        <v>400</v>
      </c>
      <c r="G1424" s="14">
        <v>470</v>
      </c>
      <c r="H1424" s="15">
        <v>250</v>
      </c>
      <c r="I1424" s="15">
        <f>IF(OR(H1424="",F1424=""),"",MAX(H1424,MIN(ROUND(H1424*(1+Параметры!$B$5),IF(H1424*(1+Параметры!$B$5)&gt;=1000,-1,0)),ROUND(F1424*Параметры!$B$6,IF(F1424*Параметры!$B$6&gt;=1000,-1,0)))))</f>
        <v>288</v>
      </c>
      <c r="J1424" s="15">
        <v>290</v>
      </c>
      <c r="K1424" s="15">
        <f>IF(OR(J1424="",G1424=""),"",MAX(J1424,MIN(ROUND(J1424*(1+Параметры!$B$5),IF(J1424*(1+Параметры!$B$5)&gt;=1000,-1,0)),ROUND(G1424*Параметры!$B$6,IF(G1424*Параметры!$B$6&gt;=1000,-1,0)))))</f>
        <v>334</v>
      </c>
      <c r="L1424" s="16">
        <v>0.3</v>
      </c>
      <c r="M1424" s="17">
        <f t="shared" si="104"/>
        <v>3.3333333333333335</v>
      </c>
      <c r="N1424" s="17">
        <f>IF(OR(L1424="",L1424=0),"",Параметры!$B$3/L1424)</f>
        <v>26.666666666666668</v>
      </c>
      <c r="O1424" s="15">
        <f>IF(L1424="","",IFERROR(INDEX('Почасовка — ставки и план'!$D$5:$D$24,MATCH($D1424,'Почасовка — ставки и план'!$A$5:$A$24,0)),""))</f>
        <v>850</v>
      </c>
      <c r="P1424" s="15">
        <f>IF(L1424="","",IFERROR(INDEX('Почасовка — ставки и план'!$E$5:$E$24,MATCH($D1424,'Почасовка — ставки и план'!$A$5:$A$24,0)),""))</f>
        <v>1020</v>
      </c>
      <c r="Q1424" s="15">
        <f t="shared" si="105"/>
        <v>255</v>
      </c>
      <c r="R1424" s="13" t="str">
        <f>IF(D1424="TEX","аренда техники — сделка/счёт",IF(OR(Q1424="",H1424="",H1424=0),"—",IF(Q1424&lt;H1424*(1-Параметры!$B$7),"почасовка",IF(Q1424&gt;H1424*(1+Параметры!$B$7),"сделка","любой способ"))))</f>
        <v>любой способ</v>
      </c>
      <c r="S1424">
        <v>0</v>
      </c>
      <c r="T1424">
        <v>0</v>
      </c>
    </row>
    <row r="1425" spans="1:20" x14ac:dyDescent="0.25">
      <c r="A1425" s="13" t="s">
        <v>2894</v>
      </c>
      <c r="B1425" s="13" t="s">
        <v>2895</v>
      </c>
      <c r="C1425" s="13" t="s">
        <v>144</v>
      </c>
      <c r="D1425" s="13" t="s">
        <v>273</v>
      </c>
      <c r="E1425" s="13" t="str">
        <f>IFERROR(INDEX('Почасовка — ставки и план'!$B$5:$B$24,MATCH(D1425,'Почасовка — ставки и план'!$A$5:$A$24,0)),"Аренда техники / механизмы")</f>
        <v>Электромонтажник</v>
      </c>
      <c r="F1425" s="14">
        <v>900</v>
      </c>
      <c r="G1425" s="14">
        <v>1050</v>
      </c>
      <c r="H1425" s="15">
        <v>560</v>
      </c>
      <c r="I1425" s="15">
        <f>IF(OR(H1425="",F1425=""),"",MAX(H1425,MIN(ROUND(H1425*(1+Параметры!$B$5),IF(H1425*(1+Параметры!$B$5)&gt;=1000,-1,0)),ROUND(F1425*Параметры!$B$6,IF(F1425*Параметры!$B$6&gt;=1000,-1,0)))))</f>
        <v>644</v>
      </c>
      <c r="J1425" s="15">
        <v>650</v>
      </c>
      <c r="K1425" s="15">
        <f>IF(OR(J1425="",G1425=""),"",MAX(J1425,MIN(ROUND(J1425*(1+Параметры!$B$5),IF(J1425*(1+Параметры!$B$5)&gt;=1000,-1,0)),ROUND(G1425*Параметры!$B$6,IF(G1425*Параметры!$B$6&gt;=1000,-1,0)))))</f>
        <v>748</v>
      </c>
      <c r="L1425" s="16">
        <v>0.7</v>
      </c>
      <c r="M1425" s="17">
        <f t="shared" si="104"/>
        <v>1.4285714285714286</v>
      </c>
      <c r="N1425" s="17">
        <f>IF(OR(L1425="",L1425=0),"",Параметры!$B$3/L1425)</f>
        <v>11.428571428571429</v>
      </c>
      <c r="O1425" s="15">
        <f>IF(L1425="","",IFERROR(INDEX('Почасовка — ставки и план'!$D$5:$D$24,MATCH($D1425,'Почасовка — ставки и план'!$A$5:$A$24,0)),""))</f>
        <v>850</v>
      </c>
      <c r="P1425" s="15">
        <f>IF(L1425="","",IFERROR(INDEX('Почасовка — ставки и план'!$E$5:$E$24,MATCH($D1425,'Почасовка — ставки и план'!$A$5:$A$24,0)),""))</f>
        <v>1020</v>
      </c>
      <c r="Q1425" s="15">
        <f t="shared" si="105"/>
        <v>595</v>
      </c>
      <c r="R1425" s="13" t="str">
        <f>IF(D1425="TEX","аренда техники — сделка/счёт",IF(OR(Q1425="",H1425="",H1425=0),"—",IF(Q1425&lt;H1425*(1-Параметры!$B$7),"почасовка",IF(Q1425&gt;H1425*(1+Параметры!$B$7),"сделка","любой способ"))))</f>
        <v>любой способ</v>
      </c>
      <c r="S1425">
        <v>0</v>
      </c>
      <c r="T1425">
        <v>0</v>
      </c>
    </row>
    <row r="1426" spans="1:20" x14ac:dyDescent="0.25">
      <c r="A1426" s="13" t="s">
        <v>2896</v>
      </c>
      <c r="B1426" s="13" t="s">
        <v>2897</v>
      </c>
      <c r="C1426" s="13" t="s">
        <v>144</v>
      </c>
      <c r="D1426" s="13" t="s">
        <v>273</v>
      </c>
      <c r="E1426" s="13" t="str">
        <f>IFERROR(INDEX('Почасовка — ставки и план'!$B$5:$B$24,MATCH(D1426,'Почасовка — ставки и план'!$A$5:$A$24,0)),"Аренда техники / механизмы")</f>
        <v>Электромонтажник</v>
      </c>
      <c r="F1426" s="14">
        <v>550</v>
      </c>
      <c r="G1426" s="14">
        <v>650</v>
      </c>
      <c r="H1426" s="15">
        <v>340</v>
      </c>
      <c r="I1426" s="15">
        <f>IF(OR(H1426="",F1426=""),"",MAX(H1426,MIN(ROUND(H1426*(1+Параметры!$B$5),IF(H1426*(1+Параметры!$B$5)&gt;=1000,-1,0)),ROUND(F1426*Параметры!$B$6,IF(F1426*Параметры!$B$6&gt;=1000,-1,0)))))</f>
        <v>391</v>
      </c>
      <c r="J1426" s="15">
        <v>400</v>
      </c>
      <c r="K1426" s="15">
        <f>IF(OR(J1426="",G1426=""),"",MAX(J1426,MIN(ROUND(J1426*(1+Параметры!$B$5),IF(J1426*(1+Параметры!$B$5)&gt;=1000,-1,0)),ROUND(G1426*Параметры!$B$6,IF(G1426*Параметры!$B$6&gt;=1000,-1,0)))))</f>
        <v>460</v>
      </c>
      <c r="L1426" s="16">
        <v>0.45</v>
      </c>
      <c r="M1426" s="17">
        <f t="shared" si="104"/>
        <v>2.2222222222222223</v>
      </c>
      <c r="N1426" s="17">
        <f>IF(OR(L1426="",L1426=0),"",Параметры!$B$3/L1426)</f>
        <v>17.777777777777779</v>
      </c>
      <c r="O1426" s="15">
        <f>IF(L1426="","",IFERROR(INDEX('Почасовка — ставки и план'!$D$5:$D$24,MATCH($D1426,'Почасовка — ставки и план'!$A$5:$A$24,0)),""))</f>
        <v>850</v>
      </c>
      <c r="P1426" s="15">
        <f>IF(L1426="","",IFERROR(INDEX('Почасовка — ставки и план'!$E$5:$E$24,MATCH($D1426,'Почасовка — ставки и план'!$A$5:$A$24,0)),""))</f>
        <v>1020</v>
      </c>
      <c r="Q1426" s="15">
        <f t="shared" si="105"/>
        <v>383</v>
      </c>
      <c r="R1426" s="13" t="str">
        <f>IF(D1426="TEX","аренда техники — сделка/счёт",IF(OR(Q1426="",H1426="",H1426=0),"—",IF(Q1426&lt;H1426*(1-Параметры!$B$7),"почасовка",IF(Q1426&gt;H1426*(1+Параметры!$B$7),"сделка","любой способ"))))</f>
        <v>сделка</v>
      </c>
      <c r="S1426">
        <v>0</v>
      </c>
      <c r="T1426">
        <v>0</v>
      </c>
    </row>
    <row r="1427" spans="1:20" x14ac:dyDescent="0.25">
      <c r="A1427" s="13" t="s">
        <v>2898</v>
      </c>
      <c r="B1427" s="13" t="s">
        <v>2899</v>
      </c>
      <c r="C1427" s="13" t="s">
        <v>144</v>
      </c>
      <c r="D1427" s="13" t="s">
        <v>273</v>
      </c>
      <c r="E1427" s="13" t="str">
        <f>IFERROR(INDEX('Почасовка — ставки и план'!$B$5:$B$24,MATCH(D1427,'Почасовка — ставки и план'!$A$5:$A$24,0)),"Аренда техники / механизмы")</f>
        <v>Электромонтажник</v>
      </c>
      <c r="F1427" s="14">
        <v>454</v>
      </c>
      <c r="G1427" s="14">
        <v>544</v>
      </c>
      <c r="H1427" s="15">
        <v>280</v>
      </c>
      <c r="I1427" s="15">
        <f>IF(OR(H1427="",F1427=""),"",MAX(H1427,MIN(ROUND(H1427*(1+Параметры!$B$5),IF(H1427*(1+Параметры!$B$5)&gt;=1000,-1,0)),ROUND(F1427*Параметры!$B$6,IF(F1427*Параметры!$B$6&gt;=1000,-1,0)))))</f>
        <v>322</v>
      </c>
      <c r="J1427" s="15">
        <v>330</v>
      </c>
      <c r="K1427" s="15">
        <f>IF(OR(J1427="",G1427=""),"",MAX(J1427,MIN(ROUND(J1427*(1+Параметры!$B$5),IF(J1427*(1+Параметры!$B$5)&gt;=1000,-1,0)),ROUND(G1427*Параметры!$B$6,IF(G1427*Параметры!$B$6&gt;=1000,-1,0)))))</f>
        <v>380</v>
      </c>
      <c r="L1427" s="16">
        <v>0.4</v>
      </c>
      <c r="M1427" s="17">
        <f t="shared" si="104"/>
        <v>2.5</v>
      </c>
      <c r="N1427" s="17">
        <f>IF(OR(L1427="",L1427=0),"",Параметры!$B$3/L1427)</f>
        <v>20</v>
      </c>
      <c r="O1427" s="15">
        <f>IF(L1427="","",IFERROR(INDEX('Почасовка — ставки и план'!$D$5:$D$24,MATCH($D1427,'Почасовка — ставки и план'!$A$5:$A$24,0)),""))</f>
        <v>850</v>
      </c>
      <c r="P1427" s="15">
        <f>IF(L1427="","",IFERROR(INDEX('Почасовка — ставки и план'!$E$5:$E$24,MATCH($D1427,'Почасовка — ставки и план'!$A$5:$A$24,0)),""))</f>
        <v>1020</v>
      </c>
      <c r="Q1427" s="15">
        <f t="shared" si="105"/>
        <v>340</v>
      </c>
      <c r="R1427" s="13" t="str">
        <f>IF(D1427="TEX","аренда техники — сделка/счёт",IF(OR(Q1427="",H1427="",H1427=0),"—",IF(Q1427&lt;H1427*(1-Параметры!$B$7),"почасовка",IF(Q1427&gt;H1427*(1+Параметры!$B$7),"сделка","любой способ"))))</f>
        <v>сделка</v>
      </c>
      <c r="S1427">
        <v>8.8888888888889461E-3</v>
      </c>
      <c r="T1427">
        <v>2.6415094339622639E-2</v>
      </c>
    </row>
    <row r="1428" spans="1:20" x14ac:dyDescent="0.25">
      <c r="A1428" s="13" t="s">
        <v>2900</v>
      </c>
      <c r="B1428" s="13" t="s">
        <v>2901</v>
      </c>
      <c r="C1428" s="13" t="s">
        <v>144</v>
      </c>
      <c r="D1428" s="13" t="s">
        <v>273</v>
      </c>
      <c r="E1428" s="13" t="str">
        <f>IFERROR(INDEX('Почасовка — ставки и план'!$B$5:$B$24,MATCH(D1428,'Почасовка — ставки и план'!$A$5:$A$24,0)),"Аренда техники / механизмы")</f>
        <v>Электромонтажник</v>
      </c>
      <c r="F1428" s="14">
        <v>400</v>
      </c>
      <c r="G1428" s="14">
        <v>476</v>
      </c>
      <c r="H1428" s="15">
        <v>250</v>
      </c>
      <c r="I1428" s="15">
        <f>IF(OR(H1428="",F1428=""),"",MAX(H1428,MIN(ROUND(H1428*(1+Параметры!$B$5),IF(H1428*(1+Параметры!$B$5)&gt;=1000,-1,0)),ROUND(F1428*Параметры!$B$6,IF(F1428*Параметры!$B$6&gt;=1000,-1,0)))))</f>
        <v>288</v>
      </c>
      <c r="J1428" s="15">
        <v>290</v>
      </c>
      <c r="K1428" s="15">
        <f>IF(OR(J1428="",G1428=""),"",MAX(J1428,MIN(ROUND(J1428*(1+Параметры!$B$5),IF(J1428*(1+Параметры!$B$5)&gt;=1000,-1,0)),ROUND(G1428*Параметры!$B$6,IF(G1428*Параметры!$B$6&gt;=1000,-1,0)))))</f>
        <v>334</v>
      </c>
      <c r="L1428" s="16">
        <v>0.35</v>
      </c>
      <c r="M1428" s="17">
        <f t="shared" si="104"/>
        <v>2.8571428571428572</v>
      </c>
      <c r="N1428" s="17">
        <f>IF(OR(L1428="",L1428=0),"",Параметры!$B$3/L1428)</f>
        <v>22.857142857142858</v>
      </c>
      <c r="O1428" s="15">
        <f>IF(L1428="","",IFERROR(INDEX('Почасовка — ставки и план'!$D$5:$D$24,MATCH($D1428,'Почасовка — ставки и план'!$A$5:$A$24,0)),""))</f>
        <v>850</v>
      </c>
      <c r="P1428" s="15">
        <f>IF(L1428="","",IFERROR(INDEX('Почасовка — ставки и план'!$E$5:$E$24,MATCH($D1428,'Почасовка — ставки и план'!$A$5:$A$24,0)),""))</f>
        <v>1020</v>
      </c>
      <c r="Q1428" s="15">
        <f t="shared" si="105"/>
        <v>298</v>
      </c>
      <c r="R1428" s="13" t="str">
        <f>IF(D1428="TEX","аренда техники — сделка/счёт",IF(OR(Q1428="",H1428="",H1428=0),"—",IF(Q1428&lt;H1428*(1-Параметры!$B$7),"почасовка",IF(Q1428&gt;H1428*(1+Параметры!$B$7),"сделка","любой способ"))))</f>
        <v>сделка</v>
      </c>
      <c r="S1428">
        <v>0</v>
      </c>
      <c r="T1428">
        <v>1.276595744680842E-2</v>
      </c>
    </row>
    <row r="1429" spans="1:20" x14ac:dyDescent="0.25">
      <c r="A1429" s="13" t="s">
        <v>2902</v>
      </c>
      <c r="B1429" s="13" t="s">
        <v>2903</v>
      </c>
      <c r="C1429" s="13" t="s">
        <v>144</v>
      </c>
      <c r="D1429" s="13" t="s">
        <v>273</v>
      </c>
      <c r="E1429" s="13" t="str">
        <f>IFERROR(INDEX('Почасовка — ставки и план'!$B$5:$B$24,MATCH(D1429,'Почасовка — ставки и план'!$A$5:$A$24,0)),"Аренда техники / механизмы")</f>
        <v>Электромонтажник</v>
      </c>
      <c r="F1429" s="14">
        <v>2200</v>
      </c>
      <c r="G1429" s="14">
        <v>2600</v>
      </c>
      <c r="H1429" s="15">
        <v>1350</v>
      </c>
      <c r="I1429" s="15">
        <f>IF(OR(H1429="",F1429=""),"",MAX(H1429,MIN(ROUND(H1429*(1+Параметры!$B$5),IF(H1429*(1+Параметры!$B$5)&gt;=1000,-1,0)),ROUND(F1429*Параметры!$B$6,IF(F1429*Параметры!$B$6&gt;=1000,-1,0)))))</f>
        <v>1550</v>
      </c>
      <c r="J1429" s="15">
        <v>1600</v>
      </c>
      <c r="K1429" s="15">
        <f>IF(OR(J1429="",G1429=""),"",MAX(J1429,MIN(ROUND(J1429*(1+Параметры!$B$5),IF(J1429*(1+Параметры!$B$5)&gt;=1000,-1,0)),ROUND(G1429*Параметры!$B$6,IF(G1429*Параметры!$B$6&gt;=1000,-1,0)))))</f>
        <v>1840</v>
      </c>
      <c r="L1429" s="16">
        <v>1.5</v>
      </c>
      <c r="M1429" s="17">
        <f t="shared" si="104"/>
        <v>0.66666666666666663</v>
      </c>
      <c r="N1429" s="17">
        <f>IF(OR(L1429="",L1429=0),"",Параметры!$B$3/L1429)</f>
        <v>5.333333333333333</v>
      </c>
      <c r="O1429" s="15">
        <f>IF(L1429="","",IFERROR(INDEX('Почасовка — ставки и план'!$D$5:$D$24,MATCH($D1429,'Почасовка — ставки и план'!$A$5:$A$24,0)),""))</f>
        <v>850</v>
      </c>
      <c r="P1429" s="15">
        <f>IF(L1429="","",IFERROR(INDEX('Почасовка — ставки и план'!$E$5:$E$24,MATCH($D1429,'Почасовка — ставки и план'!$A$5:$A$24,0)),""))</f>
        <v>1020</v>
      </c>
      <c r="Q1429" s="15">
        <f t="shared" si="105"/>
        <v>1275</v>
      </c>
      <c r="R1429" s="13" t="str">
        <f>IF(D1429="TEX","аренда техники — сделка/счёт",IF(OR(Q1429="",H1429="",H1429=0),"—",IF(Q1429&lt;H1429*(1-Параметры!$B$7),"почасовка",IF(Q1429&gt;H1429*(1+Параметры!$B$7),"сделка","любой способ"))))</f>
        <v>любой способ</v>
      </c>
      <c r="S1429">
        <v>0</v>
      </c>
      <c r="T1429">
        <v>0</v>
      </c>
    </row>
    <row r="1430" spans="1:20" x14ac:dyDescent="0.25">
      <c r="A1430" s="13" t="s">
        <v>2904</v>
      </c>
      <c r="B1430" s="13" t="s">
        <v>2905</v>
      </c>
      <c r="C1430" s="13" t="s">
        <v>144</v>
      </c>
      <c r="D1430" s="13" t="s">
        <v>273</v>
      </c>
      <c r="E1430" s="13" t="str">
        <f>IFERROR(INDEX('Почасовка — ставки и план'!$B$5:$B$24,MATCH(D1430,'Почасовка — ставки и план'!$A$5:$A$24,0)),"Аренда техники / механизмы")</f>
        <v>Электромонтажник</v>
      </c>
      <c r="F1430" s="14">
        <v>900</v>
      </c>
      <c r="G1430" s="14">
        <v>1100</v>
      </c>
      <c r="H1430" s="15">
        <v>550</v>
      </c>
      <c r="I1430" s="15">
        <f>IF(OR(H1430="",F1430=""),"",MAX(H1430,MIN(ROUND(H1430*(1+Параметры!$B$5),IF(H1430*(1+Параметры!$B$5)&gt;=1000,-1,0)),ROUND(F1430*Параметры!$B$6,IF(F1430*Параметры!$B$6&gt;=1000,-1,0)))))</f>
        <v>633</v>
      </c>
      <c r="J1430" s="15">
        <v>680</v>
      </c>
      <c r="K1430" s="15">
        <f>IF(OR(J1430="",G1430=""),"",MAX(J1430,MIN(ROUND(J1430*(1+Параметры!$B$5),IF(J1430*(1+Параметры!$B$5)&gt;=1000,-1,0)),ROUND(G1430*Параметры!$B$6,IF(G1430*Параметры!$B$6&gt;=1000,-1,0)))))</f>
        <v>782</v>
      </c>
      <c r="L1430" s="16">
        <v>0.6</v>
      </c>
      <c r="M1430" s="17">
        <f t="shared" si="104"/>
        <v>1.6666666666666667</v>
      </c>
      <c r="N1430" s="17">
        <f>IF(OR(L1430="",L1430=0),"",Параметры!$B$3/L1430)</f>
        <v>13.333333333333334</v>
      </c>
      <c r="O1430" s="15">
        <f>IF(L1430="","",IFERROR(INDEX('Почасовка — ставки и план'!$D$5:$D$24,MATCH($D1430,'Почасовка — ставки и план'!$A$5:$A$24,0)),""))</f>
        <v>850</v>
      </c>
      <c r="P1430" s="15">
        <f>IF(L1430="","",IFERROR(INDEX('Почасовка — ставки и план'!$E$5:$E$24,MATCH($D1430,'Почасовка — ставки и план'!$A$5:$A$24,0)),""))</f>
        <v>1020</v>
      </c>
      <c r="Q1430" s="15">
        <f t="shared" si="105"/>
        <v>510</v>
      </c>
      <c r="R1430" s="13" t="str">
        <f>IF(D1430="TEX","аренда техники — сделка/счёт",IF(OR(Q1430="",H1430="",H1430=0),"—",IF(Q1430&lt;H1430*(1-Параметры!$B$7),"почасовка",IF(Q1430&gt;H1430*(1+Параметры!$B$7),"сделка","любой способ"))))</f>
        <v>любой способ</v>
      </c>
      <c r="S1430">
        <v>0</v>
      </c>
      <c r="T1430">
        <v>0</v>
      </c>
    </row>
    <row r="1431" spans="1:20" x14ac:dyDescent="0.25">
      <c r="A1431" s="13" t="s">
        <v>2906</v>
      </c>
      <c r="B1431" s="13" t="s">
        <v>2907</v>
      </c>
      <c r="C1431" s="13" t="s">
        <v>865</v>
      </c>
      <c r="D1431" s="13" t="s">
        <v>273</v>
      </c>
      <c r="E1431" s="13" t="str">
        <f>IFERROR(INDEX('Почасовка — ставки и план'!$B$5:$B$24,MATCH(D1431,'Почасовка — ставки и план'!$A$5:$A$24,0)),"Аренда техники / механизмы")</f>
        <v>Электромонтажник</v>
      </c>
      <c r="F1431" s="14">
        <v>4000</v>
      </c>
      <c r="G1431" s="14">
        <v>4700</v>
      </c>
      <c r="H1431" s="15">
        <v>2500</v>
      </c>
      <c r="I1431" s="15">
        <f>IF(OR(H1431="",F1431=""),"",MAX(H1431,MIN(ROUND(H1431*(1+Параметры!$B$5),IF(H1431*(1+Параметры!$B$5)&gt;=1000,-1,0)),ROUND(F1431*Параметры!$B$6,IF(F1431*Параметры!$B$6&gt;=1000,-1,0)))))</f>
        <v>2880</v>
      </c>
      <c r="J1431" s="15">
        <v>2900</v>
      </c>
      <c r="K1431" s="15">
        <f>IF(OR(J1431="",G1431=""),"",MAX(J1431,MIN(ROUND(J1431*(1+Параметры!$B$5),IF(J1431*(1+Параметры!$B$5)&gt;=1000,-1,0)),ROUND(G1431*Параметры!$B$6,IF(G1431*Параметры!$B$6&gt;=1000,-1,0)))))</f>
        <v>3340</v>
      </c>
      <c r="L1431" s="16">
        <v>3</v>
      </c>
      <c r="M1431" s="17">
        <f t="shared" si="104"/>
        <v>0.33333333333333331</v>
      </c>
      <c r="N1431" s="17">
        <f>IF(OR(L1431="",L1431=0),"",Параметры!$B$3/L1431)</f>
        <v>2.6666666666666665</v>
      </c>
      <c r="O1431" s="15">
        <f>IF(L1431="","",IFERROR(INDEX('Почасовка — ставки и план'!$D$5:$D$24,MATCH($D1431,'Почасовка — ставки и план'!$A$5:$A$24,0)),""))</f>
        <v>850</v>
      </c>
      <c r="P1431" s="15">
        <f>IF(L1431="","",IFERROR(INDEX('Почасовка — ставки и план'!$E$5:$E$24,MATCH($D1431,'Почасовка — ставки и план'!$A$5:$A$24,0)),""))</f>
        <v>1020</v>
      </c>
      <c r="Q1431" s="15">
        <f t="shared" si="105"/>
        <v>2550</v>
      </c>
      <c r="R1431" s="13" t="str">
        <f>IF(D1431="TEX","аренда техники — сделка/счёт",IF(OR(Q1431="",H1431="",H1431=0),"—",IF(Q1431&lt;H1431*(1-Параметры!$B$7),"почасовка",IF(Q1431&gt;H1431*(1+Параметры!$B$7),"сделка","любой способ"))))</f>
        <v>любой способ</v>
      </c>
      <c r="S1431">
        <v>0</v>
      </c>
      <c r="T1431">
        <v>0</v>
      </c>
    </row>
    <row r="1432" spans="1:20" x14ac:dyDescent="0.25">
      <c r="A1432" s="13" t="s">
        <v>2908</v>
      </c>
      <c r="B1432" s="13" t="s">
        <v>2909</v>
      </c>
      <c r="C1432" s="13" t="s">
        <v>144</v>
      </c>
      <c r="D1432" s="13" t="s">
        <v>273</v>
      </c>
      <c r="E1432" s="13" t="str">
        <f>IFERROR(INDEX('Почасовка — ставки и план'!$B$5:$B$24,MATCH(D1432,'Почасовка — ставки и план'!$A$5:$A$24,0)),"Аренда техники / механизмы")</f>
        <v>Электромонтажник</v>
      </c>
      <c r="F1432" s="14">
        <v>8000</v>
      </c>
      <c r="G1432" s="14">
        <v>9300</v>
      </c>
      <c r="H1432" s="15">
        <v>4800</v>
      </c>
      <c r="I1432" s="15">
        <f>IF(OR(H1432="",F1432=""),"",MAX(H1432,MIN(ROUND(H1432*(1+Параметры!$B$5),IF(H1432*(1+Параметры!$B$5)&gt;=1000,-1,0)),ROUND(F1432*Параметры!$B$6,IF(F1432*Параметры!$B$6&gt;=1000,-1,0)))))</f>
        <v>5520</v>
      </c>
      <c r="J1432" s="15">
        <v>5600</v>
      </c>
      <c r="K1432" s="15">
        <f>IF(OR(J1432="",G1432=""),"",MAX(J1432,MIN(ROUND(J1432*(1+Параметры!$B$5),IF(J1432*(1+Параметры!$B$5)&gt;=1000,-1,0)),ROUND(G1432*Параметры!$B$6,IF(G1432*Параметры!$B$6&gt;=1000,-1,0)))))</f>
        <v>6440</v>
      </c>
      <c r="L1432" s="16">
        <v>5</v>
      </c>
      <c r="M1432" s="17">
        <f t="shared" si="104"/>
        <v>0.2</v>
      </c>
      <c r="N1432" s="17">
        <f>IF(OR(L1432="",L1432=0),"",Параметры!$B$3/L1432)</f>
        <v>1.6</v>
      </c>
      <c r="O1432" s="15">
        <f>IF(L1432="","",IFERROR(INDEX('Почасовка — ставки и план'!$D$5:$D$24,MATCH($D1432,'Почасовка — ставки и план'!$A$5:$A$24,0)),""))</f>
        <v>850</v>
      </c>
      <c r="P1432" s="15">
        <f>IF(L1432="","",IFERROR(INDEX('Почасовка — ставки и план'!$E$5:$E$24,MATCH($D1432,'Почасовка — ставки и план'!$A$5:$A$24,0)),""))</f>
        <v>1020</v>
      </c>
      <c r="Q1432" s="15">
        <f t="shared" si="105"/>
        <v>4250</v>
      </c>
      <c r="R1432" s="13" t="str">
        <f>IF(D1432="TEX","аренда техники — сделка/счёт",IF(OR(Q1432="",H1432="",H1432=0),"—",IF(Q1432&lt;H1432*(1-Параметры!$B$7),"почасовка",IF(Q1432&gt;H1432*(1+Параметры!$B$7),"сделка","любой способ"))))</f>
        <v>почасовка</v>
      </c>
      <c r="S1432">
        <v>0</v>
      </c>
      <c r="T1432">
        <v>0</v>
      </c>
    </row>
    <row r="1433" spans="1:20" x14ac:dyDescent="0.25">
      <c r="A1433" s="13" t="s">
        <v>2910</v>
      </c>
      <c r="B1433" s="13" t="s">
        <v>2911</v>
      </c>
      <c r="C1433" s="13" t="s">
        <v>144</v>
      </c>
      <c r="D1433" s="13" t="s">
        <v>273</v>
      </c>
      <c r="E1433" s="13" t="str">
        <f>IFERROR(INDEX('Почасовка — ставки и план'!$B$5:$B$24,MATCH(D1433,'Почасовка — ставки и план'!$A$5:$A$24,0)),"Аренда техники / механизмы")</f>
        <v>Электромонтажник</v>
      </c>
      <c r="F1433" s="14">
        <v>9500</v>
      </c>
      <c r="G1433" s="14">
        <v>11000</v>
      </c>
      <c r="H1433" s="15">
        <v>5700</v>
      </c>
      <c r="I1433" s="15">
        <f>IF(OR(H1433="",F1433=""),"",MAX(H1433,MIN(ROUND(H1433*(1+Параметры!$B$5),IF(H1433*(1+Параметры!$B$5)&gt;=1000,-1,0)),ROUND(F1433*Параметры!$B$6,IF(F1433*Параметры!$B$6&gt;=1000,-1,0)))))</f>
        <v>6560</v>
      </c>
      <c r="J1433" s="15">
        <v>6600</v>
      </c>
      <c r="K1433" s="15">
        <f>IF(OR(J1433="",G1433=""),"",MAX(J1433,MIN(ROUND(J1433*(1+Параметры!$B$5),IF(J1433*(1+Параметры!$B$5)&gt;=1000,-1,0)),ROUND(G1433*Параметры!$B$6,IF(G1433*Параметры!$B$6&gt;=1000,-1,0)))))</f>
        <v>7590</v>
      </c>
      <c r="L1433" s="16">
        <v>6</v>
      </c>
      <c r="M1433" s="17">
        <f t="shared" si="104"/>
        <v>0.16666666666666666</v>
      </c>
      <c r="N1433" s="17">
        <f>IF(OR(L1433="",L1433=0),"",Параметры!$B$3/L1433)</f>
        <v>1.3333333333333333</v>
      </c>
      <c r="O1433" s="15">
        <f>IF(L1433="","",IFERROR(INDEX('Почасовка — ставки и план'!$D$5:$D$24,MATCH($D1433,'Почасовка — ставки и план'!$A$5:$A$24,0)),""))</f>
        <v>850</v>
      </c>
      <c r="P1433" s="15">
        <f>IF(L1433="","",IFERROR(INDEX('Почасовка — ставки и план'!$E$5:$E$24,MATCH($D1433,'Почасовка — ставки и план'!$A$5:$A$24,0)),""))</f>
        <v>1020</v>
      </c>
      <c r="Q1433" s="15">
        <f t="shared" si="105"/>
        <v>5100</v>
      </c>
      <c r="R1433" s="13" t="str">
        <f>IF(D1433="TEX","аренда техники — сделка/счёт",IF(OR(Q1433="",H1433="",H1433=0),"—",IF(Q1433&lt;H1433*(1-Параметры!$B$7),"почасовка",IF(Q1433&gt;H1433*(1+Параметры!$B$7),"сделка","любой способ"))))</f>
        <v>почасовка</v>
      </c>
      <c r="S1433">
        <v>0</v>
      </c>
      <c r="T1433">
        <v>0</v>
      </c>
    </row>
    <row r="1434" spans="1:20" x14ac:dyDescent="0.25">
      <c r="A1434" s="13" t="s">
        <v>2912</v>
      </c>
      <c r="B1434" s="13" t="s">
        <v>2913</v>
      </c>
      <c r="C1434" s="13" t="s">
        <v>144</v>
      </c>
      <c r="D1434" s="13" t="s">
        <v>273</v>
      </c>
      <c r="E1434" s="13" t="str">
        <f>IFERROR(INDEX('Почасовка — ставки и план'!$B$5:$B$24,MATCH(D1434,'Почасовка — ставки и план'!$A$5:$A$24,0)),"Аренда техники / механизмы")</f>
        <v>Электромонтажник</v>
      </c>
      <c r="F1434" s="14">
        <v>8000</v>
      </c>
      <c r="G1434" s="14">
        <v>9300</v>
      </c>
      <c r="H1434" s="15">
        <v>4800</v>
      </c>
      <c r="I1434" s="15">
        <f>IF(OR(H1434="",F1434=""),"",MAX(H1434,MIN(ROUND(H1434*(1+Параметры!$B$5),IF(H1434*(1+Параметры!$B$5)&gt;=1000,-1,0)),ROUND(F1434*Параметры!$B$6,IF(F1434*Параметры!$B$6&gt;=1000,-1,0)))))</f>
        <v>5520</v>
      </c>
      <c r="J1434" s="15">
        <v>5600</v>
      </c>
      <c r="K1434" s="15">
        <f>IF(OR(J1434="",G1434=""),"",MAX(J1434,MIN(ROUND(J1434*(1+Параметры!$B$5),IF(J1434*(1+Параметры!$B$5)&gt;=1000,-1,0)),ROUND(G1434*Параметры!$B$6,IF(G1434*Параметры!$B$6&gt;=1000,-1,0)))))</f>
        <v>6440</v>
      </c>
      <c r="L1434" s="16">
        <v>5</v>
      </c>
      <c r="M1434" s="17">
        <f t="shared" si="104"/>
        <v>0.2</v>
      </c>
      <c r="N1434" s="17">
        <f>IF(OR(L1434="",L1434=0),"",Параметры!$B$3/L1434)</f>
        <v>1.6</v>
      </c>
      <c r="O1434" s="15">
        <f>IF(L1434="","",IFERROR(INDEX('Почасовка — ставки и план'!$D$5:$D$24,MATCH($D1434,'Почасовка — ставки и план'!$A$5:$A$24,0)),""))</f>
        <v>850</v>
      </c>
      <c r="P1434" s="15">
        <f>IF(L1434="","",IFERROR(INDEX('Почасовка — ставки и план'!$E$5:$E$24,MATCH($D1434,'Почасовка — ставки и план'!$A$5:$A$24,0)),""))</f>
        <v>1020</v>
      </c>
      <c r="Q1434" s="15">
        <f t="shared" si="105"/>
        <v>4250</v>
      </c>
      <c r="R1434" s="13" t="str">
        <f>IF(D1434="TEX","аренда техники — сделка/счёт",IF(OR(Q1434="",H1434="",H1434=0),"—",IF(Q1434&lt;H1434*(1-Параметры!$B$7),"почасовка",IF(Q1434&gt;H1434*(1+Параметры!$B$7),"сделка","любой способ"))))</f>
        <v>почасовка</v>
      </c>
      <c r="S1434">
        <v>0</v>
      </c>
      <c r="T1434">
        <v>0</v>
      </c>
    </row>
    <row r="1435" spans="1:20" x14ac:dyDescent="0.25">
      <c r="A1435" s="13" t="s">
        <v>2914</v>
      </c>
      <c r="B1435" s="13" t="s">
        <v>2915</v>
      </c>
      <c r="C1435" s="13" t="s">
        <v>144</v>
      </c>
      <c r="D1435" s="13" t="s">
        <v>273</v>
      </c>
      <c r="E1435" s="13" t="str">
        <f>IFERROR(INDEX('Почасовка — ставки и план'!$B$5:$B$24,MATCH(D1435,'Почасовка — ставки и план'!$A$5:$A$24,0)),"Аренда техники / механизмы")</f>
        <v>Электромонтажник</v>
      </c>
      <c r="F1435" s="14">
        <v>3500</v>
      </c>
      <c r="G1435" s="14">
        <v>4100</v>
      </c>
      <c r="H1435" s="15">
        <v>2100</v>
      </c>
      <c r="I1435" s="15">
        <f>IF(OR(H1435="",F1435=""),"",MAX(H1435,MIN(ROUND(H1435*(1+Параметры!$B$5),IF(H1435*(1+Параметры!$B$5)&gt;=1000,-1,0)),ROUND(F1435*Параметры!$B$6,IF(F1435*Параметры!$B$6&gt;=1000,-1,0)))))</f>
        <v>2420</v>
      </c>
      <c r="J1435" s="15">
        <v>2450</v>
      </c>
      <c r="K1435" s="15">
        <f>IF(OR(J1435="",G1435=""),"",MAX(J1435,MIN(ROUND(J1435*(1+Параметры!$B$5),IF(J1435*(1+Параметры!$B$5)&gt;=1000,-1,0)),ROUND(G1435*Параметры!$B$6,IF(G1435*Параметры!$B$6&gt;=1000,-1,0)))))</f>
        <v>2820</v>
      </c>
      <c r="L1435" s="16">
        <v>2</v>
      </c>
      <c r="M1435" s="17">
        <f t="shared" si="104"/>
        <v>0.5</v>
      </c>
      <c r="N1435" s="17">
        <f>IF(OR(L1435="",L1435=0),"",Параметры!$B$3/L1435)</f>
        <v>4</v>
      </c>
      <c r="O1435" s="15">
        <f>IF(L1435="","",IFERROR(INDEX('Почасовка — ставки и план'!$D$5:$D$24,MATCH($D1435,'Почасовка — ставки и план'!$A$5:$A$24,0)),""))</f>
        <v>850</v>
      </c>
      <c r="P1435" s="15">
        <f>IF(L1435="","",IFERROR(INDEX('Почасовка — ставки и план'!$E$5:$E$24,MATCH($D1435,'Почасовка — ставки и план'!$A$5:$A$24,0)),""))</f>
        <v>1020</v>
      </c>
      <c r="Q1435" s="15">
        <f t="shared" si="105"/>
        <v>1700</v>
      </c>
      <c r="R1435" s="13" t="str">
        <f>IF(D1435="TEX","аренда техники — сделка/счёт",IF(OR(Q1435="",H1435="",H1435=0),"—",IF(Q1435&lt;H1435*(1-Параметры!$B$7),"почасовка",IF(Q1435&gt;H1435*(1+Параметры!$B$7),"сделка","любой способ"))))</f>
        <v>почасовка</v>
      </c>
      <c r="S1435">
        <v>0</v>
      </c>
      <c r="T1435">
        <v>0</v>
      </c>
    </row>
    <row r="1436" spans="1:20" x14ac:dyDescent="0.25">
      <c r="A1436" s="13" t="s">
        <v>2916</v>
      </c>
      <c r="B1436" s="13" t="s">
        <v>2917</v>
      </c>
      <c r="C1436" s="13" t="s">
        <v>144</v>
      </c>
      <c r="D1436" s="13" t="s">
        <v>273</v>
      </c>
      <c r="E1436" s="13" t="str">
        <f>IFERROR(INDEX('Почасовка — ставки и план'!$B$5:$B$24,MATCH(D1436,'Почасовка — ставки и план'!$A$5:$A$24,0)),"Аренда техники / механизмы")</f>
        <v>Электромонтажник</v>
      </c>
      <c r="F1436" s="14">
        <v>4000</v>
      </c>
      <c r="G1436" s="14">
        <v>4700</v>
      </c>
      <c r="H1436" s="15">
        <v>2400</v>
      </c>
      <c r="I1436" s="15">
        <f>IF(OR(H1436="",F1436=""),"",MAX(H1436,MIN(ROUND(H1436*(1+Параметры!$B$5),IF(H1436*(1+Параметры!$B$5)&gt;=1000,-1,0)),ROUND(F1436*Параметры!$B$6,IF(F1436*Параметры!$B$6&gt;=1000,-1,0)))))</f>
        <v>2760</v>
      </c>
      <c r="J1436" s="15">
        <v>2800</v>
      </c>
      <c r="K1436" s="15">
        <f>IF(OR(J1436="",G1436=""),"",MAX(J1436,MIN(ROUND(J1436*(1+Параметры!$B$5),IF(J1436*(1+Параметры!$B$5)&gt;=1000,-1,0)),ROUND(G1436*Параметры!$B$6,IF(G1436*Параметры!$B$6&gt;=1000,-1,0)))))</f>
        <v>3220</v>
      </c>
      <c r="L1436" s="16">
        <v>2.5</v>
      </c>
      <c r="M1436" s="17">
        <f t="shared" si="104"/>
        <v>0.4</v>
      </c>
      <c r="N1436" s="17">
        <f>IF(OR(L1436="",L1436=0),"",Параметры!$B$3/L1436)</f>
        <v>3.2</v>
      </c>
      <c r="O1436" s="15">
        <f>IF(L1436="","",IFERROR(INDEX('Почасовка — ставки и план'!$D$5:$D$24,MATCH($D1436,'Почасовка — ставки и план'!$A$5:$A$24,0)),""))</f>
        <v>850</v>
      </c>
      <c r="P1436" s="15">
        <f>IF(L1436="","",IFERROR(INDEX('Почасовка — ставки и план'!$E$5:$E$24,MATCH($D1436,'Почасовка — ставки и план'!$A$5:$A$24,0)),""))</f>
        <v>1020</v>
      </c>
      <c r="Q1436" s="15">
        <f t="shared" si="105"/>
        <v>2125</v>
      </c>
      <c r="R1436" s="13" t="str">
        <f>IF(D1436="TEX","аренда техники — сделка/счёт",IF(OR(Q1436="",H1436="",H1436=0),"—",IF(Q1436&lt;H1436*(1-Параметры!$B$7),"почасовка",IF(Q1436&gt;H1436*(1+Параметры!$B$7),"сделка","любой способ"))))</f>
        <v>почасовка</v>
      </c>
      <c r="S1436">
        <v>0</v>
      </c>
      <c r="T1436">
        <v>0</v>
      </c>
    </row>
    <row r="1437" spans="1:20" x14ac:dyDescent="0.25">
      <c r="A1437" s="13" t="s">
        <v>2918</v>
      </c>
      <c r="B1437" s="13" t="s">
        <v>2919</v>
      </c>
      <c r="C1437" s="13" t="s">
        <v>144</v>
      </c>
      <c r="D1437" s="13" t="s">
        <v>2663</v>
      </c>
      <c r="E1437" s="13" t="str">
        <f>IFERROR(INDEX('Почасовка — ставки и план'!$B$5:$B$24,MATCH(D1437,'Почасовка — ставки и план'!$A$5:$A$24,0)),"Аренда техники / механизмы")</f>
        <v>Инженер электролаборатории / ПНР</v>
      </c>
      <c r="F1437" s="14">
        <v>18667</v>
      </c>
      <c r="G1437" s="14">
        <v>22400</v>
      </c>
      <c r="H1437" s="15">
        <v>11000</v>
      </c>
      <c r="I1437" s="15">
        <f>IF(OR(H1437="",F1437=""),"",MAX(H1437,MIN(ROUND(H1437*(1+Параметры!$B$5),IF(H1437*(1+Параметры!$B$5)&gt;=1000,-1,0)),ROUND(F1437*Параметры!$B$6,IF(F1437*Параметры!$B$6&gt;=1000,-1,0)))))</f>
        <v>12650</v>
      </c>
      <c r="J1437" s="15">
        <v>12800</v>
      </c>
      <c r="K1437" s="15">
        <f>IF(OR(J1437="",G1437=""),"",MAX(J1437,MIN(ROUND(J1437*(1+Параметры!$B$5),IF(J1437*(1+Параметры!$B$5)&gt;=1000,-1,0)),ROUND(G1437*Параметры!$B$6,IF(G1437*Параметры!$B$6&gt;=1000,-1,0)))))</f>
        <v>14720</v>
      </c>
      <c r="L1437" s="16">
        <v>10</v>
      </c>
      <c r="M1437" s="17">
        <f t="shared" si="104"/>
        <v>0.1</v>
      </c>
      <c r="N1437" s="17">
        <f>IF(OR(L1437="",L1437=0),"",Параметры!$B$3/L1437)</f>
        <v>0.8</v>
      </c>
      <c r="O1437" s="15">
        <f>IF(L1437="","",IFERROR(INDEX('Почасовка — ставки и план'!$D$5:$D$24,MATCH($D1437,'Почасовка — ставки и план'!$A$5:$A$24,0)),""))</f>
        <v>1400</v>
      </c>
      <c r="P1437" s="15">
        <f>IF(L1437="","",IFERROR(INDEX('Почасовка — ставки и план'!$E$5:$E$24,MATCH($D1437,'Почасовка — ставки и план'!$A$5:$A$24,0)),""))</f>
        <v>1680</v>
      </c>
      <c r="Q1437" s="15">
        <f t="shared" si="105"/>
        <v>14000</v>
      </c>
      <c r="R1437" s="13" t="str">
        <f>IF(D1437="TEX","аренда техники — сделка/счёт",IF(OR(Q1437="",H1437="",H1437=0),"—",IF(Q1437&lt;H1437*(1-Параметры!$B$7),"почасовка",IF(Q1437&gt;H1437*(1+Параметры!$B$7),"сделка","любой способ"))))</f>
        <v>сделка</v>
      </c>
      <c r="S1437">
        <v>3.7055555555555619E-2</v>
      </c>
      <c r="T1437">
        <v>6.6666666666666652E-2</v>
      </c>
    </row>
    <row r="1438" spans="1:20" x14ac:dyDescent="0.25">
      <c r="A1438" s="13" t="s">
        <v>2920</v>
      </c>
      <c r="B1438" s="13" t="s">
        <v>2921</v>
      </c>
      <c r="C1438" s="13" t="s">
        <v>144</v>
      </c>
      <c r="D1438" s="13" t="s">
        <v>2663</v>
      </c>
      <c r="E1438" s="13" t="str">
        <f>IFERROR(INDEX('Почасовка — ставки и план'!$B$5:$B$24,MATCH(D1438,'Почасовка — ставки и план'!$A$5:$A$24,0)),"Аренда техники / механизмы")</f>
        <v>Инженер электролаборатории / ПНР</v>
      </c>
      <c r="F1438" s="14">
        <v>14934</v>
      </c>
      <c r="G1438" s="14">
        <v>17920</v>
      </c>
      <c r="H1438" s="15">
        <v>7200</v>
      </c>
      <c r="I1438" s="15">
        <f>IF(OR(H1438="",F1438=""),"",MAX(H1438,MIN(ROUND(H1438*(1+Параметры!$B$5),IF(H1438*(1+Параметры!$B$5)&gt;=1000,-1,0)),ROUND(F1438*Параметры!$B$6,IF(F1438*Параметры!$B$6&gt;=1000,-1,0)))))</f>
        <v>8280</v>
      </c>
      <c r="J1438" s="15">
        <v>8400</v>
      </c>
      <c r="K1438" s="15">
        <f>IF(OR(J1438="",G1438=""),"",MAX(J1438,MIN(ROUND(J1438*(1+Параметры!$B$5),IF(J1438*(1+Параметры!$B$5)&gt;=1000,-1,0)),ROUND(G1438*Параметры!$B$6,IF(G1438*Параметры!$B$6&gt;=1000,-1,0)))))</f>
        <v>9660</v>
      </c>
      <c r="L1438" s="16">
        <v>8</v>
      </c>
      <c r="M1438" s="17">
        <f t="shared" si="104"/>
        <v>0.125</v>
      </c>
      <c r="N1438" s="17">
        <f>IF(OR(L1438="",L1438=0),"",Параметры!$B$3/L1438)</f>
        <v>1</v>
      </c>
      <c r="O1438" s="15">
        <f>IF(L1438="","",IFERROR(INDEX('Почасовка — ставки и план'!$D$5:$D$24,MATCH($D1438,'Почасовка — ставки и план'!$A$5:$A$24,0)),""))</f>
        <v>1400</v>
      </c>
      <c r="P1438" s="15">
        <f>IF(L1438="","",IFERROR(INDEX('Почасовка — ставки и план'!$E$5:$E$24,MATCH($D1438,'Почасовка — ставки и план'!$A$5:$A$24,0)),""))</f>
        <v>1680</v>
      </c>
      <c r="Q1438" s="15">
        <f t="shared" si="105"/>
        <v>11200</v>
      </c>
      <c r="R1438" s="13" t="str">
        <f>IF(D1438="TEX","аренда техники — сделка/счёт",IF(OR(Q1438="",H1438="",H1438=0),"—",IF(Q1438&lt;H1438*(1-Параметры!$B$7),"почасовка",IF(Q1438&gt;H1438*(1+Параметры!$B$7),"сделка","любой способ"))))</f>
        <v>сделка</v>
      </c>
      <c r="S1438">
        <v>0.24449999999999991</v>
      </c>
      <c r="T1438">
        <v>0.28000000000000003</v>
      </c>
    </row>
    <row r="1439" spans="1:20" x14ac:dyDescent="0.25">
      <c r="A1439" s="13" t="s">
        <v>2922</v>
      </c>
      <c r="B1439" s="13" t="s">
        <v>2923</v>
      </c>
      <c r="C1439" s="13" t="s">
        <v>144</v>
      </c>
      <c r="D1439" s="13" t="s">
        <v>299</v>
      </c>
      <c r="E1439" s="13" t="str">
        <f>IFERROR(INDEX('Почасовка — ставки и план'!$B$5:$B$24,MATCH(D1439,'Почасовка — ставки и план'!$A$5:$A$24,0)),"Аренда техники / механизмы")</f>
        <v>Холодильщик / монтажник кондиционеров</v>
      </c>
      <c r="F1439" s="14">
        <v>6000</v>
      </c>
      <c r="G1439" s="14">
        <v>7000</v>
      </c>
      <c r="H1439" s="15">
        <v>3600</v>
      </c>
      <c r="I1439" s="15">
        <f>IF(OR(H1439="",F1439=""),"",MAX(H1439,MIN(ROUND(H1439*(1+Параметры!$B$5),IF(H1439*(1+Параметры!$B$5)&gt;=1000,-1,0)),ROUND(F1439*Параметры!$B$6,IF(F1439*Параметры!$B$6&gt;=1000,-1,0)))))</f>
        <v>4140</v>
      </c>
      <c r="J1439" s="15">
        <v>4200</v>
      </c>
      <c r="K1439" s="15">
        <f>IF(OR(J1439="",G1439=""),"",MAX(J1439,MIN(ROUND(J1439*(1+Параметры!$B$5),IF(J1439*(1+Параметры!$B$5)&gt;=1000,-1,0)),ROUND(G1439*Параметры!$B$6,IF(G1439*Параметры!$B$6&gt;=1000,-1,0)))))</f>
        <v>4830</v>
      </c>
      <c r="L1439" s="16">
        <v>3</v>
      </c>
      <c r="M1439" s="17">
        <f t="shared" si="104"/>
        <v>0.33333333333333331</v>
      </c>
      <c r="N1439" s="17">
        <f>IF(OR(L1439="",L1439=0),"",Параметры!$B$3/L1439)</f>
        <v>2.6666666666666665</v>
      </c>
      <c r="O1439" s="15">
        <f>IF(L1439="","",IFERROR(INDEX('Почасовка — ставки и план'!$D$5:$D$24,MATCH($D1439,'Почасовка — ставки и план'!$A$5:$A$24,0)),""))</f>
        <v>1200</v>
      </c>
      <c r="P1439" s="15">
        <f>IF(L1439="","",IFERROR(INDEX('Почасовка — ставки и план'!$E$5:$E$24,MATCH($D1439,'Почасовка — ставки и план'!$A$5:$A$24,0)),""))</f>
        <v>1440</v>
      </c>
      <c r="Q1439" s="15">
        <f t="shared" si="105"/>
        <v>3600</v>
      </c>
      <c r="R1439" s="13" t="str">
        <f>IF(D1439="TEX","аренда техники — сделка/счёт",IF(OR(Q1439="",H1439="",H1439=0),"—",IF(Q1439&lt;H1439*(1-Параметры!$B$7),"почасовка",IF(Q1439&gt;H1439*(1+Параметры!$B$7),"сделка","любой способ"))))</f>
        <v>любой способ</v>
      </c>
      <c r="S1439">
        <v>0</v>
      </c>
      <c r="T1439">
        <v>0</v>
      </c>
    </row>
    <row r="1440" spans="1:20" x14ac:dyDescent="0.25">
      <c r="A1440" s="13" t="s">
        <v>2924</v>
      </c>
      <c r="B1440" s="13" t="s">
        <v>2925</v>
      </c>
      <c r="C1440" s="13" t="s">
        <v>144</v>
      </c>
      <c r="D1440" s="13" t="s">
        <v>273</v>
      </c>
      <c r="E1440" s="13" t="str">
        <f>IFERROR(INDEX('Почасовка — ставки и план'!$B$5:$B$24,MATCH(D1440,'Почасовка — ставки и план'!$A$5:$A$24,0)),"Аренда техники / механизмы")</f>
        <v>Электромонтажник</v>
      </c>
      <c r="F1440" s="14">
        <v>2000</v>
      </c>
      <c r="G1440" s="14">
        <v>2300</v>
      </c>
      <c r="H1440" s="15">
        <v>1200</v>
      </c>
      <c r="I1440" s="15">
        <f>IF(OR(H1440="",F1440=""),"",MAX(H1440,MIN(ROUND(H1440*(1+Параметры!$B$5),IF(H1440*(1+Параметры!$B$5)&gt;=1000,-1,0)),ROUND(F1440*Параметры!$B$6,IF(F1440*Параметры!$B$6&gt;=1000,-1,0)))))</f>
        <v>1380</v>
      </c>
      <c r="J1440" s="15">
        <v>1400</v>
      </c>
      <c r="K1440" s="15">
        <f>IF(OR(J1440="",G1440=""),"",MAX(J1440,MIN(ROUND(J1440*(1+Параметры!$B$5),IF(J1440*(1+Параметры!$B$5)&gt;=1000,-1,0)),ROUND(G1440*Параметры!$B$6,IF(G1440*Параметры!$B$6&gt;=1000,-1,0)))))</f>
        <v>1610</v>
      </c>
      <c r="L1440" s="16">
        <v>1</v>
      </c>
      <c r="M1440" s="17">
        <f t="shared" si="104"/>
        <v>1</v>
      </c>
      <c r="N1440" s="17">
        <f>IF(OR(L1440="",L1440=0),"",Параметры!$B$3/L1440)</f>
        <v>8</v>
      </c>
      <c r="O1440" s="15">
        <f>IF(L1440="","",IFERROR(INDEX('Почасовка — ставки и план'!$D$5:$D$24,MATCH($D1440,'Почасовка — ставки и план'!$A$5:$A$24,0)),""))</f>
        <v>850</v>
      </c>
      <c r="P1440" s="15">
        <f>IF(L1440="","",IFERROR(INDEX('Почасовка — ставки и план'!$E$5:$E$24,MATCH($D1440,'Почасовка — ставки и план'!$A$5:$A$24,0)),""))</f>
        <v>1020</v>
      </c>
      <c r="Q1440" s="15">
        <f t="shared" si="105"/>
        <v>850</v>
      </c>
      <c r="R1440" s="13" t="str">
        <f>IF(D1440="TEX","аренда техники — сделка/счёт",IF(OR(Q1440="",H1440="",H1440=0),"—",IF(Q1440&lt;H1440*(1-Параметры!$B$7),"почасовка",IF(Q1440&gt;H1440*(1+Параметры!$B$7),"сделка","любой способ"))))</f>
        <v>почасовка</v>
      </c>
      <c r="S1440">
        <v>0</v>
      </c>
      <c r="T1440">
        <v>0</v>
      </c>
    </row>
    <row r="1441" spans="1:20" x14ac:dyDescent="0.25">
      <c r="A1441" s="13" t="s">
        <v>2926</v>
      </c>
      <c r="B1441" s="13" t="s">
        <v>2927</v>
      </c>
      <c r="C1441" s="13" t="s">
        <v>144</v>
      </c>
      <c r="D1441" s="13" t="s">
        <v>2663</v>
      </c>
      <c r="E1441" s="13" t="str">
        <f>IFERROR(INDEX('Почасовка — ставки и план'!$B$5:$B$24,MATCH(D1441,'Почасовка — ставки и план'!$A$5:$A$24,0)),"Аренда техники / механизмы")</f>
        <v>Инженер электролаборатории / ПНР</v>
      </c>
      <c r="F1441" s="14">
        <v>3000</v>
      </c>
      <c r="G1441" s="14">
        <v>3500</v>
      </c>
      <c r="H1441" s="15">
        <v>1800</v>
      </c>
      <c r="I1441" s="15">
        <f>IF(OR(H1441="",F1441=""),"",MAX(H1441,MIN(ROUND(H1441*(1+Параметры!$B$5),IF(H1441*(1+Параметры!$B$5)&gt;=1000,-1,0)),ROUND(F1441*Параметры!$B$6,IF(F1441*Параметры!$B$6&gt;=1000,-1,0)))))</f>
        <v>2070</v>
      </c>
      <c r="J1441" s="15">
        <v>2100</v>
      </c>
      <c r="K1441" s="15">
        <f>IF(OR(J1441="",G1441=""),"",MAX(J1441,MIN(ROUND(J1441*(1+Параметры!$B$5),IF(J1441*(1+Параметры!$B$5)&gt;=1000,-1,0)),ROUND(G1441*Параметры!$B$6,IF(G1441*Параметры!$B$6&gt;=1000,-1,0)))))</f>
        <v>2420</v>
      </c>
      <c r="L1441" s="16">
        <v>1.5</v>
      </c>
      <c r="M1441" s="17">
        <f t="shared" ref="M1441:M1472" si="106">IF(OR(L1441="",L1441=0),"",1/L1441)</f>
        <v>0.66666666666666663</v>
      </c>
      <c r="N1441" s="17">
        <f>IF(OR(L1441="",L1441=0),"",Параметры!$B$3/L1441)</f>
        <v>5.333333333333333</v>
      </c>
      <c r="O1441" s="15">
        <f>IF(L1441="","",IFERROR(INDEX('Почасовка — ставки и план'!$D$5:$D$24,MATCH($D1441,'Почасовка — ставки и план'!$A$5:$A$24,0)),""))</f>
        <v>1400</v>
      </c>
      <c r="P1441" s="15">
        <f>IF(L1441="","",IFERROR(INDEX('Почасовка — ставки и план'!$E$5:$E$24,MATCH($D1441,'Почасовка — ставки и план'!$A$5:$A$24,0)),""))</f>
        <v>1680</v>
      </c>
      <c r="Q1441" s="15">
        <f t="shared" ref="Q1441:Q1457" si="107">IF(OR(L1441="",O1441=""),"",ROUND(L1441*O1441,0))</f>
        <v>2100</v>
      </c>
      <c r="R1441" s="13" t="str">
        <f>IF(D1441="TEX","аренда техники — сделка/счёт",IF(OR(Q1441="",H1441="",H1441=0),"—",IF(Q1441&lt;H1441*(1-Параметры!$B$7),"почасовка",IF(Q1441&gt;H1441*(1+Параметры!$B$7),"сделка","любой способ"))))</f>
        <v>сделка</v>
      </c>
      <c r="S1441">
        <v>0</v>
      </c>
      <c r="T1441">
        <v>0</v>
      </c>
    </row>
    <row r="1442" spans="1:20" x14ac:dyDescent="0.25">
      <c r="A1442" s="13" t="s">
        <v>2928</v>
      </c>
      <c r="B1442" s="13" t="s">
        <v>2929</v>
      </c>
      <c r="C1442" s="13" t="s">
        <v>144</v>
      </c>
      <c r="D1442" s="13" t="s">
        <v>273</v>
      </c>
      <c r="E1442" s="13" t="str">
        <f>IFERROR(INDEX('Почасовка — ставки и план'!$B$5:$B$24,MATCH(D1442,'Почасовка — ставки и план'!$A$5:$A$24,0)),"Аренда техники / механизмы")</f>
        <v>Электромонтажник</v>
      </c>
      <c r="F1442" s="14">
        <v>7000</v>
      </c>
      <c r="G1442" s="14">
        <v>8200</v>
      </c>
      <c r="H1442" s="15">
        <v>4200</v>
      </c>
      <c r="I1442" s="15">
        <f>IF(OR(H1442="",F1442=""),"",MAX(H1442,MIN(ROUND(H1442*(1+Параметры!$B$5),IF(H1442*(1+Параметры!$B$5)&gt;=1000,-1,0)),ROUND(F1442*Параметры!$B$6,IF(F1442*Параметры!$B$6&gt;=1000,-1,0)))))</f>
        <v>4830</v>
      </c>
      <c r="J1442" s="15">
        <v>4900</v>
      </c>
      <c r="K1442" s="15">
        <f>IF(OR(J1442="",G1442=""),"",MAX(J1442,MIN(ROUND(J1442*(1+Параметры!$B$5),IF(J1442*(1+Параметры!$B$5)&gt;=1000,-1,0)),ROUND(G1442*Параметры!$B$6,IF(G1442*Параметры!$B$6&gt;=1000,-1,0)))))</f>
        <v>5640</v>
      </c>
      <c r="L1442" s="16">
        <v>4</v>
      </c>
      <c r="M1442" s="17">
        <f t="shared" si="106"/>
        <v>0.25</v>
      </c>
      <c r="N1442" s="17">
        <f>IF(OR(L1442="",L1442=0),"",Параметры!$B$3/L1442)</f>
        <v>2</v>
      </c>
      <c r="O1442" s="15">
        <f>IF(L1442="","",IFERROR(INDEX('Почасовка — ставки и план'!$D$5:$D$24,MATCH($D1442,'Почасовка — ставки и план'!$A$5:$A$24,0)),""))</f>
        <v>850</v>
      </c>
      <c r="P1442" s="15">
        <f>IF(L1442="","",IFERROR(INDEX('Почасовка — ставки и план'!$E$5:$E$24,MATCH($D1442,'Почасовка — ставки и план'!$A$5:$A$24,0)),""))</f>
        <v>1020</v>
      </c>
      <c r="Q1442" s="15">
        <f t="shared" si="107"/>
        <v>3400</v>
      </c>
      <c r="R1442" s="13" t="str">
        <f>IF(D1442="TEX","аренда техники — сделка/счёт",IF(OR(Q1442="",H1442="",H1442=0),"—",IF(Q1442&lt;H1442*(1-Параметры!$B$7),"почасовка",IF(Q1442&gt;H1442*(1+Параметры!$B$7),"сделка","любой способ"))))</f>
        <v>почасовка</v>
      </c>
      <c r="S1442">
        <v>0</v>
      </c>
      <c r="T1442">
        <v>0</v>
      </c>
    </row>
    <row r="1443" spans="1:20" x14ac:dyDescent="0.25">
      <c r="A1443" s="13" t="s">
        <v>2930</v>
      </c>
      <c r="B1443" s="13" t="s">
        <v>2931</v>
      </c>
      <c r="C1443" s="13" t="s">
        <v>144</v>
      </c>
      <c r="D1443" s="13" t="s">
        <v>2663</v>
      </c>
      <c r="E1443" s="13" t="str">
        <f>IFERROR(INDEX('Почасовка — ставки и план'!$B$5:$B$24,MATCH(D1443,'Почасовка — ставки и план'!$A$5:$A$24,0)),"Аренда техники / механизмы")</f>
        <v>Инженер электролаборатории / ПНР</v>
      </c>
      <c r="F1443" s="14">
        <v>3000</v>
      </c>
      <c r="G1443" s="14">
        <v>3500</v>
      </c>
      <c r="H1443" s="15">
        <v>1800</v>
      </c>
      <c r="I1443" s="15">
        <f>IF(OR(H1443="",F1443=""),"",MAX(H1443,MIN(ROUND(H1443*(1+Параметры!$B$5),IF(H1443*(1+Параметры!$B$5)&gt;=1000,-1,0)),ROUND(F1443*Параметры!$B$6,IF(F1443*Параметры!$B$6&gt;=1000,-1,0)))))</f>
        <v>2070</v>
      </c>
      <c r="J1443" s="15">
        <v>2100</v>
      </c>
      <c r="K1443" s="15">
        <f>IF(OR(J1443="",G1443=""),"",MAX(J1443,MIN(ROUND(J1443*(1+Параметры!$B$5),IF(J1443*(1+Параметры!$B$5)&gt;=1000,-1,0)),ROUND(G1443*Параметры!$B$6,IF(G1443*Параметры!$B$6&gt;=1000,-1,0)))))</f>
        <v>2420</v>
      </c>
      <c r="L1443" s="16">
        <v>1.5</v>
      </c>
      <c r="M1443" s="17">
        <f t="shared" si="106"/>
        <v>0.66666666666666663</v>
      </c>
      <c r="N1443" s="17">
        <f>IF(OR(L1443="",L1443=0),"",Параметры!$B$3/L1443)</f>
        <v>5.333333333333333</v>
      </c>
      <c r="O1443" s="15">
        <f>IF(L1443="","",IFERROR(INDEX('Почасовка — ставки и план'!$D$5:$D$24,MATCH($D1443,'Почасовка — ставки и план'!$A$5:$A$24,0)),""))</f>
        <v>1400</v>
      </c>
      <c r="P1443" s="15">
        <f>IF(L1443="","",IFERROR(INDEX('Почасовка — ставки и план'!$E$5:$E$24,MATCH($D1443,'Почасовка — ставки и план'!$A$5:$A$24,0)),""))</f>
        <v>1680</v>
      </c>
      <c r="Q1443" s="15">
        <f t="shared" si="107"/>
        <v>2100</v>
      </c>
      <c r="R1443" s="13" t="str">
        <f>IF(D1443="TEX","аренда техники — сделка/счёт",IF(OR(Q1443="",H1443="",H1443=0),"—",IF(Q1443&lt;H1443*(1-Параметры!$B$7),"почасовка",IF(Q1443&gt;H1443*(1+Параметры!$B$7),"сделка","любой способ"))))</f>
        <v>сделка</v>
      </c>
      <c r="S1443">
        <v>0</v>
      </c>
      <c r="T1443">
        <v>0</v>
      </c>
    </row>
    <row r="1444" spans="1:20" x14ac:dyDescent="0.25">
      <c r="A1444" s="13" t="s">
        <v>2932</v>
      </c>
      <c r="B1444" s="13" t="s">
        <v>2933</v>
      </c>
      <c r="C1444" s="13" t="s">
        <v>144</v>
      </c>
      <c r="D1444" s="13" t="s">
        <v>273</v>
      </c>
      <c r="E1444" s="13" t="str">
        <f>IFERROR(INDEX('Почасовка — ставки и план'!$B$5:$B$24,MATCH(D1444,'Почасовка — ставки и план'!$A$5:$A$24,0)),"Аренда техники / механизмы")</f>
        <v>Электромонтажник</v>
      </c>
      <c r="F1444" s="14">
        <v>5500</v>
      </c>
      <c r="G1444" s="14">
        <v>6400</v>
      </c>
      <c r="H1444" s="15">
        <v>3300</v>
      </c>
      <c r="I1444" s="15">
        <f>IF(OR(H1444="",F1444=""),"",MAX(H1444,MIN(ROUND(H1444*(1+Параметры!$B$5),IF(H1444*(1+Параметры!$B$5)&gt;=1000,-1,0)),ROUND(F1444*Параметры!$B$6,IF(F1444*Параметры!$B$6&gt;=1000,-1,0)))))</f>
        <v>3800</v>
      </c>
      <c r="J1444" s="15">
        <v>3850</v>
      </c>
      <c r="K1444" s="15">
        <f>IF(OR(J1444="",G1444=""),"",MAX(J1444,MIN(ROUND(J1444*(1+Параметры!$B$5),IF(J1444*(1+Параметры!$B$5)&gt;=1000,-1,0)),ROUND(G1444*Параметры!$B$6,IF(G1444*Параметры!$B$6&gt;=1000,-1,0)))))</f>
        <v>4430</v>
      </c>
      <c r="L1444" s="16">
        <v>3</v>
      </c>
      <c r="M1444" s="17">
        <f t="shared" si="106"/>
        <v>0.33333333333333331</v>
      </c>
      <c r="N1444" s="17">
        <f>IF(OR(L1444="",L1444=0),"",Параметры!$B$3/L1444)</f>
        <v>2.6666666666666665</v>
      </c>
      <c r="O1444" s="15">
        <f>IF(L1444="","",IFERROR(INDEX('Почасовка — ставки и план'!$D$5:$D$24,MATCH($D1444,'Почасовка — ставки и план'!$A$5:$A$24,0)),""))</f>
        <v>850</v>
      </c>
      <c r="P1444" s="15">
        <f>IF(L1444="","",IFERROR(INDEX('Почасовка — ставки и план'!$E$5:$E$24,MATCH($D1444,'Почасовка — ставки и план'!$A$5:$A$24,0)),""))</f>
        <v>1020</v>
      </c>
      <c r="Q1444" s="15">
        <f t="shared" si="107"/>
        <v>2550</v>
      </c>
      <c r="R1444" s="13" t="str">
        <f>IF(D1444="TEX","аренда техники — сделка/счёт",IF(OR(Q1444="",H1444="",H1444=0),"—",IF(Q1444&lt;H1444*(1-Параметры!$B$7),"почасовка",IF(Q1444&gt;H1444*(1+Параметры!$B$7),"сделка","любой способ"))))</f>
        <v>почасовка</v>
      </c>
      <c r="S1444">
        <v>0</v>
      </c>
      <c r="T1444">
        <v>0</v>
      </c>
    </row>
    <row r="1445" spans="1:20" x14ac:dyDescent="0.25">
      <c r="A1445" s="13" t="s">
        <v>2934</v>
      </c>
      <c r="B1445" s="13" t="s">
        <v>2935</v>
      </c>
      <c r="C1445" s="13" t="s">
        <v>144</v>
      </c>
      <c r="D1445" s="13" t="s">
        <v>2663</v>
      </c>
      <c r="E1445" s="13" t="str">
        <f>IFERROR(INDEX('Почасовка — ставки и план'!$B$5:$B$24,MATCH(D1445,'Почасовка — ставки и план'!$A$5:$A$24,0)),"Аренда техники / механизмы")</f>
        <v>Инженер электролаборатории / ПНР</v>
      </c>
      <c r="F1445" s="14">
        <v>3000</v>
      </c>
      <c r="G1445" s="14">
        <v>3500</v>
      </c>
      <c r="H1445" s="15">
        <v>1800</v>
      </c>
      <c r="I1445" s="15">
        <f>IF(OR(H1445="",F1445=""),"",MAX(H1445,MIN(ROUND(H1445*(1+Параметры!$B$5),IF(H1445*(1+Параметры!$B$5)&gt;=1000,-1,0)),ROUND(F1445*Параметры!$B$6,IF(F1445*Параметры!$B$6&gt;=1000,-1,0)))))</f>
        <v>2070</v>
      </c>
      <c r="J1445" s="15">
        <v>2100</v>
      </c>
      <c r="K1445" s="15">
        <f>IF(OR(J1445="",G1445=""),"",MAX(J1445,MIN(ROUND(J1445*(1+Параметры!$B$5),IF(J1445*(1+Параметры!$B$5)&gt;=1000,-1,0)),ROUND(G1445*Параметры!$B$6,IF(G1445*Параметры!$B$6&gt;=1000,-1,0)))))</f>
        <v>2420</v>
      </c>
      <c r="L1445" s="16">
        <v>1.5</v>
      </c>
      <c r="M1445" s="17">
        <f t="shared" si="106"/>
        <v>0.66666666666666663</v>
      </c>
      <c r="N1445" s="17">
        <f>IF(OR(L1445="",L1445=0),"",Параметры!$B$3/L1445)</f>
        <v>5.333333333333333</v>
      </c>
      <c r="O1445" s="15">
        <f>IF(L1445="","",IFERROR(INDEX('Почасовка — ставки и план'!$D$5:$D$24,MATCH($D1445,'Почасовка — ставки и план'!$A$5:$A$24,0)),""))</f>
        <v>1400</v>
      </c>
      <c r="P1445" s="15">
        <f>IF(L1445="","",IFERROR(INDEX('Почасовка — ставки и план'!$E$5:$E$24,MATCH($D1445,'Почасовка — ставки и план'!$A$5:$A$24,0)),""))</f>
        <v>1680</v>
      </c>
      <c r="Q1445" s="15">
        <f t="shared" si="107"/>
        <v>2100</v>
      </c>
      <c r="R1445" s="13" t="str">
        <f>IF(D1445="TEX","аренда техники — сделка/счёт",IF(OR(Q1445="",H1445="",H1445=0),"—",IF(Q1445&lt;H1445*(1-Параметры!$B$7),"почасовка",IF(Q1445&gt;H1445*(1+Параметры!$B$7),"сделка","любой способ"))))</f>
        <v>сделка</v>
      </c>
      <c r="S1445">
        <v>0</v>
      </c>
      <c r="T1445">
        <v>0</v>
      </c>
    </row>
    <row r="1446" spans="1:20" x14ac:dyDescent="0.25">
      <c r="A1446" s="13" t="s">
        <v>2936</v>
      </c>
      <c r="B1446" s="13" t="s">
        <v>2937</v>
      </c>
      <c r="C1446" s="13" t="s">
        <v>865</v>
      </c>
      <c r="D1446" s="13" t="s">
        <v>2663</v>
      </c>
      <c r="E1446" s="13" t="str">
        <f>IFERROR(INDEX('Почасовка — ставки и план'!$B$5:$B$24,MATCH(D1446,'Почасовка — ставки и план'!$A$5:$A$24,0)),"Аренда техники / механизмы")</f>
        <v>Инженер электролаборатории / ПНР</v>
      </c>
      <c r="F1446" s="14">
        <v>38000</v>
      </c>
      <c r="G1446" s="14">
        <v>32000</v>
      </c>
      <c r="H1446" s="15">
        <v>30000</v>
      </c>
      <c r="I1446" s="15">
        <f>IF(OR(H1446="",F1446=""),"",MAX(H1446,MIN(ROUND(H1446*(1+Параметры!$B$5),IF(H1446*(1+Параметры!$B$5)&gt;=1000,-1,0)),ROUND(F1446*Параметры!$B$6,IF(F1446*Параметры!$B$6&gt;=1000,-1,0)))))</f>
        <v>30000</v>
      </c>
      <c r="J1446" s="15">
        <v>25000</v>
      </c>
      <c r="K1446" s="15">
        <f>IF(OR(J1446="",G1446=""),"",MAX(J1446,MIN(ROUND(J1446*(1+Параметры!$B$5),IF(J1446*(1+Параметры!$B$5)&gt;=1000,-1,0)),ROUND(G1446*Параметры!$B$6,IF(G1446*Параметры!$B$6&gt;=1000,-1,0)))))</f>
        <v>25000</v>
      </c>
      <c r="L1446" s="16">
        <v>8</v>
      </c>
      <c r="M1446" s="17">
        <f t="shared" si="106"/>
        <v>0.125</v>
      </c>
      <c r="N1446" s="17">
        <f>IF(OR(L1446="",L1446=0),"",Параметры!$B$3/L1446)</f>
        <v>1</v>
      </c>
      <c r="O1446" s="15">
        <f>IF(L1446="","",IFERROR(INDEX('Почасовка — ставки и план'!$D$5:$D$24,MATCH($D1446,'Почасовка — ставки и план'!$A$5:$A$24,0)),""))</f>
        <v>1400</v>
      </c>
      <c r="P1446" s="15">
        <f>IF(L1446="","",IFERROR(INDEX('Почасовка — ставки и план'!$E$5:$E$24,MATCH($D1446,'Почасовка — ставки и план'!$A$5:$A$24,0)),""))</f>
        <v>1680</v>
      </c>
      <c r="Q1446" s="15">
        <f t="shared" si="107"/>
        <v>11200</v>
      </c>
      <c r="R1446" s="13" t="str">
        <f>IF(D1446="TEX","аренда техники — сделка/счёт",IF(OR(Q1446="",H1446="",H1446=0),"—",IF(Q1446&lt;H1446*(1-Параметры!$B$7),"почасовка",IF(Q1446&gt;H1446*(1+Параметры!$B$7),"сделка","любой способ"))))</f>
        <v>почасовка</v>
      </c>
      <c r="S1446">
        <v>0</v>
      </c>
      <c r="T1446">
        <v>0</v>
      </c>
    </row>
    <row r="1447" spans="1:20" x14ac:dyDescent="0.25">
      <c r="A1447" s="13" t="s">
        <v>2938</v>
      </c>
      <c r="B1447" s="13" t="s">
        <v>2939</v>
      </c>
      <c r="C1447" s="13" t="s">
        <v>865</v>
      </c>
      <c r="D1447" s="13" t="s">
        <v>2663</v>
      </c>
      <c r="E1447" s="13" t="str">
        <f>IFERROR(INDEX('Почасовка — ставки и план'!$B$5:$B$24,MATCH(D1447,'Почасовка — ставки и план'!$A$5:$A$24,0)),"Аренда техники / механизмы")</f>
        <v>Инженер электролаборатории / ПНР</v>
      </c>
      <c r="F1447" s="14">
        <v>32000</v>
      </c>
      <c r="G1447" s="14">
        <v>25000</v>
      </c>
      <c r="H1447" s="15">
        <v>25000</v>
      </c>
      <c r="I1447" s="15">
        <f>IF(OR(H1447="",F1447=""),"",MAX(H1447,MIN(ROUND(H1447*(1+Параметры!$B$5),IF(H1447*(1+Параметры!$B$5)&gt;=1000,-1,0)),ROUND(F1447*Параметры!$B$6,IF(F1447*Параметры!$B$6&gt;=1000,-1,0)))))</f>
        <v>25000</v>
      </c>
      <c r="J1447" s="15">
        <v>20000</v>
      </c>
      <c r="K1447" s="15">
        <f>IF(OR(J1447="",G1447=""),"",MAX(J1447,MIN(ROUND(J1447*(1+Параметры!$B$5),IF(J1447*(1+Параметры!$B$5)&gt;=1000,-1,0)),ROUND(G1447*Параметры!$B$6,IF(G1447*Параметры!$B$6&gt;=1000,-1,0)))))</f>
        <v>20000</v>
      </c>
      <c r="L1447" s="16">
        <v>8</v>
      </c>
      <c r="M1447" s="17">
        <f t="shared" si="106"/>
        <v>0.125</v>
      </c>
      <c r="N1447" s="17">
        <f>IF(OR(L1447="",L1447=0),"",Параметры!$B$3/L1447)</f>
        <v>1</v>
      </c>
      <c r="O1447" s="15">
        <f>IF(L1447="","",IFERROR(INDEX('Почасовка — ставки и план'!$D$5:$D$24,MATCH($D1447,'Почасовка — ставки и план'!$A$5:$A$24,0)),""))</f>
        <v>1400</v>
      </c>
      <c r="P1447" s="15">
        <f>IF(L1447="","",IFERROR(INDEX('Почасовка — ставки и план'!$E$5:$E$24,MATCH($D1447,'Почасовка — ставки и план'!$A$5:$A$24,0)),""))</f>
        <v>1680</v>
      </c>
      <c r="Q1447" s="15">
        <f t="shared" si="107"/>
        <v>11200</v>
      </c>
      <c r="R1447" s="13" t="str">
        <f>IF(D1447="TEX","аренда техники — сделка/счёт",IF(OR(Q1447="",H1447="",H1447=0),"—",IF(Q1447&lt;H1447*(1-Параметры!$B$7),"почасовка",IF(Q1447&gt;H1447*(1+Параметры!$B$7),"сделка","любой способ"))))</f>
        <v>почасовка</v>
      </c>
      <c r="S1447">
        <v>0</v>
      </c>
      <c r="T1447">
        <v>0</v>
      </c>
    </row>
    <row r="1448" spans="1:20" x14ac:dyDescent="0.25">
      <c r="A1448" s="13" t="s">
        <v>2940</v>
      </c>
      <c r="B1448" s="13" t="s">
        <v>2941</v>
      </c>
      <c r="C1448" s="13" t="s">
        <v>865</v>
      </c>
      <c r="D1448" s="13" t="s">
        <v>2663</v>
      </c>
      <c r="E1448" s="13" t="str">
        <f>IFERROR(INDEX('Почасовка — ставки и план'!$B$5:$B$24,MATCH(D1448,'Почасовка — ставки и план'!$A$5:$A$24,0)),"Аренда техники / механизмы")</f>
        <v>Инженер электролаборатории / ПНР</v>
      </c>
      <c r="F1448" s="14">
        <v>22000</v>
      </c>
      <c r="G1448" s="14">
        <v>18000</v>
      </c>
      <c r="H1448" s="15">
        <v>17000</v>
      </c>
      <c r="I1448" s="15">
        <f>IF(OR(H1448="",F1448=""),"",MAX(H1448,MIN(ROUND(H1448*(1+Параметры!$B$5),IF(H1448*(1+Параметры!$B$5)&gt;=1000,-1,0)),ROUND(F1448*Параметры!$B$6,IF(F1448*Параметры!$B$6&gt;=1000,-1,0)))))</f>
        <v>17000</v>
      </c>
      <c r="J1448" s="15">
        <v>14000</v>
      </c>
      <c r="K1448" s="15">
        <f>IF(OR(J1448="",G1448=""),"",MAX(J1448,MIN(ROUND(J1448*(1+Параметры!$B$5),IF(J1448*(1+Параметры!$B$5)&gt;=1000,-1,0)),ROUND(G1448*Параметры!$B$6,IF(G1448*Параметры!$B$6&gt;=1000,-1,0)))))</f>
        <v>14000</v>
      </c>
      <c r="L1448" s="16">
        <v>6</v>
      </c>
      <c r="M1448" s="17">
        <f t="shared" si="106"/>
        <v>0.16666666666666666</v>
      </c>
      <c r="N1448" s="17">
        <f>IF(OR(L1448="",L1448=0),"",Параметры!$B$3/L1448)</f>
        <v>1.3333333333333333</v>
      </c>
      <c r="O1448" s="15">
        <f>IF(L1448="","",IFERROR(INDEX('Почасовка — ставки и план'!$D$5:$D$24,MATCH($D1448,'Почасовка — ставки и план'!$A$5:$A$24,0)),""))</f>
        <v>1400</v>
      </c>
      <c r="P1448" s="15">
        <f>IF(L1448="","",IFERROR(INDEX('Почасовка — ставки и план'!$E$5:$E$24,MATCH($D1448,'Почасовка — ставки и план'!$A$5:$A$24,0)),""))</f>
        <v>1680</v>
      </c>
      <c r="Q1448" s="15">
        <f t="shared" si="107"/>
        <v>8400</v>
      </c>
      <c r="R1448" s="13" t="str">
        <f>IF(D1448="TEX","аренда техники — сделка/счёт",IF(OR(Q1448="",H1448="",H1448=0),"—",IF(Q1448&lt;H1448*(1-Параметры!$B$7),"почасовка",IF(Q1448&gt;H1448*(1+Параметры!$B$7),"сделка","любой способ"))))</f>
        <v>почасовка</v>
      </c>
      <c r="S1448">
        <v>0</v>
      </c>
      <c r="T1448">
        <v>0</v>
      </c>
    </row>
    <row r="1449" spans="1:20" x14ac:dyDescent="0.25">
      <c r="A1449" s="13" t="s">
        <v>2942</v>
      </c>
      <c r="B1449" s="13" t="s">
        <v>2943</v>
      </c>
      <c r="C1449" s="13" t="s">
        <v>865</v>
      </c>
      <c r="D1449" s="13" t="s">
        <v>2663</v>
      </c>
      <c r="E1449" s="13" t="str">
        <f>IFERROR(INDEX('Почасовка — ставки и план'!$B$5:$B$24,MATCH(D1449,'Почасовка — ставки и план'!$A$5:$A$24,0)),"Аренда техники / механизмы")</f>
        <v>Инженер электролаборатории / ПНР</v>
      </c>
      <c r="F1449" s="14">
        <v>22000</v>
      </c>
      <c r="G1449" s="14">
        <v>14000</v>
      </c>
      <c r="H1449" s="15">
        <v>17000</v>
      </c>
      <c r="I1449" s="15">
        <f>IF(OR(H1449="",F1449=""),"",MAX(H1449,MIN(ROUND(H1449*(1+Параметры!$B$5),IF(H1449*(1+Параметры!$B$5)&gt;=1000,-1,0)),ROUND(F1449*Параметры!$B$6,IF(F1449*Параметры!$B$6&gt;=1000,-1,0)))))</f>
        <v>17000</v>
      </c>
      <c r="J1449" s="15">
        <v>11000</v>
      </c>
      <c r="K1449" s="15">
        <f>IF(OR(J1449="",G1449=""),"",MAX(J1449,MIN(ROUND(J1449*(1+Параметры!$B$5),IF(J1449*(1+Параметры!$B$5)&gt;=1000,-1,0)),ROUND(G1449*Параметры!$B$6,IF(G1449*Параметры!$B$6&gt;=1000,-1,0)))))</f>
        <v>11000</v>
      </c>
      <c r="L1449" s="16">
        <v>6</v>
      </c>
      <c r="M1449" s="17">
        <f t="shared" si="106"/>
        <v>0.16666666666666666</v>
      </c>
      <c r="N1449" s="17">
        <f>IF(OR(L1449="",L1449=0),"",Параметры!$B$3/L1449)</f>
        <v>1.3333333333333333</v>
      </c>
      <c r="O1449" s="15">
        <f>IF(L1449="","",IFERROR(INDEX('Почасовка — ставки и план'!$D$5:$D$24,MATCH($D1449,'Почасовка — ставки и план'!$A$5:$A$24,0)),""))</f>
        <v>1400</v>
      </c>
      <c r="P1449" s="15">
        <f>IF(L1449="","",IFERROR(INDEX('Почасовка — ставки и план'!$E$5:$E$24,MATCH($D1449,'Почасовка — ставки и план'!$A$5:$A$24,0)),""))</f>
        <v>1680</v>
      </c>
      <c r="Q1449" s="15">
        <f t="shared" si="107"/>
        <v>8400</v>
      </c>
      <c r="R1449" s="13" t="str">
        <f>IF(D1449="TEX","аренда техники — сделка/счёт",IF(OR(Q1449="",H1449="",H1449=0),"—",IF(Q1449&lt;H1449*(1-Параметры!$B$7),"почасовка",IF(Q1449&gt;H1449*(1+Параметры!$B$7),"сделка","любой способ"))))</f>
        <v>почасовка</v>
      </c>
      <c r="S1449">
        <v>0</v>
      </c>
      <c r="T1449">
        <v>0</v>
      </c>
    </row>
    <row r="1450" spans="1:20" x14ac:dyDescent="0.25">
      <c r="A1450" s="13" t="s">
        <v>2944</v>
      </c>
      <c r="B1450" s="13" t="s">
        <v>2945</v>
      </c>
      <c r="C1450" s="13" t="s">
        <v>865</v>
      </c>
      <c r="D1450" s="13" t="s">
        <v>2663</v>
      </c>
      <c r="E1450" s="13" t="str">
        <f>IFERROR(INDEX('Почасовка — ставки и план'!$B$5:$B$24,MATCH(D1450,'Почасовка — ставки и план'!$A$5:$A$24,0)),"Аренда техники / механизмы")</f>
        <v>Инженер электролаборатории / ПНР</v>
      </c>
      <c r="F1450" s="14">
        <v>28000</v>
      </c>
      <c r="G1450" s="14">
        <v>20000</v>
      </c>
      <c r="H1450" s="15">
        <v>22000</v>
      </c>
      <c r="I1450" s="15">
        <f>IF(OR(H1450="",F1450=""),"",MAX(H1450,MIN(ROUND(H1450*(1+Параметры!$B$5),IF(H1450*(1+Параметры!$B$5)&gt;=1000,-1,0)),ROUND(F1450*Параметры!$B$6,IF(F1450*Параметры!$B$6&gt;=1000,-1,0)))))</f>
        <v>22000</v>
      </c>
      <c r="J1450" s="15">
        <v>16000</v>
      </c>
      <c r="K1450" s="15">
        <f>IF(OR(J1450="",G1450=""),"",MAX(J1450,MIN(ROUND(J1450*(1+Параметры!$B$5),IF(J1450*(1+Параметры!$B$5)&gt;=1000,-1,0)),ROUND(G1450*Параметры!$B$6,IF(G1450*Параметры!$B$6&gt;=1000,-1,0)))))</f>
        <v>16000</v>
      </c>
      <c r="L1450" s="16">
        <v>8</v>
      </c>
      <c r="M1450" s="17">
        <f t="shared" si="106"/>
        <v>0.125</v>
      </c>
      <c r="N1450" s="17">
        <f>IF(OR(L1450="",L1450=0),"",Параметры!$B$3/L1450)</f>
        <v>1</v>
      </c>
      <c r="O1450" s="15">
        <f>IF(L1450="","",IFERROR(INDEX('Почасовка — ставки и план'!$D$5:$D$24,MATCH($D1450,'Почасовка — ставки и план'!$A$5:$A$24,0)),""))</f>
        <v>1400</v>
      </c>
      <c r="P1450" s="15">
        <f>IF(L1450="","",IFERROR(INDEX('Почасовка — ставки и план'!$E$5:$E$24,MATCH($D1450,'Почасовка — ставки и план'!$A$5:$A$24,0)),""))</f>
        <v>1680</v>
      </c>
      <c r="Q1450" s="15">
        <f t="shared" si="107"/>
        <v>11200</v>
      </c>
      <c r="R1450" s="13" t="str">
        <f>IF(D1450="TEX","аренда техники — сделка/счёт",IF(OR(Q1450="",H1450="",H1450=0),"—",IF(Q1450&lt;H1450*(1-Параметры!$B$7),"почасовка",IF(Q1450&gt;H1450*(1+Параметры!$B$7),"сделка","любой способ"))))</f>
        <v>почасовка</v>
      </c>
      <c r="S1450">
        <v>0</v>
      </c>
      <c r="T1450">
        <v>0</v>
      </c>
    </row>
    <row r="1451" spans="1:20" x14ac:dyDescent="0.25">
      <c r="A1451" s="13" t="s">
        <v>2946</v>
      </c>
      <c r="B1451" s="13" t="s">
        <v>2947</v>
      </c>
      <c r="C1451" s="13" t="s">
        <v>865</v>
      </c>
      <c r="D1451" s="13" t="s">
        <v>2663</v>
      </c>
      <c r="E1451" s="13" t="str">
        <f>IFERROR(INDEX('Почасовка — ставки и план'!$B$5:$B$24,MATCH(D1451,'Почасовка — ставки и план'!$A$5:$A$24,0)),"Аренда техники / механизмы")</f>
        <v>Инженер электролаборатории / ПНР</v>
      </c>
      <c r="F1451" s="14">
        <v>38000</v>
      </c>
      <c r="G1451" s="14">
        <v>30000</v>
      </c>
      <c r="H1451" s="15">
        <v>30000</v>
      </c>
      <c r="I1451" s="15">
        <f>IF(OR(H1451="",F1451=""),"",MAX(H1451,MIN(ROUND(H1451*(1+Параметры!$B$5),IF(H1451*(1+Параметры!$B$5)&gt;=1000,-1,0)),ROUND(F1451*Параметры!$B$6,IF(F1451*Параметры!$B$6&gt;=1000,-1,0)))))</f>
        <v>30000</v>
      </c>
      <c r="J1451" s="15">
        <v>24000</v>
      </c>
      <c r="K1451" s="15">
        <f>IF(OR(J1451="",G1451=""),"",MAX(J1451,MIN(ROUND(J1451*(1+Параметры!$B$5),IF(J1451*(1+Параметры!$B$5)&gt;=1000,-1,0)),ROUND(G1451*Параметры!$B$6,IF(G1451*Параметры!$B$6&gt;=1000,-1,0)))))</f>
        <v>24000</v>
      </c>
      <c r="L1451" s="16">
        <v>8</v>
      </c>
      <c r="M1451" s="17">
        <f t="shared" si="106"/>
        <v>0.125</v>
      </c>
      <c r="N1451" s="17">
        <f>IF(OR(L1451="",L1451=0),"",Параметры!$B$3/L1451)</f>
        <v>1</v>
      </c>
      <c r="O1451" s="15">
        <f>IF(L1451="","",IFERROR(INDEX('Почасовка — ставки и план'!$D$5:$D$24,MATCH($D1451,'Почасовка — ставки и план'!$A$5:$A$24,0)),""))</f>
        <v>1400</v>
      </c>
      <c r="P1451" s="15">
        <f>IF(L1451="","",IFERROR(INDEX('Почасовка — ставки и план'!$E$5:$E$24,MATCH($D1451,'Почасовка — ставки и план'!$A$5:$A$24,0)),""))</f>
        <v>1680</v>
      </c>
      <c r="Q1451" s="15">
        <f t="shared" si="107"/>
        <v>11200</v>
      </c>
      <c r="R1451" s="13" t="str">
        <f>IF(D1451="TEX","аренда техники — сделка/счёт",IF(OR(Q1451="",H1451="",H1451=0),"—",IF(Q1451&lt;H1451*(1-Параметры!$B$7),"почасовка",IF(Q1451&gt;H1451*(1+Параметры!$B$7),"сделка","любой способ"))))</f>
        <v>почасовка</v>
      </c>
      <c r="S1451">
        <v>0</v>
      </c>
      <c r="T1451">
        <v>0</v>
      </c>
    </row>
    <row r="1452" spans="1:20" x14ac:dyDescent="0.25">
      <c r="A1452" s="13" t="s">
        <v>2948</v>
      </c>
      <c r="B1452" s="13" t="s">
        <v>2949</v>
      </c>
      <c r="C1452" s="13" t="s">
        <v>756</v>
      </c>
      <c r="D1452" s="13" t="s">
        <v>299</v>
      </c>
      <c r="E1452" s="13" t="str">
        <f>IFERROR(INDEX('Почасовка — ставки и план'!$B$5:$B$24,MATCH(D1452,'Почасовка — ставки и план'!$A$5:$A$24,0)),"Аренда техники / механизмы")</f>
        <v>Холодильщик / монтажник кондиционеров</v>
      </c>
      <c r="F1452" s="14">
        <v>9000</v>
      </c>
      <c r="G1452" s="14">
        <v>10500</v>
      </c>
      <c r="H1452" s="15">
        <v>5400</v>
      </c>
      <c r="I1452" s="15">
        <f>IF(OR(H1452="",F1452=""),"",MAX(H1452,MIN(ROUND(H1452*(1+Параметры!$B$5),IF(H1452*(1+Параметры!$B$5)&gt;=1000,-1,0)),ROUND(F1452*Параметры!$B$6,IF(F1452*Параметры!$B$6&gt;=1000,-1,0)))))</f>
        <v>6210</v>
      </c>
      <c r="J1452" s="15">
        <v>6300</v>
      </c>
      <c r="K1452" s="15">
        <f>IF(OR(J1452="",G1452=""),"",MAX(J1452,MIN(ROUND(J1452*(1+Параметры!$B$5),IF(J1452*(1+Параметры!$B$5)&gt;=1000,-1,0)),ROUND(G1452*Параметры!$B$6,IF(G1452*Параметры!$B$6&gt;=1000,-1,0)))))</f>
        <v>7250</v>
      </c>
      <c r="L1452" s="16">
        <v>4</v>
      </c>
      <c r="M1452" s="17">
        <f t="shared" si="106"/>
        <v>0.25</v>
      </c>
      <c r="N1452" s="17">
        <f>IF(OR(L1452="",L1452=0),"",Параметры!$B$3/L1452)</f>
        <v>2</v>
      </c>
      <c r="O1452" s="15">
        <f>IF(L1452="","",IFERROR(INDEX('Почасовка — ставки и план'!$D$5:$D$24,MATCH($D1452,'Почасовка — ставки и план'!$A$5:$A$24,0)),""))</f>
        <v>1200</v>
      </c>
      <c r="P1452" s="15">
        <f>IF(L1452="","",IFERROR(INDEX('Почасовка — ставки и план'!$E$5:$E$24,MATCH($D1452,'Почасовка — ставки и план'!$A$5:$A$24,0)),""))</f>
        <v>1440</v>
      </c>
      <c r="Q1452" s="15">
        <f t="shared" si="107"/>
        <v>4800</v>
      </c>
      <c r="R1452" s="13" t="str">
        <f>IF(D1452="TEX","аренда техники — сделка/счёт",IF(OR(Q1452="",H1452="",H1452=0),"—",IF(Q1452&lt;H1452*(1-Параметры!$B$7),"почасовка",IF(Q1452&gt;H1452*(1+Параметры!$B$7),"сделка","любой способ"))))</f>
        <v>почасовка</v>
      </c>
      <c r="S1452">
        <v>0</v>
      </c>
      <c r="T1452">
        <v>0</v>
      </c>
    </row>
    <row r="1453" spans="1:20" x14ac:dyDescent="0.25">
      <c r="A1453" s="18" t="s">
        <v>2950</v>
      </c>
      <c r="B1453" s="13" t="s">
        <v>2951</v>
      </c>
      <c r="C1453" s="13" t="s">
        <v>144</v>
      </c>
      <c r="D1453" s="13" t="s">
        <v>273</v>
      </c>
      <c r="E1453" s="13" t="str">
        <f>IFERROR(INDEX('Почасовка — ставки и план'!$B$5:$B$24,MATCH(D1453,'Почасовка — ставки и план'!$A$5:$A$24,0)),"Аренда техники / механизмы")</f>
        <v>Электромонтажник</v>
      </c>
      <c r="F1453" s="14">
        <v>150</v>
      </c>
      <c r="G1453" s="14">
        <v>180</v>
      </c>
      <c r="H1453" s="15">
        <v>90</v>
      </c>
      <c r="I1453" s="15">
        <f>IF(OR(H1453="",F1453=""),"",MAX(H1453,MIN(ROUND(H1453*(1+Параметры!$B$5),IF(H1453*(1+Параметры!$B$5)&gt;=1000,-1,0)),ROUND(F1453*Параметры!$B$6,IF(F1453*Параметры!$B$6&gt;=1000,-1,0)))))</f>
        <v>104</v>
      </c>
      <c r="J1453" s="15">
        <v>110</v>
      </c>
      <c r="K1453" s="15">
        <f>IF(OR(J1453="",G1453=""),"",MAX(J1453,MIN(ROUND(J1453*(1+Параметры!$B$5),IF(J1453*(1+Параметры!$B$5)&gt;=1000,-1,0)),ROUND(G1453*Параметры!$B$6,IF(G1453*Параметры!$B$6&gt;=1000,-1,0)))))</f>
        <v>127</v>
      </c>
      <c r="L1453" s="16">
        <v>0.1</v>
      </c>
      <c r="M1453" s="17">
        <f t="shared" si="106"/>
        <v>10</v>
      </c>
      <c r="N1453" s="17">
        <f>IF(OR(L1453="",L1453=0),"",Параметры!$B$3/L1453)</f>
        <v>80</v>
      </c>
      <c r="O1453" s="15">
        <f>IF(L1453="","",IFERROR(INDEX('Почасовка — ставки и план'!$D$5:$D$24,MATCH($D1453,'Почасовка — ставки и план'!$A$5:$A$24,0)),""))</f>
        <v>850</v>
      </c>
      <c r="P1453" s="15">
        <f>IF(L1453="","",IFERROR(INDEX('Почасовка — ставки и план'!$E$5:$E$24,MATCH($D1453,'Почасовка — ставки и план'!$A$5:$A$24,0)),""))</f>
        <v>1020</v>
      </c>
      <c r="Q1453" s="15">
        <f t="shared" si="107"/>
        <v>85</v>
      </c>
      <c r="R1453" s="13" t="str">
        <f>IF(D1453="TEX","аренда техники — сделка/счёт",IF(OR(Q1453="",H1453="",H1453=0),"—",IF(Q1453&lt;H1453*(1-Параметры!$B$7),"почасовка",IF(Q1453&gt;H1453*(1+Параметры!$B$7),"сделка","любой способ"))))</f>
        <v>любой способ</v>
      </c>
      <c r="S1453">
        <v>0</v>
      </c>
      <c r="T1453">
        <v>0</v>
      </c>
    </row>
    <row r="1454" spans="1:20" x14ac:dyDescent="0.25">
      <c r="A1454" s="18" t="s">
        <v>2952</v>
      </c>
      <c r="B1454" s="13" t="s">
        <v>2953</v>
      </c>
      <c r="C1454" s="13" t="s">
        <v>144</v>
      </c>
      <c r="D1454" s="13" t="s">
        <v>273</v>
      </c>
      <c r="E1454" s="13" t="str">
        <f>IFERROR(INDEX('Почасовка — ставки и план'!$B$5:$B$24,MATCH(D1454,'Почасовка — ставки и план'!$A$5:$A$24,0)),"Аренда техники / механизмы")</f>
        <v>Электромонтажник</v>
      </c>
      <c r="F1454" s="14">
        <v>2800</v>
      </c>
      <c r="G1454" s="14">
        <v>3300</v>
      </c>
      <c r="H1454" s="15">
        <v>1700</v>
      </c>
      <c r="I1454" s="15">
        <f>IF(OR(H1454="",F1454=""),"",MAX(H1454,MIN(ROUND(H1454*(1+Параметры!$B$5),IF(H1454*(1+Параметры!$B$5)&gt;=1000,-1,0)),ROUND(F1454*Параметры!$B$6,IF(F1454*Параметры!$B$6&gt;=1000,-1,0)))))</f>
        <v>1960</v>
      </c>
      <c r="J1454" s="15">
        <v>2000</v>
      </c>
      <c r="K1454" s="15">
        <f>IF(OR(J1454="",G1454=""),"",MAX(J1454,MIN(ROUND(J1454*(1+Параметры!$B$5),IF(J1454*(1+Параметры!$B$5)&gt;=1000,-1,0)),ROUND(G1454*Параметры!$B$6,IF(G1454*Параметры!$B$6&gt;=1000,-1,0)))))</f>
        <v>2300</v>
      </c>
      <c r="L1454" s="16">
        <v>1.8</v>
      </c>
      <c r="M1454" s="17">
        <f t="shared" si="106"/>
        <v>0.55555555555555558</v>
      </c>
      <c r="N1454" s="17">
        <f>IF(OR(L1454="",L1454=0),"",Параметры!$B$3/L1454)</f>
        <v>4.4444444444444446</v>
      </c>
      <c r="O1454" s="15">
        <f>IF(L1454="","",IFERROR(INDEX('Почасовка — ставки и план'!$D$5:$D$24,MATCH($D1454,'Почасовка — ставки и план'!$A$5:$A$24,0)),""))</f>
        <v>850</v>
      </c>
      <c r="P1454" s="15">
        <f>IF(L1454="","",IFERROR(INDEX('Почасовка — ставки и план'!$E$5:$E$24,MATCH($D1454,'Почасовка — ставки и план'!$A$5:$A$24,0)),""))</f>
        <v>1020</v>
      </c>
      <c r="Q1454" s="15">
        <f t="shared" si="107"/>
        <v>1530</v>
      </c>
      <c r="R1454" s="13" t="str">
        <f>IF(D1454="TEX","аренда техники — сделка/счёт",IF(OR(Q1454="",H1454="",H1454=0),"—",IF(Q1454&lt;H1454*(1-Параметры!$B$7),"почасовка",IF(Q1454&gt;H1454*(1+Параметры!$B$7),"сделка","любой способ"))))</f>
        <v>любой способ</v>
      </c>
      <c r="S1454">
        <v>0</v>
      </c>
      <c r="T1454">
        <v>0</v>
      </c>
    </row>
    <row r="1455" spans="1:20" x14ac:dyDescent="0.25">
      <c r="A1455" s="18" t="s">
        <v>2954</v>
      </c>
      <c r="B1455" s="13" t="s">
        <v>2955</v>
      </c>
      <c r="C1455" s="13" t="s">
        <v>144</v>
      </c>
      <c r="D1455" s="13" t="s">
        <v>273</v>
      </c>
      <c r="E1455" s="13" t="str">
        <f>IFERROR(INDEX('Почасовка — ставки и план'!$B$5:$B$24,MATCH(D1455,'Почасовка — ставки и план'!$A$5:$A$24,0)),"Аренда техники / механизмы")</f>
        <v>Электромонтажник</v>
      </c>
      <c r="F1455" s="14">
        <v>700</v>
      </c>
      <c r="G1455" s="14">
        <v>820</v>
      </c>
      <c r="H1455" s="15">
        <v>420</v>
      </c>
      <c r="I1455" s="15">
        <f>IF(OR(H1455="",F1455=""),"",MAX(H1455,MIN(ROUND(H1455*(1+Параметры!$B$5),IF(H1455*(1+Параметры!$B$5)&gt;=1000,-1,0)),ROUND(F1455*Параметры!$B$6,IF(F1455*Параметры!$B$6&gt;=1000,-1,0)))))</f>
        <v>483</v>
      </c>
      <c r="J1455" s="15">
        <v>500</v>
      </c>
      <c r="K1455" s="15">
        <f>IF(OR(J1455="",G1455=""),"",MAX(J1455,MIN(ROUND(J1455*(1+Параметры!$B$5),IF(J1455*(1+Параметры!$B$5)&gt;=1000,-1,0)),ROUND(G1455*Параметры!$B$6,IF(G1455*Параметры!$B$6&gt;=1000,-1,0)))))</f>
        <v>575</v>
      </c>
      <c r="L1455" s="16">
        <v>0.5</v>
      </c>
      <c r="M1455" s="17">
        <f t="shared" si="106"/>
        <v>2</v>
      </c>
      <c r="N1455" s="17">
        <f>IF(OR(L1455="",L1455=0),"",Параметры!$B$3/L1455)</f>
        <v>16</v>
      </c>
      <c r="O1455" s="15">
        <f>IF(L1455="","",IFERROR(INDEX('Почасовка — ставки и план'!$D$5:$D$24,MATCH($D1455,'Почасовка — ставки и план'!$A$5:$A$24,0)),""))</f>
        <v>850</v>
      </c>
      <c r="P1455" s="15">
        <f>IF(L1455="","",IFERROR(INDEX('Почасовка — ставки и план'!$E$5:$E$24,MATCH($D1455,'Почасовка — ставки и план'!$A$5:$A$24,0)),""))</f>
        <v>1020</v>
      </c>
      <c r="Q1455" s="15">
        <f t="shared" si="107"/>
        <v>425</v>
      </c>
      <c r="R1455" s="13" t="str">
        <f>IF(D1455="TEX","аренда техники — сделка/счёт",IF(OR(Q1455="",H1455="",H1455=0),"—",IF(Q1455&lt;H1455*(1-Параметры!$B$7),"почасовка",IF(Q1455&gt;H1455*(1+Параметры!$B$7),"сделка","любой способ"))))</f>
        <v>любой способ</v>
      </c>
      <c r="S1455">
        <v>0</v>
      </c>
      <c r="T1455">
        <v>0</v>
      </c>
    </row>
    <row r="1456" spans="1:20" x14ac:dyDescent="0.25">
      <c r="A1456" s="18" t="s">
        <v>2956</v>
      </c>
      <c r="B1456" s="13" t="s">
        <v>2957</v>
      </c>
      <c r="C1456" s="13" t="s">
        <v>144</v>
      </c>
      <c r="D1456" s="13" t="s">
        <v>273</v>
      </c>
      <c r="E1456" s="13" t="str">
        <f>IFERROR(INDEX('Почасовка — ставки и план'!$B$5:$B$24,MATCH(D1456,'Почасовка — ставки и план'!$A$5:$A$24,0)),"Аренда техники / механизмы")</f>
        <v>Электромонтажник</v>
      </c>
      <c r="F1456" s="14">
        <v>500</v>
      </c>
      <c r="G1456" s="14">
        <v>600</v>
      </c>
      <c r="H1456" s="15">
        <v>300</v>
      </c>
      <c r="I1456" s="15">
        <f>IF(OR(H1456="",F1456=""),"",MAX(H1456,MIN(ROUND(H1456*(1+Параметры!$B$5),IF(H1456*(1+Параметры!$B$5)&gt;=1000,-1,0)),ROUND(F1456*Параметры!$B$6,IF(F1456*Параметры!$B$6&gt;=1000,-1,0)))))</f>
        <v>345</v>
      </c>
      <c r="J1456" s="15">
        <v>360</v>
      </c>
      <c r="K1456" s="15">
        <f>IF(OR(J1456="",G1456=""),"",MAX(J1456,MIN(ROUND(J1456*(1+Параметры!$B$5),IF(J1456*(1+Параметры!$B$5)&gt;=1000,-1,0)),ROUND(G1456*Параметры!$B$6,IF(G1456*Параметры!$B$6&gt;=1000,-1,0)))))</f>
        <v>414</v>
      </c>
      <c r="L1456" s="16">
        <v>0.4</v>
      </c>
      <c r="M1456" s="17">
        <f t="shared" si="106"/>
        <v>2.5</v>
      </c>
      <c r="N1456" s="17">
        <f>IF(OR(L1456="",L1456=0),"",Параметры!$B$3/L1456)</f>
        <v>20</v>
      </c>
      <c r="O1456" s="15">
        <f>IF(L1456="","",IFERROR(INDEX('Почасовка — ставки и план'!$D$5:$D$24,MATCH($D1456,'Почасовка — ставки и план'!$A$5:$A$24,0)),""))</f>
        <v>850</v>
      </c>
      <c r="P1456" s="15">
        <f>IF(L1456="","",IFERROR(INDEX('Почасовка — ставки и план'!$E$5:$E$24,MATCH($D1456,'Почасовка — ставки и план'!$A$5:$A$24,0)),""))</f>
        <v>1020</v>
      </c>
      <c r="Q1456" s="15">
        <f t="shared" si="107"/>
        <v>340</v>
      </c>
      <c r="R1456" s="13" t="str">
        <f>IF(D1456="TEX","аренда техники — сделка/счёт",IF(OR(Q1456="",H1456="",H1456=0),"—",IF(Q1456&lt;H1456*(1-Параметры!$B$7),"почасовка",IF(Q1456&gt;H1456*(1+Параметры!$B$7),"сделка","любой способ"))))</f>
        <v>сделка</v>
      </c>
      <c r="S1456">
        <v>0</v>
      </c>
      <c r="T1456">
        <v>0</v>
      </c>
    </row>
    <row r="1457" spans="1:20" x14ac:dyDescent="0.25">
      <c r="A1457" s="18" t="s">
        <v>2958</v>
      </c>
      <c r="B1457" s="13" t="s">
        <v>2959</v>
      </c>
      <c r="C1457" s="13" t="s">
        <v>144</v>
      </c>
      <c r="D1457" s="13" t="s">
        <v>273</v>
      </c>
      <c r="E1457" s="13" t="str">
        <f>IFERROR(INDEX('Почасовка — ставки и план'!$B$5:$B$24,MATCH(D1457,'Почасовка — ставки и план'!$A$5:$A$24,0)),"Аренда техники / механизмы")</f>
        <v>Электромонтажник</v>
      </c>
      <c r="F1457" s="14">
        <v>1000</v>
      </c>
      <c r="G1457" s="14">
        <v>1200</v>
      </c>
      <c r="H1457" s="15">
        <v>600</v>
      </c>
      <c r="I1457" s="15">
        <f>IF(OR(H1457="",F1457=""),"",MAX(H1457,MIN(ROUND(H1457*(1+Параметры!$B$5),IF(H1457*(1+Параметры!$B$5)&gt;=1000,-1,0)),ROUND(F1457*Параметры!$B$6,IF(F1457*Параметры!$B$6&gt;=1000,-1,0)))))</f>
        <v>690</v>
      </c>
      <c r="J1457" s="15">
        <v>720</v>
      </c>
      <c r="K1457" s="15">
        <f>IF(OR(J1457="",G1457=""),"",MAX(J1457,MIN(ROUND(J1457*(1+Параметры!$B$5),IF(J1457*(1+Параметры!$B$5)&gt;=1000,-1,0)),ROUND(G1457*Параметры!$B$6,IF(G1457*Параметры!$B$6&gt;=1000,-1,0)))))</f>
        <v>828</v>
      </c>
      <c r="L1457" s="16">
        <v>0.8</v>
      </c>
      <c r="M1457" s="17">
        <f t="shared" si="106"/>
        <v>1.25</v>
      </c>
      <c r="N1457" s="17">
        <f>IF(OR(L1457="",L1457=0),"",Параметры!$B$3/L1457)</f>
        <v>10</v>
      </c>
      <c r="O1457" s="15">
        <f>IF(L1457="","",IFERROR(INDEX('Почасовка — ставки и план'!$D$5:$D$24,MATCH($D1457,'Почасовка — ставки и план'!$A$5:$A$24,0)),""))</f>
        <v>850</v>
      </c>
      <c r="P1457" s="15">
        <f>IF(L1457="","",IFERROR(INDEX('Почасовка — ставки и план'!$E$5:$E$24,MATCH($D1457,'Почасовка — ставки и план'!$A$5:$A$24,0)),""))</f>
        <v>1020</v>
      </c>
      <c r="Q1457" s="15">
        <f t="shared" si="107"/>
        <v>680</v>
      </c>
      <c r="R1457" s="13" t="str">
        <f>IF(D1457="TEX","аренда техники — сделка/счёт",IF(OR(Q1457="",H1457="",H1457=0),"—",IF(Q1457&lt;H1457*(1-Параметры!$B$7),"почасовка",IF(Q1457&gt;H1457*(1+Параметры!$B$7),"сделка","любой способ"))))</f>
        <v>сделка</v>
      </c>
      <c r="S1457">
        <v>0</v>
      </c>
      <c r="T1457">
        <v>0</v>
      </c>
    </row>
    <row r="1458" spans="1:20" x14ac:dyDescent="0.25">
      <c r="A1458" s="11" t="s">
        <v>2960</v>
      </c>
      <c r="B1458" s="12"/>
      <c r="C1458" s="12"/>
      <c r="D1458" s="12"/>
      <c r="E1458" s="12"/>
      <c r="F1458" s="12"/>
      <c r="G1458" s="12"/>
      <c r="H1458" s="12"/>
      <c r="I1458" s="12"/>
      <c r="J1458" s="12"/>
      <c r="K1458" s="12"/>
      <c r="L1458" s="12"/>
      <c r="M1458" s="12"/>
      <c r="N1458" s="12"/>
      <c r="O1458" s="12"/>
      <c r="P1458" s="12"/>
      <c r="Q1458" s="12"/>
      <c r="R1458" s="12"/>
    </row>
    <row r="1459" spans="1:20" x14ac:dyDescent="0.25">
      <c r="A1459" s="13" t="s">
        <v>2961</v>
      </c>
      <c r="B1459" s="13" t="s">
        <v>2962</v>
      </c>
      <c r="C1459" s="13" t="s">
        <v>457</v>
      </c>
      <c r="D1459" s="13" t="s">
        <v>273</v>
      </c>
      <c r="E1459" s="13" t="str">
        <f>IFERROR(INDEX('Почасовка — ставки и план'!$B$5:$B$24,MATCH(D1459,'Почасовка — ставки и план'!$A$5:$A$24,0)),"Аренда техники / механизмы")</f>
        <v>Электромонтажник</v>
      </c>
      <c r="F1459" s="14">
        <v>750</v>
      </c>
      <c r="G1459" s="14">
        <v>880</v>
      </c>
      <c r="H1459" s="15">
        <v>450</v>
      </c>
      <c r="I1459" s="15">
        <f>IF(OR(H1459="",F1459=""),"",MAX(H1459,MIN(ROUND(H1459*(1+Параметры!$B$5),IF(H1459*(1+Параметры!$B$5)&gt;=1000,-1,0)),ROUND(F1459*Параметры!$B$6,IF(F1459*Параметры!$B$6&gt;=1000,-1,0)))))</f>
        <v>518</v>
      </c>
      <c r="J1459" s="15">
        <v>530</v>
      </c>
      <c r="K1459" s="15">
        <f>IF(OR(J1459="",G1459=""),"",MAX(J1459,MIN(ROUND(J1459*(1+Параметры!$B$5),IF(J1459*(1+Параметры!$B$5)&gt;=1000,-1,0)),ROUND(G1459*Параметры!$B$6,IF(G1459*Параметры!$B$6&gt;=1000,-1,0)))))</f>
        <v>610</v>
      </c>
      <c r="L1459" s="16">
        <v>0.5</v>
      </c>
      <c r="M1459" s="17">
        <f t="shared" ref="M1459:M1488" si="108">IF(OR(L1459="",L1459=0),"",1/L1459)</f>
        <v>2</v>
      </c>
      <c r="N1459" s="17">
        <f>IF(OR(L1459="",L1459=0),"",Параметры!$B$3/L1459)</f>
        <v>16</v>
      </c>
      <c r="O1459" s="15">
        <f>IF(L1459="","",IFERROR(INDEX('Почасовка — ставки и план'!$D$5:$D$24,MATCH($D1459,'Почасовка — ставки и план'!$A$5:$A$24,0)),""))</f>
        <v>850</v>
      </c>
      <c r="P1459" s="15">
        <f>IF(L1459="","",IFERROR(INDEX('Почасовка — ставки и план'!$E$5:$E$24,MATCH($D1459,'Почасовка — ставки и план'!$A$5:$A$24,0)),""))</f>
        <v>1020</v>
      </c>
      <c r="Q1459" s="15">
        <f t="shared" ref="Q1459:Q1488" si="109">IF(OR(L1459="",O1459=""),"",ROUND(L1459*O1459,0))</f>
        <v>425</v>
      </c>
      <c r="R1459" s="13" t="str">
        <f>IF(D1459="TEX","аренда техники — сделка/счёт",IF(OR(Q1459="",H1459="",H1459=0),"—",IF(Q1459&lt;H1459*(1-Параметры!$B$7),"почасовка",IF(Q1459&gt;H1459*(1+Параметры!$B$7),"сделка","любой способ"))))</f>
        <v>любой способ</v>
      </c>
      <c r="S1459">
        <v>0</v>
      </c>
      <c r="T1459">
        <v>0</v>
      </c>
    </row>
    <row r="1460" spans="1:20" x14ac:dyDescent="0.25">
      <c r="A1460" s="13" t="s">
        <v>2963</v>
      </c>
      <c r="B1460" s="13" t="s">
        <v>2964</v>
      </c>
      <c r="C1460" s="13" t="s">
        <v>457</v>
      </c>
      <c r="D1460" s="13" t="s">
        <v>273</v>
      </c>
      <c r="E1460" s="13" t="str">
        <f>IFERROR(INDEX('Почасовка — ставки и план'!$B$5:$B$24,MATCH(D1460,'Почасовка — ставки и план'!$A$5:$A$24,0)),"Аренда техники / механизмы")</f>
        <v>Электромонтажник</v>
      </c>
      <c r="F1460" s="14">
        <v>1100</v>
      </c>
      <c r="G1460" s="14">
        <v>1300</v>
      </c>
      <c r="H1460" s="15">
        <v>650</v>
      </c>
      <c r="I1460" s="15">
        <f>IF(OR(H1460="",F1460=""),"",MAX(H1460,MIN(ROUND(H1460*(1+Параметры!$B$5),IF(H1460*(1+Параметры!$B$5)&gt;=1000,-1,0)),ROUND(F1460*Параметры!$B$6,IF(F1460*Параметры!$B$6&gt;=1000,-1,0)))))</f>
        <v>748</v>
      </c>
      <c r="J1460" s="15">
        <v>780</v>
      </c>
      <c r="K1460" s="15">
        <f>IF(OR(J1460="",G1460=""),"",MAX(J1460,MIN(ROUND(J1460*(1+Параметры!$B$5),IF(J1460*(1+Параметры!$B$5)&gt;=1000,-1,0)),ROUND(G1460*Параметры!$B$6,IF(G1460*Параметры!$B$6&gt;=1000,-1,0)))))</f>
        <v>897</v>
      </c>
      <c r="L1460" s="16">
        <v>0.8</v>
      </c>
      <c r="M1460" s="17">
        <f t="shared" si="108"/>
        <v>1.25</v>
      </c>
      <c r="N1460" s="17">
        <f>IF(OR(L1460="",L1460=0),"",Параметры!$B$3/L1460)</f>
        <v>10</v>
      </c>
      <c r="O1460" s="15">
        <f>IF(L1460="","",IFERROR(INDEX('Почасовка — ставки и план'!$D$5:$D$24,MATCH($D1460,'Почасовка — ставки и план'!$A$5:$A$24,0)),""))</f>
        <v>850</v>
      </c>
      <c r="P1460" s="15">
        <f>IF(L1460="","",IFERROR(INDEX('Почасовка — ставки и план'!$E$5:$E$24,MATCH($D1460,'Почасовка — ставки и план'!$A$5:$A$24,0)),""))</f>
        <v>1020</v>
      </c>
      <c r="Q1460" s="15">
        <f t="shared" si="109"/>
        <v>680</v>
      </c>
      <c r="R1460" s="13" t="str">
        <f>IF(D1460="TEX","аренда техники — сделка/счёт",IF(OR(Q1460="",H1460="",H1460=0),"—",IF(Q1460&lt;H1460*(1-Параметры!$B$7),"почасовка",IF(Q1460&gt;H1460*(1+Параметры!$B$7),"сделка","любой способ"))))</f>
        <v>любой способ</v>
      </c>
      <c r="S1460">
        <v>0</v>
      </c>
      <c r="T1460">
        <v>0</v>
      </c>
    </row>
    <row r="1461" spans="1:20" x14ac:dyDescent="0.25">
      <c r="A1461" s="13" t="s">
        <v>2965</v>
      </c>
      <c r="B1461" s="13" t="s">
        <v>2966</v>
      </c>
      <c r="C1461" s="13" t="s">
        <v>457</v>
      </c>
      <c r="D1461" s="13" t="s">
        <v>273</v>
      </c>
      <c r="E1461" s="13" t="str">
        <f>IFERROR(INDEX('Почасовка — ставки и план'!$B$5:$B$24,MATCH(D1461,'Почасовка — ставки и план'!$A$5:$A$24,0)),"Аренда техники / механизмы")</f>
        <v>Электромонтажник</v>
      </c>
      <c r="F1461" s="14">
        <v>120</v>
      </c>
      <c r="G1461" s="14">
        <v>140</v>
      </c>
      <c r="H1461" s="15">
        <v>70</v>
      </c>
      <c r="I1461" s="15">
        <f>IF(OR(H1461="",F1461=""),"",MAX(H1461,MIN(ROUND(H1461*(1+Параметры!$B$5),IF(H1461*(1+Параметры!$B$5)&gt;=1000,-1,0)),ROUND(F1461*Параметры!$B$6,IF(F1461*Параметры!$B$6&gt;=1000,-1,0)))))</f>
        <v>81</v>
      </c>
      <c r="J1461" s="15">
        <v>85</v>
      </c>
      <c r="K1461" s="15">
        <f>IF(OR(J1461="",G1461=""),"",MAX(J1461,MIN(ROUND(J1461*(1+Параметры!$B$5),IF(J1461*(1+Параметры!$B$5)&gt;=1000,-1,0)),ROUND(G1461*Параметры!$B$6,IF(G1461*Параметры!$B$6&gt;=1000,-1,0)))))</f>
        <v>98</v>
      </c>
      <c r="L1461" s="16">
        <v>0.08</v>
      </c>
      <c r="M1461" s="17">
        <f t="shared" si="108"/>
        <v>12.5</v>
      </c>
      <c r="N1461" s="17">
        <f>IF(OR(L1461="",L1461=0),"",Параметры!$B$3/L1461)</f>
        <v>100</v>
      </c>
      <c r="O1461" s="15">
        <f>IF(L1461="","",IFERROR(INDEX('Почасовка — ставки и план'!$D$5:$D$24,MATCH($D1461,'Почасовка — ставки и план'!$A$5:$A$24,0)),""))</f>
        <v>850</v>
      </c>
      <c r="P1461" s="15">
        <f>IF(L1461="","",IFERROR(INDEX('Почасовка — ставки и план'!$E$5:$E$24,MATCH($D1461,'Почасовка — ставки и план'!$A$5:$A$24,0)),""))</f>
        <v>1020</v>
      </c>
      <c r="Q1461" s="15">
        <f t="shared" si="109"/>
        <v>68</v>
      </c>
      <c r="R1461" s="13" t="str">
        <f>IF(D1461="TEX","аренда техники — сделка/счёт",IF(OR(Q1461="",H1461="",H1461=0),"—",IF(Q1461&lt;H1461*(1-Параметры!$B$7),"почасовка",IF(Q1461&gt;H1461*(1+Параметры!$B$7),"сделка","любой способ"))))</f>
        <v>любой способ</v>
      </c>
      <c r="S1461">
        <v>0</v>
      </c>
      <c r="T1461">
        <v>0</v>
      </c>
    </row>
    <row r="1462" spans="1:20" x14ac:dyDescent="0.25">
      <c r="A1462" s="13" t="s">
        <v>2967</v>
      </c>
      <c r="B1462" s="13" t="s">
        <v>2968</v>
      </c>
      <c r="C1462" s="13" t="s">
        <v>69</v>
      </c>
      <c r="D1462" s="13" t="s">
        <v>273</v>
      </c>
      <c r="E1462" s="13" t="str">
        <f>IFERROR(INDEX('Почасовка — ставки и план'!$B$5:$B$24,MATCH(D1462,'Почасовка — ставки и план'!$A$5:$A$24,0)),"Аренда техники / механизмы")</f>
        <v>Электромонтажник</v>
      </c>
      <c r="F1462" s="14">
        <v>650</v>
      </c>
      <c r="G1462" s="14">
        <v>750</v>
      </c>
      <c r="H1462" s="15">
        <v>400</v>
      </c>
      <c r="I1462" s="15">
        <f>IF(OR(H1462="",F1462=""),"",MAX(H1462,MIN(ROUND(H1462*(1+Параметры!$B$5),IF(H1462*(1+Параметры!$B$5)&gt;=1000,-1,0)),ROUND(F1462*Параметры!$B$6,IF(F1462*Параметры!$B$6&gt;=1000,-1,0)))))</f>
        <v>460</v>
      </c>
      <c r="J1462" s="15">
        <v>460</v>
      </c>
      <c r="K1462" s="15">
        <f>IF(OR(J1462="",G1462=""),"",MAX(J1462,MIN(ROUND(J1462*(1+Параметры!$B$5),IF(J1462*(1+Параметры!$B$5)&gt;=1000,-1,0)),ROUND(G1462*Параметры!$B$6,IF(G1462*Параметры!$B$6&gt;=1000,-1,0)))))</f>
        <v>529</v>
      </c>
      <c r="L1462" s="16">
        <v>0.5</v>
      </c>
      <c r="M1462" s="17">
        <f t="shared" si="108"/>
        <v>2</v>
      </c>
      <c r="N1462" s="17">
        <f>IF(OR(L1462="",L1462=0),"",Параметры!$B$3/L1462)</f>
        <v>16</v>
      </c>
      <c r="O1462" s="15">
        <f>IF(L1462="","",IFERROR(INDEX('Почасовка — ставки и план'!$D$5:$D$24,MATCH($D1462,'Почасовка — ставки и план'!$A$5:$A$24,0)),""))</f>
        <v>850</v>
      </c>
      <c r="P1462" s="15">
        <f>IF(L1462="","",IFERROR(INDEX('Почасовка — ставки и план'!$E$5:$E$24,MATCH($D1462,'Почасовка — ставки и план'!$A$5:$A$24,0)),""))</f>
        <v>1020</v>
      </c>
      <c r="Q1462" s="15">
        <f t="shared" si="109"/>
        <v>425</v>
      </c>
      <c r="R1462" s="13" t="str">
        <f>IF(D1462="TEX","аренда техники — сделка/счёт",IF(OR(Q1462="",H1462="",H1462=0),"—",IF(Q1462&lt;H1462*(1-Параметры!$B$7),"почасовка",IF(Q1462&gt;H1462*(1+Параметры!$B$7),"сделка","любой способ"))))</f>
        <v>любой способ</v>
      </c>
      <c r="S1462">
        <v>0</v>
      </c>
      <c r="T1462">
        <v>0</v>
      </c>
    </row>
    <row r="1463" spans="1:20" x14ac:dyDescent="0.25">
      <c r="A1463" s="13" t="s">
        <v>2969</v>
      </c>
      <c r="B1463" s="13" t="s">
        <v>2970</v>
      </c>
      <c r="C1463" s="13" t="s">
        <v>457</v>
      </c>
      <c r="D1463" s="13" t="s">
        <v>273</v>
      </c>
      <c r="E1463" s="13" t="str">
        <f>IFERROR(INDEX('Почасовка — ставки и план'!$B$5:$B$24,MATCH(D1463,'Почасовка — ставки и план'!$A$5:$A$24,0)),"Аренда техники / механизмы")</f>
        <v>Электромонтажник</v>
      </c>
      <c r="F1463" s="14">
        <v>1600</v>
      </c>
      <c r="G1463" s="14">
        <v>1900</v>
      </c>
      <c r="H1463" s="15">
        <v>950</v>
      </c>
      <c r="I1463" s="15">
        <f>IF(OR(H1463="",F1463=""),"",MAX(H1463,MIN(ROUND(H1463*(1+Параметры!$B$5),IF(H1463*(1+Параметры!$B$5)&gt;=1000,-1,0)),ROUND(F1463*Параметры!$B$6,IF(F1463*Параметры!$B$6&gt;=1000,-1,0)))))</f>
        <v>1090</v>
      </c>
      <c r="J1463" s="15">
        <v>1150</v>
      </c>
      <c r="K1463" s="15">
        <f>IF(OR(J1463="",G1463=""),"",MAX(J1463,MIN(ROUND(J1463*(1+Параметры!$B$5),IF(J1463*(1+Параметры!$B$5)&gt;=1000,-1,0)),ROUND(G1463*Параметры!$B$6,IF(G1463*Параметры!$B$6&gt;=1000,-1,0)))))</f>
        <v>1320</v>
      </c>
      <c r="L1463" s="16">
        <v>1.2</v>
      </c>
      <c r="M1463" s="17">
        <f t="shared" si="108"/>
        <v>0.83333333333333337</v>
      </c>
      <c r="N1463" s="17">
        <f>IF(OR(L1463="",L1463=0),"",Параметры!$B$3/L1463)</f>
        <v>6.666666666666667</v>
      </c>
      <c r="O1463" s="15">
        <f>IF(L1463="","",IFERROR(INDEX('Почасовка — ставки и план'!$D$5:$D$24,MATCH($D1463,'Почасовка — ставки и план'!$A$5:$A$24,0)),""))</f>
        <v>850</v>
      </c>
      <c r="P1463" s="15">
        <f>IF(L1463="","",IFERROR(INDEX('Почасовка — ставки и план'!$E$5:$E$24,MATCH($D1463,'Почасовка — ставки и план'!$A$5:$A$24,0)),""))</f>
        <v>1020</v>
      </c>
      <c r="Q1463" s="15">
        <f t="shared" si="109"/>
        <v>1020</v>
      </c>
      <c r="R1463" s="13" t="str">
        <f>IF(D1463="TEX","аренда техники — сделка/счёт",IF(OR(Q1463="",H1463="",H1463=0),"—",IF(Q1463&lt;H1463*(1-Параметры!$B$7),"почасовка",IF(Q1463&gt;H1463*(1+Параметры!$B$7),"сделка","любой способ"))))</f>
        <v>любой способ</v>
      </c>
      <c r="S1463">
        <v>0</v>
      </c>
      <c r="T1463">
        <v>0</v>
      </c>
    </row>
    <row r="1464" spans="1:20" x14ac:dyDescent="0.25">
      <c r="A1464" s="13" t="s">
        <v>2971</v>
      </c>
      <c r="B1464" s="13" t="s">
        <v>2972</v>
      </c>
      <c r="C1464" s="13" t="s">
        <v>457</v>
      </c>
      <c r="D1464" s="13" t="s">
        <v>273</v>
      </c>
      <c r="E1464" s="13" t="str">
        <f>IFERROR(INDEX('Почасовка — ставки и план'!$B$5:$B$24,MATCH(D1464,'Почасовка — ставки и план'!$A$5:$A$24,0)),"Аренда техники / механизмы")</f>
        <v>Электромонтажник</v>
      </c>
      <c r="F1464" s="14">
        <v>700</v>
      </c>
      <c r="G1464" s="14">
        <v>820</v>
      </c>
      <c r="H1464" s="15">
        <v>420</v>
      </c>
      <c r="I1464" s="15">
        <f>IF(OR(H1464="",F1464=""),"",MAX(H1464,MIN(ROUND(H1464*(1+Параметры!$B$5),IF(H1464*(1+Параметры!$B$5)&gt;=1000,-1,0)),ROUND(F1464*Параметры!$B$6,IF(F1464*Параметры!$B$6&gt;=1000,-1,0)))))</f>
        <v>483</v>
      </c>
      <c r="J1464" s="15">
        <v>500</v>
      </c>
      <c r="K1464" s="15">
        <f>IF(OR(J1464="",G1464=""),"",MAX(J1464,MIN(ROUND(J1464*(1+Параметры!$B$5),IF(J1464*(1+Параметры!$B$5)&gt;=1000,-1,0)),ROUND(G1464*Параметры!$B$6,IF(G1464*Параметры!$B$6&gt;=1000,-1,0)))))</f>
        <v>575</v>
      </c>
      <c r="L1464" s="16">
        <v>0.6</v>
      </c>
      <c r="M1464" s="17">
        <f t="shared" si="108"/>
        <v>1.6666666666666667</v>
      </c>
      <c r="N1464" s="17">
        <f>IF(OR(L1464="",L1464=0),"",Параметры!$B$3/L1464)</f>
        <v>13.333333333333334</v>
      </c>
      <c r="O1464" s="15">
        <f>IF(L1464="","",IFERROR(INDEX('Почасовка — ставки и план'!$D$5:$D$24,MATCH($D1464,'Почасовка — ставки и план'!$A$5:$A$24,0)),""))</f>
        <v>850</v>
      </c>
      <c r="P1464" s="15">
        <f>IF(L1464="","",IFERROR(INDEX('Почасовка — ставки и план'!$E$5:$E$24,MATCH($D1464,'Почасовка — ставки и план'!$A$5:$A$24,0)),""))</f>
        <v>1020</v>
      </c>
      <c r="Q1464" s="15">
        <f t="shared" si="109"/>
        <v>510</v>
      </c>
      <c r="R1464" s="13" t="str">
        <f>IF(D1464="TEX","аренда техники — сделка/счёт",IF(OR(Q1464="",H1464="",H1464=0),"—",IF(Q1464&lt;H1464*(1-Параметры!$B$7),"почасовка",IF(Q1464&gt;H1464*(1+Параметры!$B$7),"сделка","любой способ"))))</f>
        <v>сделка</v>
      </c>
      <c r="S1464">
        <v>0</v>
      </c>
      <c r="T1464">
        <v>0</v>
      </c>
    </row>
    <row r="1465" spans="1:20" x14ac:dyDescent="0.25">
      <c r="A1465" s="13" t="s">
        <v>2973</v>
      </c>
      <c r="B1465" s="13" t="s">
        <v>2974</v>
      </c>
      <c r="C1465" s="13" t="s">
        <v>457</v>
      </c>
      <c r="D1465" s="13" t="s">
        <v>273</v>
      </c>
      <c r="E1465" s="13" t="str">
        <f>IFERROR(INDEX('Почасовка — ставки и план'!$B$5:$B$24,MATCH(D1465,'Почасовка — ставки и план'!$A$5:$A$24,0)),"Аренда техники / механизмы")</f>
        <v>Электромонтажник</v>
      </c>
      <c r="F1465" s="14">
        <v>6000</v>
      </c>
      <c r="G1465" s="14">
        <v>7000</v>
      </c>
      <c r="H1465" s="15">
        <v>3600</v>
      </c>
      <c r="I1465" s="15">
        <f>IF(OR(H1465="",F1465=""),"",MAX(H1465,MIN(ROUND(H1465*(1+Параметры!$B$5),IF(H1465*(1+Параметры!$B$5)&gt;=1000,-1,0)),ROUND(F1465*Параметры!$B$6,IF(F1465*Параметры!$B$6&gt;=1000,-1,0)))))</f>
        <v>4140</v>
      </c>
      <c r="J1465" s="15">
        <v>4200</v>
      </c>
      <c r="K1465" s="15">
        <f>IF(OR(J1465="",G1465=""),"",MAX(J1465,MIN(ROUND(J1465*(1+Параметры!$B$5),IF(J1465*(1+Параметры!$B$5)&gt;=1000,-1,0)),ROUND(G1465*Параметры!$B$6,IF(G1465*Параметры!$B$6&gt;=1000,-1,0)))))</f>
        <v>4830</v>
      </c>
      <c r="L1465" s="16">
        <v>4</v>
      </c>
      <c r="M1465" s="17">
        <f t="shared" si="108"/>
        <v>0.25</v>
      </c>
      <c r="N1465" s="17">
        <f>IF(OR(L1465="",L1465=0),"",Параметры!$B$3/L1465)</f>
        <v>2</v>
      </c>
      <c r="O1465" s="15">
        <f>IF(L1465="","",IFERROR(INDEX('Почасовка — ставки и план'!$D$5:$D$24,MATCH($D1465,'Почасовка — ставки и план'!$A$5:$A$24,0)),""))</f>
        <v>850</v>
      </c>
      <c r="P1465" s="15">
        <f>IF(L1465="","",IFERROR(INDEX('Почасовка — ставки и план'!$E$5:$E$24,MATCH($D1465,'Почасовка — ставки и план'!$A$5:$A$24,0)),""))</f>
        <v>1020</v>
      </c>
      <c r="Q1465" s="15">
        <f t="shared" si="109"/>
        <v>3400</v>
      </c>
      <c r="R1465" s="13" t="str">
        <f>IF(D1465="TEX","аренда техники — сделка/счёт",IF(OR(Q1465="",H1465="",H1465=0),"—",IF(Q1465&lt;H1465*(1-Параметры!$B$7),"почасовка",IF(Q1465&gt;H1465*(1+Параметры!$B$7),"сделка","любой способ"))))</f>
        <v>любой способ</v>
      </c>
      <c r="S1465">
        <v>0</v>
      </c>
      <c r="T1465">
        <v>0</v>
      </c>
    </row>
    <row r="1466" spans="1:20" x14ac:dyDescent="0.25">
      <c r="A1466" s="13" t="s">
        <v>2975</v>
      </c>
      <c r="B1466" s="13" t="s">
        <v>2976</v>
      </c>
      <c r="C1466" s="13" t="s">
        <v>457</v>
      </c>
      <c r="D1466" s="13" t="s">
        <v>273</v>
      </c>
      <c r="E1466" s="13" t="str">
        <f>IFERROR(INDEX('Почасовка — ставки и план'!$B$5:$B$24,MATCH(D1466,'Почасовка — ставки и план'!$A$5:$A$24,0)),"Аренда техники / механизмы")</f>
        <v>Электромонтажник</v>
      </c>
      <c r="F1466" s="14">
        <v>650</v>
      </c>
      <c r="G1466" s="14">
        <v>760</v>
      </c>
      <c r="H1466" s="15">
        <v>390</v>
      </c>
      <c r="I1466" s="15">
        <f>IF(OR(H1466="",F1466=""),"",MAX(H1466,MIN(ROUND(H1466*(1+Параметры!$B$5),IF(H1466*(1+Параметры!$B$5)&gt;=1000,-1,0)),ROUND(F1466*Параметры!$B$6,IF(F1466*Параметры!$B$6&gt;=1000,-1,0)))))</f>
        <v>449</v>
      </c>
      <c r="J1466" s="15">
        <v>460</v>
      </c>
      <c r="K1466" s="15">
        <f>IF(OR(J1466="",G1466=""),"",MAX(J1466,MIN(ROUND(J1466*(1+Параметры!$B$5),IF(J1466*(1+Параметры!$B$5)&gt;=1000,-1,0)),ROUND(G1466*Параметры!$B$6,IF(G1466*Параметры!$B$6&gt;=1000,-1,0)))))</f>
        <v>529</v>
      </c>
      <c r="L1466" s="16">
        <v>0.5</v>
      </c>
      <c r="M1466" s="17">
        <f t="shared" si="108"/>
        <v>2</v>
      </c>
      <c r="N1466" s="17">
        <f>IF(OR(L1466="",L1466=0),"",Параметры!$B$3/L1466)</f>
        <v>16</v>
      </c>
      <c r="O1466" s="15">
        <f>IF(L1466="","",IFERROR(INDEX('Почасовка — ставки и план'!$D$5:$D$24,MATCH($D1466,'Почасовка — ставки и план'!$A$5:$A$24,0)),""))</f>
        <v>850</v>
      </c>
      <c r="P1466" s="15">
        <f>IF(L1466="","",IFERROR(INDEX('Почасовка — ставки и план'!$E$5:$E$24,MATCH($D1466,'Почасовка — ставки и план'!$A$5:$A$24,0)),""))</f>
        <v>1020</v>
      </c>
      <c r="Q1466" s="15">
        <f t="shared" si="109"/>
        <v>425</v>
      </c>
      <c r="R1466" s="13" t="str">
        <f>IF(D1466="TEX","аренда техники — сделка/счёт",IF(OR(Q1466="",H1466="",H1466=0),"—",IF(Q1466&lt;H1466*(1-Параметры!$B$7),"почасовка",IF(Q1466&gt;H1466*(1+Параметры!$B$7),"сделка","любой способ"))))</f>
        <v>любой способ</v>
      </c>
      <c r="S1466">
        <v>0</v>
      </c>
      <c r="T1466">
        <v>0</v>
      </c>
    </row>
    <row r="1467" spans="1:20" x14ac:dyDescent="0.25">
      <c r="A1467" s="13" t="s">
        <v>2977</v>
      </c>
      <c r="B1467" s="13" t="s">
        <v>2978</v>
      </c>
      <c r="C1467" s="13" t="s">
        <v>457</v>
      </c>
      <c r="D1467" s="13" t="s">
        <v>273</v>
      </c>
      <c r="E1467" s="13" t="str">
        <f>IFERROR(INDEX('Почасовка — ставки и план'!$B$5:$B$24,MATCH(D1467,'Почасовка — ставки и план'!$A$5:$A$24,0)),"Аренда техники / механизмы")</f>
        <v>Электромонтажник</v>
      </c>
      <c r="F1467" s="14">
        <v>700</v>
      </c>
      <c r="G1467" s="14">
        <v>820</v>
      </c>
      <c r="H1467" s="15">
        <v>420</v>
      </c>
      <c r="I1467" s="15">
        <f>IF(OR(H1467="",F1467=""),"",MAX(H1467,MIN(ROUND(H1467*(1+Параметры!$B$5),IF(H1467*(1+Параметры!$B$5)&gt;=1000,-1,0)),ROUND(F1467*Параметры!$B$6,IF(F1467*Параметры!$B$6&gt;=1000,-1,0)))))</f>
        <v>483</v>
      </c>
      <c r="J1467" s="15">
        <v>500</v>
      </c>
      <c r="K1467" s="15">
        <f>IF(OR(J1467="",G1467=""),"",MAX(J1467,MIN(ROUND(J1467*(1+Параметры!$B$5),IF(J1467*(1+Параметры!$B$5)&gt;=1000,-1,0)),ROUND(G1467*Параметры!$B$6,IF(G1467*Параметры!$B$6&gt;=1000,-1,0)))))</f>
        <v>575</v>
      </c>
      <c r="L1467" s="16">
        <v>0.6</v>
      </c>
      <c r="M1467" s="17">
        <f t="shared" si="108"/>
        <v>1.6666666666666667</v>
      </c>
      <c r="N1467" s="17">
        <f>IF(OR(L1467="",L1467=0),"",Параметры!$B$3/L1467)</f>
        <v>13.333333333333334</v>
      </c>
      <c r="O1467" s="15">
        <f>IF(L1467="","",IFERROR(INDEX('Почасовка — ставки и план'!$D$5:$D$24,MATCH($D1467,'Почасовка — ставки и план'!$A$5:$A$24,0)),""))</f>
        <v>850</v>
      </c>
      <c r="P1467" s="15">
        <f>IF(L1467="","",IFERROR(INDEX('Почасовка — ставки и план'!$E$5:$E$24,MATCH($D1467,'Почасовка — ставки и план'!$A$5:$A$24,0)),""))</f>
        <v>1020</v>
      </c>
      <c r="Q1467" s="15">
        <f t="shared" si="109"/>
        <v>510</v>
      </c>
      <c r="R1467" s="13" t="str">
        <f>IF(D1467="TEX","аренда техники — сделка/счёт",IF(OR(Q1467="",H1467="",H1467=0),"—",IF(Q1467&lt;H1467*(1-Параметры!$B$7),"почасовка",IF(Q1467&gt;H1467*(1+Параметры!$B$7),"сделка","любой способ"))))</f>
        <v>сделка</v>
      </c>
      <c r="S1467">
        <v>0</v>
      </c>
      <c r="T1467">
        <v>0</v>
      </c>
    </row>
    <row r="1468" spans="1:20" x14ac:dyDescent="0.25">
      <c r="A1468" s="13" t="s">
        <v>2979</v>
      </c>
      <c r="B1468" s="13" t="s">
        <v>2980</v>
      </c>
      <c r="C1468" s="13" t="s">
        <v>457</v>
      </c>
      <c r="D1468" s="13" t="s">
        <v>273</v>
      </c>
      <c r="E1468" s="13" t="str">
        <f>IFERROR(INDEX('Почасовка — ставки и план'!$B$5:$B$24,MATCH(D1468,'Почасовка — ставки и план'!$A$5:$A$24,0)),"Аренда техники / механизмы")</f>
        <v>Электромонтажник</v>
      </c>
      <c r="F1468" s="14">
        <v>2500</v>
      </c>
      <c r="G1468" s="14">
        <v>2950</v>
      </c>
      <c r="H1468" s="15">
        <v>1500</v>
      </c>
      <c r="I1468" s="15">
        <f>IF(OR(H1468="",F1468=""),"",MAX(H1468,MIN(ROUND(H1468*(1+Параметры!$B$5),IF(H1468*(1+Параметры!$B$5)&gt;=1000,-1,0)),ROUND(F1468*Параметры!$B$6,IF(F1468*Параметры!$B$6&gt;=1000,-1,0)))))</f>
        <v>1730</v>
      </c>
      <c r="J1468" s="15">
        <v>1750</v>
      </c>
      <c r="K1468" s="15">
        <f>IF(OR(J1468="",G1468=""),"",MAX(J1468,MIN(ROUND(J1468*(1+Параметры!$B$5),IF(J1468*(1+Параметры!$B$5)&gt;=1000,-1,0)),ROUND(G1468*Параметры!$B$6,IF(G1468*Параметры!$B$6&gt;=1000,-1,0)))))</f>
        <v>2010</v>
      </c>
      <c r="L1468" s="16">
        <v>1.6</v>
      </c>
      <c r="M1468" s="17">
        <f t="shared" si="108"/>
        <v>0.625</v>
      </c>
      <c r="N1468" s="17">
        <f>IF(OR(L1468="",L1468=0),"",Параметры!$B$3/L1468)</f>
        <v>5</v>
      </c>
      <c r="O1468" s="15">
        <f>IF(L1468="","",IFERROR(INDEX('Почасовка — ставки и план'!$D$5:$D$24,MATCH($D1468,'Почасовка — ставки и план'!$A$5:$A$24,0)),""))</f>
        <v>850</v>
      </c>
      <c r="P1468" s="15">
        <f>IF(L1468="","",IFERROR(INDEX('Почасовка — ставки и план'!$E$5:$E$24,MATCH($D1468,'Почасовка — ставки и план'!$A$5:$A$24,0)),""))</f>
        <v>1020</v>
      </c>
      <c r="Q1468" s="15">
        <f t="shared" si="109"/>
        <v>1360</v>
      </c>
      <c r="R1468" s="13" t="str">
        <f>IF(D1468="TEX","аренда техники — сделка/счёт",IF(OR(Q1468="",H1468="",H1468=0),"—",IF(Q1468&lt;H1468*(1-Параметры!$B$7),"почасовка",IF(Q1468&gt;H1468*(1+Параметры!$B$7),"сделка","любой способ"))))</f>
        <v>любой способ</v>
      </c>
      <c r="S1468">
        <v>0</v>
      </c>
      <c r="T1468">
        <v>0</v>
      </c>
    </row>
    <row r="1469" spans="1:20" x14ac:dyDescent="0.25">
      <c r="A1469" s="13" t="s">
        <v>2981</v>
      </c>
      <c r="B1469" s="13" t="s">
        <v>2982</v>
      </c>
      <c r="C1469" s="13" t="s">
        <v>144</v>
      </c>
      <c r="D1469" s="13" t="s">
        <v>273</v>
      </c>
      <c r="E1469" s="13" t="str">
        <f>IFERROR(INDEX('Почасовка — ставки и план'!$B$5:$B$24,MATCH(D1469,'Почасовка — ставки и план'!$A$5:$A$24,0)),"Аренда техники / механизмы")</f>
        <v>Электромонтажник</v>
      </c>
      <c r="F1469" s="14">
        <v>700</v>
      </c>
      <c r="G1469" s="14">
        <v>820</v>
      </c>
      <c r="H1469" s="15">
        <v>420</v>
      </c>
      <c r="I1469" s="15">
        <f>IF(OR(H1469="",F1469=""),"",MAX(H1469,MIN(ROUND(H1469*(1+Параметры!$B$5),IF(H1469*(1+Параметры!$B$5)&gt;=1000,-1,0)),ROUND(F1469*Параметры!$B$6,IF(F1469*Параметры!$B$6&gt;=1000,-1,0)))))</f>
        <v>483</v>
      </c>
      <c r="J1469" s="15">
        <v>500</v>
      </c>
      <c r="K1469" s="15">
        <f>IF(OR(J1469="",G1469=""),"",MAX(J1469,MIN(ROUND(J1469*(1+Параметры!$B$5),IF(J1469*(1+Параметры!$B$5)&gt;=1000,-1,0)),ROUND(G1469*Параметры!$B$6,IF(G1469*Параметры!$B$6&gt;=1000,-1,0)))))</f>
        <v>575</v>
      </c>
      <c r="L1469" s="16">
        <v>0.5</v>
      </c>
      <c r="M1469" s="17">
        <f t="shared" si="108"/>
        <v>2</v>
      </c>
      <c r="N1469" s="17">
        <f>IF(OR(L1469="",L1469=0),"",Параметры!$B$3/L1469)</f>
        <v>16</v>
      </c>
      <c r="O1469" s="15">
        <f>IF(L1469="","",IFERROR(INDEX('Почасовка — ставки и план'!$D$5:$D$24,MATCH($D1469,'Почасовка — ставки и план'!$A$5:$A$24,0)),""))</f>
        <v>850</v>
      </c>
      <c r="P1469" s="15">
        <f>IF(L1469="","",IFERROR(INDEX('Почасовка — ставки и план'!$E$5:$E$24,MATCH($D1469,'Почасовка — ставки и план'!$A$5:$A$24,0)),""))</f>
        <v>1020</v>
      </c>
      <c r="Q1469" s="15">
        <f t="shared" si="109"/>
        <v>425</v>
      </c>
      <c r="R1469" s="13" t="str">
        <f>IF(D1469="TEX","аренда техники — сделка/счёт",IF(OR(Q1469="",H1469="",H1469=0),"—",IF(Q1469&lt;H1469*(1-Параметры!$B$7),"почасовка",IF(Q1469&gt;H1469*(1+Параметры!$B$7),"сделка","любой способ"))))</f>
        <v>любой способ</v>
      </c>
      <c r="S1469">
        <v>0</v>
      </c>
      <c r="T1469">
        <v>0</v>
      </c>
    </row>
    <row r="1470" spans="1:20" x14ac:dyDescent="0.25">
      <c r="A1470" s="13" t="s">
        <v>2983</v>
      </c>
      <c r="B1470" s="13" t="s">
        <v>2984</v>
      </c>
      <c r="C1470" s="13" t="s">
        <v>457</v>
      </c>
      <c r="D1470" s="13" t="s">
        <v>273</v>
      </c>
      <c r="E1470" s="13" t="str">
        <f>IFERROR(INDEX('Почасовка — ставки и план'!$B$5:$B$24,MATCH(D1470,'Почасовка — ставки и план'!$A$5:$A$24,0)),"Аренда техники / механизмы")</f>
        <v>Электромонтажник</v>
      </c>
      <c r="F1470" s="14">
        <v>900</v>
      </c>
      <c r="G1470" s="14">
        <v>1050</v>
      </c>
      <c r="H1470" s="15">
        <v>540</v>
      </c>
      <c r="I1470" s="15">
        <f>IF(OR(H1470="",F1470=""),"",MAX(H1470,MIN(ROUND(H1470*(1+Параметры!$B$5),IF(H1470*(1+Параметры!$B$5)&gt;=1000,-1,0)),ROUND(F1470*Параметры!$B$6,IF(F1470*Параметры!$B$6&gt;=1000,-1,0)))))</f>
        <v>621</v>
      </c>
      <c r="J1470" s="15">
        <v>630</v>
      </c>
      <c r="K1470" s="15">
        <f>IF(OR(J1470="",G1470=""),"",MAX(J1470,MIN(ROUND(J1470*(1+Параметры!$B$5),IF(J1470*(1+Параметры!$B$5)&gt;=1000,-1,0)),ROUND(G1470*Параметры!$B$6,IF(G1470*Параметры!$B$6&gt;=1000,-1,0)))))</f>
        <v>725</v>
      </c>
      <c r="L1470" s="16">
        <v>0.6</v>
      </c>
      <c r="M1470" s="17">
        <f t="shared" si="108"/>
        <v>1.6666666666666667</v>
      </c>
      <c r="N1470" s="17">
        <f>IF(OR(L1470="",L1470=0),"",Параметры!$B$3/L1470)</f>
        <v>13.333333333333334</v>
      </c>
      <c r="O1470" s="15">
        <f>IF(L1470="","",IFERROR(INDEX('Почасовка — ставки и план'!$D$5:$D$24,MATCH($D1470,'Почасовка — ставки и план'!$A$5:$A$24,0)),""))</f>
        <v>850</v>
      </c>
      <c r="P1470" s="15">
        <f>IF(L1470="","",IFERROR(INDEX('Почасовка — ставки и план'!$E$5:$E$24,MATCH($D1470,'Почасовка — ставки и план'!$A$5:$A$24,0)),""))</f>
        <v>1020</v>
      </c>
      <c r="Q1470" s="15">
        <f t="shared" si="109"/>
        <v>510</v>
      </c>
      <c r="R1470" s="13" t="str">
        <f>IF(D1470="TEX","аренда техники — сделка/счёт",IF(OR(Q1470="",H1470="",H1470=0),"—",IF(Q1470&lt;H1470*(1-Параметры!$B$7),"почасовка",IF(Q1470&gt;H1470*(1+Параметры!$B$7),"сделка","любой способ"))))</f>
        <v>любой способ</v>
      </c>
      <c r="S1470">
        <v>0</v>
      </c>
      <c r="T1470">
        <v>0</v>
      </c>
    </row>
    <row r="1471" spans="1:20" x14ac:dyDescent="0.25">
      <c r="A1471" s="13" t="s">
        <v>2985</v>
      </c>
      <c r="B1471" s="13" t="s">
        <v>2986</v>
      </c>
      <c r="C1471" s="13" t="s">
        <v>457</v>
      </c>
      <c r="D1471" s="13" t="s">
        <v>273</v>
      </c>
      <c r="E1471" s="13" t="str">
        <f>IFERROR(INDEX('Почасовка — ставки и план'!$B$5:$B$24,MATCH(D1471,'Почасовка — ставки и план'!$A$5:$A$24,0)),"Аренда техники / механизмы")</f>
        <v>Электромонтажник</v>
      </c>
      <c r="F1471" s="14">
        <v>400</v>
      </c>
      <c r="G1471" s="14">
        <v>476</v>
      </c>
      <c r="H1471" s="15">
        <v>240</v>
      </c>
      <c r="I1471" s="15">
        <f>IF(OR(H1471="",F1471=""),"",MAX(H1471,MIN(ROUND(H1471*(1+Параметры!$B$5),IF(H1471*(1+Параметры!$B$5)&gt;=1000,-1,0)),ROUND(F1471*Параметры!$B$6,IF(F1471*Параметры!$B$6&gt;=1000,-1,0)))))</f>
        <v>276</v>
      </c>
      <c r="J1471" s="15">
        <v>280</v>
      </c>
      <c r="K1471" s="15">
        <f>IF(OR(J1471="",G1471=""),"",MAX(J1471,MIN(ROUND(J1471*(1+Параметры!$B$5),IF(J1471*(1+Параметры!$B$5)&gt;=1000,-1,0)),ROUND(G1471*Параметры!$B$6,IF(G1471*Параметры!$B$6&gt;=1000,-1,0)))))</f>
        <v>322</v>
      </c>
      <c r="L1471" s="16">
        <v>0.35</v>
      </c>
      <c r="M1471" s="17">
        <f t="shared" si="108"/>
        <v>2.8571428571428572</v>
      </c>
      <c r="N1471" s="17">
        <f>IF(OR(L1471="",L1471=0),"",Параметры!$B$3/L1471)</f>
        <v>22.857142857142858</v>
      </c>
      <c r="O1471" s="15">
        <f>IF(L1471="","",IFERROR(INDEX('Почасовка — ставки и план'!$D$5:$D$24,MATCH($D1471,'Почасовка — ставки и план'!$A$5:$A$24,0)),""))</f>
        <v>850</v>
      </c>
      <c r="P1471" s="15">
        <f>IF(L1471="","",IFERROR(INDEX('Почасовка — ставки и план'!$E$5:$E$24,MATCH($D1471,'Почасовка — ставки и план'!$A$5:$A$24,0)),""))</f>
        <v>1020</v>
      </c>
      <c r="Q1471" s="15">
        <f t="shared" si="109"/>
        <v>298</v>
      </c>
      <c r="R1471" s="13" t="str">
        <f>IF(D1471="TEX","аренда техники — сделка/счёт",IF(OR(Q1471="",H1471="",H1471=0),"—",IF(Q1471&lt;H1471*(1-Параметры!$B$7),"почасовка",IF(Q1471&gt;H1471*(1+Параметры!$B$7),"сделка","любой способ"))))</f>
        <v>сделка</v>
      </c>
      <c r="S1471">
        <v>0</v>
      </c>
      <c r="T1471">
        <v>1.276595744680842E-2</v>
      </c>
    </row>
    <row r="1472" spans="1:20" x14ac:dyDescent="0.25">
      <c r="A1472" s="13" t="s">
        <v>2987</v>
      </c>
      <c r="B1472" s="13" t="s">
        <v>2988</v>
      </c>
      <c r="C1472" s="13" t="s">
        <v>457</v>
      </c>
      <c r="D1472" s="13" t="s">
        <v>273</v>
      </c>
      <c r="E1472" s="13" t="str">
        <f>IFERROR(INDEX('Почасовка — ставки и план'!$B$5:$B$24,MATCH(D1472,'Почасовка — ставки и план'!$A$5:$A$24,0)),"Аренда техники / механизмы")</f>
        <v>Электромонтажник</v>
      </c>
      <c r="F1472" s="14">
        <v>900</v>
      </c>
      <c r="G1472" s="14">
        <v>1050</v>
      </c>
      <c r="H1472" s="15">
        <v>540</v>
      </c>
      <c r="I1472" s="15">
        <f>IF(OR(H1472="",F1472=""),"",MAX(H1472,MIN(ROUND(H1472*(1+Параметры!$B$5),IF(H1472*(1+Параметры!$B$5)&gt;=1000,-1,0)),ROUND(F1472*Параметры!$B$6,IF(F1472*Параметры!$B$6&gt;=1000,-1,0)))))</f>
        <v>621</v>
      </c>
      <c r="J1472" s="15">
        <v>630</v>
      </c>
      <c r="K1472" s="15">
        <f>IF(OR(J1472="",G1472=""),"",MAX(J1472,MIN(ROUND(J1472*(1+Параметры!$B$5),IF(J1472*(1+Параметры!$B$5)&gt;=1000,-1,0)),ROUND(G1472*Параметры!$B$6,IF(G1472*Параметры!$B$6&gt;=1000,-1,0)))))</f>
        <v>725</v>
      </c>
      <c r="L1472" s="16">
        <v>0.6</v>
      </c>
      <c r="M1472" s="17">
        <f t="shared" si="108"/>
        <v>1.6666666666666667</v>
      </c>
      <c r="N1472" s="17">
        <f>IF(OR(L1472="",L1472=0),"",Параметры!$B$3/L1472)</f>
        <v>13.333333333333334</v>
      </c>
      <c r="O1472" s="15">
        <f>IF(L1472="","",IFERROR(INDEX('Почасовка — ставки и план'!$D$5:$D$24,MATCH($D1472,'Почасовка — ставки и план'!$A$5:$A$24,0)),""))</f>
        <v>850</v>
      </c>
      <c r="P1472" s="15">
        <f>IF(L1472="","",IFERROR(INDEX('Почасовка — ставки и план'!$E$5:$E$24,MATCH($D1472,'Почасовка — ставки и план'!$A$5:$A$24,0)),""))</f>
        <v>1020</v>
      </c>
      <c r="Q1472" s="15">
        <f t="shared" si="109"/>
        <v>510</v>
      </c>
      <c r="R1472" s="13" t="str">
        <f>IF(D1472="TEX","аренда техники — сделка/счёт",IF(OR(Q1472="",H1472="",H1472=0),"—",IF(Q1472&lt;H1472*(1-Параметры!$B$7),"почасовка",IF(Q1472&gt;H1472*(1+Параметры!$B$7),"сделка","любой способ"))))</f>
        <v>любой способ</v>
      </c>
      <c r="S1472">
        <v>0</v>
      </c>
      <c r="T1472">
        <v>0</v>
      </c>
    </row>
    <row r="1473" spans="1:20" x14ac:dyDescent="0.25">
      <c r="A1473" s="13" t="s">
        <v>2989</v>
      </c>
      <c r="B1473" s="13" t="s">
        <v>2990</v>
      </c>
      <c r="C1473" s="13" t="s">
        <v>457</v>
      </c>
      <c r="D1473" s="13" t="s">
        <v>273</v>
      </c>
      <c r="E1473" s="13" t="str">
        <f>IFERROR(INDEX('Почасовка — ставки и план'!$B$5:$B$24,MATCH(D1473,'Почасовка — ставки и план'!$A$5:$A$24,0)),"Аренда техники / механизмы")</f>
        <v>Электромонтажник</v>
      </c>
      <c r="F1473" s="14">
        <v>750</v>
      </c>
      <c r="G1473" s="14">
        <v>880</v>
      </c>
      <c r="H1473" s="15">
        <v>450</v>
      </c>
      <c r="I1473" s="15">
        <f>IF(OR(H1473="",F1473=""),"",MAX(H1473,MIN(ROUND(H1473*(1+Параметры!$B$5),IF(H1473*(1+Параметры!$B$5)&gt;=1000,-1,0)),ROUND(F1473*Параметры!$B$6,IF(F1473*Параметры!$B$6&gt;=1000,-1,0)))))</f>
        <v>518</v>
      </c>
      <c r="J1473" s="15">
        <v>530</v>
      </c>
      <c r="K1473" s="15">
        <f>IF(OR(J1473="",G1473=""),"",MAX(J1473,MIN(ROUND(J1473*(1+Параметры!$B$5),IF(J1473*(1+Параметры!$B$5)&gt;=1000,-1,0)),ROUND(G1473*Параметры!$B$6,IF(G1473*Параметры!$B$6&gt;=1000,-1,0)))))</f>
        <v>610</v>
      </c>
      <c r="L1473" s="16">
        <v>0.6</v>
      </c>
      <c r="M1473" s="17">
        <f t="shared" si="108"/>
        <v>1.6666666666666667</v>
      </c>
      <c r="N1473" s="17">
        <f>IF(OR(L1473="",L1473=0),"",Параметры!$B$3/L1473)</f>
        <v>13.333333333333334</v>
      </c>
      <c r="O1473" s="15">
        <f>IF(L1473="","",IFERROR(INDEX('Почасовка — ставки и план'!$D$5:$D$24,MATCH($D1473,'Почасовка — ставки и план'!$A$5:$A$24,0)),""))</f>
        <v>850</v>
      </c>
      <c r="P1473" s="15">
        <f>IF(L1473="","",IFERROR(INDEX('Почасовка — ставки и план'!$E$5:$E$24,MATCH($D1473,'Почасовка — ставки и план'!$A$5:$A$24,0)),""))</f>
        <v>1020</v>
      </c>
      <c r="Q1473" s="15">
        <f t="shared" si="109"/>
        <v>510</v>
      </c>
      <c r="R1473" s="13" t="str">
        <f>IF(D1473="TEX","аренда техники — сделка/счёт",IF(OR(Q1473="",H1473="",H1473=0),"—",IF(Q1473&lt;H1473*(1-Параметры!$B$7),"почасовка",IF(Q1473&gt;H1473*(1+Параметры!$B$7),"сделка","любой способ"))))</f>
        <v>сделка</v>
      </c>
      <c r="S1473">
        <v>0</v>
      </c>
      <c r="T1473">
        <v>0</v>
      </c>
    </row>
    <row r="1474" spans="1:20" x14ac:dyDescent="0.25">
      <c r="A1474" s="13" t="s">
        <v>2991</v>
      </c>
      <c r="B1474" s="13" t="s">
        <v>2992</v>
      </c>
      <c r="C1474" s="13" t="s">
        <v>457</v>
      </c>
      <c r="D1474" s="13" t="s">
        <v>273</v>
      </c>
      <c r="E1474" s="13" t="str">
        <f>IFERROR(INDEX('Почасовка — ставки и план'!$B$5:$B$24,MATCH(D1474,'Почасовка — ставки и план'!$A$5:$A$24,0)),"Аренда техники / механизмы")</f>
        <v>Электромонтажник</v>
      </c>
      <c r="F1474" s="14">
        <v>800</v>
      </c>
      <c r="G1474" s="14">
        <v>952</v>
      </c>
      <c r="H1474" s="15">
        <v>480</v>
      </c>
      <c r="I1474" s="15">
        <f>IF(OR(H1474="",F1474=""),"",MAX(H1474,MIN(ROUND(H1474*(1+Параметры!$B$5),IF(H1474*(1+Параметры!$B$5)&gt;=1000,-1,0)),ROUND(F1474*Параметры!$B$6,IF(F1474*Параметры!$B$6&gt;=1000,-1,0)))))</f>
        <v>552</v>
      </c>
      <c r="J1474" s="15">
        <v>560</v>
      </c>
      <c r="K1474" s="15">
        <f>IF(OR(J1474="",G1474=""),"",MAX(J1474,MIN(ROUND(J1474*(1+Параметры!$B$5),IF(J1474*(1+Параметры!$B$5)&gt;=1000,-1,0)),ROUND(G1474*Параметры!$B$6,IF(G1474*Параметры!$B$6&gt;=1000,-1,0)))))</f>
        <v>644</v>
      </c>
      <c r="L1474" s="16">
        <v>0.7</v>
      </c>
      <c r="M1474" s="17">
        <f t="shared" si="108"/>
        <v>1.4285714285714286</v>
      </c>
      <c r="N1474" s="17">
        <f>IF(OR(L1474="",L1474=0),"",Параметры!$B$3/L1474)</f>
        <v>11.428571428571429</v>
      </c>
      <c r="O1474" s="15">
        <f>IF(L1474="","",IFERROR(INDEX('Почасовка — ставки и план'!$D$5:$D$24,MATCH($D1474,'Почасовка — ставки и план'!$A$5:$A$24,0)),""))</f>
        <v>850</v>
      </c>
      <c r="P1474" s="15">
        <f>IF(L1474="","",IFERROR(INDEX('Почасовка — ставки и план'!$E$5:$E$24,MATCH($D1474,'Почасовка — ставки и план'!$A$5:$A$24,0)),""))</f>
        <v>1020</v>
      </c>
      <c r="Q1474" s="15">
        <f t="shared" si="109"/>
        <v>595</v>
      </c>
      <c r="R1474" s="13" t="str">
        <f>IF(D1474="TEX","аренда техники — сделка/счёт",IF(OR(Q1474="",H1474="",H1474=0),"—",IF(Q1474&lt;H1474*(1-Параметры!$B$7),"почасовка",IF(Q1474&gt;H1474*(1+Параметры!$B$7),"сделка","любой способ"))))</f>
        <v>сделка</v>
      </c>
      <c r="S1474">
        <v>0</v>
      </c>
      <c r="T1474">
        <v>1.276595744680842E-2</v>
      </c>
    </row>
    <row r="1475" spans="1:20" x14ac:dyDescent="0.25">
      <c r="A1475" s="13" t="s">
        <v>2993</v>
      </c>
      <c r="B1475" s="13" t="s">
        <v>2994</v>
      </c>
      <c r="C1475" s="13" t="s">
        <v>457</v>
      </c>
      <c r="D1475" s="13" t="s">
        <v>273</v>
      </c>
      <c r="E1475" s="13" t="str">
        <f>IFERROR(INDEX('Почасовка — ставки и план'!$B$5:$B$24,MATCH(D1475,'Почасовка — ставки и план'!$A$5:$A$24,0)),"Аренда техники / механизмы")</f>
        <v>Электромонтажник</v>
      </c>
      <c r="F1475" s="14">
        <v>1100</v>
      </c>
      <c r="G1475" s="14">
        <v>1300</v>
      </c>
      <c r="H1475" s="15">
        <v>660</v>
      </c>
      <c r="I1475" s="15">
        <f>IF(OR(H1475="",F1475=""),"",MAX(H1475,MIN(ROUND(H1475*(1+Параметры!$B$5),IF(H1475*(1+Параметры!$B$5)&gt;=1000,-1,0)),ROUND(F1475*Параметры!$B$6,IF(F1475*Параметры!$B$6&gt;=1000,-1,0)))))</f>
        <v>759</v>
      </c>
      <c r="J1475" s="15">
        <v>780</v>
      </c>
      <c r="K1475" s="15">
        <f>IF(OR(J1475="",G1475=""),"",MAX(J1475,MIN(ROUND(J1475*(1+Параметры!$B$5),IF(J1475*(1+Параметры!$B$5)&gt;=1000,-1,0)),ROUND(G1475*Параметры!$B$6,IF(G1475*Параметры!$B$6&gt;=1000,-1,0)))))</f>
        <v>897</v>
      </c>
      <c r="L1475" s="16">
        <v>0.9</v>
      </c>
      <c r="M1475" s="17">
        <f t="shared" si="108"/>
        <v>1.1111111111111112</v>
      </c>
      <c r="N1475" s="17">
        <f>IF(OR(L1475="",L1475=0),"",Параметры!$B$3/L1475)</f>
        <v>8.8888888888888893</v>
      </c>
      <c r="O1475" s="15">
        <f>IF(L1475="","",IFERROR(INDEX('Почасовка — ставки и план'!$D$5:$D$24,MATCH($D1475,'Почасовка — ставки и план'!$A$5:$A$24,0)),""))</f>
        <v>850</v>
      </c>
      <c r="P1475" s="15">
        <f>IF(L1475="","",IFERROR(INDEX('Почасовка — ставки и план'!$E$5:$E$24,MATCH($D1475,'Почасовка — ставки и план'!$A$5:$A$24,0)),""))</f>
        <v>1020</v>
      </c>
      <c r="Q1475" s="15">
        <f t="shared" si="109"/>
        <v>765</v>
      </c>
      <c r="R1475" s="13" t="str">
        <f>IF(D1475="TEX","аренда техники — сделка/счёт",IF(OR(Q1475="",H1475="",H1475=0),"—",IF(Q1475&lt;H1475*(1-Параметры!$B$7),"почасовка",IF(Q1475&gt;H1475*(1+Параметры!$B$7),"сделка","любой способ"))))</f>
        <v>сделка</v>
      </c>
      <c r="S1475">
        <v>0</v>
      </c>
      <c r="T1475">
        <v>0</v>
      </c>
    </row>
    <row r="1476" spans="1:20" x14ac:dyDescent="0.25">
      <c r="A1476" s="13" t="s">
        <v>2995</v>
      </c>
      <c r="B1476" s="13" t="s">
        <v>2996</v>
      </c>
      <c r="C1476" s="13" t="s">
        <v>457</v>
      </c>
      <c r="D1476" s="13" t="s">
        <v>273</v>
      </c>
      <c r="E1476" s="13" t="str">
        <f>IFERROR(INDEX('Почасовка — ставки и план'!$B$5:$B$24,MATCH(D1476,'Почасовка — ставки и план'!$A$5:$A$24,0)),"Аренда техники / механизмы")</f>
        <v>Электромонтажник</v>
      </c>
      <c r="F1476" s="14">
        <v>1100</v>
      </c>
      <c r="G1476" s="14">
        <v>1300</v>
      </c>
      <c r="H1476" s="15">
        <v>660</v>
      </c>
      <c r="I1476" s="15">
        <f>IF(OR(H1476="",F1476=""),"",MAX(H1476,MIN(ROUND(H1476*(1+Параметры!$B$5),IF(H1476*(1+Параметры!$B$5)&gt;=1000,-1,0)),ROUND(F1476*Параметры!$B$6,IF(F1476*Параметры!$B$6&gt;=1000,-1,0)))))</f>
        <v>759</v>
      </c>
      <c r="J1476" s="15">
        <v>780</v>
      </c>
      <c r="K1476" s="15">
        <f>IF(OR(J1476="",G1476=""),"",MAX(J1476,MIN(ROUND(J1476*(1+Параметры!$B$5),IF(J1476*(1+Параметры!$B$5)&gt;=1000,-1,0)),ROUND(G1476*Параметры!$B$6,IF(G1476*Параметры!$B$6&gt;=1000,-1,0)))))</f>
        <v>897</v>
      </c>
      <c r="L1476" s="16">
        <v>0.9</v>
      </c>
      <c r="M1476" s="17">
        <f t="shared" si="108"/>
        <v>1.1111111111111112</v>
      </c>
      <c r="N1476" s="17">
        <f>IF(OR(L1476="",L1476=0),"",Параметры!$B$3/L1476)</f>
        <v>8.8888888888888893</v>
      </c>
      <c r="O1476" s="15">
        <f>IF(L1476="","",IFERROR(INDEX('Почасовка — ставки и план'!$D$5:$D$24,MATCH($D1476,'Почасовка — ставки и план'!$A$5:$A$24,0)),""))</f>
        <v>850</v>
      </c>
      <c r="P1476" s="15">
        <f>IF(L1476="","",IFERROR(INDEX('Почасовка — ставки и план'!$E$5:$E$24,MATCH($D1476,'Почасовка — ставки и план'!$A$5:$A$24,0)),""))</f>
        <v>1020</v>
      </c>
      <c r="Q1476" s="15">
        <f t="shared" si="109"/>
        <v>765</v>
      </c>
      <c r="R1476" s="13" t="str">
        <f>IF(D1476="TEX","аренда техники — сделка/счёт",IF(OR(Q1476="",H1476="",H1476=0),"—",IF(Q1476&lt;H1476*(1-Параметры!$B$7),"почасовка",IF(Q1476&gt;H1476*(1+Параметры!$B$7),"сделка","любой способ"))))</f>
        <v>сделка</v>
      </c>
      <c r="S1476">
        <v>0</v>
      </c>
      <c r="T1476">
        <v>0</v>
      </c>
    </row>
    <row r="1477" spans="1:20" x14ac:dyDescent="0.25">
      <c r="A1477" s="13" t="s">
        <v>2997</v>
      </c>
      <c r="B1477" s="13" t="s">
        <v>2998</v>
      </c>
      <c r="C1477" s="13" t="s">
        <v>457</v>
      </c>
      <c r="D1477" s="13" t="s">
        <v>273</v>
      </c>
      <c r="E1477" s="13" t="str">
        <f>IFERROR(INDEX('Почасовка — ставки и план'!$B$5:$B$24,MATCH(D1477,'Почасовка — ставки и план'!$A$5:$A$24,0)),"Аренда техники / механизмы")</f>
        <v>Электромонтажник</v>
      </c>
      <c r="F1477" s="14">
        <v>1200</v>
      </c>
      <c r="G1477" s="14">
        <v>1400</v>
      </c>
      <c r="H1477" s="15">
        <v>720</v>
      </c>
      <c r="I1477" s="15">
        <f>IF(OR(H1477="",F1477=""),"",MAX(H1477,MIN(ROUND(H1477*(1+Параметры!$B$5),IF(H1477*(1+Параметры!$B$5)&gt;=1000,-1,0)),ROUND(F1477*Параметры!$B$6,IF(F1477*Параметры!$B$6&gt;=1000,-1,0)))))</f>
        <v>828</v>
      </c>
      <c r="J1477" s="15">
        <v>840</v>
      </c>
      <c r="K1477" s="15">
        <f>IF(OR(J1477="",G1477=""),"",MAX(J1477,MIN(ROUND(J1477*(1+Параметры!$B$5),IF(J1477*(1+Параметры!$B$5)&gt;=1000,-1,0)),ROUND(G1477*Параметры!$B$6,IF(G1477*Параметры!$B$6&gt;=1000,-1,0)))))</f>
        <v>966</v>
      </c>
      <c r="L1477" s="16">
        <v>1</v>
      </c>
      <c r="M1477" s="17">
        <f t="shared" si="108"/>
        <v>1</v>
      </c>
      <c r="N1477" s="17">
        <f>IF(OR(L1477="",L1477=0),"",Параметры!$B$3/L1477)</f>
        <v>8</v>
      </c>
      <c r="O1477" s="15">
        <f>IF(L1477="","",IFERROR(INDEX('Почасовка — ставки и план'!$D$5:$D$24,MATCH($D1477,'Почасовка — ставки и план'!$A$5:$A$24,0)),""))</f>
        <v>850</v>
      </c>
      <c r="P1477" s="15">
        <f>IF(L1477="","",IFERROR(INDEX('Почасовка — ставки и план'!$E$5:$E$24,MATCH($D1477,'Почасовка — ставки и план'!$A$5:$A$24,0)),""))</f>
        <v>1020</v>
      </c>
      <c r="Q1477" s="15">
        <f t="shared" si="109"/>
        <v>850</v>
      </c>
      <c r="R1477" s="13" t="str">
        <f>IF(D1477="TEX","аренда техники — сделка/счёт",IF(OR(Q1477="",H1477="",H1477=0),"—",IF(Q1477&lt;H1477*(1-Параметры!$B$7),"почасовка",IF(Q1477&gt;H1477*(1+Параметры!$B$7),"сделка","любой способ"))))</f>
        <v>сделка</v>
      </c>
      <c r="S1477">
        <v>0</v>
      </c>
      <c r="T1477">
        <v>0</v>
      </c>
    </row>
    <row r="1478" spans="1:20" x14ac:dyDescent="0.25">
      <c r="A1478" s="13" t="s">
        <v>2999</v>
      </c>
      <c r="B1478" s="13" t="s">
        <v>3000</v>
      </c>
      <c r="C1478" s="13" t="s">
        <v>457</v>
      </c>
      <c r="D1478" s="13" t="s">
        <v>273</v>
      </c>
      <c r="E1478" s="13" t="str">
        <f>IFERROR(INDEX('Почасовка — ставки и план'!$B$5:$B$24,MATCH(D1478,'Почасовка — ставки и план'!$A$5:$A$24,0)),"Аренда техники / механизмы")</f>
        <v>Электромонтажник</v>
      </c>
      <c r="F1478" s="14">
        <v>550</v>
      </c>
      <c r="G1478" s="14">
        <v>650</v>
      </c>
      <c r="H1478" s="15">
        <v>330</v>
      </c>
      <c r="I1478" s="15">
        <f>IF(OR(H1478="",F1478=""),"",MAX(H1478,MIN(ROUND(H1478*(1+Параметры!$B$5),IF(H1478*(1+Параметры!$B$5)&gt;=1000,-1,0)),ROUND(F1478*Параметры!$B$6,IF(F1478*Параметры!$B$6&gt;=1000,-1,0)))))</f>
        <v>380</v>
      </c>
      <c r="J1478" s="15">
        <v>390</v>
      </c>
      <c r="K1478" s="15">
        <f>IF(OR(J1478="",G1478=""),"",MAX(J1478,MIN(ROUND(J1478*(1+Параметры!$B$5),IF(J1478*(1+Параметры!$B$5)&gt;=1000,-1,0)),ROUND(G1478*Параметры!$B$6,IF(G1478*Параметры!$B$6&gt;=1000,-1,0)))))</f>
        <v>449</v>
      </c>
      <c r="L1478" s="16">
        <v>0.4</v>
      </c>
      <c r="M1478" s="17">
        <f t="shared" si="108"/>
        <v>2.5</v>
      </c>
      <c r="N1478" s="17">
        <f>IF(OR(L1478="",L1478=0),"",Параметры!$B$3/L1478)</f>
        <v>20</v>
      </c>
      <c r="O1478" s="15">
        <f>IF(L1478="","",IFERROR(INDEX('Почасовка — ставки и план'!$D$5:$D$24,MATCH($D1478,'Почасовка — ставки и план'!$A$5:$A$24,0)),""))</f>
        <v>850</v>
      </c>
      <c r="P1478" s="15">
        <f>IF(L1478="","",IFERROR(INDEX('Почасовка — ставки и план'!$E$5:$E$24,MATCH($D1478,'Почасовка — ставки и план'!$A$5:$A$24,0)),""))</f>
        <v>1020</v>
      </c>
      <c r="Q1478" s="15">
        <f t="shared" si="109"/>
        <v>340</v>
      </c>
      <c r="R1478" s="13" t="str">
        <f>IF(D1478="TEX","аренда техники — сделка/счёт",IF(OR(Q1478="",H1478="",H1478=0),"—",IF(Q1478&lt;H1478*(1-Параметры!$B$7),"почасовка",IF(Q1478&gt;H1478*(1+Параметры!$B$7),"сделка","любой способ"))))</f>
        <v>любой способ</v>
      </c>
      <c r="S1478">
        <v>0</v>
      </c>
      <c r="T1478">
        <v>0</v>
      </c>
    </row>
    <row r="1479" spans="1:20" x14ac:dyDescent="0.25">
      <c r="A1479" s="13" t="s">
        <v>3001</v>
      </c>
      <c r="B1479" s="13" t="s">
        <v>3002</v>
      </c>
      <c r="C1479" s="13" t="s">
        <v>69</v>
      </c>
      <c r="D1479" s="13" t="s">
        <v>273</v>
      </c>
      <c r="E1479" s="13" t="str">
        <f>IFERROR(INDEX('Почасовка — ставки и план'!$B$5:$B$24,MATCH(D1479,'Почасовка — ставки и план'!$A$5:$A$24,0)),"Аренда техники / механизмы")</f>
        <v>Электромонтажник</v>
      </c>
      <c r="F1479" s="14">
        <v>400</v>
      </c>
      <c r="G1479" s="14">
        <v>470</v>
      </c>
      <c r="H1479" s="15">
        <v>240</v>
      </c>
      <c r="I1479" s="15">
        <f>IF(OR(H1479="",F1479=""),"",MAX(H1479,MIN(ROUND(H1479*(1+Параметры!$B$5),IF(H1479*(1+Параметры!$B$5)&gt;=1000,-1,0)),ROUND(F1479*Параметры!$B$6,IF(F1479*Параметры!$B$6&gt;=1000,-1,0)))))</f>
        <v>276</v>
      </c>
      <c r="J1479" s="15">
        <v>280</v>
      </c>
      <c r="K1479" s="15">
        <f>IF(OR(J1479="",G1479=""),"",MAX(J1479,MIN(ROUND(J1479*(1+Параметры!$B$5),IF(J1479*(1+Параметры!$B$5)&gt;=1000,-1,0)),ROUND(G1479*Параметры!$B$6,IF(G1479*Параметры!$B$6&gt;=1000,-1,0)))))</f>
        <v>322</v>
      </c>
      <c r="L1479" s="16">
        <v>0.25</v>
      </c>
      <c r="M1479" s="17">
        <f t="shared" si="108"/>
        <v>4</v>
      </c>
      <c r="N1479" s="17">
        <f>IF(OR(L1479="",L1479=0),"",Параметры!$B$3/L1479)</f>
        <v>32</v>
      </c>
      <c r="O1479" s="15">
        <f>IF(L1479="","",IFERROR(INDEX('Почасовка — ставки и план'!$D$5:$D$24,MATCH($D1479,'Почасовка — ставки и план'!$A$5:$A$24,0)),""))</f>
        <v>850</v>
      </c>
      <c r="P1479" s="15">
        <f>IF(L1479="","",IFERROR(INDEX('Почасовка — ставки и план'!$E$5:$E$24,MATCH($D1479,'Почасовка — ставки и план'!$A$5:$A$24,0)),""))</f>
        <v>1020</v>
      </c>
      <c r="Q1479" s="15">
        <f t="shared" si="109"/>
        <v>213</v>
      </c>
      <c r="R1479" s="13" t="str">
        <f>IF(D1479="TEX","аренда техники — сделка/счёт",IF(OR(Q1479="",H1479="",H1479=0),"—",IF(Q1479&lt;H1479*(1-Параметры!$B$7),"почасовка",IF(Q1479&gt;H1479*(1+Параметры!$B$7),"сделка","любой способ"))))</f>
        <v>почасовка</v>
      </c>
      <c r="S1479">
        <v>0</v>
      </c>
      <c r="T1479">
        <v>0</v>
      </c>
    </row>
    <row r="1480" spans="1:20" x14ac:dyDescent="0.25">
      <c r="A1480" s="13" t="s">
        <v>3003</v>
      </c>
      <c r="B1480" s="13" t="s">
        <v>3004</v>
      </c>
      <c r="C1480" s="13" t="s">
        <v>457</v>
      </c>
      <c r="D1480" s="13" t="s">
        <v>273</v>
      </c>
      <c r="E1480" s="13" t="str">
        <f>IFERROR(INDEX('Почасовка — ставки и план'!$B$5:$B$24,MATCH(D1480,'Почасовка — ставки и план'!$A$5:$A$24,0)),"Аренда техники / механизмы")</f>
        <v>Электромонтажник</v>
      </c>
      <c r="F1480" s="14">
        <v>450</v>
      </c>
      <c r="G1480" s="14">
        <v>530</v>
      </c>
      <c r="H1480" s="15">
        <v>270</v>
      </c>
      <c r="I1480" s="15">
        <f>IF(OR(H1480="",F1480=""),"",MAX(H1480,MIN(ROUND(H1480*(1+Параметры!$B$5),IF(H1480*(1+Параметры!$B$5)&gt;=1000,-1,0)),ROUND(F1480*Параметры!$B$6,IF(F1480*Параметры!$B$6&gt;=1000,-1,0)))))</f>
        <v>311</v>
      </c>
      <c r="J1480" s="15">
        <v>320</v>
      </c>
      <c r="K1480" s="15">
        <f>IF(OR(J1480="",G1480=""),"",MAX(J1480,MIN(ROUND(J1480*(1+Параметры!$B$5),IF(J1480*(1+Параметры!$B$5)&gt;=1000,-1,0)),ROUND(G1480*Параметры!$B$6,IF(G1480*Параметры!$B$6&gt;=1000,-1,0)))))</f>
        <v>368</v>
      </c>
      <c r="L1480" s="16">
        <v>0.25</v>
      </c>
      <c r="M1480" s="17">
        <f t="shared" si="108"/>
        <v>4</v>
      </c>
      <c r="N1480" s="17">
        <f>IF(OR(L1480="",L1480=0),"",Параметры!$B$3/L1480)</f>
        <v>32</v>
      </c>
      <c r="O1480" s="15">
        <f>IF(L1480="","",IFERROR(INDEX('Почасовка — ставки и план'!$D$5:$D$24,MATCH($D1480,'Почасовка — ставки и план'!$A$5:$A$24,0)),""))</f>
        <v>850</v>
      </c>
      <c r="P1480" s="15">
        <f>IF(L1480="","",IFERROR(INDEX('Почасовка — ставки и план'!$E$5:$E$24,MATCH($D1480,'Почасовка — ставки и план'!$A$5:$A$24,0)),""))</f>
        <v>1020</v>
      </c>
      <c r="Q1480" s="15">
        <f t="shared" si="109"/>
        <v>213</v>
      </c>
      <c r="R1480" s="13" t="str">
        <f>IF(D1480="TEX","аренда техники — сделка/счёт",IF(OR(Q1480="",H1480="",H1480=0),"—",IF(Q1480&lt;H1480*(1-Параметры!$B$7),"почасовка",IF(Q1480&gt;H1480*(1+Параметры!$B$7),"сделка","любой способ"))))</f>
        <v>почасовка</v>
      </c>
      <c r="S1480">
        <v>0</v>
      </c>
      <c r="T1480">
        <v>0</v>
      </c>
    </row>
    <row r="1481" spans="1:20" x14ac:dyDescent="0.25">
      <c r="A1481" s="18" t="s">
        <v>3005</v>
      </c>
      <c r="B1481" s="13" t="s">
        <v>3006</v>
      </c>
      <c r="C1481" s="13" t="s">
        <v>144</v>
      </c>
      <c r="D1481" s="13" t="s">
        <v>273</v>
      </c>
      <c r="E1481" s="13" t="str">
        <f>IFERROR(INDEX('Почасовка — ставки и план'!$B$5:$B$24,MATCH(D1481,'Почасовка — ставки и план'!$A$5:$A$24,0)),"Аренда техники / механизмы")</f>
        <v>Электромонтажник</v>
      </c>
      <c r="F1481" s="14">
        <v>284</v>
      </c>
      <c r="G1481" s="14">
        <v>340</v>
      </c>
      <c r="H1481" s="15">
        <v>155</v>
      </c>
      <c r="I1481" s="15">
        <f>IF(OR(H1481="",F1481=""),"",MAX(H1481,MIN(ROUND(H1481*(1+Параметры!$B$5),IF(H1481*(1+Параметры!$B$5)&gt;=1000,-1,0)),ROUND(F1481*Параметры!$B$6,IF(F1481*Параметры!$B$6&gt;=1000,-1,0)))))</f>
        <v>178</v>
      </c>
      <c r="J1481" s="15">
        <v>185</v>
      </c>
      <c r="K1481" s="15">
        <f>IF(OR(J1481="",G1481=""),"",MAX(J1481,MIN(ROUND(J1481*(1+Параметры!$B$5),IF(J1481*(1+Параметры!$B$5)&gt;=1000,-1,0)),ROUND(G1481*Параметры!$B$6,IF(G1481*Параметры!$B$6&gt;=1000,-1,0)))))</f>
        <v>213</v>
      </c>
      <c r="L1481" s="16">
        <v>0.25</v>
      </c>
      <c r="M1481" s="17">
        <f t="shared" si="108"/>
        <v>4</v>
      </c>
      <c r="N1481" s="17">
        <f>IF(OR(L1481="",L1481=0),"",Параметры!$B$3/L1481)</f>
        <v>32</v>
      </c>
      <c r="O1481" s="15">
        <f>IF(L1481="","",IFERROR(INDEX('Почасовка — ставки и план'!$D$5:$D$24,MATCH($D1481,'Почасовка — ставки и план'!$A$5:$A$24,0)),""))</f>
        <v>850</v>
      </c>
      <c r="P1481" s="15">
        <f>IF(L1481="","",IFERROR(INDEX('Почасовка — ставки и план'!$E$5:$E$24,MATCH($D1481,'Почасовка — ставки и план'!$A$5:$A$24,0)),""))</f>
        <v>1020</v>
      </c>
      <c r="Q1481" s="15">
        <f t="shared" si="109"/>
        <v>213</v>
      </c>
      <c r="R1481" s="13" t="str">
        <f>IF(D1481="TEX","аренда техники — сделка/счёт",IF(OR(Q1481="",H1481="",H1481=0),"—",IF(Q1481&lt;H1481*(1-Параметры!$B$7),"почасовка",IF(Q1481&gt;H1481*(1+Параметры!$B$7),"сделка","любой способ"))))</f>
        <v>сделка</v>
      </c>
      <c r="S1481">
        <v>0.1359999999999999</v>
      </c>
      <c r="T1481">
        <v>0.1333333333333333</v>
      </c>
    </row>
    <row r="1482" spans="1:20" x14ac:dyDescent="0.25">
      <c r="A1482" s="18" t="s">
        <v>3007</v>
      </c>
      <c r="B1482" s="13" t="s">
        <v>3008</v>
      </c>
      <c r="C1482" s="13" t="s">
        <v>144</v>
      </c>
      <c r="D1482" s="13" t="s">
        <v>273</v>
      </c>
      <c r="E1482" s="13" t="str">
        <f>IFERROR(INDEX('Почасовка — ставки и план'!$B$5:$B$24,MATCH(D1482,'Почасовка — ставки и план'!$A$5:$A$24,0)),"Аренда техники / механизмы")</f>
        <v>Электромонтажник</v>
      </c>
      <c r="F1482" s="14">
        <v>907</v>
      </c>
      <c r="G1482" s="14">
        <v>1088</v>
      </c>
      <c r="H1482" s="15">
        <v>540</v>
      </c>
      <c r="I1482" s="15">
        <f>IF(OR(H1482="",F1482=""),"",MAX(H1482,MIN(ROUND(H1482*(1+Параметры!$B$5),IF(H1482*(1+Параметры!$B$5)&gt;=1000,-1,0)),ROUND(F1482*Параметры!$B$6,IF(F1482*Параметры!$B$6&gt;=1000,-1,0)))))</f>
        <v>621</v>
      </c>
      <c r="J1482" s="15">
        <v>630</v>
      </c>
      <c r="K1482" s="15">
        <f>IF(OR(J1482="",G1482=""),"",MAX(J1482,MIN(ROUND(J1482*(1+Параметры!$B$5),IF(J1482*(1+Параметры!$B$5)&gt;=1000,-1,0)),ROUND(G1482*Параметры!$B$6,IF(G1482*Параметры!$B$6&gt;=1000,-1,0)))))</f>
        <v>725</v>
      </c>
      <c r="L1482" s="16">
        <v>0.8</v>
      </c>
      <c r="M1482" s="17">
        <f t="shared" si="108"/>
        <v>1.25</v>
      </c>
      <c r="N1482" s="17">
        <f>IF(OR(L1482="",L1482=0),"",Параметры!$B$3/L1482)</f>
        <v>10</v>
      </c>
      <c r="O1482" s="15">
        <f>IF(L1482="","",IFERROR(INDEX('Почасовка — ставки и план'!$D$5:$D$24,MATCH($D1482,'Почасовка — ставки и план'!$A$5:$A$24,0)),""))</f>
        <v>850</v>
      </c>
      <c r="P1482" s="15">
        <f>IF(L1482="","",IFERROR(INDEX('Почасовка — ставки и план'!$E$5:$E$24,MATCH($D1482,'Почасовка — ставки и план'!$A$5:$A$24,0)),""))</f>
        <v>1020</v>
      </c>
      <c r="Q1482" s="15">
        <f t="shared" si="109"/>
        <v>680</v>
      </c>
      <c r="R1482" s="13" t="str">
        <f>IF(D1482="TEX","аренда техники — сделка/счёт",IF(OR(Q1482="",H1482="",H1482=0),"—",IF(Q1482&lt;H1482*(1-Параметры!$B$7),"почасовка",IF(Q1482&gt;H1482*(1+Параметры!$B$7),"сделка","любой способ"))))</f>
        <v>сделка</v>
      </c>
      <c r="S1482">
        <v>7.7777777777778834E-3</v>
      </c>
      <c r="T1482">
        <v>3.6190476190476113E-2</v>
      </c>
    </row>
    <row r="1483" spans="1:20" x14ac:dyDescent="0.25">
      <c r="A1483" s="18" t="s">
        <v>3009</v>
      </c>
      <c r="B1483" s="13" t="s">
        <v>3010</v>
      </c>
      <c r="C1483" s="13" t="s">
        <v>144</v>
      </c>
      <c r="D1483" s="13" t="s">
        <v>273</v>
      </c>
      <c r="E1483" s="13" t="str">
        <f>IFERROR(INDEX('Почасовка — ставки и план'!$B$5:$B$24,MATCH(D1483,'Почасовка — ставки и план'!$A$5:$A$24,0)),"Аренда техники / механизмы")</f>
        <v>Электромонтажник</v>
      </c>
      <c r="F1483" s="14">
        <v>1000</v>
      </c>
      <c r="G1483" s="14">
        <v>1200</v>
      </c>
      <c r="H1483" s="15">
        <v>600</v>
      </c>
      <c r="I1483" s="15">
        <f>IF(OR(H1483="",F1483=""),"",MAX(H1483,MIN(ROUND(H1483*(1+Параметры!$B$5),IF(H1483*(1+Параметры!$B$5)&gt;=1000,-1,0)),ROUND(F1483*Параметры!$B$6,IF(F1483*Параметры!$B$6&gt;=1000,-1,0)))))</f>
        <v>690</v>
      </c>
      <c r="J1483" s="15">
        <v>720</v>
      </c>
      <c r="K1483" s="15">
        <f>IF(OR(J1483="",G1483=""),"",MAX(J1483,MIN(ROUND(J1483*(1+Параметры!$B$5),IF(J1483*(1+Параметры!$B$5)&gt;=1000,-1,0)),ROUND(G1483*Параметры!$B$6,IF(G1483*Параметры!$B$6&gt;=1000,-1,0)))))</f>
        <v>828</v>
      </c>
      <c r="L1483" s="16">
        <v>0.8</v>
      </c>
      <c r="M1483" s="17">
        <f t="shared" si="108"/>
        <v>1.25</v>
      </c>
      <c r="N1483" s="17">
        <f>IF(OR(L1483="",L1483=0),"",Параметры!$B$3/L1483)</f>
        <v>10</v>
      </c>
      <c r="O1483" s="15">
        <f>IF(L1483="","",IFERROR(INDEX('Почасовка — ставки и план'!$D$5:$D$24,MATCH($D1483,'Почасовка — ставки и план'!$A$5:$A$24,0)),""))</f>
        <v>850</v>
      </c>
      <c r="P1483" s="15">
        <f>IF(L1483="","",IFERROR(INDEX('Почасовка — ставки и план'!$E$5:$E$24,MATCH($D1483,'Почасовка — ставки и план'!$A$5:$A$24,0)),""))</f>
        <v>1020</v>
      </c>
      <c r="Q1483" s="15">
        <f t="shared" si="109"/>
        <v>680</v>
      </c>
      <c r="R1483" s="13" t="str">
        <f>IF(D1483="TEX","аренда техники — сделка/счёт",IF(OR(Q1483="",H1483="",H1483=0),"—",IF(Q1483&lt;H1483*(1-Параметры!$B$7),"почасовка",IF(Q1483&gt;H1483*(1+Параметры!$B$7),"сделка","любой способ"))))</f>
        <v>сделка</v>
      </c>
      <c r="S1483">
        <v>0</v>
      </c>
      <c r="T1483">
        <v>0</v>
      </c>
    </row>
    <row r="1484" spans="1:20" x14ac:dyDescent="0.25">
      <c r="A1484" s="18" t="s">
        <v>3011</v>
      </c>
      <c r="B1484" s="13" t="s">
        <v>3012</v>
      </c>
      <c r="C1484" s="13" t="s">
        <v>144</v>
      </c>
      <c r="D1484" s="13" t="s">
        <v>273</v>
      </c>
      <c r="E1484" s="13" t="str">
        <f>IFERROR(INDEX('Почасовка — ставки и план'!$B$5:$B$24,MATCH(D1484,'Почасовка — ставки и план'!$A$5:$A$24,0)),"Аренда техники / механизмы")</f>
        <v>Электромонтажник</v>
      </c>
      <c r="F1484" s="14">
        <v>900</v>
      </c>
      <c r="G1484" s="14">
        <v>1050</v>
      </c>
      <c r="H1484" s="15">
        <v>540</v>
      </c>
      <c r="I1484" s="15">
        <f>IF(OR(H1484="",F1484=""),"",MAX(H1484,MIN(ROUND(H1484*(1+Параметры!$B$5),IF(H1484*(1+Параметры!$B$5)&gt;=1000,-1,0)),ROUND(F1484*Параметры!$B$6,IF(F1484*Параметры!$B$6&gt;=1000,-1,0)))))</f>
        <v>621</v>
      </c>
      <c r="J1484" s="15">
        <v>630</v>
      </c>
      <c r="K1484" s="15">
        <f>IF(OR(J1484="",G1484=""),"",MAX(J1484,MIN(ROUND(J1484*(1+Параметры!$B$5),IF(J1484*(1+Параметры!$B$5)&gt;=1000,-1,0)),ROUND(G1484*Параметры!$B$6,IF(G1484*Параметры!$B$6&gt;=1000,-1,0)))))</f>
        <v>725</v>
      </c>
      <c r="L1484" s="16">
        <v>0.6</v>
      </c>
      <c r="M1484" s="17">
        <f t="shared" si="108"/>
        <v>1.6666666666666667</v>
      </c>
      <c r="N1484" s="17">
        <f>IF(OR(L1484="",L1484=0),"",Параметры!$B$3/L1484)</f>
        <v>13.333333333333334</v>
      </c>
      <c r="O1484" s="15">
        <f>IF(L1484="","",IFERROR(INDEX('Почасовка — ставки и план'!$D$5:$D$24,MATCH($D1484,'Почасовка — ставки и план'!$A$5:$A$24,0)),""))</f>
        <v>850</v>
      </c>
      <c r="P1484" s="15">
        <f>IF(L1484="","",IFERROR(INDEX('Почасовка — ставки и план'!$E$5:$E$24,MATCH($D1484,'Почасовка — ставки и план'!$A$5:$A$24,0)),""))</f>
        <v>1020</v>
      </c>
      <c r="Q1484" s="15">
        <f t="shared" si="109"/>
        <v>510</v>
      </c>
      <c r="R1484" s="13" t="str">
        <f>IF(D1484="TEX","аренда техники — сделка/счёт",IF(OR(Q1484="",H1484="",H1484=0),"—",IF(Q1484&lt;H1484*(1-Параметры!$B$7),"почасовка",IF(Q1484&gt;H1484*(1+Параметры!$B$7),"сделка","любой способ"))))</f>
        <v>любой способ</v>
      </c>
      <c r="S1484">
        <v>0</v>
      </c>
      <c r="T1484">
        <v>0</v>
      </c>
    </row>
    <row r="1485" spans="1:20" x14ac:dyDescent="0.25">
      <c r="A1485" s="18" t="s">
        <v>3013</v>
      </c>
      <c r="B1485" s="13" t="s">
        <v>3014</v>
      </c>
      <c r="C1485" s="13" t="s">
        <v>144</v>
      </c>
      <c r="D1485" s="13" t="s">
        <v>273</v>
      </c>
      <c r="E1485" s="13" t="str">
        <f>IFERROR(INDEX('Почасовка — ставки и план'!$B$5:$B$24,MATCH(D1485,'Почасовка — ставки и план'!$A$5:$A$24,0)),"Аренда техники / механизмы")</f>
        <v>Электромонтажник</v>
      </c>
      <c r="F1485" s="14">
        <v>2500</v>
      </c>
      <c r="G1485" s="14">
        <v>2950</v>
      </c>
      <c r="H1485" s="15">
        <v>1500</v>
      </c>
      <c r="I1485" s="15">
        <f>IF(OR(H1485="",F1485=""),"",MAX(H1485,MIN(ROUND(H1485*(1+Параметры!$B$5),IF(H1485*(1+Параметры!$B$5)&gt;=1000,-1,0)),ROUND(F1485*Параметры!$B$6,IF(F1485*Параметры!$B$6&gt;=1000,-1,0)))))</f>
        <v>1730</v>
      </c>
      <c r="J1485" s="15">
        <v>1750</v>
      </c>
      <c r="K1485" s="15">
        <f>IF(OR(J1485="",G1485=""),"",MAX(J1485,MIN(ROUND(J1485*(1+Параметры!$B$5),IF(J1485*(1+Параметры!$B$5)&gt;=1000,-1,0)),ROUND(G1485*Параметры!$B$6,IF(G1485*Параметры!$B$6&gt;=1000,-1,0)))))</f>
        <v>2010</v>
      </c>
      <c r="L1485" s="16">
        <v>1.5</v>
      </c>
      <c r="M1485" s="17">
        <f t="shared" si="108"/>
        <v>0.66666666666666663</v>
      </c>
      <c r="N1485" s="17">
        <f>IF(OR(L1485="",L1485=0),"",Параметры!$B$3/L1485)</f>
        <v>5.333333333333333</v>
      </c>
      <c r="O1485" s="15">
        <f>IF(L1485="","",IFERROR(INDEX('Почасовка — ставки и план'!$D$5:$D$24,MATCH($D1485,'Почасовка — ставки и план'!$A$5:$A$24,0)),""))</f>
        <v>850</v>
      </c>
      <c r="P1485" s="15">
        <f>IF(L1485="","",IFERROR(INDEX('Почасовка — ставки и план'!$E$5:$E$24,MATCH($D1485,'Почасовка — ставки и план'!$A$5:$A$24,0)),""))</f>
        <v>1020</v>
      </c>
      <c r="Q1485" s="15">
        <f t="shared" si="109"/>
        <v>1275</v>
      </c>
      <c r="R1485" s="13" t="str">
        <f>IF(D1485="TEX","аренда техники — сделка/счёт",IF(OR(Q1485="",H1485="",H1485=0),"—",IF(Q1485&lt;H1485*(1-Параметры!$B$7),"почасовка",IF(Q1485&gt;H1485*(1+Параметры!$B$7),"сделка","любой способ"))))</f>
        <v>почасовка</v>
      </c>
      <c r="S1485">
        <v>0</v>
      </c>
      <c r="T1485">
        <v>0</v>
      </c>
    </row>
    <row r="1486" spans="1:20" x14ac:dyDescent="0.25">
      <c r="A1486" s="18" t="s">
        <v>3015</v>
      </c>
      <c r="B1486" s="13" t="s">
        <v>3016</v>
      </c>
      <c r="C1486" s="13" t="s">
        <v>144</v>
      </c>
      <c r="D1486" s="13" t="s">
        <v>273</v>
      </c>
      <c r="E1486" s="13" t="str">
        <f>IFERROR(INDEX('Почасовка — ставки и план'!$B$5:$B$24,MATCH(D1486,'Почасовка — ставки и план'!$A$5:$A$24,0)),"Аренда техники / механизмы")</f>
        <v>Электромонтажник</v>
      </c>
      <c r="F1486" s="14">
        <v>2500</v>
      </c>
      <c r="G1486" s="14">
        <v>2950</v>
      </c>
      <c r="H1486" s="15">
        <v>1500</v>
      </c>
      <c r="I1486" s="15">
        <f>IF(OR(H1486="",F1486=""),"",MAX(H1486,MIN(ROUND(H1486*(1+Параметры!$B$5),IF(H1486*(1+Параметры!$B$5)&gt;=1000,-1,0)),ROUND(F1486*Параметры!$B$6,IF(F1486*Параметры!$B$6&gt;=1000,-1,0)))))</f>
        <v>1730</v>
      </c>
      <c r="J1486" s="15">
        <v>1750</v>
      </c>
      <c r="K1486" s="15">
        <f>IF(OR(J1486="",G1486=""),"",MAX(J1486,MIN(ROUND(J1486*(1+Параметры!$B$5),IF(J1486*(1+Параметры!$B$5)&gt;=1000,-1,0)),ROUND(G1486*Параметры!$B$6,IF(G1486*Параметры!$B$6&gt;=1000,-1,0)))))</f>
        <v>2010</v>
      </c>
      <c r="L1486" s="16">
        <v>1.5</v>
      </c>
      <c r="M1486" s="17">
        <f t="shared" si="108"/>
        <v>0.66666666666666663</v>
      </c>
      <c r="N1486" s="17">
        <f>IF(OR(L1486="",L1486=0),"",Параметры!$B$3/L1486)</f>
        <v>5.333333333333333</v>
      </c>
      <c r="O1486" s="15">
        <f>IF(L1486="","",IFERROR(INDEX('Почасовка — ставки и план'!$D$5:$D$24,MATCH($D1486,'Почасовка — ставки и план'!$A$5:$A$24,0)),""))</f>
        <v>850</v>
      </c>
      <c r="P1486" s="15">
        <f>IF(L1486="","",IFERROR(INDEX('Почасовка — ставки и план'!$E$5:$E$24,MATCH($D1486,'Почасовка — ставки и план'!$A$5:$A$24,0)),""))</f>
        <v>1020</v>
      </c>
      <c r="Q1486" s="15">
        <f t="shared" si="109"/>
        <v>1275</v>
      </c>
      <c r="R1486" s="13" t="str">
        <f>IF(D1486="TEX","аренда техники — сделка/счёт",IF(OR(Q1486="",H1486="",H1486=0),"—",IF(Q1486&lt;H1486*(1-Параметры!$B$7),"почасовка",IF(Q1486&gt;H1486*(1+Параметры!$B$7),"сделка","любой способ"))))</f>
        <v>почасовка</v>
      </c>
      <c r="S1486">
        <v>0</v>
      </c>
      <c r="T1486">
        <v>0</v>
      </c>
    </row>
    <row r="1487" spans="1:20" x14ac:dyDescent="0.25">
      <c r="A1487" s="18" t="s">
        <v>3017</v>
      </c>
      <c r="B1487" s="13" t="s">
        <v>3018</v>
      </c>
      <c r="C1487" s="13" t="s">
        <v>69</v>
      </c>
      <c r="D1487" s="13" t="s">
        <v>273</v>
      </c>
      <c r="E1487" s="13" t="str">
        <f>IFERROR(INDEX('Почасовка — ставки и план'!$B$5:$B$24,MATCH(D1487,'Почасовка — ставки и план'!$A$5:$A$24,0)),"Аренда техники / механизмы")</f>
        <v>Электромонтажник</v>
      </c>
      <c r="F1487" s="14">
        <v>450</v>
      </c>
      <c r="G1487" s="14">
        <v>530</v>
      </c>
      <c r="H1487" s="15">
        <v>270</v>
      </c>
      <c r="I1487" s="15">
        <f>IF(OR(H1487="",F1487=""),"",MAX(H1487,MIN(ROUND(H1487*(1+Параметры!$B$5),IF(H1487*(1+Параметры!$B$5)&gt;=1000,-1,0)),ROUND(F1487*Параметры!$B$6,IF(F1487*Параметры!$B$6&gt;=1000,-1,0)))))</f>
        <v>311</v>
      </c>
      <c r="J1487" s="15">
        <v>320</v>
      </c>
      <c r="K1487" s="15">
        <f>IF(OR(J1487="",G1487=""),"",MAX(J1487,MIN(ROUND(J1487*(1+Параметры!$B$5),IF(J1487*(1+Параметры!$B$5)&gt;=1000,-1,0)),ROUND(G1487*Параметры!$B$6,IF(G1487*Параметры!$B$6&gt;=1000,-1,0)))))</f>
        <v>368</v>
      </c>
      <c r="L1487" s="16">
        <v>0.3</v>
      </c>
      <c r="M1487" s="17">
        <f t="shared" si="108"/>
        <v>3.3333333333333335</v>
      </c>
      <c r="N1487" s="17">
        <f>IF(OR(L1487="",L1487=0),"",Параметры!$B$3/L1487)</f>
        <v>26.666666666666668</v>
      </c>
      <c r="O1487" s="15">
        <f>IF(L1487="","",IFERROR(INDEX('Почасовка — ставки и план'!$D$5:$D$24,MATCH($D1487,'Почасовка — ставки и план'!$A$5:$A$24,0)),""))</f>
        <v>850</v>
      </c>
      <c r="P1487" s="15">
        <f>IF(L1487="","",IFERROR(INDEX('Почасовка — ставки и план'!$E$5:$E$24,MATCH($D1487,'Почасовка — ставки и план'!$A$5:$A$24,0)),""))</f>
        <v>1020</v>
      </c>
      <c r="Q1487" s="15">
        <f t="shared" si="109"/>
        <v>255</v>
      </c>
      <c r="R1487" s="13" t="str">
        <f>IF(D1487="TEX","аренда техники — сделка/счёт",IF(OR(Q1487="",H1487="",H1487=0),"—",IF(Q1487&lt;H1487*(1-Параметры!$B$7),"почасовка",IF(Q1487&gt;H1487*(1+Параметры!$B$7),"сделка","любой способ"))))</f>
        <v>любой способ</v>
      </c>
      <c r="S1487">
        <v>0</v>
      </c>
      <c r="T1487">
        <v>0</v>
      </c>
    </row>
    <row r="1488" spans="1:20" x14ac:dyDescent="0.25">
      <c r="A1488" s="18" t="s">
        <v>3019</v>
      </c>
      <c r="B1488" s="13" t="s">
        <v>3020</v>
      </c>
      <c r="C1488" s="13" t="s">
        <v>144</v>
      </c>
      <c r="D1488" s="13" t="s">
        <v>273</v>
      </c>
      <c r="E1488" s="13" t="str">
        <f>IFERROR(INDEX('Почасовка — ставки и план'!$B$5:$B$24,MATCH(D1488,'Почасовка — ставки и план'!$A$5:$A$24,0)),"Аренда техники / механизмы")</f>
        <v>Электромонтажник</v>
      </c>
      <c r="F1488" s="14">
        <v>800</v>
      </c>
      <c r="G1488" s="14">
        <v>950</v>
      </c>
      <c r="H1488" s="15">
        <v>480</v>
      </c>
      <c r="I1488" s="15">
        <f>IF(OR(H1488="",F1488=""),"",MAX(H1488,MIN(ROUND(H1488*(1+Параметры!$B$5),IF(H1488*(1+Параметры!$B$5)&gt;=1000,-1,0)),ROUND(F1488*Параметры!$B$6,IF(F1488*Параметры!$B$6&gt;=1000,-1,0)))))</f>
        <v>552</v>
      </c>
      <c r="J1488" s="15">
        <v>560</v>
      </c>
      <c r="K1488" s="15">
        <f>IF(OR(J1488="",G1488=""),"",MAX(J1488,MIN(ROUND(J1488*(1+Параметры!$B$5),IF(J1488*(1+Параметры!$B$5)&gt;=1000,-1,0)),ROUND(G1488*Параметры!$B$6,IF(G1488*Параметры!$B$6&gt;=1000,-1,0)))))</f>
        <v>644</v>
      </c>
      <c r="L1488" s="16">
        <v>0.5</v>
      </c>
      <c r="M1488" s="17">
        <f t="shared" si="108"/>
        <v>2</v>
      </c>
      <c r="N1488" s="17">
        <f>IF(OR(L1488="",L1488=0),"",Параметры!$B$3/L1488)</f>
        <v>16</v>
      </c>
      <c r="O1488" s="15">
        <f>IF(L1488="","",IFERROR(INDEX('Почасовка — ставки и план'!$D$5:$D$24,MATCH($D1488,'Почасовка — ставки и план'!$A$5:$A$24,0)),""))</f>
        <v>850</v>
      </c>
      <c r="P1488" s="15">
        <f>IF(L1488="","",IFERROR(INDEX('Почасовка — ставки и план'!$E$5:$E$24,MATCH($D1488,'Почасовка — ставки и план'!$A$5:$A$24,0)),""))</f>
        <v>1020</v>
      </c>
      <c r="Q1488" s="15">
        <f t="shared" si="109"/>
        <v>425</v>
      </c>
      <c r="R1488" s="13" t="str">
        <f>IF(D1488="TEX","аренда техники — сделка/счёт",IF(OR(Q1488="",H1488="",H1488=0),"—",IF(Q1488&lt;H1488*(1-Параметры!$B$7),"почасовка",IF(Q1488&gt;H1488*(1+Параметры!$B$7),"сделка","любой способ"))))</f>
        <v>почасовка</v>
      </c>
      <c r="S1488">
        <v>0</v>
      </c>
      <c r="T1488">
        <v>0</v>
      </c>
    </row>
    <row r="1489" spans="1:20" x14ac:dyDescent="0.25">
      <c r="A1489" s="11" t="s">
        <v>3021</v>
      </c>
      <c r="B1489" s="12"/>
      <c r="C1489" s="12"/>
      <c r="D1489" s="12"/>
      <c r="E1489" s="12"/>
      <c r="F1489" s="12"/>
      <c r="G1489" s="12"/>
      <c r="H1489" s="12"/>
      <c r="I1489" s="12"/>
      <c r="J1489" s="12"/>
      <c r="K1489" s="12"/>
      <c r="L1489" s="12"/>
      <c r="M1489" s="12"/>
      <c r="N1489" s="12"/>
      <c r="O1489" s="12"/>
      <c r="P1489" s="12"/>
      <c r="Q1489" s="12"/>
      <c r="R1489" s="12"/>
    </row>
    <row r="1490" spans="1:20" x14ac:dyDescent="0.25">
      <c r="A1490" s="13" t="s">
        <v>3022</v>
      </c>
      <c r="B1490" s="13" t="s">
        <v>3023</v>
      </c>
      <c r="C1490" s="13" t="s">
        <v>144</v>
      </c>
      <c r="D1490" s="13" t="s">
        <v>273</v>
      </c>
      <c r="E1490" s="13" t="str">
        <f>IFERROR(INDEX('Почасовка — ставки и план'!$B$5:$B$24,MATCH(D1490,'Почасовка — ставки и план'!$A$5:$A$24,0)),"Аренда техники / механизмы")</f>
        <v>Электромонтажник</v>
      </c>
      <c r="F1490" s="14">
        <v>70</v>
      </c>
      <c r="G1490" s="14">
        <v>80</v>
      </c>
      <c r="H1490" s="15">
        <v>42</v>
      </c>
      <c r="I1490" s="15">
        <f>IF(OR(H1490="",F1490=""),"",MAX(H1490,MIN(ROUND(H1490*(1+Параметры!$B$5),IF(H1490*(1+Параметры!$B$5)&gt;=1000,-1,0)),ROUND(F1490*Параметры!$B$6,IF(F1490*Параметры!$B$6&gt;=1000,-1,0)))))</f>
        <v>48</v>
      </c>
      <c r="J1490" s="15">
        <v>48</v>
      </c>
      <c r="K1490" s="15">
        <f>IF(OR(J1490="",G1490=""),"",MAX(J1490,MIN(ROUND(J1490*(1+Параметры!$B$5),IF(J1490*(1+Параметры!$B$5)&gt;=1000,-1,0)),ROUND(G1490*Параметры!$B$6,IF(G1490*Параметры!$B$6&gt;=1000,-1,0)))))</f>
        <v>55</v>
      </c>
      <c r="L1490" s="16">
        <v>0.05</v>
      </c>
      <c r="M1490" s="17">
        <f t="shared" ref="M1490:M1502" si="110">IF(OR(L1490="",L1490=0),"",1/L1490)</f>
        <v>20</v>
      </c>
      <c r="N1490" s="17">
        <f>IF(OR(L1490="",L1490=0),"",Параметры!$B$3/L1490)</f>
        <v>160</v>
      </c>
      <c r="O1490" s="15">
        <f>IF(L1490="","",IFERROR(INDEX('Почасовка — ставки и план'!$D$5:$D$24,MATCH($D1490,'Почасовка — ставки и план'!$A$5:$A$24,0)),""))</f>
        <v>850</v>
      </c>
      <c r="P1490" s="15">
        <f>IF(L1490="","",IFERROR(INDEX('Почасовка — ставки и план'!$E$5:$E$24,MATCH($D1490,'Почасовка — ставки и план'!$A$5:$A$24,0)),""))</f>
        <v>1020</v>
      </c>
      <c r="Q1490" s="15">
        <f t="shared" ref="Q1490:Q1502" si="111">IF(OR(L1490="",O1490=""),"",ROUND(L1490*O1490,0))</f>
        <v>43</v>
      </c>
      <c r="R1490" s="13" t="str">
        <f>IF(D1490="TEX","аренда техники — сделка/счёт",IF(OR(Q1490="",H1490="",H1490=0),"—",IF(Q1490&lt;H1490*(1-Параметры!$B$7),"почасовка",IF(Q1490&gt;H1490*(1+Параметры!$B$7),"сделка","любой способ"))))</f>
        <v>любой способ</v>
      </c>
      <c r="S1490">
        <v>0</v>
      </c>
      <c r="T1490">
        <v>0</v>
      </c>
    </row>
    <row r="1491" spans="1:20" x14ac:dyDescent="0.25">
      <c r="A1491" s="13" t="s">
        <v>3024</v>
      </c>
      <c r="B1491" s="13" t="s">
        <v>3025</v>
      </c>
      <c r="C1491" s="13" t="s">
        <v>144</v>
      </c>
      <c r="D1491" s="13" t="s">
        <v>273</v>
      </c>
      <c r="E1491" s="13" t="str">
        <f>IFERROR(INDEX('Почасовка — ставки и план'!$B$5:$B$24,MATCH(D1491,'Почасовка — ставки и план'!$A$5:$A$24,0)),"Аренда техники / механизмы")</f>
        <v>Электромонтажник</v>
      </c>
      <c r="F1491" s="14">
        <v>100</v>
      </c>
      <c r="G1491" s="14">
        <v>115</v>
      </c>
      <c r="H1491" s="15">
        <v>60</v>
      </c>
      <c r="I1491" s="15">
        <f>IF(OR(H1491="",F1491=""),"",MAX(H1491,MIN(ROUND(H1491*(1+Параметры!$B$5),IF(H1491*(1+Параметры!$B$5)&gt;=1000,-1,0)),ROUND(F1491*Параметры!$B$6,IF(F1491*Параметры!$B$6&gt;=1000,-1,0)))))</f>
        <v>69</v>
      </c>
      <c r="J1491" s="15">
        <v>69</v>
      </c>
      <c r="K1491" s="15">
        <f>IF(OR(J1491="",G1491=""),"",MAX(J1491,MIN(ROUND(J1491*(1+Параметры!$B$5),IF(J1491*(1+Параметры!$B$5)&gt;=1000,-1,0)),ROUND(G1491*Параметры!$B$6,IF(G1491*Параметры!$B$6&gt;=1000,-1,0)))))</f>
        <v>79</v>
      </c>
      <c r="L1491" s="16">
        <v>0.08</v>
      </c>
      <c r="M1491" s="17">
        <f t="shared" si="110"/>
        <v>12.5</v>
      </c>
      <c r="N1491" s="17">
        <f>IF(OR(L1491="",L1491=0),"",Параметры!$B$3/L1491)</f>
        <v>100</v>
      </c>
      <c r="O1491" s="15">
        <f>IF(L1491="","",IFERROR(INDEX('Почасовка — ставки и план'!$D$5:$D$24,MATCH($D1491,'Почасовка — ставки и план'!$A$5:$A$24,0)),""))</f>
        <v>850</v>
      </c>
      <c r="P1491" s="15">
        <f>IF(L1491="","",IFERROR(INDEX('Почасовка — ставки и план'!$E$5:$E$24,MATCH($D1491,'Почасовка — ставки и план'!$A$5:$A$24,0)),""))</f>
        <v>1020</v>
      </c>
      <c r="Q1491" s="15">
        <f t="shared" si="111"/>
        <v>68</v>
      </c>
      <c r="R1491" s="13" t="str">
        <f>IF(D1491="TEX","аренда техники — сделка/счёт",IF(OR(Q1491="",H1491="",H1491=0),"—",IF(Q1491&lt;H1491*(1-Параметры!$B$7),"почасовка",IF(Q1491&gt;H1491*(1+Параметры!$B$7),"сделка","любой способ"))))</f>
        <v>сделка</v>
      </c>
      <c r="S1491">
        <v>0</v>
      </c>
      <c r="T1491">
        <v>0</v>
      </c>
    </row>
    <row r="1492" spans="1:20" x14ac:dyDescent="0.25">
      <c r="A1492" s="13" t="s">
        <v>3026</v>
      </c>
      <c r="B1492" s="13" t="s">
        <v>3027</v>
      </c>
      <c r="C1492" s="13" t="s">
        <v>144</v>
      </c>
      <c r="D1492" s="13" t="s">
        <v>273</v>
      </c>
      <c r="E1492" s="13" t="str">
        <f>IFERROR(INDEX('Почасовка — ставки и план'!$B$5:$B$24,MATCH(D1492,'Почасовка — ставки и план'!$A$5:$A$24,0)),"Аренда техники / механизмы")</f>
        <v>Электромонтажник</v>
      </c>
      <c r="F1492" s="14">
        <v>40</v>
      </c>
      <c r="G1492" s="14">
        <v>45</v>
      </c>
      <c r="H1492" s="15">
        <v>25</v>
      </c>
      <c r="I1492" s="15">
        <f>IF(OR(H1492="",F1492=""),"",MAX(H1492,MIN(ROUND(H1492*(1+Параметры!$B$5),IF(H1492*(1+Параметры!$B$5)&gt;=1000,-1,0)),ROUND(F1492*Параметры!$B$6,IF(F1492*Параметры!$B$6&gt;=1000,-1,0)))))</f>
        <v>29</v>
      </c>
      <c r="J1492" s="15">
        <v>28.5</v>
      </c>
      <c r="K1492" s="15">
        <f>IF(OR(J1492="",G1492=""),"",MAX(J1492,MIN(ROUND(J1492*(1+Параметры!$B$5),IF(J1492*(1+Параметры!$B$5)&gt;=1000,-1,0)),ROUND(G1492*Параметры!$B$6,IF(G1492*Параметры!$B$6&gt;=1000,-1,0)))))</f>
        <v>33</v>
      </c>
      <c r="L1492" s="16">
        <v>0.03</v>
      </c>
      <c r="M1492" s="17">
        <f t="shared" si="110"/>
        <v>33.333333333333336</v>
      </c>
      <c r="N1492" s="17">
        <f>IF(OR(L1492="",L1492=0),"",Параметры!$B$3/L1492)</f>
        <v>266.66666666666669</v>
      </c>
      <c r="O1492" s="15">
        <f>IF(L1492="","",IFERROR(INDEX('Почасовка — ставки и план'!$D$5:$D$24,MATCH($D1492,'Почасовка — ставки и план'!$A$5:$A$24,0)),""))</f>
        <v>850</v>
      </c>
      <c r="P1492" s="15">
        <f>IF(L1492="","",IFERROR(INDEX('Почасовка — ставки и план'!$E$5:$E$24,MATCH($D1492,'Почасовка — ставки и план'!$A$5:$A$24,0)),""))</f>
        <v>1020</v>
      </c>
      <c r="Q1492" s="15">
        <f t="shared" si="111"/>
        <v>26</v>
      </c>
      <c r="R1492" s="13" t="str">
        <f>IF(D1492="TEX","аренда техники — сделка/счёт",IF(OR(Q1492="",H1492="",H1492=0),"—",IF(Q1492&lt;H1492*(1-Параметры!$B$7),"почасовка",IF(Q1492&gt;H1492*(1+Параметры!$B$7),"сделка","любой способ"))))</f>
        <v>любой способ</v>
      </c>
      <c r="S1492">
        <v>0</v>
      </c>
      <c r="T1492">
        <v>0</v>
      </c>
    </row>
    <row r="1493" spans="1:20" x14ac:dyDescent="0.25">
      <c r="A1493" s="13" t="s">
        <v>3028</v>
      </c>
      <c r="B1493" s="13" t="s">
        <v>3029</v>
      </c>
      <c r="C1493" s="13" t="s">
        <v>144</v>
      </c>
      <c r="D1493" s="13" t="s">
        <v>273</v>
      </c>
      <c r="E1493" s="13" t="str">
        <f>IFERROR(INDEX('Почасовка — ставки и план'!$B$5:$B$24,MATCH(D1493,'Почасовка — ставки и план'!$A$5:$A$24,0)),"Аренда техники / механизмы")</f>
        <v>Электромонтажник</v>
      </c>
      <c r="F1493" s="14">
        <v>40</v>
      </c>
      <c r="G1493" s="14">
        <v>45</v>
      </c>
      <c r="H1493" s="15">
        <v>25</v>
      </c>
      <c r="I1493" s="15">
        <f>IF(OR(H1493="",F1493=""),"",MAX(H1493,MIN(ROUND(H1493*(1+Параметры!$B$5),IF(H1493*(1+Параметры!$B$5)&gt;=1000,-1,0)),ROUND(F1493*Параметры!$B$6,IF(F1493*Параметры!$B$6&gt;=1000,-1,0)))))</f>
        <v>29</v>
      </c>
      <c r="J1493" s="15">
        <v>28.5</v>
      </c>
      <c r="K1493" s="15">
        <f>IF(OR(J1493="",G1493=""),"",MAX(J1493,MIN(ROUND(J1493*(1+Параметры!$B$5),IF(J1493*(1+Параметры!$B$5)&gt;=1000,-1,0)),ROUND(G1493*Параметры!$B$6,IF(G1493*Параметры!$B$6&gt;=1000,-1,0)))))</f>
        <v>33</v>
      </c>
      <c r="L1493" s="16">
        <v>0.03</v>
      </c>
      <c r="M1493" s="17">
        <f t="shared" si="110"/>
        <v>33.333333333333336</v>
      </c>
      <c r="N1493" s="17">
        <f>IF(OR(L1493="",L1493=0),"",Параметры!$B$3/L1493)</f>
        <v>266.66666666666669</v>
      </c>
      <c r="O1493" s="15">
        <f>IF(L1493="","",IFERROR(INDEX('Почасовка — ставки и план'!$D$5:$D$24,MATCH($D1493,'Почасовка — ставки и план'!$A$5:$A$24,0)),""))</f>
        <v>850</v>
      </c>
      <c r="P1493" s="15">
        <f>IF(L1493="","",IFERROR(INDEX('Почасовка — ставки и план'!$E$5:$E$24,MATCH($D1493,'Почасовка — ставки и план'!$A$5:$A$24,0)),""))</f>
        <v>1020</v>
      </c>
      <c r="Q1493" s="15">
        <f t="shared" si="111"/>
        <v>26</v>
      </c>
      <c r="R1493" s="13" t="str">
        <f>IF(D1493="TEX","аренда техники — сделка/счёт",IF(OR(Q1493="",H1493="",H1493=0),"—",IF(Q1493&lt;H1493*(1-Параметры!$B$7),"почасовка",IF(Q1493&gt;H1493*(1+Параметры!$B$7),"сделка","любой способ"))))</f>
        <v>любой способ</v>
      </c>
      <c r="S1493">
        <v>0</v>
      </c>
      <c r="T1493">
        <v>0</v>
      </c>
    </row>
    <row r="1494" spans="1:20" x14ac:dyDescent="0.25">
      <c r="A1494" s="13" t="s">
        <v>3030</v>
      </c>
      <c r="B1494" s="13" t="s">
        <v>3031</v>
      </c>
      <c r="C1494" s="13" t="s">
        <v>144</v>
      </c>
      <c r="D1494" s="13" t="s">
        <v>273</v>
      </c>
      <c r="E1494" s="13" t="str">
        <f>IFERROR(INDEX('Почасовка — ставки и план'!$B$5:$B$24,MATCH(D1494,'Почасовка — ставки и план'!$A$5:$A$24,0)),"Аренда техники / механизмы")</f>
        <v>Электромонтажник</v>
      </c>
      <c r="F1494" s="14">
        <v>70</v>
      </c>
      <c r="G1494" s="14">
        <v>80</v>
      </c>
      <c r="H1494" s="15">
        <v>42</v>
      </c>
      <c r="I1494" s="15">
        <f>IF(OR(H1494="",F1494=""),"",MAX(H1494,MIN(ROUND(H1494*(1+Параметры!$B$5),IF(H1494*(1+Параметры!$B$5)&gt;=1000,-1,0)),ROUND(F1494*Параметры!$B$6,IF(F1494*Параметры!$B$6&gt;=1000,-1,0)))))</f>
        <v>48</v>
      </c>
      <c r="J1494" s="15">
        <v>48</v>
      </c>
      <c r="K1494" s="15">
        <f>IF(OR(J1494="",G1494=""),"",MAX(J1494,MIN(ROUND(J1494*(1+Параметры!$B$5),IF(J1494*(1+Параметры!$B$5)&gt;=1000,-1,0)),ROUND(G1494*Параметры!$B$6,IF(G1494*Параметры!$B$6&gt;=1000,-1,0)))))</f>
        <v>55</v>
      </c>
      <c r="L1494" s="16">
        <v>0.05</v>
      </c>
      <c r="M1494" s="17">
        <f t="shared" si="110"/>
        <v>20</v>
      </c>
      <c r="N1494" s="17">
        <f>IF(OR(L1494="",L1494=0),"",Параметры!$B$3/L1494)</f>
        <v>160</v>
      </c>
      <c r="O1494" s="15">
        <f>IF(L1494="","",IFERROR(INDEX('Почасовка — ставки и план'!$D$5:$D$24,MATCH($D1494,'Почасовка — ставки и план'!$A$5:$A$24,0)),""))</f>
        <v>850</v>
      </c>
      <c r="P1494" s="15">
        <f>IF(L1494="","",IFERROR(INDEX('Почасовка — ставки и план'!$E$5:$E$24,MATCH($D1494,'Почасовка — ставки и план'!$A$5:$A$24,0)),""))</f>
        <v>1020</v>
      </c>
      <c r="Q1494" s="15">
        <f t="shared" si="111"/>
        <v>43</v>
      </c>
      <c r="R1494" s="13" t="str">
        <f>IF(D1494="TEX","аренда техники — сделка/счёт",IF(OR(Q1494="",H1494="",H1494=0),"—",IF(Q1494&lt;H1494*(1-Параметры!$B$7),"почасовка",IF(Q1494&gt;H1494*(1+Параметры!$B$7),"сделка","любой способ"))))</f>
        <v>любой способ</v>
      </c>
      <c r="S1494">
        <v>0</v>
      </c>
      <c r="T1494">
        <v>0</v>
      </c>
    </row>
    <row r="1495" spans="1:20" x14ac:dyDescent="0.25">
      <c r="A1495" s="13" t="s">
        <v>3032</v>
      </c>
      <c r="B1495" s="13" t="s">
        <v>3033</v>
      </c>
      <c r="C1495" s="13" t="s">
        <v>144</v>
      </c>
      <c r="D1495" s="13" t="s">
        <v>273</v>
      </c>
      <c r="E1495" s="13" t="str">
        <f>IFERROR(INDEX('Почасовка — ставки и план'!$B$5:$B$24,MATCH(D1495,'Почасовка — ставки и план'!$A$5:$A$24,0)),"Аренда техники / механизмы")</f>
        <v>Электромонтажник</v>
      </c>
      <c r="F1495" s="14">
        <v>100</v>
      </c>
      <c r="G1495" s="14">
        <v>115</v>
      </c>
      <c r="H1495" s="15">
        <v>60</v>
      </c>
      <c r="I1495" s="15">
        <f>IF(OR(H1495="",F1495=""),"",MAX(H1495,MIN(ROUND(H1495*(1+Параметры!$B$5),IF(H1495*(1+Параметры!$B$5)&gt;=1000,-1,0)),ROUND(F1495*Параметры!$B$6,IF(F1495*Параметры!$B$6&gt;=1000,-1,0)))))</f>
        <v>69</v>
      </c>
      <c r="J1495" s="15">
        <v>69</v>
      </c>
      <c r="K1495" s="15">
        <f>IF(OR(J1495="",G1495=""),"",MAX(J1495,MIN(ROUND(J1495*(1+Параметры!$B$5),IF(J1495*(1+Параметры!$B$5)&gt;=1000,-1,0)),ROUND(G1495*Параметры!$B$6,IF(G1495*Параметры!$B$6&gt;=1000,-1,0)))))</f>
        <v>79</v>
      </c>
      <c r="L1495" s="16">
        <v>0.08</v>
      </c>
      <c r="M1495" s="17">
        <f t="shared" si="110"/>
        <v>12.5</v>
      </c>
      <c r="N1495" s="17">
        <f>IF(OR(L1495="",L1495=0),"",Параметры!$B$3/L1495)</f>
        <v>100</v>
      </c>
      <c r="O1495" s="15">
        <f>IF(L1495="","",IFERROR(INDEX('Почасовка — ставки и план'!$D$5:$D$24,MATCH($D1495,'Почасовка — ставки и план'!$A$5:$A$24,0)),""))</f>
        <v>850</v>
      </c>
      <c r="P1495" s="15">
        <f>IF(L1495="","",IFERROR(INDEX('Почасовка — ставки и план'!$E$5:$E$24,MATCH($D1495,'Почасовка — ставки и план'!$A$5:$A$24,0)),""))</f>
        <v>1020</v>
      </c>
      <c r="Q1495" s="15">
        <f t="shared" si="111"/>
        <v>68</v>
      </c>
      <c r="R1495" s="13" t="str">
        <f>IF(D1495="TEX","аренда техники — сделка/счёт",IF(OR(Q1495="",H1495="",H1495=0),"—",IF(Q1495&lt;H1495*(1-Параметры!$B$7),"почасовка",IF(Q1495&gt;H1495*(1+Параметры!$B$7),"сделка","любой способ"))))</f>
        <v>сделка</v>
      </c>
      <c r="S1495">
        <v>0</v>
      </c>
      <c r="T1495">
        <v>0</v>
      </c>
    </row>
    <row r="1496" spans="1:20" x14ac:dyDescent="0.25">
      <c r="A1496" s="13" t="s">
        <v>3034</v>
      </c>
      <c r="B1496" s="13" t="s">
        <v>3035</v>
      </c>
      <c r="C1496" s="13" t="s">
        <v>144</v>
      </c>
      <c r="D1496" s="13" t="s">
        <v>273</v>
      </c>
      <c r="E1496" s="13" t="str">
        <f>IFERROR(INDEX('Почасовка — ставки и план'!$B$5:$B$24,MATCH(D1496,'Почасовка — ставки и план'!$A$5:$A$24,0)),"Аренда техники / механизмы")</f>
        <v>Электромонтажник</v>
      </c>
      <c r="F1496" s="14">
        <v>100</v>
      </c>
      <c r="G1496" s="14">
        <v>115</v>
      </c>
      <c r="H1496" s="15">
        <v>60</v>
      </c>
      <c r="I1496" s="15">
        <f>IF(OR(H1496="",F1496=""),"",MAX(H1496,MIN(ROUND(H1496*(1+Параметры!$B$5),IF(H1496*(1+Параметры!$B$5)&gt;=1000,-1,0)),ROUND(F1496*Параметры!$B$6,IF(F1496*Параметры!$B$6&gt;=1000,-1,0)))))</f>
        <v>69</v>
      </c>
      <c r="J1496" s="15">
        <v>69</v>
      </c>
      <c r="K1496" s="15">
        <f>IF(OR(J1496="",G1496=""),"",MAX(J1496,MIN(ROUND(J1496*(1+Параметры!$B$5),IF(J1496*(1+Параметры!$B$5)&gt;=1000,-1,0)),ROUND(G1496*Параметры!$B$6,IF(G1496*Параметры!$B$6&gt;=1000,-1,0)))))</f>
        <v>79</v>
      </c>
      <c r="L1496" s="16">
        <v>0.08</v>
      </c>
      <c r="M1496" s="17">
        <f t="shared" si="110"/>
        <v>12.5</v>
      </c>
      <c r="N1496" s="17">
        <f>IF(OR(L1496="",L1496=0),"",Параметры!$B$3/L1496)</f>
        <v>100</v>
      </c>
      <c r="O1496" s="15">
        <f>IF(L1496="","",IFERROR(INDEX('Почасовка — ставки и план'!$D$5:$D$24,MATCH($D1496,'Почасовка — ставки и план'!$A$5:$A$24,0)),""))</f>
        <v>850</v>
      </c>
      <c r="P1496" s="15">
        <f>IF(L1496="","",IFERROR(INDEX('Почасовка — ставки и план'!$E$5:$E$24,MATCH($D1496,'Почасовка — ставки и план'!$A$5:$A$24,0)),""))</f>
        <v>1020</v>
      </c>
      <c r="Q1496" s="15">
        <f t="shared" si="111"/>
        <v>68</v>
      </c>
      <c r="R1496" s="13" t="str">
        <f>IF(D1496="TEX","аренда техники — сделка/счёт",IF(OR(Q1496="",H1496="",H1496=0),"—",IF(Q1496&lt;H1496*(1-Параметры!$B$7),"почасовка",IF(Q1496&gt;H1496*(1+Параметры!$B$7),"сделка","любой способ"))))</f>
        <v>сделка</v>
      </c>
      <c r="S1496">
        <v>0</v>
      </c>
      <c r="T1496">
        <v>0</v>
      </c>
    </row>
    <row r="1497" spans="1:20" x14ac:dyDescent="0.25">
      <c r="A1497" s="13" t="s">
        <v>3036</v>
      </c>
      <c r="B1497" s="13" t="s">
        <v>3037</v>
      </c>
      <c r="C1497" s="13" t="s">
        <v>144</v>
      </c>
      <c r="D1497" s="13" t="s">
        <v>273</v>
      </c>
      <c r="E1497" s="13" t="str">
        <f>IFERROR(INDEX('Почасовка — ставки и план'!$B$5:$B$24,MATCH(D1497,'Почасовка — ставки и план'!$A$5:$A$24,0)),"Аренда техники / механизмы")</f>
        <v>Электромонтажник</v>
      </c>
      <c r="F1497" s="14">
        <v>100</v>
      </c>
      <c r="G1497" s="14">
        <v>115</v>
      </c>
      <c r="H1497" s="15">
        <v>60</v>
      </c>
      <c r="I1497" s="15">
        <f>IF(OR(H1497="",F1497=""),"",MAX(H1497,MIN(ROUND(H1497*(1+Параметры!$B$5),IF(H1497*(1+Параметры!$B$5)&gt;=1000,-1,0)),ROUND(F1497*Параметры!$B$6,IF(F1497*Параметры!$B$6&gt;=1000,-1,0)))))</f>
        <v>69</v>
      </c>
      <c r="J1497" s="15">
        <v>69</v>
      </c>
      <c r="K1497" s="15">
        <f>IF(OR(J1497="",G1497=""),"",MAX(J1497,MIN(ROUND(J1497*(1+Параметры!$B$5),IF(J1497*(1+Параметры!$B$5)&gt;=1000,-1,0)),ROUND(G1497*Параметры!$B$6,IF(G1497*Параметры!$B$6&gt;=1000,-1,0)))))</f>
        <v>79</v>
      </c>
      <c r="L1497" s="16">
        <v>0.08</v>
      </c>
      <c r="M1497" s="17">
        <f t="shared" si="110"/>
        <v>12.5</v>
      </c>
      <c r="N1497" s="17">
        <f>IF(OR(L1497="",L1497=0),"",Параметры!$B$3/L1497)</f>
        <v>100</v>
      </c>
      <c r="O1497" s="15">
        <f>IF(L1497="","",IFERROR(INDEX('Почасовка — ставки и план'!$D$5:$D$24,MATCH($D1497,'Почасовка — ставки и план'!$A$5:$A$24,0)),""))</f>
        <v>850</v>
      </c>
      <c r="P1497" s="15">
        <f>IF(L1497="","",IFERROR(INDEX('Почасовка — ставки и план'!$E$5:$E$24,MATCH($D1497,'Почасовка — ставки и план'!$A$5:$A$24,0)),""))</f>
        <v>1020</v>
      </c>
      <c r="Q1497" s="15">
        <f t="shared" si="111"/>
        <v>68</v>
      </c>
      <c r="R1497" s="13" t="str">
        <f>IF(D1497="TEX","аренда техники — сделка/счёт",IF(OR(Q1497="",H1497="",H1497=0),"—",IF(Q1497&lt;H1497*(1-Параметры!$B$7),"почасовка",IF(Q1497&gt;H1497*(1+Параметры!$B$7),"сделка","любой способ"))))</f>
        <v>сделка</v>
      </c>
      <c r="S1497">
        <v>0</v>
      </c>
      <c r="T1497">
        <v>0</v>
      </c>
    </row>
    <row r="1498" spans="1:20" x14ac:dyDescent="0.25">
      <c r="A1498" s="13" t="s">
        <v>3038</v>
      </c>
      <c r="B1498" s="13" t="s">
        <v>3039</v>
      </c>
      <c r="C1498" s="13" t="s">
        <v>144</v>
      </c>
      <c r="D1498" s="13" t="s">
        <v>273</v>
      </c>
      <c r="E1498" s="13" t="str">
        <f>IFERROR(INDEX('Почасовка — ставки и план'!$B$5:$B$24,MATCH(D1498,'Почасовка — ставки и план'!$A$5:$A$24,0)),"Аренда техники / механизмы")</f>
        <v>Электромонтажник</v>
      </c>
      <c r="F1498" s="14">
        <v>70</v>
      </c>
      <c r="G1498" s="14">
        <v>80</v>
      </c>
      <c r="H1498" s="15">
        <v>42</v>
      </c>
      <c r="I1498" s="15">
        <f>IF(OR(H1498="",F1498=""),"",MAX(H1498,MIN(ROUND(H1498*(1+Параметры!$B$5),IF(H1498*(1+Параметры!$B$5)&gt;=1000,-1,0)),ROUND(F1498*Параметры!$B$6,IF(F1498*Параметры!$B$6&gt;=1000,-1,0)))))</f>
        <v>48</v>
      </c>
      <c r="J1498" s="15">
        <v>48</v>
      </c>
      <c r="K1498" s="15">
        <f>IF(OR(J1498="",G1498=""),"",MAX(J1498,MIN(ROUND(J1498*(1+Параметры!$B$5),IF(J1498*(1+Параметры!$B$5)&gt;=1000,-1,0)),ROUND(G1498*Параметры!$B$6,IF(G1498*Параметры!$B$6&gt;=1000,-1,0)))))</f>
        <v>55</v>
      </c>
      <c r="L1498" s="16">
        <v>0.05</v>
      </c>
      <c r="M1498" s="17">
        <f t="shared" si="110"/>
        <v>20</v>
      </c>
      <c r="N1498" s="17">
        <f>IF(OR(L1498="",L1498=0),"",Параметры!$B$3/L1498)</f>
        <v>160</v>
      </c>
      <c r="O1498" s="15">
        <f>IF(L1498="","",IFERROR(INDEX('Почасовка — ставки и план'!$D$5:$D$24,MATCH($D1498,'Почасовка — ставки и план'!$A$5:$A$24,0)),""))</f>
        <v>850</v>
      </c>
      <c r="P1498" s="15">
        <f>IF(L1498="","",IFERROR(INDEX('Почасовка — ставки и план'!$E$5:$E$24,MATCH($D1498,'Почасовка — ставки и план'!$A$5:$A$24,0)),""))</f>
        <v>1020</v>
      </c>
      <c r="Q1498" s="15">
        <f t="shared" si="111"/>
        <v>43</v>
      </c>
      <c r="R1498" s="13" t="str">
        <f>IF(D1498="TEX","аренда техники — сделка/счёт",IF(OR(Q1498="",H1498="",H1498=0),"—",IF(Q1498&lt;H1498*(1-Параметры!$B$7),"почасовка",IF(Q1498&gt;H1498*(1+Параметры!$B$7),"сделка","любой способ"))))</f>
        <v>любой способ</v>
      </c>
      <c r="S1498">
        <v>0</v>
      </c>
      <c r="T1498">
        <v>0</v>
      </c>
    </row>
    <row r="1499" spans="1:20" x14ac:dyDescent="0.25">
      <c r="A1499" s="13" t="s">
        <v>3040</v>
      </c>
      <c r="B1499" s="13" t="s">
        <v>3041</v>
      </c>
      <c r="C1499" s="13" t="s">
        <v>144</v>
      </c>
      <c r="D1499" s="13" t="s">
        <v>273</v>
      </c>
      <c r="E1499" s="13" t="str">
        <f>IFERROR(INDEX('Почасовка — ставки и план'!$B$5:$B$24,MATCH(D1499,'Почасовка — ставки и план'!$A$5:$A$24,0)),"Аренда техники / механизмы")</f>
        <v>Электромонтажник</v>
      </c>
      <c r="F1499" s="14">
        <v>70</v>
      </c>
      <c r="G1499" s="14">
        <v>80</v>
      </c>
      <c r="H1499" s="15">
        <v>42</v>
      </c>
      <c r="I1499" s="15">
        <f>IF(OR(H1499="",F1499=""),"",MAX(H1499,MIN(ROUND(H1499*(1+Параметры!$B$5),IF(H1499*(1+Параметры!$B$5)&gt;=1000,-1,0)),ROUND(F1499*Параметры!$B$6,IF(F1499*Параметры!$B$6&gt;=1000,-1,0)))))</f>
        <v>48</v>
      </c>
      <c r="J1499" s="15">
        <v>48</v>
      </c>
      <c r="K1499" s="15">
        <f>IF(OR(J1499="",G1499=""),"",MAX(J1499,MIN(ROUND(J1499*(1+Параметры!$B$5),IF(J1499*(1+Параметры!$B$5)&gt;=1000,-1,0)),ROUND(G1499*Параметры!$B$6,IF(G1499*Параметры!$B$6&gt;=1000,-1,0)))))</f>
        <v>55</v>
      </c>
      <c r="L1499" s="16">
        <v>0.05</v>
      </c>
      <c r="M1499" s="17">
        <f t="shared" si="110"/>
        <v>20</v>
      </c>
      <c r="N1499" s="17">
        <f>IF(OR(L1499="",L1499=0),"",Параметры!$B$3/L1499)</f>
        <v>160</v>
      </c>
      <c r="O1499" s="15">
        <f>IF(L1499="","",IFERROR(INDEX('Почасовка — ставки и план'!$D$5:$D$24,MATCH($D1499,'Почасовка — ставки и план'!$A$5:$A$24,0)),""))</f>
        <v>850</v>
      </c>
      <c r="P1499" s="15">
        <f>IF(L1499="","",IFERROR(INDEX('Почасовка — ставки и план'!$E$5:$E$24,MATCH($D1499,'Почасовка — ставки и план'!$A$5:$A$24,0)),""))</f>
        <v>1020</v>
      </c>
      <c r="Q1499" s="15">
        <f t="shared" si="111"/>
        <v>43</v>
      </c>
      <c r="R1499" s="13" t="str">
        <f>IF(D1499="TEX","аренда техники — сделка/счёт",IF(OR(Q1499="",H1499="",H1499=0),"—",IF(Q1499&lt;H1499*(1-Параметры!$B$7),"почасовка",IF(Q1499&gt;H1499*(1+Параметры!$B$7),"сделка","любой способ"))))</f>
        <v>любой способ</v>
      </c>
      <c r="S1499">
        <v>0</v>
      </c>
      <c r="T1499">
        <v>0</v>
      </c>
    </row>
    <row r="1500" spans="1:20" x14ac:dyDescent="0.25">
      <c r="A1500" s="13" t="s">
        <v>3042</v>
      </c>
      <c r="B1500" s="13" t="s">
        <v>3043</v>
      </c>
      <c r="C1500" s="13" t="s">
        <v>144</v>
      </c>
      <c r="D1500" s="13" t="s">
        <v>273</v>
      </c>
      <c r="E1500" s="13" t="str">
        <f>IFERROR(INDEX('Почасовка — ставки и план'!$B$5:$B$24,MATCH(D1500,'Почасовка — ставки и план'!$A$5:$A$24,0)),"Аренда техники / механизмы")</f>
        <v>Электромонтажник</v>
      </c>
      <c r="F1500" s="14">
        <v>70</v>
      </c>
      <c r="G1500" s="14">
        <v>80</v>
      </c>
      <c r="H1500" s="15">
        <v>42</v>
      </c>
      <c r="I1500" s="15">
        <f>IF(OR(H1500="",F1500=""),"",MAX(H1500,MIN(ROUND(H1500*(1+Параметры!$B$5),IF(H1500*(1+Параметры!$B$5)&gt;=1000,-1,0)),ROUND(F1500*Параметры!$B$6,IF(F1500*Параметры!$B$6&gt;=1000,-1,0)))))</f>
        <v>48</v>
      </c>
      <c r="J1500" s="15">
        <v>48</v>
      </c>
      <c r="K1500" s="15">
        <f>IF(OR(J1500="",G1500=""),"",MAX(J1500,MIN(ROUND(J1500*(1+Параметры!$B$5),IF(J1500*(1+Параметры!$B$5)&gt;=1000,-1,0)),ROUND(G1500*Параметры!$B$6,IF(G1500*Параметры!$B$6&gt;=1000,-1,0)))))</f>
        <v>55</v>
      </c>
      <c r="L1500" s="16">
        <v>0.05</v>
      </c>
      <c r="M1500" s="17">
        <f t="shared" si="110"/>
        <v>20</v>
      </c>
      <c r="N1500" s="17">
        <f>IF(OR(L1500="",L1500=0),"",Параметры!$B$3/L1500)</f>
        <v>160</v>
      </c>
      <c r="O1500" s="15">
        <f>IF(L1500="","",IFERROR(INDEX('Почасовка — ставки и план'!$D$5:$D$24,MATCH($D1500,'Почасовка — ставки и план'!$A$5:$A$24,0)),""))</f>
        <v>850</v>
      </c>
      <c r="P1500" s="15">
        <f>IF(L1500="","",IFERROR(INDEX('Почасовка — ставки и план'!$E$5:$E$24,MATCH($D1500,'Почасовка — ставки и план'!$A$5:$A$24,0)),""))</f>
        <v>1020</v>
      </c>
      <c r="Q1500" s="15">
        <f t="shared" si="111"/>
        <v>43</v>
      </c>
      <c r="R1500" s="13" t="str">
        <f>IF(D1500="TEX","аренда техники — сделка/счёт",IF(OR(Q1500="",H1500="",H1500=0),"—",IF(Q1500&lt;H1500*(1-Параметры!$B$7),"почасовка",IF(Q1500&gt;H1500*(1+Параметры!$B$7),"сделка","любой способ"))))</f>
        <v>любой способ</v>
      </c>
      <c r="S1500">
        <v>0</v>
      </c>
      <c r="T1500">
        <v>0</v>
      </c>
    </row>
    <row r="1501" spans="1:20" x14ac:dyDescent="0.25">
      <c r="A1501" s="13" t="s">
        <v>3044</v>
      </c>
      <c r="B1501" s="13" t="s">
        <v>3045</v>
      </c>
      <c r="C1501" s="13" t="s">
        <v>144</v>
      </c>
      <c r="D1501" s="13" t="s">
        <v>273</v>
      </c>
      <c r="E1501" s="13" t="str">
        <f>IFERROR(INDEX('Почасовка — ставки и план'!$B$5:$B$24,MATCH(D1501,'Почасовка — ставки и план'!$A$5:$A$24,0)),"Аренда техники / механизмы")</f>
        <v>Электромонтажник</v>
      </c>
      <c r="F1501" s="14">
        <v>70</v>
      </c>
      <c r="G1501" s="14">
        <v>80</v>
      </c>
      <c r="H1501" s="15">
        <v>42</v>
      </c>
      <c r="I1501" s="15">
        <f>IF(OR(H1501="",F1501=""),"",MAX(H1501,MIN(ROUND(H1501*(1+Параметры!$B$5),IF(H1501*(1+Параметры!$B$5)&gt;=1000,-1,0)),ROUND(F1501*Параметры!$B$6,IF(F1501*Параметры!$B$6&gt;=1000,-1,0)))))</f>
        <v>48</v>
      </c>
      <c r="J1501" s="15">
        <v>48</v>
      </c>
      <c r="K1501" s="15">
        <f>IF(OR(J1501="",G1501=""),"",MAX(J1501,MIN(ROUND(J1501*(1+Параметры!$B$5),IF(J1501*(1+Параметры!$B$5)&gt;=1000,-1,0)),ROUND(G1501*Параметры!$B$6,IF(G1501*Параметры!$B$6&gt;=1000,-1,0)))))</f>
        <v>55</v>
      </c>
      <c r="L1501" s="16">
        <v>0.05</v>
      </c>
      <c r="M1501" s="17">
        <f t="shared" si="110"/>
        <v>20</v>
      </c>
      <c r="N1501" s="17">
        <f>IF(OR(L1501="",L1501=0),"",Параметры!$B$3/L1501)</f>
        <v>160</v>
      </c>
      <c r="O1501" s="15">
        <f>IF(L1501="","",IFERROR(INDEX('Почасовка — ставки и план'!$D$5:$D$24,MATCH($D1501,'Почасовка — ставки и план'!$A$5:$A$24,0)),""))</f>
        <v>850</v>
      </c>
      <c r="P1501" s="15">
        <f>IF(L1501="","",IFERROR(INDEX('Почасовка — ставки и план'!$E$5:$E$24,MATCH($D1501,'Почасовка — ставки и план'!$A$5:$A$24,0)),""))</f>
        <v>1020</v>
      </c>
      <c r="Q1501" s="15">
        <f t="shared" si="111"/>
        <v>43</v>
      </c>
      <c r="R1501" s="13" t="str">
        <f>IF(D1501="TEX","аренда техники — сделка/счёт",IF(OR(Q1501="",H1501="",H1501=0),"—",IF(Q1501&lt;H1501*(1-Параметры!$B$7),"почасовка",IF(Q1501&gt;H1501*(1+Параметры!$B$7),"сделка","любой способ"))))</f>
        <v>любой способ</v>
      </c>
      <c r="S1501">
        <v>0</v>
      </c>
      <c r="T1501">
        <v>0</v>
      </c>
    </row>
    <row r="1502" spans="1:20" x14ac:dyDescent="0.25">
      <c r="A1502" s="18" t="s">
        <v>3046</v>
      </c>
      <c r="B1502" s="13" t="s">
        <v>3047</v>
      </c>
      <c r="C1502" s="13" t="s">
        <v>756</v>
      </c>
      <c r="D1502" s="13" t="s">
        <v>273</v>
      </c>
      <c r="E1502" s="13" t="str">
        <f>IFERROR(INDEX('Почасовка — ставки и план'!$B$5:$B$24,MATCH(D1502,'Почасовка — ставки и план'!$A$5:$A$24,0)),"Аренда техники / механизмы")</f>
        <v>Электромонтажник</v>
      </c>
      <c r="F1502" s="14">
        <v>1500</v>
      </c>
      <c r="G1502" s="14">
        <v>1750</v>
      </c>
      <c r="H1502" s="15">
        <v>900</v>
      </c>
      <c r="I1502" s="15">
        <f>IF(OR(H1502="",F1502=""),"",MAX(H1502,MIN(ROUND(H1502*(1+Параметры!$B$5),IF(H1502*(1+Параметры!$B$5)&gt;=1000,-1,0)),ROUND(F1502*Параметры!$B$6,IF(F1502*Параметры!$B$6&gt;=1000,-1,0)))))</f>
        <v>1040</v>
      </c>
      <c r="J1502" s="15">
        <v>1050</v>
      </c>
      <c r="K1502" s="15">
        <f>IF(OR(J1502="",G1502=""),"",MAX(J1502,MIN(ROUND(J1502*(1+Параметры!$B$5),IF(J1502*(1+Параметры!$B$5)&gt;=1000,-1,0)),ROUND(G1502*Параметры!$B$6,IF(G1502*Параметры!$B$6&gt;=1000,-1,0)))))</f>
        <v>1210</v>
      </c>
      <c r="L1502" s="16">
        <v>1</v>
      </c>
      <c r="M1502" s="17">
        <f t="shared" si="110"/>
        <v>1</v>
      </c>
      <c r="N1502" s="17">
        <f>IF(OR(L1502="",L1502=0),"",Параметры!$B$3/L1502)</f>
        <v>8</v>
      </c>
      <c r="O1502" s="15">
        <f>IF(L1502="","",IFERROR(INDEX('Почасовка — ставки и план'!$D$5:$D$24,MATCH($D1502,'Почасовка — ставки и план'!$A$5:$A$24,0)),""))</f>
        <v>850</v>
      </c>
      <c r="P1502" s="15">
        <f>IF(L1502="","",IFERROR(INDEX('Почасовка — ставки и план'!$E$5:$E$24,MATCH($D1502,'Почасовка — ставки и план'!$A$5:$A$24,0)),""))</f>
        <v>1020</v>
      </c>
      <c r="Q1502" s="15">
        <f t="shared" si="111"/>
        <v>850</v>
      </c>
      <c r="R1502" s="13" t="str">
        <f>IF(D1502="TEX","аренда техники — сделка/счёт",IF(OR(Q1502="",H1502="",H1502=0),"—",IF(Q1502&lt;H1502*(1-Параметры!$B$7),"почасовка",IF(Q1502&gt;H1502*(1+Параметры!$B$7),"сделка","любой способ"))))</f>
        <v>любой способ</v>
      </c>
      <c r="S1502">
        <v>0</v>
      </c>
      <c r="T1502">
        <v>0</v>
      </c>
    </row>
    <row r="1503" spans="1:20" x14ac:dyDescent="0.25">
      <c r="A1503" s="11" t="s">
        <v>3048</v>
      </c>
      <c r="B1503" s="12"/>
      <c r="C1503" s="12"/>
      <c r="D1503" s="12"/>
      <c r="E1503" s="12"/>
      <c r="F1503" s="12"/>
      <c r="G1503" s="12"/>
      <c r="H1503" s="12"/>
      <c r="I1503" s="12"/>
      <c r="J1503" s="12"/>
      <c r="K1503" s="12"/>
      <c r="L1503" s="12"/>
      <c r="M1503" s="12"/>
      <c r="N1503" s="12"/>
      <c r="O1503" s="12"/>
      <c r="P1503" s="12"/>
      <c r="Q1503" s="12"/>
      <c r="R1503" s="12"/>
    </row>
    <row r="1504" spans="1:20" x14ac:dyDescent="0.25">
      <c r="A1504" s="13" t="s">
        <v>3049</v>
      </c>
      <c r="B1504" s="13" t="s">
        <v>3050</v>
      </c>
      <c r="C1504" s="13" t="s">
        <v>865</v>
      </c>
      <c r="D1504" s="13" t="s">
        <v>832</v>
      </c>
      <c r="E1504" s="13" t="str">
        <f>IFERROR(INDEX('Почасовка — ставки и план'!$B$5:$B$24,MATCH(D1504,'Почасовка — ставки и план'!$A$5:$A$24,0)),"Аренда техники / механизмы")</f>
        <v>Аренда техники / механизмы</v>
      </c>
      <c r="F1504" s="14">
        <v>30000</v>
      </c>
      <c r="G1504" s="14">
        <v>35000</v>
      </c>
      <c r="H1504" s="15">
        <v>23000</v>
      </c>
      <c r="I1504" s="15">
        <f>IF(OR(H1504="",F1504=""),"",MAX(H1504,MIN(ROUND(H1504*(1+Параметры!$B$5),IF(H1504*(1+Параметры!$B$5)&gt;=1000,-1,0)),ROUND(F1504*Параметры!$B$6,IF(F1504*Параметры!$B$6&gt;=1000,-1,0)))))</f>
        <v>23000</v>
      </c>
      <c r="J1504" s="15">
        <v>27000</v>
      </c>
      <c r="K1504" s="15">
        <f>IF(OR(J1504="",G1504=""),"",MAX(J1504,MIN(ROUND(J1504*(1+Параметры!$B$5),IF(J1504*(1+Параметры!$B$5)&gt;=1000,-1,0)),ROUND(G1504*Параметры!$B$6,IF(G1504*Параметры!$B$6&gt;=1000,-1,0)))))</f>
        <v>27000</v>
      </c>
      <c r="L1504" s="16"/>
      <c r="M1504" s="17" t="str">
        <f t="shared" ref="M1504:M1531" si="112">IF(OR(L1504="",L1504=0),"",1/L1504)</f>
        <v/>
      </c>
      <c r="N1504" s="17" t="str">
        <f>IF(OR(L1504="",L1504=0),"",Параметры!$B$3/L1504)</f>
        <v/>
      </c>
      <c r="O1504" s="15" t="str">
        <f>IF(L1504="","",IFERROR(INDEX('Почасовка — ставки и план'!$D$5:$D$24,MATCH($D1504,'Почасовка — ставки и план'!$A$5:$A$24,0)),""))</f>
        <v/>
      </c>
      <c r="P1504" s="15" t="str">
        <f>IF(L1504="","",IFERROR(INDEX('Почасовка — ставки и план'!$E$5:$E$24,MATCH($D1504,'Почасовка — ставки и план'!$A$5:$A$24,0)),""))</f>
        <v/>
      </c>
      <c r="Q1504" s="15" t="str">
        <f t="shared" ref="Q1504:Q1531" si="113">IF(OR(L1504="",O1504=""),"",ROUND(L1504*O1504,0))</f>
        <v/>
      </c>
      <c r="R1504" s="13" t="str">
        <f>IF(D1504="TEX","аренда техники — сделка/счёт",IF(OR(Q1504="",H1504="",H1504=0),"—",IF(Q1504&lt;H1504*(1-Параметры!$B$7),"почасовка",IF(Q1504&gt;H1504*(1+Параметры!$B$7),"сделка","любой способ"))))</f>
        <v>аренда техники — сделка/счёт</v>
      </c>
      <c r="S1504">
        <v>0</v>
      </c>
      <c r="T1504">
        <v>0</v>
      </c>
    </row>
    <row r="1505" spans="1:20" x14ac:dyDescent="0.25">
      <c r="A1505" s="13" t="s">
        <v>3051</v>
      </c>
      <c r="B1505" s="13" t="s">
        <v>3052</v>
      </c>
      <c r="C1505" s="13" t="s">
        <v>865</v>
      </c>
      <c r="D1505" s="13" t="s">
        <v>832</v>
      </c>
      <c r="E1505" s="13" t="str">
        <f>IFERROR(INDEX('Почасовка — ставки и план'!$B$5:$B$24,MATCH(D1505,'Почасовка — ставки и план'!$A$5:$A$24,0)),"Аренда техники / механизмы")</f>
        <v>Аренда техники / механизмы</v>
      </c>
      <c r="F1505" s="14">
        <v>40000</v>
      </c>
      <c r="G1505" s="14">
        <v>46000</v>
      </c>
      <c r="H1505" s="15">
        <v>30000</v>
      </c>
      <c r="I1505" s="15">
        <f>IF(OR(H1505="",F1505=""),"",MAX(H1505,MIN(ROUND(H1505*(1+Параметры!$B$5),IF(H1505*(1+Параметры!$B$5)&gt;=1000,-1,0)),ROUND(F1505*Параметры!$B$6,IF(F1505*Параметры!$B$6&gt;=1000,-1,0)))))</f>
        <v>30000</v>
      </c>
      <c r="J1505" s="15">
        <v>35000</v>
      </c>
      <c r="K1505" s="15">
        <f>IF(OR(J1505="",G1505=""),"",MAX(J1505,MIN(ROUND(J1505*(1+Параметры!$B$5),IF(J1505*(1+Параметры!$B$5)&gt;=1000,-1,0)),ROUND(G1505*Параметры!$B$6,IF(G1505*Параметры!$B$6&gt;=1000,-1,0)))))</f>
        <v>35000</v>
      </c>
      <c r="L1505" s="16"/>
      <c r="M1505" s="17" t="str">
        <f t="shared" si="112"/>
        <v/>
      </c>
      <c r="N1505" s="17" t="str">
        <f>IF(OR(L1505="",L1505=0),"",Параметры!$B$3/L1505)</f>
        <v/>
      </c>
      <c r="O1505" s="15" t="str">
        <f>IF(L1505="","",IFERROR(INDEX('Почасовка — ставки и план'!$D$5:$D$24,MATCH($D1505,'Почасовка — ставки и план'!$A$5:$A$24,0)),""))</f>
        <v/>
      </c>
      <c r="P1505" s="15" t="str">
        <f>IF(L1505="","",IFERROR(INDEX('Почасовка — ставки и план'!$E$5:$E$24,MATCH($D1505,'Почасовка — ставки и план'!$A$5:$A$24,0)),""))</f>
        <v/>
      </c>
      <c r="Q1505" s="15" t="str">
        <f t="shared" si="113"/>
        <v/>
      </c>
      <c r="R1505" s="13" t="str">
        <f>IF(D1505="TEX","аренда техники — сделка/счёт",IF(OR(Q1505="",H1505="",H1505=0),"—",IF(Q1505&lt;H1505*(1-Параметры!$B$7),"почасовка",IF(Q1505&gt;H1505*(1+Параметры!$B$7),"сделка","любой способ"))))</f>
        <v>аренда техники — сделка/счёт</v>
      </c>
      <c r="S1505">
        <v>0</v>
      </c>
      <c r="T1505">
        <v>0</v>
      </c>
    </row>
    <row r="1506" spans="1:20" x14ac:dyDescent="0.25">
      <c r="A1506" s="13" t="s">
        <v>3053</v>
      </c>
      <c r="B1506" s="13" t="s">
        <v>3054</v>
      </c>
      <c r="C1506" s="13" t="s">
        <v>865</v>
      </c>
      <c r="D1506" s="13" t="s">
        <v>832</v>
      </c>
      <c r="E1506" s="13" t="str">
        <f>IFERROR(INDEX('Почасовка — ставки и план'!$B$5:$B$24,MATCH(D1506,'Почасовка — ставки и план'!$A$5:$A$24,0)),"Аренда техники / механизмы")</f>
        <v>Аренда техники / механизмы</v>
      </c>
      <c r="F1506" s="14">
        <v>46000</v>
      </c>
      <c r="G1506" s="14">
        <v>53000</v>
      </c>
      <c r="H1506" s="15">
        <v>35000</v>
      </c>
      <c r="I1506" s="15">
        <f>IF(OR(H1506="",F1506=""),"",MAX(H1506,MIN(ROUND(H1506*(1+Параметры!$B$5),IF(H1506*(1+Параметры!$B$5)&gt;=1000,-1,0)),ROUND(F1506*Параметры!$B$6,IF(F1506*Параметры!$B$6&gt;=1000,-1,0)))))</f>
        <v>35000</v>
      </c>
      <c r="J1506" s="15">
        <v>40000</v>
      </c>
      <c r="K1506" s="15">
        <f>IF(OR(J1506="",G1506=""),"",MAX(J1506,MIN(ROUND(J1506*(1+Параметры!$B$5),IF(J1506*(1+Параметры!$B$5)&gt;=1000,-1,0)),ROUND(G1506*Параметры!$B$6,IF(G1506*Параметры!$B$6&gt;=1000,-1,0)))))</f>
        <v>40000</v>
      </c>
      <c r="L1506" s="16"/>
      <c r="M1506" s="17" t="str">
        <f t="shared" si="112"/>
        <v/>
      </c>
      <c r="N1506" s="17" t="str">
        <f>IF(OR(L1506="",L1506=0),"",Параметры!$B$3/L1506)</f>
        <v/>
      </c>
      <c r="O1506" s="15" t="str">
        <f>IF(L1506="","",IFERROR(INDEX('Почасовка — ставки и план'!$D$5:$D$24,MATCH($D1506,'Почасовка — ставки и план'!$A$5:$A$24,0)),""))</f>
        <v/>
      </c>
      <c r="P1506" s="15" t="str">
        <f>IF(L1506="","",IFERROR(INDEX('Почасовка — ставки и план'!$E$5:$E$24,MATCH($D1506,'Почасовка — ставки и план'!$A$5:$A$24,0)),""))</f>
        <v/>
      </c>
      <c r="Q1506" s="15" t="str">
        <f t="shared" si="113"/>
        <v/>
      </c>
      <c r="R1506" s="13" t="str">
        <f>IF(D1506="TEX","аренда техники — сделка/счёт",IF(OR(Q1506="",H1506="",H1506=0),"—",IF(Q1506&lt;H1506*(1-Параметры!$B$7),"почасовка",IF(Q1506&gt;H1506*(1+Параметры!$B$7),"сделка","любой способ"))))</f>
        <v>аренда техники — сделка/счёт</v>
      </c>
      <c r="S1506">
        <v>0</v>
      </c>
      <c r="T1506">
        <v>0</v>
      </c>
    </row>
    <row r="1507" spans="1:20" x14ac:dyDescent="0.25">
      <c r="A1507" s="13" t="s">
        <v>3055</v>
      </c>
      <c r="B1507" s="13" t="s">
        <v>3056</v>
      </c>
      <c r="C1507" s="13" t="s">
        <v>865</v>
      </c>
      <c r="D1507" s="13" t="s">
        <v>2663</v>
      </c>
      <c r="E1507" s="13" t="str">
        <f>IFERROR(INDEX('Почасовка — ставки и план'!$B$5:$B$24,MATCH(D1507,'Почасовка — ставки и план'!$A$5:$A$24,0)),"Аренда техники / механизмы")</f>
        <v>Инженер электролаборатории / ПНР</v>
      </c>
      <c r="F1507" s="14">
        <v>5600</v>
      </c>
      <c r="G1507" s="14">
        <v>6720</v>
      </c>
      <c r="H1507" s="15">
        <v>3000</v>
      </c>
      <c r="I1507" s="15">
        <f>IF(OR(H1507="",F1507=""),"",MAX(H1507,MIN(ROUND(H1507*(1+Параметры!$B$5),IF(H1507*(1+Параметры!$B$5)&gt;=1000,-1,0)),ROUND(F1507*Параметры!$B$6,IF(F1507*Параметры!$B$6&gt;=1000,-1,0)))))</f>
        <v>3450</v>
      </c>
      <c r="J1507" s="15">
        <v>3600</v>
      </c>
      <c r="K1507" s="15">
        <f>IF(OR(J1507="",G1507=""),"",MAX(J1507,MIN(ROUND(J1507*(1+Параметры!$B$5),IF(J1507*(1+Параметры!$B$5)&gt;=1000,-1,0)),ROUND(G1507*Параметры!$B$6,IF(G1507*Параметры!$B$6&gt;=1000,-1,0)))))</f>
        <v>4140</v>
      </c>
      <c r="L1507" s="16">
        <v>3</v>
      </c>
      <c r="M1507" s="17">
        <f t="shared" si="112"/>
        <v>0.33333333333333331</v>
      </c>
      <c r="N1507" s="17">
        <f>IF(OR(L1507="",L1507=0),"",Параметры!$B$3/L1507)</f>
        <v>2.6666666666666665</v>
      </c>
      <c r="O1507" s="15">
        <f>IF(L1507="","",IFERROR(INDEX('Почасовка — ставки и план'!$D$5:$D$24,MATCH($D1507,'Почасовка — ставки и план'!$A$5:$A$24,0)),""))</f>
        <v>1400</v>
      </c>
      <c r="P1507" s="15">
        <f>IF(L1507="","",IFERROR(INDEX('Почасовка — ставки и план'!$E$5:$E$24,MATCH($D1507,'Почасовка — ставки и план'!$A$5:$A$24,0)),""))</f>
        <v>1680</v>
      </c>
      <c r="Q1507" s="15">
        <f t="shared" si="113"/>
        <v>4200</v>
      </c>
      <c r="R1507" s="13" t="str">
        <f>IF(D1507="TEX","аренда техники — сделка/счёт",IF(OR(Q1507="",H1507="",H1507=0),"—",IF(Q1507&lt;H1507*(1-Параметры!$B$7),"почасовка",IF(Q1507&gt;H1507*(1+Параметры!$B$7),"сделка","любой способ"))))</f>
        <v>сделка</v>
      </c>
      <c r="S1507">
        <v>0.12000000000000011</v>
      </c>
      <c r="T1507">
        <v>0.12000000000000011</v>
      </c>
    </row>
    <row r="1508" spans="1:20" x14ac:dyDescent="0.25">
      <c r="A1508" s="13" t="s">
        <v>3057</v>
      </c>
      <c r="B1508" s="13" t="s">
        <v>3058</v>
      </c>
      <c r="C1508" s="13" t="s">
        <v>865</v>
      </c>
      <c r="D1508" s="13" t="s">
        <v>2663</v>
      </c>
      <c r="E1508" s="13" t="str">
        <f>IFERROR(INDEX('Почасовка — ставки и план'!$B$5:$B$24,MATCH(D1508,'Почасовка — ставки и план'!$A$5:$A$24,0)),"Аренда техники / механизмы")</f>
        <v>Инженер электролаборатории / ПНР</v>
      </c>
      <c r="F1508" s="14">
        <v>44800</v>
      </c>
      <c r="G1508" s="14">
        <v>53760</v>
      </c>
      <c r="H1508" s="15">
        <v>18000</v>
      </c>
      <c r="I1508" s="15">
        <f>IF(OR(H1508="",F1508=""),"",MAX(H1508,MIN(ROUND(H1508*(1+Параметры!$B$5),IF(H1508*(1+Параметры!$B$5)&gt;=1000,-1,0)),ROUND(F1508*Параметры!$B$6,IF(F1508*Параметры!$B$6&gt;=1000,-1,0)))))</f>
        <v>20700</v>
      </c>
      <c r="J1508" s="15">
        <v>21500</v>
      </c>
      <c r="K1508" s="15">
        <f>IF(OR(J1508="",G1508=""),"",MAX(J1508,MIN(ROUND(J1508*(1+Параметры!$B$5),IF(J1508*(1+Параметры!$B$5)&gt;=1000,-1,0)),ROUND(G1508*Параметры!$B$6,IF(G1508*Параметры!$B$6&gt;=1000,-1,0)))))</f>
        <v>24730</v>
      </c>
      <c r="L1508" s="16">
        <v>24</v>
      </c>
      <c r="M1508" s="17">
        <f t="shared" si="112"/>
        <v>4.1666666666666664E-2</v>
      </c>
      <c r="N1508" s="17">
        <f>IF(OR(L1508="",L1508=0),"",Параметры!$B$3/L1508)</f>
        <v>0.33333333333333331</v>
      </c>
      <c r="O1508" s="15">
        <f>IF(L1508="","",IFERROR(INDEX('Почасовка — ставки и план'!$D$5:$D$24,MATCH($D1508,'Почасовка — ставки и план'!$A$5:$A$24,0)),""))</f>
        <v>1400</v>
      </c>
      <c r="P1508" s="15">
        <f>IF(L1508="","",IFERROR(INDEX('Почасовка — ставки и план'!$E$5:$E$24,MATCH($D1508,'Почасовка — ставки и план'!$A$5:$A$24,0)),""))</f>
        <v>1680</v>
      </c>
      <c r="Q1508" s="15">
        <f t="shared" si="113"/>
        <v>33600</v>
      </c>
      <c r="R1508" s="13" t="str">
        <f>IF(D1508="TEX","аренда техники — сделка/счёт",IF(OR(Q1508="",H1508="",H1508=0),"—",IF(Q1508&lt;H1508*(1-Параметры!$B$7),"почасовка",IF(Q1508&gt;H1508*(1+Параметры!$B$7),"сделка","любой способ"))))</f>
        <v>сделка</v>
      </c>
      <c r="S1508">
        <v>0.4933333333333334</v>
      </c>
      <c r="T1508">
        <v>0.4933333333333334</v>
      </c>
    </row>
    <row r="1509" spans="1:20" x14ac:dyDescent="0.25">
      <c r="A1509" s="13" t="s">
        <v>3059</v>
      </c>
      <c r="B1509" s="13" t="s">
        <v>3060</v>
      </c>
      <c r="C1509" s="13" t="s">
        <v>144</v>
      </c>
      <c r="D1509" s="13" t="s">
        <v>2663</v>
      </c>
      <c r="E1509" s="13" t="str">
        <f>IFERROR(INDEX('Почасовка — ставки и план'!$B$5:$B$24,MATCH(D1509,'Почасовка — ставки и план'!$A$5:$A$24,0)),"Аренда техники / механизмы")</f>
        <v>Инженер электролаборатории / ПНР</v>
      </c>
      <c r="F1509" s="14">
        <v>59734</v>
      </c>
      <c r="G1509" s="14">
        <v>71680</v>
      </c>
      <c r="H1509" s="15">
        <v>25000</v>
      </c>
      <c r="I1509" s="15">
        <f>IF(OR(H1509="",F1509=""),"",MAX(H1509,MIN(ROUND(H1509*(1+Параметры!$B$5),IF(H1509*(1+Параметры!$B$5)&gt;=1000,-1,0)),ROUND(F1509*Параметры!$B$6,IF(F1509*Параметры!$B$6&gt;=1000,-1,0)))))</f>
        <v>28750</v>
      </c>
      <c r="J1509" s="15">
        <v>30000</v>
      </c>
      <c r="K1509" s="15">
        <f>IF(OR(J1509="",G1509=""),"",MAX(J1509,MIN(ROUND(J1509*(1+Параметры!$B$5),IF(J1509*(1+Параметры!$B$5)&gt;=1000,-1,0)),ROUND(G1509*Параметры!$B$6,IF(G1509*Параметры!$B$6&gt;=1000,-1,0)))))</f>
        <v>34500</v>
      </c>
      <c r="L1509" s="16">
        <v>32</v>
      </c>
      <c r="M1509" s="17">
        <f t="shared" si="112"/>
        <v>3.125E-2</v>
      </c>
      <c r="N1509" s="17">
        <f>IF(OR(L1509="",L1509=0),"",Параметры!$B$3/L1509)</f>
        <v>0.25</v>
      </c>
      <c r="O1509" s="15">
        <f>IF(L1509="","",IFERROR(INDEX('Почасовка — ставки и план'!$D$5:$D$24,MATCH($D1509,'Почасовка — ставки и план'!$A$5:$A$24,0)),""))</f>
        <v>1400</v>
      </c>
      <c r="P1509" s="15">
        <f>IF(L1509="","",IFERROR(INDEX('Почасовка — ставки и план'!$E$5:$E$24,MATCH($D1509,'Почасовка — ставки и план'!$A$5:$A$24,0)),""))</f>
        <v>1680</v>
      </c>
      <c r="Q1509" s="15">
        <f t="shared" si="113"/>
        <v>44800</v>
      </c>
      <c r="R1509" s="13" t="str">
        <f>IF(D1509="TEX","аренда техники — сделка/счёт",IF(OR(Q1509="",H1509="",H1509=0),"—",IF(Q1509&lt;H1509*(1-Параметры!$B$7),"почасовка",IF(Q1509&gt;H1509*(1+Параметры!$B$7),"сделка","любой способ"))))</f>
        <v>сделка</v>
      </c>
      <c r="S1509">
        <v>0.4222380952380953</v>
      </c>
      <c r="T1509">
        <v>0.43359999999999999</v>
      </c>
    </row>
    <row r="1510" spans="1:20" x14ac:dyDescent="0.25">
      <c r="A1510" s="13" t="s">
        <v>3061</v>
      </c>
      <c r="B1510" s="13" t="s">
        <v>3062</v>
      </c>
      <c r="C1510" s="13" t="s">
        <v>144</v>
      </c>
      <c r="D1510" s="13" t="s">
        <v>2663</v>
      </c>
      <c r="E1510" s="13" t="str">
        <f>IFERROR(INDEX('Почасовка — ставки и план'!$B$5:$B$24,MATCH(D1510,'Почасовка — ставки и план'!$A$5:$A$24,0)),"Аренда техники / механизмы")</f>
        <v>Инженер электролаборатории / ПНР</v>
      </c>
      <c r="F1510" s="14">
        <v>934</v>
      </c>
      <c r="G1510" s="14">
        <v>1120</v>
      </c>
      <c r="H1510" s="15">
        <v>270</v>
      </c>
      <c r="I1510" s="15">
        <f>IF(OR(H1510="",F1510=""),"",MAX(H1510,MIN(ROUND(H1510*(1+Параметры!$B$5),IF(H1510*(1+Параметры!$B$5)&gt;=1000,-1,0)),ROUND(F1510*Параметры!$B$6,IF(F1510*Параметры!$B$6&gt;=1000,-1,0)))))</f>
        <v>311</v>
      </c>
      <c r="J1510" s="15">
        <v>330</v>
      </c>
      <c r="K1510" s="15">
        <f>IF(OR(J1510="",G1510=""),"",MAX(J1510,MIN(ROUND(J1510*(1+Параметры!$B$5),IF(J1510*(1+Параметры!$B$5)&gt;=1000,-1,0)),ROUND(G1510*Параметры!$B$6,IF(G1510*Параметры!$B$6&gt;=1000,-1,0)))))</f>
        <v>380</v>
      </c>
      <c r="L1510" s="16">
        <v>0.5</v>
      </c>
      <c r="M1510" s="17">
        <f t="shared" si="112"/>
        <v>2</v>
      </c>
      <c r="N1510" s="17">
        <f>IF(OR(L1510="",L1510=0),"",Параметры!$B$3/L1510)</f>
        <v>16</v>
      </c>
      <c r="O1510" s="15">
        <f>IF(L1510="","",IFERROR(INDEX('Почасовка — ставки и план'!$D$5:$D$24,MATCH($D1510,'Почасовка — ставки и план'!$A$5:$A$24,0)),""))</f>
        <v>1400</v>
      </c>
      <c r="P1510" s="15">
        <f>IF(L1510="","",IFERROR(INDEX('Почасовка — ставки и план'!$E$5:$E$24,MATCH($D1510,'Почасовка — ставки и план'!$A$5:$A$24,0)),""))</f>
        <v>1680</v>
      </c>
      <c r="Q1510" s="15">
        <f t="shared" si="113"/>
        <v>700</v>
      </c>
      <c r="R1510" s="13" t="str">
        <f>IF(D1510="TEX","аренда техники — сделка/счёт",IF(OR(Q1510="",H1510="",H1510=0),"—",IF(Q1510&lt;H1510*(1-Параметры!$B$7),"почасовка",IF(Q1510&gt;H1510*(1+Параметры!$B$7),"сделка","любой способ"))))</f>
        <v>сделка</v>
      </c>
      <c r="S1510">
        <v>1.0755555555555549</v>
      </c>
      <c r="T1510">
        <v>1.0363636363636359</v>
      </c>
    </row>
    <row r="1511" spans="1:20" x14ac:dyDescent="0.25">
      <c r="A1511" s="13" t="s">
        <v>3063</v>
      </c>
      <c r="B1511" s="13" t="s">
        <v>3064</v>
      </c>
      <c r="C1511" s="13" t="s">
        <v>69</v>
      </c>
      <c r="D1511" s="13" t="s">
        <v>2663</v>
      </c>
      <c r="E1511" s="13" t="str">
        <f>IFERROR(INDEX('Почасовка — ставки и план'!$B$5:$B$24,MATCH(D1511,'Почасовка — ставки и план'!$A$5:$A$24,0)),"Аренда техники / механизмы")</f>
        <v>Инженер электролаборатории / ПНР</v>
      </c>
      <c r="F1511" s="14">
        <v>20</v>
      </c>
      <c r="G1511" s="14">
        <v>24</v>
      </c>
      <c r="H1511" s="15">
        <v>12</v>
      </c>
      <c r="I1511" s="15">
        <f>IF(OR(H1511="",F1511=""),"",MAX(H1511,MIN(ROUND(H1511*(1+Параметры!$B$5),IF(H1511*(1+Параметры!$B$5)&gt;=1000,-1,0)),ROUND(F1511*Параметры!$B$6,IF(F1511*Параметры!$B$6&gt;=1000,-1,0)))))</f>
        <v>14</v>
      </c>
      <c r="J1511" s="15">
        <v>14.5</v>
      </c>
      <c r="K1511" s="15">
        <f>IF(OR(J1511="",G1511=""),"",MAX(J1511,MIN(ROUND(J1511*(1+Параметры!$B$5),IF(J1511*(1+Параметры!$B$5)&gt;=1000,-1,0)),ROUND(G1511*Параметры!$B$6,IF(G1511*Параметры!$B$6&gt;=1000,-1,0)))))</f>
        <v>17</v>
      </c>
      <c r="L1511" s="16">
        <v>0.01</v>
      </c>
      <c r="M1511" s="17">
        <f t="shared" si="112"/>
        <v>100</v>
      </c>
      <c r="N1511" s="17">
        <f>IF(OR(L1511="",L1511=0),"",Параметры!$B$3/L1511)</f>
        <v>800</v>
      </c>
      <c r="O1511" s="15">
        <f>IF(L1511="","",IFERROR(INDEX('Почасовка — ставки и план'!$D$5:$D$24,MATCH($D1511,'Почасовка — ставки и план'!$A$5:$A$24,0)),""))</f>
        <v>1400</v>
      </c>
      <c r="P1511" s="15">
        <f>IF(L1511="","",IFERROR(INDEX('Почасовка — ставки и план'!$E$5:$E$24,MATCH($D1511,'Почасовка — ставки и план'!$A$5:$A$24,0)),""))</f>
        <v>1680</v>
      </c>
      <c r="Q1511" s="15">
        <f t="shared" si="113"/>
        <v>14</v>
      </c>
      <c r="R1511" s="13" t="str">
        <f>IF(D1511="TEX","аренда техники — сделка/счёт",IF(OR(Q1511="",H1511="",H1511=0),"—",IF(Q1511&lt;H1511*(1-Параметры!$B$7),"почасовка",IF(Q1511&gt;H1511*(1+Параметры!$B$7),"сделка","любой способ"))))</f>
        <v>сделка</v>
      </c>
      <c r="S1511">
        <v>0</v>
      </c>
      <c r="T1511">
        <v>0</v>
      </c>
    </row>
    <row r="1512" spans="1:20" x14ac:dyDescent="0.25">
      <c r="A1512" s="13" t="s">
        <v>3065</v>
      </c>
      <c r="B1512" s="13" t="s">
        <v>3066</v>
      </c>
      <c r="C1512" s="13" t="s">
        <v>865</v>
      </c>
      <c r="D1512" s="13" t="s">
        <v>2663</v>
      </c>
      <c r="E1512" s="13" t="str">
        <f>IFERROR(INDEX('Почасовка — ставки и план'!$B$5:$B$24,MATCH(D1512,'Почасовка — ставки и план'!$A$5:$A$24,0)),"Аренда техники / механизмы")</f>
        <v>Инженер электролаборатории / ПНР</v>
      </c>
      <c r="F1512" s="14">
        <v>7467</v>
      </c>
      <c r="G1512" s="14">
        <v>8960</v>
      </c>
      <c r="H1512" s="15">
        <v>3600</v>
      </c>
      <c r="I1512" s="15">
        <f>IF(OR(H1512="",F1512=""),"",MAX(H1512,MIN(ROUND(H1512*(1+Параметры!$B$5),IF(H1512*(1+Параметры!$B$5)&gt;=1000,-1,0)),ROUND(F1512*Параметры!$B$6,IF(F1512*Параметры!$B$6&gt;=1000,-1,0)))))</f>
        <v>4140</v>
      </c>
      <c r="J1512" s="15">
        <v>4200</v>
      </c>
      <c r="K1512" s="15">
        <f>IF(OR(J1512="",G1512=""),"",MAX(J1512,MIN(ROUND(J1512*(1+Параметры!$B$5),IF(J1512*(1+Параметры!$B$5)&gt;=1000,-1,0)),ROUND(G1512*Параметры!$B$6,IF(G1512*Параметры!$B$6&gt;=1000,-1,0)))))</f>
        <v>4830</v>
      </c>
      <c r="L1512" s="16">
        <v>4</v>
      </c>
      <c r="M1512" s="17">
        <f t="shared" si="112"/>
        <v>0.25</v>
      </c>
      <c r="N1512" s="17">
        <f>IF(OR(L1512="",L1512=0),"",Параметры!$B$3/L1512)</f>
        <v>2</v>
      </c>
      <c r="O1512" s="15">
        <f>IF(L1512="","",IFERROR(INDEX('Почасовка — ставки и план'!$D$5:$D$24,MATCH($D1512,'Почасовка — ставки и план'!$A$5:$A$24,0)),""))</f>
        <v>1400</v>
      </c>
      <c r="P1512" s="15">
        <f>IF(L1512="","",IFERROR(INDEX('Почасовка — ставки и план'!$E$5:$E$24,MATCH($D1512,'Почасовка — ставки и план'!$A$5:$A$24,0)),""))</f>
        <v>1680</v>
      </c>
      <c r="Q1512" s="15">
        <f t="shared" si="113"/>
        <v>5600</v>
      </c>
      <c r="R1512" s="13" t="str">
        <f>IF(D1512="TEX","аренда техники — сделка/счёт",IF(OR(Q1512="",H1512="",H1512=0),"—",IF(Q1512&lt;H1512*(1-Параметры!$B$7),"почасовка",IF(Q1512&gt;H1512*(1+Параметры!$B$7),"сделка","любой способ"))))</f>
        <v>сделка</v>
      </c>
      <c r="S1512">
        <v>0.24449999999999991</v>
      </c>
      <c r="T1512">
        <v>0.28000000000000003</v>
      </c>
    </row>
    <row r="1513" spans="1:20" x14ac:dyDescent="0.25">
      <c r="A1513" s="13" t="s">
        <v>3067</v>
      </c>
      <c r="B1513" s="13" t="s">
        <v>3068</v>
      </c>
      <c r="C1513" s="13" t="s">
        <v>865</v>
      </c>
      <c r="D1513" s="13" t="s">
        <v>2663</v>
      </c>
      <c r="E1513" s="13" t="str">
        <f>IFERROR(INDEX('Почасовка — ставки и план'!$B$5:$B$24,MATCH(D1513,'Почасовка — ставки и план'!$A$5:$A$24,0)),"Аренда техники / механизмы")</f>
        <v>Инженер электролаборатории / ПНР</v>
      </c>
      <c r="F1513" s="14">
        <v>8000</v>
      </c>
      <c r="G1513" s="14">
        <v>9500</v>
      </c>
      <c r="H1513" s="15">
        <v>4800</v>
      </c>
      <c r="I1513" s="15">
        <f>IF(OR(H1513="",F1513=""),"",MAX(H1513,MIN(ROUND(H1513*(1+Параметры!$B$5),IF(H1513*(1+Параметры!$B$5)&gt;=1000,-1,0)),ROUND(F1513*Параметры!$B$6,IF(F1513*Параметры!$B$6&gt;=1000,-1,0)))))</f>
        <v>5520</v>
      </c>
      <c r="J1513" s="15">
        <v>5700</v>
      </c>
      <c r="K1513" s="15">
        <f>IF(OR(J1513="",G1513=""),"",MAX(J1513,MIN(ROUND(J1513*(1+Параметры!$B$5),IF(J1513*(1+Параметры!$B$5)&gt;=1000,-1,0)),ROUND(G1513*Параметры!$B$6,IF(G1513*Параметры!$B$6&gt;=1000,-1,0)))))</f>
        <v>6560</v>
      </c>
      <c r="L1513" s="16">
        <v>3</v>
      </c>
      <c r="M1513" s="17">
        <f t="shared" si="112"/>
        <v>0.33333333333333331</v>
      </c>
      <c r="N1513" s="17">
        <f>IF(OR(L1513="",L1513=0),"",Параметры!$B$3/L1513)</f>
        <v>2.6666666666666665</v>
      </c>
      <c r="O1513" s="15">
        <f>IF(L1513="","",IFERROR(INDEX('Почасовка — ставки и план'!$D$5:$D$24,MATCH($D1513,'Почасовка — ставки и план'!$A$5:$A$24,0)),""))</f>
        <v>1400</v>
      </c>
      <c r="P1513" s="15">
        <f>IF(L1513="","",IFERROR(INDEX('Почасовка — ставки и план'!$E$5:$E$24,MATCH($D1513,'Почасовка — ставки и план'!$A$5:$A$24,0)),""))</f>
        <v>1680</v>
      </c>
      <c r="Q1513" s="15">
        <f t="shared" si="113"/>
        <v>4200</v>
      </c>
      <c r="R1513" s="13" t="str">
        <f>IF(D1513="TEX","аренда техники — сделка/счёт",IF(OR(Q1513="",H1513="",H1513=0),"—",IF(Q1513&lt;H1513*(1-Параметры!$B$7),"почасовка",IF(Q1513&gt;H1513*(1+Параметры!$B$7),"сделка","любой способ"))))</f>
        <v>почасовка</v>
      </c>
      <c r="S1513">
        <v>0</v>
      </c>
      <c r="T1513">
        <v>0</v>
      </c>
    </row>
    <row r="1514" spans="1:20" x14ac:dyDescent="0.25">
      <c r="A1514" s="13" t="s">
        <v>3069</v>
      </c>
      <c r="B1514" s="13" t="s">
        <v>3070</v>
      </c>
      <c r="C1514" s="13" t="s">
        <v>144</v>
      </c>
      <c r="D1514" s="13" t="s">
        <v>2663</v>
      </c>
      <c r="E1514" s="13" t="str">
        <f>IFERROR(INDEX('Почасовка — ставки и план'!$B$5:$B$24,MATCH(D1514,'Почасовка — ставки и план'!$A$5:$A$24,0)),"Аренда техники / механизмы")</f>
        <v>Инженер электролаборатории / ПНР</v>
      </c>
      <c r="F1514" s="14">
        <v>11200</v>
      </c>
      <c r="G1514" s="14">
        <v>13440</v>
      </c>
      <c r="H1514" s="15">
        <v>4800</v>
      </c>
      <c r="I1514" s="15">
        <f>IF(OR(H1514="",F1514=""),"",MAX(H1514,MIN(ROUND(H1514*(1+Параметры!$B$5),IF(H1514*(1+Параметры!$B$5)&gt;=1000,-1,0)),ROUND(F1514*Параметры!$B$6,IF(F1514*Параметры!$B$6&gt;=1000,-1,0)))))</f>
        <v>5520</v>
      </c>
      <c r="J1514" s="15">
        <v>5700</v>
      </c>
      <c r="K1514" s="15">
        <f>IF(OR(J1514="",G1514=""),"",MAX(J1514,MIN(ROUND(J1514*(1+Параметры!$B$5),IF(J1514*(1+Параметры!$B$5)&gt;=1000,-1,0)),ROUND(G1514*Параметры!$B$6,IF(G1514*Параметры!$B$6&gt;=1000,-1,0)))))</f>
        <v>6560</v>
      </c>
      <c r="L1514" s="16">
        <v>6</v>
      </c>
      <c r="M1514" s="17">
        <f t="shared" si="112"/>
        <v>0.16666666666666666</v>
      </c>
      <c r="N1514" s="17">
        <f>IF(OR(L1514="",L1514=0),"",Параметры!$B$3/L1514)</f>
        <v>1.3333333333333333</v>
      </c>
      <c r="O1514" s="15">
        <f>IF(L1514="","",IFERROR(INDEX('Почасовка — ставки и план'!$D$5:$D$24,MATCH($D1514,'Почасовка — ставки и план'!$A$5:$A$24,0)),""))</f>
        <v>1400</v>
      </c>
      <c r="P1514" s="15">
        <f>IF(L1514="","",IFERROR(INDEX('Почасовка — ставки и план'!$E$5:$E$24,MATCH($D1514,'Почасовка — ставки и план'!$A$5:$A$24,0)),""))</f>
        <v>1680</v>
      </c>
      <c r="Q1514" s="15">
        <f t="shared" si="113"/>
        <v>8400</v>
      </c>
      <c r="R1514" s="13" t="str">
        <f>IF(D1514="TEX","аренда техники — сделка/счёт",IF(OR(Q1514="",H1514="",H1514=0),"—",IF(Q1514&lt;H1514*(1-Параметры!$B$7),"почасовка",IF(Q1514&gt;H1514*(1+Параметры!$B$7),"сделка","любой способ"))))</f>
        <v>сделка</v>
      </c>
      <c r="S1514">
        <v>0.39999999999999991</v>
      </c>
      <c r="T1514">
        <v>0.41473684210526313</v>
      </c>
    </row>
    <row r="1515" spans="1:20" x14ac:dyDescent="0.25">
      <c r="A1515" s="13" t="s">
        <v>3071</v>
      </c>
      <c r="B1515" s="13" t="s">
        <v>3072</v>
      </c>
      <c r="C1515" s="13" t="s">
        <v>865</v>
      </c>
      <c r="D1515" s="13" t="s">
        <v>273</v>
      </c>
      <c r="E1515" s="13" t="str">
        <f>IFERROR(INDEX('Почасовка — ставки и план'!$B$5:$B$24,MATCH(D1515,'Почасовка — ставки и план'!$A$5:$A$24,0)),"Аренда техники / механизмы")</f>
        <v>Электромонтажник</v>
      </c>
      <c r="F1515" s="14">
        <v>8000</v>
      </c>
      <c r="G1515" s="14">
        <v>9500</v>
      </c>
      <c r="H1515" s="15">
        <v>4800</v>
      </c>
      <c r="I1515" s="15">
        <f>IF(OR(H1515="",F1515=""),"",MAX(H1515,MIN(ROUND(H1515*(1+Параметры!$B$5),IF(H1515*(1+Параметры!$B$5)&gt;=1000,-1,0)),ROUND(F1515*Параметры!$B$6,IF(F1515*Параметры!$B$6&gt;=1000,-1,0)))))</f>
        <v>5520</v>
      </c>
      <c r="J1515" s="15">
        <v>5700</v>
      </c>
      <c r="K1515" s="15">
        <f>IF(OR(J1515="",G1515=""),"",MAX(J1515,MIN(ROUND(J1515*(1+Параметры!$B$5),IF(J1515*(1+Параметры!$B$5)&gt;=1000,-1,0)),ROUND(G1515*Параметры!$B$6,IF(G1515*Параметры!$B$6&gt;=1000,-1,0)))))</f>
        <v>6560</v>
      </c>
      <c r="L1515" s="16">
        <v>4</v>
      </c>
      <c r="M1515" s="17">
        <f t="shared" si="112"/>
        <v>0.25</v>
      </c>
      <c r="N1515" s="17">
        <f>IF(OR(L1515="",L1515=0),"",Параметры!$B$3/L1515)</f>
        <v>2</v>
      </c>
      <c r="O1515" s="15">
        <f>IF(L1515="","",IFERROR(INDEX('Почасовка — ставки и план'!$D$5:$D$24,MATCH($D1515,'Почасовка — ставки и план'!$A$5:$A$24,0)),""))</f>
        <v>850</v>
      </c>
      <c r="P1515" s="15">
        <f>IF(L1515="","",IFERROR(INDEX('Почасовка — ставки и план'!$E$5:$E$24,MATCH($D1515,'Почасовка — ставки и план'!$A$5:$A$24,0)),""))</f>
        <v>1020</v>
      </c>
      <c r="Q1515" s="15">
        <f t="shared" si="113"/>
        <v>3400</v>
      </c>
      <c r="R1515" s="13" t="str">
        <f>IF(D1515="TEX","аренда техники — сделка/счёт",IF(OR(Q1515="",H1515="",H1515=0),"—",IF(Q1515&lt;H1515*(1-Параметры!$B$7),"почасовка",IF(Q1515&gt;H1515*(1+Параметры!$B$7),"сделка","любой способ"))))</f>
        <v>почасовка</v>
      </c>
      <c r="S1515">
        <v>0</v>
      </c>
      <c r="T1515">
        <v>0</v>
      </c>
    </row>
    <row r="1516" spans="1:20" x14ac:dyDescent="0.25">
      <c r="A1516" s="13" t="s">
        <v>3073</v>
      </c>
      <c r="B1516" s="13" t="s">
        <v>3074</v>
      </c>
      <c r="C1516" s="13" t="s">
        <v>144</v>
      </c>
      <c r="D1516" s="13" t="s">
        <v>2663</v>
      </c>
      <c r="E1516" s="13" t="str">
        <f>IFERROR(INDEX('Почасовка — ставки и план'!$B$5:$B$24,MATCH(D1516,'Почасовка — ставки и план'!$A$5:$A$24,0)),"Аренда техники / механизмы")</f>
        <v>Инженер электролаборатории / ПНР</v>
      </c>
      <c r="F1516" s="14">
        <v>1867</v>
      </c>
      <c r="G1516" s="14">
        <v>2240</v>
      </c>
      <c r="H1516" s="15">
        <v>700</v>
      </c>
      <c r="I1516" s="15">
        <f>IF(OR(H1516="",F1516=""),"",MAX(H1516,MIN(ROUND(H1516*(1+Параметры!$B$5),IF(H1516*(1+Параметры!$B$5)&gt;=1000,-1,0)),ROUND(F1516*Параметры!$B$6,IF(F1516*Параметры!$B$6&gt;=1000,-1,0)))))</f>
        <v>805</v>
      </c>
      <c r="J1516" s="15">
        <v>850</v>
      </c>
      <c r="K1516" s="15">
        <f>IF(OR(J1516="",G1516=""),"",MAX(J1516,MIN(ROUND(J1516*(1+Параметры!$B$5),IF(J1516*(1+Параметры!$B$5)&gt;=1000,-1,0)),ROUND(G1516*Параметры!$B$6,IF(G1516*Параметры!$B$6&gt;=1000,-1,0)))))</f>
        <v>978</v>
      </c>
      <c r="L1516" s="16">
        <v>1</v>
      </c>
      <c r="M1516" s="17">
        <f t="shared" si="112"/>
        <v>1</v>
      </c>
      <c r="N1516" s="17">
        <f>IF(OR(L1516="",L1516=0),"",Параметры!$B$3/L1516)</f>
        <v>8</v>
      </c>
      <c r="O1516" s="15">
        <f>IF(L1516="","",IFERROR(INDEX('Почасовка — ставки и план'!$D$5:$D$24,MATCH($D1516,'Почасовка — ставки и план'!$A$5:$A$24,0)),""))</f>
        <v>1400</v>
      </c>
      <c r="P1516" s="15">
        <f>IF(L1516="","",IFERROR(INDEX('Почасовка — ставки и план'!$E$5:$E$24,MATCH($D1516,'Почасовка — ставки и план'!$A$5:$A$24,0)),""))</f>
        <v>1680</v>
      </c>
      <c r="Q1516" s="15">
        <f t="shared" si="113"/>
        <v>1400</v>
      </c>
      <c r="R1516" s="13" t="str">
        <f>IF(D1516="TEX","аренда техники — сделка/счёт",IF(OR(Q1516="",H1516="",H1516=0),"—",IF(Q1516&lt;H1516*(1-Параметры!$B$7),"почасовка",IF(Q1516&gt;H1516*(1+Параметры!$B$7),"сделка","любой способ"))))</f>
        <v>сделка</v>
      </c>
      <c r="S1516">
        <v>0.5558333333333334</v>
      </c>
      <c r="T1516">
        <v>0.60000000000000009</v>
      </c>
    </row>
    <row r="1517" spans="1:20" x14ac:dyDescent="0.25">
      <c r="A1517" s="13" t="s">
        <v>3075</v>
      </c>
      <c r="B1517" s="13" t="s">
        <v>3076</v>
      </c>
      <c r="C1517" s="13" t="s">
        <v>144</v>
      </c>
      <c r="D1517" s="13" t="s">
        <v>2663</v>
      </c>
      <c r="E1517" s="13" t="str">
        <f>IFERROR(INDEX('Почасовка — ставки и план'!$B$5:$B$24,MATCH(D1517,'Почасовка — ставки и план'!$A$5:$A$24,0)),"Аренда техники / механизмы")</f>
        <v>Инженер электролаборатории / ПНР</v>
      </c>
      <c r="F1517" s="14">
        <v>94</v>
      </c>
      <c r="G1517" s="14">
        <v>112</v>
      </c>
      <c r="H1517" s="15">
        <v>24</v>
      </c>
      <c r="I1517" s="15">
        <f>IF(OR(H1517="",F1517=""),"",MAX(H1517,MIN(ROUND(H1517*(1+Параметры!$B$5),IF(H1517*(1+Параметры!$B$5)&gt;=1000,-1,0)),ROUND(F1517*Параметры!$B$6,IF(F1517*Параметры!$B$6&gt;=1000,-1,0)))))</f>
        <v>28</v>
      </c>
      <c r="J1517" s="15">
        <v>30</v>
      </c>
      <c r="K1517" s="15">
        <f>IF(OR(J1517="",G1517=""),"",MAX(J1517,MIN(ROUND(J1517*(1+Параметры!$B$5),IF(J1517*(1+Параметры!$B$5)&gt;=1000,-1,0)),ROUND(G1517*Параметры!$B$6,IF(G1517*Параметры!$B$6&gt;=1000,-1,0)))))</f>
        <v>35</v>
      </c>
      <c r="L1517" s="16">
        <v>0.05</v>
      </c>
      <c r="M1517" s="17">
        <f t="shared" si="112"/>
        <v>20</v>
      </c>
      <c r="N1517" s="17">
        <f>IF(OR(L1517="",L1517=0),"",Параметры!$B$3/L1517)</f>
        <v>160</v>
      </c>
      <c r="O1517" s="15">
        <f>IF(L1517="","",IFERROR(INDEX('Почасовка — ставки и план'!$D$5:$D$24,MATCH($D1517,'Почасовка — ставки и план'!$A$5:$A$24,0)),""))</f>
        <v>1400</v>
      </c>
      <c r="P1517" s="15">
        <f>IF(L1517="","",IFERROR(INDEX('Почасовка — ставки и план'!$E$5:$E$24,MATCH($D1517,'Почасовка — ставки и план'!$A$5:$A$24,0)),""))</f>
        <v>1680</v>
      </c>
      <c r="Q1517" s="15">
        <f t="shared" si="113"/>
        <v>70</v>
      </c>
      <c r="R1517" s="13" t="str">
        <f>IF(D1517="TEX","аренда техники — сделка/счёт",IF(OR(Q1517="",H1517="",H1517=0),"—",IF(Q1517&lt;H1517*(1-Параметры!$B$7),"почасовка",IF(Q1517&gt;H1517*(1+Параметры!$B$7),"сделка","любой способ"))))</f>
        <v>сделка</v>
      </c>
      <c r="S1517">
        <v>1.35</v>
      </c>
      <c r="T1517">
        <v>1.24</v>
      </c>
    </row>
    <row r="1518" spans="1:20" x14ac:dyDescent="0.25">
      <c r="A1518" s="13" t="s">
        <v>3077</v>
      </c>
      <c r="B1518" s="13" t="s">
        <v>3078</v>
      </c>
      <c r="C1518" s="13" t="s">
        <v>69</v>
      </c>
      <c r="D1518" s="13" t="s">
        <v>2663</v>
      </c>
      <c r="E1518" s="13" t="str">
        <f>IFERROR(INDEX('Почасовка — ставки и план'!$B$5:$B$24,MATCH(D1518,'Почасовка — ставки и план'!$A$5:$A$24,0)),"Аренда техники / механизмы")</f>
        <v>Инженер электролаборатории / ПНР</v>
      </c>
      <c r="F1518" s="14">
        <v>280</v>
      </c>
      <c r="G1518" s="14">
        <v>336</v>
      </c>
      <c r="H1518" s="15">
        <v>90</v>
      </c>
      <c r="I1518" s="15">
        <f>IF(OR(H1518="",F1518=""),"",MAX(H1518,MIN(ROUND(H1518*(1+Параметры!$B$5),IF(H1518*(1+Параметры!$B$5)&gt;=1000,-1,0)),ROUND(F1518*Параметры!$B$6,IF(F1518*Параметры!$B$6&gt;=1000,-1,0)))))</f>
        <v>104</v>
      </c>
      <c r="J1518" s="15">
        <v>110</v>
      </c>
      <c r="K1518" s="15">
        <f>IF(OR(J1518="",G1518=""),"",MAX(J1518,MIN(ROUND(J1518*(1+Параметры!$B$5),IF(J1518*(1+Параметры!$B$5)&gt;=1000,-1,0)),ROUND(G1518*Параметры!$B$6,IF(G1518*Параметры!$B$6&gt;=1000,-1,0)))))</f>
        <v>127</v>
      </c>
      <c r="L1518" s="16">
        <v>0.15</v>
      </c>
      <c r="M1518" s="17">
        <f t="shared" si="112"/>
        <v>6.666666666666667</v>
      </c>
      <c r="N1518" s="17">
        <f>IF(OR(L1518="",L1518=0),"",Параметры!$B$3/L1518)</f>
        <v>53.333333333333336</v>
      </c>
      <c r="O1518" s="15">
        <f>IF(L1518="","",IFERROR(INDEX('Почасовка — ставки и план'!$D$5:$D$24,MATCH($D1518,'Почасовка — ставки и план'!$A$5:$A$24,0)),""))</f>
        <v>1400</v>
      </c>
      <c r="P1518" s="15">
        <f>IF(L1518="","",IFERROR(INDEX('Почасовка — ставки и план'!$E$5:$E$24,MATCH($D1518,'Почасовка — ставки и план'!$A$5:$A$24,0)),""))</f>
        <v>1680</v>
      </c>
      <c r="Q1518" s="15">
        <f t="shared" si="113"/>
        <v>210</v>
      </c>
      <c r="R1518" s="13" t="str">
        <f>IF(D1518="TEX","аренда техники — сделка/счёт",IF(OR(Q1518="",H1518="",H1518=0),"—",IF(Q1518&lt;H1518*(1-Параметры!$B$7),"почасовка",IF(Q1518&gt;H1518*(1+Параметры!$B$7),"сделка","любой способ"))))</f>
        <v>сделка</v>
      </c>
      <c r="S1518">
        <v>0.8666666666666667</v>
      </c>
      <c r="T1518">
        <v>0.8666666666666667</v>
      </c>
    </row>
    <row r="1519" spans="1:20" x14ac:dyDescent="0.25">
      <c r="A1519" s="13" t="s">
        <v>3079</v>
      </c>
      <c r="B1519" s="13" t="s">
        <v>3080</v>
      </c>
      <c r="C1519" s="13" t="s">
        <v>69</v>
      </c>
      <c r="D1519" s="13" t="s">
        <v>2663</v>
      </c>
      <c r="E1519" s="13" t="str">
        <f>IFERROR(INDEX('Почасовка — ставки и план'!$B$5:$B$24,MATCH(D1519,'Почасовка — ставки и план'!$A$5:$A$24,0)),"Аренда техники / механизмы")</f>
        <v>Инженер электролаборатории / ПНР</v>
      </c>
      <c r="F1519" s="14">
        <v>280</v>
      </c>
      <c r="G1519" s="14">
        <v>336</v>
      </c>
      <c r="H1519" s="15">
        <v>90</v>
      </c>
      <c r="I1519" s="15">
        <f>IF(OR(H1519="",F1519=""),"",MAX(H1519,MIN(ROUND(H1519*(1+Параметры!$B$5),IF(H1519*(1+Параметры!$B$5)&gt;=1000,-1,0)),ROUND(F1519*Параметры!$B$6,IF(F1519*Параметры!$B$6&gt;=1000,-1,0)))))</f>
        <v>104</v>
      </c>
      <c r="J1519" s="15">
        <v>110</v>
      </c>
      <c r="K1519" s="15">
        <f>IF(OR(J1519="",G1519=""),"",MAX(J1519,MIN(ROUND(J1519*(1+Параметры!$B$5),IF(J1519*(1+Параметры!$B$5)&gt;=1000,-1,0)),ROUND(G1519*Параметры!$B$6,IF(G1519*Параметры!$B$6&gt;=1000,-1,0)))))</f>
        <v>127</v>
      </c>
      <c r="L1519" s="16">
        <v>0.15</v>
      </c>
      <c r="M1519" s="17">
        <f t="shared" si="112"/>
        <v>6.666666666666667</v>
      </c>
      <c r="N1519" s="17">
        <f>IF(OR(L1519="",L1519=0),"",Параметры!$B$3/L1519)</f>
        <v>53.333333333333336</v>
      </c>
      <c r="O1519" s="15">
        <f>IF(L1519="","",IFERROR(INDEX('Почасовка — ставки и план'!$D$5:$D$24,MATCH($D1519,'Почасовка — ставки и план'!$A$5:$A$24,0)),""))</f>
        <v>1400</v>
      </c>
      <c r="P1519" s="15">
        <f>IF(L1519="","",IFERROR(INDEX('Почасовка — ставки и план'!$E$5:$E$24,MATCH($D1519,'Почасовка — ставки и план'!$A$5:$A$24,0)),""))</f>
        <v>1680</v>
      </c>
      <c r="Q1519" s="15">
        <f t="shared" si="113"/>
        <v>210</v>
      </c>
      <c r="R1519" s="13" t="str">
        <f>IF(D1519="TEX","аренда техники — сделка/счёт",IF(OR(Q1519="",H1519="",H1519=0),"—",IF(Q1519&lt;H1519*(1-Параметры!$B$7),"почасовка",IF(Q1519&gt;H1519*(1+Параметры!$B$7),"сделка","любой способ"))))</f>
        <v>сделка</v>
      </c>
      <c r="S1519">
        <v>0.8666666666666667</v>
      </c>
      <c r="T1519">
        <v>0.8666666666666667</v>
      </c>
    </row>
    <row r="1520" spans="1:20" x14ac:dyDescent="0.25">
      <c r="A1520" s="13" t="s">
        <v>3081</v>
      </c>
      <c r="B1520" s="13" t="s">
        <v>3082</v>
      </c>
      <c r="C1520" s="13" t="s">
        <v>865</v>
      </c>
      <c r="D1520" s="13" t="s">
        <v>273</v>
      </c>
      <c r="E1520" s="13" t="str">
        <f>IFERROR(INDEX('Почасовка — ставки и план'!$B$5:$B$24,MATCH(D1520,'Почасовка — ставки и план'!$A$5:$A$24,0)),"Аренда техники / механизмы")</f>
        <v>Электромонтажник</v>
      </c>
      <c r="F1520" s="14">
        <v>600</v>
      </c>
      <c r="G1520" s="14">
        <v>700</v>
      </c>
      <c r="H1520" s="15">
        <v>360</v>
      </c>
      <c r="I1520" s="15">
        <f>IF(OR(H1520="",F1520=""),"",MAX(H1520,MIN(ROUND(H1520*(1+Параметры!$B$5),IF(H1520*(1+Параметры!$B$5)&gt;=1000,-1,0)),ROUND(F1520*Параметры!$B$6,IF(F1520*Параметры!$B$6&gt;=1000,-1,0)))))</f>
        <v>414</v>
      </c>
      <c r="J1520" s="15">
        <v>420</v>
      </c>
      <c r="K1520" s="15">
        <f>IF(OR(J1520="",G1520=""),"",MAX(J1520,MIN(ROUND(J1520*(1+Параметры!$B$5),IF(J1520*(1+Параметры!$B$5)&gt;=1000,-1,0)),ROUND(G1520*Параметры!$B$6,IF(G1520*Параметры!$B$6&gt;=1000,-1,0)))))</f>
        <v>483</v>
      </c>
      <c r="L1520" s="16">
        <v>0.4</v>
      </c>
      <c r="M1520" s="17">
        <f t="shared" si="112"/>
        <v>2.5</v>
      </c>
      <c r="N1520" s="17">
        <f>IF(OR(L1520="",L1520=0),"",Параметры!$B$3/L1520)</f>
        <v>20</v>
      </c>
      <c r="O1520" s="15">
        <f>IF(L1520="","",IFERROR(INDEX('Почасовка — ставки и план'!$D$5:$D$24,MATCH($D1520,'Почасовка — ставки и план'!$A$5:$A$24,0)),""))</f>
        <v>850</v>
      </c>
      <c r="P1520" s="15">
        <f>IF(L1520="","",IFERROR(INDEX('Почасовка — ставки и план'!$E$5:$E$24,MATCH($D1520,'Почасовка — ставки и план'!$A$5:$A$24,0)),""))</f>
        <v>1020</v>
      </c>
      <c r="Q1520" s="15">
        <f t="shared" si="113"/>
        <v>340</v>
      </c>
      <c r="R1520" s="13" t="str">
        <f>IF(D1520="TEX","аренда техники — сделка/счёт",IF(OR(Q1520="",H1520="",H1520=0),"—",IF(Q1520&lt;H1520*(1-Параметры!$B$7),"почасовка",IF(Q1520&gt;H1520*(1+Параметры!$B$7),"сделка","любой способ"))))</f>
        <v>любой способ</v>
      </c>
      <c r="S1520">
        <v>0</v>
      </c>
      <c r="T1520">
        <v>0</v>
      </c>
    </row>
    <row r="1521" spans="1:20" x14ac:dyDescent="0.25">
      <c r="A1521" s="13" t="s">
        <v>3083</v>
      </c>
      <c r="B1521" s="13" t="s">
        <v>3084</v>
      </c>
      <c r="C1521" s="13" t="s">
        <v>865</v>
      </c>
      <c r="D1521" s="13" t="s">
        <v>273</v>
      </c>
      <c r="E1521" s="13" t="str">
        <f>IFERROR(INDEX('Почасовка — ставки и план'!$B$5:$B$24,MATCH(D1521,'Почасовка — ставки и план'!$A$5:$A$24,0)),"Аренда техники / механизмы")</f>
        <v>Электромонтажник</v>
      </c>
      <c r="F1521" s="14">
        <v>400</v>
      </c>
      <c r="G1521" s="14">
        <v>470</v>
      </c>
      <c r="H1521" s="15">
        <v>240</v>
      </c>
      <c r="I1521" s="15">
        <f>IF(OR(H1521="",F1521=""),"",MAX(H1521,MIN(ROUND(H1521*(1+Параметры!$B$5),IF(H1521*(1+Параметры!$B$5)&gt;=1000,-1,0)),ROUND(F1521*Параметры!$B$6,IF(F1521*Параметры!$B$6&gt;=1000,-1,0)))))</f>
        <v>276</v>
      </c>
      <c r="J1521" s="15">
        <v>280</v>
      </c>
      <c r="K1521" s="15">
        <f>IF(OR(J1521="",G1521=""),"",MAX(J1521,MIN(ROUND(J1521*(1+Параметры!$B$5),IF(J1521*(1+Параметры!$B$5)&gt;=1000,-1,0)),ROUND(G1521*Параметры!$B$6,IF(G1521*Параметры!$B$6&gt;=1000,-1,0)))))</f>
        <v>322</v>
      </c>
      <c r="L1521" s="16">
        <v>0.25</v>
      </c>
      <c r="M1521" s="17">
        <f t="shared" si="112"/>
        <v>4</v>
      </c>
      <c r="N1521" s="17">
        <f>IF(OR(L1521="",L1521=0),"",Параметры!$B$3/L1521)</f>
        <v>32</v>
      </c>
      <c r="O1521" s="15">
        <f>IF(L1521="","",IFERROR(INDEX('Почасовка — ставки и план'!$D$5:$D$24,MATCH($D1521,'Почасовка — ставки и план'!$A$5:$A$24,0)),""))</f>
        <v>850</v>
      </c>
      <c r="P1521" s="15">
        <f>IF(L1521="","",IFERROR(INDEX('Почасовка — ставки и план'!$E$5:$E$24,MATCH($D1521,'Почасовка — ставки и план'!$A$5:$A$24,0)),""))</f>
        <v>1020</v>
      </c>
      <c r="Q1521" s="15">
        <f t="shared" si="113"/>
        <v>213</v>
      </c>
      <c r="R1521" s="13" t="str">
        <f>IF(D1521="TEX","аренда техники — сделка/счёт",IF(OR(Q1521="",H1521="",H1521=0),"—",IF(Q1521&lt;H1521*(1-Параметры!$B$7),"почасовка",IF(Q1521&gt;H1521*(1+Параметры!$B$7),"сделка","любой способ"))))</f>
        <v>почасовка</v>
      </c>
      <c r="S1521">
        <v>0</v>
      </c>
      <c r="T1521">
        <v>0</v>
      </c>
    </row>
    <row r="1522" spans="1:20" x14ac:dyDescent="0.25">
      <c r="A1522" s="13" t="s">
        <v>3085</v>
      </c>
      <c r="B1522" s="13" t="s">
        <v>3086</v>
      </c>
      <c r="C1522" s="13" t="s">
        <v>69</v>
      </c>
      <c r="D1522" s="13" t="s">
        <v>2663</v>
      </c>
      <c r="E1522" s="13" t="str">
        <f>IFERROR(INDEX('Почасовка — ставки и план'!$B$5:$B$24,MATCH(D1522,'Почасовка — ставки и план'!$A$5:$A$24,0)),"Аренда техники / механизмы")</f>
        <v>Инженер электролаборатории / ПНР</v>
      </c>
      <c r="F1522" s="14">
        <v>80</v>
      </c>
      <c r="G1522" s="14">
        <v>95</v>
      </c>
      <c r="H1522" s="15">
        <v>48</v>
      </c>
      <c r="I1522" s="15">
        <f>IF(OR(H1522="",F1522=""),"",MAX(H1522,MIN(ROUND(H1522*(1+Параметры!$B$5),IF(H1522*(1+Параметры!$B$5)&gt;=1000,-1,0)),ROUND(F1522*Параметры!$B$6,IF(F1522*Параметры!$B$6&gt;=1000,-1,0)))))</f>
        <v>55</v>
      </c>
      <c r="J1522" s="15">
        <v>57</v>
      </c>
      <c r="K1522" s="15">
        <f>IF(OR(J1522="",G1522=""),"",MAX(J1522,MIN(ROUND(J1522*(1+Параметры!$B$5),IF(J1522*(1+Параметры!$B$5)&gt;=1000,-1,0)),ROUND(G1522*Параметры!$B$6,IF(G1522*Параметры!$B$6&gt;=1000,-1,0)))))</f>
        <v>66</v>
      </c>
      <c r="L1522" s="16">
        <v>0.03</v>
      </c>
      <c r="M1522" s="17">
        <f t="shared" si="112"/>
        <v>33.333333333333336</v>
      </c>
      <c r="N1522" s="17">
        <f>IF(OR(L1522="",L1522=0),"",Параметры!$B$3/L1522)</f>
        <v>266.66666666666669</v>
      </c>
      <c r="O1522" s="15">
        <f>IF(L1522="","",IFERROR(INDEX('Почасовка — ставки и план'!$D$5:$D$24,MATCH($D1522,'Почасовка — ставки и план'!$A$5:$A$24,0)),""))</f>
        <v>1400</v>
      </c>
      <c r="P1522" s="15">
        <f>IF(L1522="","",IFERROR(INDEX('Почасовка — ставки и план'!$E$5:$E$24,MATCH($D1522,'Почасовка — ставки и план'!$A$5:$A$24,0)),""))</f>
        <v>1680</v>
      </c>
      <c r="Q1522" s="15">
        <f t="shared" si="113"/>
        <v>42</v>
      </c>
      <c r="R1522" s="13" t="str">
        <f>IF(D1522="TEX","аренда техники — сделка/счёт",IF(OR(Q1522="",H1522="",H1522=0),"—",IF(Q1522&lt;H1522*(1-Параметры!$B$7),"почасовка",IF(Q1522&gt;H1522*(1+Параметры!$B$7),"сделка","любой способ"))))</f>
        <v>почасовка</v>
      </c>
      <c r="S1522">
        <v>0</v>
      </c>
      <c r="T1522">
        <v>0</v>
      </c>
    </row>
    <row r="1523" spans="1:20" x14ac:dyDescent="0.25">
      <c r="A1523" s="13" t="s">
        <v>3087</v>
      </c>
      <c r="B1523" s="13" t="s">
        <v>3088</v>
      </c>
      <c r="C1523" s="13" t="s">
        <v>865</v>
      </c>
      <c r="D1523" s="13" t="s">
        <v>2663</v>
      </c>
      <c r="E1523" s="13" t="str">
        <f>IFERROR(INDEX('Почасовка — ставки и план'!$B$5:$B$24,MATCH(D1523,'Почасовка — ставки и план'!$A$5:$A$24,0)),"Аренда техники / механизмы")</f>
        <v>Инженер электролаборатории / ПНР</v>
      </c>
      <c r="F1523" s="14">
        <v>5000</v>
      </c>
      <c r="G1523" s="14">
        <v>6000</v>
      </c>
      <c r="H1523" s="15">
        <v>3000</v>
      </c>
      <c r="I1523" s="15">
        <f>IF(OR(H1523="",F1523=""),"",MAX(H1523,MIN(ROUND(H1523*(1+Параметры!$B$5),IF(H1523*(1+Параметры!$B$5)&gt;=1000,-1,0)),ROUND(F1523*Параметры!$B$6,IF(F1523*Параметры!$B$6&gt;=1000,-1,0)))))</f>
        <v>3450</v>
      </c>
      <c r="J1523" s="15">
        <v>3600</v>
      </c>
      <c r="K1523" s="15">
        <f>IF(OR(J1523="",G1523=""),"",MAX(J1523,MIN(ROUND(J1523*(1+Параметры!$B$5),IF(J1523*(1+Параметры!$B$5)&gt;=1000,-1,0)),ROUND(G1523*Параметры!$B$6,IF(G1523*Параметры!$B$6&gt;=1000,-1,0)))))</f>
        <v>4140</v>
      </c>
      <c r="L1523" s="16">
        <v>2</v>
      </c>
      <c r="M1523" s="17">
        <f t="shared" si="112"/>
        <v>0.5</v>
      </c>
      <c r="N1523" s="17">
        <f>IF(OR(L1523="",L1523=0),"",Параметры!$B$3/L1523)</f>
        <v>4</v>
      </c>
      <c r="O1523" s="15">
        <f>IF(L1523="","",IFERROR(INDEX('Почасовка — ставки и план'!$D$5:$D$24,MATCH($D1523,'Почасовка — ставки и план'!$A$5:$A$24,0)),""))</f>
        <v>1400</v>
      </c>
      <c r="P1523" s="15">
        <f>IF(L1523="","",IFERROR(INDEX('Почасовка — ставки и план'!$E$5:$E$24,MATCH($D1523,'Почасовка — ставки и план'!$A$5:$A$24,0)),""))</f>
        <v>1680</v>
      </c>
      <c r="Q1523" s="15">
        <f t="shared" si="113"/>
        <v>2800</v>
      </c>
      <c r="R1523" s="13" t="str">
        <f>IF(D1523="TEX","аренда техники — сделка/счёт",IF(OR(Q1523="",H1523="",H1523=0),"—",IF(Q1523&lt;H1523*(1-Параметры!$B$7),"почасовка",IF(Q1523&gt;H1523*(1+Параметры!$B$7),"сделка","любой способ"))))</f>
        <v>любой способ</v>
      </c>
      <c r="S1523">
        <v>0</v>
      </c>
      <c r="T1523">
        <v>0</v>
      </c>
    </row>
    <row r="1524" spans="1:20" x14ac:dyDescent="0.25">
      <c r="A1524" s="13" t="s">
        <v>3089</v>
      </c>
      <c r="B1524" s="13" t="s">
        <v>3090</v>
      </c>
      <c r="C1524" s="13" t="s">
        <v>865</v>
      </c>
      <c r="D1524" s="13" t="s">
        <v>273</v>
      </c>
      <c r="E1524" s="13" t="str">
        <f>IFERROR(INDEX('Почасовка — ставки и план'!$B$5:$B$24,MATCH(D1524,'Почасовка — ставки и план'!$A$5:$A$24,0)),"Аренда техники / механизмы")</f>
        <v>Электромонтажник</v>
      </c>
      <c r="F1524" s="14">
        <v>1800</v>
      </c>
      <c r="G1524" s="14">
        <v>2100</v>
      </c>
      <c r="H1524" s="15">
        <v>1100</v>
      </c>
      <c r="I1524" s="15">
        <f>IF(OR(H1524="",F1524=""),"",MAX(H1524,MIN(ROUND(H1524*(1+Параметры!$B$5),IF(H1524*(1+Параметры!$B$5)&gt;=1000,-1,0)),ROUND(F1524*Параметры!$B$6,IF(F1524*Параметры!$B$6&gt;=1000,-1,0)))))</f>
        <v>1270</v>
      </c>
      <c r="J1524" s="15">
        <v>1300</v>
      </c>
      <c r="K1524" s="15">
        <f>IF(OR(J1524="",G1524=""),"",MAX(J1524,MIN(ROUND(J1524*(1+Параметры!$B$5),IF(J1524*(1+Параметры!$B$5)&gt;=1000,-1,0)),ROUND(G1524*Параметры!$B$6,IF(G1524*Параметры!$B$6&gt;=1000,-1,0)))))</f>
        <v>1500</v>
      </c>
      <c r="L1524" s="16">
        <v>1.5</v>
      </c>
      <c r="M1524" s="17">
        <f t="shared" si="112"/>
        <v>0.66666666666666663</v>
      </c>
      <c r="N1524" s="17">
        <f>IF(OR(L1524="",L1524=0),"",Параметры!$B$3/L1524)</f>
        <v>5.333333333333333</v>
      </c>
      <c r="O1524" s="15">
        <f>IF(L1524="","",IFERROR(INDEX('Почасовка — ставки и план'!$D$5:$D$24,MATCH($D1524,'Почасовка — ставки и план'!$A$5:$A$24,0)),""))</f>
        <v>850</v>
      </c>
      <c r="P1524" s="15">
        <f>IF(L1524="","",IFERROR(INDEX('Почасовка — ставки и план'!$E$5:$E$24,MATCH($D1524,'Почасовка — ставки и план'!$A$5:$A$24,0)),""))</f>
        <v>1020</v>
      </c>
      <c r="Q1524" s="15">
        <f t="shared" si="113"/>
        <v>1275</v>
      </c>
      <c r="R1524" s="13" t="str">
        <f>IF(D1524="TEX","аренда техники — сделка/счёт",IF(OR(Q1524="",H1524="",H1524=0),"—",IF(Q1524&lt;H1524*(1-Параметры!$B$7),"почасовка",IF(Q1524&gt;H1524*(1+Параметры!$B$7),"сделка","любой способ"))))</f>
        <v>сделка</v>
      </c>
      <c r="S1524">
        <v>0</v>
      </c>
      <c r="T1524">
        <v>0</v>
      </c>
    </row>
    <row r="1525" spans="1:20" x14ac:dyDescent="0.25">
      <c r="A1525" s="13" t="s">
        <v>3091</v>
      </c>
      <c r="B1525" s="13" t="s">
        <v>3092</v>
      </c>
      <c r="C1525" s="13" t="s">
        <v>144</v>
      </c>
      <c r="D1525" s="13" t="s">
        <v>2663</v>
      </c>
      <c r="E1525" s="13" t="str">
        <f>IFERROR(INDEX('Почасовка — ставки и план'!$B$5:$B$24,MATCH(D1525,'Почасовка — ставки и план'!$A$5:$A$24,0)),"Аренда техники / механизмы")</f>
        <v>Инженер электролаборатории / ПНР</v>
      </c>
      <c r="F1525" s="14">
        <v>1200</v>
      </c>
      <c r="G1525" s="14">
        <v>1400</v>
      </c>
      <c r="H1525" s="15">
        <v>720</v>
      </c>
      <c r="I1525" s="15">
        <f>IF(OR(H1525="",F1525=""),"",MAX(H1525,MIN(ROUND(H1525*(1+Параметры!$B$5),IF(H1525*(1+Параметры!$B$5)&gt;=1000,-1,0)),ROUND(F1525*Параметры!$B$6,IF(F1525*Параметры!$B$6&gt;=1000,-1,0)))))</f>
        <v>828</v>
      </c>
      <c r="J1525" s="15">
        <v>850</v>
      </c>
      <c r="K1525" s="15">
        <f>IF(OR(J1525="",G1525=""),"",MAX(J1525,MIN(ROUND(J1525*(1+Параметры!$B$5),IF(J1525*(1+Параметры!$B$5)&gt;=1000,-1,0)),ROUND(G1525*Параметры!$B$6,IF(G1525*Параметры!$B$6&gt;=1000,-1,0)))))</f>
        <v>978</v>
      </c>
      <c r="L1525" s="16">
        <v>0.5</v>
      </c>
      <c r="M1525" s="17">
        <f t="shared" si="112"/>
        <v>2</v>
      </c>
      <c r="N1525" s="17">
        <f>IF(OR(L1525="",L1525=0),"",Параметры!$B$3/L1525)</f>
        <v>16</v>
      </c>
      <c r="O1525" s="15">
        <f>IF(L1525="","",IFERROR(INDEX('Почасовка — ставки и план'!$D$5:$D$24,MATCH($D1525,'Почасовка — ставки и план'!$A$5:$A$24,0)),""))</f>
        <v>1400</v>
      </c>
      <c r="P1525" s="15">
        <f>IF(L1525="","",IFERROR(INDEX('Почасовка — ставки и план'!$E$5:$E$24,MATCH($D1525,'Почасовка — ставки и план'!$A$5:$A$24,0)),""))</f>
        <v>1680</v>
      </c>
      <c r="Q1525" s="15">
        <f t="shared" si="113"/>
        <v>700</v>
      </c>
      <c r="R1525" s="13" t="str">
        <f>IF(D1525="TEX","аренда техники — сделка/счёт",IF(OR(Q1525="",H1525="",H1525=0),"—",IF(Q1525&lt;H1525*(1-Параметры!$B$7),"почасовка",IF(Q1525&gt;H1525*(1+Параметры!$B$7),"сделка","любой способ"))))</f>
        <v>любой способ</v>
      </c>
      <c r="S1525">
        <v>0</v>
      </c>
      <c r="T1525">
        <v>0</v>
      </c>
    </row>
    <row r="1526" spans="1:20" x14ac:dyDescent="0.25">
      <c r="A1526" s="18" t="s">
        <v>3093</v>
      </c>
      <c r="B1526" s="13" t="s">
        <v>3094</v>
      </c>
      <c r="C1526" s="13" t="s">
        <v>144</v>
      </c>
      <c r="D1526" s="13" t="s">
        <v>2663</v>
      </c>
      <c r="E1526" s="13" t="str">
        <f>IFERROR(INDEX('Почасовка — ставки и план'!$B$5:$B$24,MATCH(D1526,'Почасовка — ставки и план'!$A$5:$A$24,0)),"Аренда техники / механизмы")</f>
        <v>Инженер электролаборатории / ПНР</v>
      </c>
      <c r="F1526" s="14">
        <v>280</v>
      </c>
      <c r="G1526" s="14">
        <v>336</v>
      </c>
      <c r="H1526" s="15">
        <v>90</v>
      </c>
      <c r="I1526" s="15">
        <f>IF(OR(H1526="",F1526=""),"",MAX(H1526,MIN(ROUND(H1526*(1+Параметры!$B$5),IF(H1526*(1+Параметры!$B$5)&gt;=1000,-1,0)),ROUND(F1526*Параметры!$B$6,IF(F1526*Параметры!$B$6&gt;=1000,-1,0)))))</f>
        <v>104</v>
      </c>
      <c r="J1526" s="15">
        <v>110</v>
      </c>
      <c r="K1526" s="15">
        <f>IF(OR(J1526="",G1526=""),"",MAX(J1526,MIN(ROUND(J1526*(1+Параметры!$B$5),IF(J1526*(1+Параметры!$B$5)&gt;=1000,-1,0)),ROUND(G1526*Параметры!$B$6,IF(G1526*Параметры!$B$6&gt;=1000,-1,0)))))</f>
        <v>127</v>
      </c>
      <c r="L1526" s="16">
        <v>0.15</v>
      </c>
      <c r="M1526" s="17">
        <f t="shared" si="112"/>
        <v>6.666666666666667</v>
      </c>
      <c r="N1526" s="17">
        <f>IF(OR(L1526="",L1526=0),"",Параметры!$B$3/L1526)</f>
        <v>53.333333333333336</v>
      </c>
      <c r="O1526" s="15">
        <f>IF(L1526="","",IFERROR(INDEX('Почасовка — ставки и план'!$D$5:$D$24,MATCH($D1526,'Почасовка — ставки и план'!$A$5:$A$24,0)),""))</f>
        <v>1400</v>
      </c>
      <c r="P1526" s="15">
        <f>IF(L1526="","",IFERROR(INDEX('Почасовка — ставки и план'!$E$5:$E$24,MATCH($D1526,'Почасовка — ставки и план'!$A$5:$A$24,0)),""))</f>
        <v>1680</v>
      </c>
      <c r="Q1526" s="15">
        <f t="shared" si="113"/>
        <v>210</v>
      </c>
      <c r="R1526" s="13" t="str">
        <f>IF(D1526="TEX","аренда техники — сделка/счёт",IF(OR(Q1526="",H1526="",H1526=0),"—",IF(Q1526&lt;H1526*(1-Параметры!$B$7),"почасовка",IF(Q1526&gt;H1526*(1+Параметры!$B$7),"сделка","любой способ"))))</f>
        <v>сделка</v>
      </c>
      <c r="S1526">
        <v>0.8666666666666667</v>
      </c>
      <c r="T1526">
        <v>0.8666666666666667</v>
      </c>
    </row>
    <row r="1527" spans="1:20" x14ac:dyDescent="0.25">
      <c r="A1527" s="18" t="s">
        <v>3095</v>
      </c>
      <c r="B1527" s="13" t="s">
        <v>3096</v>
      </c>
      <c r="C1527" s="13" t="s">
        <v>144</v>
      </c>
      <c r="D1527" s="13" t="s">
        <v>2663</v>
      </c>
      <c r="E1527" s="13" t="str">
        <f>IFERROR(INDEX('Почасовка — ставки и план'!$B$5:$B$24,MATCH(D1527,'Почасовка — ставки и план'!$A$5:$A$24,0)),"Аренда техники / механизмы")</f>
        <v>Инженер электролаборатории / ПНР</v>
      </c>
      <c r="F1527" s="14">
        <v>934</v>
      </c>
      <c r="G1527" s="14">
        <v>1120</v>
      </c>
      <c r="H1527" s="15">
        <v>540</v>
      </c>
      <c r="I1527" s="15">
        <f>IF(OR(H1527="",F1527=""),"",MAX(H1527,MIN(ROUND(H1527*(1+Параметры!$B$5),IF(H1527*(1+Параметры!$B$5)&gt;=1000,-1,0)),ROUND(F1527*Параметры!$B$6,IF(F1527*Параметры!$B$6&gt;=1000,-1,0)))))</f>
        <v>621</v>
      </c>
      <c r="J1527" s="15">
        <v>650</v>
      </c>
      <c r="K1527" s="15">
        <f>IF(OR(J1527="",G1527=""),"",MAX(J1527,MIN(ROUND(J1527*(1+Параметры!$B$5),IF(J1527*(1+Параметры!$B$5)&gt;=1000,-1,0)),ROUND(G1527*Параметры!$B$6,IF(G1527*Параметры!$B$6&gt;=1000,-1,0)))))</f>
        <v>748</v>
      </c>
      <c r="L1527" s="16">
        <v>0.5</v>
      </c>
      <c r="M1527" s="17">
        <f t="shared" si="112"/>
        <v>2</v>
      </c>
      <c r="N1527" s="17">
        <f>IF(OR(L1527="",L1527=0),"",Параметры!$B$3/L1527)</f>
        <v>16</v>
      </c>
      <c r="O1527" s="15">
        <f>IF(L1527="","",IFERROR(INDEX('Почасовка — ставки и план'!$D$5:$D$24,MATCH($D1527,'Почасовка — ставки и план'!$A$5:$A$24,0)),""))</f>
        <v>1400</v>
      </c>
      <c r="P1527" s="15">
        <f>IF(L1527="","",IFERROR(INDEX('Почасовка — ставки и план'!$E$5:$E$24,MATCH($D1527,'Почасовка — ставки и план'!$A$5:$A$24,0)),""))</f>
        <v>1680</v>
      </c>
      <c r="Q1527" s="15">
        <f t="shared" si="113"/>
        <v>700</v>
      </c>
      <c r="R1527" s="13" t="str">
        <f>IF(D1527="TEX","аренда техники — сделка/счёт",IF(OR(Q1527="",H1527="",H1527=0),"—",IF(Q1527&lt;H1527*(1-Параметры!$B$7),"почасовка",IF(Q1527&gt;H1527*(1+Параметры!$B$7),"сделка","любой способ"))))</f>
        <v>сделка</v>
      </c>
      <c r="S1527">
        <v>3.7777777777777688E-2</v>
      </c>
      <c r="T1527">
        <v>1.818181818181808E-2</v>
      </c>
    </row>
    <row r="1528" spans="1:20" x14ac:dyDescent="0.25">
      <c r="A1528" s="18" t="s">
        <v>3097</v>
      </c>
      <c r="B1528" s="13" t="s">
        <v>3098</v>
      </c>
      <c r="C1528" s="13" t="s">
        <v>144</v>
      </c>
      <c r="D1528" s="13" t="s">
        <v>2663</v>
      </c>
      <c r="E1528" s="13" t="str">
        <f>IFERROR(INDEX('Почасовка — ставки и план'!$B$5:$B$24,MATCH(D1528,'Почасовка — ставки и план'!$A$5:$A$24,0)),"Аренда техники / механизмы")</f>
        <v>Инженер электролаборатории / ПНР</v>
      </c>
      <c r="F1528" s="14">
        <v>3500</v>
      </c>
      <c r="G1528" s="14">
        <v>4100</v>
      </c>
      <c r="H1528" s="15">
        <v>2100</v>
      </c>
      <c r="I1528" s="15">
        <f>IF(OR(H1528="",F1528=""),"",MAX(H1528,MIN(ROUND(H1528*(1+Параметры!$B$5),IF(H1528*(1+Параметры!$B$5)&gt;=1000,-1,0)),ROUND(F1528*Параметры!$B$6,IF(F1528*Параметры!$B$6&gt;=1000,-1,0)))))</f>
        <v>2420</v>
      </c>
      <c r="J1528" s="15">
        <v>2450</v>
      </c>
      <c r="K1528" s="15">
        <f>IF(OR(J1528="",G1528=""),"",MAX(J1528,MIN(ROUND(J1528*(1+Параметры!$B$5),IF(J1528*(1+Параметры!$B$5)&gt;=1000,-1,0)),ROUND(G1528*Параметры!$B$6,IF(G1528*Параметры!$B$6&gt;=1000,-1,0)))))</f>
        <v>2820</v>
      </c>
      <c r="L1528" s="16">
        <v>1.5</v>
      </c>
      <c r="M1528" s="17">
        <f t="shared" si="112"/>
        <v>0.66666666666666663</v>
      </c>
      <c r="N1528" s="17">
        <f>IF(OR(L1528="",L1528=0),"",Параметры!$B$3/L1528)</f>
        <v>5.333333333333333</v>
      </c>
      <c r="O1528" s="15">
        <f>IF(L1528="","",IFERROR(INDEX('Почасовка — ставки и план'!$D$5:$D$24,MATCH($D1528,'Почасовка — ставки и план'!$A$5:$A$24,0)),""))</f>
        <v>1400</v>
      </c>
      <c r="P1528" s="15">
        <f>IF(L1528="","",IFERROR(INDEX('Почасовка — ставки и план'!$E$5:$E$24,MATCH($D1528,'Почасовка — ставки и план'!$A$5:$A$24,0)),""))</f>
        <v>1680</v>
      </c>
      <c r="Q1528" s="15">
        <f t="shared" si="113"/>
        <v>2100</v>
      </c>
      <c r="R1528" s="13" t="str">
        <f>IF(D1528="TEX","аренда техники — сделка/счёт",IF(OR(Q1528="",H1528="",H1528=0),"—",IF(Q1528&lt;H1528*(1-Параметры!$B$7),"почасовка",IF(Q1528&gt;H1528*(1+Параметры!$B$7),"сделка","любой способ"))))</f>
        <v>любой способ</v>
      </c>
      <c r="S1528">
        <v>0</v>
      </c>
      <c r="T1528">
        <v>0</v>
      </c>
    </row>
    <row r="1529" spans="1:20" x14ac:dyDescent="0.25">
      <c r="A1529" s="18" t="s">
        <v>3099</v>
      </c>
      <c r="B1529" s="13" t="s">
        <v>3100</v>
      </c>
      <c r="C1529" s="13" t="s">
        <v>2761</v>
      </c>
      <c r="D1529" s="13" t="s">
        <v>2663</v>
      </c>
      <c r="E1529" s="13" t="str">
        <f>IFERROR(INDEX('Почасовка — ставки и план'!$B$5:$B$24,MATCH(D1529,'Почасовка — ставки и план'!$A$5:$A$24,0)),"Аренда техники / механизмы")</f>
        <v>Инженер электролаборатории / ПНР</v>
      </c>
      <c r="F1529" s="14">
        <v>5600</v>
      </c>
      <c r="G1529" s="14">
        <v>6720</v>
      </c>
      <c r="H1529" s="15">
        <v>2400</v>
      </c>
      <c r="I1529" s="15">
        <f>IF(OR(H1529="",F1529=""),"",MAX(H1529,MIN(ROUND(H1529*(1+Параметры!$B$5),IF(H1529*(1+Параметры!$B$5)&gt;=1000,-1,0)),ROUND(F1529*Параметры!$B$6,IF(F1529*Параметры!$B$6&gt;=1000,-1,0)))))</f>
        <v>2760</v>
      </c>
      <c r="J1529" s="15">
        <v>2800</v>
      </c>
      <c r="K1529" s="15">
        <f>IF(OR(J1529="",G1529=""),"",MAX(J1529,MIN(ROUND(J1529*(1+Параметры!$B$5),IF(J1529*(1+Параметры!$B$5)&gt;=1000,-1,0)),ROUND(G1529*Параметры!$B$6,IF(G1529*Параметры!$B$6&gt;=1000,-1,0)))))</f>
        <v>3220</v>
      </c>
      <c r="L1529" s="16">
        <v>3</v>
      </c>
      <c r="M1529" s="17">
        <f t="shared" si="112"/>
        <v>0.33333333333333331</v>
      </c>
      <c r="N1529" s="17">
        <f>IF(OR(L1529="",L1529=0),"",Параметры!$B$3/L1529)</f>
        <v>2.6666666666666665</v>
      </c>
      <c r="O1529" s="15">
        <f>IF(L1529="","",IFERROR(INDEX('Почасовка — ставки и план'!$D$5:$D$24,MATCH($D1529,'Почасовка — ставки и план'!$A$5:$A$24,0)),""))</f>
        <v>1400</v>
      </c>
      <c r="P1529" s="15">
        <f>IF(L1529="","",IFERROR(INDEX('Почасовка — ставки и план'!$E$5:$E$24,MATCH($D1529,'Почасовка — ставки и план'!$A$5:$A$24,0)),""))</f>
        <v>1680</v>
      </c>
      <c r="Q1529" s="15">
        <f t="shared" si="113"/>
        <v>4200</v>
      </c>
      <c r="R1529" s="13" t="str">
        <f>IF(D1529="TEX","аренда техники — сделка/счёт",IF(OR(Q1529="",H1529="",H1529=0),"—",IF(Q1529&lt;H1529*(1-Параметры!$B$7),"почасовка",IF(Q1529&gt;H1529*(1+Параметры!$B$7),"сделка","любой способ"))))</f>
        <v>сделка</v>
      </c>
      <c r="S1529">
        <v>0.39999999999999991</v>
      </c>
      <c r="T1529">
        <v>0.42978723404255331</v>
      </c>
    </row>
    <row r="1530" spans="1:20" x14ac:dyDescent="0.25">
      <c r="A1530" s="18" t="s">
        <v>3101</v>
      </c>
      <c r="B1530" s="13" t="s">
        <v>3102</v>
      </c>
      <c r="C1530" s="13" t="s">
        <v>3103</v>
      </c>
      <c r="D1530" s="13" t="s">
        <v>2663</v>
      </c>
      <c r="E1530" s="13" t="str">
        <f>IFERROR(INDEX('Почасовка — ставки и план'!$B$5:$B$24,MATCH(D1530,'Почасовка — ставки и план'!$A$5:$A$24,0)),"Аренда техники / механизмы")</f>
        <v>Инженер электролаборатории / ПНР</v>
      </c>
      <c r="F1530" s="14">
        <v>467</v>
      </c>
      <c r="G1530" s="14">
        <v>560</v>
      </c>
      <c r="H1530" s="15">
        <v>180</v>
      </c>
      <c r="I1530" s="15">
        <f>IF(OR(H1530="",F1530=""),"",MAX(H1530,MIN(ROUND(H1530*(1+Параметры!$B$5),IF(H1530*(1+Параметры!$B$5)&gt;=1000,-1,0)),ROUND(F1530*Параметры!$B$6,IF(F1530*Параметры!$B$6&gt;=1000,-1,0)))))</f>
        <v>207</v>
      </c>
      <c r="J1530" s="15">
        <v>210</v>
      </c>
      <c r="K1530" s="15">
        <f>IF(OR(J1530="",G1530=""),"",MAX(J1530,MIN(ROUND(J1530*(1+Параметры!$B$5),IF(J1530*(1+Параметры!$B$5)&gt;=1000,-1,0)),ROUND(G1530*Параметры!$B$6,IF(G1530*Параметры!$B$6&gt;=1000,-1,0)))))</f>
        <v>242</v>
      </c>
      <c r="L1530" s="16">
        <v>0.25</v>
      </c>
      <c r="M1530" s="17">
        <f t="shared" si="112"/>
        <v>4</v>
      </c>
      <c r="N1530" s="17">
        <f>IF(OR(L1530="",L1530=0),"",Параметры!$B$3/L1530)</f>
        <v>32</v>
      </c>
      <c r="O1530" s="15">
        <f>IF(L1530="","",IFERROR(INDEX('Почасовка — ставки и план'!$D$5:$D$24,MATCH($D1530,'Почасовка — ставки и план'!$A$5:$A$24,0)),""))</f>
        <v>1400</v>
      </c>
      <c r="P1530" s="15">
        <f>IF(L1530="","",IFERROR(INDEX('Почасовка — ставки и план'!$E$5:$E$24,MATCH($D1530,'Почасовка — ставки и план'!$A$5:$A$24,0)),""))</f>
        <v>1680</v>
      </c>
      <c r="Q1530" s="15">
        <f t="shared" si="113"/>
        <v>350</v>
      </c>
      <c r="R1530" s="13" t="str">
        <f>IF(D1530="TEX","аренда техники — сделка/счёт",IF(OR(Q1530="",H1530="",H1530=0),"—",IF(Q1530&lt;H1530*(1-Параметры!$B$7),"почасовка",IF(Q1530&gt;H1530*(1+Параметры!$B$7),"сделка","любой способ"))))</f>
        <v>сделка</v>
      </c>
      <c r="S1530">
        <v>0.55666666666666664</v>
      </c>
      <c r="T1530">
        <v>0.60000000000000009</v>
      </c>
    </row>
    <row r="1531" spans="1:20" x14ac:dyDescent="0.25">
      <c r="A1531" s="18" t="s">
        <v>3104</v>
      </c>
      <c r="B1531" s="13" t="s">
        <v>3105</v>
      </c>
      <c r="C1531" s="13" t="s">
        <v>144</v>
      </c>
      <c r="D1531" s="13" t="s">
        <v>2663</v>
      </c>
      <c r="E1531" s="13" t="str">
        <f>IFERROR(INDEX('Почасовка — ставки и план'!$B$5:$B$24,MATCH(D1531,'Почасовка — ставки и план'!$A$5:$A$24,0)),"Аренда техники / механизмы")</f>
        <v>Инженер электролаборатории / ПНР</v>
      </c>
      <c r="F1531" s="14">
        <v>3734</v>
      </c>
      <c r="G1531" s="14">
        <v>4480</v>
      </c>
      <c r="H1531" s="15">
        <v>1800</v>
      </c>
      <c r="I1531" s="15">
        <f>IF(OR(H1531="",F1531=""),"",MAX(H1531,MIN(ROUND(H1531*(1+Параметры!$B$5),IF(H1531*(1+Параметры!$B$5)&gt;=1000,-1,0)),ROUND(F1531*Параметры!$B$6,IF(F1531*Параметры!$B$6&gt;=1000,-1,0)))))</f>
        <v>2070</v>
      </c>
      <c r="J1531" s="15">
        <v>2100</v>
      </c>
      <c r="K1531" s="15">
        <f>IF(OR(J1531="",G1531=""),"",MAX(J1531,MIN(ROUND(J1531*(1+Параметры!$B$5),IF(J1531*(1+Параметры!$B$5)&gt;=1000,-1,0)),ROUND(G1531*Параметры!$B$6,IF(G1531*Параметры!$B$6&gt;=1000,-1,0)))))</f>
        <v>2420</v>
      </c>
      <c r="L1531" s="16">
        <v>2</v>
      </c>
      <c r="M1531" s="17">
        <f t="shared" si="112"/>
        <v>0.5</v>
      </c>
      <c r="N1531" s="17">
        <f>IF(OR(L1531="",L1531=0),"",Параметры!$B$3/L1531)</f>
        <v>4</v>
      </c>
      <c r="O1531" s="15">
        <f>IF(L1531="","",IFERROR(INDEX('Почасовка — ставки и план'!$D$5:$D$24,MATCH($D1531,'Почасовка — ставки и план'!$A$5:$A$24,0)),""))</f>
        <v>1400</v>
      </c>
      <c r="P1531" s="15">
        <f>IF(L1531="","",IFERROR(INDEX('Почасовка — ставки и план'!$E$5:$E$24,MATCH($D1531,'Почасовка — ставки и план'!$A$5:$A$24,0)),""))</f>
        <v>1680</v>
      </c>
      <c r="Q1531" s="15">
        <f t="shared" si="113"/>
        <v>2800</v>
      </c>
      <c r="R1531" s="13" t="str">
        <f>IF(D1531="TEX","аренда техники — сделка/счёт",IF(OR(Q1531="",H1531="",H1531=0),"—",IF(Q1531&lt;H1531*(1-Параметры!$B$7),"почасовка",IF(Q1531&gt;H1531*(1+Параметры!$B$7),"сделка","любой способ"))))</f>
        <v>сделка</v>
      </c>
      <c r="S1531">
        <v>0.24466666666666659</v>
      </c>
      <c r="T1531">
        <v>0.28000000000000003</v>
      </c>
    </row>
    <row r="1532" spans="1:20" x14ac:dyDescent="0.25">
      <c r="A1532" s="11" t="s">
        <v>3106</v>
      </c>
      <c r="B1532" s="12"/>
      <c r="C1532" s="12"/>
      <c r="D1532" s="12"/>
      <c r="E1532" s="12"/>
      <c r="F1532" s="12"/>
      <c r="G1532" s="12"/>
      <c r="H1532" s="12"/>
      <c r="I1532" s="12"/>
      <c r="J1532" s="12"/>
      <c r="K1532" s="12"/>
      <c r="L1532" s="12"/>
      <c r="M1532" s="12"/>
      <c r="N1532" s="12"/>
      <c r="O1532" s="12"/>
      <c r="P1532" s="12"/>
      <c r="Q1532" s="12"/>
      <c r="R1532" s="12"/>
    </row>
    <row r="1533" spans="1:20" x14ac:dyDescent="0.25">
      <c r="A1533" s="13" t="s">
        <v>3107</v>
      </c>
      <c r="B1533" s="13" t="s">
        <v>3108</v>
      </c>
      <c r="C1533" s="13" t="s">
        <v>55</v>
      </c>
      <c r="D1533" s="13" t="s">
        <v>3109</v>
      </c>
      <c r="E1533" s="13" t="str">
        <f>IFERROR(INDEX('Почасовка — ставки и план'!$B$5:$B$24,MATCH(D1533,'Почасовка — ставки и план'!$A$5:$A$24,0)),"Аренда техники / механизмы")</f>
        <v>Монтажник наружных сетей</v>
      </c>
      <c r="F1533" s="14">
        <v>1360</v>
      </c>
      <c r="G1533" s="14">
        <v>1632</v>
      </c>
      <c r="H1533" s="15">
        <v>500</v>
      </c>
      <c r="I1533" s="15">
        <f>IF(OR(H1533="",F1533=""),"",MAX(H1533,MIN(ROUND(H1533*(1+Параметры!$B$5),IF(H1533*(1+Параметры!$B$5)&gt;=1000,-1,0)),ROUND(F1533*Параметры!$B$6,IF(F1533*Параметры!$B$6&gt;=1000,-1,0)))))</f>
        <v>575</v>
      </c>
      <c r="J1533" s="15">
        <v>575</v>
      </c>
      <c r="K1533" s="15">
        <f>IF(OR(J1533="",G1533=""),"",MAX(J1533,MIN(ROUND(J1533*(1+Параметры!$B$5),IF(J1533*(1+Параметры!$B$5)&gt;=1000,-1,0)),ROUND(G1533*Параметры!$B$6,IF(G1533*Параметры!$B$6&gt;=1000,-1,0)))))</f>
        <v>661</v>
      </c>
      <c r="L1533" s="16">
        <v>1.2</v>
      </c>
      <c r="M1533" s="17">
        <f t="shared" ref="M1533:M1567" si="114">IF(OR(L1533="",L1533=0),"",1/L1533)</f>
        <v>0.83333333333333337</v>
      </c>
      <c r="N1533" s="17">
        <f>IF(OR(L1533="",L1533=0),"",Параметры!$B$3/L1533)</f>
        <v>6.666666666666667</v>
      </c>
      <c r="O1533" s="15">
        <f>IF(L1533="","",IFERROR(INDEX('Почасовка — ставки и план'!$D$5:$D$24,MATCH($D1533,'Почасовка — ставки и план'!$A$5:$A$24,0)),""))</f>
        <v>850</v>
      </c>
      <c r="P1533" s="15">
        <f>IF(L1533="","",IFERROR(INDEX('Почасовка — ставки и план'!$E$5:$E$24,MATCH($D1533,'Почасовка — ставки и план'!$A$5:$A$24,0)),""))</f>
        <v>1020</v>
      </c>
      <c r="Q1533" s="15">
        <f t="shared" ref="Q1533:Q1567" si="115">IF(OR(L1533="",O1533=""),"",ROUND(L1533*O1533,0))</f>
        <v>1020</v>
      </c>
      <c r="R1533" s="13" t="str">
        <f>IF(D1533="TEX","аренда техники — сделка/счёт",IF(OR(Q1533="",H1533="",H1533=0),"—",IF(Q1533&lt;H1533*(1-Параметры!$B$7),"почасовка",IF(Q1533&gt;H1533*(1+Параметры!$B$7),"сделка","любой способ"))))</f>
        <v>сделка</v>
      </c>
      <c r="S1533">
        <v>0.7</v>
      </c>
      <c r="T1533">
        <v>0.77391304347826084</v>
      </c>
    </row>
    <row r="1534" spans="1:20" x14ac:dyDescent="0.25">
      <c r="A1534" s="13" t="s">
        <v>3110</v>
      </c>
      <c r="B1534" s="13" t="s">
        <v>3111</v>
      </c>
      <c r="C1534" s="13" t="s">
        <v>55</v>
      </c>
      <c r="D1534" s="13" t="s">
        <v>3109</v>
      </c>
      <c r="E1534" s="13" t="str">
        <f>IFERROR(INDEX('Почасовка — ставки и план'!$B$5:$B$24,MATCH(D1534,'Почасовка — ставки и план'!$A$5:$A$24,0)),"Аренда техники / механизмы")</f>
        <v>Монтажник наружных сетей</v>
      </c>
      <c r="F1534" s="14">
        <v>1700</v>
      </c>
      <c r="G1534" s="14">
        <v>2040</v>
      </c>
      <c r="H1534" s="15">
        <v>600</v>
      </c>
      <c r="I1534" s="15">
        <f>IF(OR(H1534="",F1534=""),"",MAX(H1534,MIN(ROUND(H1534*(1+Параметры!$B$5),IF(H1534*(1+Параметры!$B$5)&gt;=1000,-1,0)),ROUND(F1534*Параметры!$B$6,IF(F1534*Параметры!$B$6&gt;=1000,-1,0)))))</f>
        <v>690</v>
      </c>
      <c r="J1534" s="15">
        <v>690</v>
      </c>
      <c r="K1534" s="15">
        <f>IF(OR(J1534="",G1534=""),"",MAX(J1534,MIN(ROUND(J1534*(1+Параметры!$B$5),IF(J1534*(1+Параметры!$B$5)&gt;=1000,-1,0)),ROUND(G1534*Параметры!$B$6,IF(G1534*Параметры!$B$6&gt;=1000,-1,0)))))</f>
        <v>794</v>
      </c>
      <c r="L1534" s="16">
        <v>1.5</v>
      </c>
      <c r="M1534" s="17">
        <f t="shared" si="114"/>
        <v>0.66666666666666663</v>
      </c>
      <c r="N1534" s="17">
        <f>IF(OR(L1534="",L1534=0),"",Параметры!$B$3/L1534)</f>
        <v>5.333333333333333</v>
      </c>
      <c r="O1534" s="15">
        <f>IF(L1534="","",IFERROR(INDEX('Почасовка — ставки и план'!$D$5:$D$24,MATCH($D1534,'Почасовка — ставки и план'!$A$5:$A$24,0)),""))</f>
        <v>850</v>
      </c>
      <c r="P1534" s="15">
        <f>IF(L1534="","",IFERROR(INDEX('Почасовка — ставки и план'!$E$5:$E$24,MATCH($D1534,'Почасовка — ставки и план'!$A$5:$A$24,0)),""))</f>
        <v>1020</v>
      </c>
      <c r="Q1534" s="15">
        <f t="shared" si="115"/>
        <v>1275</v>
      </c>
      <c r="R1534" s="13" t="str">
        <f>IF(D1534="TEX","аренда техники — сделка/счёт",IF(OR(Q1534="",H1534="",H1534=0),"—",IF(Q1534&lt;H1534*(1-Параметры!$B$7),"почасовка",IF(Q1534&gt;H1534*(1+Параметры!$B$7),"сделка","любой способ"))))</f>
        <v>сделка</v>
      </c>
      <c r="S1534">
        <v>0.78947368421052633</v>
      </c>
      <c r="T1534">
        <v>0.86813186813186816</v>
      </c>
    </row>
    <row r="1535" spans="1:20" x14ac:dyDescent="0.25">
      <c r="A1535" s="13" t="s">
        <v>3112</v>
      </c>
      <c r="B1535" s="13" t="s">
        <v>3113</v>
      </c>
      <c r="C1535" s="13" t="s">
        <v>55</v>
      </c>
      <c r="D1535" s="13" t="s">
        <v>162</v>
      </c>
      <c r="E1535" s="13" t="str">
        <f>IFERROR(INDEX('Почасовка — ставки и план'!$B$5:$B$24,MATCH(D1535,'Почасовка — ставки и план'!$A$5:$A$24,0)),"Аренда техники / механизмы")</f>
        <v>Бетонщик / арматурщик</v>
      </c>
      <c r="F1535" s="14">
        <v>4267</v>
      </c>
      <c r="G1535" s="14">
        <v>5067</v>
      </c>
      <c r="H1535" s="15">
        <v>2000</v>
      </c>
      <c r="I1535" s="15">
        <f>IF(OR(H1535="",F1535=""),"",MAX(H1535,MIN(ROUND(H1535*(1+Параметры!$B$5),IF(H1535*(1+Параметры!$B$5)&gt;=1000,-1,0)),ROUND(F1535*Параметры!$B$6,IF(F1535*Параметры!$B$6&gt;=1000,-1,0)))))</f>
        <v>2300</v>
      </c>
      <c r="J1535" s="15">
        <v>2300</v>
      </c>
      <c r="K1535" s="15">
        <f>IF(OR(J1535="",G1535=""),"",MAX(J1535,MIN(ROUND(J1535*(1+Параметры!$B$5),IF(J1535*(1+Параметры!$B$5)&gt;=1000,-1,0)),ROUND(G1535*Параметры!$B$6,IF(G1535*Параметры!$B$6&gt;=1000,-1,0)))))</f>
        <v>2650</v>
      </c>
      <c r="L1535" s="16">
        <v>4</v>
      </c>
      <c r="M1535" s="17">
        <f t="shared" si="114"/>
        <v>0.25</v>
      </c>
      <c r="N1535" s="17">
        <f>IF(OR(L1535="",L1535=0),"",Параметры!$B$3/L1535)</f>
        <v>2</v>
      </c>
      <c r="O1535" s="15">
        <f>IF(L1535="","",IFERROR(INDEX('Почасовка — ставки и план'!$D$5:$D$24,MATCH($D1535,'Почасовка — ставки и план'!$A$5:$A$24,0)),""))</f>
        <v>800</v>
      </c>
      <c r="P1535" s="15">
        <f>IF(L1535="","",IFERROR(INDEX('Почасовка — ставки и план'!$E$5:$E$24,MATCH($D1535,'Почасовка — ставки и план'!$A$5:$A$24,0)),""))</f>
        <v>950</v>
      </c>
      <c r="Q1535" s="15">
        <f t="shared" si="115"/>
        <v>3200</v>
      </c>
      <c r="R1535" s="13" t="str">
        <f>IF(D1535="TEX","аренда техники — сделка/счёт",IF(OR(Q1535="",H1535="",H1535=0),"—",IF(Q1535&lt;H1535*(1-Параметры!$B$7),"почасовка",IF(Q1535&gt;H1535*(1+Параметры!$B$7),"сделка","любой способ"))))</f>
        <v>сделка</v>
      </c>
      <c r="S1535">
        <v>0.33343750000000011</v>
      </c>
      <c r="T1535">
        <v>0.37690217391304343</v>
      </c>
    </row>
    <row r="1536" spans="1:20" x14ac:dyDescent="0.25">
      <c r="A1536" s="13" t="s">
        <v>3114</v>
      </c>
      <c r="B1536" s="13" t="s">
        <v>3115</v>
      </c>
      <c r="C1536" s="13" t="s">
        <v>3116</v>
      </c>
      <c r="D1536" s="13" t="s">
        <v>60</v>
      </c>
      <c r="E1536" s="13" t="str">
        <f>IFERROR(INDEX('Почасовка — ставки и план'!$B$5:$B$24,MATCH(D1536,'Почасовка — ставки и план'!$A$5:$A$24,0)),"Аренда техники / механизмы")</f>
        <v>Разнорабочий / демонтажник</v>
      </c>
      <c r="F1536" s="14">
        <v>450</v>
      </c>
      <c r="G1536" s="14">
        <v>518</v>
      </c>
      <c r="H1536" s="15">
        <v>280</v>
      </c>
      <c r="I1536" s="15">
        <f>IF(OR(H1536="",F1536=""),"",MAX(H1536,MIN(ROUND(H1536*(1+Параметры!$B$5),IF(H1536*(1+Параметры!$B$5)&gt;=1000,-1,0)),ROUND(F1536*Параметры!$B$6,IF(F1536*Параметры!$B$6&gt;=1000,-1,0)))))</f>
        <v>322</v>
      </c>
      <c r="J1536" s="15">
        <v>322</v>
      </c>
      <c r="K1536" s="15">
        <f>IF(OR(J1536="",G1536=""),"",MAX(J1536,MIN(ROUND(J1536*(1+Параметры!$B$5),IF(J1536*(1+Параметры!$B$5)&gt;=1000,-1,0)),ROUND(G1536*Параметры!$B$6,IF(G1536*Параметры!$B$6&gt;=1000,-1,0)))))</f>
        <v>370</v>
      </c>
      <c r="L1536" s="16">
        <v>0.4</v>
      </c>
      <c r="M1536" s="17">
        <f t="shared" si="114"/>
        <v>2.5</v>
      </c>
      <c r="N1536" s="17">
        <f>IF(OR(L1536="",L1536=0),"",Параметры!$B$3/L1536)</f>
        <v>20</v>
      </c>
      <c r="O1536" s="15">
        <f>IF(L1536="","",IFERROR(INDEX('Почасовка — ставки и план'!$D$5:$D$24,MATCH($D1536,'Почасовка — ставки и план'!$A$5:$A$24,0)),""))</f>
        <v>550</v>
      </c>
      <c r="P1536" s="15">
        <f>IF(L1536="","",IFERROR(INDEX('Почасовка — ставки и план'!$E$5:$E$24,MATCH($D1536,'Почасовка — ставки и план'!$A$5:$A$24,0)),""))</f>
        <v>660</v>
      </c>
      <c r="Q1536" s="15">
        <f t="shared" si="115"/>
        <v>220</v>
      </c>
      <c r="R1536" s="13" t="str">
        <f>IF(D1536="TEX","аренда техники — сделка/счёт",IF(OR(Q1536="",H1536="",H1536=0),"—",IF(Q1536&lt;H1536*(1-Параметры!$B$7),"почасовка",IF(Q1536&gt;H1536*(1+Параметры!$B$7),"сделка","любой способ"))))</f>
        <v>почасовка</v>
      </c>
      <c r="S1536">
        <v>0</v>
      </c>
      <c r="T1536">
        <v>0</v>
      </c>
    </row>
    <row r="1537" spans="1:20" x14ac:dyDescent="0.25">
      <c r="A1537" s="13" t="s">
        <v>3117</v>
      </c>
      <c r="B1537" s="13" t="s">
        <v>3118</v>
      </c>
      <c r="C1537" s="13" t="s">
        <v>69</v>
      </c>
      <c r="D1537" s="13" t="s">
        <v>60</v>
      </c>
      <c r="E1537" s="13" t="str">
        <f>IFERROR(INDEX('Почасовка — ставки и план'!$B$5:$B$24,MATCH(D1537,'Почасовка — ставки и план'!$A$5:$A$24,0)),"Аренда техники / механизмы")</f>
        <v>Разнорабочий / демонтажник</v>
      </c>
      <c r="F1537" s="14">
        <v>300</v>
      </c>
      <c r="G1537" s="14">
        <v>345</v>
      </c>
      <c r="H1537" s="15">
        <v>190</v>
      </c>
      <c r="I1537" s="15">
        <f>IF(OR(H1537="",F1537=""),"",MAX(H1537,MIN(ROUND(H1537*(1+Параметры!$B$5),IF(H1537*(1+Параметры!$B$5)&gt;=1000,-1,0)),ROUND(F1537*Параметры!$B$6,IF(F1537*Параметры!$B$6&gt;=1000,-1,0)))))</f>
        <v>219</v>
      </c>
      <c r="J1537" s="15">
        <v>218</v>
      </c>
      <c r="K1537" s="15">
        <f>IF(OR(J1537="",G1537=""),"",MAX(J1537,MIN(ROUND(J1537*(1+Параметры!$B$5),IF(J1537*(1+Параметры!$B$5)&gt;=1000,-1,0)),ROUND(G1537*Параметры!$B$6,IF(G1537*Параметры!$B$6&gt;=1000,-1,0)))))</f>
        <v>251</v>
      </c>
      <c r="L1537" s="16">
        <v>0.25</v>
      </c>
      <c r="M1537" s="17">
        <f t="shared" si="114"/>
        <v>4</v>
      </c>
      <c r="N1537" s="17">
        <f>IF(OR(L1537="",L1537=0),"",Параметры!$B$3/L1537)</f>
        <v>32</v>
      </c>
      <c r="O1537" s="15">
        <f>IF(L1537="","",IFERROR(INDEX('Почасовка — ставки и план'!$D$5:$D$24,MATCH($D1537,'Почасовка — ставки и план'!$A$5:$A$24,0)),""))</f>
        <v>550</v>
      </c>
      <c r="P1537" s="15">
        <f>IF(L1537="","",IFERROR(INDEX('Почасовка — ставки и план'!$E$5:$E$24,MATCH($D1537,'Почасовка — ставки и план'!$A$5:$A$24,0)),""))</f>
        <v>660</v>
      </c>
      <c r="Q1537" s="15">
        <f t="shared" si="115"/>
        <v>138</v>
      </c>
      <c r="R1537" s="13" t="str">
        <f>IF(D1537="TEX","аренда техники — сделка/счёт",IF(OR(Q1537="",H1537="",H1537=0),"—",IF(Q1537&lt;H1537*(1-Параметры!$B$7),"почасовка",IF(Q1537&gt;H1537*(1+Параметры!$B$7),"сделка","любой способ"))))</f>
        <v>почасовка</v>
      </c>
      <c r="S1537">
        <v>0</v>
      </c>
      <c r="T1537">
        <v>0</v>
      </c>
    </row>
    <row r="1538" spans="1:20" x14ac:dyDescent="0.25">
      <c r="A1538" s="13" t="s">
        <v>3119</v>
      </c>
      <c r="B1538" s="13" t="s">
        <v>3120</v>
      </c>
      <c r="C1538" s="13" t="s">
        <v>55</v>
      </c>
      <c r="D1538" s="13" t="s">
        <v>162</v>
      </c>
      <c r="E1538" s="13" t="str">
        <f>IFERROR(INDEX('Почасовка — ставки и план'!$B$5:$B$24,MATCH(D1538,'Почасовка — ставки и план'!$A$5:$A$24,0)),"Аренда техники / механизмы")</f>
        <v>Бетонщик / арматурщик</v>
      </c>
      <c r="F1538" s="14">
        <v>14934</v>
      </c>
      <c r="G1538" s="14">
        <v>17734</v>
      </c>
      <c r="H1538" s="15">
        <v>9000</v>
      </c>
      <c r="I1538" s="15">
        <f>IF(OR(H1538="",F1538=""),"",MAX(H1538,MIN(ROUND(H1538*(1+Параметры!$B$5),IF(H1538*(1+Параметры!$B$5)&gt;=1000,-1,0)),ROUND(F1538*Параметры!$B$6,IF(F1538*Параметры!$B$6&gt;=1000,-1,0)))))</f>
        <v>10350</v>
      </c>
      <c r="J1538" s="15">
        <v>10350</v>
      </c>
      <c r="K1538" s="15">
        <f>IF(OR(J1538="",G1538=""),"",MAX(J1538,MIN(ROUND(J1538*(1+Параметры!$B$5),IF(J1538*(1+Параметры!$B$5)&gt;=1000,-1,0)),ROUND(G1538*Параметры!$B$6,IF(G1538*Параметры!$B$6&gt;=1000,-1,0)))))</f>
        <v>11900</v>
      </c>
      <c r="L1538" s="16">
        <v>14</v>
      </c>
      <c r="M1538" s="17">
        <f t="shared" si="114"/>
        <v>7.1428571428571425E-2</v>
      </c>
      <c r="N1538" s="17">
        <f>IF(OR(L1538="",L1538=0),"",Параметры!$B$3/L1538)</f>
        <v>0.5714285714285714</v>
      </c>
      <c r="O1538" s="15">
        <f>IF(L1538="","",IFERROR(INDEX('Почасовка — ставки и план'!$D$5:$D$24,MATCH($D1538,'Почасовка — ставки и план'!$A$5:$A$24,0)),""))</f>
        <v>800</v>
      </c>
      <c r="P1538" s="15">
        <f>IF(L1538="","",IFERROR(INDEX('Почасовка — ставки и план'!$E$5:$E$24,MATCH($D1538,'Почасовка — ставки и план'!$A$5:$A$24,0)),""))</f>
        <v>950</v>
      </c>
      <c r="Q1538" s="15">
        <f t="shared" si="115"/>
        <v>11200</v>
      </c>
      <c r="R1538" s="13" t="str">
        <f>IF(D1538="TEX","аренда техники — сделка/счёт",IF(OR(Q1538="",H1538="",H1538=0),"—",IF(Q1538&lt;H1538*(1-Параметры!$B$7),"почасовка",IF(Q1538&gt;H1538*(1+Параметры!$B$7),"сделка","любой способ"))))</f>
        <v>сделка</v>
      </c>
      <c r="S1538">
        <v>6.6714285714285726E-2</v>
      </c>
      <c r="T1538">
        <v>0.10149068322981369</v>
      </c>
    </row>
    <row r="1539" spans="1:20" x14ac:dyDescent="0.25">
      <c r="A1539" s="13" t="s">
        <v>3121</v>
      </c>
      <c r="B1539" s="13" t="s">
        <v>3122</v>
      </c>
      <c r="C1539" s="13" t="s">
        <v>55</v>
      </c>
      <c r="D1539" s="13" t="s">
        <v>162</v>
      </c>
      <c r="E1539" s="13" t="str">
        <f>IFERROR(INDEX('Почасовка — ставки и план'!$B$5:$B$24,MATCH(D1539,'Почасовка — ставки и план'!$A$5:$A$24,0)),"Аренда техники / механизмы")</f>
        <v>Бетонщик / арматурщик</v>
      </c>
      <c r="F1539" s="14">
        <v>42667</v>
      </c>
      <c r="G1539" s="14">
        <v>50667</v>
      </c>
      <c r="H1539" s="15">
        <v>24000</v>
      </c>
      <c r="I1539" s="15">
        <f>IF(OR(H1539="",F1539=""),"",MAX(H1539,MIN(ROUND(H1539*(1+Параметры!$B$5),IF(H1539*(1+Параметры!$B$5)&gt;=1000,-1,0)),ROUND(F1539*Параметры!$B$6,IF(F1539*Параметры!$B$6&gt;=1000,-1,0)))))</f>
        <v>27600</v>
      </c>
      <c r="J1539" s="15">
        <v>27600</v>
      </c>
      <c r="K1539" s="15">
        <f>IF(OR(J1539="",G1539=""),"",MAX(J1539,MIN(ROUND(J1539*(1+Параметры!$B$5),IF(J1539*(1+Параметры!$B$5)&gt;=1000,-1,0)),ROUND(G1539*Параметры!$B$6,IF(G1539*Параметры!$B$6&gt;=1000,-1,0)))))</f>
        <v>31740</v>
      </c>
      <c r="L1539" s="16">
        <v>40</v>
      </c>
      <c r="M1539" s="17">
        <f t="shared" si="114"/>
        <v>2.5000000000000001E-2</v>
      </c>
      <c r="N1539" s="17">
        <f>IF(OR(L1539="",L1539=0),"",Параметры!$B$3/L1539)</f>
        <v>0.2</v>
      </c>
      <c r="O1539" s="15">
        <f>IF(L1539="","",IFERROR(INDEX('Почасовка — ставки и план'!$D$5:$D$24,MATCH($D1539,'Почасовка — ставки и план'!$A$5:$A$24,0)),""))</f>
        <v>800</v>
      </c>
      <c r="P1539" s="15">
        <f>IF(L1539="","",IFERROR(INDEX('Почасовка — ставки и план'!$E$5:$E$24,MATCH($D1539,'Почасовка — ставки и план'!$A$5:$A$24,0)),""))</f>
        <v>950</v>
      </c>
      <c r="Q1539" s="15">
        <f t="shared" si="115"/>
        <v>32000</v>
      </c>
      <c r="R1539" s="13" t="str">
        <f>IF(D1539="TEX","аренда техники — сделка/счёт",IF(OR(Q1539="",H1539="",H1539=0),"—",IF(Q1539&lt;H1539*(1-Параметры!$B$7),"почасовка",IF(Q1539&gt;H1539*(1+Параметры!$B$7),"сделка","любой способ"))))</f>
        <v>сделка</v>
      </c>
      <c r="S1539">
        <v>0.1228157894736841</v>
      </c>
      <c r="T1539">
        <v>0.15942791762013719</v>
      </c>
    </row>
    <row r="1540" spans="1:20" x14ac:dyDescent="0.25">
      <c r="A1540" s="13" t="s">
        <v>3123</v>
      </c>
      <c r="B1540" s="13" t="s">
        <v>3124</v>
      </c>
      <c r="C1540" s="13" t="s">
        <v>152</v>
      </c>
      <c r="D1540" s="13" t="s">
        <v>64</v>
      </c>
      <c r="E1540" s="13" t="str">
        <f>IFERROR(INDEX('Почасовка — ставки и план'!$B$5:$B$24,MATCH(D1540,'Почасовка — ставки и план'!$A$5:$A$24,0)),"Аренда техники / механизмы")</f>
        <v>Сварщик / монтажник МК</v>
      </c>
      <c r="F1540" s="14">
        <v>110000</v>
      </c>
      <c r="G1540" s="14">
        <v>125400</v>
      </c>
      <c r="H1540" s="15">
        <v>70000</v>
      </c>
      <c r="I1540" s="15">
        <f>IF(OR(H1540="",F1540=""),"",MAX(H1540,MIN(ROUND(H1540*(1+Параметры!$B$5),IF(H1540*(1+Параметры!$B$5)&gt;=1000,-1,0)),ROUND(F1540*Параметры!$B$6,IF(F1540*Параметры!$B$6&gt;=1000,-1,0)))))</f>
        <v>80500</v>
      </c>
      <c r="J1540" s="15">
        <v>79800</v>
      </c>
      <c r="K1540" s="15">
        <f>IF(OR(J1540="",G1540=""),"",MAX(J1540,MIN(ROUND(J1540*(1+Параметры!$B$5),IF(J1540*(1+Параметры!$B$5)&gt;=1000,-1,0)),ROUND(G1540*Параметры!$B$6,IF(G1540*Параметры!$B$6&gt;=1000,-1,0)))))</f>
        <v>91770</v>
      </c>
      <c r="L1540" s="16">
        <v>70</v>
      </c>
      <c r="M1540" s="17">
        <f t="shared" si="114"/>
        <v>1.4285714285714285E-2</v>
      </c>
      <c r="N1540" s="17">
        <f>IF(OR(L1540="",L1540=0),"",Параметры!$B$3/L1540)</f>
        <v>0.11428571428571428</v>
      </c>
      <c r="O1540" s="15">
        <f>IF(L1540="","",IFERROR(INDEX('Почасовка — ставки и план'!$D$5:$D$24,MATCH($D1540,'Почасовка — ставки и план'!$A$5:$A$24,0)),""))</f>
        <v>900</v>
      </c>
      <c r="P1540" s="15">
        <f>IF(L1540="","",IFERROR(INDEX('Почасовка — ставки и план'!$E$5:$E$24,MATCH($D1540,'Почасовка — ставки и план'!$A$5:$A$24,0)),""))</f>
        <v>1080</v>
      </c>
      <c r="Q1540" s="15">
        <f t="shared" si="115"/>
        <v>63000</v>
      </c>
      <c r="R1540" s="13" t="str">
        <f>IF(D1540="TEX","аренда техники — сделка/счёт",IF(OR(Q1540="",H1540="",H1540=0),"—",IF(Q1540&lt;H1540*(1-Параметры!$B$7),"почасовка",IF(Q1540&gt;H1540*(1+Параметры!$B$7),"сделка","любой способ"))))</f>
        <v>любой способ</v>
      </c>
      <c r="S1540">
        <v>0</v>
      </c>
      <c r="T1540">
        <v>0</v>
      </c>
    </row>
    <row r="1541" spans="1:20" x14ac:dyDescent="0.25">
      <c r="A1541" s="13" t="s">
        <v>3125</v>
      </c>
      <c r="B1541" s="13" t="s">
        <v>3126</v>
      </c>
      <c r="C1541" s="13" t="s">
        <v>144</v>
      </c>
      <c r="D1541" s="13" t="s">
        <v>3109</v>
      </c>
      <c r="E1541" s="13" t="str">
        <f>IFERROR(INDEX('Почасовка — ставки и план'!$B$5:$B$24,MATCH(D1541,'Почасовка — ставки и план'!$A$5:$A$24,0)),"Аренда техники / механизмы")</f>
        <v>Монтажник наружных сетей</v>
      </c>
      <c r="F1541" s="14">
        <v>4500</v>
      </c>
      <c r="G1541" s="14">
        <v>5175</v>
      </c>
      <c r="H1541" s="15">
        <v>2800</v>
      </c>
      <c r="I1541" s="15">
        <f>IF(OR(H1541="",F1541=""),"",MAX(H1541,MIN(ROUND(H1541*(1+Параметры!$B$5),IF(H1541*(1+Параметры!$B$5)&gt;=1000,-1,0)),ROUND(F1541*Параметры!$B$6,IF(F1541*Параметры!$B$6&gt;=1000,-1,0)))))</f>
        <v>3220</v>
      </c>
      <c r="J1541" s="15">
        <v>3220</v>
      </c>
      <c r="K1541" s="15">
        <f>IF(OR(J1541="",G1541=""),"",MAX(J1541,MIN(ROUND(J1541*(1+Параметры!$B$5),IF(J1541*(1+Параметры!$B$5)&gt;=1000,-1,0)),ROUND(G1541*Параметры!$B$6,IF(G1541*Параметры!$B$6&gt;=1000,-1,0)))))</f>
        <v>3700</v>
      </c>
      <c r="L1541" s="16">
        <v>2.5</v>
      </c>
      <c r="M1541" s="17">
        <f t="shared" si="114"/>
        <v>0.4</v>
      </c>
      <c r="N1541" s="17">
        <f>IF(OR(L1541="",L1541=0),"",Параметры!$B$3/L1541)</f>
        <v>3.2</v>
      </c>
      <c r="O1541" s="15">
        <f>IF(L1541="","",IFERROR(INDEX('Почасовка — ставки и план'!$D$5:$D$24,MATCH($D1541,'Почасовка — ставки и план'!$A$5:$A$24,0)),""))</f>
        <v>850</v>
      </c>
      <c r="P1541" s="15">
        <f>IF(L1541="","",IFERROR(INDEX('Почасовка — ставки и план'!$E$5:$E$24,MATCH($D1541,'Почасовка — ставки и план'!$A$5:$A$24,0)),""))</f>
        <v>1020</v>
      </c>
      <c r="Q1541" s="15">
        <f t="shared" si="115"/>
        <v>2125</v>
      </c>
      <c r="R1541" s="13" t="str">
        <f>IF(D1541="TEX","аренда техники — сделка/счёт",IF(OR(Q1541="",H1541="",H1541=0),"—",IF(Q1541&lt;H1541*(1-Параметры!$B$7),"почасовка",IF(Q1541&gt;H1541*(1+Параметры!$B$7),"сделка","любой способ"))))</f>
        <v>почасовка</v>
      </c>
      <c r="S1541">
        <v>0</v>
      </c>
      <c r="T1541">
        <v>0</v>
      </c>
    </row>
    <row r="1542" spans="1:20" x14ac:dyDescent="0.25">
      <c r="A1542" s="13" t="s">
        <v>3127</v>
      </c>
      <c r="B1542" s="13" t="s">
        <v>3128</v>
      </c>
      <c r="C1542" s="13" t="s">
        <v>144</v>
      </c>
      <c r="D1542" s="13" t="s">
        <v>64</v>
      </c>
      <c r="E1542" s="13" t="str">
        <f>IFERROR(INDEX('Почасовка — ставки и план'!$B$5:$B$24,MATCH(D1542,'Почасовка — ставки и план'!$A$5:$A$24,0)),"Аренда техники / механизмы")</f>
        <v>Сварщик / монтажник МК</v>
      </c>
      <c r="F1542" s="14">
        <v>12000</v>
      </c>
      <c r="G1542" s="14">
        <v>13800</v>
      </c>
      <c r="H1542" s="15">
        <v>7500</v>
      </c>
      <c r="I1542" s="15">
        <f>IF(OR(H1542="",F1542=""),"",MAX(H1542,MIN(ROUND(H1542*(1+Параметры!$B$5),IF(H1542*(1+Параметры!$B$5)&gt;=1000,-1,0)),ROUND(F1542*Параметры!$B$6,IF(F1542*Параметры!$B$6&gt;=1000,-1,0)))))</f>
        <v>8630</v>
      </c>
      <c r="J1542" s="15">
        <v>8625</v>
      </c>
      <c r="K1542" s="15">
        <f>IF(OR(J1542="",G1542=""),"",MAX(J1542,MIN(ROUND(J1542*(1+Параметры!$B$5),IF(J1542*(1+Параметры!$B$5)&gt;=1000,-1,0)),ROUND(G1542*Параметры!$B$6,IF(G1542*Параметры!$B$6&gt;=1000,-1,0)))))</f>
        <v>9920</v>
      </c>
      <c r="L1542" s="16">
        <v>8</v>
      </c>
      <c r="M1542" s="17">
        <f t="shared" si="114"/>
        <v>0.125</v>
      </c>
      <c r="N1542" s="17">
        <f>IF(OR(L1542="",L1542=0),"",Параметры!$B$3/L1542)</f>
        <v>1</v>
      </c>
      <c r="O1542" s="15">
        <f>IF(L1542="","",IFERROR(INDEX('Почасовка — ставки и план'!$D$5:$D$24,MATCH($D1542,'Почасовка — ставки и план'!$A$5:$A$24,0)),""))</f>
        <v>900</v>
      </c>
      <c r="P1542" s="15">
        <f>IF(L1542="","",IFERROR(INDEX('Почасовка — ставки и план'!$E$5:$E$24,MATCH($D1542,'Почасовка — ставки и план'!$A$5:$A$24,0)),""))</f>
        <v>1080</v>
      </c>
      <c r="Q1542" s="15">
        <f t="shared" si="115"/>
        <v>7200</v>
      </c>
      <c r="R1542" s="13" t="str">
        <f>IF(D1542="TEX","аренда техники — сделка/счёт",IF(OR(Q1542="",H1542="",H1542=0),"—",IF(Q1542&lt;H1542*(1-Параметры!$B$7),"почасовка",IF(Q1542&gt;H1542*(1+Параметры!$B$7),"сделка","любой способ"))))</f>
        <v>любой способ</v>
      </c>
      <c r="S1542">
        <v>0</v>
      </c>
      <c r="T1542">
        <v>0</v>
      </c>
    </row>
    <row r="1543" spans="1:20" x14ac:dyDescent="0.25">
      <c r="A1543" s="13" t="s">
        <v>3129</v>
      </c>
      <c r="B1543" s="13" t="s">
        <v>3130</v>
      </c>
      <c r="C1543" s="13" t="s">
        <v>144</v>
      </c>
      <c r="D1543" s="13" t="s">
        <v>64</v>
      </c>
      <c r="E1543" s="13" t="str">
        <f>IFERROR(INDEX('Почасовка — ставки и план'!$B$5:$B$24,MATCH(D1543,'Почасовка — ставки и план'!$A$5:$A$24,0)),"Аренда техники / механизмы")</f>
        <v>Сварщик / монтажник МК</v>
      </c>
      <c r="F1543" s="14">
        <v>8000</v>
      </c>
      <c r="G1543" s="14">
        <v>9200</v>
      </c>
      <c r="H1543" s="15">
        <v>5000</v>
      </c>
      <c r="I1543" s="15">
        <f>IF(OR(H1543="",F1543=""),"",MAX(H1543,MIN(ROUND(H1543*(1+Параметры!$B$5),IF(H1543*(1+Параметры!$B$5)&gt;=1000,-1,0)),ROUND(F1543*Параметры!$B$6,IF(F1543*Параметры!$B$6&gt;=1000,-1,0)))))</f>
        <v>5750</v>
      </c>
      <c r="J1543" s="15">
        <v>5750</v>
      </c>
      <c r="K1543" s="15">
        <f>IF(OR(J1543="",G1543=""),"",MAX(J1543,MIN(ROUND(J1543*(1+Параметры!$B$5),IF(J1543*(1+Параметры!$B$5)&gt;=1000,-1,0)),ROUND(G1543*Параметры!$B$6,IF(G1543*Параметры!$B$6&gt;=1000,-1,0)))))</f>
        <v>6610</v>
      </c>
      <c r="L1543" s="16">
        <v>5</v>
      </c>
      <c r="M1543" s="17">
        <f t="shared" si="114"/>
        <v>0.2</v>
      </c>
      <c r="N1543" s="17">
        <f>IF(OR(L1543="",L1543=0),"",Параметры!$B$3/L1543)</f>
        <v>1.6</v>
      </c>
      <c r="O1543" s="15">
        <f>IF(L1543="","",IFERROR(INDEX('Почасовка — ставки и план'!$D$5:$D$24,MATCH($D1543,'Почасовка — ставки и план'!$A$5:$A$24,0)),""))</f>
        <v>900</v>
      </c>
      <c r="P1543" s="15">
        <f>IF(L1543="","",IFERROR(INDEX('Почасовка — ставки и план'!$E$5:$E$24,MATCH($D1543,'Почасовка — ставки и план'!$A$5:$A$24,0)),""))</f>
        <v>1080</v>
      </c>
      <c r="Q1543" s="15">
        <f t="shared" si="115"/>
        <v>4500</v>
      </c>
      <c r="R1543" s="13" t="str">
        <f>IF(D1543="TEX","аренда техники — сделка/счёт",IF(OR(Q1543="",H1543="",H1543=0),"—",IF(Q1543&lt;H1543*(1-Параметры!$B$7),"почасовка",IF(Q1543&gt;H1543*(1+Параметры!$B$7),"сделка","любой способ"))))</f>
        <v>любой способ</v>
      </c>
      <c r="S1543">
        <v>0</v>
      </c>
      <c r="T1543">
        <v>0</v>
      </c>
    </row>
    <row r="1544" spans="1:20" x14ac:dyDescent="0.25">
      <c r="A1544" s="13" t="s">
        <v>3131</v>
      </c>
      <c r="B1544" s="13" t="s">
        <v>3132</v>
      </c>
      <c r="C1544" s="13" t="s">
        <v>72</v>
      </c>
      <c r="D1544" s="13" t="s">
        <v>3109</v>
      </c>
      <c r="E1544" s="13" t="str">
        <f>IFERROR(INDEX('Почасовка — ставки и план'!$B$5:$B$24,MATCH(D1544,'Почасовка — ставки и план'!$A$5:$A$24,0)),"Аренда техники / механизмы")</f>
        <v>Монтажник наружных сетей</v>
      </c>
      <c r="F1544" s="14">
        <v>450</v>
      </c>
      <c r="G1544" s="14">
        <v>518</v>
      </c>
      <c r="H1544" s="15">
        <v>280</v>
      </c>
      <c r="I1544" s="15">
        <f>IF(OR(H1544="",F1544=""),"",MAX(H1544,MIN(ROUND(H1544*(1+Параметры!$B$5),IF(H1544*(1+Параметры!$B$5)&gt;=1000,-1,0)),ROUND(F1544*Параметры!$B$6,IF(F1544*Параметры!$B$6&gt;=1000,-1,0)))))</f>
        <v>322</v>
      </c>
      <c r="J1544" s="15">
        <v>322</v>
      </c>
      <c r="K1544" s="15">
        <f>IF(OR(J1544="",G1544=""),"",MAX(J1544,MIN(ROUND(J1544*(1+Параметры!$B$5),IF(J1544*(1+Параметры!$B$5)&gt;=1000,-1,0)),ROUND(G1544*Параметры!$B$6,IF(G1544*Параметры!$B$6&gt;=1000,-1,0)))))</f>
        <v>370</v>
      </c>
      <c r="L1544" s="16">
        <v>0.35</v>
      </c>
      <c r="M1544" s="17">
        <f t="shared" si="114"/>
        <v>2.8571428571428572</v>
      </c>
      <c r="N1544" s="17">
        <f>IF(OR(L1544="",L1544=0),"",Параметры!$B$3/L1544)</f>
        <v>22.857142857142858</v>
      </c>
      <c r="O1544" s="15">
        <f>IF(L1544="","",IFERROR(INDEX('Почасовка — ставки и план'!$D$5:$D$24,MATCH($D1544,'Почасовка — ставки и план'!$A$5:$A$24,0)),""))</f>
        <v>850</v>
      </c>
      <c r="P1544" s="15">
        <f>IF(L1544="","",IFERROR(INDEX('Почасовка — ставки и план'!$E$5:$E$24,MATCH($D1544,'Почасовка — ставки и план'!$A$5:$A$24,0)),""))</f>
        <v>1020</v>
      </c>
      <c r="Q1544" s="15">
        <f t="shared" si="115"/>
        <v>298</v>
      </c>
      <c r="R1544" s="13" t="str">
        <f>IF(D1544="TEX","аренда техники — сделка/счёт",IF(OR(Q1544="",H1544="",H1544=0),"—",IF(Q1544&lt;H1544*(1-Параметры!$B$7),"почасовка",IF(Q1544&gt;H1544*(1+Параметры!$B$7),"сделка","любой способ"))))</f>
        <v>любой способ</v>
      </c>
      <c r="S1544">
        <v>0</v>
      </c>
      <c r="T1544">
        <v>0</v>
      </c>
    </row>
    <row r="1545" spans="1:20" x14ac:dyDescent="0.25">
      <c r="A1545" s="13" t="s">
        <v>3133</v>
      </c>
      <c r="B1545" s="13" t="s">
        <v>3134</v>
      </c>
      <c r="C1545" s="13" t="s">
        <v>144</v>
      </c>
      <c r="D1545" s="13" t="s">
        <v>326</v>
      </c>
      <c r="E1545" s="13" t="str">
        <f>IFERROR(INDEX('Почасовка — ставки и план'!$B$5:$B$24,MATCH(D1545,'Почасовка — ставки и план'!$A$5:$A$24,0)),"Аренда техники / механизмы")</f>
        <v>Сантехник</v>
      </c>
      <c r="F1545" s="14">
        <v>12000</v>
      </c>
      <c r="G1545" s="14">
        <v>13800</v>
      </c>
      <c r="H1545" s="15">
        <v>7500</v>
      </c>
      <c r="I1545" s="15">
        <f>IF(OR(H1545="",F1545=""),"",MAX(H1545,MIN(ROUND(H1545*(1+Параметры!$B$5),IF(H1545*(1+Параметры!$B$5)&gt;=1000,-1,0)),ROUND(F1545*Параметры!$B$6,IF(F1545*Параметры!$B$6&gt;=1000,-1,0)))))</f>
        <v>8630</v>
      </c>
      <c r="J1545" s="15">
        <v>8625</v>
      </c>
      <c r="K1545" s="15">
        <f>IF(OR(J1545="",G1545=""),"",MAX(J1545,MIN(ROUND(J1545*(1+Параметры!$B$5),IF(J1545*(1+Параметры!$B$5)&gt;=1000,-1,0)),ROUND(G1545*Параметры!$B$6,IF(G1545*Параметры!$B$6&gt;=1000,-1,0)))))</f>
        <v>9920</v>
      </c>
      <c r="L1545" s="16">
        <v>8</v>
      </c>
      <c r="M1545" s="17">
        <f t="shared" si="114"/>
        <v>0.125</v>
      </c>
      <c r="N1545" s="17">
        <f>IF(OR(L1545="",L1545=0),"",Параметры!$B$3/L1545)</f>
        <v>1</v>
      </c>
      <c r="O1545" s="15">
        <f>IF(L1545="","",IFERROR(INDEX('Почасовка — ставки и план'!$D$5:$D$24,MATCH($D1545,'Почасовка — ставки и план'!$A$5:$A$24,0)),""))</f>
        <v>850</v>
      </c>
      <c r="P1545" s="15">
        <f>IF(L1545="","",IFERROR(INDEX('Почасовка — ставки и план'!$E$5:$E$24,MATCH($D1545,'Почасовка — ставки и план'!$A$5:$A$24,0)),""))</f>
        <v>1020</v>
      </c>
      <c r="Q1545" s="15">
        <f t="shared" si="115"/>
        <v>6800</v>
      </c>
      <c r="R1545" s="13" t="str">
        <f>IF(D1545="TEX","аренда техники — сделка/счёт",IF(OR(Q1545="",H1545="",H1545=0),"—",IF(Q1545&lt;H1545*(1-Параметры!$B$7),"почасовка",IF(Q1545&gt;H1545*(1+Параметры!$B$7),"сделка","любой способ"))))</f>
        <v>любой способ</v>
      </c>
      <c r="S1545">
        <v>0</v>
      </c>
      <c r="T1545">
        <v>0</v>
      </c>
    </row>
    <row r="1546" spans="1:20" x14ac:dyDescent="0.25">
      <c r="A1546" s="13" t="s">
        <v>3135</v>
      </c>
      <c r="B1546" s="13" t="s">
        <v>3136</v>
      </c>
      <c r="C1546" s="13" t="s">
        <v>144</v>
      </c>
      <c r="D1546" s="13" t="s">
        <v>326</v>
      </c>
      <c r="E1546" s="13" t="str">
        <f>IFERROR(INDEX('Почасовка — ставки и план'!$B$5:$B$24,MATCH(D1546,'Почасовка — ставки и план'!$A$5:$A$24,0)),"Аренда техники / механизмы")</f>
        <v>Сантехник</v>
      </c>
      <c r="F1546" s="14">
        <v>13500</v>
      </c>
      <c r="G1546" s="14">
        <v>15525</v>
      </c>
      <c r="H1546" s="15">
        <v>8500</v>
      </c>
      <c r="I1546" s="15">
        <f>IF(OR(H1546="",F1546=""),"",MAX(H1546,MIN(ROUND(H1546*(1+Параметры!$B$5),IF(H1546*(1+Параметры!$B$5)&gt;=1000,-1,0)),ROUND(F1546*Параметры!$B$6,IF(F1546*Параметры!$B$6&gt;=1000,-1,0)))))</f>
        <v>9780</v>
      </c>
      <c r="J1546" s="15">
        <v>9775</v>
      </c>
      <c r="K1546" s="15">
        <f>IF(OR(J1546="",G1546=""),"",MAX(J1546,MIN(ROUND(J1546*(1+Параметры!$B$5),IF(J1546*(1+Параметры!$B$5)&gt;=1000,-1,0)),ROUND(G1546*Параметры!$B$6,IF(G1546*Параметры!$B$6&gt;=1000,-1,0)))))</f>
        <v>11240</v>
      </c>
      <c r="L1546" s="16">
        <v>9</v>
      </c>
      <c r="M1546" s="17">
        <f t="shared" si="114"/>
        <v>0.1111111111111111</v>
      </c>
      <c r="N1546" s="17">
        <f>IF(OR(L1546="",L1546=0),"",Параметры!$B$3/L1546)</f>
        <v>0.88888888888888884</v>
      </c>
      <c r="O1546" s="15">
        <f>IF(L1546="","",IFERROR(INDEX('Почасовка — ставки и план'!$D$5:$D$24,MATCH($D1546,'Почасовка — ставки и план'!$A$5:$A$24,0)),""))</f>
        <v>850</v>
      </c>
      <c r="P1546" s="15">
        <f>IF(L1546="","",IFERROR(INDEX('Почасовка — ставки и план'!$E$5:$E$24,MATCH($D1546,'Почасовка — ставки и план'!$A$5:$A$24,0)),""))</f>
        <v>1020</v>
      </c>
      <c r="Q1546" s="15">
        <f t="shared" si="115"/>
        <v>7650</v>
      </c>
      <c r="R1546" s="13" t="str">
        <f>IF(D1546="TEX","аренда техники — сделка/счёт",IF(OR(Q1546="",H1546="",H1546=0),"—",IF(Q1546&lt;H1546*(1-Параметры!$B$7),"почасовка",IF(Q1546&gt;H1546*(1+Параметры!$B$7),"сделка","любой способ"))))</f>
        <v>любой способ</v>
      </c>
      <c r="S1546">
        <v>0</v>
      </c>
      <c r="T1546">
        <v>0</v>
      </c>
    </row>
    <row r="1547" spans="1:20" x14ac:dyDescent="0.25">
      <c r="A1547" s="13" t="s">
        <v>3137</v>
      </c>
      <c r="B1547" s="13" t="s">
        <v>3138</v>
      </c>
      <c r="C1547" s="13" t="s">
        <v>144</v>
      </c>
      <c r="D1547" s="13" t="s">
        <v>326</v>
      </c>
      <c r="E1547" s="13" t="str">
        <f>IFERROR(INDEX('Почасовка — ставки и план'!$B$5:$B$24,MATCH(D1547,'Почасовка — ставки и план'!$A$5:$A$24,0)),"Аренда техники / механизмы")</f>
        <v>Сантехник</v>
      </c>
      <c r="F1547" s="14">
        <v>16000</v>
      </c>
      <c r="G1547" s="14">
        <v>18400</v>
      </c>
      <c r="H1547" s="15">
        <v>10000</v>
      </c>
      <c r="I1547" s="15">
        <f>IF(OR(H1547="",F1547=""),"",MAX(H1547,MIN(ROUND(H1547*(1+Параметры!$B$5),IF(H1547*(1+Параметры!$B$5)&gt;=1000,-1,0)),ROUND(F1547*Параметры!$B$6,IF(F1547*Параметры!$B$6&gt;=1000,-1,0)))))</f>
        <v>11500</v>
      </c>
      <c r="J1547" s="15">
        <v>11500</v>
      </c>
      <c r="K1547" s="15">
        <f>IF(OR(J1547="",G1547=""),"",MAX(J1547,MIN(ROUND(J1547*(1+Параметры!$B$5),IF(J1547*(1+Параметры!$B$5)&gt;=1000,-1,0)),ROUND(G1547*Параметры!$B$6,IF(G1547*Параметры!$B$6&gt;=1000,-1,0)))))</f>
        <v>13230</v>
      </c>
      <c r="L1547" s="16">
        <v>11</v>
      </c>
      <c r="M1547" s="17">
        <f t="shared" si="114"/>
        <v>9.0909090909090912E-2</v>
      </c>
      <c r="N1547" s="17">
        <f>IF(OR(L1547="",L1547=0),"",Параметры!$B$3/L1547)</f>
        <v>0.72727272727272729</v>
      </c>
      <c r="O1547" s="15">
        <f>IF(L1547="","",IFERROR(INDEX('Почасовка — ставки и план'!$D$5:$D$24,MATCH($D1547,'Почасовка — ставки и план'!$A$5:$A$24,0)),""))</f>
        <v>850</v>
      </c>
      <c r="P1547" s="15">
        <f>IF(L1547="","",IFERROR(INDEX('Почасовка — ставки и план'!$E$5:$E$24,MATCH($D1547,'Почасовка — ставки и план'!$A$5:$A$24,0)),""))</f>
        <v>1020</v>
      </c>
      <c r="Q1547" s="15">
        <f t="shared" si="115"/>
        <v>9350</v>
      </c>
      <c r="R1547" s="13" t="str">
        <f>IF(D1547="TEX","аренда техники — сделка/счёт",IF(OR(Q1547="",H1547="",H1547=0),"—",IF(Q1547&lt;H1547*(1-Параметры!$B$7),"почасовка",IF(Q1547&gt;H1547*(1+Параметры!$B$7),"сделка","любой способ"))))</f>
        <v>любой способ</v>
      </c>
      <c r="S1547">
        <v>0</v>
      </c>
      <c r="T1547">
        <v>0</v>
      </c>
    </row>
    <row r="1548" spans="1:20" x14ac:dyDescent="0.25">
      <c r="A1548" s="13" t="s">
        <v>3139</v>
      </c>
      <c r="B1548" s="13" t="s">
        <v>3140</v>
      </c>
      <c r="C1548" s="13" t="s">
        <v>144</v>
      </c>
      <c r="D1548" s="13" t="s">
        <v>326</v>
      </c>
      <c r="E1548" s="13" t="str">
        <f>IFERROR(INDEX('Почасовка — ставки и план'!$B$5:$B$24,MATCH(D1548,'Почасовка — ставки и план'!$A$5:$A$24,0)),"Аренда техники / механизмы")</f>
        <v>Сантехник</v>
      </c>
      <c r="F1548" s="14">
        <v>18000</v>
      </c>
      <c r="G1548" s="14">
        <v>20700</v>
      </c>
      <c r="H1548" s="15">
        <v>11500</v>
      </c>
      <c r="I1548" s="15">
        <f>IF(OR(H1548="",F1548=""),"",MAX(H1548,MIN(ROUND(H1548*(1+Параметры!$B$5),IF(H1548*(1+Параметры!$B$5)&gt;=1000,-1,0)),ROUND(F1548*Параметры!$B$6,IF(F1548*Параметры!$B$6&gt;=1000,-1,0)))))</f>
        <v>13230</v>
      </c>
      <c r="J1548" s="15">
        <v>13225</v>
      </c>
      <c r="K1548" s="15">
        <f>IF(OR(J1548="",G1548=""),"",MAX(J1548,MIN(ROUND(J1548*(1+Параметры!$B$5),IF(J1548*(1+Параметры!$B$5)&gt;=1000,-1,0)),ROUND(G1548*Параметры!$B$6,IF(G1548*Параметры!$B$6&gt;=1000,-1,0)))))</f>
        <v>15210</v>
      </c>
      <c r="L1548" s="16">
        <v>12</v>
      </c>
      <c r="M1548" s="17">
        <f t="shared" si="114"/>
        <v>8.3333333333333329E-2</v>
      </c>
      <c r="N1548" s="17">
        <f>IF(OR(L1548="",L1548=0),"",Параметры!$B$3/L1548)</f>
        <v>0.66666666666666663</v>
      </c>
      <c r="O1548" s="15">
        <f>IF(L1548="","",IFERROR(INDEX('Почасовка — ставки и план'!$D$5:$D$24,MATCH($D1548,'Почасовка — ставки и план'!$A$5:$A$24,0)),""))</f>
        <v>850</v>
      </c>
      <c r="P1548" s="15">
        <f>IF(L1548="","",IFERROR(INDEX('Почасовка — ставки и план'!$E$5:$E$24,MATCH($D1548,'Почасовка — ставки и план'!$A$5:$A$24,0)),""))</f>
        <v>1020</v>
      </c>
      <c r="Q1548" s="15">
        <f t="shared" si="115"/>
        <v>10200</v>
      </c>
      <c r="R1548" s="13" t="str">
        <f>IF(D1548="TEX","аренда техники — сделка/счёт",IF(OR(Q1548="",H1548="",H1548=0),"—",IF(Q1548&lt;H1548*(1-Параметры!$B$7),"почасовка",IF(Q1548&gt;H1548*(1+Параметры!$B$7),"сделка","любой способ"))))</f>
        <v>почасовка</v>
      </c>
      <c r="S1548">
        <v>0</v>
      </c>
      <c r="T1548">
        <v>0</v>
      </c>
    </row>
    <row r="1549" spans="1:20" x14ac:dyDescent="0.25">
      <c r="A1549" s="13" t="s">
        <v>3141</v>
      </c>
      <c r="B1549" s="13" t="s">
        <v>3142</v>
      </c>
      <c r="C1549" s="13" t="s">
        <v>55</v>
      </c>
      <c r="D1549" s="13" t="s">
        <v>3109</v>
      </c>
      <c r="E1549" s="13" t="str">
        <f>IFERROR(INDEX('Почасовка — ставки и план'!$B$5:$B$24,MATCH(D1549,'Почасовка — ставки и план'!$A$5:$A$24,0)),"Аренда техники / механизмы")</f>
        <v>Монтажник наружных сетей</v>
      </c>
      <c r="F1549" s="14">
        <v>7934</v>
      </c>
      <c r="G1549" s="14">
        <v>9520</v>
      </c>
      <c r="H1549" s="15">
        <v>4300</v>
      </c>
      <c r="I1549" s="15">
        <f>IF(OR(H1549="",F1549=""),"",MAX(H1549,MIN(ROUND(H1549*(1+Параметры!$B$5),IF(H1549*(1+Параметры!$B$5)&gt;=1000,-1,0)),ROUND(F1549*Параметры!$B$6,IF(F1549*Параметры!$B$6&gt;=1000,-1,0)))))</f>
        <v>4950</v>
      </c>
      <c r="J1549" s="15">
        <v>4945</v>
      </c>
      <c r="K1549" s="15">
        <f>IF(OR(J1549="",G1549=""),"",MAX(J1549,MIN(ROUND(J1549*(1+Параметры!$B$5),IF(J1549*(1+Параметры!$B$5)&gt;=1000,-1,0)),ROUND(G1549*Параметры!$B$6,IF(G1549*Параметры!$B$6&gt;=1000,-1,0)))))</f>
        <v>5690</v>
      </c>
      <c r="L1549" s="16">
        <v>7</v>
      </c>
      <c r="M1549" s="17">
        <f t="shared" si="114"/>
        <v>0.14285714285714285</v>
      </c>
      <c r="N1549" s="17">
        <f>IF(OR(L1549="",L1549=0),"",Параметры!$B$3/L1549)</f>
        <v>1.1428571428571428</v>
      </c>
      <c r="O1549" s="15">
        <f>IF(L1549="","",IFERROR(INDEX('Почасовка — ставки и план'!$D$5:$D$24,MATCH($D1549,'Почасовка — ставки и план'!$A$5:$A$24,0)),""))</f>
        <v>850</v>
      </c>
      <c r="P1549" s="15">
        <f>IF(L1549="","",IFERROR(INDEX('Почасовка — ставки и план'!$E$5:$E$24,MATCH($D1549,'Почасовка — ставки и план'!$A$5:$A$24,0)),""))</f>
        <v>1020</v>
      </c>
      <c r="Q1549" s="15">
        <f t="shared" si="115"/>
        <v>5950</v>
      </c>
      <c r="R1549" s="13" t="str">
        <f>IF(D1549="TEX","аренда техники — сделка/счёт",IF(OR(Q1549="",H1549="",H1549=0),"—",IF(Q1549&lt;H1549*(1-Параметры!$B$7),"почасовка",IF(Q1549&gt;H1549*(1+Параметры!$B$7),"сделка","любой способ"))))</f>
        <v>сделка</v>
      </c>
      <c r="S1549">
        <v>0.13342857142857151</v>
      </c>
      <c r="T1549">
        <v>0.182608695652174</v>
      </c>
    </row>
    <row r="1550" spans="1:20" x14ac:dyDescent="0.25">
      <c r="A1550" s="13" t="s">
        <v>3143</v>
      </c>
      <c r="B1550" s="13" t="s">
        <v>3144</v>
      </c>
      <c r="C1550" s="13" t="s">
        <v>55</v>
      </c>
      <c r="D1550" s="13" t="s">
        <v>3109</v>
      </c>
      <c r="E1550" s="13" t="str">
        <f>IFERROR(INDEX('Почасовка — ставки и план'!$B$5:$B$24,MATCH(D1550,'Почасовка — ставки и план'!$A$5:$A$24,0)),"Аренда техники / механизмы")</f>
        <v>Монтажник наружных сетей</v>
      </c>
      <c r="F1550" s="14">
        <v>6234</v>
      </c>
      <c r="G1550" s="14">
        <v>7480</v>
      </c>
      <c r="H1550" s="15">
        <v>3400</v>
      </c>
      <c r="I1550" s="15">
        <f>IF(OR(H1550="",F1550=""),"",MAX(H1550,MIN(ROUND(H1550*(1+Параметры!$B$5),IF(H1550*(1+Параметры!$B$5)&gt;=1000,-1,0)),ROUND(F1550*Параметры!$B$6,IF(F1550*Параметры!$B$6&gt;=1000,-1,0)))))</f>
        <v>3910</v>
      </c>
      <c r="J1550" s="15">
        <v>3910</v>
      </c>
      <c r="K1550" s="15">
        <f>IF(OR(J1550="",G1550=""),"",MAX(J1550,MIN(ROUND(J1550*(1+Параметры!$B$5),IF(J1550*(1+Параметры!$B$5)&gt;=1000,-1,0)),ROUND(G1550*Параметры!$B$6,IF(G1550*Параметры!$B$6&gt;=1000,-1,0)))))</f>
        <v>4500</v>
      </c>
      <c r="L1550" s="16">
        <v>5.5</v>
      </c>
      <c r="M1550" s="17">
        <f t="shared" si="114"/>
        <v>0.18181818181818182</v>
      </c>
      <c r="N1550" s="17">
        <f>IF(OR(L1550="",L1550=0),"",Параметры!$B$3/L1550)</f>
        <v>1.4545454545454546</v>
      </c>
      <c r="O1550" s="15">
        <f>IF(L1550="","",IFERROR(INDEX('Почасовка — ставки и план'!$D$5:$D$24,MATCH($D1550,'Почасовка — ставки и план'!$A$5:$A$24,0)),""))</f>
        <v>850</v>
      </c>
      <c r="P1550" s="15">
        <f>IF(L1550="","",IFERROR(INDEX('Почасовка — ставки и план'!$E$5:$E$24,MATCH($D1550,'Почасовка — ставки и план'!$A$5:$A$24,0)),""))</f>
        <v>1020</v>
      </c>
      <c r="Q1550" s="15">
        <f t="shared" si="115"/>
        <v>4675</v>
      </c>
      <c r="R1550" s="13" t="str">
        <f>IF(D1550="TEX","аренда техники — сделка/счёт",IF(OR(Q1550="",H1550="",H1550=0),"—",IF(Q1550&lt;H1550*(1-Параметры!$B$7),"почасовка",IF(Q1550&gt;H1550*(1+Параметры!$B$7),"сделка","любой способ"))))</f>
        <v>сделка</v>
      </c>
      <c r="S1550">
        <v>0.13345454545454549</v>
      </c>
      <c r="T1550">
        <v>0.182608695652174</v>
      </c>
    </row>
    <row r="1551" spans="1:20" x14ac:dyDescent="0.25">
      <c r="A1551" s="13" t="s">
        <v>3145</v>
      </c>
      <c r="B1551" s="13" t="s">
        <v>3146</v>
      </c>
      <c r="C1551" s="13" t="s">
        <v>55</v>
      </c>
      <c r="D1551" s="13" t="s">
        <v>3109</v>
      </c>
      <c r="E1551" s="13" t="str">
        <f>IFERROR(INDEX('Почасовка — ставки и план'!$B$5:$B$24,MATCH(D1551,'Почасовка — ставки и план'!$A$5:$A$24,0)),"Аренда техники / механизмы")</f>
        <v>Монтажник наружных сетей</v>
      </c>
      <c r="F1551" s="14">
        <v>10767</v>
      </c>
      <c r="G1551" s="14">
        <v>12920</v>
      </c>
      <c r="H1551" s="15">
        <v>5900</v>
      </c>
      <c r="I1551" s="15">
        <f>IF(OR(H1551="",F1551=""),"",MAX(H1551,MIN(ROUND(H1551*(1+Параметры!$B$5),IF(H1551*(1+Параметры!$B$5)&gt;=1000,-1,0)),ROUND(F1551*Параметры!$B$6,IF(F1551*Параметры!$B$6&gt;=1000,-1,0)))))</f>
        <v>6790</v>
      </c>
      <c r="J1551" s="15">
        <v>6785</v>
      </c>
      <c r="K1551" s="15">
        <f>IF(OR(J1551="",G1551=""),"",MAX(J1551,MIN(ROUND(J1551*(1+Параметры!$B$5),IF(J1551*(1+Параметры!$B$5)&gt;=1000,-1,0)),ROUND(G1551*Параметры!$B$6,IF(G1551*Параметры!$B$6&gt;=1000,-1,0)))))</f>
        <v>7800</v>
      </c>
      <c r="L1551" s="16">
        <v>9.5</v>
      </c>
      <c r="M1551" s="17">
        <f t="shared" si="114"/>
        <v>0.10526315789473684</v>
      </c>
      <c r="N1551" s="17">
        <f>IF(OR(L1551="",L1551=0),"",Параметры!$B$3/L1551)</f>
        <v>0.84210526315789469</v>
      </c>
      <c r="O1551" s="15">
        <f>IF(L1551="","",IFERROR(INDEX('Почасовка — ставки и план'!$D$5:$D$24,MATCH($D1551,'Почасовка — ставки и план'!$A$5:$A$24,0)),""))</f>
        <v>850</v>
      </c>
      <c r="P1551" s="15">
        <f>IF(L1551="","",IFERROR(INDEX('Почасовка — ставки и план'!$E$5:$E$24,MATCH($D1551,'Почасовка — ставки и план'!$A$5:$A$24,0)),""))</f>
        <v>1020</v>
      </c>
      <c r="Q1551" s="15">
        <f t="shared" si="115"/>
        <v>8075</v>
      </c>
      <c r="R1551" s="13" t="str">
        <f>IF(D1551="TEX","аренда техники — сделка/счёт",IF(OR(Q1551="",H1551="",H1551=0),"—",IF(Q1551&lt;H1551*(1-Параметры!$B$7),"почасовка",IF(Q1551&gt;H1551*(1+Параметры!$B$7),"сделка","любой способ"))))</f>
        <v>сделка</v>
      </c>
      <c r="S1551">
        <v>0.13336842105263161</v>
      </c>
      <c r="T1551">
        <v>0.182608695652174</v>
      </c>
    </row>
    <row r="1552" spans="1:20" x14ac:dyDescent="0.25">
      <c r="A1552" s="13" t="s">
        <v>3147</v>
      </c>
      <c r="B1552" s="13" t="s">
        <v>3148</v>
      </c>
      <c r="C1552" s="13" t="s">
        <v>55</v>
      </c>
      <c r="D1552" s="13" t="s">
        <v>3109</v>
      </c>
      <c r="E1552" s="13" t="str">
        <f>IFERROR(INDEX('Почасовка — ставки и план'!$B$5:$B$24,MATCH(D1552,'Почасовка — ставки и план'!$A$5:$A$24,0)),"Аренда техники / механизмы")</f>
        <v>Монтажник наружных сетей</v>
      </c>
      <c r="F1552" s="14">
        <v>10200</v>
      </c>
      <c r="G1552" s="14">
        <v>12240</v>
      </c>
      <c r="H1552" s="15">
        <v>5600</v>
      </c>
      <c r="I1552" s="15">
        <f>IF(OR(H1552="",F1552=""),"",MAX(H1552,MIN(ROUND(H1552*(1+Параметры!$B$5),IF(H1552*(1+Параметры!$B$5)&gt;=1000,-1,0)),ROUND(F1552*Параметры!$B$6,IF(F1552*Параметры!$B$6&gt;=1000,-1,0)))))</f>
        <v>6440</v>
      </c>
      <c r="J1552" s="15">
        <v>6440</v>
      </c>
      <c r="K1552" s="15">
        <f>IF(OR(J1552="",G1552=""),"",MAX(J1552,MIN(ROUND(J1552*(1+Параметры!$B$5),IF(J1552*(1+Параметры!$B$5)&gt;=1000,-1,0)),ROUND(G1552*Параметры!$B$6,IF(G1552*Параметры!$B$6&gt;=1000,-1,0)))))</f>
        <v>7410</v>
      </c>
      <c r="L1552" s="16">
        <v>9</v>
      </c>
      <c r="M1552" s="17">
        <f t="shared" si="114"/>
        <v>0.1111111111111111</v>
      </c>
      <c r="N1552" s="17">
        <f>IF(OR(L1552="",L1552=0),"",Параметры!$B$3/L1552)</f>
        <v>0.88888888888888884</v>
      </c>
      <c r="O1552" s="15">
        <f>IF(L1552="","",IFERROR(INDEX('Почасовка — ставки и план'!$D$5:$D$24,MATCH($D1552,'Почасовка — ставки и план'!$A$5:$A$24,0)),""))</f>
        <v>850</v>
      </c>
      <c r="P1552" s="15">
        <f>IF(L1552="","",IFERROR(INDEX('Почасовка — ставки и план'!$E$5:$E$24,MATCH($D1552,'Почасовка — ставки и план'!$A$5:$A$24,0)),""))</f>
        <v>1020</v>
      </c>
      <c r="Q1552" s="15">
        <f t="shared" si="115"/>
        <v>7650</v>
      </c>
      <c r="R1552" s="13" t="str">
        <f>IF(D1552="TEX","аренда техники — сделка/счёт",IF(OR(Q1552="",H1552="",H1552=0),"—",IF(Q1552&lt;H1552*(1-Параметры!$B$7),"почасовка",IF(Q1552&gt;H1552*(1+Параметры!$B$7),"сделка","любой способ"))))</f>
        <v>сделка</v>
      </c>
      <c r="S1552">
        <v>0.1333333333333333</v>
      </c>
      <c r="T1552">
        <v>0.182608695652174</v>
      </c>
    </row>
    <row r="1553" spans="1:20" x14ac:dyDescent="0.25">
      <c r="A1553" s="13" t="s">
        <v>3149</v>
      </c>
      <c r="B1553" s="13" t="s">
        <v>3150</v>
      </c>
      <c r="C1553" s="13" t="s">
        <v>55</v>
      </c>
      <c r="D1553" s="13" t="s">
        <v>3109</v>
      </c>
      <c r="E1553" s="13" t="str">
        <f>IFERROR(INDEX('Почасовка — ставки и план'!$B$5:$B$24,MATCH(D1553,'Почасовка — ставки и план'!$A$5:$A$24,0)),"Аренда техники / механизмы")</f>
        <v>Монтажник наружных сетей</v>
      </c>
      <c r="F1553" s="14">
        <v>13600</v>
      </c>
      <c r="G1553" s="14">
        <v>16320</v>
      </c>
      <c r="H1553" s="15">
        <v>7400</v>
      </c>
      <c r="I1553" s="15">
        <f>IF(OR(H1553="",F1553=""),"",MAX(H1553,MIN(ROUND(H1553*(1+Параметры!$B$5),IF(H1553*(1+Параметры!$B$5)&gt;=1000,-1,0)),ROUND(F1553*Параметры!$B$6,IF(F1553*Параметры!$B$6&gt;=1000,-1,0)))))</f>
        <v>8510</v>
      </c>
      <c r="J1553" s="15">
        <v>8510</v>
      </c>
      <c r="K1553" s="15">
        <f>IF(OR(J1553="",G1553=""),"",MAX(J1553,MIN(ROUND(J1553*(1+Параметры!$B$5),IF(J1553*(1+Параметры!$B$5)&gt;=1000,-1,0)),ROUND(G1553*Параметры!$B$6,IF(G1553*Параметры!$B$6&gt;=1000,-1,0)))))</f>
        <v>9790</v>
      </c>
      <c r="L1553" s="16">
        <v>12</v>
      </c>
      <c r="M1553" s="17">
        <f t="shared" si="114"/>
        <v>8.3333333333333329E-2</v>
      </c>
      <c r="N1553" s="17">
        <f>IF(OR(L1553="",L1553=0),"",Параметры!$B$3/L1553)</f>
        <v>0.66666666666666663</v>
      </c>
      <c r="O1553" s="15">
        <f>IF(L1553="","",IFERROR(INDEX('Почасовка — ставки и план'!$D$5:$D$24,MATCH($D1553,'Почасовка — ставки и план'!$A$5:$A$24,0)),""))</f>
        <v>850</v>
      </c>
      <c r="P1553" s="15">
        <f>IF(L1553="","",IFERROR(INDEX('Почасовка — ставки и план'!$E$5:$E$24,MATCH($D1553,'Почасовка — ставки и план'!$A$5:$A$24,0)),""))</f>
        <v>1020</v>
      </c>
      <c r="Q1553" s="15">
        <f t="shared" si="115"/>
        <v>10200</v>
      </c>
      <c r="R1553" s="13" t="str">
        <f>IF(D1553="TEX","аренда техники — сделка/счёт",IF(OR(Q1553="",H1553="",H1553=0),"—",IF(Q1553&lt;H1553*(1-Параметры!$B$7),"почасовка",IF(Q1553&gt;H1553*(1+Параметры!$B$7),"сделка","любой способ"))))</f>
        <v>сделка</v>
      </c>
      <c r="S1553">
        <v>0.1333333333333333</v>
      </c>
      <c r="T1553">
        <v>0.182608695652174</v>
      </c>
    </row>
    <row r="1554" spans="1:20" x14ac:dyDescent="0.25">
      <c r="A1554" s="13" t="s">
        <v>3151</v>
      </c>
      <c r="B1554" s="13" t="s">
        <v>3152</v>
      </c>
      <c r="C1554" s="13" t="s">
        <v>55</v>
      </c>
      <c r="D1554" s="13" t="s">
        <v>3109</v>
      </c>
      <c r="E1554" s="13" t="str">
        <f>IFERROR(INDEX('Почасовка — ставки и план'!$B$5:$B$24,MATCH(D1554,'Почасовка — ставки и план'!$A$5:$A$24,0)),"Аренда техники / механизмы")</f>
        <v>Монтажник наружных сетей</v>
      </c>
      <c r="F1554" s="14">
        <v>7934</v>
      </c>
      <c r="G1554" s="14">
        <v>9520</v>
      </c>
      <c r="H1554" s="15">
        <v>4300</v>
      </c>
      <c r="I1554" s="15">
        <f>IF(OR(H1554="",F1554=""),"",MAX(H1554,MIN(ROUND(H1554*(1+Параметры!$B$5),IF(H1554*(1+Параметры!$B$5)&gt;=1000,-1,0)),ROUND(F1554*Параметры!$B$6,IF(F1554*Параметры!$B$6&gt;=1000,-1,0)))))</f>
        <v>4950</v>
      </c>
      <c r="J1554" s="15">
        <v>4945</v>
      </c>
      <c r="K1554" s="15">
        <f>IF(OR(J1554="",G1554=""),"",MAX(J1554,MIN(ROUND(J1554*(1+Параметры!$B$5),IF(J1554*(1+Параметры!$B$5)&gt;=1000,-1,0)),ROUND(G1554*Параметры!$B$6,IF(G1554*Параметры!$B$6&gt;=1000,-1,0)))))</f>
        <v>5690</v>
      </c>
      <c r="L1554" s="16">
        <v>7</v>
      </c>
      <c r="M1554" s="17">
        <f t="shared" si="114"/>
        <v>0.14285714285714285</v>
      </c>
      <c r="N1554" s="17">
        <f>IF(OR(L1554="",L1554=0),"",Параметры!$B$3/L1554)</f>
        <v>1.1428571428571428</v>
      </c>
      <c r="O1554" s="15">
        <f>IF(L1554="","",IFERROR(INDEX('Почасовка — ставки и план'!$D$5:$D$24,MATCH($D1554,'Почасовка — ставки и план'!$A$5:$A$24,0)),""))</f>
        <v>850</v>
      </c>
      <c r="P1554" s="15">
        <f>IF(L1554="","",IFERROR(INDEX('Почасовка — ставки и план'!$E$5:$E$24,MATCH($D1554,'Почасовка — ставки и план'!$A$5:$A$24,0)),""))</f>
        <v>1020</v>
      </c>
      <c r="Q1554" s="15">
        <f t="shared" si="115"/>
        <v>5950</v>
      </c>
      <c r="R1554" s="13" t="str">
        <f>IF(D1554="TEX","аренда техники — сделка/счёт",IF(OR(Q1554="",H1554="",H1554=0),"—",IF(Q1554&lt;H1554*(1-Параметры!$B$7),"почасовка",IF(Q1554&gt;H1554*(1+Параметры!$B$7),"сделка","любой способ"))))</f>
        <v>сделка</v>
      </c>
      <c r="S1554">
        <v>0.13342857142857151</v>
      </c>
      <c r="T1554">
        <v>0.182608695652174</v>
      </c>
    </row>
    <row r="1555" spans="1:20" x14ac:dyDescent="0.25">
      <c r="A1555" s="13" t="s">
        <v>3153</v>
      </c>
      <c r="B1555" s="13" t="s">
        <v>3154</v>
      </c>
      <c r="C1555" s="13" t="s">
        <v>55</v>
      </c>
      <c r="D1555" s="13" t="s">
        <v>3109</v>
      </c>
      <c r="E1555" s="13" t="str">
        <f>IFERROR(INDEX('Почасовка — ставки и план'!$B$5:$B$24,MATCH(D1555,'Почасовка — ставки и план'!$A$5:$A$24,0)),"Аренда техники / механизмы")</f>
        <v>Монтажник наружных сетей</v>
      </c>
      <c r="F1555" s="14">
        <v>9067</v>
      </c>
      <c r="G1555" s="14">
        <v>10880</v>
      </c>
      <c r="H1555" s="15">
        <v>5000</v>
      </c>
      <c r="I1555" s="15">
        <f>IF(OR(H1555="",F1555=""),"",MAX(H1555,MIN(ROUND(H1555*(1+Параметры!$B$5),IF(H1555*(1+Параметры!$B$5)&gt;=1000,-1,0)),ROUND(F1555*Параметры!$B$6,IF(F1555*Параметры!$B$6&gt;=1000,-1,0)))))</f>
        <v>5750</v>
      </c>
      <c r="J1555" s="15">
        <v>5750</v>
      </c>
      <c r="K1555" s="15">
        <f>IF(OR(J1555="",G1555=""),"",MAX(J1555,MIN(ROUND(J1555*(1+Параметры!$B$5),IF(J1555*(1+Параметры!$B$5)&gt;=1000,-1,0)),ROUND(G1555*Параметры!$B$6,IF(G1555*Параметры!$B$6&gt;=1000,-1,0)))))</f>
        <v>6610</v>
      </c>
      <c r="L1555" s="16">
        <v>8</v>
      </c>
      <c r="M1555" s="17">
        <f t="shared" si="114"/>
        <v>0.125</v>
      </c>
      <c r="N1555" s="17">
        <f>IF(OR(L1555="",L1555=0),"",Параметры!$B$3/L1555)</f>
        <v>1</v>
      </c>
      <c r="O1555" s="15">
        <f>IF(L1555="","",IFERROR(INDEX('Почасовка — ставки и план'!$D$5:$D$24,MATCH($D1555,'Почасовка — ставки и план'!$A$5:$A$24,0)),""))</f>
        <v>850</v>
      </c>
      <c r="P1555" s="15">
        <f>IF(L1555="","",IFERROR(INDEX('Почасовка — ставки и план'!$E$5:$E$24,MATCH($D1555,'Почасовка — ставки и план'!$A$5:$A$24,0)),""))</f>
        <v>1020</v>
      </c>
      <c r="Q1555" s="15">
        <f t="shared" si="115"/>
        <v>6800</v>
      </c>
      <c r="R1555" s="13" t="str">
        <f>IF(D1555="TEX","аренда техники — сделка/счёт",IF(OR(Q1555="",H1555="",H1555=0),"—",IF(Q1555&lt;H1555*(1-Параметры!$B$7),"почасовка",IF(Q1555&gt;H1555*(1+Параметры!$B$7),"сделка","любой способ"))))</f>
        <v>сделка</v>
      </c>
      <c r="S1555">
        <v>0.13337499999999999</v>
      </c>
      <c r="T1555">
        <v>0.182608695652174</v>
      </c>
    </row>
    <row r="1556" spans="1:20" x14ac:dyDescent="0.25">
      <c r="A1556" s="13" t="s">
        <v>3155</v>
      </c>
      <c r="B1556" s="13" t="s">
        <v>3156</v>
      </c>
      <c r="C1556" s="13" t="s">
        <v>55</v>
      </c>
      <c r="D1556" s="13" t="s">
        <v>3109</v>
      </c>
      <c r="E1556" s="13" t="str">
        <f>IFERROR(INDEX('Почасовка — ставки и план'!$B$5:$B$24,MATCH(D1556,'Почасовка — ставки и план'!$A$5:$A$24,0)),"Аренда техники / механизмы")</f>
        <v>Монтажник наружных сетей</v>
      </c>
      <c r="F1556" s="14">
        <v>12467</v>
      </c>
      <c r="G1556" s="14">
        <v>14960</v>
      </c>
      <c r="H1556" s="15">
        <v>6800</v>
      </c>
      <c r="I1556" s="15">
        <f>IF(OR(H1556="",F1556=""),"",MAX(H1556,MIN(ROUND(H1556*(1+Параметры!$B$5),IF(H1556*(1+Параметры!$B$5)&gt;=1000,-1,0)),ROUND(F1556*Параметры!$B$6,IF(F1556*Параметры!$B$6&gt;=1000,-1,0)))))</f>
        <v>7820</v>
      </c>
      <c r="J1556" s="15">
        <v>7820</v>
      </c>
      <c r="K1556" s="15">
        <f>IF(OR(J1556="",G1556=""),"",MAX(J1556,MIN(ROUND(J1556*(1+Параметры!$B$5),IF(J1556*(1+Параметры!$B$5)&gt;=1000,-1,0)),ROUND(G1556*Параметры!$B$6,IF(G1556*Параметры!$B$6&gt;=1000,-1,0)))))</f>
        <v>8990</v>
      </c>
      <c r="L1556" s="16">
        <v>11</v>
      </c>
      <c r="M1556" s="17">
        <f t="shared" si="114"/>
        <v>9.0909090909090912E-2</v>
      </c>
      <c r="N1556" s="17">
        <f>IF(OR(L1556="",L1556=0),"",Параметры!$B$3/L1556)</f>
        <v>0.72727272727272729</v>
      </c>
      <c r="O1556" s="15">
        <f>IF(L1556="","",IFERROR(INDEX('Почасовка — ставки и план'!$D$5:$D$24,MATCH($D1556,'Почасовка — ставки и план'!$A$5:$A$24,0)),""))</f>
        <v>850</v>
      </c>
      <c r="P1556" s="15">
        <f>IF(L1556="","",IFERROR(INDEX('Почасовка — ставки и план'!$E$5:$E$24,MATCH($D1556,'Почасовка — ставки и план'!$A$5:$A$24,0)),""))</f>
        <v>1020</v>
      </c>
      <c r="Q1556" s="15">
        <f t="shared" si="115"/>
        <v>9350</v>
      </c>
      <c r="R1556" s="13" t="str">
        <f>IF(D1556="TEX","аренда техники — сделка/счёт",IF(OR(Q1556="",H1556="",H1556=0),"—",IF(Q1556&lt;H1556*(1-Параметры!$B$7),"почасовка",IF(Q1556&gt;H1556*(1+Параметры!$B$7),"сделка","любой способ"))))</f>
        <v>сделка</v>
      </c>
      <c r="S1556">
        <v>0.13336363636363641</v>
      </c>
      <c r="T1556">
        <v>0.182608695652174</v>
      </c>
    </row>
    <row r="1557" spans="1:20" x14ac:dyDescent="0.25">
      <c r="A1557" s="13" t="s">
        <v>3157</v>
      </c>
      <c r="B1557" s="13" t="s">
        <v>3158</v>
      </c>
      <c r="C1557" s="13" t="s">
        <v>55</v>
      </c>
      <c r="D1557" s="13" t="s">
        <v>326</v>
      </c>
      <c r="E1557" s="13" t="str">
        <f>IFERROR(INDEX('Почасовка — ставки и план'!$B$5:$B$24,MATCH(D1557,'Почасовка — ставки и план'!$A$5:$A$24,0)),"Аренда техники / механизмы")</f>
        <v>Сантехник</v>
      </c>
      <c r="F1557" s="14">
        <v>31734</v>
      </c>
      <c r="G1557" s="14">
        <v>38080</v>
      </c>
      <c r="H1557" s="15">
        <v>14000</v>
      </c>
      <c r="I1557" s="15">
        <f>IF(OR(H1557="",F1557=""),"",MAX(H1557,MIN(ROUND(H1557*(1+Параметры!$B$5),IF(H1557*(1+Параметры!$B$5)&gt;=1000,-1,0)),ROUND(F1557*Параметры!$B$6,IF(F1557*Параметры!$B$6&gt;=1000,-1,0)))))</f>
        <v>16100</v>
      </c>
      <c r="J1557" s="15">
        <v>16100</v>
      </c>
      <c r="K1557" s="15">
        <f>IF(OR(J1557="",G1557=""),"",MAX(J1557,MIN(ROUND(J1557*(1+Параметры!$B$5),IF(J1557*(1+Параметры!$B$5)&gt;=1000,-1,0)),ROUND(G1557*Параметры!$B$6,IF(G1557*Параметры!$B$6&gt;=1000,-1,0)))))</f>
        <v>18520</v>
      </c>
      <c r="L1557" s="16">
        <v>28</v>
      </c>
      <c r="M1557" s="17">
        <f t="shared" si="114"/>
        <v>3.5714285714285712E-2</v>
      </c>
      <c r="N1557" s="17">
        <f>IF(OR(L1557="",L1557=0),"",Параметры!$B$3/L1557)</f>
        <v>0.2857142857142857</v>
      </c>
      <c r="O1557" s="15">
        <f>IF(L1557="","",IFERROR(INDEX('Почасовка — ставки и план'!$D$5:$D$24,MATCH($D1557,'Почасовка — ставки и план'!$A$5:$A$24,0)),""))</f>
        <v>850</v>
      </c>
      <c r="P1557" s="15">
        <f>IF(L1557="","",IFERROR(INDEX('Почасовка — ставки и план'!$E$5:$E$24,MATCH($D1557,'Почасовка — ставки и план'!$A$5:$A$24,0)),""))</f>
        <v>1020</v>
      </c>
      <c r="Q1557" s="15">
        <f t="shared" si="115"/>
        <v>23800</v>
      </c>
      <c r="R1557" s="13" t="str">
        <f>IF(D1557="TEX","аренда техники — сделка/счёт",IF(OR(Q1557="",H1557="",H1557=0),"—",IF(Q1557&lt;H1557*(1-Параметры!$B$7),"почасовка",IF(Q1557&gt;H1557*(1+Параметры!$B$7),"сделка","любой способ"))))</f>
        <v>сделка</v>
      </c>
      <c r="S1557">
        <v>0.44245454545454538</v>
      </c>
      <c r="T1557">
        <v>0.50513833992094859</v>
      </c>
    </row>
    <row r="1558" spans="1:20" x14ac:dyDescent="0.25">
      <c r="A1558" s="13" t="s">
        <v>3159</v>
      </c>
      <c r="B1558" s="13" t="s">
        <v>3160</v>
      </c>
      <c r="C1558" s="13" t="s">
        <v>55</v>
      </c>
      <c r="D1558" s="13" t="s">
        <v>326</v>
      </c>
      <c r="E1558" s="13" t="str">
        <f>IFERROR(INDEX('Почасовка — ставки и план'!$B$5:$B$24,MATCH(D1558,'Почасовка — ставки и план'!$A$5:$A$24,0)),"Аренда техники / механизмы")</f>
        <v>Сантехник</v>
      </c>
      <c r="F1558" s="14">
        <v>15867</v>
      </c>
      <c r="G1558" s="14">
        <v>19040</v>
      </c>
      <c r="H1558" s="15">
        <v>7500</v>
      </c>
      <c r="I1558" s="15">
        <f>IF(OR(H1558="",F1558=""),"",MAX(H1558,MIN(ROUND(H1558*(1+Параметры!$B$5),IF(H1558*(1+Параметры!$B$5)&gt;=1000,-1,0)),ROUND(F1558*Параметры!$B$6,IF(F1558*Параметры!$B$6&gt;=1000,-1,0)))))</f>
        <v>8630</v>
      </c>
      <c r="J1558" s="15">
        <v>8625</v>
      </c>
      <c r="K1558" s="15">
        <f>IF(OR(J1558="",G1558=""),"",MAX(J1558,MIN(ROUND(J1558*(1+Параметры!$B$5),IF(J1558*(1+Параметры!$B$5)&gt;=1000,-1,0)),ROUND(G1558*Параметры!$B$6,IF(G1558*Параметры!$B$6&gt;=1000,-1,0)))))</f>
        <v>9920</v>
      </c>
      <c r="L1558" s="16">
        <v>14</v>
      </c>
      <c r="M1558" s="17">
        <f t="shared" si="114"/>
        <v>7.1428571428571425E-2</v>
      </c>
      <c r="N1558" s="17">
        <f>IF(OR(L1558="",L1558=0),"",Параметры!$B$3/L1558)</f>
        <v>0.5714285714285714</v>
      </c>
      <c r="O1558" s="15">
        <f>IF(L1558="","",IFERROR(INDEX('Почасовка — ставки и план'!$D$5:$D$24,MATCH($D1558,'Почасовка — ставки и план'!$A$5:$A$24,0)),""))</f>
        <v>850</v>
      </c>
      <c r="P1558" s="15">
        <f>IF(L1558="","",IFERROR(INDEX('Почасовка — ставки и план'!$E$5:$E$24,MATCH($D1558,'Почасовка — ставки и план'!$A$5:$A$24,0)),""))</f>
        <v>1020</v>
      </c>
      <c r="Q1558" s="15">
        <f t="shared" si="115"/>
        <v>11900</v>
      </c>
      <c r="R1558" s="13" t="str">
        <f>IF(D1558="TEX","аренда техники — сделка/счёт",IF(OR(Q1558="",H1558="",H1558=0),"—",IF(Q1558&lt;H1558*(1-Параметры!$B$7),"почасовка",IF(Q1558&gt;H1558*(1+Параметры!$B$7),"сделка","любой способ"))))</f>
        <v>сделка</v>
      </c>
      <c r="S1558">
        <v>0.32224999999999993</v>
      </c>
      <c r="T1558">
        <v>0.37971014492753619</v>
      </c>
    </row>
    <row r="1559" spans="1:20" x14ac:dyDescent="0.25">
      <c r="A1559" s="13" t="s">
        <v>3161</v>
      </c>
      <c r="B1559" s="13" t="s">
        <v>3162</v>
      </c>
      <c r="C1559" s="13" t="s">
        <v>144</v>
      </c>
      <c r="D1559" s="13" t="s">
        <v>3109</v>
      </c>
      <c r="E1559" s="13" t="str">
        <f>IFERROR(INDEX('Почасовка — ставки и план'!$B$5:$B$24,MATCH(D1559,'Почасовка — ставки и план'!$A$5:$A$24,0)),"Аренда техники / механизмы")</f>
        <v>Монтажник наружных сетей</v>
      </c>
      <c r="F1559" s="14">
        <v>2500</v>
      </c>
      <c r="G1559" s="14">
        <v>2875</v>
      </c>
      <c r="H1559" s="15">
        <v>1600</v>
      </c>
      <c r="I1559" s="15">
        <f>IF(OR(H1559="",F1559=""),"",MAX(H1559,MIN(ROUND(H1559*(1+Параметры!$B$5),IF(H1559*(1+Параметры!$B$5)&gt;=1000,-1,0)),ROUND(F1559*Параметры!$B$6,IF(F1559*Параметры!$B$6&gt;=1000,-1,0)))))</f>
        <v>1840</v>
      </c>
      <c r="J1559" s="15">
        <v>1840</v>
      </c>
      <c r="K1559" s="15">
        <f>IF(OR(J1559="",G1559=""),"",MAX(J1559,MIN(ROUND(J1559*(1+Параметры!$B$5),IF(J1559*(1+Параметры!$B$5)&gt;=1000,-1,0)),ROUND(G1559*Параметры!$B$6,IF(G1559*Параметры!$B$6&gt;=1000,-1,0)))))</f>
        <v>2120</v>
      </c>
      <c r="L1559" s="16">
        <v>1.5</v>
      </c>
      <c r="M1559" s="17">
        <f t="shared" si="114"/>
        <v>0.66666666666666663</v>
      </c>
      <c r="N1559" s="17">
        <f>IF(OR(L1559="",L1559=0),"",Параметры!$B$3/L1559)</f>
        <v>5.333333333333333</v>
      </c>
      <c r="O1559" s="15">
        <f>IF(L1559="","",IFERROR(INDEX('Почасовка — ставки и план'!$D$5:$D$24,MATCH($D1559,'Почасовка — ставки и план'!$A$5:$A$24,0)),""))</f>
        <v>850</v>
      </c>
      <c r="P1559" s="15">
        <f>IF(L1559="","",IFERROR(INDEX('Почасовка — ставки и план'!$E$5:$E$24,MATCH($D1559,'Почасовка — ставки и план'!$A$5:$A$24,0)),""))</f>
        <v>1020</v>
      </c>
      <c r="Q1559" s="15">
        <f t="shared" si="115"/>
        <v>1275</v>
      </c>
      <c r="R1559" s="13" t="str">
        <f>IF(D1559="TEX","аренда техники — сделка/счёт",IF(OR(Q1559="",H1559="",H1559=0),"—",IF(Q1559&lt;H1559*(1-Параметры!$B$7),"почасовка",IF(Q1559&gt;H1559*(1+Параметры!$B$7),"сделка","любой способ"))))</f>
        <v>почасовка</v>
      </c>
      <c r="S1559">
        <v>0</v>
      </c>
      <c r="T1559">
        <v>0</v>
      </c>
    </row>
    <row r="1560" spans="1:20" x14ac:dyDescent="0.25">
      <c r="A1560" s="13" t="s">
        <v>3163</v>
      </c>
      <c r="B1560" s="13" t="s">
        <v>3164</v>
      </c>
      <c r="C1560" s="13" t="s">
        <v>144</v>
      </c>
      <c r="D1560" s="13" t="s">
        <v>3109</v>
      </c>
      <c r="E1560" s="13" t="str">
        <f>IFERROR(INDEX('Почасовка — ставки и план'!$B$5:$B$24,MATCH(D1560,'Почасовка — ставки и план'!$A$5:$A$24,0)),"Аренда техники / механизмы")</f>
        <v>Монтажник наружных сетей</v>
      </c>
      <c r="F1560" s="14">
        <v>4000</v>
      </c>
      <c r="G1560" s="14">
        <v>4600</v>
      </c>
      <c r="H1560" s="15">
        <v>2500</v>
      </c>
      <c r="I1560" s="15">
        <f>IF(OR(H1560="",F1560=""),"",MAX(H1560,MIN(ROUND(H1560*(1+Параметры!$B$5),IF(H1560*(1+Параметры!$B$5)&gt;=1000,-1,0)),ROUND(F1560*Параметры!$B$6,IF(F1560*Параметры!$B$6&gt;=1000,-1,0)))))</f>
        <v>2880</v>
      </c>
      <c r="J1560" s="15">
        <v>2875</v>
      </c>
      <c r="K1560" s="15">
        <f>IF(OR(J1560="",G1560=""),"",MAX(J1560,MIN(ROUND(J1560*(1+Параметры!$B$5),IF(J1560*(1+Параметры!$B$5)&gt;=1000,-1,0)),ROUND(G1560*Параметры!$B$6,IF(G1560*Параметры!$B$6&gt;=1000,-1,0)))))</f>
        <v>3310</v>
      </c>
      <c r="L1560" s="16">
        <v>3</v>
      </c>
      <c r="M1560" s="17">
        <f t="shared" si="114"/>
        <v>0.33333333333333331</v>
      </c>
      <c r="N1560" s="17">
        <f>IF(OR(L1560="",L1560=0),"",Параметры!$B$3/L1560)</f>
        <v>2.6666666666666665</v>
      </c>
      <c r="O1560" s="15">
        <f>IF(L1560="","",IFERROR(INDEX('Почасовка — ставки и план'!$D$5:$D$24,MATCH($D1560,'Почасовка — ставки и план'!$A$5:$A$24,0)),""))</f>
        <v>850</v>
      </c>
      <c r="P1560" s="15">
        <f>IF(L1560="","",IFERROR(INDEX('Почасовка — ставки и план'!$E$5:$E$24,MATCH($D1560,'Почасовка — ставки и план'!$A$5:$A$24,0)),""))</f>
        <v>1020</v>
      </c>
      <c r="Q1560" s="15">
        <f t="shared" si="115"/>
        <v>2550</v>
      </c>
      <c r="R1560" s="13" t="str">
        <f>IF(D1560="TEX","аренда техники — сделка/счёт",IF(OR(Q1560="",H1560="",H1560=0),"—",IF(Q1560&lt;H1560*(1-Параметры!$B$7),"почасовка",IF(Q1560&gt;H1560*(1+Параметры!$B$7),"сделка","любой способ"))))</f>
        <v>любой способ</v>
      </c>
      <c r="S1560">
        <v>0</v>
      </c>
      <c r="T1560">
        <v>0</v>
      </c>
    </row>
    <row r="1561" spans="1:20" x14ac:dyDescent="0.25">
      <c r="A1561" s="13" t="s">
        <v>3165</v>
      </c>
      <c r="B1561" s="13" t="s">
        <v>3166</v>
      </c>
      <c r="C1561" s="13" t="s">
        <v>144</v>
      </c>
      <c r="D1561" s="13" t="s">
        <v>252</v>
      </c>
      <c r="E1561" s="13" t="str">
        <f>IFERROR(INDEX('Почасовка — ставки и план'!$B$5:$B$24,MATCH(D1561,'Почасовка — ставки и план'!$A$5:$A$24,0)),"Аренда техники / механизмы")</f>
        <v>Каменщик</v>
      </c>
      <c r="F1561" s="14">
        <v>9500</v>
      </c>
      <c r="G1561" s="14">
        <v>10925</v>
      </c>
      <c r="H1561" s="15">
        <v>6000</v>
      </c>
      <c r="I1561" s="15">
        <f>IF(OR(H1561="",F1561=""),"",MAX(H1561,MIN(ROUND(H1561*(1+Параметры!$B$5),IF(H1561*(1+Параметры!$B$5)&gt;=1000,-1,0)),ROUND(F1561*Параметры!$B$6,IF(F1561*Параметры!$B$6&gt;=1000,-1,0)))))</f>
        <v>6900</v>
      </c>
      <c r="J1561" s="15">
        <v>6900</v>
      </c>
      <c r="K1561" s="15">
        <f>IF(OR(J1561="",G1561=""),"",MAX(J1561,MIN(ROUND(J1561*(1+Параметры!$B$5),IF(J1561*(1+Параметры!$B$5)&gt;=1000,-1,0)),ROUND(G1561*Параметры!$B$6,IF(G1561*Параметры!$B$6&gt;=1000,-1,0)))))</f>
        <v>7940</v>
      </c>
      <c r="L1561" s="16">
        <v>8</v>
      </c>
      <c r="M1561" s="17">
        <f t="shared" si="114"/>
        <v>0.125</v>
      </c>
      <c r="N1561" s="17">
        <f>IF(OR(L1561="",L1561=0),"",Параметры!$B$3/L1561)</f>
        <v>1</v>
      </c>
      <c r="O1561" s="15">
        <f>IF(L1561="","",IFERROR(INDEX('Почасовка — ставки и план'!$D$5:$D$24,MATCH($D1561,'Почасовка — ставки и план'!$A$5:$A$24,0)),""))</f>
        <v>800</v>
      </c>
      <c r="P1561" s="15">
        <f>IF(L1561="","",IFERROR(INDEX('Почасовка — ставки и план'!$E$5:$E$24,MATCH($D1561,'Почасовка — ставки и план'!$A$5:$A$24,0)),""))</f>
        <v>950</v>
      </c>
      <c r="Q1561" s="15">
        <f t="shared" si="115"/>
        <v>6400</v>
      </c>
      <c r="R1561" s="13" t="str">
        <f>IF(D1561="TEX","аренда техники — сделка/счёт",IF(OR(Q1561="",H1561="",H1561=0),"—",IF(Q1561&lt;H1561*(1-Параметры!$B$7),"почасовка",IF(Q1561&gt;H1561*(1+Параметры!$B$7),"сделка","любой способ"))))</f>
        <v>любой способ</v>
      </c>
      <c r="S1561">
        <v>0</v>
      </c>
      <c r="T1561">
        <v>0</v>
      </c>
    </row>
    <row r="1562" spans="1:20" x14ac:dyDescent="0.25">
      <c r="A1562" s="18" t="s">
        <v>3167</v>
      </c>
      <c r="B1562" s="13" t="s">
        <v>3168</v>
      </c>
      <c r="C1562" s="13" t="s">
        <v>144</v>
      </c>
      <c r="D1562" s="13" t="s">
        <v>947</v>
      </c>
      <c r="E1562" s="13" t="str">
        <f>IFERROR(INDEX('Почасовка — ставки и план'!$B$5:$B$24,MATCH(D1562,'Почасовка — ставки и план'!$A$5:$A$24,0)),"Аренда техники / механизмы")</f>
        <v>Землекоп / рабочий земляных работ</v>
      </c>
      <c r="F1562" s="14">
        <v>4500</v>
      </c>
      <c r="G1562" s="14">
        <v>5175</v>
      </c>
      <c r="H1562" s="15">
        <v>2800</v>
      </c>
      <c r="I1562" s="15">
        <f>IF(OR(H1562="",F1562=""),"",MAX(H1562,MIN(ROUND(H1562*(1+Параметры!$B$5),IF(H1562*(1+Параметры!$B$5)&gt;=1000,-1,0)),ROUND(F1562*Параметры!$B$6,IF(F1562*Параметры!$B$6&gt;=1000,-1,0)))))</f>
        <v>3220</v>
      </c>
      <c r="J1562" s="15">
        <v>3220</v>
      </c>
      <c r="K1562" s="15">
        <f>IF(OR(J1562="",G1562=""),"",MAX(J1562,MIN(ROUND(J1562*(1+Параметры!$B$5),IF(J1562*(1+Параметры!$B$5)&gt;=1000,-1,0)),ROUND(G1562*Параметры!$B$6,IF(G1562*Параметры!$B$6&gt;=1000,-1,0)))))</f>
        <v>3700</v>
      </c>
      <c r="L1562" s="16">
        <v>4</v>
      </c>
      <c r="M1562" s="17">
        <f t="shared" si="114"/>
        <v>0.25</v>
      </c>
      <c r="N1562" s="17">
        <f>IF(OR(L1562="",L1562=0),"",Параметры!$B$3/L1562)</f>
        <v>2</v>
      </c>
      <c r="O1562" s="15">
        <f>IF(L1562="","",IFERROR(INDEX('Почасовка — ставки и план'!$D$5:$D$24,MATCH($D1562,'Почасовка — ставки и план'!$A$5:$A$24,0)),""))</f>
        <v>550</v>
      </c>
      <c r="P1562" s="15">
        <f>IF(L1562="","",IFERROR(INDEX('Почасовка — ставки и план'!$E$5:$E$24,MATCH($D1562,'Почасовка — ставки и план'!$A$5:$A$24,0)),""))</f>
        <v>660</v>
      </c>
      <c r="Q1562" s="15">
        <f t="shared" si="115"/>
        <v>2200</v>
      </c>
      <c r="R1562" s="13" t="str">
        <f>IF(D1562="TEX","аренда техники — сделка/счёт",IF(OR(Q1562="",H1562="",H1562=0),"—",IF(Q1562&lt;H1562*(1-Параметры!$B$7),"почасовка",IF(Q1562&gt;H1562*(1+Параметры!$B$7),"сделка","любой способ"))))</f>
        <v>почасовка</v>
      </c>
      <c r="S1562">
        <v>0</v>
      </c>
      <c r="T1562">
        <v>0</v>
      </c>
    </row>
    <row r="1563" spans="1:20" x14ac:dyDescent="0.25">
      <c r="A1563" s="18" t="s">
        <v>3169</v>
      </c>
      <c r="B1563" s="13" t="s">
        <v>3170</v>
      </c>
      <c r="C1563" s="13" t="s">
        <v>55</v>
      </c>
      <c r="D1563" s="13" t="s">
        <v>60</v>
      </c>
      <c r="E1563" s="13" t="str">
        <f>IFERROR(INDEX('Почасовка — ставки и план'!$B$5:$B$24,MATCH(D1563,'Почасовка — ставки и план'!$A$5:$A$24,0)),"Аренда техники / механизмы")</f>
        <v>Разнорабочий / демонтажник</v>
      </c>
      <c r="F1563" s="14">
        <v>150</v>
      </c>
      <c r="G1563" s="14">
        <v>172</v>
      </c>
      <c r="H1563" s="15">
        <v>90</v>
      </c>
      <c r="I1563" s="15">
        <f>IF(OR(H1563="",F1563=""),"",MAX(H1563,MIN(ROUND(H1563*(1+Параметры!$B$5),IF(H1563*(1+Параметры!$B$5)&gt;=1000,-1,0)),ROUND(F1563*Параметры!$B$6,IF(F1563*Параметры!$B$6&gt;=1000,-1,0)))))</f>
        <v>104</v>
      </c>
      <c r="J1563" s="15">
        <v>103</v>
      </c>
      <c r="K1563" s="15">
        <f>IF(OR(J1563="",G1563=""),"",MAX(J1563,MIN(ROUND(J1563*(1+Параметры!$B$5),IF(J1563*(1+Параметры!$B$5)&gt;=1000,-1,0)),ROUND(G1563*Параметры!$B$6,IF(G1563*Параметры!$B$6&gt;=1000,-1,0)))))</f>
        <v>118</v>
      </c>
      <c r="L1563" s="16">
        <v>0.05</v>
      </c>
      <c r="M1563" s="17">
        <f t="shared" si="114"/>
        <v>20</v>
      </c>
      <c r="N1563" s="17">
        <f>IF(OR(L1563="",L1563=0),"",Параметры!$B$3/L1563)</f>
        <v>160</v>
      </c>
      <c r="O1563" s="15">
        <f>IF(L1563="","",IFERROR(INDEX('Почасовка — ставки и план'!$D$5:$D$24,MATCH($D1563,'Почасовка — ставки и план'!$A$5:$A$24,0)),""))</f>
        <v>550</v>
      </c>
      <c r="P1563" s="15">
        <f>IF(L1563="","",IFERROR(INDEX('Почасовка — ставки и план'!$E$5:$E$24,MATCH($D1563,'Почасовка — ставки и план'!$A$5:$A$24,0)),""))</f>
        <v>660</v>
      </c>
      <c r="Q1563" s="15">
        <f t="shared" si="115"/>
        <v>28</v>
      </c>
      <c r="R1563" s="13" t="str">
        <f>IF(D1563="TEX","аренда техники — сделка/счёт",IF(OR(Q1563="",H1563="",H1563=0),"—",IF(Q1563&lt;H1563*(1-Параметры!$B$7),"почасовка",IF(Q1563&gt;H1563*(1+Параметры!$B$7),"сделка","любой способ"))))</f>
        <v>почасовка</v>
      </c>
      <c r="S1563">
        <v>0</v>
      </c>
      <c r="T1563">
        <v>0</v>
      </c>
    </row>
    <row r="1564" spans="1:20" x14ac:dyDescent="0.25">
      <c r="A1564" s="18" t="s">
        <v>3171</v>
      </c>
      <c r="B1564" s="13" t="s">
        <v>3172</v>
      </c>
      <c r="C1564" s="13" t="s">
        <v>865</v>
      </c>
      <c r="D1564" s="13" t="s">
        <v>326</v>
      </c>
      <c r="E1564" s="13" t="str">
        <f>IFERROR(INDEX('Почасовка — ставки и план'!$B$5:$B$24,MATCH(D1564,'Почасовка — ставки и план'!$A$5:$A$24,0)),"Аренда техники / механизмы")</f>
        <v>Сантехник</v>
      </c>
      <c r="F1564" s="14">
        <v>8000</v>
      </c>
      <c r="G1564" s="14">
        <v>9200</v>
      </c>
      <c r="H1564" s="15">
        <v>5000</v>
      </c>
      <c r="I1564" s="15">
        <f>IF(OR(H1564="",F1564=""),"",MAX(H1564,MIN(ROUND(H1564*(1+Параметры!$B$5),IF(H1564*(1+Параметры!$B$5)&gt;=1000,-1,0)),ROUND(F1564*Параметры!$B$6,IF(F1564*Параметры!$B$6&gt;=1000,-1,0)))))</f>
        <v>5750</v>
      </c>
      <c r="J1564" s="15">
        <v>5750</v>
      </c>
      <c r="K1564" s="15">
        <f>IF(OR(J1564="",G1564=""),"",MAX(J1564,MIN(ROUND(J1564*(1+Параметры!$B$5),IF(J1564*(1+Параметры!$B$5)&gt;=1000,-1,0)),ROUND(G1564*Параметры!$B$6,IF(G1564*Параметры!$B$6&gt;=1000,-1,0)))))</f>
        <v>6610</v>
      </c>
      <c r="L1564" s="16">
        <v>6</v>
      </c>
      <c r="M1564" s="17">
        <f t="shared" si="114"/>
        <v>0.16666666666666666</v>
      </c>
      <c r="N1564" s="17">
        <f>IF(OR(L1564="",L1564=0),"",Параметры!$B$3/L1564)</f>
        <v>1.3333333333333333</v>
      </c>
      <c r="O1564" s="15">
        <f>IF(L1564="","",IFERROR(INDEX('Почасовка — ставки и план'!$D$5:$D$24,MATCH($D1564,'Почасовка — ставки и план'!$A$5:$A$24,0)),""))</f>
        <v>850</v>
      </c>
      <c r="P1564" s="15">
        <f>IF(L1564="","",IFERROR(INDEX('Почасовка — ставки и план'!$E$5:$E$24,MATCH($D1564,'Почасовка — ставки и план'!$A$5:$A$24,0)),""))</f>
        <v>1020</v>
      </c>
      <c r="Q1564" s="15">
        <f t="shared" si="115"/>
        <v>5100</v>
      </c>
      <c r="R1564" s="13" t="str">
        <f>IF(D1564="TEX","аренда техники — сделка/счёт",IF(OR(Q1564="",H1564="",H1564=0),"—",IF(Q1564&lt;H1564*(1-Параметры!$B$7),"почасовка",IF(Q1564&gt;H1564*(1+Параметры!$B$7),"сделка","любой способ"))))</f>
        <v>любой способ</v>
      </c>
      <c r="S1564">
        <v>0</v>
      </c>
      <c r="T1564">
        <v>0</v>
      </c>
    </row>
    <row r="1565" spans="1:20" x14ac:dyDescent="0.25">
      <c r="A1565" s="18" t="s">
        <v>3173</v>
      </c>
      <c r="B1565" s="13" t="s">
        <v>3174</v>
      </c>
      <c r="C1565" s="13" t="s">
        <v>865</v>
      </c>
      <c r="D1565" s="13" t="s">
        <v>326</v>
      </c>
      <c r="E1565" s="13" t="str">
        <f>IFERROR(INDEX('Почасовка — ставки и план'!$B$5:$B$24,MATCH(D1565,'Почасовка — ставки и план'!$A$5:$A$24,0)),"Аренда техники / механизмы")</f>
        <v>Сантехник</v>
      </c>
      <c r="F1565" s="14">
        <v>9000</v>
      </c>
      <c r="G1565" s="14">
        <v>10350</v>
      </c>
      <c r="H1565" s="15">
        <v>5500</v>
      </c>
      <c r="I1565" s="15">
        <f>IF(OR(H1565="",F1565=""),"",MAX(H1565,MIN(ROUND(H1565*(1+Параметры!$B$5),IF(H1565*(1+Параметры!$B$5)&gt;=1000,-1,0)),ROUND(F1565*Параметры!$B$6,IF(F1565*Параметры!$B$6&gt;=1000,-1,0)))))</f>
        <v>6330</v>
      </c>
      <c r="J1565" s="15">
        <v>6325</v>
      </c>
      <c r="K1565" s="15">
        <f>IF(OR(J1565="",G1565=""),"",MAX(J1565,MIN(ROUND(J1565*(1+Параметры!$B$5),IF(J1565*(1+Параметры!$B$5)&gt;=1000,-1,0)),ROUND(G1565*Параметры!$B$6,IF(G1565*Параметры!$B$6&gt;=1000,-1,0)))))</f>
        <v>7270</v>
      </c>
      <c r="L1565" s="16">
        <v>6</v>
      </c>
      <c r="M1565" s="17">
        <f t="shared" si="114"/>
        <v>0.16666666666666666</v>
      </c>
      <c r="N1565" s="17">
        <f>IF(OR(L1565="",L1565=0),"",Параметры!$B$3/L1565)</f>
        <v>1.3333333333333333</v>
      </c>
      <c r="O1565" s="15">
        <f>IF(L1565="","",IFERROR(INDEX('Почасовка — ставки и план'!$D$5:$D$24,MATCH($D1565,'Почасовка — ставки и план'!$A$5:$A$24,0)),""))</f>
        <v>850</v>
      </c>
      <c r="P1565" s="15">
        <f>IF(L1565="","",IFERROR(INDEX('Почасовка — ставки и план'!$E$5:$E$24,MATCH($D1565,'Почасовка — ставки и план'!$A$5:$A$24,0)),""))</f>
        <v>1020</v>
      </c>
      <c r="Q1565" s="15">
        <f t="shared" si="115"/>
        <v>5100</v>
      </c>
      <c r="R1565" s="13" t="str">
        <f>IF(D1565="TEX","аренда техники — сделка/счёт",IF(OR(Q1565="",H1565="",H1565=0),"—",IF(Q1565&lt;H1565*(1-Параметры!$B$7),"почасовка",IF(Q1565&gt;H1565*(1+Параметры!$B$7),"сделка","любой способ"))))</f>
        <v>любой способ</v>
      </c>
      <c r="S1565">
        <v>0</v>
      </c>
      <c r="T1565">
        <v>0</v>
      </c>
    </row>
    <row r="1566" spans="1:20" x14ac:dyDescent="0.25">
      <c r="A1566" s="18" t="s">
        <v>3175</v>
      </c>
      <c r="B1566" s="13" t="s">
        <v>3176</v>
      </c>
      <c r="C1566" s="13" t="s">
        <v>72</v>
      </c>
      <c r="D1566" s="13" t="s">
        <v>947</v>
      </c>
      <c r="E1566" s="13" t="str">
        <f>IFERROR(INDEX('Почасовка — ставки и план'!$B$5:$B$24,MATCH(D1566,'Почасовка — ставки и план'!$A$5:$A$24,0)),"Аренда техники / механизмы")</f>
        <v>Землекоп / рабочий земляных работ</v>
      </c>
      <c r="F1566" s="14">
        <v>350</v>
      </c>
      <c r="G1566" s="14">
        <v>402</v>
      </c>
      <c r="H1566" s="15">
        <v>220</v>
      </c>
      <c r="I1566" s="15">
        <f>IF(OR(H1566="",F1566=""),"",MAX(H1566,MIN(ROUND(H1566*(1+Параметры!$B$5),IF(H1566*(1+Параметры!$B$5)&gt;=1000,-1,0)),ROUND(F1566*Параметры!$B$6,IF(F1566*Параметры!$B$6&gt;=1000,-1,0)))))</f>
        <v>253</v>
      </c>
      <c r="J1566" s="15">
        <v>253</v>
      </c>
      <c r="K1566" s="15">
        <f>IF(OR(J1566="",G1566=""),"",MAX(J1566,MIN(ROUND(J1566*(1+Параметры!$B$5),IF(J1566*(1+Параметры!$B$5)&gt;=1000,-1,0)),ROUND(G1566*Параметры!$B$6,IF(G1566*Параметры!$B$6&gt;=1000,-1,0)))))</f>
        <v>291</v>
      </c>
      <c r="L1566" s="16">
        <v>0.35</v>
      </c>
      <c r="M1566" s="17">
        <f t="shared" si="114"/>
        <v>2.8571428571428572</v>
      </c>
      <c r="N1566" s="17">
        <f>IF(OR(L1566="",L1566=0),"",Параметры!$B$3/L1566)</f>
        <v>22.857142857142858</v>
      </c>
      <c r="O1566" s="15">
        <f>IF(L1566="","",IFERROR(INDEX('Почасовка — ставки и план'!$D$5:$D$24,MATCH($D1566,'Почасовка — ставки и план'!$A$5:$A$24,0)),""))</f>
        <v>550</v>
      </c>
      <c r="P1566" s="15">
        <f>IF(L1566="","",IFERROR(INDEX('Почасовка — ставки и план'!$E$5:$E$24,MATCH($D1566,'Почасовка — ставки и план'!$A$5:$A$24,0)),""))</f>
        <v>660</v>
      </c>
      <c r="Q1566" s="15">
        <f t="shared" si="115"/>
        <v>193</v>
      </c>
      <c r="R1566" s="13" t="str">
        <f>IF(D1566="TEX","аренда техники — сделка/счёт",IF(OR(Q1566="",H1566="",H1566=0),"—",IF(Q1566&lt;H1566*(1-Параметры!$B$7),"почасовка",IF(Q1566&gt;H1566*(1+Параметры!$B$7),"сделка","любой способ"))))</f>
        <v>почасовка</v>
      </c>
      <c r="S1566">
        <v>0</v>
      </c>
      <c r="T1566">
        <v>0</v>
      </c>
    </row>
    <row r="1567" spans="1:20" x14ac:dyDescent="0.25">
      <c r="A1567" s="18" t="s">
        <v>3177</v>
      </c>
      <c r="B1567" s="13" t="s">
        <v>3178</v>
      </c>
      <c r="C1567" s="13" t="s">
        <v>3179</v>
      </c>
      <c r="D1567" s="13" t="s">
        <v>252</v>
      </c>
      <c r="E1567" s="13" t="str">
        <f>IFERROR(INDEX('Почасовка — ставки и план'!$B$5:$B$24,MATCH(D1567,'Почасовка — ставки и план'!$A$5:$A$24,0)),"Аренда техники / механизмы")</f>
        <v>Каменщик</v>
      </c>
      <c r="F1567" s="14">
        <v>900</v>
      </c>
      <c r="G1567" s="14">
        <v>1035</v>
      </c>
      <c r="H1567" s="15">
        <v>550</v>
      </c>
      <c r="I1567" s="15">
        <f>IF(OR(H1567="",F1567=""),"",MAX(H1567,MIN(ROUND(H1567*(1+Параметры!$B$5),IF(H1567*(1+Параметры!$B$5)&gt;=1000,-1,0)),ROUND(F1567*Параметры!$B$6,IF(F1567*Параметры!$B$6&gt;=1000,-1,0)))))</f>
        <v>633</v>
      </c>
      <c r="J1567" s="15">
        <v>632</v>
      </c>
      <c r="K1567" s="15">
        <f>IF(OR(J1567="",G1567=""),"",MAX(J1567,MIN(ROUND(J1567*(1+Параметры!$B$5),IF(J1567*(1+Параметры!$B$5)&gt;=1000,-1,0)),ROUND(G1567*Параметры!$B$6,IF(G1567*Параметры!$B$6&gt;=1000,-1,0)))))</f>
        <v>727</v>
      </c>
      <c r="L1567" s="16">
        <v>0.8</v>
      </c>
      <c r="M1567" s="17">
        <f t="shared" si="114"/>
        <v>1.25</v>
      </c>
      <c r="N1567" s="17">
        <f>IF(OR(L1567="",L1567=0),"",Параметры!$B$3/L1567)</f>
        <v>10</v>
      </c>
      <c r="O1567" s="15">
        <f>IF(L1567="","",IFERROR(INDEX('Почасовка — ставки и план'!$D$5:$D$24,MATCH($D1567,'Почасовка — ставки и план'!$A$5:$A$24,0)),""))</f>
        <v>800</v>
      </c>
      <c r="P1567" s="15">
        <f>IF(L1567="","",IFERROR(INDEX('Почасовка — ставки и план'!$E$5:$E$24,MATCH($D1567,'Почасовка — ставки и план'!$A$5:$A$24,0)),""))</f>
        <v>950</v>
      </c>
      <c r="Q1567" s="15">
        <f t="shared" si="115"/>
        <v>640</v>
      </c>
      <c r="R1567" s="13" t="str">
        <f>IF(D1567="TEX","аренда техники — сделка/счёт",IF(OR(Q1567="",H1567="",H1567=0),"—",IF(Q1567&lt;H1567*(1-Параметры!$B$7),"почасовка",IF(Q1567&gt;H1567*(1+Параметры!$B$7),"сделка","любой способ"))))</f>
        <v>сделка</v>
      </c>
      <c r="S1567">
        <v>0</v>
      </c>
      <c r="T1567">
        <v>0</v>
      </c>
    </row>
    <row r="1568" spans="1:20" x14ac:dyDescent="0.25">
      <c r="A1568" s="11" t="s">
        <v>3180</v>
      </c>
      <c r="B1568" s="12"/>
      <c r="C1568" s="12"/>
      <c r="D1568" s="12"/>
      <c r="E1568" s="12"/>
      <c r="F1568" s="12"/>
      <c r="G1568" s="12"/>
      <c r="H1568" s="12"/>
      <c r="I1568" s="12"/>
      <c r="J1568" s="12"/>
      <c r="K1568" s="12"/>
      <c r="L1568" s="12"/>
      <c r="M1568" s="12"/>
      <c r="N1568" s="12"/>
      <c r="O1568" s="12"/>
      <c r="P1568" s="12"/>
      <c r="Q1568" s="12"/>
      <c r="R1568" s="12"/>
    </row>
    <row r="1569" spans="1:20" x14ac:dyDescent="0.25">
      <c r="A1569" s="13" t="s">
        <v>3181</v>
      </c>
      <c r="B1569" s="13" t="s">
        <v>3182</v>
      </c>
      <c r="C1569" s="13" t="s">
        <v>144</v>
      </c>
      <c r="D1569" s="13" t="s">
        <v>3109</v>
      </c>
      <c r="E1569" s="13" t="str">
        <f>IFERROR(INDEX('Почасовка — ставки и план'!$B$5:$B$24,MATCH(D1569,'Почасовка — ставки и план'!$A$5:$A$24,0)),"Аренда техники / механизмы")</f>
        <v>Монтажник наружных сетей</v>
      </c>
      <c r="F1569" s="14">
        <v>4000</v>
      </c>
      <c r="G1569" s="14">
        <v>4600</v>
      </c>
      <c r="H1569" s="15">
        <v>2500</v>
      </c>
      <c r="I1569" s="15">
        <f>IF(OR(H1569="",F1569=""),"",MAX(H1569,MIN(ROUND(H1569*(1+Параметры!$B$5),IF(H1569*(1+Параметры!$B$5)&gt;=1000,-1,0)),ROUND(F1569*Параметры!$B$6,IF(F1569*Параметры!$B$6&gt;=1000,-1,0)))))</f>
        <v>2880</v>
      </c>
      <c r="J1569" s="15">
        <v>2875</v>
      </c>
      <c r="K1569" s="15">
        <f>IF(OR(J1569="",G1569=""),"",MAX(J1569,MIN(ROUND(J1569*(1+Параметры!$B$5),IF(J1569*(1+Параметры!$B$5)&gt;=1000,-1,0)),ROUND(G1569*Параметры!$B$6,IF(G1569*Параметры!$B$6&gt;=1000,-1,0)))))</f>
        <v>3310</v>
      </c>
      <c r="L1569" s="16">
        <v>2.5</v>
      </c>
      <c r="M1569" s="17">
        <f t="shared" ref="M1569:M1612" si="116">IF(OR(L1569="",L1569=0),"",1/L1569)</f>
        <v>0.4</v>
      </c>
      <c r="N1569" s="17">
        <f>IF(OR(L1569="",L1569=0),"",Параметры!$B$3/L1569)</f>
        <v>3.2</v>
      </c>
      <c r="O1569" s="15">
        <f>IF(L1569="","",IFERROR(INDEX('Почасовка — ставки и план'!$D$5:$D$24,MATCH($D1569,'Почасовка — ставки и план'!$A$5:$A$24,0)),""))</f>
        <v>850</v>
      </c>
      <c r="P1569" s="15">
        <f>IF(L1569="","",IFERROR(INDEX('Почасовка — ставки и план'!$E$5:$E$24,MATCH($D1569,'Почасовка — ставки и план'!$A$5:$A$24,0)),""))</f>
        <v>1020</v>
      </c>
      <c r="Q1569" s="15">
        <f t="shared" ref="Q1569:Q1612" si="117">IF(OR(L1569="",O1569=""),"",ROUND(L1569*O1569,0))</f>
        <v>2125</v>
      </c>
      <c r="R1569" s="13" t="str">
        <f>IF(D1569="TEX","аренда техники — сделка/счёт",IF(OR(Q1569="",H1569="",H1569=0),"—",IF(Q1569&lt;H1569*(1-Параметры!$B$7),"почасовка",IF(Q1569&gt;H1569*(1+Параметры!$B$7),"сделка","любой способ"))))</f>
        <v>почасовка</v>
      </c>
      <c r="S1569">
        <v>0</v>
      </c>
      <c r="T1569">
        <v>0</v>
      </c>
    </row>
    <row r="1570" spans="1:20" x14ac:dyDescent="0.25">
      <c r="A1570" s="13" t="s">
        <v>3183</v>
      </c>
      <c r="B1570" s="13" t="s">
        <v>3184</v>
      </c>
      <c r="C1570" s="13" t="s">
        <v>144</v>
      </c>
      <c r="D1570" s="13" t="s">
        <v>3109</v>
      </c>
      <c r="E1570" s="13" t="str">
        <f>IFERROR(INDEX('Почасовка — ставки и план'!$B$5:$B$24,MATCH(D1570,'Почасовка — ставки и план'!$A$5:$A$24,0)),"Аренда техники / механизмы")</f>
        <v>Монтажник наружных сетей</v>
      </c>
      <c r="F1570" s="14">
        <v>6000</v>
      </c>
      <c r="G1570" s="14">
        <v>6900</v>
      </c>
      <c r="H1570" s="15">
        <v>3800</v>
      </c>
      <c r="I1570" s="15">
        <f>IF(OR(H1570="",F1570=""),"",MAX(H1570,MIN(ROUND(H1570*(1+Параметры!$B$5),IF(H1570*(1+Параметры!$B$5)&gt;=1000,-1,0)),ROUND(F1570*Параметры!$B$6,IF(F1570*Параметры!$B$6&gt;=1000,-1,0)))))</f>
        <v>4370</v>
      </c>
      <c r="J1570" s="15">
        <v>4370</v>
      </c>
      <c r="K1570" s="15">
        <f>IF(OR(J1570="",G1570=""),"",MAX(J1570,MIN(ROUND(J1570*(1+Параметры!$B$5),IF(J1570*(1+Параметры!$B$5)&gt;=1000,-1,0)),ROUND(G1570*Параметры!$B$6,IF(G1570*Параметры!$B$6&gt;=1000,-1,0)))))</f>
        <v>5030</v>
      </c>
      <c r="L1570" s="16">
        <v>4</v>
      </c>
      <c r="M1570" s="17">
        <f t="shared" si="116"/>
        <v>0.25</v>
      </c>
      <c r="N1570" s="17">
        <f>IF(OR(L1570="",L1570=0),"",Параметры!$B$3/L1570)</f>
        <v>2</v>
      </c>
      <c r="O1570" s="15">
        <f>IF(L1570="","",IFERROR(INDEX('Почасовка — ставки и план'!$D$5:$D$24,MATCH($D1570,'Почасовка — ставки и план'!$A$5:$A$24,0)),""))</f>
        <v>850</v>
      </c>
      <c r="P1570" s="15">
        <f>IF(L1570="","",IFERROR(INDEX('Почасовка — ставки и план'!$E$5:$E$24,MATCH($D1570,'Почасовка — ставки и план'!$A$5:$A$24,0)),""))</f>
        <v>1020</v>
      </c>
      <c r="Q1570" s="15">
        <f t="shared" si="117"/>
        <v>3400</v>
      </c>
      <c r="R1570" s="13" t="str">
        <f>IF(D1570="TEX","аренда техники — сделка/счёт",IF(OR(Q1570="",H1570="",H1570=0),"—",IF(Q1570&lt;H1570*(1-Параметры!$B$7),"почасовка",IF(Q1570&gt;H1570*(1+Параметры!$B$7),"сделка","любой способ"))))</f>
        <v>почасовка</v>
      </c>
      <c r="S1570">
        <v>0</v>
      </c>
      <c r="T1570">
        <v>0</v>
      </c>
    </row>
    <row r="1571" spans="1:20" x14ac:dyDescent="0.25">
      <c r="A1571" s="13" t="s">
        <v>3185</v>
      </c>
      <c r="B1571" s="13" t="s">
        <v>3186</v>
      </c>
      <c r="C1571" s="13" t="s">
        <v>144</v>
      </c>
      <c r="D1571" s="13" t="s">
        <v>3109</v>
      </c>
      <c r="E1571" s="13" t="str">
        <f>IFERROR(INDEX('Почасовка — ставки и план'!$B$5:$B$24,MATCH(D1571,'Почасовка — ставки и план'!$A$5:$A$24,0)),"Аренда техники / механизмы")</f>
        <v>Монтажник наружных сетей</v>
      </c>
      <c r="F1571" s="14">
        <v>8500</v>
      </c>
      <c r="G1571" s="14">
        <v>9775</v>
      </c>
      <c r="H1571" s="15">
        <v>5300</v>
      </c>
      <c r="I1571" s="15">
        <f>IF(OR(H1571="",F1571=""),"",MAX(H1571,MIN(ROUND(H1571*(1+Параметры!$B$5),IF(H1571*(1+Параметры!$B$5)&gt;=1000,-1,0)),ROUND(F1571*Параметры!$B$6,IF(F1571*Параметры!$B$6&gt;=1000,-1,0)))))</f>
        <v>6100</v>
      </c>
      <c r="J1571" s="15">
        <v>6095</v>
      </c>
      <c r="K1571" s="15">
        <f>IF(OR(J1571="",G1571=""),"",MAX(J1571,MIN(ROUND(J1571*(1+Параметры!$B$5),IF(J1571*(1+Параметры!$B$5)&gt;=1000,-1,0)),ROUND(G1571*Параметры!$B$6,IF(G1571*Параметры!$B$6&gt;=1000,-1,0)))))</f>
        <v>7010</v>
      </c>
      <c r="L1571" s="16">
        <v>6</v>
      </c>
      <c r="M1571" s="17">
        <f t="shared" si="116"/>
        <v>0.16666666666666666</v>
      </c>
      <c r="N1571" s="17">
        <f>IF(OR(L1571="",L1571=0),"",Параметры!$B$3/L1571)</f>
        <v>1.3333333333333333</v>
      </c>
      <c r="O1571" s="15">
        <f>IF(L1571="","",IFERROR(INDEX('Почасовка — ставки и план'!$D$5:$D$24,MATCH($D1571,'Почасовка — ставки и план'!$A$5:$A$24,0)),""))</f>
        <v>850</v>
      </c>
      <c r="P1571" s="15">
        <f>IF(L1571="","",IFERROR(INDEX('Почасовка — ставки и план'!$E$5:$E$24,MATCH($D1571,'Почасовка — ставки и план'!$A$5:$A$24,0)),""))</f>
        <v>1020</v>
      </c>
      <c r="Q1571" s="15">
        <f t="shared" si="117"/>
        <v>5100</v>
      </c>
      <c r="R1571" s="13" t="str">
        <f>IF(D1571="TEX","аренда техники — сделка/счёт",IF(OR(Q1571="",H1571="",H1571=0),"—",IF(Q1571&lt;H1571*(1-Параметры!$B$7),"почасовка",IF(Q1571&gt;H1571*(1+Параметры!$B$7),"сделка","любой способ"))))</f>
        <v>любой способ</v>
      </c>
      <c r="S1571">
        <v>0</v>
      </c>
      <c r="T1571">
        <v>0</v>
      </c>
    </row>
    <row r="1572" spans="1:20" x14ac:dyDescent="0.25">
      <c r="A1572" s="13" t="s">
        <v>3187</v>
      </c>
      <c r="B1572" s="13" t="s">
        <v>3188</v>
      </c>
      <c r="C1572" s="13" t="s">
        <v>144</v>
      </c>
      <c r="D1572" s="13" t="s">
        <v>3109</v>
      </c>
      <c r="E1572" s="13" t="str">
        <f>IFERROR(INDEX('Почасовка — ставки и план'!$B$5:$B$24,MATCH(D1572,'Почасовка — ставки и план'!$A$5:$A$24,0)),"Аренда техники / механизмы")</f>
        <v>Монтажник наружных сетей</v>
      </c>
      <c r="F1572" s="14">
        <v>11000</v>
      </c>
      <c r="G1572" s="14">
        <v>12650</v>
      </c>
      <c r="H1572" s="15">
        <v>6800</v>
      </c>
      <c r="I1572" s="15">
        <f>IF(OR(H1572="",F1572=""),"",MAX(H1572,MIN(ROUND(H1572*(1+Параметры!$B$5),IF(H1572*(1+Параметры!$B$5)&gt;=1000,-1,0)),ROUND(F1572*Параметры!$B$6,IF(F1572*Параметры!$B$6&gt;=1000,-1,0)))))</f>
        <v>7820</v>
      </c>
      <c r="J1572" s="15">
        <v>7820</v>
      </c>
      <c r="K1572" s="15">
        <f>IF(OR(J1572="",G1572=""),"",MAX(J1572,MIN(ROUND(J1572*(1+Параметры!$B$5),IF(J1572*(1+Параметры!$B$5)&gt;=1000,-1,0)),ROUND(G1572*Параметры!$B$6,IF(G1572*Параметры!$B$6&gt;=1000,-1,0)))))</f>
        <v>8990</v>
      </c>
      <c r="L1572" s="16">
        <v>8</v>
      </c>
      <c r="M1572" s="17">
        <f t="shared" si="116"/>
        <v>0.125</v>
      </c>
      <c r="N1572" s="17">
        <f>IF(OR(L1572="",L1572=0),"",Параметры!$B$3/L1572)</f>
        <v>1</v>
      </c>
      <c r="O1572" s="15">
        <f>IF(L1572="","",IFERROR(INDEX('Почасовка — ставки и план'!$D$5:$D$24,MATCH($D1572,'Почасовка — ставки и план'!$A$5:$A$24,0)),""))</f>
        <v>850</v>
      </c>
      <c r="P1572" s="15">
        <f>IF(L1572="","",IFERROR(INDEX('Почасовка — ставки и план'!$E$5:$E$24,MATCH($D1572,'Почасовка — ставки и план'!$A$5:$A$24,0)),""))</f>
        <v>1020</v>
      </c>
      <c r="Q1572" s="15">
        <f t="shared" si="117"/>
        <v>6800</v>
      </c>
      <c r="R1572" s="13" t="str">
        <f>IF(D1572="TEX","аренда техники — сделка/счёт",IF(OR(Q1572="",H1572="",H1572=0),"—",IF(Q1572&lt;H1572*(1-Параметры!$B$7),"почасовка",IF(Q1572&gt;H1572*(1+Параметры!$B$7),"сделка","любой способ"))))</f>
        <v>любой способ</v>
      </c>
      <c r="S1572">
        <v>0</v>
      </c>
      <c r="T1572">
        <v>0</v>
      </c>
    </row>
    <row r="1573" spans="1:20" x14ac:dyDescent="0.25">
      <c r="A1573" s="13" t="s">
        <v>3189</v>
      </c>
      <c r="B1573" s="13" t="s">
        <v>3190</v>
      </c>
      <c r="C1573" s="13" t="s">
        <v>144</v>
      </c>
      <c r="D1573" s="13" t="s">
        <v>3109</v>
      </c>
      <c r="E1573" s="13" t="str">
        <f>IFERROR(INDEX('Почасовка — ставки и план'!$B$5:$B$24,MATCH(D1573,'Почасовка — ставки и план'!$A$5:$A$24,0)),"Аренда техники / механизмы")</f>
        <v>Монтажник наружных сетей</v>
      </c>
      <c r="F1573" s="14">
        <v>13500</v>
      </c>
      <c r="G1573" s="14">
        <v>15525</v>
      </c>
      <c r="H1573" s="15">
        <v>8400</v>
      </c>
      <c r="I1573" s="15">
        <f>IF(OR(H1573="",F1573=""),"",MAX(H1573,MIN(ROUND(H1573*(1+Параметры!$B$5),IF(H1573*(1+Параметры!$B$5)&gt;=1000,-1,0)),ROUND(F1573*Параметры!$B$6,IF(F1573*Параметры!$B$6&gt;=1000,-1,0)))))</f>
        <v>9660</v>
      </c>
      <c r="J1573" s="15">
        <v>9660</v>
      </c>
      <c r="K1573" s="15">
        <f>IF(OR(J1573="",G1573=""),"",MAX(J1573,MIN(ROUND(J1573*(1+Параметры!$B$5),IF(J1573*(1+Параметры!$B$5)&gt;=1000,-1,0)),ROUND(G1573*Параметры!$B$6,IF(G1573*Параметры!$B$6&gt;=1000,-1,0)))))</f>
        <v>11110</v>
      </c>
      <c r="L1573" s="16">
        <v>10</v>
      </c>
      <c r="M1573" s="17">
        <f t="shared" si="116"/>
        <v>0.1</v>
      </c>
      <c r="N1573" s="17">
        <f>IF(OR(L1573="",L1573=0),"",Параметры!$B$3/L1573)</f>
        <v>0.8</v>
      </c>
      <c r="O1573" s="15">
        <f>IF(L1573="","",IFERROR(INDEX('Почасовка — ставки и план'!$D$5:$D$24,MATCH($D1573,'Почасовка — ставки и план'!$A$5:$A$24,0)),""))</f>
        <v>850</v>
      </c>
      <c r="P1573" s="15">
        <f>IF(L1573="","",IFERROR(INDEX('Почасовка — ставки и план'!$E$5:$E$24,MATCH($D1573,'Почасовка — ставки и план'!$A$5:$A$24,0)),""))</f>
        <v>1020</v>
      </c>
      <c r="Q1573" s="15">
        <f t="shared" si="117"/>
        <v>8500</v>
      </c>
      <c r="R1573" s="13" t="str">
        <f>IF(D1573="TEX","аренда техники — сделка/счёт",IF(OR(Q1573="",H1573="",H1573=0),"—",IF(Q1573&lt;H1573*(1-Параметры!$B$7),"почасовка",IF(Q1573&gt;H1573*(1+Параметры!$B$7),"сделка","любой способ"))))</f>
        <v>любой способ</v>
      </c>
      <c r="S1573">
        <v>0</v>
      </c>
      <c r="T1573">
        <v>0</v>
      </c>
    </row>
    <row r="1574" spans="1:20" x14ac:dyDescent="0.25">
      <c r="A1574" s="13" t="s">
        <v>3191</v>
      </c>
      <c r="B1574" s="13" t="s">
        <v>3192</v>
      </c>
      <c r="C1574" s="13" t="s">
        <v>144</v>
      </c>
      <c r="D1574" s="13" t="s">
        <v>3109</v>
      </c>
      <c r="E1574" s="13" t="str">
        <f>IFERROR(INDEX('Почасовка — ставки и план'!$B$5:$B$24,MATCH(D1574,'Почасовка — ставки и план'!$A$5:$A$24,0)),"Аренда техники / механизмы")</f>
        <v>Монтажник наружных сетей</v>
      </c>
      <c r="F1574" s="14">
        <v>28000</v>
      </c>
      <c r="G1574" s="14">
        <v>32200</v>
      </c>
      <c r="H1574" s="15">
        <v>17500</v>
      </c>
      <c r="I1574" s="15">
        <f>IF(OR(H1574="",F1574=""),"",MAX(H1574,MIN(ROUND(H1574*(1+Параметры!$B$5),IF(H1574*(1+Параметры!$B$5)&gt;=1000,-1,0)),ROUND(F1574*Параметры!$B$6,IF(F1574*Параметры!$B$6&gt;=1000,-1,0)))))</f>
        <v>20130</v>
      </c>
      <c r="J1574" s="15">
        <v>20125</v>
      </c>
      <c r="K1574" s="15">
        <f>IF(OR(J1574="",G1574=""),"",MAX(J1574,MIN(ROUND(J1574*(1+Параметры!$B$5),IF(J1574*(1+Параметры!$B$5)&gt;=1000,-1,0)),ROUND(G1574*Параметры!$B$6,IF(G1574*Параметры!$B$6&gt;=1000,-1,0)))))</f>
        <v>23140</v>
      </c>
      <c r="L1574" s="16">
        <v>22</v>
      </c>
      <c r="M1574" s="17">
        <f t="shared" si="116"/>
        <v>4.5454545454545456E-2</v>
      </c>
      <c r="N1574" s="17">
        <f>IF(OR(L1574="",L1574=0),"",Параметры!$B$3/L1574)</f>
        <v>0.36363636363636365</v>
      </c>
      <c r="O1574" s="15">
        <f>IF(L1574="","",IFERROR(INDEX('Почасовка — ставки и план'!$D$5:$D$24,MATCH($D1574,'Почасовка — ставки и план'!$A$5:$A$24,0)),""))</f>
        <v>850</v>
      </c>
      <c r="P1574" s="15">
        <f>IF(L1574="","",IFERROR(INDEX('Почасовка — ставки и план'!$E$5:$E$24,MATCH($D1574,'Почасовка — ставки и план'!$A$5:$A$24,0)),""))</f>
        <v>1020</v>
      </c>
      <c r="Q1574" s="15">
        <f t="shared" si="117"/>
        <v>18700</v>
      </c>
      <c r="R1574" s="13" t="str">
        <f>IF(D1574="TEX","аренда техники — сделка/счёт",IF(OR(Q1574="",H1574="",H1574=0),"—",IF(Q1574&lt;H1574*(1-Параметры!$B$7),"почасовка",IF(Q1574&gt;H1574*(1+Параметры!$B$7),"сделка","любой способ"))))</f>
        <v>любой способ</v>
      </c>
      <c r="S1574">
        <v>0</v>
      </c>
      <c r="T1574">
        <v>0</v>
      </c>
    </row>
    <row r="1575" spans="1:20" x14ac:dyDescent="0.25">
      <c r="A1575" s="13" t="s">
        <v>3193</v>
      </c>
      <c r="B1575" s="13" t="s">
        <v>3194</v>
      </c>
      <c r="C1575" s="13" t="s">
        <v>55</v>
      </c>
      <c r="D1575" s="13" t="s">
        <v>3109</v>
      </c>
      <c r="E1575" s="13" t="str">
        <f>IFERROR(INDEX('Почасовка — ставки и план'!$B$5:$B$24,MATCH(D1575,'Почасовка — ставки и план'!$A$5:$A$24,0)),"Аренда техники / механизмы")</f>
        <v>Монтажник наружных сетей</v>
      </c>
      <c r="F1575" s="14">
        <v>9067</v>
      </c>
      <c r="G1575" s="14">
        <v>10880</v>
      </c>
      <c r="H1575" s="15">
        <v>4700</v>
      </c>
      <c r="I1575" s="15">
        <f>IF(OR(H1575="",F1575=""),"",MAX(H1575,MIN(ROUND(H1575*(1+Параметры!$B$5),IF(H1575*(1+Параметры!$B$5)&gt;=1000,-1,0)),ROUND(F1575*Параметры!$B$6,IF(F1575*Параметры!$B$6&gt;=1000,-1,0)))))</f>
        <v>5410</v>
      </c>
      <c r="J1575" s="15">
        <v>5405</v>
      </c>
      <c r="K1575" s="15">
        <f>IF(OR(J1575="",G1575=""),"",MAX(J1575,MIN(ROUND(J1575*(1+Параметры!$B$5),IF(J1575*(1+Параметры!$B$5)&gt;=1000,-1,0)),ROUND(G1575*Параметры!$B$6,IF(G1575*Параметры!$B$6&gt;=1000,-1,0)))))</f>
        <v>6220</v>
      </c>
      <c r="L1575" s="16">
        <v>8</v>
      </c>
      <c r="M1575" s="17">
        <f t="shared" si="116"/>
        <v>0.125</v>
      </c>
      <c r="N1575" s="17">
        <f>IF(OR(L1575="",L1575=0),"",Параметры!$B$3/L1575)</f>
        <v>1</v>
      </c>
      <c r="O1575" s="15">
        <f>IF(L1575="","",IFERROR(INDEX('Почасовка — ставки и план'!$D$5:$D$24,MATCH($D1575,'Почасовка — ставки и план'!$A$5:$A$24,0)),""))</f>
        <v>850</v>
      </c>
      <c r="P1575" s="15">
        <f>IF(L1575="","",IFERROR(INDEX('Почасовка — ставки и план'!$E$5:$E$24,MATCH($D1575,'Почасовка — ставки и план'!$A$5:$A$24,0)),""))</f>
        <v>1020</v>
      </c>
      <c r="Q1575" s="15">
        <f t="shared" si="117"/>
        <v>6800</v>
      </c>
      <c r="R1575" s="13" t="str">
        <f>IF(D1575="TEX","аренда техники — сделка/счёт",IF(OR(Q1575="",H1575="",H1575=0),"—",IF(Q1575&lt;H1575*(1-Параметры!$B$7),"почасовка",IF(Q1575&gt;H1575*(1+Параметры!$B$7),"сделка","любой способ"))))</f>
        <v>сделка</v>
      </c>
      <c r="S1575">
        <v>0.20893333333333339</v>
      </c>
      <c r="T1575">
        <v>0.26144927536231882</v>
      </c>
    </row>
    <row r="1576" spans="1:20" x14ac:dyDescent="0.25">
      <c r="A1576" s="13" t="s">
        <v>3195</v>
      </c>
      <c r="B1576" s="13" t="s">
        <v>3196</v>
      </c>
      <c r="C1576" s="13" t="s">
        <v>55</v>
      </c>
      <c r="D1576" s="13" t="s">
        <v>3109</v>
      </c>
      <c r="E1576" s="13" t="str">
        <f>IFERROR(INDEX('Почасовка — ставки и план'!$B$5:$B$24,MATCH(D1576,'Почасовка — ставки и план'!$A$5:$A$24,0)),"Аренда техники / механизмы")</f>
        <v>Монтажник наружных сетей</v>
      </c>
      <c r="F1576" s="14">
        <v>250</v>
      </c>
      <c r="G1576" s="14">
        <v>288</v>
      </c>
      <c r="H1576" s="15">
        <v>150</v>
      </c>
      <c r="I1576" s="15">
        <f>IF(OR(H1576="",F1576=""),"",MAX(H1576,MIN(ROUND(H1576*(1+Параметры!$B$5),IF(H1576*(1+Параметры!$B$5)&gt;=1000,-1,0)),ROUND(F1576*Параметры!$B$6,IF(F1576*Параметры!$B$6&gt;=1000,-1,0)))))</f>
        <v>173</v>
      </c>
      <c r="J1576" s="15">
        <v>172</v>
      </c>
      <c r="K1576" s="15">
        <f>IF(OR(J1576="",G1576=""),"",MAX(J1576,MIN(ROUND(J1576*(1+Параметры!$B$5),IF(J1576*(1+Параметры!$B$5)&gt;=1000,-1,0)),ROUND(G1576*Параметры!$B$6,IF(G1576*Параметры!$B$6&gt;=1000,-1,0)))))</f>
        <v>198</v>
      </c>
      <c r="L1576" s="16">
        <v>0.1</v>
      </c>
      <c r="M1576" s="17">
        <f t="shared" si="116"/>
        <v>10</v>
      </c>
      <c r="N1576" s="17">
        <f>IF(OR(L1576="",L1576=0),"",Параметры!$B$3/L1576)</f>
        <v>80</v>
      </c>
      <c r="O1576" s="15">
        <f>IF(L1576="","",IFERROR(INDEX('Почасовка — ставки и план'!$D$5:$D$24,MATCH($D1576,'Почасовка — ставки и план'!$A$5:$A$24,0)),""))</f>
        <v>850</v>
      </c>
      <c r="P1576" s="15">
        <f>IF(L1576="","",IFERROR(INDEX('Почасовка — ставки и план'!$E$5:$E$24,MATCH($D1576,'Почасовка — ставки и план'!$A$5:$A$24,0)),""))</f>
        <v>1020</v>
      </c>
      <c r="Q1576" s="15">
        <f t="shared" si="117"/>
        <v>85</v>
      </c>
      <c r="R1576" s="13" t="str">
        <f>IF(D1576="TEX","аренда техники — сделка/счёт",IF(OR(Q1576="",H1576="",H1576=0),"—",IF(Q1576&lt;H1576*(1-Параметры!$B$7),"почасовка",IF(Q1576&gt;H1576*(1+Параметры!$B$7),"сделка","любой способ"))))</f>
        <v>почасовка</v>
      </c>
      <c r="S1576">
        <v>0</v>
      </c>
      <c r="T1576">
        <v>0</v>
      </c>
    </row>
    <row r="1577" spans="1:20" x14ac:dyDescent="0.25">
      <c r="A1577" s="13" t="s">
        <v>3197</v>
      </c>
      <c r="B1577" s="13" t="s">
        <v>3198</v>
      </c>
      <c r="C1577" s="13" t="s">
        <v>55</v>
      </c>
      <c r="D1577" s="13" t="s">
        <v>3109</v>
      </c>
      <c r="E1577" s="13" t="str">
        <f>IFERROR(INDEX('Почасовка — ставки и план'!$B$5:$B$24,MATCH(D1577,'Почасовка — ставки и план'!$A$5:$A$24,0)),"Аренда техники / механизмы")</f>
        <v>Монтажник наружных сетей</v>
      </c>
      <c r="F1577" s="14">
        <v>3200</v>
      </c>
      <c r="G1577" s="14">
        <v>3840</v>
      </c>
      <c r="H1577" s="15">
        <v>2200</v>
      </c>
      <c r="I1577" s="15">
        <f>IF(OR(H1577="",F1577=""),"",MAX(H1577,MIN(ROUND(H1577*(1+Параметры!$B$5),IF(H1577*(1+Параметры!$B$5)&gt;=1000,-1,0)),ROUND(F1577*Параметры!$B$6,IF(F1577*Параметры!$B$6&gt;=1000,-1,0)))))</f>
        <v>2400</v>
      </c>
      <c r="J1577" s="15">
        <v>2640</v>
      </c>
      <c r="K1577" s="15">
        <f>IF(OR(J1577="",G1577=""),"",MAX(J1577,MIN(ROUND(J1577*(1+Параметры!$B$5),IF(J1577*(1+Параметры!$B$5)&gt;=1000,-1,0)),ROUND(G1577*Параметры!$B$6,IF(G1577*Параметры!$B$6&gt;=1000,-1,0)))))</f>
        <v>2880</v>
      </c>
      <c r="L1577" s="16">
        <v>0.6</v>
      </c>
      <c r="M1577" s="17">
        <f t="shared" si="116"/>
        <v>1.6666666666666667</v>
      </c>
      <c r="N1577" s="17">
        <f>IF(OR(L1577="",L1577=0),"",Параметры!$B$3/L1577)</f>
        <v>13.333333333333334</v>
      </c>
      <c r="O1577" s="15">
        <f>IF(L1577="","",IFERROR(INDEX('Почасовка — ставки и план'!$D$5:$D$24,MATCH($D1577,'Почасовка — ставки и план'!$A$5:$A$24,0)),""))</f>
        <v>850</v>
      </c>
      <c r="P1577" s="15">
        <f>IF(L1577="","",IFERROR(INDEX('Почасовка — ставки и план'!$E$5:$E$24,MATCH($D1577,'Почасовка — ставки и план'!$A$5:$A$24,0)),""))</f>
        <v>1020</v>
      </c>
      <c r="Q1577" s="15">
        <f t="shared" si="117"/>
        <v>510</v>
      </c>
      <c r="R1577" s="13" t="str">
        <f>IF(D1577="TEX","аренда техники — сделка/счёт",IF(OR(Q1577="",H1577="",H1577=0),"—",IF(Q1577&lt;H1577*(1-Параметры!$B$7),"почасовка",IF(Q1577&gt;H1577*(1+Параметры!$B$7),"сделка","любой способ"))))</f>
        <v>почасовка</v>
      </c>
      <c r="S1577">
        <v>0</v>
      </c>
      <c r="T1577">
        <v>0</v>
      </c>
    </row>
    <row r="1578" spans="1:20" x14ac:dyDescent="0.25">
      <c r="A1578" s="13" t="s">
        <v>3199</v>
      </c>
      <c r="B1578" s="13" t="s">
        <v>3200</v>
      </c>
      <c r="C1578" s="13" t="s">
        <v>69</v>
      </c>
      <c r="D1578" s="13" t="s">
        <v>3109</v>
      </c>
      <c r="E1578" s="13" t="str">
        <f>IFERROR(INDEX('Почасовка — ставки и план'!$B$5:$B$24,MATCH(D1578,'Почасовка — ставки и план'!$A$5:$A$24,0)),"Аренда техники / механизмы")</f>
        <v>Монтажник наружных сетей</v>
      </c>
      <c r="F1578" s="14">
        <v>200</v>
      </c>
      <c r="G1578" s="14">
        <v>240</v>
      </c>
      <c r="H1578" s="15">
        <v>130</v>
      </c>
      <c r="I1578" s="15">
        <f>IF(OR(H1578="",F1578=""),"",MAX(H1578,MIN(ROUND(H1578*(1+Параметры!$B$5),IF(H1578*(1+Параметры!$B$5)&gt;=1000,-1,0)),ROUND(F1578*Параметры!$B$6,IF(F1578*Параметры!$B$6&gt;=1000,-1,0)))))</f>
        <v>150</v>
      </c>
      <c r="J1578" s="15">
        <v>156</v>
      </c>
      <c r="K1578" s="15">
        <f>IF(OR(J1578="",G1578=""),"",MAX(J1578,MIN(ROUND(J1578*(1+Параметры!$B$5),IF(J1578*(1+Параметры!$B$5)&gt;=1000,-1,0)),ROUND(G1578*Параметры!$B$6,IF(G1578*Параметры!$B$6&gt;=1000,-1,0)))))</f>
        <v>179</v>
      </c>
      <c r="L1578" s="16">
        <v>0.05</v>
      </c>
      <c r="M1578" s="17">
        <f t="shared" si="116"/>
        <v>20</v>
      </c>
      <c r="N1578" s="17">
        <f>IF(OR(L1578="",L1578=0),"",Параметры!$B$3/L1578)</f>
        <v>160</v>
      </c>
      <c r="O1578" s="15">
        <f>IF(L1578="","",IFERROR(INDEX('Почасовка — ставки и план'!$D$5:$D$24,MATCH($D1578,'Почасовка — ставки и план'!$A$5:$A$24,0)),""))</f>
        <v>850</v>
      </c>
      <c r="P1578" s="15">
        <f>IF(L1578="","",IFERROR(INDEX('Почасовка — ставки и план'!$E$5:$E$24,MATCH($D1578,'Почасовка — ставки и план'!$A$5:$A$24,0)),""))</f>
        <v>1020</v>
      </c>
      <c r="Q1578" s="15">
        <f t="shared" si="117"/>
        <v>43</v>
      </c>
      <c r="R1578" s="13" t="str">
        <f>IF(D1578="TEX","аренда техники — сделка/счёт",IF(OR(Q1578="",H1578="",H1578=0),"—",IF(Q1578&lt;H1578*(1-Параметры!$B$7),"почасовка",IF(Q1578&gt;H1578*(1+Параметры!$B$7),"сделка","любой способ"))))</f>
        <v>почасовка</v>
      </c>
      <c r="S1578">
        <v>0</v>
      </c>
      <c r="T1578">
        <v>0</v>
      </c>
    </row>
    <row r="1579" spans="1:20" x14ac:dyDescent="0.25">
      <c r="A1579" s="13" t="s">
        <v>3201</v>
      </c>
      <c r="B1579" s="13" t="s">
        <v>3202</v>
      </c>
      <c r="C1579" s="13" t="s">
        <v>69</v>
      </c>
      <c r="D1579" s="13" t="s">
        <v>3109</v>
      </c>
      <c r="E1579" s="13" t="str">
        <f>IFERROR(INDEX('Почасовка — ставки и план'!$B$5:$B$24,MATCH(D1579,'Почасовка — ставки и план'!$A$5:$A$24,0)),"Аренда техники / механизмы")</f>
        <v>Монтажник наружных сетей</v>
      </c>
      <c r="F1579" s="14">
        <v>260</v>
      </c>
      <c r="G1579" s="14">
        <v>312</v>
      </c>
      <c r="H1579" s="15">
        <v>170</v>
      </c>
      <c r="I1579" s="15">
        <f>IF(OR(H1579="",F1579=""),"",MAX(H1579,MIN(ROUND(H1579*(1+Параметры!$B$5),IF(H1579*(1+Параметры!$B$5)&gt;=1000,-1,0)),ROUND(F1579*Параметры!$B$6,IF(F1579*Параметры!$B$6&gt;=1000,-1,0)))))</f>
        <v>195</v>
      </c>
      <c r="J1579" s="15">
        <v>204</v>
      </c>
      <c r="K1579" s="15">
        <f>IF(OR(J1579="",G1579=""),"",MAX(J1579,MIN(ROUND(J1579*(1+Параметры!$B$5),IF(J1579*(1+Параметры!$B$5)&gt;=1000,-1,0)),ROUND(G1579*Параметры!$B$6,IF(G1579*Параметры!$B$6&gt;=1000,-1,0)))))</f>
        <v>234</v>
      </c>
      <c r="L1579" s="16">
        <v>7.0000000000000007E-2</v>
      </c>
      <c r="M1579" s="17">
        <f t="shared" si="116"/>
        <v>14.285714285714285</v>
      </c>
      <c r="N1579" s="17">
        <f>IF(OR(L1579="",L1579=0),"",Параметры!$B$3/L1579)</f>
        <v>114.28571428571428</v>
      </c>
      <c r="O1579" s="15">
        <f>IF(L1579="","",IFERROR(INDEX('Почасовка — ставки и план'!$D$5:$D$24,MATCH($D1579,'Почасовка — ставки и план'!$A$5:$A$24,0)),""))</f>
        <v>850</v>
      </c>
      <c r="P1579" s="15">
        <f>IF(L1579="","",IFERROR(INDEX('Почасовка — ставки и план'!$E$5:$E$24,MATCH($D1579,'Почасовка — ставки и план'!$A$5:$A$24,0)),""))</f>
        <v>1020</v>
      </c>
      <c r="Q1579" s="15">
        <f t="shared" si="117"/>
        <v>60</v>
      </c>
      <c r="R1579" s="13" t="str">
        <f>IF(D1579="TEX","аренда техники — сделка/счёт",IF(OR(Q1579="",H1579="",H1579=0),"—",IF(Q1579&lt;H1579*(1-Параметры!$B$7),"почасовка",IF(Q1579&gt;H1579*(1+Параметры!$B$7),"сделка","любой способ"))))</f>
        <v>почасовка</v>
      </c>
      <c r="S1579">
        <v>0</v>
      </c>
      <c r="T1579">
        <v>0</v>
      </c>
    </row>
    <row r="1580" spans="1:20" x14ac:dyDescent="0.25">
      <c r="A1580" s="13" t="s">
        <v>3203</v>
      </c>
      <c r="B1580" s="13" t="s">
        <v>3204</v>
      </c>
      <c r="C1580" s="13" t="s">
        <v>69</v>
      </c>
      <c r="D1580" s="13" t="s">
        <v>3109</v>
      </c>
      <c r="E1580" s="13" t="str">
        <f>IFERROR(INDEX('Почасовка — ставки и план'!$B$5:$B$24,MATCH(D1580,'Почасовка — ставки и план'!$A$5:$A$24,0)),"Аренда техники / механизмы")</f>
        <v>Монтажник наружных сетей</v>
      </c>
      <c r="F1580" s="14">
        <v>300</v>
      </c>
      <c r="G1580" s="14">
        <v>360</v>
      </c>
      <c r="H1580" s="15">
        <v>200</v>
      </c>
      <c r="I1580" s="15">
        <f>IF(OR(H1580="",F1580=""),"",MAX(H1580,MIN(ROUND(H1580*(1+Параметры!$B$5),IF(H1580*(1+Параметры!$B$5)&gt;=1000,-1,0)),ROUND(F1580*Параметры!$B$6,IF(F1580*Параметры!$B$6&gt;=1000,-1,0)))))</f>
        <v>225</v>
      </c>
      <c r="J1580" s="15">
        <v>240</v>
      </c>
      <c r="K1580" s="15">
        <f>IF(OR(J1580="",G1580=""),"",MAX(J1580,MIN(ROUND(J1580*(1+Параметры!$B$5),IF(J1580*(1+Параметры!$B$5)&gt;=1000,-1,0)),ROUND(G1580*Параметры!$B$6,IF(G1580*Параметры!$B$6&gt;=1000,-1,0)))))</f>
        <v>270</v>
      </c>
      <c r="L1580" s="16">
        <v>0.08</v>
      </c>
      <c r="M1580" s="17">
        <f t="shared" si="116"/>
        <v>12.5</v>
      </c>
      <c r="N1580" s="17">
        <f>IF(OR(L1580="",L1580=0),"",Параметры!$B$3/L1580)</f>
        <v>100</v>
      </c>
      <c r="O1580" s="15">
        <f>IF(L1580="","",IFERROR(INDEX('Почасовка — ставки и план'!$D$5:$D$24,MATCH($D1580,'Почасовка — ставки и план'!$A$5:$A$24,0)),""))</f>
        <v>850</v>
      </c>
      <c r="P1580" s="15">
        <f>IF(L1580="","",IFERROR(INDEX('Почасовка — ставки и план'!$E$5:$E$24,MATCH($D1580,'Почасовка — ставки и план'!$A$5:$A$24,0)),""))</f>
        <v>1020</v>
      </c>
      <c r="Q1580" s="15">
        <f t="shared" si="117"/>
        <v>68</v>
      </c>
      <c r="R1580" s="13" t="str">
        <f>IF(D1580="TEX","аренда техники — сделка/счёт",IF(OR(Q1580="",H1580="",H1580=0),"—",IF(Q1580&lt;H1580*(1-Параметры!$B$7),"почасовка",IF(Q1580&gt;H1580*(1+Параметры!$B$7),"сделка","любой способ"))))</f>
        <v>почасовка</v>
      </c>
      <c r="S1580">
        <v>0</v>
      </c>
      <c r="T1580">
        <v>0</v>
      </c>
    </row>
    <row r="1581" spans="1:20" x14ac:dyDescent="0.25">
      <c r="A1581" s="13" t="s">
        <v>3205</v>
      </c>
      <c r="B1581" s="13" t="s">
        <v>3206</v>
      </c>
      <c r="C1581" s="13" t="s">
        <v>865</v>
      </c>
      <c r="D1581" s="13" t="s">
        <v>3109</v>
      </c>
      <c r="E1581" s="13" t="str">
        <f>IFERROR(INDEX('Почасовка — ставки и план'!$B$5:$B$24,MATCH(D1581,'Почасовка — ставки и план'!$A$5:$A$24,0)),"Аренда техники / механизмы")</f>
        <v>Монтажник наружных сетей</v>
      </c>
      <c r="F1581" s="14">
        <v>15000</v>
      </c>
      <c r="G1581" s="14">
        <v>17250</v>
      </c>
      <c r="H1581" s="15">
        <v>10000</v>
      </c>
      <c r="I1581" s="15">
        <f>IF(OR(H1581="",F1581=""),"",MAX(H1581,MIN(ROUND(H1581*(1+Параметры!$B$5),IF(H1581*(1+Параметры!$B$5)&gt;=1000,-1,0)),ROUND(F1581*Параметры!$B$6,IF(F1581*Параметры!$B$6&gt;=1000,-1,0)))))</f>
        <v>11250</v>
      </c>
      <c r="J1581" s="15">
        <v>11500</v>
      </c>
      <c r="K1581" s="15">
        <f>IF(OR(J1581="",G1581=""),"",MAX(J1581,MIN(ROUND(J1581*(1+Параметры!$B$5),IF(J1581*(1+Параметры!$B$5)&gt;=1000,-1,0)),ROUND(G1581*Параметры!$B$6,IF(G1581*Параметры!$B$6&gt;=1000,-1,0)))))</f>
        <v>12940</v>
      </c>
      <c r="L1581" s="16">
        <v>4</v>
      </c>
      <c r="M1581" s="17">
        <f t="shared" si="116"/>
        <v>0.25</v>
      </c>
      <c r="N1581" s="17">
        <f>IF(OR(L1581="",L1581=0),"",Параметры!$B$3/L1581)</f>
        <v>2</v>
      </c>
      <c r="O1581" s="15">
        <f>IF(L1581="","",IFERROR(INDEX('Почасовка — ставки и план'!$D$5:$D$24,MATCH($D1581,'Почасовка — ставки и план'!$A$5:$A$24,0)),""))</f>
        <v>850</v>
      </c>
      <c r="P1581" s="15">
        <f>IF(L1581="","",IFERROR(INDEX('Почасовка — ставки и план'!$E$5:$E$24,MATCH($D1581,'Почасовка — ставки и план'!$A$5:$A$24,0)),""))</f>
        <v>1020</v>
      </c>
      <c r="Q1581" s="15">
        <f t="shared" si="117"/>
        <v>3400</v>
      </c>
      <c r="R1581" s="13" t="str">
        <f>IF(D1581="TEX","аренда техники — сделка/счёт",IF(OR(Q1581="",H1581="",H1581=0),"—",IF(Q1581&lt;H1581*(1-Параметры!$B$7),"почасовка",IF(Q1581&gt;H1581*(1+Параметры!$B$7),"сделка","любой способ"))))</f>
        <v>почасовка</v>
      </c>
      <c r="S1581">
        <v>0</v>
      </c>
      <c r="T1581">
        <v>0</v>
      </c>
    </row>
    <row r="1582" spans="1:20" x14ac:dyDescent="0.25">
      <c r="A1582" s="13" t="s">
        <v>3207</v>
      </c>
      <c r="B1582" s="13" t="s">
        <v>3208</v>
      </c>
      <c r="C1582" s="13" t="s">
        <v>865</v>
      </c>
      <c r="D1582" s="13" t="s">
        <v>3109</v>
      </c>
      <c r="E1582" s="13" t="str">
        <f>IFERROR(INDEX('Почасовка — ставки и план'!$B$5:$B$24,MATCH(D1582,'Почасовка — ставки и план'!$A$5:$A$24,0)),"Аренда техники / механизмы")</f>
        <v>Монтажник наружных сетей</v>
      </c>
      <c r="F1582" s="14">
        <v>22000</v>
      </c>
      <c r="G1582" s="14">
        <v>25300</v>
      </c>
      <c r="H1582" s="15">
        <v>14000</v>
      </c>
      <c r="I1582" s="15">
        <f>IF(OR(H1582="",F1582=""),"",MAX(H1582,MIN(ROUND(H1582*(1+Параметры!$B$5),IF(H1582*(1+Параметры!$B$5)&gt;=1000,-1,0)),ROUND(F1582*Параметры!$B$6,IF(F1582*Параметры!$B$6&gt;=1000,-1,0)))))</f>
        <v>16100</v>
      </c>
      <c r="J1582" s="15">
        <v>16100</v>
      </c>
      <c r="K1582" s="15">
        <f>IF(OR(J1582="",G1582=""),"",MAX(J1582,MIN(ROUND(J1582*(1+Параметры!$B$5),IF(J1582*(1+Параметры!$B$5)&gt;=1000,-1,0)),ROUND(G1582*Параметры!$B$6,IF(G1582*Параметры!$B$6&gt;=1000,-1,0)))))</f>
        <v>18520</v>
      </c>
      <c r="L1582" s="16">
        <v>6</v>
      </c>
      <c r="M1582" s="17">
        <f t="shared" si="116"/>
        <v>0.16666666666666666</v>
      </c>
      <c r="N1582" s="17">
        <f>IF(OR(L1582="",L1582=0),"",Параметры!$B$3/L1582)</f>
        <v>1.3333333333333333</v>
      </c>
      <c r="O1582" s="15">
        <f>IF(L1582="","",IFERROR(INDEX('Почасовка — ставки и план'!$D$5:$D$24,MATCH($D1582,'Почасовка — ставки и план'!$A$5:$A$24,0)),""))</f>
        <v>850</v>
      </c>
      <c r="P1582" s="15">
        <f>IF(L1582="","",IFERROR(INDEX('Почасовка — ставки и план'!$E$5:$E$24,MATCH($D1582,'Почасовка — ставки и план'!$A$5:$A$24,0)),""))</f>
        <v>1020</v>
      </c>
      <c r="Q1582" s="15">
        <f t="shared" si="117"/>
        <v>5100</v>
      </c>
      <c r="R1582" s="13" t="str">
        <f>IF(D1582="TEX","аренда техники — сделка/счёт",IF(OR(Q1582="",H1582="",H1582=0),"—",IF(Q1582&lt;H1582*(1-Параметры!$B$7),"почасовка",IF(Q1582&gt;H1582*(1+Параметры!$B$7),"сделка","любой способ"))))</f>
        <v>почасовка</v>
      </c>
      <c r="S1582">
        <v>0</v>
      </c>
      <c r="T1582">
        <v>0</v>
      </c>
    </row>
    <row r="1583" spans="1:20" x14ac:dyDescent="0.25">
      <c r="A1583" s="13" t="s">
        <v>3209</v>
      </c>
      <c r="B1583" s="13" t="s">
        <v>3210</v>
      </c>
      <c r="C1583" s="13" t="s">
        <v>144</v>
      </c>
      <c r="D1583" s="13" t="s">
        <v>3109</v>
      </c>
      <c r="E1583" s="13" t="str">
        <f>IFERROR(INDEX('Почасовка — ставки и план'!$B$5:$B$24,MATCH(D1583,'Почасовка — ставки и план'!$A$5:$A$24,0)),"Аренда техники / механизмы")</f>
        <v>Монтажник наружных сетей</v>
      </c>
      <c r="F1583" s="14">
        <v>3700</v>
      </c>
      <c r="G1583" s="14">
        <v>4255</v>
      </c>
      <c r="H1583" s="15">
        <v>2300</v>
      </c>
      <c r="I1583" s="15">
        <f>IF(OR(H1583="",F1583=""),"",MAX(H1583,MIN(ROUND(H1583*(1+Параметры!$B$5),IF(H1583*(1+Параметры!$B$5)&gt;=1000,-1,0)),ROUND(F1583*Параметры!$B$6,IF(F1583*Параметры!$B$6&gt;=1000,-1,0)))))</f>
        <v>2650</v>
      </c>
      <c r="J1583" s="15">
        <v>2645</v>
      </c>
      <c r="K1583" s="15">
        <f>IF(OR(J1583="",G1583=""),"",MAX(J1583,MIN(ROUND(J1583*(1+Параметры!$B$5),IF(J1583*(1+Параметры!$B$5)&gt;=1000,-1,0)),ROUND(G1583*Параметры!$B$6,IF(G1583*Параметры!$B$6&gt;=1000,-1,0)))))</f>
        <v>3040</v>
      </c>
      <c r="L1583" s="16">
        <v>3</v>
      </c>
      <c r="M1583" s="17">
        <f t="shared" si="116"/>
        <v>0.33333333333333331</v>
      </c>
      <c r="N1583" s="17">
        <f>IF(OR(L1583="",L1583=0),"",Параметры!$B$3/L1583)</f>
        <v>2.6666666666666665</v>
      </c>
      <c r="O1583" s="15">
        <f>IF(L1583="","",IFERROR(INDEX('Почасовка — ставки и план'!$D$5:$D$24,MATCH($D1583,'Почасовка — ставки и план'!$A$5:$A$24,0)),""))</f>
        <v>850</v>
      </c>
      <c r="P1583" s="15">
        <f>IF(L1583="","",IFERROR(INDEX('Почасовка — ставки и план'!$E$5:$E$24,MATCH($D1583,'Почасовка — ставки и план'!$A$5:$A$24,0)),""))</f>
        <v>1020</v>
      </c>
      <c r="Q1583" s="15">
        <f t="shared" si="117"/>
        <v>2550</v>
      </c>
      <c r="R1583" s="13" t="str">
        <f>IF(D1583="TEX","аренда техники — сделка/счёт",IF(OR(Q1583="",H1583="",H1583=0),"—",IF(Q1583&lt;H1583*(1-Параметры!$B$7),"почасовка",IF(Q1583&gt;H1583*(1+Параметры!$B$7),"сделка","любой способ"))))</f>
        <v>сделка</v>
      </c>
      <c r="S1583">
        <v>0</v>
      </c>
      <c r="T1583">
        <v>0</v>
      </c>
    </row>
    <row r="1584" spans="1:20" x14ac:dyDescent="0.25">
      <c r="A1584" s="13" t="s">
        <v>3211</v>
      </c>
      <c r="B1584" s="13" t="s">
        <v>3212</v>
      </c>
      <c r="C1584" s="13" t="s">
        <v>144</v>
      </c>
      <c r="D1584" s="13" t="s">
        <v>3109</v>
      </c>
      <c r="E1584" s="13" t="str">
        <f>IFERROR(INDEX('Почасовка — ставки и план'!$B$5:$B$24,MATCH(D1584,'Почасовка — ставки и план'!$A$5:$A$24,0)),"Аренда техники / механизмы")</f>
        <v>Монтажник наружных сетей</v>
      </c>
      <c r="F1584" s="14">
        <v>14000</v>
      </c>
      <c r="G1584" s="14">
        <v>16320</v>
      </c>
      <c r="H1584" s="15">
        <v>9000</v>
      </c>
      <c r="I1584" s="15">
        <f>IF(OR(H1584="",F1584=""),"",MAX(H1584,MIN(ROUND(H1584*(1+Параметры!$B$5),IF(H1584*(1+Параметры!$B$5)&gt;=1000,-1,0)),ROUND(F1584*Параметры!$B$6,IF(F1584*Параметры!$B$6&gt;=1000,-1,0)))))</f>
        <v>10350</v>
      </c>
      <c r="J1584" s="15">
        <v>10350</v>
      </c>
      <c r="K1584" s="15">
        <f>IF(OR(J1584="",G1584=""),"",MAX(J1584,MIN(ROUND(J1584*(1+Параметры!$B$5),IF(J1584*(1+Параметры!$B$5)&gt;=1000,-1,0)),ROUND(G1584*Параметры!$B$6,IF(G1584*Параметры!$B$6&gt;=1000,-1,0)))))</f>
        <v>11900</v>
      </c>
      <c r="L1584" s="16">
        <v>12</v>
      </c>
      <c r="M1584" s="17">
        <f t="shared" si="116"/>
        <v>8.3333333333333329E-2</v>
      </c>
      <c r="N1584" s="17">
        <f>IF(OR(L1584="",L1584=0),"",Параметры!$B$3/L1584)</f>
        <v>0.66666666666666663</v>
      </c>
      <c r="O1584" s="15">
        <f>IF(L1584="","",IFERROR(INDEX('Почасовка — ставки и план'!$D$5:$D$24,MATCH($D1584,'Почасовка — ставки и план'!$A$5:$A$24,0)),""))</f>
        <v>850</v>
      </c>
      <c r="P1584" s="15">
        <f>IF(L1584="","",IFERROR(INDEX('Почасовка — ставки и план'!$E$5:$E$24,MATCH($D1584,'Почасовка — ставки и план'!$A$5:$A$24,0)),""))</f>
        <v>1020</v>
      </c>
      <c r="Q1584" s="15">
        <f t="shared" si="117"/>
        <v>10200</v>
      </c>
      <c r="R1584" s="13" t="str">
        <f>IF(D1584="TEX","аренда техники — сделка/счёт",IF(OR(Q1584="",H1584="",H1584=0),"—",IF(Q1584&lt;H1584*(1-Параметры!$B$7),"почасовка",IF(Q1584&gt;H1584*(1+Параметры!$B$7),"сделка","любой способ"))))</f>
        <v>сделка</v>
      </c>
      <c r="S1584">
        <v>0</v>
      </c>
      <c r="T1584">
        <v>1.366459627329197E-2</v>
      </c>
    </row>
    <row r="1585" spans="1:20" x14ac:dyDescent="0.25">
      <c r="A1585" s="13" t="s">
        <v>3213</v>
      </c>
      <c r="B1585" s="13" t="s">
        <v>3214</v>
      </c>
      <c r="C1585" s="13" t="s">
        <v>144</v>
      </c>
      <c r="D1585" s="13" t="s">
        <v>3109</v>
      </c>
      <c r="E1585" s="13" t="str">
        <f>IFERROR(INDEX('Почасовка — ставки и план'!$B$5:$B$24,MATCH(D1585,'Почасовка — ставки и план'!$A$5:$A$24,0)),"Аренда техники / механизмы")</f>
        <v>Монтажник наружных сетей</v>
      </c>
      <c r="F1585" s="14">
        <v>18000</v>
      </c>
      <c r="G1585" s="14">
        <v>20700</v>
      </c>
      <c r="H1585" s="15">
        <v>11500</v>
      </c>
      <c r="I1585" s="15">
        <f>IF(OR(H1585="",F1585=""),"",MAX(H1585,MIN(ROUND(H1585*(1+Параметры!$B$5),IF(H1585*(1+Параметры!$B$5)&gt;=1000,-1,0)),ROUND(F1585*Параметры!$B$6,IF(F1585*Параметры!$B$6&gt;=1000,-1,0)))))</f>
        <v>13230</v>
      </c>
      <c r="J1585" s="15">
        <v>13225</v>
      </c>
      <c r="K1585" s="15">
        <f>IF(OR(J1585="",G1585=""),"",MAX(J1585,MIN(ROUND(J1585*(1+Параметры!$B$5),IF(J1585*(1+Параметры!$B$5)&gt;=1000,-1,0)),ROUND(G1585*Параметры!$B$6,IF(G1585*Параметры!$B$6&gt;=1000,-1,0)))))</f>
        <v>15210</v>
      </c>
      <c r="L1585" s="16">
        <v>15</v>
      </c>
      <c r="M1585" s="17">
        <f t="shared" si="116"/>
        <v>6.6666666666666666E-2</v>
      </c>
      <c r="N1585" s="17">
        <f>IF(OR(L1585="",L1585=0),"",Параметры!$B$3/L1585)</f>
        <v>0.53333333333333333</v>
      </c>
      <c r="O1585" s="15">
        <f>IF(L1585="","",IFERROR(INDEX('Почасовка — ставки и план'!$D$5:$D$24,MATCH($D1585,'Почасовка — ставки и план'!$A$5:$A$24,0)),""))</f>
        <v>850</v>
      </c>
      <c r="P1585" s="15">
        <f>IF(L1585="","",IFERROR(INDEX('Почасовка — ставки и план'!$E$5:$E$24,MATCH($D1585,'Почасовка — ставки и план'!$A$5:$A$24,0)),""))</f>
        <v>1020</v>
      </c>
      <c r="Q1585" s="15">
        <f t="shared" si="117"/>
        <v>12750</v>
      </c>
      <c r="R1585" s="13" t="str">
        <f>IF(D1585="TEX","аренда техники — сделка/счёт",IF(OR(Q1585="",H1585="",H1585=0),"—",IF(Q1585&lt;H1585*(1-Параметры!$B$7),"почасовка",IF(Q1585&gt;H1585*(1+Параметры!$B$7),"сделка","любой способ"))))</f>
        <v>сделка</v>
      </c>
      <c r="S1585">
        <v>0</v>
      </c>
      <c r="T1585">
        <v>0</v>
      </c>
    </row>
    <row r="1586" spans="1:20" x14ac:dyDescent="0.25">
      <c r="A1586" s="13" t="s">
        <v>3215</v>
      </c>
      <c r="B1586" s="13" t="s">
        <v>3216</v>
      </c>
      <c r="C1586" s="13" t="s">
        <v>144</v>
      </c>
      <c r="D1586" s="13" t="s">
        <v>3109</v>
      </c>
      <c r="E1586" s="13" t="str">
        <f>IFERROR(INDEX('Почасовка — ставки и план'!$B$5:$B$24,MATCH(D1586,'Почасовка — ставки и план'!$A$5:$A$24,0)),"Аренда техники / механизмы")</f>
        <v>Монтажник наружных сетей</v>
      </c>
      <c r="F1586" s="14">
        <v>15000</v>
      </c>
      <c r="G1586" s="14">
        <v>17680</v>
      </c>
      <c r="H1586" s="15">
        <v>9500</v>
      </c>
      <c r="I1586" s="15">
        <f>IF(OR(H1586="",F1586=""),"",MAX(H1586,MIN(ROUND(H1586*(1+Параметры!$B$5),IF(H1586*(1+Параметры!$B$5)&gt;=1000,-1,0)),ROUND(F1586*Параметры!$B$6,IF(F1586*Параметры!$B$6&gt;=1000,-1,0)))))</f>
        <v>10930</v>
      </c>
      <c r="J1586" s="15">
        <v>10925</v>
      </c>
      <c r="K1586" s="15">
        <f>IF(OR(J1586="",G1586=""),"",MAX(J1586,MIN(ROUND(J1586*(1+Параметры!$B$5),IF(J1586*(1+Параметры!$B$5)&gt;=1000,-1,0)),ROUND(G1586*Параметры!$B$6,IF(G1586*Параметры!$B$6&gt;=1000,-1,0)))))</f>
        <v>12560</v>
      </c>
      <c r="L1586" s="16">
        <v>13</v>
      </c>
      <c r="M1586" s="17">
        <f t="shared" si="116"/>
        <v>7.6923076923076927E-2</v>
      </c>
      <c r="N1586" s="17">
        <f>IF(OR(L1586="",L1586=0),"",Параметры!$B$3/L1586)</f>
        <v>0.61538461538461542</v>
      </c>
      <c r="O1586" s="15">
        <f>IF(L1586="","",IFERROR(INDEX('Почасовка — ставки и план'!$D$5:$D$24,MATCH($D1586,'Почасовка — ставки и план'!$A$5:$A$24,0)),""))</f>
        <v>850</v>
      </c>
      <c r="P1586" s="15">
        <f>IF(L1586="","",IFERROR(INDEX('Почасовка — ставки и план'!$E$5:$E$24,MATCH($D1586,'Почасовка — ставки и план'!$A$5:$A$24,0)),""))</f>
        <v>1020</v>
      </c>
      <c r="Q1586" s="15">
        <f t="shared" si="117"/>
        <v>11050</v>
      </c>
      <c r="R1586" s="13" t="str">
        <f>IF(D1586="TEX","аренда техники — сделка/счёт",IF(OR(Q1586="",H1586="",H1586=0),"—",IF(Q1586&lt;H1586*(1-Параметры!$B$7),"почасовка",IF(Q1586&gt;H1586*(1+Параметры!$B$7),"сделка","любой способ"))))</f>
        <v>сделка</v>
      </c>
      <c r="S1586">
        <v>0</v>
      </c>
      <c r="T1586">
        <v>2.4927536231884151E-2</v>
      </c>
    </row>
    <row r="1587" spans="1:20" x14ac:dyDescent="0.25">
      <c r="A1587" s="13" t="s">
        <v>3217</v>
      </c>
      <c r="B1587" s="13" t="s">
        <v>3218</v>
      </c>
      <c r="C1587" s="13" t="s">
        <v>144</v>
      </c>
      <c r="D1587" s="13" t="s">
        <v>3109</v>
      </c>
      <c r="E1587" s="13" t="str">
        <f>IFERROR(INDEX('Почасовка — ставки и план'!$B$5:$B$24,MATCH(D1587,'Почасовка — ставки и план'!$A$5:$A$24,0)),"Аренда техники / механизмы")</f>
        <v>Монтажник наружных сетей</v>
      </c>
      <c r="F1587" s="14">
        <v>19000</v>
      </c>
      <c r="G1587" s="14">
        <v>21850</v>
      </c>
      <c r="H1587" s="15">
        <v>12000</v>
      </c>
      <c r="I1587" s="15">
        <f>IF(OR(H1587="",F1587=""),"",MAX(H1587,MIN(ROUND(H1587*(1+Параметры!$B$5),IF(H1587*(1+Параметры!$B$5)&gt;=1000,-1,0)),ROUND(F1587*Параметры!$B$6,IF(F1587*Параметры!$B$6&gt;=1000,-1,0)))))</f>
        <v>13800</v>
      </c>
      <c r="J1587" s="15">
        <v>13800</v>
      </c>
      <c r="K1587" s="15">
        <f>IF(OR(J1587="",G1587=""),"",MAX(J1587,MIN(ROUND(J1587*(1+Параметры!$B$5),IF(J1587*(1+Параметры!$B$5)&gt;=1000,-1,0)),ROUND(G1587*Параметры!$B$6,IF(G1587*Параметры!$B$6&gt;=1000,-1,0)))))</f>
        <v>15870</v>
      </c>
      <c r="L1587" s="16">
        <v>16</v>
      </c>
      <c r="M1587" s="17">
        <f t="shared" si="116"/>
        <v>6.25E-2</v>
      </c>
      <c r="N1587" s="17">
        <f>IF(OR(L1587="",L1587=0),"",Параметры!$B$3/L1587)</f>
        <v>0.5</v>
      </c>
      <c r="O1587" s="15">
        <f>IF(L1587="","",IFERROR(INDEX('Почасовка — ставки и план'!$D$5:$D$24,MATCH($D1587,'Почасовка — ставки и план'!$A$5:$A$24,0)),""))</f>
        <v>850</v>
      </c>
      <c r="P1587" s="15">
        <f>IF(L1587="","",IFERROR(INDEX('Почасовка — ставки и план'!$E$5:$E$24,MATCH($D1587,'Почасовка — ставки и план'!$A$5:$A$24,0)),""))</f>
        <v>1020</v>
      </c>
      <c r="Q1587" s="15">
        <f t="shared" si="117"/>
        <v>13600</v>
      </c>
      <c r="R1587" s="13" t="str">
        <f>IF(D1587="TEX","аренда техники — сделка/счёт",IF(OR(Q1587="",H1587="",H1587=0),"—",IF(Q1587&lt;H1587*(1-Параметры!$B$7),"почасовка",IF(Q1587&gt;H1587*(1+Параметры!$B$7),"сделка","любой способ"))))</f>
        <v>сделка</v>
      </c>
      <c r="S1587">
        <v>0</v>
      </c>
      <c r="T1587">
        <v>0</v>
      </c>
    </row>
    <row r="1588" spans="1:20" x14ac:dyDescent="0.25">
      <c r="A1588" s="13" t="s">
        <v>3219</v>
      </c>
      <c r="B1588" s="13" t="s">
        <v>3220</v>
      </c>
      <c r="C1588" s="13" t="s">
        <v>144</v>
      </c>
      <c r="D1588" s="13" t="s">
        <v>3109</v>
      </c>
      <c r="E1588" s="13" t="str">
        <f>IFERROR(INDEX('Почасовка — ставки и план'!$B$5:$B$24,MATCH(D1588,'Почасовка — ставки и план'!$A$5:$A$24,0)),"Аренда техники / механизмы")</f>
        <v>Монтажник наружных сетей</v>
      </c>
      <c r="F1588" s="14">
        <v>7000</v>
      </c>
      <c r="G1588" s="14">
        <v>8160</v>
      </c>
      <c r="H1588" s="15">
        <v>4500</v>
      </c>
      <c r="I1588" s="15">
        <f>IF(OR(H1588="",F1588=""),"",MAX(H1588,MIN(ROUND(H1588*(1+Параметры!$B$5),IF(H1588*(1+Параметры!$B$5)&gt;=1000,-1,0)),ROUND(F1588*Параметры!$B$6,IF(F1588*Параметры!$B$6&gt;=1000,-1,0)))))</f>
        <v>5180</v>
      </c>
      <c r="J1588" s="15">
        <v>5175</v>
      </c>
      <c r="K1588" s="15">
        <f>IF(OR(J1588="",G1588=""),"",MAX(J1588,MIN(ROUND(J1588*(1+Параметры!$B$5),IF(J1588*(1+Параметры!$B$5)&gt;=1000,-1,0)),ROUND(G1588*Параметры!$B$6,IF(G1588*Параметры!$B$6&gt;=1000,-1,0)))))</f>
        <v>5950</v>
      </c>
      <c r="L1588" s="16">
        <v>6</v>
      </c>
      <c r="M1588" s="17">
        <f t="shared" si="116"/>
        <v>0.16666666666666666</v>
      </c>
      <c r="N1588" s="17">
        <f>IF(OR(L1588="",L1588=0),"",Параметры!$B$3/L1588)</f>
        <v>1.3333333333333333</v>
      </c>
      <c r="O1588" s="15">
        <f>IF(L1588="","",IFERROR(INDEX('Почасовка — ставки и план'!$D$5:$D$24,MATCH($D1588,'Почасовка — ставки и план'!$A$5:$A$24,0)),""))</f>
        <v>850</v>
      </c>
      <c r="P1588" s="15">
        <f>IF(L1588="","",IFERROR(INDEX('Почасовка — ставки и план'!$E$5:$E$24,MATCH($D1588,'Почасовка — ставки и план'!$A$5:$A$24,0)),""))</f>
        <v>1020</v>
      </c>
      <c r="Q1588" s="15">
        <f t="shared" si="117"/>
        <v>5100</v>
      </c>
      <c r="R1588" s="13" t="str">
        <f>IF(D1588="TEX","аренда техники — сделка/счёт",IF(OR(Q1588="",H1588="",H1588=0),"—",IF(Q1588&lt;H1588*(1-Параметры!$B$7),"почасовка",IF(Q1588&gt;H1588*(1+Параметры!$B$7),"сделка","любой способ"))))</f>
        <v>сделка</v>
      </c>
      <c r="S1588">
        <v>0</v>
      </c>
      <c r="T1588">
        <v>1.366459627329197E-2</v>
      </c>
    </row>
    <row r="1589" spans="1:20" x14ac:dyDescent="0.25">
      <c r="A1589" s="13" t="s">
        <v>3221</v>
      </c>
      <c r="B1589" s="13" t="s">
        <v>3222</v>
      </c>
      <c r="C1589" s="13" t="s">
        <v>69</v>
      </c>
      <c r="D1589" s="13" t="s">
        <v>3109</v>
      </c>
      <c r="E1589" s="13" t="str">
        <f>IFERROR(INDEX('Почасовка — ставки и план'!$B$5:$B$24,MATCH(D1589,'Почасовка — ставки и план'!$A$5:$A$24,0)),"Аренда техники / механизмы")</f>
        <v>Монтажник наружных сетей</v>
      </c>
      <c r="F1589" s="14">
        <v>450</v>
      </c>
      <c r="G1589" s="14">
        <v>518</v>
      </c>
      <c r="H1589" s="15">
        <v>290</v>
      </c>
      <c r="I1589" s="15">
        <f>IF(OR(H1589="",F1589=""),"",MAX(H1589,MIN(ROUND(H1589*(1+Параметры!$B$5),IF(H1589*(1+Параметры!$B$5)&gt;=1000,-1,0)),ROUND(F1589*Параметры!$B$6,IF(F1589*Параметры!$B$6&gt;=1000,-1,0)))))</f>
        <v>334</v>
      </c>
      <c r="J1589" s="15">
        <v>334</v>
      </c>
      <c r="K1589" s="15">
        <f>IF(OR(J1589="",G1589=""),"",MAX(J1589,MIN(ROUND(J1589*(1+Параметры!$B$5),IF(J1589*(1+Параметры!$B$5)&gt;=1000,-1,0)),ROUND(G1589*Параметры!$B$6,IF(G1589*Параметры!$B$6&gt;=1000,-1,0)))))</f>
        <v>384</v>
      </c>
      <c r="L1589" s="16">
        <v>0.25</v>
      </c>
      <c r="M1589" s="17">
        <f t="shared" si="116"/>
        <v>4</v>
      </c>
      <c r="N1589" s="17">
        <f>IF(OR(L1589="",L1589=0),"",Параметры!$B$3/L1589)</f>
        <v>32</v>
      </c>
      <c r="O1589" s="15">
        <f>IF(L1589="","",IFERROR(INDEX('Почасовка — ставки и план'!$D$5:$D$24,MATCH($D1589,'Почасовка — ставки и план'!$A$5:$A$24,0)),""))</f>
        <v>850</v>
      </c>
      <c r="P1589" s="15">
        <f>IF(L1589="","",IFERROR(INDEX('Почасовка — ставки и план'!$E$5:$E$24,MATCH($D1589,'Почасовка — ставки и план'!$A$5:$A$24,0)),""))</f>
        <v>1020</v>
      </c>
      <c r="Q1589" s="15">
        <f t="shared" si="117"/>
        <v>213</v>
      </c>
      <c r="R1589" s="13" t="str">
        <f>IF(D1589="TEX","аренда техники — сделка/счёт",IF(OR(Q1589="",H1589="",H1589=0),"—",IF(Q1589&lt;H1589*(1-Параметры!$B$7),"почасовка",IF(Q1589&gt;H1589*(1+Параметры!$B$7),"сделка","любой способ"))))</f>
        <v>почасовка</v>
      </c>
      <c r="S1589">
        <v>0</v>
      </c>
      <c r="T1589">
        <v>0</v>
      </c>
    </row>
    <row r="1590" spans="1:20" x14ac:dyDescent="0.25">
      <c r="A1590" s="13" t="s">
        <v>3223</v>
      </c>
      <c r="B1590" s="13" t="s">
        <v>3224</v>
      </c>
      <c r="C1590" s="13" t="s">
        <v>69</v>
      </c>
      <c r="D1590" s="13" t="s">
        <v>3109</v>
      </c>
      <c r="E1590" s="13" t="str">
        <f>IFERROR(INDEX('Почасовка — ставки и план'!$B$5:$B$24,MATCH(D1590,'Почасовка — ставки и план'!$A$5:$A$24,0)),"Аренда техники / механизмы")</f>
        <v>Монтажник наружных сетей</v>
      </c>
      <c r="F1590" s="14">
        <v>700</v>
      </c>
      <c r="G1590" s="14">
        <v>805</v>
      </c>
      <c r="H1590" s="15">
        <v>440</v>
      </c>
      <c r="I1590" s="15">
        <f>IF(OR(H1590="",F1590=""),"",MAX(H1590,MIN(ROUND(H1590*(1+Параметры!$B$5),IF(H1590*(1+Параметры!$B$5)&gt;=1000,-1,0)),ROUND(F1590*Параметры!$B$6,IF(F1590*Параметры!$B$6&gt;=1000,-1,0)))))</f>
        <v>506</v>
      </c>
      <c r="J1590" s="15">
        <v>506</v>
      </c>
      <c r="K1590" s="15">
        <f>IF(OR(J1590="",G1590=""),"",MAX(J1590,MIN(ROUND(J1590*(1+Параметры!$B$5),IF(J1590*(1+Параметры!$B$5)&gt;=1000,-1,0)),ROUND(G1590*Параметры!$B$6,IF(G1590*Параметры!$B$6&gt;=1000,-1,0)))))</f>
        <v>582</v>
      </c>
      <c r="L1590" s="16">
        <v>0.4</v>
      </c>
      <c r="M1590" s="17">
        <f t="shared" si="116"/>
        <v>2.5</v>
      </c>
      <c r="N1590" s="17">
        <f>IF(OR(L1590="",L1590=0),"",Параметры!$B$3/L1590)</f>
        <v>20</v>
      </c>
      <c r="O1590" s="15">
        <f>IF(L1590="","",IFERROR(INDEX('Почасовка — ставки и план'!$D$5:$D$24,MATCH($D1590,'Почасовка — ставки и план'!$A$5:$A$24,0)),""))</f>
        <v>850</v>
      </c>
      <c r="P1590" s="15">
        <f>IF(L1590="","",IFERROR(INDEX('Почасовка — ставки и план'!$E$5:$E$24,MATCH($D1590,'Почасовка — ставки и план'!$A$5:$A$24,0)),""))</f>
        <v>1020</v>
      </c>
      <c r="Q1590" s="15">
        <f t="shared" si="117"/>
        <v>340</v>
      </c>
      <c r="R1590" s="13" t="str">
        <f>IF(D1590="TEX","аренда техники — сделка/счёт",IF(OR(Q1590="",H1590="",H1590=0),"—",IF(Q1590&lt;H1590*(1-Параметры!$B$7),"почасовка",IF(Q1590&gt;H1590*(1+Параметры!$B$7),"сделка","любой способ"))))</f>
        <v>почасовка</v>
      </c>
      <c r="S1590">
        <v>0</v>
      </c>
      <c r="T1590">
        <v>0</v>
      </c>
    </row>
    <row r="1591" spans="1:20" x14ac:dyDescent="0.25">
      <c r="A1591" s="13" t="s">
        <v>3225</v>
      </c>
      <c r="B1591" s="13" t="s">
        <v>3226</v>
      </c>
      <c r="C1591" s="13" t="s">
        <v>69</v>
      </c>
      <c r="D1591" s="13" t="s">
        <v>3109</v>
      </c>
      <c r="E1591" s="13" t="str">
        <f>IFERROR(INDEX('Почасовка — ставки и план'!$B$5:$B$24,MATCH(D1591,'Почасовка — ставки и план'!$A$5:$A$24,0)),"Аренда техники / механизмы")</f>
        <v>Монтажник наружных сетей</v>
      </c>
      <c r="F1591" s="14">
        <v>950</v>
      </c>
      <c r="G1591" s="14">
        <v>1092</v>
      </c>
      <c r="H1591" s="15">
        <v>600</v>
      </c>
      <c r="I1591" s="15">
        <f>IF(OR(H1591="",F1591=""),"",MAX(H1591,MIN(ROUND(H1591*(1+Параметры!$B$5),IF(H1591*(1+Параметры!$B$5)&gt;=1000,-1,0)),ROUND(F1591*Параметры!$B$6,IF(F1591*Параметры!$B$6&gt;=1000,-1,0)))))</f>
        <v>690</v>
      </c>
      <c r="J1591" s="15">
        <v>690</v>
      </c>
      <c r="K1591" s="15">
        <f>IF(OR(J1591="",G1591=""),"",MAX(J1591,MIN(ROUND(J1591*(1+Параметры!$B$5),IF(J1591*(1+Параметры!$B$5)&gt;=1000,-1,0)),ROUND(G1591*Параметры!$B$6,IF(G1591*Параметры!$B$6&gt;=1000,-1,0)))))</f>
        <v>794</v>
      </c>
      <c r="L1591" s="16">
        <v>0.55000000000000004</v>
      </c>
      <c r="M1591" s="17">
        <f t="shared" si="116"/>
        <v>1.8181818181818181</v>
      </c>
      <c r="N1591" s="17">
        <f>IF(OR(L1591="",L1591=0),"",Параметры!$B$3/L1591)</f>
        <v>14.545454545454545</v>
      </c>
      <c r="O1591" s="15">
        <f>IF(L1591="","",IFERROR(INDEX('Почасовка — ставки и план'!$D$5:$D$24,MATCH($D1591,'Почасовка — ставки и план'!$A$5:$A$24,0)),""))</f>
        <v>850</v>
      </c>
      <c r="P1591" s="15">
        <f>IF(L1591="","",IFERROR(INDEX('Почасовка — ставки и план'!$E$5:$E$24,MATCH($D1591,'Почасовка — ставки и план'!$A$5:$A$24,0)),""))</f>
        <v>1020</v>
      </c>
      <c r="Q1591" s="15">
        <f t="shared" si="117"/>
        <v>468</v>
      </c>
      <c r="R1591" s="13" t="str">
        <f>IF(D1591="TEX","аренда техники — сделка/счёт",IF(OR(Q1591="",H1591="",H1591=0),"—",IF(Q1591&lt;H1591*(1-Параметры!$B$7),"почасовка",IF(Q1591&gt;H1591*(1+Параметры!$B$7),"сделка","любой способ"))))</f>
        <v>почасовка</v>
      </c>
      <c r="S1591">
        <v>0</v>
      </c>
      <c r="T1591">
        <v>0</v>
      </c>
    </row>
    <row r="1592" spans="1:20" x14ac:dyDescent="0.25">
      <c r="A1592" s="13" t="s">
        <v>3227</v>
      </c>
      <c r="B1592" s="13" t="s">
        <v>3228</v>
      </c>
      <c r="C1592" s="13" t="s">
        <v>55</v>
      </c>
      <c r="D1592" s="13" t="s">
        <v>3109</v>
      </c>
      <c r="E1592" s="13" t="str">
        <f>IFERROR(INDEX('Почасовка — ставки и план'!$B$5:$B$24,MATCH(D1592,'Почасовка — ставки и план'!$A$5:$A$24,0)),"Аренда техники / механизмы")</f>
        <v>Монтажник наружных сетей</v>
      </c>
      <c r="F1592" s="14">
        <v>6800</v>
      </c>
      <c r="G1592" s="14">
        <v>8160</v>
      </c>
      <c r="H1592" s="15">
        <v>4000</v>
      </c>
      <c r="I1592" s="15">
        <f>IF(OR(H1592="",F1592=""),"",MAX(H1592,MIN(ROUND(H1592*(1+Параметры!$B$5),IF(H1592*(1+Параметры!$B$5)&gt;=1000,-1,0)),ROUND(F1592*Параметры!$B$6,IF(F1592*Параметры!$B$6&gt;=1000,-1,0)))))</f>
        <v>4600</v>
      </c>
      <c r="J1592" s="15">
        <v>4600</v>
      </c>
      <c r="K1592" s="15">
        <f>IF(OR(J1592="",G1592=""),"",MAX(J1592,MIN(ROUND(J1592*(1+Параметры!$B$5),IF(J1592*(1+Параметры!$B$5)&gt;=1000,-1,0)),ROUND(G1592*Параметры!$B$6,IF(G1592*Параметры!$B$6&gt;=1000,-1,0)))))</f>
        <v>5290</v>
      </c>
      <c r="L1592" s="16">
        <v>6</v>
      </c>
      <c r="M1592" s="17">
        <f t="shared" si="116"/>
        <v>0.16666666666666666</v>
      </c>
      <c r="N1592" s="17">
        <f>IF(OR(L1592="",L1592=0),"",Параметры!$B$3/L1592)</f>
        <v>1.3333333333333333</v>
      </c>
      <c r="O1592" s="15">
        <f>IF(L1592="","",IFERROR(INDEX('Почасовка — ставки и план'!$D$5:$D$24,MATCH($D1592,'Почасовка — ставки и план'!$A$5:$A$24,0)),""))</f>
        <v>850</v>
      </c>
      <c r="P1592" s="15">
        <f>IF(L1592="","",IFERROR(INDEX('Почасовка — ставки и план'!$E$5:$E$24,MATCH($D1592,'Почасовка — ставки и план'!$A$5:$A$24,0)),""))</f>
        <v>1020</v>
      </c>
      <c r="Q1592" s="15">
        <f t="shared" si="117"/>
        <v>5100</v>
      </c>
      <c r="R1592" s="13" t="str">
        <f>IF(D1592="TEX","аренда техники — сделка/счёт",IF(OR(Q1592="",H1592="",H1592=0),"—",IF(Q1592&lt;H1592*(1-Параметры!$B$7),"почасовка",IF(Q1592&gt;H1592*(1+Параметры!$B$7),"сделка","любой способ"))))</f>
        <v>сделка</v>
      </c>
      <c r="S1592">
        <v>4.6153846153846212E-2</v>
      </c>
      <c r="T1592">
        <v>9.1638795986622057E-2</v>
      </c>
    </row>
    <row r="1593" spans="1:20" x14ac:dyDescent="0.25">
      <c r="A1593" s="13" t="s">
        <v>3229</v>
      </c>
      <c r="B1593" s="13" t="s">
        <v>3230</v>
      </c>
      <c r="C1593" s="13" t="s">
        <v>69</v>
      </c>
      <c r="D1593" s="13" t="s">
        <v>3109</v>
      </c>
      <c r="E1593" s="13" t="str">
        <f>IFERROR(INDEX('Почасовка — ставки и план'!$B$5:$B$24,MATCH(D1593,'Почасовка — ставки и план'!$A$5:$A$24,0)),"Аренда техники / механизмы")</f>
        <v>Монтажник наружных сетей</v>
      </c>
      <c r="F1593" s="14">
        <v>500</v>
      </c>
      <c r="G1593" s="14">
        <v>575</v>
      </c>
      <c r="H1593" s="15">
        <v>320</v>
      </c>
      <c r="I1593" s="15">
        <f>IF(OR(H1593="",F1593=""),"",MAX(H1593,MIN(ROUND(H1593*(1+Параметры!$B$5),IF(H1593*(1+Параметры!$B$5)&gt;=1000,-1,0)),ROUND(F1593*Параметры!$B$6,IF(F1593*Параметры!$B$6&gt;=1000,-1,0)))))</f>
        <v>368</v>
      </c>
      <c r="J1593" s="15">
        <v>368</v>
      </c>
      <c r="K1593" s="15">
        <f>IF(OR(J1593="",G1593=""),"",MAX(J1593,MIN(ROUND(J1593*(1+Параметры!$B$5),IF(J1593*(1+Параметры!$B$5)&gt;=1000,-1,0)),ROUND(G1593*Параметры!$B$6,IF(G1593*Параметры!$B$6&gt;=1000,-1,0)))))</f>
        <v>423</v>
      </c>
      <c r="L1593" s="16">
        <v>0.22</v>
      </c>
      <c r="M1593" s="17">
        <f t="shared" si="116"/>
        <v>4.5454545454545459</v>
      </c>
      <c r="N1593" s="17">
        <f>IF(OR(L1593="",L1593=0),"",Параметры!$B$3/L1593)</f>
        <v>36.363636363636367</v>
      </c>
      <c r="O1593" s="15">
        <f>IF(L1593="","",IFERROR(INDEX('Почасовка — ставки и план'!$D$5:$D$24,MATCH($D1593,'Почасовка — ставки и план'!$A$5:$A$24,0)),""))</f>
        <v>850</v>
      </c>
      <c r="P1593" s="15">
        <f>IF(L1593="","",IFERROR(INDEX('Почасовка — ставки и план'!$E$5:$E$24,MATCH($D1593,'Почасовка — ставки и план'!$A$5:$A$24,0)),""))</f>
        <v>1020</v>
      </c>
      <c r="Q1593" s="15">
        <f t="shared" si="117"/>
        <v>187</v>
      </c>
      <c r="R1593" s="13" t="str">
        <f>IF(D1593="TEX","аренда техники — сделка/счёт",IF(OR(Q1593="",H1593="",H1593=0),"—",IF(Q1593&lt;H1593*(1-Параметры!$B$7),"почасовка",IF(Q1593&gt;H1593*(1+Параметры!$B$7),"сделка","любой способ"))))</f>
        <v>почасовка</v>
      </c>
      <c r="S1593">
        <v>0</v>
      </c>
      <c r="T1593">
        <v>0</v>
      </c>
    </row>
    <row r="1594" spans="1:20" x14ac:dyDescent="0.25">
      <c r="A1594" s="13" t="s">
        <v>3231</v>
      </c>
      <c r="B1594" s="13" t="s">
        <v>3232</v>
      </c>
      <c r="C1594" s="13" t="s">
        <v>69</v>
      </c>
      <c r="D1594" s="13" t="s">
        <v>3109</v>
      </c>
      <c r="E1594" s="13" t="str">
        <f>IFERROR(INDEX('Почасовка — ставки и план'!$B$5:$B$24,MATCH(D1594,'Почасовка — ставки и план'!$A$5:$A$24,0)),"Аренда техники / механизмы")</f>
        <v>Монтажник наружных сетей</v>
      </c>
      <c r="F1594" s="14">
        <v>580</v>
      </c>
      <c r="G1594" s="14">
        <v>667</v>
      </c>
      <c r="H1594" s="15">
        <v>370</v>
      </c>
      <c r="I1594" s="15">
        <f>IF(OR(H1594="",F1594=""),"",MAX(H1594,MIN(ROUND(H1594*(1+Параметры!$B$5),IF(H1594*(1+Параметры!$B$5)&gt;=1000,-1,0)),ROUND(F1594*Параметры!$B$6,IF(F1594*Параметры!$B$6&gt;=1000,-1,0)))))</f>
        <v>426</v>
      </c>
      <c r="J1594" s="15">
        <v>425</v>
      </c>
      <c r="K1594" s="15">
        <f>IF(OR(J1594="",G1594=""),"",MAX(J1594,MIN(ROUND(J1594*(1+Параметры!$B$5),IF(J1594*(1+Параметры!$B$5)&gt;=1000,-1,0)),ROUND(G1594*Параметры!$B$6,IF(G1594*Параметры!$B$6&gt;=1000,-1,0)))))</f>
        <v>489</v>
      </c>
      <c r="L1594" s="16">
        <v>0.28000000000000003</v>
      </c>
      <c r="M1594" s="17">
        <f t="shared" si="116"/>
        <v>3.5714285714285712</v>
      </c>
      <c r="N1594" s="17">
        <f>IF(OR(L1594="",L1594=0),"",Параметры!$B$3/L1594)</f>
        <v>28.571428571428569</v>
      </c>
      <c r="O1594" s="15">
        <f>IF(L1594="","",IFERROR(INDEX('Почасовка — ставки и план'!$D$5:$D$24,MATCH($D1594,'Почасовка — ставки и план'!$A$5:$A$24,0)),""))</f>
        <v>850</v>
      </c>
      <c r="P1594" s="15">
        <f>IF(L1594="","",IFERROR(INDEX('Почасовка — ставки и план'!$E$5:$E$24,MATCH($D1594,'Почасовка — ставки и план'!$A$5:$A$24,0)),""))</f>
        <v>1020</v>
      </c>
      <c r="Q1594" s="15">
        <f t="shared" si="117"/>
        <v>238</v>
      </c>
      <c r="R1594" s="13" t="str">
        <f>IF(D1594="TEX","аренда техники — сделка/счёт",IF(OR(Q1594="",H1594="",H1594=0),"—",IF(Q1594&lt;H1594*(1-Параметры!$B$7),"почасовка",IF(Q1594&gt;H1594*(1+Параметры!$B$7),"сделка","любой способ"))))</f>
        <v>почасовка</v>
      </c>
      <c r="S1594">
        <v>0</v>
      </c>
      <c r="T1594">
        <v>0</v>
      </c>
    </row>
    <row r="1595" spans="1:20" x14ac:dyDescent="0.25">
      <c r="A1595" s="13" t="s">
        <v>3233</v>
      </c>
      <c r="B1595" s="13" t="s">
        <v>3234</v>
      </c>
      <c r="C1595" s="13" t="s">
        <v>69</v>
      </c>
      <c r="D1595" s="13" t="s">
        <v>3109</v>
      </c>
      <c r="E1595" s="13" t="str">
        <f>IFERROR(INDEX('Почасовка — ставки и план'!$B$5:$B$24,MATCH(D1595,'Почасовка — ставки и план'!$A$5:$A$24,0)),"Аренда техники / механизмы")</f>
        <v>Монтажник наружных сетей</v>
      </c>
      <c r="F1595" s="14">
        <v>700</v>
      </c>
      <c r="G1595" s="14">
        <v>805</v>
      </c>
      <c r="H1595" s="15">
        <v>440</v>
      </c>
      <c r="I1595" s="15">
        <f>IF(OR(H1595="",F1595=""),"",MAX(H1595,MIN(ROUND(H1595*(1+Параметры!$B$5),IF(H1595*(1+Параметры!$B$5)&gt;=1000,-1,0)),ROUND(F1595*Параметры!$B$6,IF(F1595*Параметры!$B$6&gt;=1000,-1,0)))))</f>
        <v>506</v>
      </c>
      <c r="J1595" s="15">
        <v>506</v>
      </c>
      <c r="K1595" s="15">
        <f>IF(OR(J1595="",G1595=""),"",MAX(J1595,MIN(ROUND(J1595*(1+Параметры!$B$5),IF(J1595*(1+Параметры!$B$5)&gt;=1000,-1,0)),ROUND(G1595*Параметры!$B$6,IF(G1595*Параметры!$B$6&gt;=1000,-1,0)))))</f>
        <v>582</v>
      </c>
      <c r="L1595" s="16">
        <v>0.35</v>
      </c>
      <c r="M1595" s="17">
        <f t="shared" si="116"/>
        <v>2.8571428571428572</v>
      </c>
      <c r="N1595" s="17">
        <f>IF(OR(L1595="",L1595=0),"",Параметры!$B$3/L1595)</f>
        <v>22.857142857142858</v>
      </c>
      <c r="O1595" s="15">
        <f>IF(L1595="","",IFERROR(INDEX('Почасовка — ставки и план'!$D$5:$D$24,MATCH($D1595,'Почасовка — ставки и план'!$A$5:$A$24,0)),""))</f>
        <v>850</v>
      </c>
      <c r="P1595" s="15">
        <f>IF(L1595="","",IFERROR(INDEX('Почасовка — ставки и план'!$E$5:$E$24,MATCH($D1595,'Почасовка — ставки и план'!$A$5:$A$24,0)),""))</f>
        <v>1020</v>
      </c>
      <c r="Q1595" s="15">
        <f t="shared" si="117"/>
        <v>298</v>
      </c>
      <c r="R1595" s="13" t="str">
        <f>IF(D1595="TEX","аренда техники — сделка/счёт",IF(OR(Q1595="",H1595="",H1595=0),"—",IF(Q1595&lt;H1595*(1-Параметры!$B$7),"почасовка",IF(Q1595&gt;H1595*(1+Параметры!$B$7),"сделка","любой способ"))))</f>
        <v>почасовка</v>
      </c>
      <c r="S1595">
        <v>0</v>
      </c>
      <c r="T1595">
        <v>0</v>
      </c>
    </row>
    <row r="1596" spans="1:20" x14ac:dyDescent="0.25">
      <c r="A1596" s="13" t="s">
        <v>3235</v>
      </c>
      <c r="B1596" s="13" t="s">
        <v>3236</v>
      </c>
      <c r="C1596" s="13" t="s">
        <v>69</v>
      </c>
      <c r="D1596" s="13" t="s">
        <v>3109</v>
      </c>
      <c r="E1596" s="13" t="str">
        <f>IFERROR(INDEX('Почасовка — ставки и план'!$B$5:$B$24,MATCH(D1596,'Почасовка — ставки и план'!$A$5:$A$24,0)),"Аренда техники / механизмы")</f>
        <v>Монтажник наружных сетей</v>
      </c>
      <c r="F1596" s="14">
        <v>800</v>
      </c>
      <c r="G1596" s="14">
        <v>920</v>
      </c>
      <c r="H1596" s="15">
        <v>500</v>
      </c>
      <c r="I1596" s="15">
        <f>IF(OR(H1596="",F1596=""),"",MAX(H1596,MIN(ROUND(H1596*(1+Параметры!$B$5),IF(H1596*(1+Параметры!$B$5)&gt;=1000,-1,0)),ROUND(F1596*Параметры!$B$6,IF(F1596*Параметры!$B$6&gt;=1000,-1,0)))))</f>
        <v>575</v>
      </c>
      <c r="J1596" s="15">
        <v>575</v>
      </c>
      <c r="K1596" s="15">
        <f>IF(OR(J1596="",G1596=""),"",MAX(J1596,MIN(ROUND(J1596*(1+Параметры!$B$5),IF(J1596*(1+Параметры!$B$5)&gt;=1000,-1,0)),ROUND(G1596*Параметры!$B$6,IF(G1596*Параметры!$B$6&gt;=1000,-1,0)))))</f>
        <v>661</v>
      </c>
      <c r="L1596" s="16">
        <v>0.42</v>
      </c>
      <c r="M1596" s="17">
        <f t="shared" si="116"/>
        <v>2.3809523809523809</v>
      </c>
      <c r="N1596" s="17">
        <f>IF(OR(L1596="",L1596=0),"",Параметры!$B$3/L1596)</f>
        <v>19.047619047619047</v>
      </c>
      <c r="O1596" s="15">
        <f>IF(L1596="","",IFERROR(INDEX('Почасовка — ставки и план'!$D$5:$D$24,MATCH($D1596,'Почасовка — ставки и план'!$A$5:$A$24,0)),""))</f>
        <v>850</v>
      </c>
      <c r="P1596" s="15">
        <f>IF(L1596="","",IFERROR(INDEX('Почасовка — ставки и план'!$E$5:$E$24,MATCH($D1596,'Почасовка — ставки и план'!$A$5:$A$24,0)),""))</f>
        <v>1020</v>
      </c>
      <c r="Q1596" s="15">
        <f t="shared" si="117"/>
        <v>357</v>
      </c>
      <c r="R1596" s="13" t="str">
        <f>IF(D1596="TEX","аренда техники — сделка/счёт",IF(OR(Q1596="",H1596="",H1596=0),"—",IF(Q1596&lt;H1596*(1-Параметры!$B$7),"почасовка",IF(Q1596&gt;H1596*(1+Параметры!$B$7),"сделка","любой способ"))))</f>
        <v>почасовка</v>
      </c>
      <c r="S1596">
        <v>0</v>
      </c>
      <c r="T1596">
        <v>0</v>
      </c>
    </row>
    <row r="1597" spans="1:20" x14ac:dyDescent="0.25">
      <c r="A1597" s="13" t="s">
        <v>3237</v>
      </c>
      <c r="B1597" s="13" t="s">
        <v>3238</v>
      </c>
      <c r="C1597" s="13" t="s">
        <v>55</v>
      </c>
      <c r="D1597" s="13" t="s">
        <v>3109</v>
      </c>
      <c r="E1597" s="13" t="str">
        <f>IFERROR(INDEX('Почасовка — ставки и план'!$B$5:$B$24,MATCH(D1597,'Почасовка — ставки и план'!$A$5:$A$24,0)),"Аренда техники / механизмы")</f>
        <v>Монтажник наружных сетей</v>
      </c>
      <c r="F1597" s="14">
        <v>11334</v>
      </c>
      <c r="G1597" s="14">
        <v>13600</v>
      </c>
      <c r="H1597" s="15">
        <v>5700</v>
      </c>
      <c r="I1597" s="15">
        <f>IF(OR(H1597="",F1597=""),"",MAX(H1597,MIN(ROUND(H1597*(1+Параметры!$B$5),IF(H1597*(1+Параметры!$B$5)&gt;=1000,-1,0)),ROUND(F1597*Параметры!$B$6,IF(F1597*Параметры!$B$6&gt;=1000,-1,0)))))</f>
        <v>6560</v>
      </c>
      <c r="J1597" s="15">
        <v>6555</v>
      </c>
      <c r="K1597" s="15">
        <f>IF(OR(J1597="",G1597=""),"",MAX(J1597,MIN(ROUND(J1597*(1+Параметры!$B$5),IF(J1597*(1+Параметры!$B$5)&gt;=1000,-1,0)),ROUND(G1597*Параметры!$B$6,IF(G1597*Параметры!$B$6&gt;=1000,-1,0)))))</f>
        <v>7540</v>
      </c>
      <c r="L1597" s="16">
        <v>10</v>
      </c>
      <c r="M1597" s="17">
        <f t="shared" si="116"/>
        <v>0.1</v>
      </c>
      <c r="N1597" s="17">
        <f>IF(OR(L1597="",L1597=0),"",Параметры!$B$3/L1597)</f>
        <v>0.8</v>
      </c>
      <c r="O1597" s="15">
        <f>IF(L1597="","",IFERROR(INDEX('Почасовка — ставки и план'!$D$5:$D$24,MATCH($D1597,'Почасовка — ставки и план'!$A$5:$A$24,0)),""))</f>
        <v>850</v>
      </c>
      <c r="P1597" s="15">
        <f>IF(L1597="","",IFERROR(INDEX('Почасовка — ставки и план'!$E$5:$E$24,MATCH($D1597,'Почасовка — ставки и план'!$A$5:$A$24,0)),""))</f>
        <v>1020</v>
      </c>
      <c r="Q1597" s="15">
        <f t="shared" si="117"/>
        <v>8500</v>
      </c>
      <c r="R1597" s="13" t="str">
        <f>IF(D1597="TEX","аренда техники — сделка/счёт",IF(OR(Q1597="",H1597="",H1597=0),"—",IF(Q1597&lt;H1597*(1-Параметры!$B$7),"почасовка",IF(Q1597&gt;H1597*(1+Параметры!$B$7),"сделка","любой способ"))))</f>
        <v>сделка</v>
      </c>
      <c r="S1597">
        <v>0.25933333333333342</v>
      </c>
      <c r="T1597">
        <v>0.31400966183574891</v>
      </c>
    </row>
    <row r="1598" spans="1:20" x14ac:dyDescent="0.25">
      <c r="A1598" s="13" t="s">
        <v>3239</v>
      </c>
      <c r="B1598" s="13" t="s">
        <v>3240</v>
      </c>
      <c r="C1598" s="13" t="s">
        <v>55</v>
      </c>
      <c r="D1598" s="13" t="s">
        <v>3109</v>
      </c>
      <c r="E1598" s="13" t="str">
        <f>IFERROR(INDEX('Почасовка — ставки и план'!$B$5:$B$24,MATCH(D1598,'Почасовка — ставки и план'!$A$5:$A$24,0)),"Аренда техники / механизмы")</f>
        <v>Монтажник наружных сетей</v>
      </c>
      <c r="F1598" s="14">
        <v>13600</v>
      </c>
      <c r="G1598" s="14">
        <v>16320</v>
      </c>
      <c r="H1598" s="15">
        <v>7000</v>
      </c>
      <c r="I1598" s="15">
        <f>IF(OR(H1598="",F1598=""),"",MAX(H1598,MIN(ROUND(H1598*(1+Параметры!$B$5),IF(H1598*(1+Параметры!$B$5)&gt;=1000,-1,0)),ROUND(F1598*Параметры!$B$6,IF(F1598*Параметры!$B$6&gt;=1000,-1,0)))))</f>
        <v>8050</v>
      </c>
      <c r="J1598" s="15">
        <v>8050</v>
      </c>
      <c r="K1598" s="15">
        <f>IF(OR(J1598="",G1598=""),"",MAX(J1598,MIN(ROUND(J1598*(1+Параметры!$B$5),IF(J1598*(1+Параметры!$B$5)&gt;=1000,-1,0)),ROUND(G1598*Параметры!$B$6,IF(G1598*Параметры!$B$6&gt;=1000,-1,0)))))</f>
        <v>9260</v>
      </c>
      <c r="L1598" s="16">
        <v>12</v>
      </c>
      <c r="M1598" s="17">
        <f t="shared" si="116"/>
        <v>8.3333333333333329E-2</v>
      </c>
      <c r="N1598" s="17">
        <f>IF(OR(L1598="",L1598=0),"",Параметры!$B$3/L1598)</f>
        <v>0.66666666666666663</v>
      </c>
      <c r="O1598" s="15">
        <f>IF(L1598="","",IFERROR(INDEX('Почасовка — ставки и план'!$D$5:$D$24,MATCH($D1598,'Почасовка — ставки и план'!$A$5:$A$24,0)),""))</f>
        <v>850</v>
      </c>
      <c r="P1598" s="15">
        <f>IF(L1598="","",IFERROR(INDEX('Почасовка — ставки и план'!$E$5:$E$24,MATCH($D1598,'Почасовка — ставки и план'!$A$5:$A$24,0)),""))</f>
        <v>1020</v>
      </c>
      <c r="Q1598" s="15">
        <f t="shared" si="117"/>
        <v>10200</v>
      </c>
      <c r="R1598" s="13" t="str">
        <f>IF(D1598="TEX","аренда техники — сделка/счёт",IF(OR(Q1598="",H1598="",H1598=0),"—",IF(Q1598&lt;H1598*(1-Параметры!$B$7),"почасовка",IF(Q1598&gt;H1598*(1+Параметры!$B$7),"сделка","любой способ"))))</f>
        <v>сделка</v>
      </c>
      <c r="S1598">
        <v>0.2363636363636363</v>
      </c>
      <c r="T1598">
        <v>0.29011857707509892</v>
      </c>
    </row>
    <row r="1599" spans="1:20" x14ac:dyDescent="0.25">
      <c r="A1599" s="13" t="s">
        <v>3241</v>
      </c>
      <c r="B1599" s="13" t="s">
        <v>3242</v>
      </c>
      <c r="C1599" s="13" t="s">
        <v>144</v>
      </c>
      <c r="D1599" s="13" t="s">
        <v>252</v>
      </c>
      <c r="E1599" s="13" t="str">
        <f>IFERROR(INDEX('Почасовка — ставки и план'!$B$5:$B$24,MATCH(D1599,'Почасовка — ставки и план'!$A$5:$A$24,0)),"Аренда техники / механизмы")</f>
        <v>Каменщик</v>
      </c>
      <c r="F1599" s="14">
        <v>4500</v>
      </c>
      <c r="G1599" s="14">
        <v>5175</v>
      </c>
      <c r="H1599" s="15">
        <v>2800</v>
      </c>
      <c r="I1599" s="15">
        <f>IF(OR(H1599="",F1599=""),"",MAX(H1599,MIN(ROUND(H1599*(1+Параметры!$B$5),IF(H1599*(1+Параметры!$B$5)&gt;=1000,-1,0)),ROUND(F1599*Параметры!$B$6,IF(F1599*Параметры!$B$6&gt;=1000,-1,0)))))</f>
        <v>3220</v>
      </c>
      <c r="J1599" s="15">
        <v>3220</v>
      </c>
      <c r="K1599" s="15">
        <f>IF(OR(J1599="",G1599=""),"",MAX(J1599,MIN(ROUND(J1599*(1+Параметры!$B$5),IF(J1599*(1+Параметры!$B$5)&gt;=1000,-1,0)),ROUND(G1599*Параметры!$B$6,IF(G1599*Параметры!$B$6&gt;=1000,-1,0)))))</f>
        <v>3700</v>
      </c>
      <c r="L1599" s="16">
        <v>3.5</v>
      </c>
      <c r="M1599" s="17">
        <f t="shared" si="116"/>
        <v>0.2857142857142857</v>
      </c>
      <c r="N1599" s="17">
        <f>IF(OR(L1599="",L1599=0),"",Параметры!$B$3/L1599)</f>
        <v>2.2857142857142856</v>
      </c>
      <c r="O1599" s="15">
        <f>IF(L1599="","",IFERROR(INDEX('Почасовка — ставки и план'!$D$5:$D$24,MATCH($D1599,'Почасовка — ставки и план'!$A$5:$A$24,0)),""))</f>
        <v>800</v>
      </c>
      <c r="P1599" s="15">
        <f>IF(L1599="","",IFERROR(INDEX('Почасовка — ставки и план'!$E$5:$E$24,MATCH($D1599,'Почасовка — ставки и план'!$A$5:$A$24,0)),""))</f>
        <v>950</v>
      </c>
      <c r="Q1599" s="15">
        <f t="shared" si="117"/>
        <v>2800</v>
      </c>
      <c r="R1599" s="13" t="str">
        <f>IF(D1599="TEX","аренда техники — сделка/счёт",IF(OR(Q1599="",H1599="",H1599=0),"—",IF(Q1599&lt;H1599*(1-Параметры!$B$7),"почасовка",IF(Q1599&gt;H1599*(1+Параметры!$B$7),"сделка","любой способ"))))</f>
        <v>любой способ</v>
      </c>
      <c r="S1599">
        <v>0</v>
      </c>
      <c r="T1599">
        <v>0</v>
      </c>
    </row>
    <row r="1600" spans="1:20" x14ac:dyDescent="0.25">
      <c r="A1600" s="13" t="s">
        <v>3243</v>
      </c>
      <c r="B1600" s="13" t="s">
        <v>3244</v>
      </c>
      <c r="C1600" s="13" t="s">
        <v>69</v>
      </c>
      <c r="D1600" s="13" t="s">
        <v>3109</v>
      </c>
      <c r="E1600" s="13" t="str">
        <f>IFERROR(INDEX('Почасовка — ставки и план'!$B$5:$B$24,MATCH(D1600,'Почасовка — ставки и план'!$A$5:$A$24,0)),"Аренда техники / механизмы")</f>
        <v>Монтажник наружных сетей</v>
      </c>
      <c r="F1600" s="14">
        <v>420</v>
      </c>
      <c r="G1600" s="14">
        <v>483</v>
      </c>
      <c r="H1600" s="15">
        <v>270</v>
      </c>
      <c r="I1600" s="15">
        <f>IF(OR(H1600="",F1600=""),"",MAX(H1600,MIN(ROUND(H1600*(1+Параметры!$B$5),IF(H1600*(1+Параметры!$B$5)&gt;=1000,-1,0)),ROUND(F1600*Параметры!$B$6,IF(F1600*Параметры!$B$6&gt;=1000,-1,0)))))</f>
        <v>311</v>
      </c>
      <c r="J1600" s="15">
        <v>310</v>
      </c>
      <c r="K1600" s="15">
        <f>IF(OR(J1600="",G1600=""),"",MAX(J1600,MIN(ROUND(J1600*(1+Параметры!$B$5),IF(J1600*(1+Параметры!$B$5)&gt;=1000,-1,0)),ROUND(G1600*Параметры!$B$6,IF(G1600*Параметры!$B$6&gt;=1000,-1,0)))))</f>
        <v>357</v>
      </c>
      <c r="L1600" s="16">
        <v>0.23</v>
      </c>
      <c r="M1600" s="17">
        <f t="shared" si="116"/>
        <v>4.3478260869565215</v>
      </c>
      <c r="N1600" s="17">
        <f>IF(OR(L1600="",L1600=0),"",Параметры!$B$3/L1600)</f>
        <v>34.782608695652172</v>
      </c>
      <c r="O1600" s="15">
        <f>IF(L1600="","",IFERROR(INDEX('Почасовка — ставки и план'!$D$5:$D$24,MATCH($D1600,'Почасовка — ставки и план'!$A$5:$A$24,0)),""))</f>
        <v>850</v>
      </c>
      <c r="P1600" s="15">
        <f>IF(L1600="","",IFERROR(INDEX('Почасовка — ставки и план'!$E$5:$E$24,MATCH($D1600,'Почасовка — ставки и план'!$A$5:$A$24,0)),""))</f>
        <v>1020</v>
      </c>
      <c r="Q1600" s="15">
        <f t="shared" si="117"/>
        <v>196</v>
      </c>
      <c r="R1600" s="13" t="str">
        <f>IF(D1600="TEX","аренда техники — сделка/счёт",IF(OR(Q1600="",H1600="",H1600=0),"—",IF(Q1600&lt;H1600*(1-Параметры!$B$7),"почасовка",IF(Q1600&gt;H1600*(1+Параметры!$B$7),"сделка","любой способ"))))</f>
        <v>почасовка</v>
      </c>
      <c r="S1600">
        <v>0</v>
      </c>
      <c r="T1600">
        <v>0</v>
      </c>
    </row>
    <row r="1601" spans="1:20" x14ac:dyDescent="0.25">
      <c r="A1601" s="13" t="s">
        <v>3245</v>
      </c>
      <c r="B1601" s="13" t="s">
        <v>3246</v>
      </c>
      <c r="C1601" s="13" t="s">
        <v>69</v>
      </c>
      <c r="D1601" s="13" t="s">
        <v>3109</v>
      </c>
      <c r="E1601" s="13" t="str">
        <f>IFERROR(INDEX('Почасовка — ставки и план'!$B$5:$B$24,MATCH(D1601,'Почасовка — ставки и план'!$A$5:$A$24,0)),"Аренда техники / механизмы")</f>
        <v>Монтажник наружных сетей</v>
      </c>
      <c r="F1601" s="14">
        <v>650</v>
      </c>
      <c r="G1601" s="14">
        <v>747</v>
      </c>
      <c r="H1601" s="15">
        <v>410</v>
      </c>
      <c r="I1601" s="15">
        <f>IF(OR(H1601="",F1601=""),"",MAX(H1601,MIN(ROUND(H1601*(1+Параметры!$B$5),IF(H1601*(1+Параметры!$B$5)&gt;=1000,-1,0)),ROUND(F1601*Параметры!$B$6,IF(F1601*Параметры!$B$6&gt;=1000,-1,0)))))</f>
        <v>472</v>
      </c>
      <c r="J1601" s="15">
        <v>471</v>
      </c>
      <c r="K1601" s="15">
        <f>IF(OR(J1601="",G1601=""),"",MAX(J1601,MIN(ROUND(J1601*(1+Параметры!$B$5),IF(J1601*(1+Параметры!$B$5)&gt;=1000,-1,0)),ROUND(G1601*Параметры!$B$6,IF(G1601*Параметры!$B$6&gt;=1000,-1,0)))))</f>
        <v>542</v>
      </c>
      <c r="L1601" s="16">
        <v>0.38</v>
      </c>
      <c r="M1601" s="17">
        <f t="shared" si="116"/>
        <v>2.6315789473684212</v>
      </c>
      <c r="N1601" s="17">
        <f>IF(OR(L1601="",L1601=0),"",Параметры!$B$3/L1601)</f>
        <v>21.05263157894737</v>
      </c>
      <c r="O1601" s="15">
        <f>IF(L1601="","",IFERROR(INDEX('Почасовка — ставки и план'!$D$5:$D$24,MATCH($D1601,'Почасовка — ставки и план'!$A$5:$A$24,0)),""))</f>
        <v>850</v>
      </c>
      <c r="P1601" s="15">
        <f>IF(L1601="","",IFERROR(INDEX('Почасовка — ставки и план'!$E$5:$E$24,MATCH($D1601,'Почасовка — ставки и план'!$A$5:$A$24,0)),""))</f>
        <v>1020</v>
      </c>
      <c r="Q1601" s="15">
        <f t="shared" si="117"/>
        <v>323</v>
      </c>
      <c r="R1601" s="13" t="str">
        <f>IF(D1601="TEX","аренда техники — сделка/счёт",IF(OR(Q1601="",H1601="",H1601=0),"—",IF(Q1601&lt;H1601*(1-Параметры!$B$7),"почасовка",IF(Q1601&gt;H1601*(1+Параметры!$B$7),"сделка","любой способ"))))</f>
        <v>почасовка</v>
      </c>
      <c r="S1601">
        <v>0</v>
      </c>
      <c r="T1601">
        <v>0</v>
      </c>
    </row>
    <row r="1602" spans="1:20" x14ac:dyDescent="0.25">
      <c r="A1602" s="13" t="s">
        <v>3247</v>
      </c>
      <c r="B1602" s="13" t="s">
        <v>3248</v>
      </c>
      <c r="C1602" s="13" t="s">
        <v>69</v>
      </c>
      <c r="D1602" s="13" t="s">
        <v>3109</v>
      </c>
      <c r="E1602" s="13" t="str">
        <f>IFERROR(INDEX('Почасовка — ставки и план'!$B$5:$B$24,MATCH(D1602,'Почасовка — ставки и план'!$A$5:$A$24,0)),"Аренда техники / механизмы")</f>
        <v>Монтажник наружных сетей</v>
      </c>
      <c r="F1602" s="14">
        <v>900</v>
      </c>
      <c r="G1602" s="14">
        <v>1035</v>
      </c>
      <c r="H1602" s="15">
        <v>570</v>
      </c>
      <c r="I1602" s="15">
        <f>IF(OR(H1602="",F1602=""),"",MAX(H1602,MIN(ROUND(H1602*(1+Параметры!$B$5),IF(H1602*(1+Параметры!$B$5)&gt;=1000,-1,0)),ROUND(F1602*Параметры!$B$6,IF(F1602*Параметры!$B$6&gt;=1000,-1,0)))))</f>
        <v>656</v>
      </c>
      <c r="J1602" s="15">
        <v>656</v>
      </c>
      <c r="K1602" s="15">
        <f>IF(OR(J1602="",G1602=""),"",MAX(J1602,MIN(ROUND(J1602*(1+Параметры!$B$5),IF(J1602*(1+Параметры!$B$5)&gt;=1000,-1,0)),ROUND(G1602*Параметры!$B$6,IF(G1602*Параметры!$B$6&gt;=1000,-1,0)))))</f>
        <v>754</v>
      </c>
      <c r="L1602" s="16">
        <v>0.52</v>
      </c>
      <c r="M1602" s="17">
        <f t="shared" si="116"/>
        <v>1.9230769230769229</v>
      </c>
      <c r="N1602" s="17">
        <f>IF(OR(L1602="",L1602=0),"",Параметры!$B$3/L1602)</f>
        <v>15.384615384615383</v>
      </c>
      <c r="O1602" s="15">
        <f>IF(L1602="","",IFERROR(INDEX('Почасовка — ставки и план'!$D$5:$D$24,MATCH($D1602,'Почасовка — ставки и план'!$A$5:$A$24,0)),""))</f>
        <v>850</v>
      </c>
      <c r="P1602" s="15">
        <f>IF(L1602="","",IFERROR(INDEX('Почасовка — ставки и план'!$E$5:$E$24,MATCH($D1602,'Почасовка — ставки и план'!$A$5:$A$24,0)),""))</f>
        <v>1020</v>
      </c>
      <c r="Q1602" s="15">
        <f t="shared" si="117"/>
        <v>442</v>
      </c>
      <c r="R1602" s="13" t="str">
        <f>IF(D1602="TEX","аренда техники — сделка/счёт",IF(OR(Q1602="",H1602="",H1602=0),"—",IF(Q1602&lt;H1602*(1-Параметры!$B$7),"почасовка",IF(Q1602&gt;H1602*(1+Параметры!$B$7),"сделка","любой способ"))))</f>
        <v>почасовка</v>
      </c>
      <c r="S1602">
        <v>0</v>
      </c>
      <c r="T1602">
        <v>0</v>
      </c>
    </row>
    <row r="1603" spans="1:20" x14ac:dyDescent="0.25">
      <c r="A1603" s="13" t="s">
        <v>3249</v>
      </c>
      <c r="B1603" s="13" t="s">
        <v>3250</v>
      </c>
      <c r="C1603" s="13" t="s">
        <v>144</v>
      </c>
      <c r="D1603" s="13" t="s">
        <v>3109</v>
      </c>
      <c r="E1603" s="13" t="str">
        <f>IFERROR(INDEX('Почасовка — ставки и план'!$B$5:$B$24,MATCH(D1603,'Почасовка — ставки и план'!$A$5:$A$24,0)),"Аренда техники / механизмы")</f>
        <v>Монтажник наружных сетей</v>
      </c>
      <c r="F1603" s="14">
        <v>20000</v>
      </c>
      <c r="G1603" s="14">
        <v>23000</v>
      </c>
      <c r="H1603" s="15">
        <v>12500</v>
      </c>
      <c r="I1603" s="15">
        <f>IF(OR(H1603="",F1603=""),"",MAX(H1603,MIN(ROUND(H1603*(1+Параметры!$B$5),IF(H1603*(1+Параметры!$B$5)&gt;=1000,-1,0)),ROUND(F1603*Параметры!$B$6,IF(F1603*Параметры!$B$6&gt;=1000,-1,0)))))</f>
        <v>14380</v>
      </c>
      <c r="J1603" s="15">
        <v>14375</v>
      </c>
      <c r="K1603" s="15">
        <f>IF(OR(J1603="",G1603=""),"",MAX(J1603,MIN(ROUND(J1603*(1+Параметры!$B$5),IF(J1603*(1+Параметры!$B$5)&gt;=1000,-1,0)),ROUND(G1603*Параметры!$B$6,IF(G1603*Параметры!$B$6&gt;=1000,-1,0)))))</f>
        <v>16530</v>
      </c>
      <c r="L1603" s="16">
        <v>16</v>
      </c>
      <c r="M1603" s="17">
        <f t="shared" si="116"/>
        <v>6.25E-2</v>
      </c>
      <c r="N1603" s="17">
        <f>IF(OR(L1603="",L1603=0),"",Параметры!$B$3/L1603)</f>
        <v>0.5</v>
      </c>
      <c r="O1603" s="15">
        <f>IF(L1603="","",IFERROR(INDEX('Почасовка — ставки и план'!$D$5:$D$24,MATCH($D1603,'Почасовка — ставки и план'!$A$5:$A$24,0)),""))</f>
        <v>850</v>
      </c>
      <c r="P1603" s="15">
        <f>IF(L1603="","",IFERROR(INDEX('Почасовка — ставки и план'!$E$5:$E$24,MATCH($D1603,'Почасовка — ставки и план'!$A$5:$A$24,0)),""))</f>
        <v>1020</v>
      </c>
      <c r="Q1603" s="15">
        <f t="shared" si="117"/>
        <v>13600</v>
      </c>
      <c r="R1603" s="13" t="str">
        <f>IF(D1603="TEX","аренда техники — сделка/счёт",IF(OR(Q1603="",H1603="",H1603=0),"—",IF(Q1603&lt;H1603*(1-Параметры!$B$7),"почасовка",IF(Q1603&gt;H1603*(1+Параметры!$B$7),"сделка","любой способ"))))</f>
        <v>любой способ</v>
      </c>
      <c r="S1603">
        <v>0</v>
      </c>
      <c r="T1603">
        <v>0</v>
      </c>
    </row>
    <row r="1604" spans="1:20" x14ac:dyDescent="0.25">
      <c r="A1604" s="13" t="s">
        <v>3251</v>
      </c>
      <c r="B1604" s="13" t="s">
        <v>3252</v>
      </c>
      <c r="C1604" s="13" t="s">
        <v>144</v>
      </c>
      <c r="D1604" s="13" t="s">
        <v>3109</v>
      </c>
      <c r="E1604" s="13" t="str">
        <f>IFERROR(INDEX('Почасовка — ставки и план'!$B$5:$B$24,MATCH(D1604,'Почасовка — ставки и план'!$A$5:$A$24,0)),"Аренда техники / механизмы")</f>
        <v>Монтажник наружных сетей</v>
      </c>
      <c r="F1604" s="14">
        <v>24000</v>
      </c>
      <c r="G1604" s="14">
        <v>27600</v>
      </c>
      <c r="H1604" s="15">
        <v>15000</v>
      </c>
      <c r="I1604" s="15">
        <f>IF(OR(H1604="",F1604=""),"",MAX(H1604,MIN(ROUND(H1604*(1+Параметры!$B$5),IF(H1604*(1+Параметры!$B$5)&gt;=1000,-1,0)),ROUND(F1604*Параметры!$B$6,IF(F1604*Параметры!$B$6&gt;=1000,-1,0)))))</f>
        <v>17250</v>
      </c>
      <c r="J1604" s="15">
        <v>17250</v>
      </c>
      <c r="K1604" s="15">
        <f>IF(OR(J1604="",G1604=""),"",MAX(J1604,MIN(ROUND(J1604*(1+Параметры!$B$5),IF(J1604*(1+Параметры!$B$5)&gt;=1000,-1,0)),ROUND(G1604*Параметры!$B$6,IF(G1604*Параметры!$B$6&gt;=1000,-1,0)))))</f>
        <v>19840</v>
      </c>
      <c r="L1604" s="16">
        <v>20</v>
      </c>
      <c r="M1604" s="17">
        <f t="shared" si="116"/>
        <v>0.05</v>
      </c>
      <c r="N1604" s="17">
        <f>IF(OR(L1604="",L1604=0),"",Параметры!$B$3/L1604)</f>
        <v>0.4</v>
      </c>
      <c r="O1604" s="15">
        <f>IF(L1604="","",IFERROR(INDEX('Почасовка — ставки и план'!$D$5:$D$24,MATCH($D1604,'Почасовка — ставки и план'!$A$5:$A$24,0)),""))</f>
        <v>850</v>
      </c>
      <c r="P1604" s="15">
        <f>IF(L1604="","",IFERROR(INDEX('Почасовка — ставки и план'!$E$5:$E$24,MATCH($D1604,'Почасовка — ставки и план'!$A$5:$A$24,0)),""))</f>
        <v>1020</v>
      </c>
      <c r="Q1604" s="15">
        <f t="shared" si="117"/>
        <v>17000</v>
      </c>
      <c r="R1604" s="13" t="str">
        <f>IF(D1604="TEX","аренда техники — сделка/счёт",IF(OR(Q1604="",H1604="",H1604=0),"—",IF(Q1604&lt;H1604*(1-Параметры!$B$7),"почасовка",IF(Q1604&gt;H1604*(1+Параметры!$B$7),"сделка","любой способ"))))</f>
        <v>сделка</v>
      </c>
      <c r="S1604">
        <v>0</v>
      </c>
      <c r="T1604">
        <v>0</v>
      </c>
    </row>
    <row r="1605" spans="1:20" x14ac:dyDescent="0.25">
      <c r="A1605" s="18" t="s">
        <v>3253</v>
      </c>
      <c r="B1605" s="13" t="s">
        <v>3254</v>
      </c>
      <c r="C1605" s="13" t="s">
        <v>69</v>
      </c>
      <c r="D1605" s="13" t="s">
        <v>326</v>
      </c>
      <c r="E1605" s="13" t="str">
        <f>IFERROR(INDEX('Почасовка — ставки и план'!$B$5:$B$24,MATCH(D1605,'Почасовка — ставки и план'!$A$5:$A$24,0)),"Аренда техники / механизмы")</f>
        <v>Сантехник</v>
      </c>
      <c r="F1605" s="14">
        <v>250</v>
      </c>
      <c r="G1605" s="14">
        <v>288</v>
      </c>
      <c r="H1605" s="15">
        <v>150</v>
      </c>
      <c r="I1605" s="15">
        <f>IF(OR(H1605="",F1605=""),"",MAX(H1605,MIN(ROUND(H1605*(1+Параметры!$B$5),IF(H1605*(1+Параметры!$B$5)&gt;=1000,-1,0)),ROUND(F1605*Параметры!$B$6,IF(F1605*Параметры!$B$6&gt;=1000,-1,0)))))</f>
        <v>173</v>
      </c>
      <c r="J1605" s="15">
        <v>172</v>
      </c>
      <c r="K1605" s="15">
        <f>IF(OR(J1605="",G1605=""),"",MAX(J1605,MIN(ROUND(J1605*(1+Параметры!$B$5),IF(J1605*(1+Параметры!$B$5)&gt;=1000,-1,0)),ROUND(G1605*Параметры!$B$6,IF(G1605*Параметры!$B$6&gt;=1000,-1,0)))))</f>
        <v>198</v>
      </c>
      <c r="L1605" s="16">
        <v>0.05</v>
      </c>
      <c r="M1605" s="17">
        <f t="shared" si="116"/>
        <v>20</v>
      </c>
      <c r="N1605" s="17">
        <f>IF(OR(L1605="",L1605=0),"",Параметры!$B$3/L1605)</f>
        <v>160</v>
      </c>
      <c r="O1605" s="15">
        <f>IF(L1605="","",IFERROR(INDEX('Почасовка — ставки и план'!$D$5:$D$24,MATCH($D1605,'Почасовка — ставки и план'!$A$5:$A$24,0)),""))</f>
        <v>850</v>
      </c>
      <c r="P1605" s="15">
        <f>IF(L1605="","",IFERROR(INDEX('Почасовка — ставки и план'!$E$5:$E$24,MATCH($D1605,'Почасовка — ставки и план'!$A$5:$A$24,0)),""))</f>
        <v>1020</v>
      </c>
      <c r="Q1605" s="15">
        <f t="shared" si="117"/>
        <v>43</v>
      </c>
      <c r="R1605" s="13" t="str">
        <f>IF(D1605="TEX","аренда техники — сделка/счёт",IF(OR(Q1605="",H1605="",H1605=0),"—",IF(Q1605&lt;H1605*(1-Параметры!$B$7),"почасовка",IF(Q1605&gt;H1605*(1+Параметры!$B$7),"сделка","любой способ"))))</f>
        <v>почасовка</v>
      </c>
      <c r="S1605">
        <v>0</v>
      </c>
      <c r="T1605">
        <v>0</v>
      </c>
    </row>
    <row r="1606" spans="1:20" x14ac:dyDescent="0.25">
      <c r="A1606" s="18" t="s">
        <v>3255</v>
      </c>
      <c r="B1606" s="13" t="s">
        <v>3256</v>
      </c>
      <c r="C1606" s="13" t="s">
        <v>55</v>
      </c>
      <c r="D1606" s="13" t="s">
        <v>832</v>
      </c>
      <c r="E1606" s="13" t="str">
        <f>IFERROR(INDEX('Почасовка — ставки и план'!$B$5:$B$24,MATCH(D1606,'Почасовка — ставки и план'!$A$5:$A$24,0)),"Аренда техники / механизмы")</f>
        <v>Аренда техники / механизмы</v>
      </c>
      <c r="F1606" s="14">
        <v>1800</v>
      </c>
      <c r="G1606" s="14">
        <v>2070</v>
      </c>
      <c r="H1606" s="15">
        <v>1200</v>
      </c>
      <c r="I1606" s="15">
        <f>IF(OR(H1606="",F1606=""),"",MAX(H1606,MIN(ROUND(H1606*(1+Параметры!$B$5),IF(H1606*(1+Параметры!$B$5)&gt;=1000,-1,0)),ROUND(F1606*Параметры!$B$6,IF(F1606*Параметры!$B$6&gt;=1000,-1,0)))))</f>
        <v>1350</v>
      </c>
      <c r="J1606" s="15">
        <v>1380</v>
      </c>
      <c r="K1606" s="15">
        <f>IF(OR(J1606="",G1606=""),"",MAX(J1606,MIN(ROUND(J1606*(1+Параметры!$B$5),IF(J1606*(1+Параметры!$B$5)&gt;=1000,-1,0)),ROUND(G1606*Параметры!$B$6,IF(G1606*Параметры!$B$6&gt;=1000,-1,0)))))</f>
        <v>1550</v>
      </c>
      <c r="L1606" s="16"/>
      <c r="M1606" s="17" t="str">
        <f t="shared" si="116"/>
        <v/>
      </c>
      <c r="N1606" s="17" t="str">
        <f>IF(OR(L1606="",L1606=0),"",Параметры!$B$3/L1606)</f>
        <v/>
      </c>
      <c r="O1606" s="15" t="str">
        <f>IF(L1606="","",IFERROR(INDEX('Почасовка — ставки и план'!$D$5:$D$24,MATCH($D1606,'Почасовка — ставки и план'!$A$5:$A$24,0)),""))</f>
        <v/>
      </c>
      <c r="P1606" s="15" t="str">
        <f>IF(L1606="","",IFERROR(INDEX('Почасовка — ставки и план'!$E$5:$E$24,MATCH($D1606,'Почасовка — ставки и план'!$A$5:$A$24,0)),""))</f>
        <v/>
      </c>
      <c r="Q1606" s="15" t="str">
        <f t="shared" si="117"/>
        <v/>
      </c>
      <c r="R1606" s="13" t="str">
        <f>IF(D1606="TEX","аренда техники — сделка/счёт",IF(OR(Q1606="",H1606="",H1606=0),"—",IF(Q1606&lt;H1606*(1-Параметры!$B$7),"почасовка",IF(Q1606&gt;H1606*(1+Параметры!$B$7),"сделка","любой способ"))))</f>
        <v>аренда техники — сделка/счёт</v>
      </c>
      <c r="S1606">
        <v>0</v>
      </c>
      <c r="T1606">
        <v>0</v>
      </c>
    </row>
    <row r="1607" spans="1:20" x14ac:dyDescent="0.25">
      <c r="A1607" s="18" t="s">
        <v>3257</v>
      </c>
      <c r="B1607" s="13" t="s">
        <v>3258</v>
      </c>
      <c r="C1607" s="13" t="s">
        <v>144</v>
      </c>
      <c r="D1607" s="13" t="s">
        <v>252</v>
      </c>
      <c r="E1607" s="13" t="str">
        <f>IFERROR(INDEX('Почасовка — ставки и план'!$B$5:$B$24,MATCH(D1607,'Почасовка — ставки и план'!$A$5:$A$24,0)),"Аренда техники / механизмы")</f>
        <v>Каменщик</v>
      </c>
      <c r="F1607" s="14">
        <v>5000</v>
      </c>
      <c r="G1607" s="14">
        <v>5750</v>
      </c>
      <c r="H1607" s="15">
        <v>3100</v>
      </c>
      <c r="I1607" s="15">
        <f>IF(OR(H1607="",F1607=""),"",MAX(H1607,MIN(ROUND(H1607*(1+Параметры!$B$5),IF(H1607*(1+Параметры!$B$5)&gt;=1000,-1,0)),ROUND(F1607*Параметры!$B$6,IF(F1607*Параметры!$B$6&gt;=1000,-1,0)))))</f>
        <v>3570</v>
      </c>
      <c r="J1607" s="15">
        <v>3565</v>
      </c>
      <c r="K1607" s="15">
        <f>IF(OR(J1607="",G1607=""),"",MAX(J1607,MIN(ROUND(J1607*(1+Параметры!$B$5),IF(J1607*(1+Параметры!$B$5)&gt;=1000,-1,0)),ROUND(G1607*Параметры!$B$6,IF(G1607*Параметры!$B$6&gt;=1000,-1,0)))))</f>
        <v>4100</v>
      </c>
      <c r="L1607" s="16">
        <v>4</v>
      </c>
      <c r="M1607" s="17">
        <f t="shared" si="116"/>
        <v>0.25</v>
      </c>
      <c r="N1607" s="17">
        <f>IF(OR(L1607="",L1607=0),"",Параметры!$B$3/L1607)</f>
        <v>2</v>
      </c>
      <c r="O1607" s="15">
        <f>IF(L1607="","",IFERROR(INDEX('Почасовка — ставки и план'!$D$5:$D$24,MATCH($D1607,'Почасовка — ставки и план'!$A$5:$A$24,0)),""))</f>
        <v>800</v>
      </c>
      <c r="P1607" s="15">
        <f>IF(L1607="","",IFERROR(INDEX('Почасовка — ставки и план'!$E$5:$E$24,MATCH($D1607,'Почасовка — ставки и план'!$A$5:$A$24,0)),""))</f>
        <v>950</v>
      </c>
      <c r="Q1607" s="15">
        <f t="shared" si="117"/>
        <v>3200</v>
      </c>
      <c r="R1607" s="13" t="str">
        <f>IF(D1607="TEX","аренда техники — сделка/счёт",IF(OR(Q1607="",H1607="",H1607=0),"—",IF(Q1607&lt;H1607*(1-Параметры!$B$7),"почасовка",IF(Q1607&gt;H1607*(1+Параметры!$B$7),"сделка","любой способ"))))</f>
        <v>любой способ</v>
      </c>
      <c r="S1607">
        <v>0</v>
      </c>
      <c r="T1607">
        <v>0</v>
      </c>
    </row>
    <row r="1608" spans="1:20" x14ac:dyDescent="0.25">
      <c r="A1608" s="18" t="s">
        <v>3259</v>
      </c>
      <c r="B1608" s="13" t="s">
        <v>3260</v>
      </c>
      <c r="C1608" s="13" t="s">
        <v>144</v>
      </c>
      <c r="D1608" s="13" t="s">
        <v>3109</v>
      </c>
      <c r="E1608" s="13" t="str">
        <f>IFERROR(INDEX('Почасовка — ставки и план'!$B$5:$B$24,MATCH(D1608,'Почасовка — ставки и план'!$A$5:$A$24,0)),"Аренда техники / механизмы")</f>
        <v>Монтажник наружных сетей</v>
      </c>
      <c r="F1608" s="14">
        <v>5000</v>
      </c>
      <c r="G1608" s="14">
        <v>5750</v>
      </c>
      <c r="H1608" s="15">
        <v>3100</v>
      </c>
      <c r="I1608" s="15">
        <f>IF(OR(H1608="",F1608=""),"",MAX(H1608,MIN(ROUND(H1608*(1+Параметры!$B$5),IF(H1608*(1+Параметры!$B$5)&gt;=1000,-1,0)),ROUND(F1608*Параметры!$B$6,IF(F1608*Параметры!$B$6&gt;=1000,-1,0)))))</f>
        <v>3570</v>
      </c>
      <c r="J1608" s="15">
        <v>3565</v>
      </c>
      <c r="K1608" s="15">
        <f>IF(OR(J1608="",G1608=""),"",MAX(J1608,MIN(ROUND(J1608*(1+Параметры!$B$5),IF(J1608*(1+Параметры!$B$5)&gt;=1000,-1,0)),ROUND(G1608*Параметры!$B$6,IF(G1608*Параметры!$B$6&gt;=1000,-1,0)))))</f>
        <v>4100</v>
      </c>
      <c r="L1608" s="16">
        <v>4</v>
      </c>
      <c r="M1608" s="17">
        <f t="shared" si="116"/>
        <v>0.25</v>
      </c>
      <c r="N1608" s="17">
        <f>IF(OR(L1608="",L1608=0),"",Параметры!$B$3/L1608)</f>
        <v>2</v>
      </c>
      <c r="O1608" s="15">
        <f>IF(L1608="","",IFERROR(INDEX('Почасовка — ставки и план'!$D$5:$D$24,MATCH($D1608,'Почасовка — ставки и план'!$A$5:$A$24,0)),""))</f>
        <v>850</v>
      </c>
      <c r="P1608" s="15">
        <f>IF(L1608="","",IFERROR(INDEX('Почасовка — ставки и план'!$E$5:$E$24,MATCH($D1608,'Почасовка — ставки и план'!$A$5:$A$24,0)),""))</f>
        <v>1020</v>
      </c>
      <c r="Q1608" s="15">
        <f t="shared" si="117"/>
        <v>3400</v>
      </c>
      <c r="R1608" s="13" t="str">
        <f>IF(D1608="TEX","аренда техники — сделка/счёт",IF(OR(Q1608="",H1608="",H1608=0),"—",IF(Q1608&lt;H1608*(1-Параметры!$B$7),"почасовка",IF(Q1608&gt;H1608*(1+Параметры!$B$7),"сделка","любой способ"))))</f>
        <v>любой способ</v>
      </c>
      <c r="S1608">
        <v>0</v>
      </c>
      <c r="T1608">
        <v>0</v>
      </c>
    </row>
    <row r="1609" spans="1:20" x14ac:dyDescent="0.25">
      <c r="A1609" s="18" t="s">
        <v>3261</v>
      </c>
      <c r="B1609" s="13" t="s">
        <v>3262</v>
      </c>
      <c r="C1609" s="13" t="s">
        <v>69</v>
      </c>
      <c r="D1609" s="13" t="s">
        <v>56</v>
      </c>
      <c r="E1609" s="13" t="str">
        <f>IFERROR(INDEX('Почасовка — ставки и план'!$B$5:$B$24,MATCH(D1609,'Почасовка — ставки и план'!$A$5:$A$24,0)),"Аренда техники / механизмы")</f>
        <v>Дорожный рабочий / благоустройство</v>
      </c>
      <c r="F1609" s="14">
        <v>1200</v>
      </c>
      <c r="G1609" s="14">
        <v>1380</v>
      </c>
      <c r="H1609" s="15">
        <v>750</v>
      </c>
      <c r="I1609" s="15">
        <f>IF(OR(H1609="",F1609=""),"",MAX(H1609,MIN(ROUND(H1609*(1+Параметры!$B$5),IF(H1609*(1+Параметры!$B$5)&gt;=1000,-1,0)),ROUND(F1609*Параметры!$B$6,IF(F1609*Параметры!$B$6&gt;=1000,-1,0)))))</f>
        <v>863</v>
      </c>
      <c r="J1609" s="15">
        <v>862</v>
      </c>
      <c r="K1609" s="15">
        <f>IF(OR(J1609="",G1609=""),"",MAX(J1609,MIN(ROUND(J1609*(1+Параметры!$B$5),IF(J1609*(1+Параметры!$B$5)&gt;=1000,-1,0)),ROUND(G1609*Параметры!$B$6,IF(G1609*Параметры!$B$6&gt;=1000,-1,0)))))</f>
        <v>991</v>
      </c>
      <c r="L1609" s="16">
        <v>1</v>
      </c>
      <c r="M1609" s="17">
        <f t="shared" si="116"/>
        <v>1</v>
      </c>
      <c r="N1609" s="17">
        <f>IF(OR(L1609="",L1609=0),"",Параметры!$B$3/L1609)</f>
        <v>8</v>
      </c>
      <c r="O1609" s="15">
        <f>IF(L1609="","",IFERROR(INDEX('Почасовка — ставки и план'!$D$5:$D$24,MATCH($D1609,'Почасовка — ставки и план'!$A$5:$A$24,0)),""))</f>
        <v>650</v>
      </c>
      <c r="P1609" s="15">
        <f>IF(L1609="","",IFERROR(INDEX('Почасовка — ставки и план'!$E$5:$E$24,MATCH($D1609,'Почасовка — ставки и план'!$A$5:$A$24,0)),""))</f>
        <v>780</v>
      </c>
      <c r="Q1609" s="15">
        <f t="shared" si="117"/>
        <v>650</v>
      </c>
      <c r="R1609" s="13" t="str">
        <f>IF(D1609="TEX","аренда техники — сделка/счёт",IF(OR(Q1609="",H1609="",H1609=0),"—",IF(Q1609&lt;H1609*(1-Параметры!$B$7),"почасовка",IF(Q1609&gt;H1609*(1+Параметры!$B$7),"сделка","любой способ"))))</f>
        <v>почасовка</v>
      </c>
      <c r="S1609">
        <v>0</v>
      </c>
      <c r="T1609">
        <v>0</v>
      </c>
    </row>
    <row r="1610" spans="1:20" x14ac:dyDescent="0.25">
      <c r="A1610" s="18" t="s">
        <v>3263</v>
      </c>
      <c r="B1610" s="13" t="s">
        <v>3264</v>
      </c>
      <c r="C1610" s="13" t="s">
        <v>865</v>
      </c>
      <c r="D1610" s="13" t="s">
        <v>3109</v>
      </c>
      <c r="E1610" s="13" t="str">
        <f>IFERROR(INDEX('Почасовка — ставки и план'!$B$5:$B$24,MATCH(D1610,'Почасовка — ставки и план'!$A$5:$A$24,0)),"Аренда техники / механизмы")</f>
        <v>Монтажник наружных сетей</v>
      </c>
      <c r="F1610" s="14">
        <v>7000</v>
      </c>
      <c r="G1610" s="14">
        <v>8050</v>
      </c>
      <c r="H1610" s="15">
        <v>4300</v>
      </c>
      <c r="I1610" s="15">
        <f>IF(OR(H1610="",F1610=""),"",MAX(H1610,MIN(ROUND(H1610*(1+Параметры!$B$5),IF(H1610*(1+Параметры!$B$5)&gt;=1000,-1,0)),ROUND(F1610*Параметры!$B$6,IF(F1610*Параметры!$B$6&gt;=1000,-1,0)))))</f>
        <v>4950</v>
      </c>
      <c r="J1610" s="15">
        <v>4945</v>
      </c>
      <c r="K1610" s="15">
        <f>IF(OR(J1610="",G1610=""),"",MAX(J1610,MIN(ROUND(J1610*(1+Параметры!$B$5),IF(J1610*(1+Параметры!$B$5)&gt;=1000,-1,0)),ROUND(G1610*Параметры!$B$6,IF(G1610*Параметры!$B$6&gt;=1000,-1,0)))))</f>
        <v>5690</v>
      </c>
      <c r="L1610" s="16">
        <v>4</v>
      </c>
      <c r="M1610" s="17">
        <f t="shared" si="116"/>
        <v>0.25</v>
      </c>
      <c r="N1610" s="17">
        <f>IF(OR(L1610="",L1610=0),"",Параметры!$B$3/L1610)</f>
        <v>2</v>
      </c>
      <c r="O1610" s="15">
        <f>IF(L1610="","",IFERROR(INDEX('Почасовка — ставки и план'!$D$5:$D$24,MATCH($D1610,'Почасовка — ставки и план'!$A$5:$A$24,0)),""))</f>
        <v>850</v>
      </c>
      <c r="P1610" s="15">
        <f>IF(L1610="","",IFERROR(INDEX('Почасовка — ставки и план'!$E$5:$E$24,MATCH($D1610,'Почасовка — ставки и план'!$A$5:$A$24,0)),""))</f>
        <v>1020</v>
      </c>
      <c r="Q1610" s="15">
        <f t="shared" si="117"/>
        <v>3400</v>
      </c>
      <c r="R1610" s="13" t="str">
        <f>IF(D1610="TEX","аренда техники — сделка/счёт",IF(OR(Q1610="",H1610="",H1610=0),"—",IF(Q1610&lt;H1610*(1-Параметры!$B$7),"почасовка",IF(Q1610&gt;H1610*(1+Параметры!$B$7),"сделка","любой способ"))))</f>
        <v>почасовка</v>
      </c>
      <c r="S1610">
        <v>0</v>
      </c>
      <c r="T1610">
        <v>0</v>
      </c>
    </row>
    <row r="1611" spans="1:20" x14ac:dyDescent="0.25">
      <c r="A1611" s="18" t="s">
        <v>3265</v>
      </c>
      <c r="B1611" s="13" t="s">
        <v>3266</v>
      </c>
      <c r="C1611" s="13" t="s">
        <v>144</v>
      </c>
      <c r="D1611" s="13" t="s">
        <v>326</v>
      </c>
      <c r="E1611" s="13" t="str">
        <f>IFERROR(INDEX('Почасовка — ставки и план'!$B$5:$B$24,MATCH(D1611,'Почасовка — ставки и план'!$A$5:$A$24,0)),"Аренда техники / механизмы")</f>
        <v>Сантехник</v>
      </c>
      <c r="F1611" s="14">
        <v>3500</v>
      </c>
      <c r="G1611" s="14">
        <v>4025</v>
      </c>
      <c r="H1611" s="15">
        <v>2200</v>
      </c>
      <c r="I1611" s="15">
        <f>IF(OR(H1611="",F1611=""),"",MAX(H1611,MIN(ROUND(H1611*(1+Параметры!$B$5),IF(H1611*(1+Параметры!$B$5)&gt;=1000,-1,0)),ROUND(F1611*Параметры!$B$6,IF(F1611*Параметры!$B$6&gt;=1000,-1,0)))))</f>
        <v>2530</v>
      </c>
      <c r="J1611" s="15">
        <v>2530</v>
      </c>
      <c r="K1611" s="15">
        <f>IF(OR(J1611="",G1611=""),"",MAX(J1611,MIN(ROUND(J1611*(1+Параметры!$B$5),IF(J1611*(1+Параметры!$B$5)&gt;=1000,-1,0)),ROUND(G1611*Параметры!$B$6,IF(G1611*Параметры!$B$6&gt;=1000,-1,0)))))</f>
        <v>2910</v>
      </c>
      <c r="L1611" s="16">
        <v>2.5</v>
      </c>
      <c r="M1611" s="17">
        <f t="shared" si="116"/>
        <v>0.4</v>
      </c>
      <c r="N1611" s="17">
        <f>IF(OR(L1611="",L1611=0),"",Параметры!$B$3/L1611)</f>
        <v>3.2</v>
      </c>
      <c r="O1611" s="15">
        <f>IF(L1611="","",IFERROR(INDEX('Почасовка — ставки и план'!$D$5:$D$24,MATCH($D1611,'Почасовка — ставки и план'!$A$5:$A$24,0)),""))</f>
        <v>850</v>
      </c>
      <c r="P1611" s="15">
        <f>IF(L1611="","",IFERROR(INDEX('Почасовка — ставки и план'!$E$5:$E$24,MATCH($D1611,'Почасовка — ставки и план'!$A$5:$A$24,0)),""))</f>
        <v>1020</v>
      </c>
      <c r="Q1611" s="15">
        <f t="shared" si="117"/>
        <v>2125</v>
      </c>
      <c r="R1611" s="13" t="str">
        <f>IF(D1611="TEX","аренда техники — сделка/счёт",IF(OR(Q1611="",H1611="",H1611=0),"—",IF(Q1611&lt;H1611*(1-Параметры!$B$7),"почасовка",IF(Q1611&gt;H1611*(1+Параметры!$B$7),"сделка","любой способ"))))</f>
        <v>любой способ</v>
      </c>
      <c r="S1611">
        <v>0</v>
      </c>
      <c r="T1611">
        <v>0</v>
      </c>
    </row>
    <row r="1612" spans="1:20" x14ac:dyDescent="0.25">
      <c r="A1612" s="18" t="s">
        <v>3267</v>
      </c>
      <c r="B1612" s="13" t="s">
        <v>3268</v>
      </c>
      <c r="C1612" s="13" t="s">
        <v>144</v>
      </c>
      <c r="D1612" s="13" t="s">
        <v>252</v>
      </c>
      <c r="E1612" s="13" t="str">
        <f>IFERROR(INDEX('Почасовка — ставки и план'!$B$5:$B$24,MATCH(D1612,'Почасовка — ставки и план'!$A$5:$A$24,0)),"Аренда техники / механизмы")</f>
        <v>Каменщик</v>
      </c>
      <c r="F1612" s="14">
        <v>2000</v>
      </c>
      <c r="G1612" s="14">
        <v>2300</v>
      </c>
      <c r="H1612" s="15">
        <v>1250</v>
      </c>
      <c r="I1612" s="15">
        <f>IF(OR(H1612="",F1612=""),"",MAX(H1612,MIN(ROUND(H1612*(1+Параметры!$B$5),IF(H1612*(1+Параметры!$B$5)&gt;=1000,-1,0)),ROUND(F1612*Параметры!$B$6,IF(F1612*Параметры!$B$6&gt;=1000,-1,0)))))</f>
        <v>1440</v>
      </c>
      <c r="J1612" s="15">
        <v>1438</v>
      </c>
      <c r="K1612" s="15">
        <f>IF(OR(J1612="",G1612=""),"",MAX(J1612,MIN(ROUND(J1612*(1+Параметры!$B$5),IF(J1612*(1+Параметры!$B$5)&gt;=1000,-1,0)),ROUND(G1612*Параметры!$B$6,IF(G1612*Параметры!$B$6&gt;=1000,-1,0)))))</f>
        <v>1650</v>
      </c>
      <c r="L1612" s="16">
        <v>1.5</v>
      </c>
      <c r="M1612" s="17">
        <f t="shared" si="116"/>
        <v>0.66666666666666663</v>
      </c>
      <c r="N1612" s="17">
        <f>IF(OR(L1612="",L1612=0),"",Параметры!$B$3/L1612)</f>
        <v>5.333333333333333</v>
      </c>
      <c r="O1612" s="15">
        <f>IF(L1612="","",IFERROR(INDEX('Почасовка — ставки и план'!$D$5:$D$24,MATCH($D1612,'Почасовка — ставки и план'!$A$5:$A$24,0)),""))</f>
        <v>800</v>
      </c>
      <c r="P1612" s="15">
        <f>IF(L1612="","",IFERROR(INDEX('Почасовка — ставки и план'!$E$5:$E$24,MATCH($D1612,'Почасовка — ставки и план'!$A$5:$A$24,0)),""))</f>
        <v>950</v>
      </c>
      <c r="Q1612" s="15">
        <f t="shared" si="117"/>
        <v>1200</v>
      </c>
      <c r="R1612" s="13" t="str">
        <f>IF(D1612="TEX","аренда техники — сделка/счёт",IF(OR(Q1612="",H1612="",H1612=0),"—",IF(Q1612&lt;H1612*(1-Параметры!$B$7),"почасовка",IF(Q1612&gt;H1612*(1+Параметры!$B$7),"сделка","любой способ"))))</f>
        <v>любой способ</v>
      </c>
      <c r="S1612">
        <v>0</v>
      </c>
      <c r="T1612">
        <v>0</v>
      </c>
    </row>
    <row r="1613" spans="1:20" x14ac:dyDescent="0.25">
      <c r="A1613" s="11" t="s">
        <v>3269</v>
      </c>
      <c r="B1613" s="12"/>
      <c r="C1613" s="12"/>
      <c r="D1613" s="12"/>
      <c r="E1613" s="12"/>
      <c r="F1613" s="12"/>
      <c r="G1613" s="12"/>
      <c r="H1613" s="12"/>
      <c r="I1613" s="12"/>
      <c r="J1613" s="12"/>
      <c r="K1613" s="12"/>
      <c r="L1613" s="12"/>
      <c r="M1613" s="12"/>
      <c r="N1613" s="12"/>
      <c r="O1613" s="12"/>
      <c r="P1613" s="12"/>
      <c r="Q1613" s="12"/>
      <c r="R1613" s="12"/>
    </row>
    <row r="1614" spans="1:20" x14ac:dyDescent="0.25">
      <c r="A1614" s="13" t="s">
        <v>3270</v>
      </c>
      <c r="B1614" s="13" t="s">
        <v>3271</v>
      </c>
      <c r="C1614" s="13" t="s">
        <v>69</v>
      </c>
      <c r="D1614" s="13" t="s">
        <v>326</v>
      </c>
      <c r="E1614" s="13" t="str">
        <f>IFERROR(INDEX('Почасовка — ставки и план'!$B$5:$B$24,MATCH(D1614,'Почасовка — ставки и план'!$A$5:$A$24,0)),"Аренда техники / механизмы")</f>
        <v>Сантехник</v>
      </c>
      <c r="F1614" s="14">
        <v>600</v>
      </c>
      <c r="G1614" s="14">
        <v>690</v>
      </c>
      <c r="H1614" s="15">
        <v>380</v>
      </c>
      <c r="I1614" s="15">
        <f>IF(OR(H1614="",F1614=""),"",MAX(H1614,MIN(ROUND(H1614*(1+Параметры!$B$5),IF(H1614*(1+Параметры!$B$5)&gt;=1000,-1,0)),ROUND(F1614*Параметры!$B$6,IF(F1614*Параметры!$B$6&gt;=1000,-1,0)))))</f>
        <v>437</v>
      </c>
      <c r="J1614" s="15">
        <v>437</v>
      </c>
      <c r="K1614" s="15">
        <f>IF(OR(J1614="",G1614=""),"",MAX(J1614,MIN(ROUND(J1614*(1+Параметры!$B$5),IF(J1614*(1+Параметры!$B$5)&gt;=1000,-1,0)),ROUND(G1614*Параметры!$B$6,IF(G1614*Параметры!$B$6&gt;=1000,-1,0)))))</f>
        <v>503</v>
      </c>
      <c r="L1614" s="16">
        <v>0.45</v>
      </c>
      <c r="M1614" s="17">
        <f t="shared" ref="M1614:M1642" si="118">IF(OR(L1614="",L1614=0),"",1/L1614)</f>
        <v>2.2222222222222223</v>
      </c>
      <c r="N1614" s="17">
        <f>IF(OR(L1614="",L1614=0),"",Параметры!$B$3/L1614)</f>
        <v>17.777777777777779</v>
      </c>
      <c r="O1614" s="15">
        <f>IF(L1614="","",IFERROR(INDEX('Почасовка — ставки и план'!$D$5:$D$24,MATCH($D1614,'Почасовка — ставки и план'!$A$5:$A$24,0)),""))</f>
        <v>850</v>
      </c>
      <c r="P1614" s="15">
        <f>IF(L1614="","",IFERROR(INDEX('Почасовка — ставки и план'!$E$5:$E$24,MATCH($D1614,'Почасовка — ставки и план'!$A$5:$A$24,0)),""))</f>
        <v>1020</v>
      </c>
      <c r="Q1614" s="15">
        <f t="shared" ref="Q1614:Q1642" si="119">IF(OR(L1614="",O1614=""),"",ROUND(L1614*O1614,0))</f>
        <v>383</v>
      </c>
      <c r="R1614" s="13" t="str">
        <f>IF(D1614="TEX","аренда техники — сделка/счёт",IF(OR(Q1614="",H1614="",H1614=0),"—",IF(Q1614&lt;H1614*(1-Параметры!$B$7),"почасовка",IF(Q1614&gt;H1614*(1+Параметры!$B$7),"сделка","любой способ"))))</f>
        <v>любой способ</v>
      </c>
      <c r="S1614">
        <v>0</v>
      </c>
      <c r="T1614">
        <v>0</v>
      </c>
    </row>
    <row r="1615" spans="1:20" x14ac:dyDescent="0.25">
      <c r="A1615" s="13" t="s">
        <v>3272</v>
      </c>
      <c r="B1615" s="13" t="s">
        <v>3273</v>
      </c>
      <c r="C1615" s="13" t="s">
        <v>69</v>
      </c>
      <c r="D1615" s="13" t="s">
        <v>326</v>
      </c>
      <c r="E1615" s="13" t="str">
        <f>IFERROR(INDEX('Почасовка — ставки и план'!$B$5:$B$24,MATCH(D1615,'Почасовка — ставки и план'!$A$5:$A$24,0)),"Аренда техники / механизмы")</f>
        <v>Сантехник</v>
      </c>
      <c r="F1615" s="14">
        <v>700</v>
      </c>
      <c r="G1615" s="14">
        <v>805</v>
      </c>
      <c r="H1615" s="15">
        <v>440</v>
      </c>
      <c r="I1615" s="15">
        <f>IF(OR(H1615="",F1615=""),"",MAX(H1615,MIN(ROUND(H1615*(1+Параметры!$B$5),IF(H1615*(1+Параметры!$B$5)&gt;=1000,-1,0)),ROUND(F1615*Параметры!$B$6,IF(F1615*Параметры!$B$6&gt;=1000,-1,0)))))</f>
        <v>506</v>
      </c>
      <c r="J1615" s="15">
        <v>506</v>
      </c>
      <c r="K1615" s="15">
        <f>IF(OR(J1615="",G1615=""),"",MAX(J1615,MIN(ROUND(J1615*(1+Параметры!$B$5),IF(J1615*(1+Параметры!$B$5)&gt;=1000,-1,0)),ROUND(G1615*Параметры!$B$6,IF(G1615*Параметры!$B$6&gt;=1000,-1,0)))))</f>
        <v>582</v>
      </c>
      <c r="L1615" s="16">
        <v>0.55000000000000004</v>
      </c>
      <c r="M1615" s="17">
        <f t="shared" si="118"/>
        <v>1.8181818181818181</v>
      </c>
      <c r="N1615" s="17">
        <f>IF(OR(L1615="",L1615=0),"",Параметры!$B$3/L1615)</f>
        <v>14.545454545454545</v>
      </c>
      <c r="O1615" s="15">
        <f>IF(L1615="","",IFERROR(INDEX('Почасовка — ставки и план'!$D$5:$D$24,MATCH($D1615,'Почасовка — ставки и план'!$A$5:$A$24,0)),""))</f>
        <v>850</v>
      </c>
      <c r="P1615" s="15">
        <f>IF(L1615="","",IFERROR(INDEX('Почасовка — ставки и план'!$E$5:$E$24,MATCH($D1615,'Почасовка — ставки и план'!$A$5:$A$24,0)),""))</f>
        <v>1020</v>
      </c>
      <c r="Q1615" s="15">
        <f t="shared" si="119"/>
        <v>468</v>
      </c>
      <c r="R1615" s="13" t="str">
        <f>IF(D1615="TEX","аренда техники — сделка/счёт",IF(OR(Q1615="",H1615="",H1615=0),"—",IF(Q1615&lt;H1615*(1-Параметры!$B$7),"почасовка",IF(Q1615&gt;H1615*(1+Параметры!$B$7),"сделка","любой способ"))))</f>
        <v>любой способ</v>
      </c>
      <c r="S1615">
        <v>0</v>
      </c>
      <c r="T1615">
        <v>0</v>
      </c>
    </row>
    <row r="1616" spans="1:20" x14ac:dyDescent="0.25">
      <c r="A1616" s="13" t="s">
        <v>3274</v>
      </c>
      <c r="B1616" s="13" t="s">
        <v>3275</v>
      </c>
      <c r="C1616" s="13" t="s">
        <v>69</v>
      </c>
      <c r="D1616" s="13" t="s">
        <v>326</v>
      </c>
      <c r="E1616" s="13" t="str">
        <f>IFERROR(INDEX('Почасовка — ставки и план'!$B$5:$B$24,MATCH(D1616,'Почасовка — ставки и план'!$A$5:$A$24,0)),"Аренда техники / механизмы")</f>
        <v>Сантехник</v>
      </c>
      <c r="F1616" s="14">
        <v>850</v>
      </c>
      <c r="G1616" s="14">
        <v>977</v>
      </c>
      <c r="H1616" s="15">
        <v>530</v>
      </c>
      <c r="I1616" s="15">
        <f>IF(OR(H1616="",F1616=""),"",MAX(H1616,MIN(ROUND(H1616*(1+Параметры!$B$5),IF(H1616*(1+Параметры!$B$5)&gt;=1000,-1,0)),ROUND(F1616*Параметры!$B$6,IF(F1616*Параметры!$B$6&gt;=1000,-1,0)))))</f>
        <v>610</v>
      </c>
      <c r="J1616" s="15">
        <v>610</v>
      </c>
      <c r="K1616" s="15">
        <f>IF(OR(J1616="",G1616=""),"",MAX(J1616,MIN(ROUND(J1616*(1+Параметры!$B$5),IF(J1616*(1+Параметры!$B$5)&gt;=1000,-1,0)),ROUND(G1616*Параметры!$B$6,IF(G1616*Параметры!$B$6&gt;=1000,-1,0)))))</f>
        <v>702</v>
      </c>
      <c r="L1616" s="16">
        <v>0.65</v>
      </c>
      <c r="M1616" s="17">
        <f t="shared" si="118"/>
        <v>1.5384615384615383</v>
      </c>
      <c r="N1616" s="17">
        <f>IF(OR(L1616="",L1616=0),"",Параметры!$B$3/L1616)</f>
        <v>12.307692307692307</v>
      </c>
      <c r="O1616" s="15">
        <f>IF(L1616="","",IFERROR(INDEX('Почасовка — ставки и план'!$D$5:$D$24,MATCH($D1616,'Почасовка — ставки и план'!$A$5:$A$24,0)),""))</f>
        <v>850</v>
      </c>
      <c r="P1616" s="15">
        <f>IF(L1616="","",IFERROR(INDEX('Почасовка — ставки и план'!$E$5:$E$24,MATCH($D1616,'Почасовка — ставки и план'!$A$5:$A$24,0)),""))</f>
        <v>1020</v>
      </c>
      <c r="Q1616" s="15">
        <f t="shared" si="119"/>
        <v>553</v>
      </c>
      <c r="R1616" s="13" t="str">
        <f>IF(D1616="TEX","аренда техники — сделка/счёт",IF(OR(Q1616="",H1616="",H1616=0),"—",IF(Q1616&lt;H1616*(1-Параметры!$B$7),"почасовка",IF(Q1616&gt;H1616*(1+Параметры!$B$7),"сделка","любой способ"))))</f>
        <v>любой способ</v>
      </c>
      <c r="S1616">
        <v>0</v>
      </c>
      <c r="T1616">
        <v>0</v>
      </c>
    </row>
    <row r="1617" spans="1:20" x14ac:dyDescent="0.25">
      <c r="A1617" s="13" t="s">
        <v>3276</v>
      </c>
      <c r="B1617" s="13" t="s">
        <v>3277</v>
      </c>
      <c r="C1617" s="13" t="s">
        <v>69</v>
      </c>
      <c r="D1617" s="13" t="s">
        <v>326</v>
      </c>
      <c r="E1617" s="13" t="str">
        <f>IFERROR(INDEX('Почасовка — ставки и план'!$B$5:$B$24,MATCH(D1617,'Почасовка — ставки и план'!$A$5:$A$24,0)),"Аренда техники / механизмы")</f>
        <v>Сантехник</v>
      </c>
      <c r="F1617" s="14">
        <v>750</v>
      </c>
      <c r="G1617" s="14">
        <v>862</v>
      </c>
      <c r="H1617" s="15">
        <v>470</v>
      </c>
      <c r="I1617" s="15">
        <f>IF(OR(H1617="",F1617=""),"",MAX(H1617,MIN(ROUND(H1617*(1+Параметры!$B$5),IF(H1617*(1+Параметры!$B$5)&gt;=1000,-1,0)),ROUND(F1617*Параметры!$B$6,IF(F1617*Параметры!$B$6&gt;=1000,-1,0)))))</f>
        <v>541</v>
      </c>
      <c r="J1617" s="15">
        <v>540</v>
      </c>
      <c r="K1617" s="15">
        <f>IF(OR(J1617="",G1617=""),"",MAX(J1617,MIN(ROUND(J1617*(1+Параметры!$B$5),IF(J1617*(1+Параметры!$B$5)&gt;=1000,-1,0)),ROUND(G1617*Параметры!$B$6,IF(G1617*Параметры!$B$6&gt;=1000,-1,0)))))</f>
        <v>621</v>
      </c>
      <c r="L1617" s="16">
        <v>0.6</v>
      </c>
      <c r="M1617" s="17">
        <f t="shared" si="118"/>
        <v>1.6666666666666667</v>
      </c>
      <c r="N1617" s="17">
        <f>IF(OR(L1617="",L1617=0),"",Параметры!$B$3/L1617)</f>
        <v>13.333333333333334</v>
      </c>
      <c r="O1617" s="15">
        <f>IF(L1617="","",IFERROR(INDEX('Почасовка — ставки и план'!$D$5:$D$24,MATCH($D1617,'Почасовка — ставки и план'!$A$5:$A$24,0)),""))</f>
        <v>850</v>
      </c>
      <c r="P1617" s="15">
        <f>IF(L1617="","",IFERROR(INDEX('Почасовка — ставки и план'!$E$5:$E$24,MATCH($D1617,'Почасовка — ставки и план'!$A$5:$A$24,0)),""))</f>
        <v>1020</v>
      </c>
      <c r="Q1617" s="15">
        <f t="shared" si="119"/>
        <v>510</v>
      </c>
      <c r="R1617" s="13" t="str">
        <f>IF(D1617="TEX","аренда техники — сделка/счёт",IF(OR(Q1617="",H1617="",H1617=0),"—",IF(Q1617&lt;H1617*(1-Параметры!$B$7),"почасовка",IF(Q1617&gt;H1617*(1+Параметры!$B$7),"сделка","любой способ"))))</f>
        <v>любой способ</v>
      </c>
      <c r="S1617">
        <v>0</v>
      </c>
      <c r="T1617">
        <v>0</v>
      </c>
    </row>
    <row r="1618" spans="1:20" x14ac:dyDescent="0.25">
      <c r="A1618" s="13" t="s">
        <v>3278</v>
      </c>
      <c r="B1618" s="13" t="s">
        <v>3279</v>
      </c>
      <c r="C1618" s="13" t="s">
        <v>69</v>
      </c>
      <c r="D1618" s="13" t="s">
        <v>326</v>
      </c>
      <c r="E1618" s="13" t="str">
        <f>IFERROR(INDEX('Почасовка — ставки и план'!$B$5:$B$24,MATCH(D1618,'Почасовка — ставки и план'!$A$5:$A$24,0)),"Аренда техники / механизмы")</f>
        <v>Сантехник</v>
      </c>
      <c r="F1618" s="14">
        <v>900</v>
      </c>
      <c r="G1618" s="14">
        <v>1035</v>
      </c>
      <c r="H1618" s="15">
        <v>570</v>
      </c>
      <c r="I1618" s="15">
        <f>IF(OR(H1618="",F1618=""),"",MAX(H1618,MIN(ROUND(H1618*(1+Параметры!$B$5),IF(H1618*(1+Параметры!$B$5)&gt;=1000,-1,0)),ROUND(F1618*Параметры!$B$6,IF(F1618*Параметры!$B$6&gt;=1000,-1,0)))))</f>
        <v>656</v>
      </c>
      <c r="J1618" s="15">
        <v>656</v>
      </c>
      <c r="K1618" s="15">
        <f>IF(OR(J1618="",G1618=""),"",MAX(J1618,MIN(ROUND(J1618*(1+Параметры!$B$5),IF(J1618*(1+Параметры!$B$5)&gt;=1000,-1,0)),ROUND(G1618*Параметры!$B$6,IF(G1618*Параметры!$B$6&gt;=1000,-1,0)))))</f>
        <v>754</v>
      </c>
      <c r="L1618" s="16">
        <v>0.75</v>
      </c>
      <c r="M1618" s="17">
        <f t="shared" si="118"/>
        <v>1.3333333333333333</v>
      </c>
      <c r="N1618" s="17">
        <f>IF(OR(L1618="",L1618=0),"",Параметры!$B$3/L1618)</f>
        <v>10.666666666666666</v>
      </c>
      <c r="O1618" s="15">
        <f>IF(L1618="","",IFERROR(INDEX('Почасовка — ставки и план'!$D$5:$D$24,MATCH($D1618,'Почасовка — ставки и план'!$A$5:$A$24,0)),""))</f>
        <v>850</v>
      </c>
      <c r="P1618" s="15">
        <f>IF(L1618="","",IFERROR(INDEX('Почасовка — ставки и план'!$E$5:$E$24,MATCH($D1618,'Почасовка — ставки и план'!$A$5:$A$24,0)),""))</f>
        <v>1020</v>
      </c>
      <c r="Q1618" s="15">
        <f t="shared" si="119"/>
        <v>638</v>
      </c>
      <c r="R1618" s="13" t="str">
        <f>IF(D1618="TEX","аренда техники — сделка/счёт",IF(OR(Q1618="",H1618="",H1618=0),"—",IF(Q1618&lt;H1618*(1-Параметры!$B$7),"почасовка",IF(Q1618&gt;H1618*(1+Параметры!$B$7),"сделка","любой способ"))))</f>
        <v>сделка</v>
      </c>
      <c r="S1618">
        <v>0</v>
      </c>
      <c r="T1618">
        <v>0</v>
      </c>
    </row>
    <row r="1619" spans="1:20" x14ac:dyDescent="0.25">
      <c r="A1619" s="13" t="s">
        <v>3280</v>
      </c>
      <c r="B1619" s="13" t="s">
        <v>3281</v>
      </c>
      <c r="C1619" s="13" t="s">
        <v>69</v>
      </c>
      <c r="D1619" s="13" t="s">
        <v>326</v>
      </c>
      <c r="E1619" s="13" t="str">
        <f>IFERROR(INDEX('Почасовка — ставки и план'!$B$5:$B$24,MATCH(D1619,'Почасовка — ставки и план'!$A$5:$A$24,0)),"Аренда техники / механизмы")</f>
        <v>Сантехник</v>
      </c>
      <c r="F1619" s="14">
        <v>1100</v>
      </c>
      <c r="G1619" s="14">
        <v>1265</v>
      </c>
      <c r="H1619" s="15">
        <v>690</v>
      </c>
      <c r="I1619" s="15">
        <f>IF(OR(H1619="",F1619=""),"",MAX(H1619,MIN(ROUND(H1619*(1+Параметры!$B$5),IF(H1619*(1+Параметры!$B$5)&gt;=1000,-1,0)),ROUND(F1619*Параметры!$B$6,IF(F1619*Параметры!$B$6&gt;=1000,-1,0)))))</f>
        <v>794</v>
      </c>
      <c r="J1619" s="15">
        <v>793</v>
      </c>
      <c r="K1619" s="15">
        <f>IF(OR(J1619="",G1619=""),"",MAX(J1619,MIN(ROUND(J1619*(1+Параметры!$B$5),IF(J1619*(1+Параметры!$B$5)&gt;=1000,-1,0)),ROUND(G1619*Параметры!$B$6,IF(G1619*Параметры!$B$6&gt;=1000,-1,0)))))</f>
        <v>912</v>
      </c>
      <c r="L1619" s="16">
        <v>0.9</v>
      </c>
      <c r="M1619" s="17">
        <f t="shared" si="118"/>
        <v>1.1111111111111112</v>
      </c>
      <c r="N1619" s="17">
        <f>IF(OR(L1619="",L1619=0),"",Параметры!$B$3/L1619)</f>
        <v>8.8888888888888893</v>
      </c>
      <c r="O1619" s="15">
        <f>IF(L1619="","",IFERROR(INDEX('Почасовка — ставки и план'!$D$5:$D$24,MATCH($D1619,'Почасовка — ставки и план'!$A$5:$A$24,0)),""))</f>
        <v>850</v>
      </c>
      <c r="P1619" s="15">
        <f>IF(L1619="","",IFERROR(INDEX('Почасовка — ставки и план'!$E$5:$E$24,MATCH($D1619,'Почасовка — ставки и план'!$A$5:$A$24,0)),""))</f>
        <v>1020</v>
      </c>
      <c r="Q1619" s="15">
        <f t="shared" si="119"/>
        <v>765</v>
      </c>
      <c r="R1619" s="13" t="str">
        <f>IF(D1619="TEX","аренда техники — сделка/счёт",IF(OR(Q1619="",H1619="",H1619=0),"—",IF(Q1619&lt;H1619*(1-Параметры!$B$7),"почасовка",IF(Q1619&gt;H1619*(1+Параметры!$B$7),"сделка","любой способ"))))</f>
        <v>сделка</v>
      </c>
      <c r="S1619">
        <v>0</v>
      </c>
      <c r="T1619">
        <v>0</v>
      </c>
    </row>
    <row r="1620" spans="1:20" x14ac:dyDescent="0.25">
      <c r="A1620" s="13" t="s">
        <v>3282</v>
      </c>
      <c r="B1620" s="13" t="s">
        <v>3283</v>
      </c>
      <c r="C1620" s="13" t="s">
        <v>69</v>
      </c>
      <c r="D1620" s="13" t="s">
        <v>326</v>
      </c>
      <c r="E1620" s="13" t="str">
        <f>IFERROR(INDEX('Почасовка — ставки и план'!$B$5:$B$24,MATCH(D1620,'Почасовка — ставки и план'!$A$5:$A$24,0)),"Аренда техники / механизмы")</f>
        <v>Сантехник</v>
      </c>
      <c r="F1620" s="14">
        <v>350</v>
      </c>
      <c r="G1620" s="14">
        <v>402</v>
      </c>
      <c r="H1620" s="15">
        <v>220</v>
      </c>
      <c r="I1620" s="15">
        <f>IF(OR(H1620="",F1620=""),"",MAX(H1620,MIN(ROUND(H1620*(1+Параметры!$B$5),IF(H1620*(1+Параметры!$B$5)&gt;=1000,-1,0)),ROUND(F1620*Параметры!$B$6,IF(F1620*Параметры!$B$6&gt;=1000,-1,0)))))</f>
        <v>253</v>
      </c>
      <c r="J1620" s="15">
        <v>253</v>
      </c>
      <c r="K1620" s="15">
        <f>IF(OR(J1620="",G1620=""),"",MAX(J1620,MIN(ROUND(J1620*(1+Параметры!$B$5),IF(J1620*(1+Параметры!$B$5)&gt;=1000,-1,0)),ROUND(G1620*Параметры!$B$6,IF(G1620*Параметры!$B$6&gt;=1000,-1,0)))))</f>
        <v>291</v>
      </c>
      <c r="L1620" s="16">
        <v>0.18</v>
      </c>
      <c r="M1620" s="17">
        <f t="shared" si="118"/>
        <v>5.5555555555555554</v>
      </c>
      <c r="N1620" s="17">
        <f>IF(OR(L1620="",L1620=0),"",Параметры!$B$3/L1620)</f>
        <v>44.444444444444443</v>
      </c>
      <c r="O1620" s="15">
        <f>IF(L1620="","",IFERROR(INDEX('Почасовка — ставки и план'!$D$5:$D$24,MATCH($D1620,'Почасовка — ставки и план'!$A$5:$A$24,0)),""))</f>
        <v>850</v>
      </c>
      <c r="P1620" s="15">
        <f>IF(L1620="","",IFERROR(INDEX('Почасовка — ставки и план'!$E$5:$E$24,MATCH($D1620,'Почасовка — ставки и план'!$A$5:$A$24,0)),""))</f>
        <v>1020</v>
      </c>
      <c r="Q1620" s="15">
        <f t="shared" si="119"/>
        <v>153</v>
      </c>
      <c r="R1620" s="13" t="str">
        <f>IF(D1620="TEX","аренда техники — сделка/счёт",IF(OR(Q1620="",H1620="",H1620=0),"—",IF(Q1620&lt;H1620*(1-Параметры!$B$7),"почасовка",IF(Q1620&gt;H1620*(1+Параметры!$B$7),"сделка","любой способ"))))</f>
        <v>почасовка</v>
      </c>
      <c r="S1620">
        <v>0</v>
      </c>
      <c r="T1620">
        <v>0</v>
      </c>
    </row>
    <row r="1621" spans="1:20" x14ac:dyDescent="0.25">
      <c r="A1621" s="13" t="s">
        <v>3284</v>
      </c>
      <c r="B1621" s="13" t="s">
        <v>3285</v>
      </c>
      <c r="C1621" s="13" t="s">
        <v>69</v>
      </c>
      <c r="D1621" s="13" t="s">
        <v>326</v>
      </c>
      <c r="E1621" s="13" t="str">
        <f>IFERROR(INDEX('Почасовка — ставки и план'!$B$5:$B$24,MATCH(D1621,'Почасовка — ставки и план'!$A$5:$A$24,0)),"Аренда техники / механизмы")</f>
        <v>Сантехник</v>
      </c>
      <c r="F1621" s="14">
        <v>450</v>
      </c>
      <c r="G1621" s="14">
        <v>518</v>
      </c>
      <c r="H1621" s="15">
        <v>280</v>
      </c>
      <c r="I1621" s="15">
        <f>IF(OR(H1621="",F1621=""),"",MAX(H1621,MIN(ROUND(H1621*(1+Параметры!$B$5),IF(H1621*(1+Параметры!$B$5)&gt;=1000,-1,0)),ROUND(F1621*Параметры!$B$6,IF(F1621*Параметры!$B$6&gt;=1000,-1,0)))))</f>
        <v>322</v>
      </c>
      <c r="J1621" s="15">
        <v>322</v>
      </c>
      <c r="K1621" s="15">
        <f>IF(OR(J1621="",G1621=""),"",MAX(J1621,MIN(ROUND(J1621*(1+Параметры!$B$5),IF(J1621*(1+Параметры!$B$5)&gt;=1000,-1,0)),ROUND(G1621*Параметры!$B$6,IF(G1621*Параметры!$B$6&gt;=1000,-1,0)))))</f>
        <v>370</v>
      </c>
      <c r="L1621" s="16">
        <v>0.25</v>
      </c>
      <c r="M1621" s="17">
        <f t="shared" si="118"/>
        <v>4</v>
      </c>
      <c r="N1621" s="17">
        <f>IF(OR(L1621="",L1621=0),"",Параметры!$B$3/L1621)</f>
        <v>32</v>
      </c>
      <c r="O1621" s="15">
        <f>IF(L1621="","",IFERROR(INDEX('Почасовка — ставки и план'!$D$5:$D$24,MATCH($D1621,'Почасовка — ставки и план'!$A$5:$A$24,0)),""))</f>
        <v>850</v>
      </c>
      <c r="P1621" s="15">
        <f>IF(L1621="","",IFERROR(INDEX('Почасовка — ставки и план'!$E$5:$E$24,MATCH($D1621,'Почасовка — ставки и план'!$A$5:$A$24,0)),""))</f>
        <v>1020</v>
      </c>
      <c r="Q1621" s="15">
        <f t="shared" si="119"/>
        <v>213</v>
      </c>
      <c r="R1621" s="13" t="str">
        <f>IF(D1621="TEX","аренда техники — сделка/счёт",IF(OR(Q1621="",H1621="",H1621=0),"—",IF(Q1621&lt;H1621*(1-Параметры!$B$7),"почасовка",IF(Q1621&gt;H1621*(1+Параметры!$B$7),"сделка","любой способ"))))</f>
        <v>почасовка</v>
      </c>
      <c r="S1621">
        <v>0</v>
      </c>
      <c r="T1621">
        <v>0</v>
      </c>
    </row>
    <row r="1622" spans="1:20" x14ac:dyDescent="0.25">
      <c r="A1622" s="13" t="s">
        <v>3286</v>
      </c>
      <c r="B1622" s="13" t="s">
        <v>3287</v>
      </c>
      <c r="C1622" s="13" t="s">
        <v>69</v>
      </c>
      <c r="D1622" s="13" t="s">
        <v>326</v>
      </c>
      <c r="E1622" s="13" t="str">
        <f>IFERROR(INDEX('Почасовка — ставки и план'!$B$5:$B$24,MATCH(D1622,'Почасовка — ставки и план'!$A$5:$A$24,0)),"Аренда техники / механизмы")</f>
        <v>Сантехник</v>
      </c>
      <c r="F1622" s="14">
        <v>550</v>
      </c>
      <c r="G1622" s="14">
        <v>632</v>
      </c>
      <c r="H1622" s="15">
        <v>350</v>
      </c>
      <c r="I1622" s="15">
        <f>IF(OR(H1622="",F1622=""),"",MAX(H1622,MIN(ROUND(H1622*(1+Параметры!$B$5),IF(H1622*(1+Параметры!$B$5)&gt;=1000,-1,0)),ROUND(F1622*Параметры!$B$6,IF(F1622*Параметры!$B$6&gt;=1000,-1,0)))))</f>
        <v>403</v>
      </c>
      <c r="J1622" s="15">
        <v>402</v>
      </c>
      <c r="K1622" s="15">
        <f>IF(OR(J1622="",G1622=""),"",MAX(J1622,MIN(ROUND(J1622*(1+Параметры!$B$5),IF(J1622*(1+Параметры!$B$5)&gt;=1000,-1,0)),ROUND(G1622*Параметры!$B$6,IF(G1622*Параметры!$B$6&gt;=1000,-1,0)))))</f>
        <v>462</v>
      </c>
      <c r="L1622" s="16">
        <v>0.3</v>
      </c>
      <c r="M1622" s="17">
        <f t="shared" si="118"/>
        <v>3.3333333333333335</v>
      </c>
      <c r="N1622" s="17">
        <f>IF(OR(L1622="",L1622=0),"",Параметры!$B$3/L1622)</f>
        <v>26.666666666666668</v>
      </c>
      <c r="O1622" s="15">
        <f>IF(L1622="","",IFERROR(INDEX('Почасовка — ставки и план'!$D$5:$D$24,MATCH($D1622,'Почасовка — ставки и план'!$A$5:$A$24,0)),""))</f>
        <v>850</v>
      </c>
      <c r="P1622" s="15">
        <f>IF(L1622="","",IFERROR(INDEX('Почасовка — ставки и план'!$E$5:$E$24,MATCH($D1622,'Почасовка — ставки и план'!$A$5:$A$24,0)),""))</f>
        <v>1020</v>
      </c>
      <c r="Q1622" s="15">
        <f t="shared" si="119"/>
        <v>255</v>
      </c>
      <c r="R1622" s="13" t="str">
        <f>IF(D1622="TEX","аренда техники — сделка/счёт",IF(OR(Q1622="",H1622="",H1622=0),"—",IF(Q1622&lt;H1622*(1-Параметры!$B$7),"почасовка",IF(Q1622&gt;H1622*(1+Параметры!$B$7),"сделка","любой способ"))))</f>
        <v>почасовка</v>
      </c>
      <c r="S1622">
        <v>0</v>
      </c>
      <c r="T1622">
        <v>0</v>
      </c>
    </row>
    <row r="1623" spans="1:20" x14ac:dyDescent="0.25">
      <c r="A1623" s="13" t="s">
        <v>3288</v>
      </c>
      <c r="B1623" s="13" t="s">
        <v>3289</v>
      </c>
      <c r="C1623" s="13" t="s">
        <v>69</v>
      </c>
      <c r="D1623" s="13" t="s">
        <v>326</v>
      </c>
      <c r="E1623" s="13" t="str">
        <f>IFERROR(INDEX('Почасовка — ставки и план'!$B$5:$B$24,MATCH(D1623,'Почасовка — ставки и план'!$A$5:$A$24,0)),"Аренда техники / механизмы")</f>
        <v>Сантехник</v>
      </c>
      <c r="F1623" s="14">
        <v>650</v>
      </c>
      <c r="G1623" s="14">
        <v>747</v>
      </c>
      <c r="H1623" s="15">
        <v>410</v>
      </c>
      <c r="I1623" s="15">
        <f>IF(OR(H1623="",F1623=""),"",MAX(H1623,MIN(ROUND(H1623*(1+Параметры!$B$5),IF(H1623*(1+Параметры!$B$5)&gt;=1000,-1,0)),ROUND(F1623*Параметры!$B$6,IF(F1623*Параметры!$B$6&gt;=1000,-1,0)))))</f>
        <v>472</v>
      </c>
      <c r="J1623" s="15">
        <v>471</v>
      </c>
      <c r="K1623" s="15">
        <f>IF(OR(J1623="",G1623=""),"",MAX(J1623,MIN(ROUND(J1623*(1+Параметры!$B$5),IF(J1623*(1+Параметры!$B$5)&gt;=1000,-1,0)),ROUND(G1623*Параметры!$B$6,IF(G1623*Параметры!$B$6&gt;=1000,-1,0)))))</f>
        <v>542</v>
      </c>
      <c r="L1623" s="16">
        <v>0.35</v>
      </c>
      <c r="M1623" s="17">
        <f t="shared" si="118"/>
        <v>2.8571428571428572</v>
      </c>
      <c r="N1623" s="17">
        <f>IF(OR(L1623="",L1623=0),"",Параметры!$B$3/L1623)</f>
        <v>22.857142857142858</v>
      </c>
      <c r="O1623" s="15">
        <f>IF(L1623="","",IFERROR(INDEX('Почасовка — ставки и план'!$D$5:$D$24,MATCH($D1623,'Почасовка — ставки и план'!$A$5:$A$24,0)),""))</f>
        <v>850</v>
      </c>
      <c r="P1623" s="15">
        <f>IF(L1623="","",IFERROR(INDEX('Почасовка — ставки и план'!$E$5:$E$24,MATCH($D1623,'Почасовка — ставки и план'!$A$5:$A$24,0)),""))</f>
        <v>1020</v>
      </c>
      <c r="Q1623" s="15">
        <f t="shared" si="119"/>
        <v>298</v>
      </c>
      <c r="R1623" s="13" t="str">
        <f>IF(D1623="TEX","аренда техники — сделка/счёт",IF(OR(Q1623="",H1623="",H1623=0),"—",IF(Q1623&lt;H1623*(1-Параметры!$B$7),"почасовка",IF(Q1623&gt;H1623*(1+Параметры!$B$7),"сделка","любой способ"))))</f>
        <v>почасовка</v>
      </c>
      <c r="S1623">
        <v>0</v>
      </c>
      <c r="T1623">
        <v>0</v>
      </c>
    </row>
    <row r="1624" spans="1:20" x14ac:dyDescent="0.25">
      <c r="A1624" s="13" t="s">
        <v>3290</v>
      </c>
      <c r="B1624" s="13" t="s">
        <v>3291</v>
      </c>
      <c r="C1624" s="13" t="s">
        <v>69</v>
      </c>
      <c r="D1624" s="13" t="s">
        <v>326</v>
      </c>
      <c r="E1624" s="13" t="str">
        <f>IFERROR(INDEX('Почасовка — ставки и план'!$B$5:$B$24,MATCH(D1624,'Почасовка — ставки и план'!$A$5:$A$24,0)),"Аренда техники / механизмы")</f>
        <v>Сантехник</v>
      </c>
      <c r="F1624" s="14">
        <v>284</v>
      </c>
      <c r="G1624" s="14">
        <v>340</v>
      </c>
      <c r="H1624" s="15">
        <v>175</v>
      </c>
      <c r="I1624" s="15">
        <f>IF(OR(H1624="",F1624=""),"",MAX(H1624,MIN(ROUND(H1624*(1+Параметры!$B$5),IF(H1624*(1+Параметры!$B$5)&gt;=1000,-1,0)),ROUND(F1624*Параметры!$B$6,IF(F1624*Параметры!$B$6&gt;=1000,-1,0)))))</f>
        <v>201</v>
      </c>
      <c r="J1624" s="15">
        <v>201</v>
      </c>
      <c r="K1624" s="15">
        <f>IF(OR(J1624="",G1624=""),"",MAX(J1624,MIN(ROUND(J1624*(1+Параметры!$B$5),IF(J1624*(1+Параметры!$B$5)&gt;=1000,-1,0)),ROUND(G1624*Параметры!$B$6,IF(G1624*Параметры!$B$6&gt;=1000,-1,0)))))</f>
        <v>231</v>
      </c>
      <c r="L1624" s="16">
        <v>0.25</v>
      </c>
      <c r="M1624" s="17">
        <f t="shared" si="118"/>
        <v>4</v>
      </c>
      <c r="N1624" s="17">
        <f>IF(OR(L1624="",L1624=0),"",Параметры!$B$3/L1624)</f>
        <v>32</v>
      </c>
      <c r="O1624" s="15">
        <f>IF(L1624="","",IFERROR(INDEX('Почасовка — ставки и план'!$D$5:$D$24,MATCH($D1624,'Почасовка — ставки и план'!$A$5:$A$24,0)),""))</f>
        <v>850</v>
      </c>
      <c r="P1624" s="15">
        <f>IF(L1624="","",IFERROR(INDEX('Почасовка — ставки и план'!$E$5:$E$24,MATCH($D1624,'Почасовка — ставки и план'!$A$5:$A$24,0)),""))</f>
        <v>1020</v>
      </c>
      <c r="Q1624" s="15">
        <f t="shared" si="119"/>
        <v>213</v>
      </c>
      <c r="R1624" s="13" t="str">
        <f>IF(D1624="TEX","аренда техники — сделка/счёт",IF(OR(Q1624="",H1624="",H1624=0),"—",IF(Q1624&lt;H1624*(1-Параметры!$B$7),"почасовка",IF(Q1624&gt;H1624*(1+Параметры!$B$7),"сделка","любой способ"))))</f>
        <v>сделка</v>
      </c>
      <c r="S1624">
        <v>1.428571428571423E-2</v>
      </c>
      <c r="T1624">
        <v>5.5900621118012417E-2</v>
      </c>
    </row>
    <row r="1625" spans="1:20" x14ac:dyDescent="0.25">
      <c r="A1625" s="13" t="s">
        <v>3292</v>
      </c>
      <c r="B1625" s="13" t="s">
        <v>3293</v>
      </c>
      <c r="C1625" s="13" t="s">
        <v>69</v>
      </c>
      <c r="D1625" s="13" t="s">
        <v>326</v>
      </c>
      <c r="E1625" s="13" t="str">
        <f>IFERROR(INDEX('Почасовка — ставки и план'!$B$5:$B$24,MATCH(D1625,'Почасовка — ставки и план'!$A$5:$A$24,0)),"Аренда техники / механизмы")</f>
        <v>Сантехник</v>
      </c>
      <c r="F1625" s="14">
        <v>340</v>
      </c>
      <c r="G1625" s="14">
        <v>408</v>
      </c>
      <c r="H1625" s="15">
        <v>200</v>
      </c>
      <c r="I1625" s="15">
        <f>IF(OR(H1625="",F1625=""),"",MAX(H1625,MIN(ROUND(H1625*(1+Параметры!$B$5),IF(H1625*(1+Параметры!$B$5)&gt;=1000,-1,0)),ROUND(F1625*Параметры!$B$6,IF(F1625*Параметры!$B$6&gt;=1000,-1,0)))))</f>
        <v>230</v>
      </c>
      <c r="J1625" s="15">
        <v>230</v>
      </c>
      <c r="K1625" s="15">
        <f>IF(OR(J1625="",G1625=""),"",MAX(J1625,MIN(ROUND(J1625*(1+Параметры!$B$5),IF(J1625*(1+Параметры!$B$5)&gt;=1000,-1,0)),ROUND(G1625*Параметры!$B$6,IF(G1625*Параметры!$B$6&gt;=1000,-1,0)))))</f>
        <v>265</v>
      </c>
      <c r="L1625" s="16">
        <v>0.3</v>
      </c>
      <c r="M1625" s="17">
        <f t="shared" si="118"/>
        <v>3.3333333333333335</v>
      </c>
      <c r="N1625" s="17">
        <f>IF(OR(L1625="",L1625=0),"",Параметры!$B$3/L1625)</f>
        <v>26.666666666666668</v>
      </c>
      <c r="O1625" s="15">
        <f>IF(L1625="","",IFERROR(INDEX('Почасовка — ставки и план'!$D$5:$D$24,MATCH($D1625,'Почасовка — ставки и план'!$A$5:$A$24,0)),""))</f>
        <v>850</v>
      </c>
      <c r="P1625" s="15">
        <f>IF(L1625="","",IFERROR(INDEX('Почасовка — ставки и план'!$E$5:$E$24,MATCH($D1625,'Почасовка — ставки и план'!$A$5:$A$24,0)),""))</f>
        <v>1020</v>
      </c>
      <c r="Q1625" s="15">
        <f t="shared" si="119"/>
        <v>255</v>
      </c>
      <c r="R1625" s="13" t="str">
        <f>IF(D1625="TEX","аренда техники — сделка/счёт",IF(OR(Q1625="",H1625="",H1625=0),"—",IF(Q1625&lt;H1625*(1-Параметры!$B$7),"почасовка",IF(Q1625&gt;H1625*(1+Параметры!$B$7),"сделка","любой способ"))))</f>
        <v>сделка</v>
      </c>
      <c r="S1625">
        <v>6.25E-2</v>
      </c>
      <c r="T1625">
        <v>0.1086956521739131</v>
      </c>
    </row>
    <row r="1626" spans="1:20" x14ac:dyDescent="0.25">
      <c r="A1626" s="13" t="s">
        <v>3294</v>
      </c>
      <c r="B1626" s="13" t="s">
        <v>3295</v>
      </c>
      <c r="C1626" s="13" t="s">
        <v>144</v>
      </c>
      <c r="D1626" s="13" t="s">
        <v>326</v>
      </c>
      <c r="E1626" s="13" t="str">
        <f>IFERROR(INDEX('Почасовка — ставки и план'!$B$5:$B$24,MATCH(D1626,'Почасовка — ставки и план'!$A$5:$A$24,0)),"Аренда техники / механизмы")</f>
        <v>Сантехник</v>
      </c>
      <c r="F1626" s="14">
        <v>1200</v>
      </c>
      <c r="G1626" s="14">
        <v>1380</v>
      </c>
      <c r="H1626" s="15">
        <v>750</v>
      </c>
      <c r="I1626" s="15">
        <f>IF(OR(H1626="",F1626=""),"",MAX(H1626,MIN(ROUND(H1626*(1+Параметры!$B$5),IF(H1626*(1+Параметры!$B$5)&gt;=1000,-1,0)),ROUND(F1626*Параметры!$B$6,IF(F1626*Параметры!$B$6&gt;=1000,-1,0)))))</f>
        <v>863</v>
      </c>
      <c r="J1626" s="15">
        <v>862</v>
      </c>
      <c r="K1626" s="15">
        <f>IF(OR(J1626="",G1626=""),"",MAX(J1626,MIN(ROUND(J1626*(1+Параметры!$B$5),IF(J1626*(1+Параметры!$B$5)&gt;=1000,-1,0)),ROUND(G1626*Параметры!$B$6,IF(G1626*Параметры!$B$6&gt;=1000,-1,0)))))</f>
        <v>991</v>
      </c>
      <c r="L1626" s="16">
        <v>1</v>
      </c>
      <c r="M1626" s="17">
        <f t="shared" si="118"/>
        <v>1</v>
      </c>
      <c r="N1626" s="17">
        <f>IF(OR(L1626="",L1626=0),"",Параметры!$B$3/L1626)</f>
        <v>8</v>
      </c>
      <c r="O1626" s="15">
        <f>IF(L1626="","",IFERROR(INDEX('Почасовка — ставки и план'!$D$5:$D$24,MATCH($D1626,'Почасовка — ставки и план'!$A$5:$A$24,0)),""))</f>
        <v>850</v>
      </c>
      <c r="P1626" s="15">
        <f>IF(L1626="","",IFERROR(INDEX('Почасовка — ставки и план'!$E$5:$E$24,MATCH($D1626,'Почасовка — ставки и план'!$A$5:$A$24,0)),""))</f>
        <v>1020</v>
      </c>
      <c r="Q1626" s="15">
        <f t="shared" si="119"/>
        <v>850</v>
      </c>
      <c r="R1626" s="13" t="str">
        <f>IF(D1626="TEX","аренда техники — сделка/счёт",IF(OR(Q1626="",H1626="",H1626=0),"—",IF(Q1626&lt;H1626*(1-Параметры!$B$7),"почасовка",IF(Q1626&gt;H1626*(1+Параметры!$B$7),"сделка","любой способ"))))</f>
        <v>сделка</v>
      </c>
      <c r="S1626">
        <v>0</v>
      </c>
      <c r="T1626">
        <v>0</v>
      </c>
    </row>
    <row r="1627" spans="1:20" x14ac:dyDescent="0.25">
      <c r="A1627" s="13" t="s">
        <v>3296</v>
      </c>
      <c r="B1627" s="13" t="s">
        <v>3297</v>
      </c>
      <c r="C1627" s="13" t="s">
        <v>144</v>
      </c>
      <c r="D1627" s="13" t="s">
        <v>326</v>
      </c>
      <c r="E1627" s="13" t="str">
        <f>IFERROR(INDEX('Почасовка — ставки и план'!$B$5:$B$24,MATCH(D1627,'Почасовка — ставки и план'!$A$5:$A$24,0)),"Аренда техники / механизмы")</f>
        <v>Сантехник</v>
      </c>
      <c r="F1627" s="14">
        <v>2000</v>
      </c>
      <c r="G1627" s="14">
        <v>2300</v>
      </c>
      <c r="H1627" s="15">
        <v>1250</v>
      </c>
      <c r="I1627" s="15">
        <f>IF(OR(H1627="",F1627=""),"",MAX(H1627,MIN(ROUND(H1627*(1+Параметры!$B$5),IF(H1627*(1+Параметры!$B$5)&gt;=1000,-1,0)),ROUND(F1627*Параметры!$B$6,IF(F1627*Параметры!$B$6&gt;=1000,-1,0)))))</f>
        <v>1440</v>
      </c>
      <c r="J1627" s="15">
        <v>1438</v>
      </c>
      <c r="K1627" s="15">
        <f>IF(OR(J1627="",G1627=""),"",MAX(J1627,MIN(ROUND(J1627*(1+Параметры!$B$5),IF(J1627*(1+Параметры!$B$5)&gt;=1000,-1,0)),ROUND(G1627*Параметры!$B$6,IF(G1627*Параметры!$B$6&gt;=1000,-1,0)))))</f>
        <v>1650</v>
      </c>
      <c r="L1627" s="16">
        <v>1.6</v>
      </c>
      <c r="M1627" s="17">
        <f t="shared" si="118"/>
        <v>0.625</v>
      </c>
      <c r="N1627" s="17">
        <f>IF(OR(L1627="",L1627=0),"",Параметры!$B$3/L1627)</f>
        <v>5</v>
      </c>
      <c r="O1627" s="15">
        <f>IF(L1627="","",IFERROR(INDEX('Почасовка — ставки и план'!$D$5:$D$24,MATCH($D1627,'Почасовка — ставки и план'!$A$5:$A$24,0)),""))</f>
        <v>850</v>
      </c>
      <c r="P1627" s="15">
        <f>IF(L1627="","",IFERROR(INDEX('Почасовка — ставки и план'!$E$5:$E$24,MATCH($D1627,'Почасовка — ставки и план'!$A$5:$A$24,0)),""))</f>
        <v>1020</v>
      </c>
      <c r="Q1627" s="15">
        <f t="shared" si="119"/>
        <v>1360</v>
      </c>
      <c r="R1627" s="13" t="str">
        <f>IF(D1627="TEX","аренда техники — сделка/счёт",IF(OR(Q1627="",H1627="",H1627=0),"—",IF(Q1627&lt;H1627*(1-Параметры!$B$7),"почасовка",IF(Q1627&gt;H1627*(1+Параметры!$B$7),"сделка","любой способ"))))</f>
        <v>любой способ</v>
      </c>
      <c r="S1627">
        <v>0</v>
      </c>
      <c r="T1627">
        <v>0</v>
      </c>
    </row>
    <row r="1628" spans="1:20" x14ac:dyDescent="0.25">
      <c r="A1628" s="13" t="s">
        <v>3298</v>
      </c>
      <c r="B1628" s="13" t="s">
        <v>3299</v>
      </c>
      <c r="C1628" s="13" t="s">
        <v>144</v>
      </c>
      <c r="D1628" s="13" t="s">
        <v>326</v>
      </c>
      <c r="E1628" s="13" t="str">
        <f>IFERROR(INDEX('Почасовка — ставки и план'!$B$5:$B$24,MATCH(D1628,'Почасовка — ставки и план'!$A$5:$A$24,0)),"Аренда техники / механизмы")</f>
        <v>Сантехник</v>
      </c>
      <c r="F1628" s="14">
        <v>800</v>
      </c>
      <c r="G1628" s="14">
        <v>920</v>
      </c>
      <c r="H1628" s="15">
        <v>500</v>
      </c>
      <c r="I1628" s="15">
        <f>IF(OR(H1628="",F1628=""),"",MAX(H1628,MIN(ROUND(H1628*(1+Параметры!$B$5),IF(H1628*(1+Параметры!$B$5)&gt;=1000,-1,0)),ROUND(F1628*Параметры!$B$6,IF(F1628*Параметры!$B$6&gt;=1000,-1,0)))))</f>
        <v>575</v>
      </c>
      <c r="J1628" s="15">
        <v>575</v>
      </c>
      <c r="K1628" s="15">
        <f>IF(OR(J1628="",G1628=""),"",MAX(J1628,MIN(ROUND(J1628*(1+Параметры!$B$5),IF(J1628*(1+Параметры!$B$5)&gt;=1000,-1,0)),ROUND(G1628*Параметры!$B$6,IF(G1628*Параметры!$B$6&gt;=1000,-1,0)))))</f>
        <v>661</v>
      </c>
      <c r="L1628" s="16">
        <v>0.6</v>
      </c>
      <c r="M1628" s="17">
        <f t="shared" si="118"/>
        <v>1.6666666666666667</v>
      </c>
      <c r="N1628" s="17">
        <f>IF(OR(L1628="",L1628=0),"",Параметры!$B$3/L1628)</f>
        <v>13.333333333333334</v>
      </c>
      <c r="O1628" s="15">
        <f>IF(L1628="","",IFERROR(INDEX('Почасовка — ставки и план'!$D$5:$D$24,MATCH($D1628,'Почасовка — ставки и план'!$A$5:$A$24,0)),""))</f>
        <v>850</v>
      </c>
      <c r="P1628" s="15">
        <f>IF(L1628="","",IFERROR(INDEX('Почасовка — ставки и план'!$E$5:$E$24,MATCH($D1628,'Почасовка — ставки и план'!$A$5:$A$24,0)),""))</f>
        <v>1020</v>
      </c>
      <c r="Q1628" s="15">
        <f t="shared" si="119"/>
        <v>510</v>
      </c>
      <c r="R1628" s="13" t="str">
        <f>IF(D1628="TEX","аренда техники — сделка/счёт",IF(OR(Q1628="",H1628="",H1628=0),"—",IF(Q1628&lt;H1628*(1-Параметры!$B$7),"почасовка",IF(Q1628&gt;H1628*(1+Параметры!$B$7),"сделка","любой способ"))))</f>
        <v>любой способ</v>
      </c>
      <c r="S1628">
        <v>0</v>
      </c>
      <c r="T1628">
        <v>0</v>
      </c>
    </row>
    <row r="1629" spans="1:20" x14ac:dyDescent="0.25">
      <c r="A1629" s="13" t="s">
        <v>3300</v>
      </c>
      <c r="B1629" s="13" t="s">
        <v>3301</v>
      </c>
      <c r="C1629" s="13" t="s">
        <v>144</v>
      </c>
      <c r="D1629" s="13" t="s">
        <v>326</v>
      </c>
      <c r="E1629" s="13" t="str">
        <f>IFERROR(INDEX('Почасовка — ставки и план'!$B$5:$B$24,MATCH(D1629,'Почасовка — ставки и план'!$A$5:$A$24,0)),"Аренда техники / механизмы")</f>
        <v>Сантехник</v>
      </c>
      <c r="F1629" s="14">
        <v>3500</v>
      </c>
      <c r="G1629" s="14">
        <v>4025</v>
      </c>
      <c r="H1629" s="15">
        <v>2200</v>
      </c>
      <c r="I1629" s="15">
        <f>IF(OR(H1629="",F1629=""),"",MAX(H1629,MIN(ROUND(H1629*(1+Параметры!$B$5),IF(H1629*(1+Параметры!$B$5)&gt;=1000,-1,0)),ROUND(F1629*Параметры!$B$6,IF(F1629*Параметры!$B$6&gt;=1000,-1,0)))))</f>
        <v>2530</v>
      </c>
      <c r="J1629" s="15">
        <v>2530</v>
      </c>
      <c r="K1629" s="15">
        <f>IF(OR(J1629="",G1629=""),"",MAX(J1629,MIN(ROUND(J1629*(1+Параметры!$B$5),IF(J1629*(1+Параметры!$B$5)&gt;=1000,-1,0)),ROUND(G1629*Параметры!$B$6,IF(G1629*Параметры!$B$6&gt;=1000,-1,0)))))</f>
        <v>2910</v>
      </c>
      <c r="L1629" s="16">
        <v>2.5</v>
      </c>
      <c r="M1629" s="17">
        <f t="shared" si="118"/>
        <v>0.4</v>
      </c>
      <c r="N1629" s="17">
        <f>IF(OR(L1629="",L1629=0),"",Параметры!$B$3/L1629)</f>
        <v>3.2</v>
      </c>
      <c r="O1629" s="15">
        <f>IF(L1629="","",IFERROR(INDEX('Почасовка — ставки и план'!$D$5:$D$24,MATCH($D1629,'Почасовка — ставки и план'!$A$5:$A$24,0)),""))</f>
        <v>850</v>
      </c>
      <c r="P1629" s="15">
        <f>IF(L1629="","",IFERROR(INDEX('Почасовка — ставки и план'!$E$5:$E$24,MATCH($D1629,'Почасовка — ставки и план'!$A$5:$A$24,0)),""))</f>
        <v>1020</v>
      </c>
      <c r="Q1629" s="15">
        <f t="shared" si="119"/>
        <v>2125</v>
      </c>
      <c r="R1629" s="13" t="str">
        <f>IF(D1629="TEX","аренда техники — сделка/счёт",IF(OR(Q1629="",H1629="",H1629=0),"—",IF(Q1629&lt;H1629*(1-Параметры!$B$7),"почасовка",IF(Q1629&gt;H1629*(1+Параметры!$B$7),"сделка","любой способ"))))</f>
        <v>любой способ</v>
      </c>
      <c r="S1629">
        <v>0</v>
      </c>
      <c r="T1629">
        <v>0</v>
      </c>
    </row>
    <row r="1630" spans="1:20" x14ac:dyDescent="0.25">
      <c r="A1630" s="13" t="s">
        <v>3302</v>
      </c>
      <c r="B1630" s="13" t="s">
        <v>3303</v>
      </c>
      <c r="C1630" s="13" t="s">
        <v>144</v>
      </c>
      <c r="D1630" s="13" t="s">
        <v>326</v>
      </c>
      <c r="E1630" s="13" t="str">
        <f>IFERROR(INDEX('Почасовка — ставки и план'!$B$5:$B$24,MATCH(D1630,'Почасовка — ставки и план'!$A$5:$A$24,0)),"Аренда техники / механизмы")</f>
        <v>Сантехник</v>
      </c>
      <c r="F1630" s="14">
        <v>2000</v>
      </c>
      <c r="G1630" s="14">
        <v>2300</v>
      </c>
      <c r="H1630" s="15">
        <v>1250</v>
      </c>
      <c r="I1630" s="15">
        <f>IF(OR(H1630="",F1630=""),"",MAX(H1630,MIN(ROUND(H1630*(1+Параметры!$B$5),IF(H1630*(1+Параметры!$B$5)&gt;=1000,-1,0)),ROUND(F1630*Параметры!$B$6,IF(F1630*Параметры!$B$6&gt;=1000,-1,0)))))</f>
        <v>1440</v>
      </c>
      <c r="J1630" s="15">
        <v>1438</v>
      </c>
      <c r="K1630" s="15">
        <f>IF(OR(J1630="",G1630=""),"",MAX(J1630,MIN(ROUND(J1630*(1+Параметры!$B$5),IF(J1630*(1+Параметры!$B$5)&gt;=1000,-1,0)),ROUND(G1630*Параметры!$B$6,IF(G1630*Параметры!$B$6&gt;=1000,-1,0)))))</f>
        <v>1650</v>
      </c>
      <c r="L1630" s="16">
        <v>1.5</v>
      </c>
      <c r="M1630" s="17">
        <f t="shared" si="118"/>
        <v>0.66666666666666663</v>
      </c>
      <c r="N1630" s="17">
        <f>IF(OR(L1630="",L1630=0),"",Параметры!$B$3/L1630)</f>
        <v>5.333333333333333</v>
      </c>
      <c r="O1630" s="15">
        <f>IF(L1630="","",IFERROR(INDEX('Почасовка — ставки и план'!$D$5:$D$24,MATCH($D1630,'Почасовка — ставки и план'!$A$5:$A$24,0)),""))</f>
        <v>850</v>
      </c>
      <c r="P1630" s="15">
        <f>IF(L1630="","",IFERROR(INDEX('Почасовка — ставки и план'!$E$5:$E$24,MATCH($D1630,'Почасовка — ставки и план'!$A$5:$A$24,0)),""))</f>
        <v>1020</v>
      </c>
      <c r="Q1630" s="15">
        <f t="shared" si="119"/>
        <v>1275</v>
      </c>
      <c r="R1630" s="13" t="str">
        <f>IF(D1630="TEX","аренда техники — сделка/счёт",IF(OR(Q1630="",H1630="",H1630=0),"—",IF(Q1630&lt;H1630*(1-Параметры!$B$7),"почасовка",IF(Q1630&gt;H1630*(1+Параметры!$B$7),"сделка","любой способ"))))</f>
        <v>любой способ</v>
      </c>
      <c r="S1630">
        <v>0</v>
      </c>
      <c r="T1630">
        <v>0</v>
      </c>
    </row>
    <row r="1631" spans="1:20" x14ac:dyDescent="0.25">
      <c r="A1631" s="13" t="s">
        <v>3304</v>
      </c>
      <c r="B1631" s="13" t="s">
        <v>3305</v>
      </c>
      <c r="C1631" s="13" t="s">
        <v>144</v>
      </c>
      <c r="D1631" s="13" t="s">
        <v>326</v>
      </c>
      <c r="E1631" s="13" t="str">
        <f>IFERROR(INDEX('Почасовка — ставки и план'!$B$5:$B$24,MATCH(D1631,'Почасовка — ставки и план'!$A$5:$A$24,0)),"Аренда техники / механизмы")</f>
        <v>Сантехник</v>
      </c>
      <c r="F1631" s="14">
        <v>3200</v>
      </c>
      <c r="G1631" s="14">
        <v>3680</v>
      </c>
      <c r="H1631" s="15">
        <v>2000</v>
      </c>
      <c r="I1631" s="15">
        <f>IF(OR(H1631="",F1631=""),"",MAX(H1631,MIN(ROUND(H1631*(1+Параметры!$B$5),IF(H1631*(1+Параметры!$B$5)&gt;=1000,-1,0)),ROUND(F1631*Параметры!$B$6,IF(F1631*Параметры!$B$6&gt;=1000,-1,0)))))</f>
        <v>2300</v>
      </c>
      <c r="J1631" s="15">
        <v>2300</v>
      </c>
      <c r="K1631" s="15">
        <f>IF(OR(J1631="",G1631=""),"",MAX(J1631,MIN(ROUND(J1631*(1+Параметры!$B$5),IF(J1631*(1+Параметры!$B$5)&gt;=1000,-1,0)),ROUND(G1631*Параметры!$B$6,IF(G1631*Параметры!$B$6&gt;=1000,-1,0)))))</f>
        <v>2650</v>
      </c>
      <c r="L1631" s="16">
        <v>2.5</v>
      </c>
      <c r="M1631" s="17">
        <f t="shared" si="118"/>
        <v>0.4</v>
      </c>
      <c r="N1631" s="17">
        <f>IF(OR(L1631="",L1631=0),"",Параметры!$B$3/L1631)</f>
        <v>3.2</v>
      </c>
      <c r="O1631" s="15">
        <f>IF(L1631="","",IFERROR(INDEX('Почасовка — ставки и план'!$D$5:$D$24,MATCH($D1631,'Почасовка — ставки и план'!$A$5:$A$24,0)),""))</f>
        <v>850</v>
      </c>
      <c r="P1631" s="15">
        <f>IF(L1631="","",IFERROR(INDEX('Почасовка — ставки и план'!$E$5:$E$24,MATCH($D1631,'Почасовка — ставки и план'!$A$5:$A$24,0)),""))</f>
        <v>1020</v>
      </c>
      <c r="Q1631" s="15">
        <f t="shared" si="119"/>
        <v>2125</v>
      </c>
      <c r="R1631" s="13" t="str">
        <f>IF(D1631="TEX","аренда техники — сделка/счёт",IF(OR(Q1631="",H1631="",H1631=0),"—",IF(Q1631&lt;H1631*(1-Параметры!$B$7),"почасовка",IF(Q1631&gt;H1631*(1+Параметры!$B$7),"сделка","любой способ"))))</f>
        <v>любой способ</v>
      </c>
      <c r="S1631">
        <v>0</v>
      </c>
      <c r="T1631">
        <v>0</v>
      </c>
    </row>
    <row r="1632" spans="1:20" x14ac:dyDescent="0.25">
      <c r="A1632" s="13" t="s">
        <v>3306</v>
      </c>
      <c r="B1632" s="13" t="s">
        <v>3307</v>
      </c>
      <c r="C1632" s="13" t="s">
        <v>144</v>
      </c>
      <c r="D1632" s="13" t="s">
        <v>326</v>
      </c>
      <c r="E1632" s="13" t="str">
        <f>IFERROR(INDEX('Почасовка — ставки и план'!$B$5:$B$24,MATCH(D1632,'Почасовка — ставки и план'!$A$5:$A$24,0)),"Аренда техники / механизмы")</f>
        <v>Сантехник</v>
      </c>
      <c r="F1632" s="14">
        <v>4500</v>
      </c>
      <c r="G1632" s="14">
        <v>5175</v>
      </c>
      <c r="H1632" s="15">
        <v>2800</v>
      </c>
      <c r="I1632" s="15">
        <f>IF(OR(H1632="",F1632=""),"",MAX(H1632,MIN(ROUND(H1632*(1+Параметры!$B$5),IF(H1632*(1+Параметры!$B$5)&gt;=1000,-1,0)),ROUND(F1632*Параметры!$B$6,IF(F1632*Параметры!$B$6&gt;=1000,-1,0)))))</f>
        <v>3220</v>
      </c>
      <c r="J1632" s="15">
        <v>3220</v>
      </c>
      <c r="K1632" s="15">
        <f>IF(OR(J1632="",G1632=""),"",MAX(J1632,MIN(ROUND(J1632*(1+Параметры!$B$5),IF(J1632*(1+Параметры!$B$5)&gt;=1000,-1,0)),ROUND(G1632*Параметры!$B$6,IF(G1632*Параметры!$B$6&gt;=1000,-1,0)))))</f>
        <v>3700</v>
      </c>
      <c r="L1632" s="16">
        <v>3.5</v>
      </c>
      <c r="M1632" s="17">
        <f t="shared" si="118"/>
        <v>0.2857142857142857</v>
      </c>
      <c r="N1632" s="17">
        <f>IF(OR(L1632="",L1632=0),"",Параметры!$B$3/L1632)</f>
        <v>2.2857142857142856</v>
      </c>
      <c r="O1632" s="15">
        <f>IF(L1632="","",IFERROR(INDEX('Почасовка — ставки и план'!$D$5:$D$24,MATCH($D1632,'Почасовка — ставки и план'!$A$5:$A$24,0)),""))</f>
        <v>850</v>
      </c>
      <c r="P1632" s="15">
        <f>IF(L1632="","",IFERROR(INDEX('Почасовка — ставки и план'!$E$5:$E$24,MATCH($D1632,'Почасовка — ставки и план'!$A$5:$A$24,0)),""))</f>
        <v>1020</v>
      </c>
      <c r="Q1632" s="15">
        <f t="shared" si="119"/>
        <v>2975</v>
      </c>
      <c r="R1632" s="13" t="str">
        <f>IF(D1632="TEX","аренда техники — сделка/счёт",IF(OR(Q1632="",H1632="",H1632=0),"—",IF(Q1632&lt;H1632*(1-Параметры!$B$7),"почасовка",IF(Q1632&gt;H1632*(1+Параметры!$B$7),"сделка","любой способ"))))</f>
        <v>любой способ</v>
      </c>
      <c r="S1632">
        <v>0</v>
      </c>
      <c r="T1632">
        <v>0</v>
      </c>
    </row>
    <row r="1633" spans="1:20" x14ac:dyDescent="0.25">
      <c r="A1633" s="13" t="s">
        <v>3308</v>
      </c>
      <c r="B1633" s="13" t="s">
        <v>3309</v>
      </c>
      <c r="C1633" s="13" t="s">
        <v>144</v>
      </c>
      <c r="D1633" s="13" t="s">
        <v>326</v>
      </c>
      <c r="E1633" s="13" t="str">
        <f>IFERROR(INDEX('Почасовка — ставки и план'!$B$5:$B$24,MATCH(D1633,'Почасовка — ставки и план'!$A$5:$A$24,0)),"Аренда техники / механизмы")</f>
        <v>Сантехник</v>
      </c>
      <c r="F1633" s="14">
        <v>2300</v>
      </c>
      <c r="G1633" s="14">
        <v>2645</v>
      </c>
      <c r="H1633" s="15">
        <v>1450</v>
      </c>
      <c r="I1633" s="15">
        <f>IF(OR(H1633="",F1633=""),"",MAX(H1633,MIN(ROUND(H1633*(1+Параметры!$B$5),IF(H1633*(1+Параметры!$B$5)&gt;=1000,-1,0)),ROUND(F1633*Параметры!$B$6,IF(F1633*Параметры!$B$6&gt;=1000,-1,0)))))</f>
        <v>1670</v>
      </c>
      <c r="J1633" s="15">
        <v>1667</v>
      </c>
      <c r="K1633" s="15">
        <f>IF(OR(J1633="",G1633=""),"",MAX(J1633,MIN(ROUND(J1633*(1+Параметры!$B$5),IF(J1633*(1+Параметры!$B$5)&gt;=1000,-1,0)),ROUND(G1633*Параметры!$B$6,IF(G1633*Параметры!$B$6&gt;=1000,-1,0)))))</f>
        <v>1920</v>
      </c>
      <c r="L1633" s="16">
        <v>1.8</v>
      </c>
      <c r="M1633" s="17">
        <f t="shared" si="118"/>
        <v>0.55555555555555558</v>
      </c>
      <c r="N1633" s="17">
        <f>IF(OR(L1633="",L1633=0),"",Параметры!$B$3/L1633)</f>
        <v>4.4444444444444446</v>
      </c>
      <c r="O1633" s="15">
        <f>IF(L1633="","",IFERROR(INDEX('Почасовка — ставки и план'!$D$5:$D$24,MATCH($D1633,'Почасовка — ставки и план'!$A$5:$A$24,0)),""))</f>
        <v>850</v>
      </c>
      <c r="P1633" s="15">
        <f>IF(L1633="","",IFERROR(INDEX('Почасовка — ставки и план'!$E$5:$E$24,MATCH($D1633,'Почасовка — ставки и план'!$A$5:$A$24,0)),""))</f>
        <v>1020</v>
      </c>
      <c r="Q1633" s="15">
        <f t="shared" si="119"/>
        <v>1530</v>
      </c>
      <c r="R1633" s="13" t="str">
        <f>IF(D1633="TEX","аренда техники — сделка/счёт",IF(OR(Q1633="",H1633="",H1633=0),"—",IF(Q1633&lt;H1633*(1-Параметры!$B$7),"почасовка",IF(Q1633&gt;H1633*(1+Параметры!$B$7),"сделка","любой способ"))))</f>
        <v>любой способ</v>
      </c>
      <c r="S1633">
        <v>0</v>
      </c>
      <c r="T1633">
        <v>0</v>
      </c>
    </row>
    <row r="1634" spans="1:20" x14ac:dyDescent="0.25">
      <c r="A1634" s="13" t="s">
        <v>3310</v>
      </c>
      <c r="B1634" s="13" t="s">
        <v>3311</v>
      </c>
      <c r="C1634" s="13" t="s">
        <v>144</v>
      </c>
      <c r="D1634" s="13" t="s">
        <v>326</v>
      </c>
      <c r="E1634" s="13" t="str">
        <f>IFERROR(INDEX('Почасовка — ставки и план'!$B$5:$B$24,MATCH(D1634,'Почасовка — ставки и план'!$A$5:$A$24,0)),"Аренда техники / механизмы")</f>
        <v>Сантехник</v>
      </c>
      <c r="F1634" s="14">
        <v>3700</v>
      </c>
      <c r="G1634" s="14">
        <v>4255</v>
      </c>
      <c r="H1634" s="15">
        <v>2300</v>
      </c>
      <c r="I1634" s="15">
        <f>IF(OR(H1634="",F1634=""),"",MAX(H1634,MIN(ROUND(H1634*(1+Параметры!$B$5),IF(H1634*(1+Параметры!$B$5)&gt;=1000,-1,0)),ROUND(F1634*Параметры!$B$6,IF(F1634*Параметры!$B$6&gt;=1000,-1,0)))))</f>
        <v>2650</v>
      </c>
      <c r="J1634" s="15">
        <v>2645</v>
      </c>
      <c r="K1634" s="15">
        <f>IF(OR(J1634="",G1634=""),"",MAX(J1634,MIN(ROUND(J1634*(1+Параметры!$B$5),IF(J1634*(1+Параметры!$B$5)&gt;=1000,-1,0)),ROUND(G1634*Параметры!$B$6,IF(G1634*Параметры!$B$6&gt;=1000,-1,0)))))</f>
        <v>3040</v>
      </c>
      <c r="L1634" s="16">
        <v>3</v>
      </c>
      <c r="M1634" s="17">
        <f t="shared" si="118"/>
        <v>0.33333333333333331</v>
      </c>
      <c r="N1634" s="17">
        <f>IF(OR(L1634="",L1634=0),"",Параметры!$B$3/L1634)</f>
        <v>2.6666666666666665</v>
      </c>
      <c r="O1634" s="15">
        <f>IF(L1634="","",IFERROR(INDEX('Почасовка — ставки и план'!$D$5:$D$24,MATCH($D1634,'Почасовка — ставки и план'!$A$5:$A$24,0)),""))</f>
        <v>850</v>
      </c>
      <c r="P1634" s="15">
        <f>IF(L1634="","",IFERROR(INDEX('Почасовка — ставки и план'!$E$5:$E$24,MATCH($D1634,'Почасовка — ставки и план'!$A$5:$A$24,0)),""))</f>
        <v>1020</v>
      </c>
      <c r="Q1634" s="15">
        <f t="shared" si="119"/>
        <v>2550</v>
      </c>
      <c r="R1634" s="13" t="str">
        <f>IF(D1634="TEX","аренда техники — сделка/счёт",IF(OR(Q1634="",H1634="",H1634=0),"—",IF(Q1634&lt;H1634*(1-Параметры!$B$7),"почасовка",IF(Q1634&gt;H1634*(1+Параметры!$B$7),"сделка","любой способ"))))</f>
        <v>сделка</v>
      </c>
      <c r="S1634">
        <v>0</v>
      </c>
      <c r="T1634">
        <v>0</v>
      </c>
    </row>
    <row r="1635" spans="1:20" x14ac:dyDescent="0.25">
      <c r="A1635" s="13" t="s">
        <v>3312</v>
      </c>
      <c r="B1635" s="13" t="s">
        <v>3313</v>
      </c>
      <c r="C1635" s="13" t="s">
        <v>144</v>
      </c>
      <c r="D1635" s="13" t="s">
        <v>326</v>
      </c>
      <c r="E1635" s="13" t="str">
        <f>IFERROR(INDEX('Почасовка — ставки и план'!$B$5:$B$24,MATCH(D1635,'Почасовка — ставки и план'!$A$5:$A$24,0)),"Аренда техники / механизмы")</f>
        <v>Сантехник</v>
      </c>
      <c r="F1635" s="14">
        <v>5200</v>
      </c>
      <c r="G1635" s="14">
        <v>5980</v>
      </c>
      <c r="H1635" s="15">
        <v>3250</v>
      </c>
      <c r="I1635" s="15">
        <f>IF(OR(H1635="",F1635=""),"",MAX(H1635,MIN(ROUND(H1635*(1+Параметры!$B$5),IF(H1635*(1+Параметры!$B$5)&gt;=1000,-1,0)),ROUND(F1635*Параметры!$B$6,IF(F1635*Параметры!$B$6&gt;=1000,-1,0)))))</f>
        <v>3740</v>
      </c>
      <c r="J1635" s="15">
        <v>3737</v>
      </c>
      <c r="K1635" s="15">
        <f>IF(OR(J1635="",G1635=""),"",MAX(J1635,MIN(ROUND(J1635*(1+Параметры!$B$5),IF(J1635*(1+Параметры!$B$5)&gt;=1000,-1,0)),ROUND(G1635*Параметры!$B$6,IF(G1635*Параметры!$B$6&gt;=1000,-1,0)))))</f>
        <v>4300</v>
      </c>
      <c r="L1635" s="16">
        <v>4.2</v>
      </c>
      <c r="M1635" s="17">
        <f t="shared" si="118"/>
        <v>0.23809523809523808</v>
      </c>
      <c r="N1635" s="17">
        <f>IF(OR(L1635="",L1635=0),"",Параметры!$B$3/L1635)</f>
        <v>1.9047619047619047</v>
      </c>
      <c r="O1635" s="15">
        <f>IF(L1635="","",IFERROR(INDEX('Почасовка — ставки и план'!$D$5:$D$24,MATCH($D1635,'Почасовка — ставки и план'!$A$5:$A$24,0)),""))</f>
        <v>850</v>
      </c>
      <c r="P1635" s="15">
        <f>IF(L1635="","",IFERROR(INDEX('Почасовка — ставки и план'!$E$5:$E$24,MATCH($D1635,'Почасовка — ставки и план'!$A$5:$A$24,0)),""))</f>
        <v>1020</v>
      </c>
      <c r="Q1635" s="15">
        <f t="shared" si="119"/>
        <v>3570</v>
      </c>
      <c r="R1635" s="13" t="str">
        <f>IF(D1635="TEX","аренда техники — сделка/счёт",IF(OR(Q1635="",H1635="",H1635=0),"—",IF(Q1635&lt;H1635*(1-Параметры!$B$7),"почасовка",IF(Q1635&gt;H1635*(1+Параметры!$B$7),"сделка","любой способ"))))</f>
        <v>любой способ</v>
      </c>
      <c r="S1635">
        <v>0</v>
      </c>
      <c r="T1635">
        <v>0</v>
      </c>
    </row>
    <row r="1636" spans="1:20" x14ac:dyDescent="0.25">
      <c r="A1636" s="13" t="s">
        <v>3314</v>
      </c>
      <c r="B1636" s="13" t="s">
        <v>3315</v>
      </c>
      <c r="C1636" s="13" t="s">
        <v>144</v>
      </c>
      <c r="D1636" s="13" t="s">
        <v>64</v>
      </c>
      <c r="E1636" s="13" t="str">
        <f>IFERROR(INDEX('Почасовка — ставки и план'!$B$5:$B$24,MATCH(D1636,'Почасовка — ставки и план'!$A$5:$A$24,0)),"Аренда техники / механизмы")</f>
        <v>Сварщик / монтажник МК</v>
      </c>
      <c r="F1636" s="14">
        <v>720</v>
      </c>
      <c r="G1636" s="14">
        <v>864</v>
      </c>
      <c r="H1636" s="15">
        <v>440</v>
      </c>
      <c r="I1636" s="15">
        <f>IF(OR(H1636="",F1636=""),"",MAX(H1636,MIN(ROUND(H1636*(1+Параметры!$B$5),IF(H1636*(1+Параметры!$B$5)&gt;=1000,-1,0)),ROUND(F1636*Параметры!$B$6,IF(F1636*Параметры!$B$6&gt;=1000,-1,0)))))</f>
        <v>506</v>
      </c>
      <c r="J1636" s="15">
        <v>506</v>
      </c>
      <c r="K1636" s="15">
        <f>IF(OR(J1636="",G1636=""),"",MAX(J1636,MIN(ROUND(J1636*(1+Параметры!$B$5),IF(J1636*(1+Параметры!$B$5)&gt;=1000,-1,0)),ROUND(G1636*Параметры!$B$6,IF(G1636*Параметры!$B$6&gt;=1000,-1,0)))))</f>
        <v>582</v>
      </c>
      <c r="L1636" s="16">
        <v>0.6</v>
      </c>
      <c r="M1636" s="17">
        <f t="shared" si="118"/>
        <v>1.6666666666666667</v>
      </c>
      <c r="N1636" s="17">
        <f>IF(OR(L1636="",L1636=0),"",Параметры!$B$3/L1636)</f>
        <v>13.333333333333334</v>
      </c>
      <c r="O1636" s="15">
        <f>IF(L1636="","",IFERROR(INDEX('Почасовка — ставки и план'!$D$5:$D$24,MATCH($D1636,'Почасовка — ставки и план'!$A$5:$A$24,0)),""))</f>
        <v>900</v>
      </c>
      <c r="P1636" s="15">
        <f>IF(L1636="","",IFERROR(INDEX('Почасовка — ставки и план'!$E$5:$E$24,MATCH($D1636,'Почасовка — ставки и план'!$A$5:$A$24,0)),""))</f>
        <v>1080</v>
      </c>
      <c r="Q1636" s="15">
        <f t="shared" si="119"/>
        <v>540</v>
      </c>
      <c r="R1636" s="13" t="str">
        <f>IF(D1636="TEX","аренда техники — сделка/счёт",IF(OR(Q1636="",H1636="",H1636=0),"—",IF(Q1636&lt;H1636*(1-Параметры!$B$7),"почасовка",IF(Q1636&gt;H1636*(1+Параметры!$B$7),"сделка","любой способ"))))</f>
        <v>сделка</v>
      </c>
      <c r="S1636">
        <v>2.857142857142847E-2</v>
      </c>
      <c r="T1636">
        <v>7.3291925465838403E-2</v>
      </c>
    </row>
    <row r="1637" spans="1:20" x14ac:dyDescent="0.25">
      <c r="A1637" s="13" t="s">
        <v>3316</v>
      </c>
      <c r="B1637" s="13" t="s">
        <v>3317</v>
      </c>
      <c r="C1637" s="13" t="s">
        <v>144</v>
      </c>
      <c r="D1637" s="13" t="s">
        <v>64</v>
      </c>
      <c r="E1637" s="13" t="str">
        <f>IFERROR(INDEX('Почасовка — ставки и план'!$B$5:$B$24,MATCH(D1637,'Почасовка — ставки и план'!$A$5:$A$24,0)),"Аренда техники / механизмы")</f>
        <v>Сварщик / монтажник МК</v>
      </c>
      <c r="F1637" s="14">
        <v>1200</v>
      </c>
      <c r="G1637" s="14">
        <v>1440</v>
      </c>
      <c r="H1637" s="15">
        <v>690</v>
      </c>
      <c r="I1637" s="15">
        <f>IF(OR(H1637="",F1637=""),"",MAX(H1637,MIN(ROUND(H1637*(1+Параметры!$B$5),IF(H1637*(1+Параметры!$B$5)&gt;=1000,-1,0)),ROUND(F1637*Параметры!$B$6,IF(F1637*Параметры!$B$6&gt;=1000,-1,0)))))</f>
        <v>794</v>
      </c>
      <c r="J1637" s="15">
        <v>793</v>
      </c>
      <c r="K1637" s="15">
        <f>IF(OR(J1637="",G1637=""),"",MAX(J1637,MIN(ROUND(J1637*(1+Параметры!$B$5),IF(J1637*(1+Параметры!$B$5)&gt;=1000,-1,0)),ROUND(G1637*Параметры!$B$6,IF(G1637*Параметры!$B$6&gt;=1000,-1,0)))))</f>
        <v>912</v>
      </c>
      <c r="L1637" s="16">
        <v>1</v>
      </c>
      <c r="M1637" s="17">
        <f t="shared" si="118"/>
        <v>1</v>
      </c>
      <c r="N1637" s="17">
        <f>IF(OR(L1637="",L1637=0),"",Параметры!$B$3/L1637)</f>
        <v>8</v>
      </c>
      <c r="O1637" s="15">
        <f>IF(L1637="","",IFERROR(INDEX('Почасовка — ставки и план'!$D$5:$D$24,MATCH($D1637,'Почасовка — ставки и план'!$A$5:$A$24,0)),""))</f>
        <v>900</v>
      </c>
      <c r="P1637" s="15">
        <f>IF(L1637="","",IFERROR(INDEX('Почасовка — ставки и план'!$E$5:$E$24,MATCH($D1637,'Почасовка — ставки и план'!$A$5:$A$24,0)),""))</f>
        <v>1080</v>
      </c>
      <c r="Q1637" s="15">
        <f t="shared" si="119"/>
        <v>900</v>
      </c>
      <c r="R1637" s="13" t="str">
        <f>IF(D1637="TEX","аренда техники — сделка/счёт",IF(OR(Q1637="",H1637="",H1637=0),"—",IF(Q1637&lt;H1637*(1-Параметры!$B$7),"почасовка",IF(Q1637&gt;H1637*(1+Параметры!$B$7),"сделка","любой способ"))))</f>
        <v>сделка</v>
      </c>
      <c r="S1637">
        <v>9.0909090909090828E-2</v>
      </c>
      <c r="T1637">
        <v>0.13833992094861669</v>
      </c>
    </row>
    <row r="1638" spans="1:20" x14ac:dyDescent="0.25">
      <c r="A1638" s="13" t="s">
        <v>3318</v>
      </c>
      <c r="B1638" s="13" t="s">
        <v>3319</v>
      </c>
      <c r="C1638" s="13" t="s">
        <v>144</v>
      </c>
      <c r="D1638" s="13" t="s">
        <v>64</v>
      </c>
      <c r="E1638" s="13" t="str">
        <f>IFERROR(INDEX('Почасовка — ставки и план'!$B$5:$B$24,MATCH(D1638,'Почасовка — ставки и план'!$A$5:$A$24,0)),"Аренда техники / механизмы")</f>
        <v>Сварщик / монтажник МК</v>
      </c>
      <c r="F1638" s="14">
        <v>1680</v>
      </c>
      <c r="G1638" s="14">
        <v>2016</v>
      </c>
      <c r="H1638" s="15">
        <v>940</v>
      </c>
      <c r="I1638" s="15">
        <f>IF(OR(H1638="",F1638=""),"",MAX(H1638,MIN(ROUND(H1638*(1+Параметры!$B$5),IF(H1638*(1+Параметры!$B$5)&gt;=1000,-1,0)),ROUND(F1638*Параметры!$B$6,IF(F1638*Параметры!$B$6&gt;=1000,-1,0)))))</f>
        <v>1080</v>
      </c>
      <c r="J1638" s="15">
        <v>1081</v>
      </c>
      <c r="K1638" s="15">
        <f>IF(OR(J1638="",G1638=""),"",MAX(J1638,MIN(ROUND(J1638*(1+Параметры!$B$5),IF(J1638*(1+Параметры!$B$5)&gt;=1000,-1,0)),ROUND(G1638*Параметры!$B$6,IF(G1638*Параметры!$B$6&gt;=1000,-1,0)))))</f>
        <v>1240</v>
      </c>
      <c r="L1638" s="16">
        <v>1.4</v>
      </c>
      <c r="M1638" s="17">
        <f t="shared" si="118"/>
        <v>0.7142857142857143</v>
      </c>
      <c r="N1638" s="17">
        <f>IF(OR(L1638="",L1638=0),"",Параметры!$B$3/L1638)</f>
        <v>5.7142857142857144</v>
      </c>
      <c r="O1638" s="15">
        <f>IF(L1638="","",IFERROR(INDEX('Почасовка — ставки и план'!$D$5:$D$24,MATCH($D1638,'Почасовка — ставки и план'!$A$5:$A$24,0)),""))</f>
        <v>900</v>
      </c>
      <c r="P1638" s="15">
        <f>IF(L1638="","",IFERROR(INDEX('Почасовка — ставки и план'!$E$5:$E$24,MATCH($D1638,'Почасовка — ставки и план'!$A$5:$A$24,0)),""))</f>
        <v>1080</v>
      </c>
      <c r="Q1638" s="15">
        <f t="shared" si="119"/>
        <v>1260</v>
      </c>
      <c r="R1638" s="13" t="str">
        <f>IF(D1638="TEX","аренда техники — сделка/счёт",IF(OR(Q1638="",H1638="",H1638=0),"—",IF(Q1638&lt;H1638*(1-Параметры!$B$7),"почасовка",IF(Q1638&gt;H1638*(1+Параметры!$B$7),"сделка","любой способ"))))</f>
        <v>сделка</v>
      </c>
      <c r="S1638">
        <v>0.12000000000000011</v>
      </c>
      <c r="T1638">
        <v>0.16869565217391311</v>
      </c>
    </row>
    <row r="1639" spans="1:20" x14ac:dyDescent="0.25">
      <c r="A1639" s="18" t="s">
        <v>3320</v>
      </c>
      <c r="B1639" s="13" t="s">
        <v>3321</v>
      </c>
      <c r="C1639" s="13" t="s">
        <v>144</v>
      </c>
      <c r="D1639" s="13" t="s">
        <v>326</v>
      </c>
      <c r="E1639" s="13" t="str">
        <f>IFERROR(INDEX('Почасовка — ставки и план'!$B$5:$B$24,MATCH(D1639,'Почасовка — ставки и план'!$A$5:$A$24,0)),"Аренда техники / механизмы")</f>
        <v>Сантехник</v>
      </c>
      <c r="F1639" s="14">
        <v>3500</v>
      </c>
      <c r="G1639" s="14">
        <v>4025</v>
      </c>
      <c r="H1639" s="15">
        <v>2200</v>
      </c>
      <c r="I1639" s="15">
        <f>IF(OR(H1639="",F1639=""),"",MAX(H1639,MIN(ROUND(H1639*(1+Параметры!$B$5),IF(H1639*(1+Параметры!$B$5)&gt;=1000,-1,0)),ROUND(F1639*Параметры!$B$6,IF(F1639*Параметры!$B$6&gt;=1000,-1,0)))))</f>
        <v>2530</v>
      </c>
      <c r="J1639" s="15">
        <v>2530</v>
      </c>
      <c r="K1639" s="15">
        <f>IF(OR(J1639="",G1639=""),"",MAX(J1639,MIN(ROUND(J1639*(1+Параметры!$B$5),IF(J1639*(1+Параметры!$B$5)&gt;=1000,-1,0)),ROUND(G1639*Параметры!$B$6,IF(G1639*Параметры!$B$6&gt;=1000,-1,0)))))</f>
        <v>2910</v>
      </c>
      <c r="L1639" s="16">
        <v>2</v>
      </c>
      <c r="M1639" s="17">
        <f t="shared" si="118"/>
        <v>0.5</v>
      </c>
      <c r="N1639" s="17">
        <f>IF(OR(L1639="",L1639=0),"",Параметры!$B$3/L1639)</f>
        <v>4</v>
      </c>
      <c r="O1639" s="15">
        <f>IF(L1639="","",IFERROR(INDEX('Почасовка — ставки и план'!$D$5:$D$24,MATCH($D1639,'Почасовка — ставки и план'!$A$5:$A$24,0)),""))</f>
        <v>850</v>
      </c>
      <c r="P1639" s="15">
        <f>IF(L1639="","",IFERROR(INDEX('Почасовка — ставки и план'!$E$5:$E$24,MATCH($D1639,'Почасовка — ставки и план'!$A$5:$A$24,0)),""))</f>
        <v>1020</v>
      </c>
      <c r="Q1639" s="15">
        <f t="shared" si="119"/>
        <v>1700</v>
      </c>
      <c r="R1639" s="13" t="str">
        <f>IF(D1639="TEX","аренда техники — сделка/счёт",IF(OR(Q1639="",H1639="",H1639=0),"—",IF(Q1639&lt;H1639*(1-Параметры!$B$7),"почасовка",IF(Q1639&gt;H1639*(1+Параметры!$B$7),"сделка","любой способ"))))</f>
        <v>почасовка</v>
      </c>
      <c r="S1639">
        <v>0</v>
      </c>
      <c r="T1639">
        <v>0</v>
      </c>
    </row>
    <row r="1640" spans="1:20" x14ac:dyDescent="0.25">
      <c r="A1640" s="18" t="s">
        <v>3322</v>
      </c>
      <c r="B1640" s="13" t="s">
        <v>3323</v>
      </c>
      <c r="C1640" s="13" t="s">
        <v>144</v>
      </c>
      <c r="D1640" s="13" t="s">
        <v>326</v>
      </c>
      <c r="E1640" s="13" t="str">
        <f>IFERROR(INDEX('Почасовка — ставки и план'!$B$5:$B$24,MATCH(D1640,'Почасовка — ставки и план'!$A$5:$A$24,0)),"Аренда техники / механизмы")</f>
        <v>Сантехник</v>
      </c>
      <c r="F1640" s="14">
        <v>12000</v>
      </c>
      <c r="G1640" s="14">
        <v>13800</v>
      </c>
      <c r="H1640" s="15">
        <v>7500</v>
      </c>
      <c r="I1640" s="15">
        <f>IF(OR(H1640="",F1640=""),"",MAX(H1640,MIN(ROUND(H1640*(1+Параметры!$B$5),IF(H1640*(1+Параметры!$B$5)&gt;=1000,-1,0)),ROUND(F1640*Параметры!$B$6,IF(F1640*Параметры!$B$6&gt;=1000,-1,0)))))</f>
        <v>8630</v>
      </c>
      <c r="J1640" s="15">
        <v>8625</v>
      </c>
      <c r="K1640" s="15">
        <f>IF(OR(J1640="",G1640=""),"",MAX(J1640,MIN(ROUND(J1640*(1+Параметры!$B$5),IF(J1640*(1+Параметры!$B$5)&gt;=1000,-1,0)),ROUND(G1640*Параметры!$B$6,IF(G1640*Параметры!$B$6&gt;=1000,-1,0)))))</f>
        <v>9920</v>
      </c>
      <c r="L1640" s="16">
        <v>8</v>
      </c>
      <c r="M1640" s="17">
        <f t="shared" si="118"/>
        <v>0.125</v>
      </c>
      <c r="N1640" s="17">
        <f>IF(OR(L1640="",L1640=0),"",Параметры!$B$3/L1640)</f>
        <v>1</v>
      </c>
      <c r="O1640" s="15">
        <f>IF(L1640="","",IFERROR(INDEX('Почасовка — ставки и план'!$D$5:$D$24,MATCH($D1640,'Почасовка — ставки и план'!$A$5:$A$24,0)),""))</f>
        <v>850</v>
      </c>
      <c r="P1640" s="15">
        <f>IF(L1640="","",IFERROR(INDEX('Почасовка — ставки и план'!$E$5:$E$24,MATCH($D1640,'Почасовка — ставки и план'!$A$5:$A$24,0)),""))</f>
        <v>1020</v>
      </c>
      <c r="Q1640" s="15">
        <f t="shared" si="119"/>
        <v>6800</v>
      </c>
      <c r="R1640" s="13" t="str">
        <f>IF(D1640="TEX","аренда техники — сделка/счёт",IF(OR(Q1640="",H1640="",H1640=0),"—",IF(Q1640&lt;H1640*(1-Параметры!$B$7),"почасовка",IF(Q1640&gt;H1640*(1+Параметры!$B$7),"сделка","любой способ"))))</f>
        <v>любой способ</v>
      </c>
      <c r="S1640">
        <v>0</v>
      </c>
      <c r="T1640">
        <v>0</v>
      </c>
    </row>
    <row r="1641" spans="1:20" x14ac:dyDescent="0.25">
      <c r="A1641" s="18" t="s">
        <v>3324</v>
      </c>
      <c r="B1641" s="13" t="s">
        <v>3325</v>
      </c>
      <c r="C1641" s="13" t="s">
        <v>144</v>
      </c>
      <c r="D1641" s="13" t="s">
        <v>326</v>
      </c>
      <c r="E1641" s="13" t="str">
        <f>IFERROR(INDEX('Почасовка — ставки и план'!$B$5:$B$24,MATCH(D1641,'Почасовка — ставки и план'!$A$5:$A$24,0)),"Аренда техники / механизмы")</f>
        <v>Сантехник</v>
      </c>
      <c r="F1641" s="14">
        <v>4000</v>
      </c>
      <c r="G1641" s="14">
        <v>4600</v>
      </c>
      <c r="H1641" s="15">
        <v>2500</v>
      </c>
      <c r="I1641" s="15">
        <f>IF(OR(H1641="",F1641=""),"",MAX(H1641,MIN(ROUND(H1641*(1+Параметры!$B$5),IF(H1641*(1+Параметры!$B$5)&gt;=1000,-1,0)),ROUND(F1641*Параметры!$B$6,IF(F1641*Параметры!$B$6&gt;=1000,-1,0)))))</f>
        <v>2880</v>
      </c>
      <c r="J1641" s="15">
        <v>2875</v>
      </c>
      <c r="K1641" s="15">
        <f>IF(OR(J1641="",G1641=""),"",MAX(J1641,MIN(ROUND(J1641*(1+Параметры!$B$5),IF(J1641*(1+Параметры!$B$5)&gt;=1000,-1,0)),ROUND(G1641*Параметры!$B$6,IF(G1641*Параметры!$B$6&gt;=1000,-1,0)))))</f>
        <v>3310</v>
      </c>
      <c r="L1641" s="16">
        <v>2.5</v>
      </c>
      <c r="M1641" s="17">
        <f t="shared" si="118"/>
        <v>0.4</v>
      </c>
      <c r="N1641" s="17">
        <f>IF(OR(L1641="",L1641=0),"",Параметры!$B$3/L1641)</f>
        <v>3.2</v>
      </c>
      <c r="O1641" s="15">
        <f>IF(L1641="","",IFERROR(INDEX('Почасовка — ставки и план'!$D$5:$D$24,MATCH($D1641,'Почасовка — ставки и план'!$A$5:$A$24,0)),""))</f>
        <v>850</v>
      </c>
      <c r="P1641" s="15">
        <f>IF(L1641="","",IFERROR(INDEX('Почасовка — ставки и план'!$E$5:$E$24,MATCH($D1641,'Почасовка — ставки и план'!$A$5:$A$24,0)),""))</f>
        <v>1020</v>
      </c>
      <c r="Q1641" s="15">
        <f t="shared" si="119"/>
        <v>2125</v>
      </c>
      <c r="R1641" s="13" t="str">
        <f>IF(D1641="TEX","аренда техники — сделка/счёт",IF(OR(Q1641="",H1641="",H1641=0),"—",IF(Q1641&lt;H1641*(1-Параметры!$B$7),"почасовка",IF(Q1641&gt;H1641*(1+Параметры!$B$7),"сделка","любой способ"))))</f>
        <v>почасовка</v>
      </c>
      <c r="S1641">
        <v>0</v>
      </c>
      <c r="T1641">
        <v>0</v>
      </c>
    </row>
    <row r="1642" spans="1:20" x14ac:dyDescent="0.25">
      <c r="A1642" s="18" t="s">
        <v>3326</v>
      </c>
      <c r="B1642" s="13" t="s">
        <v>3327</v>
      </c>
      <c r="C1642" s="13" t="s">
        <v>144</v>
      </c>
      <c r="D1642" s="13" t="s">
        <v>326</v>
      </c>
      <c r="E1642" s="13" t="str">
        <f>IFERROR(INDEX('Почасовка — ставки и план'!$B$5:$B$24,MATCH(D1642,'Почасовка — ставки и план'!$A$5:$A$24,0)),"Аренда техники / механизмы")</f>
        <v>Сантехник</v>
      </c>
      <c r="F1642" s="14">
        <v>15000</v>
      </c>
      <c r="G1642" s="14">
        <v>17250</v>
      </c>
      <c r="H1642" s="15">
        <v>9500</v>
      </c>
      <c r="I1642" s="15">
        <f>IF(OR(H1642="",F1642=""),"",MAX(H1642,MIN(ROUND(H1642*(1+Параметры!$B$5),IF(H1642*(1+Параметры!$B$5)&gt;=1000,-1,0)),ROUND(F1642*Параметры!$B$6,IF(F1642*Параметры!$B$6&gt;=1000,-1,0)))))</f>
        <v>10930</v>
      </c>
      <c r="J1642" s="15">
        <v>10925</v>
      </c>
      <c r="K1642" s="15">
        <f>IF(OR(J1642="",G1642=""),"",MAX(J1642,MIN(ROUND(J1642*(1+Параметры!$B$5),IF(J1642*(1+Параметры!$B$5)&gt;=1000,-1,0)),ROUND(G1642*Параметры!$B$6,IF(G1642*Параметры!$B$6&gt;=1000,-1,0)))))</f>
        <v>12560</v>
      </c>
      <c r="L1642" s="16">
        <v>10</v>
      </c>
      <c r="M1642" s="17">
        <f t="shared" si="118"/>
        <v>0.1</v>
      </c>
      <c r="N1642" s="17">
        <f>IF(OR(L1642="",L1642=0),"",Параметры!$B$3/L1642)</f>
        <v>0.8</v>
      </c>
      <c r="O1642" s="15">
        <f>IF(L1642="","",IFERROR(INDEX('Почасовка — ставки и план'!$D$5:$D$24,MATCH($D1642,'Почасовка — ставки и план'!$A$5:$A$24,0)),""))</f>
        <v>850</v>
      </c>
      <c r="P1642" s="15">
        <f>IF(L1642="","",IFERROR(INDEX('Почасовка — ставки и план'!$E$5:$E$24,MATCH($D1642,'Почасовка — ставки и план'!$A$5:$A$24,0)),""))</f>
        <v>1020</v>
      </c>
      <c r="Q1642" s="15">
        <f t="shared" si="119"/>
        <v>8500</v>
      </c>
      <c r="R1642" s="13" t="str">
        <f>IF(D1642="TEX","аренда техники — сделка/счёт",IF(OR(Q1642="",H1642="",H1642=0),"—",IF(Q1642&lt;H1642*(1-Параметры!$B$7),"почасовка",IF(Q1642&gt;H1642*(1+Параметры!$B$7),"сделка","любой способ"))))</f>
        <v>почасовка</v>
      </c>
      <c r="S1642">
        <v>0</v>
      </c>
      <c r="T1642">
        <v>0</v>
      </c>
    </row>
    <row r="1643" spans="1:20" x14ac:dyDescent="0.25">
      <c r="A1643" s="11" t="s">
        <v>3328</v>
      </c>
      <c r="B1643" s="12"/>
      <c r="C1643" s="12"/>
      <c r="D1643" s="12"/>
      <c r="E1643" s="12"/>
      <c r="F1643" s="12"/>
      <c r="G1643" s="12"/>
      <c r="H1643" s="12"/>
      <c r="I1643" s="12"/>
      <c r="J1643" s="12"/>
      <c r="K1643" s="12"/>
      <c r="L1643" s="12"/>
      <c r="M1643" s="12"/>
      <c r="N1643" s="12"/>
      <c r="O1643" s="12"/>
      <c r="P1643" s="12"/>
      <c r="Q1643" s="12"/>
      <c r="R1643" s="12"/>
    </row>
    <row r="1644" spans="1:20" x14ac:dyDescent="0.25">
      <c r="A1644" s="13" t="s">
        <v>3329</v>
      </c>
      <c r="B1644" s="13" t="s">
        <v>3330</v>
      </c>
      <c r="C1644" s="13" t="s">
        <v>69</v>
      </c>
      <c r="D1644" s="13" t="s">
        <v>326</v>
      </c>
      <c r="E1644" s="13" t="str">
        <f>IFERROR(INDEX('Почасовка — ставки и план'!$B$5:$B$24,MATCH(D1644,'Почасовка — ставки и план'!$A$5:$A$24,0)),"Аренда техники / механизмы")</f>
        <v>Сантехник</v>
      </c>
      <c r="F1644" s="14">
        <v>950</v>
      </c>
      <c r="G1644" s="14">
        <v>1092</v>
      </c>
      <c r="H1644" s="15">
        <v>600</v>
      </c>
      <c r="I1644" s="15">
        <f>IF(OR(H1644="",F1644=""),"",MAX(H1644,MIN(ROUND(H1644*(1+Параметры!$B$5),IF(H1644*(1+Параметры!$B$5)&gt;=1000,-1,0)),ROUND(F1644*Параметры!$B$6,IF(F1644*Параметры!$B$6&gt;=1000,-1,0)))))</f>
        <v>690</v>
      </c>
      <c r="J1644" s="15">
        <v>690</v>
      </c>
      <c r="K1644" s="15">
        <f>IF(OR(J1644="",G1644=""),"",MAX(J1644,MIN(ROUND(J1644*(1+Параметры!$B$5),IF(J1644*(1+Параметры!$B$5)&gt;=1000,-1,0)),ROUND(G1644*Параметры!$B$6,IF(G1644*Параметры!$B$6&gt;=1000,-1,0)))))</f>
        <v>794</v>
      </c>
      <c r="L1644" s="16">
        <v>0.7</v>
      </c>
      <c r="M1644" s="17">
        <f t="shared" ref="M1644:M1668" si="120">IF(OR(L1644="",L1644=0),"",1/L1644)</f>
        <v>1.4285714285714286</v>
      </c>
      <c r="N1644" s="17">
        <f>IF(OR(L1644="",L1644=0),"",Параметры!$B$3/L1644)</f>
        <v>11.428571428571429</v>
      </c>
      <c r="O1644" s="15">
        <f>IF(L1644="","",IFERROR(INDEX('Почасовка — ставки и план'!$D$5:$D$24,MATCH($D1644,'Почасовка — ставки и план'!$A$5:$A$24,0)),""))</f>
        <v>850</v>
      </c>
      <c r="P1644" s="15">
        <f>IF(L1644="","",IFERROR(INDEX('Почасовка — ставки и план'!$E$5:$E$24,MATCH($D1644,'Почасовка — ставки и план'!$A$5:$A$24,0)),""))</f>
        <v>1020</v>
      </c>
      <c r="Q1644" s="15">
        <f t="shared" ref="Q1644:Q1668" si="121">IF(OR(L1644="",O1644=""),"",ROUND(L1644*O1644,0))</f>
        <v>595</v>
      </c>
      <c r="R1644" s="13" t="str">
        <f>IF(D1644="TEX","аренда техники — сделка/счёт",IF(OR(Q1644="",H1644="",H1644=0),"—",IF(Q1644&lt;H1644*(1-Параметры!$B$7),"почасовка",IF(Q1644&gt;H1644*(1+Параметры!$B$7),"сделка","любой способ"))))</f>
        <v>любой способ</v>
      </c>
      <c r="S1644">
        <v>0</v>
      </c>
      <c r="T1644">
        <v>0</v>
      </c>
    </row>
    <row r="1645" spans="1:20" x14ac:dyDescent="0.25">
      <c r="A1645" s="13" t="s">
        <v>3331</v>
      </c>
      <c r="B1645" s="13" t="s">
        <v>3332</v>
      </c>
      <c r="C1645" s="13" t="s">
        <v>69</v>
      </c>
      <c r="D1645" s="13" t="s">
        <v>326</v>
      </c>
      <c r="E1645" s="13" t="str">
        <f>IFERROR(INDEX('Почасовка — ставки и план'!$B$5:$B$24,MATCH(D1645,'Почасовка — ставки и план'!$A$5:$A$24,0)),"Аренда техники / механизмы")</f>
        <v>Сантехник</v>
      </c>
      <c r="F1645" s="14">
        <v>1150</v>
      </c>
      <c r="G1645" s="14">
        <v>1322</v>
      </c>
      <c r="H1645" s="15">
        <v>720</v>
      </c>
      <c r="I1645" s="15">
        <f>IF(OR(H1645="",F1645=""),"",MAX(H1645,MIN(ROUND(H1645*(1+Параметры!$B$5),IF(H1645*(1+Параметры!$B$5)&gt;=1000,-1,0)),ROUND(F1645*Параметры!$B$6,IF(F1645*Параметры!$B$6&gt;=1000,-1,0)))))</f>
        <v>828</v>
      </c>
      <c r="J1645" s="15">
        <v>828</v>
      </c>
      <c r="K1645" s="15">
        <f>IF(OR(J1645="",G1645=""),"",MAX(J1645,MIN(ROUND(J1645*(1+Параметры!$B$5),IF(J1645*(1+Параметры!$B$5)&gt;=1000,-1,0)),ROUND(G1645*Параметры!$B$6,IF(G1645*Параметры!$B$6&gt;=1000,-1,0)))))</f>
        <v>952</v>
      </c>
      <c r="L1645" s="16">
        <v>0.85</v>
      </c>
      <c r="M1645" s="17">
        <f t="shared" si="120"/>
        <v>1.1764705882352942</v>
      </c>
      <c r="N1645" s="17">
        <f>IF(OR(L1645="",L1645=0),"",Параметры!$B$3/L1645)</f>
        <v>9.4117647058823533</v>
      </c>
      <c r="O1645" s="15">
        <f>IF(L1645="","",IFERROR(INDEX('Почасовка — ставки и план'!$D$5:$D$24,MATCH($D1645,'Почасовка — ставки и план'!$A$5:$A$24,0)),""))</f>
        <v>850</v>
      </c>
      <c r="P1645" s="15">
        <f>IF(L1645="","",IFERROR(INDEX('Почасовка — ставки и план'!$E$5:$E$24,MATCH($D1645,'Почасовка — ставки и план'!$A$5:$A$24,0)),""))</f>
        <v>1020</v>
      </c>
      <c r="Q1645" s="15">
        <f t="shared" si="121"/>
        <v>723</v>
      </c>
      <c r="R1645" s="13" t="str">
        <f>IF(D1645="TEX","аренда техники — сделка/счёт",IF(OR(Q1645="",H1645="",H1645=0),"—",IF(Q1645&lt;H1645*(1-Параметры!$B$7),"почасовка",IF(Q1645&gt;H1645*(1+Параметры!$B$7),"сделка","любой способ"))))</f>
        <v>любой способ</v>
      </c>
      <c r="S1645">
        <v>0</v>
      </c>
      <c r="T1645">
        <v>0</v>
      </c>
    </row>
    <row r="1646" spans="1:20" x14ac:dyDescent="0.25">
      <c r="A1646" s="13" t="s">
        <v>3333</v>
      </c>
      <c r="B1646" s="13" t="s">
        <v>3334</v>
      </c>
      <c r="C1646" s="13" t="s">
        <v>69</v>
      </c>
      <c r="D1646" s="13" t="s">
        <v>326</v>
      </c>
      <c r="E1646" s="13" t="str">
        <f>IFERROR(INDEX('Почасовка — ставки и план'!$B$5:$B$24,MATCH(D1646,'Почасовка — ставки и план'!$A$5:$A$24,0)),"Аренда техники / механизмы")</f>
        <v>Сантехник</v>
      </c>
      <c r="F1646" s="14">
        <v>1350</v>
      </c>
      <c r="G1646" s="14">
        <v>1552</v>
      </c>
      <c r="H1646" s="15">
        <v>850</v>
      </c>
      <c r="I1646" s="15">
        <f>IF(OR(H1646="",F1646=""),"",MAX(H1646,MIN(ROUND(H1646*(1+Параметры!$B$5),IF(H1646*(1+Параметры!$B$5)&gt;=1000,-1,0)),ROUND(F1646*Параметры!$B$6,IF(F1646*Параметры!$B$6&gt;=1000,-1,0)))))</f>
        <v>978</v>
      </c>
      <c r="J1646" s="15">
        <v>977</v>
      </c>
      <c r="K1646" s="15">
        <f>IF(OR(J1646="",G1646=""),"",MAX(J1646,MIN(ROUND(J1646*(1+Параметры!$B$5),IF(J1646*(1+Параметры!$B$5)&gt;=1000,-1,0)),ROUND(G1646*Параметры!$B$6,IF(G1646*Параметры!$B$6&gt;=1000,-1,0)))))</f>
        <v>1120</v>
      </c>
      <c r="L1646" s="16">
        <v>1</v>
      </c>
      <c r="M1646" s="17">
        <f t="shared" si="120"/>
        <v>1</v>
      </c>
      <c r="N1646" s="17">
        <f>IF(OR(L1646="",L1646=0),"",Параметры!$B$3/L1646)</f>
        <v>8</v>
      </c>
      <c r="O1646" s="15">
        <f>IF(L1646="","",IFERROR(INDEX('Почасовка — ставки и план'!$D$5:$D$24,MATCH($D1646,'Почасовка — ставки и план'!$A$5:$A$24,0)),""))</f>
        <v>850</v>
      </c>
      <c r="P1646" s="15">
        <f>IF(L1646="","",IFERROR(INDEX('Почасовка — ставки и план'!$E$5:$E$24,MATCH($D1646,'Почасовка — ставки и план'!$A$5:$A$24,0)),""))</f>
        <v>1020</v>
      </c>
      <c r="Q1646" s="15">
        <f t="shared" si="121"/>
        <v>850</v>
      </c>
      <c r="R1646" s="13" t="str">
        <f>IF(D1646="TEX","аренда техники — сделка/счёт",IF(OR(Q1646="",H1646="",H1646=0),"—",IF(Q1646&lt;H1646*(1-Параметры!$B$7),"почасовка",IF(Q1646&gt;H1646*(1+Параметры!$B$7),"сделка","любой способ"))))</f>
        <v>любой способ</v>
      </c>
      <c r="S1646">
        <v>0</v>
      </c>
      <c r="T1646">
        <v>0</v>
      </c>
    </row>
    <row r="1647" spans="1:20" x14ac:dyDescent="0.25">
      <c r="A1647" s="13" t="s">
        <v>3335</v>
      </c>
      <c r="B1647" s="13" t="s">
        <v>3336</v>
      </c>
      <c r="C1647" s="13" t="s">
        <v>69</v>
      </c>
      <c r="D1647" s="13" t="s">
        <v>326</v>
      </c>
      <c r="E1647" s="13" t="str">
        <f>IFERROR(INDEX('Почасовка — ставки и план'!$B$5:$B$24,MATCH(D1647,'Почасовка — ставки и план'!$A$5:$A$24,0)),"Аренда техники / механизмы")</f>
        <v>Сантехник</v>
      </c>
      <c r="F1647" s="14">
        <v>1550</v>
      </c>
      <c r="G1647" s="14">
        <v>1782</v>
      </c>
      <c r="H1647" s="15">
        <v>970</v>
      </c>
      <c r="I1647" s="15">
        <f>IF(OR(H1647="",F1647=""),"",MAX(H1647,MIN(ROUND(H1647*(1+Параметры!$B$5),IF(H1647*(1+Параметры!$B$5)&gt;=1000,-1,0)),ROUND(F1647*Параметры!$B$6,IF(F1647*Параметры!$B$6&gt;=1000,-1,0)))))</f>
        <v>1120</v>
      </c>
      <c r="J1647" s="15">
        <v>1116</v>
      </c>
      <c r="K1647" s="15">
        <f>IF(OR(J1647="",G1647=""),"",MAX(J1647,MIN(ROUND(J1647*(1+Параметры!$B$5),IF(J1647*(1+Параметры!$B$5)&gt;=1000,-1,0)),ROUND(G1647*Параметры!$B$6,IF(G1647*Параметры!$B$6&gt;=1000,-1,0)))))</f>
        <v>1280</v>
      </c>
      <c r="L1647" s="16">
        <v>1.1499999999999999</v>
      </c>
      <c r="M1647" s="17">
        <f t="shared" si="120"/>
        <v>0.86956521739130443</v>
      </c>
      <c r="N1647" s="17">
        <f>IF(OR(L1647="",L1647=0),"",Параметры!$B$3/L1647)</f>
        <v>6.9565217391304355</v>
      </c>
      <c r="O1647" s="15">
        <f>IF(L1647="","",IFERROR(INDEX('Почасовка — ставки и план'!$D$5:$D$24,MATCH($D1647,'Почасовка — ставки и план'!$A$5:$A$24,0)),""))</f>
        <v>850</v>
      </c>
      <c r="P1647" s="15">
        <f>IF(L1647="","",IFERROR(INDEX('Почасовка — ставки и план'!$E$5:$E$24,MATCH($D1647,'Почасовка — ставки и план'!$A$5:$A$24,0)),""))</f>
        <v>1020</v>
      </c>
      <c r="Q1647" s="15">
        <f t="shared" si="121"/>
        <v>978</v>
      </c>
      <c r="R1647" s="13" t="str">
        <f>IF(D1647="TEX","аренда техники — сделка/счёт",IF(OR(Q1647="",H1647="",H1647=0),"—",IF(Q1647&lt;H1647*(1-Параметры!$B$7),"почасовка",IF(Q1647&gt;H1647*(1+Параметры!$B$7),"сделка","любой способ"))))</f>
        <v>любой способ</v>
      </c>
      <c r="S1647">
        <v>0</v>
      </c>
      <c r="T1647">
        <v>0</v>
      </c>
    </row>
    <row r="1648" spans="1:20" x14ac:dyDescent="0.25">
      <c r="A1648" s="13" t="s">
        <v>3337</v>
      </c>
      <c r="B1648" s="13" t="s">
        <v>3338</v>
      </c>
      <c r="C1648" s="13" t="s">
        <v>69</v>
      </c>
      <c r="D1648" s="13" t="s">
        <v>326</v>
      </c>
      <c r="E1648" s="13" t="str">
        <f>IFERROR(INDEX('Почасовка — ставки и план'!$B$5:$B$24,MATCH(D1648,'Почасовка — ставки и план'!$A$5:$A$24,0)),"Аренда техники / механизмы")</f>
        <v>Сантехник</v>
      </c>
      <c r="F1648" s="14">
        <v>1100</v>
      </c>
      <c r="G1648" s="14">
        <v>1265</v>
      </c>
      <c r="H1648" s="15">
        <v>690</v>
      </c>
      <c r="I1648" s="15">
        <f>IF(OR(H1648="",F1648=""),"",MAX(H1648,MIN(ROUND(H1648*(1+Параметры!$B$5),IF(H1648*(1+Параметры!$B$5)&gt;=1000,-1,0)),ROUND(F1648*Параметры!$B$6,IF(F1648*Параметры!$B$6&gt;=1000,-1,0)))))</f>
        <v>794</v>
      </c>
      <c r="J1648" s="15">
        <v>793</v>
      </c>
      <c r="K1648" s="15">
        <f>IF(OR(J1648="",G1648=""),"",MAX(J1648,MIN(ROUND(J1648*(1+Параметры!$B$5),IF(J1648*(1+Параметры!$B$5)&gt;=1000,-1,0)),ROUND(G1648*Параметры!$B$6,IF(G1648*Параметры!$B$6&gt;=1000,-1,0)))))</f>
        <v>912</v>
      </c>
      <c r="L1648" s="16">
        <v>0.8</v>
      </c>
      <c r="M1648" s="17">
        <f t="shared" si="120"/>
        <v>1.25</v>
      </c>
      <c r="N1648" s="17">
        <f>IF(OR(L1648="",L1648=0),"",Параметры!$B$3/L1648)</f>
        <v>10</v>
      </c>
      <c r="O1648" s="15">
        <f>IF(L1648="","",IFERROR(INDEX('Почасовка — ставки и план'!$D$5:$D$24,MATCH($D1648,'Почасовка — ставки и план'!$A$5:$A$24,0)),""))</f>
        <v>850</v>
      </c>
      <c r="P1648" s="15">
        <f>IF(L1648="","",IFERROR(INDEX('Почасовка — ставки и план'!$E$5:$E$24,MATCH($D1648,'Почасовка — ставки и план'!$A$5:$A$24,0)),""))</f>
        <v>1020</v>
      </c>
      <c r="Q1648" s="15">
        <f t="shared" si="121"/>
        <v>680</v>
      </c>
      <c r="R1648" s="13" t="str">
        <f>IF(D1648="TEX","аренда техники — сделка/счёт",IF(OR(Q1648="",H1648="",H1648=0),"—",IF(Q1648&lt;H1648*(1-Параметры!$B$7),"почасовка",IF(Q1648&gt;H1648*(1+Параметры!$B$7),"сделка","любой способ"))))</f>
        <v>любой способ</v>
      </c>
      <c r="S1648">
        <v>0</v>
      </c>
      <c r="T1648">
        <v>0</v>
      </c>
    </row>
    <row r="1649" spans="1:20" x14ac:dyDescent="0.25">
      <c r="A1649" s="13" t="s">
        <v>3339</v>
      </c>
      <c r="B1649" s="13" t="s">
        <v>3340</v>
      </c>
      <c r="C1649" s="13" t="s">
        <v>69</v>
      </c>
      <c r="D1649" s="13" t="s">
        <v>326</v>
      </c>
      <c r="E1649" s="13" t="str">
        <f>IFERROR(INDEX('Почасовка — ставки и план'!$B$5:$B$24,MATCH(D1649,'Почасовка — ставки и план'!$A$5:$A$24,0)),"Аренда техники / механизмы")</f>
        <v>Сантехник</v>
      </c>
      <c r="F1649" s="14">
        <v>1300</v>
      </c>
      <c r="G1649" s="14">
        <v>1495</v>
      </c>
      <c r="H1649" s="15">
        <v>820</v>
      </c>
      <c r="I1649" s="15">
        <f>IF(OR(H1649="",F1649=""),"",MAX(H1649,MIN(ROUND(H1649*(1+Параметры!$B$5),IF(H1649*(1+Параметры!$B$5)&gt;=1000,-1,0)),ROUND(F1649*Параметры!$B$6,IF(F1649*Параметры!$B$6&gt;=1000,-1,0)))))</f>
        <v>943</v>
      </c>
      <c r="J1649" s="15">
        <v>943</v>
      </c>
      <c r="K1649" s="15">
        <f>IF(OR(J1649="",G1649=""),"",MAX(J1649,MIN(ROUND(J1649*(1+Параметры!$B$5),IF(J1649*(1+Параметры!$B$5)&gt;=1000,-1,0)),ROUND(G1649*Параметры!$B$6,IF(G1649*Параметры!$B$6&gt;=1000,-1,0)))))</f>
        <v>1080</v>
      </c>
      <c r="L1649" s="16">
        <v>0.95</v>
      </c>
      <c r="M1649" s="17">
        <f t="shared" si="120"/>
        <v>1.0526315789473684</v>
      </c>
      <c r="N1649" s="17">
        <f>IF(OR(L1649="",L1649=0),"",Параметры!$B$3/L1649)</f>
        <v>8.4210526315789469</v>
      </c>
      <c r="O1649" s="15">
        <f>IF(L1649="","",IFERROR(INDEX('Почасовка — ставки и план'!$D$5:$D$24,MATCH($D1649,'Почасовка — ставки и план'!$A$5:$A$24,0)),""))</f>
        <v>850</v>
      </c>
      <c r="P1649" s="15">
        <f>IF(L1649="","",IFERROR(INDEX('Почасовка — ставки и план'!$E$5:$E$24,MATCH($D1649,'Почасовка — ставки и план'!$A$5:$A$24,0)),""))</f>
        <v>1020</v>
      </c>
      <c r="Q1649" s="15">
        <f t="shared" si="121"/>
        <v>808</v>
      </c>
      <c r="R1649" s="13" t="str">
        <f>IF(D1649="TEX","аренда техники — сделка/счёт",IF(OR(Q1649="",H1649="",H1649=0),"—",IF(Q1649&lt;H1649*(1-Параметры!$B$7),"почасовка",IF(Q1649&gt;H1649*(1+Параметры!$B$7),"сделка","любой способ"))))</f>
        <v>любой способ</v>
      </c>
      <c r="S1649">
        <v>0</v>
      </c>
      <c r="T1649">
        <v>0</v>
      </c>
    </row>
    <row r="1650" spans="1:20" x14ac:dyDescent="0.25">
      <c r="A1650" s="13" t="s">
        <v>3341</v>
      </c>
      <c r="B1650" s="13" t="s">
        <v>3342</v>
      </c>
      <c r="C1650" s="13" t="s">
        <v>69</v>
      </c>
      <c r="D1650" s="13" t="s">
        <v>326</v>
      </c>
      <c r="E1650" s="13" t="str">
        <f>IFERROR(INDEX('Почасовка — ставки и план'!$B$5:$B$24,MATCH(D1650,'Почасовка — ставки и план'!$A$5:$A$24,0)),"Аренда техники / механизмы")</f>
        <v>Сантехник</v>
      </c>
      <c r="F1650" s="14">
        <v>1500</v>
      </c>
      <c r="G1650" s="14">
        <v>1725</v>
      </c>
      <c r="H1650" s="15">
        <v>950</v>
      </c>
      <c r="I1650" s="15">
        <f>IF(OR(H1650="",F1650=""),"",MAX(H1650,MIN(ROUND(H1650*(1+Параметры!$B$5),IF(H1650*(1+Параметры!$B$5)&gt;=1000,-1,0)),ROUND(F1650*Параметры!$B$6,IF(F1650*Параметры!$B$6&gt;=1000,-1,0)))))</f>
        <v>1090</v>
      </c>
      <c r="J1650" s="15">
        <v>1092</v>
      </c>
      <c r="K1650" s="15">
        <f>IF(OR(J1650="",G1650=""),"",MAX(J1650,MIN(ROUND(J1650*(1+Параметры!$B$5),IF(J1650*(1+Параметры!$B$5)&gt;=1000,-1,0)),ROUND(G1650*Параметры!$B$6,IF(G1650*Параметры!$B$6&gt;=1000,-1,0)))))</f>
        <v>1260</v>
      </c>
      <c r="L1650" s="16">
        <v>1.1000000000000001</v>
      </c>
      <c r="M1650" s="17">
        <f t="shared" si="120"/>
        <v>0.90909090909090906</v>
      </c>
      <c r="N1650" s="17">
        <f>IF(OR(L1650="",L1650=0),"",Параметры!$B$3/L1650)</f>
        <v>7.2727272727272725</v>
      </c>
      <c r="O1650" s="15">
        <f>IF(L1650="","",IFERROR(INDEX('Почасовка — ставки и план'!$D$5:$D$24,MATCH($D1650,'Почасовка — ставки и план'!$A$5:$A$24,0)),""))</f>
        <v>850</v>
      </c>
      <c r="P1650" s="15">
        <f>IF(L1650="","",IFERROR(INDEX('Почасовка — ставки и план'!$E$5:$E$24,MATCH($D1650,'Почасовка — ставки и план'!$A$5:$A$24,0)),""))</f>
        <v>1020</v>
      </c>
      <c r="Q1650" s="15">
        <f t="shared" si="121"/>
        <v>935</v>
      </c>
      <c r="R1650" s="13" t="str">
        <f>IF(D1650="TEX","аренда техники — сделка/счёт",IF(OR(Q1650="",H1650="",H1650=0),"—",IF(Q1650&lt;H1650*(1-Параметры!$B$7),"почасовка",IF(Q1650&gt;H1650*(1+Параметры!$B$7),"сделка","любой способ"))))</f>
        <v>любой способ</v>
      </c>
      <c r="S1650">
        <v>0</v>
      </c>
      <c r="T1650">
        <v>0</v>
      </c>
    </row>
    <row r="1651" spans="1:20" x14ac:dyDescent="0.25">
      <c r="A1651" s="13" t="s">
        <v>3343</v>
      </c>
      <c r="B1651" s="13" t="s">
        <v>3344</v>
      </c>
      <c r="C1651" s="13" t="s">
        <v>69</v>
      </c>
      <c r="D1651" s="13" t="s">
        <v>326</v>
      </c>
      <c r="E1651" s="13" t="str">
        <f>IFERROR(INDEX('Почасовка — ставки и план'!$B$5:$B$24,MATCH(D1651,'Почасовка — ставки и план'!$A$5:$A$24,0)),"Аренда техники / механизмы")</f>
        <v>Сантехник</v>
      </c>
      <c r="F1651" s="14">
        <v>1750</v>
      </c>
      <c r="G1651" s="14">
        <v>2012</v>
      </c>
      <c r="H1651" s="15">
        <v>1100</v>
      </c>
      <c r="I1651" s="15">
        <f>IF(OR(H1651="",F1651=""),"",MAX(H1651,MIN(ROUND(H1651*(1+Параметры!$B$5),IF(H1651*(1+Параметры!$B$5)&gt;=1000,-1,0)),ROUND(F1651*Параметры!$B$6,IF(F1651*Параметры!$B$6&gt;=1000,-1,0)))))</f>
        <v>1270</v>
      </c>
      <c r="J1651" s="15">
        <v>1265</v>
      </c>
      <c r="K1651" s="15">
        <f>IF(OR(J1651="",G1651=""),"",MAX(J1651,MIN(ROUND(J1651*(1+Параметры!$B$5),IF(J1651*(1+Параметры!$B$5)&gt;=1000,-1,0)),ROUND(G1651*Параметры!$B$6,IF(G1651*Параметры!$B$6&gt;=1000,-1,0)))))</f>
        <v>1450</v>
      </c>
      <c r="L1651" s="16">
        <v>1.3</v>
      </c>
      <c r="M1651" s="17">
        <f t="shared" si="120"/>
        <v>0.76923076923076916</v>
      </c>
      <c r="N1651" s="17">
        <f>IF(OR(L1651="",L1651=0),"",Параметры!$B$3/L1651)</f>
        <v>6.1538461538461533</v>
      </c>
      <c r="O1651" s="15">
        <f>IF(L1651="","",IFERROR(INDEX('Почасовка — ставки и план'!$D$5:$D$24,MATCH($D1651,'Почасовка — ставки и план'!$A$5:$A$24,0)),""))</f>
        <v>850</v>
      </c>
      <c r="P1651" s="15">
        <f>IF(L1651="","",IFERROR(INDEX('Почасовка — ставки и план'!$E$5:$E$24,MATCH($D1651,'Почасовка — ставки и план'!$A$5:$A$24,0)),""))</f>
        <v>1020</v>
      </c>
      <c r="Q1651" s="15">
        <f t="shared" si="121"/>
        <v>1105</v>
      </c>
      <c r="R1651" s="13" t="str">
        <f>IF(D1651="TEX","аренда техники — сделка/счёт",IF(OR(Q1651="",H1651="",H1651=0),"—",IF(Q1651&lt;H1651*(1-Параметры!$B$7),"почасовка",IF(Q1651&gt;H1651*(1+Параметры!$B$7),"сделка","любой способ"))))</f>
        <v>любой способ</v>
      </c>
      <c r="S1651">
        <v>0</v>
      </c>
      <c r="T1651">
        <v>0</v>
      </c>
    </row>
    <row r="1652" spans="1:20" x14ac:dyDescent="0.25">
      <c r="A1652" s="13" t="s">
        <v>3345</v>
      </c>
      <c r="B1652" s="13" t="s">
        <v>3346</v>
      </c>
      <c r="C1652" s="13" t="s">
        <v>69</v>
      </c>
      <c r="D1652" s="13" t="s">
        <v>326</v>
      </c>
      <c r="E1652" s="13" t="str">
        <f>IFERROR(INDEX('Почасовка — ставки и план'!$B$5:$B$24,MATCH(D1652,'Почасовка — ставки и план'!$A$5:$A$24,0)),"Аренда техники / механизмы")</f>
        <v>Сантехник</v>
      </c>
      <c r="F1652" s="14">
        <v>1400</v>
      </c>
      <c r="G1652" s="14">
        <v>1610</v>
      </c>
      <c r="H1652" s="15">
        <v>880</v>
      </c>
      <c r="I1652" s="15">
        <f>IF(OR(H1652="",F1652=""),"",MAX(H1652,MIN(ROUND(H1652*(1+Параметры!$B$5),IF(H1652*(1+Параметры!$B$5)&gt;=1000,-1,0)),ROUND(F1652*Параметры!$B$6,IF(F1652*Параметры!$B$6&gt;=1000,-1,0)))))</f>
        <v>1010</v>
      </c>
      <c r="J1652" s="15">
        <v>1012</v>
      </c>
      <c r="K1652" s="15">
        <f>IF(OR(J1652="",G1652=""),"",MAX(J1652,MIN(ROUND(J1652*(1+Параметры!$B$5),IF(J1652*(1+Параметры!$B$5)&gt;=1000,-1,0)),ROUND(G1652*Параметры!$B$6,IF(G1652*Параметры!$B$6&gt;=1000,-1,0)))))</f>
        <v>1160</v>
      </c>
      <c r="L1652" s="16">
        <v>1</v>
      </c>
      <c r="M1652" s="17">
        <f t="shared" si="120"/>
        <v>1</v>
      </c>
      <c r="N1652" s="17">
        <f>IF(OR(L1652="",L1652=0),"",Параметры!$B$3/L1652)</f>
        <v>8</v>
      </c>
      <c r="O1652" s="15">
        <f>IF(L1652="","",IFERROR(INDEX('Почасовка — ставки и план'!$D$5:$D$24,MATCH($D1652,'Почасовка — ставки и план'!$A$5:$A$24,0)),""))</f>
        <v>850</v>
      </c>
      <c r="P1652" s="15">
        <f>IF(L1652="","",IFERROR(INDEX('Почасовка — ставки и план'!$E$5:$E$24,MATCH($D1652,'Почасовка — ставки и план'!$A$5:$A$24,0)),""))</f>
        <v>1020</v>
      </c>
      <c r="Q1652" s="15">
        <f t="shared" si="121"/>
        <v>850</v>
      </c>
      <c r="R1652" s="13" t="str">
        <f>IF(D1652="TEX","аренда техники — сделка/счёт",IF(OR(Q1652="",H1652="",H1652=0),"—",IF(Q1652&lt;H1652*(1-Параметры!$B$7),"почасовка",IF(Q1652&gt;H1652*(1+Параметры!$B$7),"сделка","любой способ"))))</f>
        <v>любой способ</v>
      </c>
      <c r="S1652">
        <v>0</v>
      </c>
      <c r="T1652">
        <v>0</v>
      </c>
    </row>
    <row r="1653" spans="1:20" x14ac:dyDescent="0.25">
      <c r="A1653" s="13" t="s">
        <v>3347</v>
      </c>
      <c r="B1653" s="13" t="s">
        <v>3348</v>
      </c>
      <c r="C1653" s="13" t="s">
        <v>69</v>
      </c>
      <c r="D1653" s="13" t="s">
        <v>326</v>
      </c>
      <c r="E1653" s="13" t="str">
        <f>IFERROR(INDEX('Почасовка — ставки и план'!$B$5:$B$24,MATCH(D1653,'Почасовка — ставки и план'!$A$5:$A$24,0)),"Аренда техники / механизмы")</f>
        <v>Сантехник</v>
      </c>
      <c r="F1653" s="14">
        <v>1650</v>
      </c>
      <c r="G1653" s="14">
        <v>1897</v>
      </c>
      <c r="H1653" s="15">
        <v>1040</v>
      </c>
      <c r="I1653" s="15">
        <f>IF(OR(H1653="",F1653=""),"",MAX(H1653,MIN(ROUND(H1653*(1+Параметры!$B$5),IF(H1653*(1+Параметры!$B$5)&gt;=1000,-1,0)),ROUND(F1653*Параметры!$B$6,IF(F1653*Параметры!$B$6&gt;=1000,-1,0)))))</f>
        <v>1200</v>
      </c>
      <c r="J1653" s="15">
        <v>1196</v>
      </c>
      <c r="K1653" s="15">
        <f>IF(OR(J1653="",G1653=""),"",MAX(J1653,MIN(ROUND(J1653*(1+Параметры!$B$5),IF(J1653*(1+Параметры!$B$5)&gt;=1000,-1,0)),ROUND(G1653*Параметры!$B$6,IF(G1653*Параметры!$B$6&gt;=1000,-1,0)))))</f>
        <v>1380</v>
      </c>
      <c r="L1653" s="16">
        <v>1.2</v>
      </c>
      <c r="M1653" s="17">
        <f t="shared" si="120"/>
        <v>0.83333333333333337</v>
      </c>
      <c r="N1653" s="17">
        <f>IF(OR(L1653="",L1653=0),"",Параметры!$B$3/L1653)</f>
        <v>6.666666666666667</v>
      </c>
      <c r="O1653" s="15">
        <f>IF(L1653="","",IFERROR(INDEX('Почасовка — ставки и план'!$D$5:$D$24,MATCH($D1653,'Почасовка — ставки и план'!$A$5:$A$24,0)),""))</f>
        <v>850</v>
      </c>
      <c r="P1653" s="15">
        <f>IF(L1653="","",IFERROR(INDEX('Почасовка — ставки и план'!$E$5:$E$24,MATCH($D1653,'Почасовка — ставки и план'!$A$5:$A$24,0)),""))</f>
        <v>1020</v>
      </c>
      <c r="Q1653" s="15">
        <f t="shared" si="121"/>
        <v>1020</v>
      </c>
      <c r="R1653" s="13" t="str">
        <f>IF(D1653="TEX","аренда техники — сделка/счёт",IF(OR(Q1653="",H1653="",H1653=0),"—",IF(Q1653&lt;H1653*(1-Параметры!$B$7),"почасовка",IF(Q1653&gt;H1653*(1+Параметры!$B$7),"сделка","любой способ"))))</f>
        <v>любой способ</v>
      </c>
      <c r="S1653">
        <v>0</v>
      </c>
      <c r="T1653">
        <v>0</v>
      </c>
    </row>
    <row r="1654" spans="1:20" x14ac:dyDescent="0.25">
      <c r="A1654" s="13" t="s">
        <v>3349</v>
      </c>
      <c r="B1654" s="13" t="s">
        <v>3350</v>
      </c>
      <c r="C1654" s="13" t="s">
        <v>69</v>
      </c>
      <c r="D1654" s="13" t="s">
        <v>326</v>
      </c>
      <c r="E1654" s="13" t="str">
        <f>IFERROR(INDEX('Почасовка — ставки и план'!$B$5:$B$24,MATCH(D1654,'Почасовка — ставки и план'!$A$5:$A$24,0)),"Аренда техники / механизмы")</f>
        <v>Сантехник</v>
      </c>
      <c r="F1654" s="14">
        <v>2100</v>
      </c>
      <c r="G1654" s="14">
        <v>2415</v>
      </c>
      <c r="H1654" s="15">
        <v>1320</v>
      </c>
      <c r="I1654" s="15">
        <f>IF(OR(H1654="",F1654=""),"",MAX(H1654,MIN(ROUND(H1654*(1+Параметры!$B$5),IF(H1654*(1+Параметры!$B$5)&gt;=1000,-1,0)),ROUND(F1654*Параметры!$B$6,IF(F1654*Параметры!$B$6&gt;=1000,-1,0)))))</f>
        <v>1520</v>
      </c>
      <c r="J1654" s="15">
        <v>1518</v>
      </c>
      <c r="K1654" s="15">
        <f>IF(OR(J1654="",G1654=""),"",MAX(J1654,MIN(ROUND(J1654*(1+Параметры!$B$5),IF(J1654*(1+Параметры!$B$5)&gt;=1000,-1,0)),ROUND(G1654*Параметры!$B$6,IF(G1654*Параметры!$B$6&gt;=1000,-1,0)))))</f>
        <v>1750</v>
      </c>
      <c r="L1654" s="16">
        <v>1.5</v>
      </c>
      <c r="M1654" s="17">
        <f t="shared" si="120"/>
        <v>0.66666666666666663</v>
      </c>
      <c r="N1654" s="17">
        <f>IF(OR(L1654="",L1654=0),"",Параметры!$B$3/L1654)</f>
        <v>5.333333333333333</v>
      </c>
      <c r="O1654" s="15">
        <f>IF(L1654="","",IFERROR(INDEX('Почасовка — ставки и план'!$D$5:$D$24,MATCH($D1654,'Почасовка — ставки и план'!$A$5:$A$24,0)),""))</f>
        <v>850</v>
      </c>
      <c r="P1654" s="15">
        <f>IF(L1654="","",IFERROR(INDEX('Почасовка — ставки и план'!$E$5:$E$24,MATCH($D1654,'Почасовка — ставки и план'!$A$5:$A$24,0)),""))</f>
        <v>1020</v>
      </c>
      <c r="Q1654" s="15">
        <f t="shared" si="121"/>
        <v>1275</v>
      </c>
      <c r="R1654" s="13" t="str">
        <f>IF(D1654="TEX","аренда техники — сделка/счёт",IF(OR(Q1654="",H1654="",H1654=0),"—",IF(Q1654&lt;H1654*(1-Параметры!$B$7),"почасовка",IF(Q1654&gt;H1654*(1+Параметры!$B$7),"сделка","любой способ"))))</f>
        <v>любой способ</v>
      </c>
      <c r="S1654">
        <v>0</v>
      </c>
      <c r="T1654">
        <v>0</v>
      </c>
    </row>
    <row r="1655" spans="1:20" x14ac:dyDescent="0.25">
      <c r="A1655" s="13" t="s">
        <v>3351</v>
      </c>
      <c r="B1655" s="13" t="s">
        <v>3352</v>
      </c>
      <c r="C1655" s="13" t="s">
        <v>69</v>
      </c>
      <c r="D1655" s="13" t="s">
        <v>326</v>
      </c>
      <c r="E1655" s="13" t="str">
        <f>IFERROR(INDEX('Почасовка — ставки и план'!$B$5:$B$24,MATCH(D1655,'Почасовка — ставки и план'!$A$5:$A$24,0)),"Аренда техники / механизмы")</f>
        <v>Сантехник</v>
      </c>
      <c r="F1655" s="14">
        <v>3000</v>
      </c>
      <c r="G1655" s="14">
        <v>3450</v>
      </c>
      <c r="H1655" s="15">
        <v>1900</v>
      </c>
      <c r="I1655" s="15">
        <f>IF(OR(H1655="",F1655=""),"",MAX(H1655,MIN(ROUND(H1655*(1+Параметры!$B$5),IF(H1655*(1+Параметры!$B$5)&gt;=1000,-1,0)),ROUND(F1655*Параметры!$B$6,IF(F1655*Параметры!$B$6&gt;=1000,-1,0)))))</f>
        <v>2190</v>
      </c>
      <c r="J1655" s="15">
        <v>2185</v>
      </c>
      <c r="K1655" s="15">
        <f>IF(OR(J1655="",G1655=""),"",MAX(J1655,MIN(ROUND(J1655*(1+Параметры!$B$5),IF(J1655*(1+Параметры!$B$5)&gt;=1000,-1,0)),ROUND(G1655*Параметры!$B$6,IF(G1655*Параметры!$B$6&gt;=1000,-1,0)))))</f>
        <v>2510</v>
      </c>
      <c r="L1655" s="16">
        <v>2.2000000000000002</v>
      </c>
      <c r="M1655" s="17">
        <f t="shared" si="120"/>
        <v>0.45454545454545453</v>
      </c>
      <c r="N1655" s="17">
        <f>IF(OR(L1655="",L1655=0),"",Параметры!$B$3/L1655)</f>
        <v>3.6363636363636362</v>
      </c>
      <c r="O1655" s="15">
        <f>IF(L1655="","",IFERROR(INDEX('Почасовка — ставки и план'!$D$5:$D$24,MATCH($D1655,'Почасовка — ставки и план'!$A$5:$A$24,0)),""))</f>
        <v>850</v>
      </c>
      <c r="P1655" s="15">
        <f>IF(L1655="","",IFERROR(INDEX('Почасовка — ставки и план'!$E$5:$E$24,MATCH($D1655,'Почасовка — ставки и план'!$A$5:$A$24,0)),""))</f>
        <v>1020</v>
      </c>
      <c r="Q1655" s="15">
        <f t="shared" si="121"/>
        <v>1870</v>
      </c>
      <c r="R1655" s="13" t="str">
        <f>IF(D1655="TEX","аренда техники — сделка/счёт",IF(OR(Q1655="",H1655="",H1655=0),"—",IF(Q1655&lt;H1655*(1-Параметры!$B$7),"почасовка",IF(Q1655&gt;H1655*(1+Параметры!$B$7),"сделка","любой способ"))))</f>
        <v>любой способ</v>
      </c>
      <c r="S1655">
        <v>0</v>
      </c>
      <c r="T1655">
        <v>0</v>
      </c>
    </row>
    <row r="1656" spans="1:20" x14ac:dyDescent="0.25">
      <c r="A1656" s="13" t="s">
        <v>3353</v>
      </c>
      <c r="B1656" s="13" t="s">
        <v>3354</v>
      </c>
      <c r="C1656" s="13" t="s">
        <v>69</v>
      </c>
      <c r="D1656" s="13" t="s">
        <v>326</v>
      </c>
      <c r="E1656" s="13" t="str">
        <f>IFERROR(INDEX('Почасовка — ставки и план'!$B$5:$B$24,MATCH(D1656,'Почасовка — ставки и план'!$A$5:$A$24,0)),"Аренда техники / механизмы")</f>
        <v>Сантехник</v>
      </c>
      <c r="F1656" s="14">
        <v>3400</v>
      </c>
      <c r="G1656" s="14">
        <v>3910</v>
      </c>
      <c r="H1656" s="15">
        <v>2150</v>
      </c>
      <c r="I1656" s="15">
        <f>IF(OR(H1656="",F1656=""),"",MAX(H1656,MIN(ROUND(H1656*(1+Параметры!$B$5),IF(H1656*(1+Параметры!$B$5)&gt;=1000,-1,0)),ROUND(F1656*Параметры!$B$6,IF(F1656*Параметры!$B$6&gt;=1000,-1,0)))))</f>
        <v>2470</v>
      </c>
      <c r="J1656" s="15">
        <v>2472</v>
      </c>
      <c r="K1656" s="15">
        <f>IF(OR(J1656="",G1656=""),"",MAX(J1656,MIN(ROUND(J1656*(1+Параметры!$B$5),IF(J1656*(1+Параметры!$B$5)&gt;=1000,-1,0)),ROUND(G1656*Параметры!$B$6,IF(G1656*Параметры!$B$6&gt;=1000,-1,0)))))</f>
        <v>2840</v>
      </c>
      <c r="L1656" s="16">
        <v>2.5</v>
      </c>
      <c r="M1656" s="17">
        <f t="shared" si="120"/>
        <v>0.4</v>
      </c>
      <c r="N1656" s="17">
        <f>IF(OR(L1656="",L1656=0),"",Параметры!$B$3/L1656)</f>
        <v>3.2</v>
      </c>
      <c r="O1656" s="15">
        <f>IF(L1656="","",IFERROR(INDEX('Почасовка — ставки и план'!$D$5:$D$24,MATCH($D1656,'Почасовка — ставки и план'!$A$5:$A$24,0)),""))</f>
        <v>850</v>
      </c>
      <c r="P1656" s="15">
        <f>IF(L1656="","",IFERROR(INDEX('Почасовка — ставки и план'!$E$5:$E$24,MATCH($D1656,'Почасовка — ставки и план'!$A$5:$A$24,0)),""))</f>
        <v>1020</v>
      </c>
      <c r="Q1656" s="15">
        <f t="shared" si="121"/>
        <v>2125</v>
      </c>
      <c r="R1656" s="13" t="str">
        <f>IF(D1656="TEX","аренда техники — сделка/счёт",IF(OR(Q1656="",H1656="",H1656=0),"—",IF(Q1656&lt;H1656*(1-Параметры!$B$7),"почасовка",IF(Q1656&gt;H1656*(1+Параметры!$B$7),"сделка","любой способ"))))</f>
        <v>любой способ</v>
      </c>
      <c r="S1656">
        <v>0</v>
      </c>
      <c r="T1656">
        <v>0</v>
      </c>
    </row>
    <row r="1657" spans="1:20" x14ac:dyDescent="0.25">
      <c r="A1657" s="13" t="s">
        <v>3355</v>
      </c>
      <c r="B1657" s="13" t="s">
        <v>3356</v>
      </c>
      <c r="C1657" s="13" t="s">
        <v>69</v>
      </c>
      <c r="D1657" s="13" t="s">
        <v>326</v>
      </c>
      <c r="E1657" s="13" t="str">
        <f>IFERROR(INDEX('Почасовка — ставки и план'!$B$5:$B$24,MATCH(D1657,'Почасовка — ставки и план'!$A$5:$A$24,0)),"Аренда техники / механизмы")</f>
        <v>Сантехник</v>
      </c>
      <c r="F1657" s="14">
        <v>4100</v>
      </c>
      <c r="G1657" s="14">
        <v>4715</v>
      </c>
      <c r="H1657" s="15">
        <v>2600</v>
      </c>
      <c r="I1657" s="15">
        <f>IF(OR(H1657="",F1657=""),"",MAX(H1657,MIN(ROUND(H1657*(1+Параметры!$B$5),IF(H1657*(1+Параметры!$B$5)&gt;=1000,-1,0)),ROUND(F1657*Параметры!$B$6,IF(F1657*Параметры!$B$6&gt;=1000,-1,0)))))</f>
        <v>2990</v>
      </c>
      <c r="J1657" s="15">
        <v>2990</v>
      </c>
      <c r="K1657" s="15">
        <f>IF(OR(J1657="",G1657=""),"",MAX(J1657,MIN(ROUND(J1657*(1+Параметры!$B$5),IF(J1657*(1+Параметры!$B$5)&gt;=1000,-1,0)),ROUND(G1657*Параметры!$B$6,IF(G1657*Параметры!$B$6&gt;=1000,-1,0)))))</f>
        <v>3440</v>
      </c>
      <c r="L1657" s="16">
        <v>3</v>
      </c>
      <c r="M1657" s="17">
        <f t="shared" si="120"/>
        <v>0.33333333333333331</v>
      </c>
      <c r="N1657" s="17">
        <f>IF(OR(L1657="",L1657=0),"",Параметры!$B$3/L1657)</f>
        <v>2.6666666666666665</v>
      </c>
      <c r="O1657" s="15">
        <f>IF(L1657="","",IFERROR(INDEX('Почасовка — ставки и план'!$D$5:$D$24,MATCH($D1657,'Почасовка — ставки и план'!$A$5:$A$24,0)),""))</f>
        <v>850</v>
      </c>
      <c r="P1657" s="15">
        <f>IF(L1657="","",IFERROR(INDEX('Почасовка — ставки и план'!$E$5:$E$24,MATCH($D1657,'Почасовка — ставки и план'!$A$5:$A$24,0)),""))</f>
        <v>1020</v>
      </c>
      <c r="Q1657" s="15">
        <f t="shared" si="121"/>
        <v>2550</v>
      </c>
      <c r="R1657" s="13" t="str">
        <f>IF(D1657="TEX","аренда техники — сделка/счёт",IF(OR(Q1657="",H1657="",H1657=0),"—",IF(Q1657&lt;H1657*(1-Параметры!$B$7),"почасовка",IF(Q1657&gt;H1657*(1+Параметры!$B$7),"сделка","любой способ"))))</f>
        <v>любой способ</v>
      </c>
      <c r="S1657">
        <v>0</v>
      </c>
      <c r="T1657">
        <v>0</v>
      </c>
    </row>
    <row r="1658" spans="1:20" x14ac:dyDescent="0.25">
      <c r="A1658" s="13" t="s">
        <v>3357</v>
      </c>
      <c r="B1658" s="13" t="s">
        <v>3358</v>
      </c>
      <c r="C1658" s="13" t="s">
        <v>144</v>
      </c>
      <c r="D1658" s="13" t="s">
        <v>326</v>
      </c>
      <c r="E1658" s="13" t="str">
        <f>IFERROR(INDEX('Почасовка — ставки и план'!$B$5:$B$24,MATCH(D1658,'Почасовка — ставки и план'!$A$5:$A$24,0)),"Аренда техники / механизмы")</f>
        <v>Сантехник</v>
      </c>
      <c r="F1658" s="14">
        <v>4500</v>
      </c>
      <c r="G1658" s="14">
        <v>5175</v>
      </c>
      <c r="H1658" s="15">
        <v>2800</v>
      </c>
      <c r="I1658" s="15">
        <f>IF(OR(H1658="",F1658=""),"",MAX(H1658,MIN(ROUND(H1658*(1+Параметры!$B$5),IF(H1658*(1+Параметры!$B$5)&gt;=1000,-1,0)),ROUND(F1658*Параметры!$B$6,IF(F1658*Параметры!$B$6&gt;=1000,-1,0)))))</f>
        <v>3220</v>
      </c>
      <c r="J1658" s="15">
        <v>3220</v>
      </c>
      <c r="K1658" s="15">
        <f>IF(OR(J1658="",G1658=""),"",MAX(J1658,MIN(ROUND(J1658*(1+Параметры!$B$5),IF(J1658*(1+Параметры!$B$5)&gt;=1000,-1,0)),ROUND(G1658*Параметры!$B$6,IF(G1658*Параметры!$B$6&gt;=1000,-1,0)))))</f>
        <v>3700</v>
      </c>
      <c r="L1658" s="16">
        <v>3</v>
      </c>
      <c r="M1658" s="17">
        <f t="shared" si="120"/>
        <v>0.33333333333333331</v>
      </c>
      <c r="N1658" s="17">
        <f>IF(OR(L1658="",L1658=0),"",Параметры!$B$3/L1658)</f>
        <v>2.6666666666666665</v>
      </c>
      <c r="O1658" s="15">
        <f>IF(L1658="","",IFERROR(INDEX('Почасовка — ставки и план'!$D$5:$D$24,MATCH($D1658,'Почасовка — ставки и план'!$A$5:$A$24,0)),""))</f>
        <v>850</v>
      </c>
      <c r="P1658" s="15">
        <f>IF(L1658="","",IFERROR(INDEX('Почасовка — ставки и план'!$E$5:$E$24,MATCH($D1658,'Почасовка — ставки и план'!$A$5:$A$24,0)),""))</f>
        <v>1020</v>
      </c>
      <c r="Q1658" s="15">
        <f t="shared" si="121"/>
        <v>2550</v>
      </c>
      <c r="R1658" s="13" t="str">
        <f>IF(D1658="TEX","аренда техники — сделка/счёт",IF(OR(Q1658="",H1658="",H1658=0),"—",IF(Q1658&lt;H1658*(1-Параметры!$B$7),"почасовка",IF(Q1658&gt;H1658*(1+Параметры!$B$7),"сделка","любой способ"))))</f>
        <v>любой способ</v>
      </c>
      <c r="S1658">
        <v>0</v>
      </c>
      <c r="T1658">
        <v>0</v>
      </c>
    </row>
    <row r="1659" spans="1:20" x14ac:dyDescent="0.25">
      <c r="A1659" s="13" t="s">
        <v>3359</v>
      </c>
      <c r="B1659" s="13" t="s">
        <v>3360</v>
      </c>
      <c r="C1659" s="13" t="s">
        <v>144</v>
      </c>
      <c r="D1659" s="13" t="s">
        <v>326</v>
      </c>
      <c r="E1659" s="13" t="str">
        <f>IFERROR(INDEX('Почасовка — ставки и план'!$B$5:$B$24,MATCH(D1659,'Почасовка — ставки и план'!$A$5:$A$24,0)),"Аренда техники / механизмы")</f>
        <v>Сантехник</v>
      </c>
      <c r="F1659" s="14">
        <v>5300</v>
      </c>
      <c r="G1659" s="14">
        <v>6095</v>
      </c>
      <c r="H1659" s="15">
        <v>3300</v>
      </c>
      <c r="I1659" s="15">
        <f>IF(OR(H1659="",F1659=""),"",MAX(H1659,MIN(ROUND(H1659*(1+Параметры!$B$5),IF(H1659*(1+Параметры!$B$5)&gt;=1000,-1,0)),ROUND(F1659*Параметры!$B$6,IF(F1659*Параметры!$B$6&gt;=1000,-1,0)))))</f>
        <v>3800</v>
      </c>
      <c r="J1659" s="15">
        <v>3795</v>
      </c>
      <c r="K1659" s="15">
        <f>IF(OR(J1659="",G1659=""),"",MAX(J1659,MIN(ROUND(J1659*(1+Параметры!$B$5),IF(J1659*(1+Параметры!$B$5)&gt;=1000,-1,0)),ROUND(G1659*Параметры!$B$6,IF(G1659*Параметры!$B$6&gt;=1000,-1,0)))))</f>
        <v>4360</v>
      </c>
      <c r="L1659" s="16">
        <v>3.5</v>
      </c>
      <c r="M1659" s="17">
        <f t="shared" si="120"/>
        <v>0.2857142857142857</v>
      </c>
      <c r="N1659" s="17">
        <f>IF(OR(L1659="",L1659=0),"",Параметры!$B$3/L1659)</f>
        <v>2.2857142857142856</v>
      </c>
      <c r="O1659" s="15">
        <f>IF(L1659="","",IFERROR(INDEX('Почасовка — ставки и план'!$D$5:$D$24,MATCH($D1659,'Почасовка — ставки и план'!$A$5:$A$24,0)),""))</f>
        <v>850</v>
      </c>
      <c r="P1659" s="15">
        <f>IF(L1659="","",IFERROR(INDEX('Почасовка — ставки и план'!$E$5:$E$24,MATCH($D1659,'Почасовка — ставки и план'!$A$5:$A$24,0)),""))</f>
        <v>1020</v>
      </c>
      <c r="Q1659" s="15">
        <f t="shared" si="121"/>
        <v>2975</v>
      </c>
      <c r="R1659" s="13" t="str">
        <f>IF(D1659="TEX","аренда техники — сделка/счёт",IF(OR(Q1659="",H1659="",H1659=0),"—",IF(Q1659&lt;H1659*(1-Параметры!$B$7),"почасовка",IF(Q1659&gt;H1659*(1+Параметры!$B$7),"сделка","любой способ"))))</f>
        <v>любой способ</v>
      </c>
      <c r="S1659">
        <v>0</v>
      </c>
      <c r="T1659">
        <v>0</v>
      </c>
    </row>
    <row r="1660" spans="1:20" x14ac:dyDescent="0.25">
      <c r="A1660" s="13" t="s">
        <v>3361</v>
      </c>
      <c r="B1660" s="13" t="s">
        <v>3362</v>
      </c>
      <c r="C1660" s="13" t="s">
        <v>144</v>
      </c>
      <c r="D1660" s="13" t="s">
        <v>326</v>
      </c>
      <c r="E1660" s="13" t="str">
        <f>IFERROR(INDEX('Почасовка — ставки и план'!$B$5:$B$24,MATCH(D1660,'Почасовка — ставки и план'!$A$5:$A$24,0)),"Аренда техники / механизмы")</f>
        <v>Сантехник</v>
      </c>
      <c r="F1660" s="14">
        <v>7500</v>
      </c>
      <c r="G1660" s="14">
        <v>8625</v>
      </c>
      <c r="H1660" s="15">
        <v>4700</v>
      </c>
      <c r="I1660" s="15">
        <f>IF(OR(H1660="",F1660=""),"",MAX(H1660,MIN(ROUND(H1660*(1+Параметры!$B$5),IF(H1660*(1+Параметры!$B$5)&gt;=1000,-1,0)),ROUND(F1660*Параметры!$B$6,IF(F1660*Параметры!$B$6&gt;=1000,-1,0)))))</f>
        <v>5410</v>
      </c>
      <c r="J1660" s="15">
        <v>5405</v>
      </c>
      <c r="K1660" s="15">
        <f>IF(OR(J1660="",G1660=""),"",MAX(J1660,MIN(ROUND(J1660*(1+Параметры!$B$5),IF(J1660*(1+Параметры!$B$5)&gt;=1000,-1,0)),ROUND(G1660*Параметры!$B$6,IF(G1660*Параметры!$B$6&gt;=1000,-1,0)))))</f>
        <v>6220</v>
      </c>
      <c r="L1660" s="16">
        <v>5</v>
      </c>
      <c r="M1660" s="17">
        <f t="shared" si="120"/>
        <v>0.2</v>
      </c>
      <c r="N1660" s="17">
        <f>IF(OR(L1660="",L1660=0),"",Параметры!$B$3/L1660)</f>
        <v>1.6</v>
      </c>
      <c r="O1660" s="15">
        <f>IF(L1660="","",IFERROR(INDEX('Почасовка — ставки и план'!$D$5:$D$24,MATCH($D1660,'Почасовка — ставки и план'!$A$5:$A$24,0)),""))</f>
        <v>850</v>
      </c>
      <c r="P1660" s="15">
        <f>IF(L1660="","",IFERROR(INDEX('Почасовка — ставки и план'!$E$5:$E$24,MATCH($D1660,'Почасовка — ставки и план'!$A$5:$A$24,0)),""))</f>
        <v>1020</v>
      </c>
      <c r="Q1660" s="15">
        <f t="shared" si="121"/>
        <v>4250</v>
      </c>
      <c r="R1660" s="13" t="str">
        <f>IF(D1660="TEX","аренда техники — сделка/счёт",IF(OR(Q1660="",H1660="",H1660=0),"—",IF(Q1660&lt;H1660*(1-Параметры!$B$7),"почасовка",IF(Q1660&gt;H1660*(1+Параметры!$B$7),"сделка","любой способ"))))</f>
        <v>любой способ</v>
      </c>
      <c r="S1660">
        <v>0</v>
      </c>
      <c r="T1660">
        <v>0</v>
      </c>
    </row>
    <row r="1661" spans="1:20" x14ac:dyDescent="0.25">
      <c r="A1661" s="13" t="s">
        <v>3363</v>
      </c>
      <c r="B1661" s="13" t="s">
        <v>3364</v>
      </c>
      <c r="C1661" s="13" t="s">
        <v>144</v>
      </c>
      <c r="D1661" s="13" t="s">
        <v>326</v>
      </c>
      <c r="E1661" s="13" t="str">
        <f>IFERROR(INDEX('Почасовка — ставки и план'!$B$5:$B$24,MATCH(D1661,'Почасовка — ставки и план'!$A$5:$A$24,0)),"Аренда техники / механизмы")</f>
        <v>Сантехник</v>
      </c>
      <c r="F1661" s="14">
        <v>1000</v>
      </c>
      <c r="G1661" s="14">
        <v>1150</v>
      </c>
      <c r="H1661" s="15">
        <v>630</v>
      </c>
      <c r="I1661" s="15">
        <f>IF(OR(H1661="",F1661=""),"",MAX(H1661,MIN(ROUND(H1661*(1+Параметры!$B$5),IF(H1661*(1+Параметры!$B$5)&gt;=1000,-1,0)),ROUND(F1661*Параметры!$B$6,IF(F1661*Параметры!$B$6&gt;=1000,-1,0)))))</f>
        <v>725</v>
      </c>
      <c r="J1661" s="15">
        <v>724</v>
      </c>
      <c r="K1661" s="15">
        <f>IF(OR(J1661="",G1661=""),"",MAX(J1661,MIN(ROUND(J1661*(1+Параметры!$B$5),IF(J1661*(1+Параметры!$B$5)&gt;=1000,-1,0)),ROUND(G1661*Параметры!$B$6,IF(G1661*Параметры!$B$6&gt;=1000,-1,0)))))</f>
        <v>833</v>
      </c>
      <c r="L1661" s="16">
        <v>0.7</v>
      </c>
      <c r="M1661" s="17">
        <f t="shared" si="120"/>
        <v>1.4285714285714286</v>
      </c>
      <c r="N1661" s="17">
        <f>IF(OR(L1661="",L1661=0),"",Параметры!$B$3/L1661)</f>
        <v>11.428571428571429</v>
      </c>
      <c r="O1661" s="15">
        <f>IF(L1661="","",IFERROR(INDEX('Почасовка — ставки и план'!$D$5:$D$24,MATCH($D1661,'Почасовка — ставки и план'!$A$5:$A$24,0)),""))</f>
        <v>850</v>
      </c>
      <c r="P1661" s="15">
        <f>IF(L1661="","",IFERROR(INDEX('Почасовка — ставки и план'!$E$5:$E$24,MATCH($D1661,'Почасовка — ставки и план'!$A$5:$A$24,0)),""))</f>
        <v>1020</v>
      </c>
      <c r="Q1661" s="15">
        <f t="shared" si="121"/>
        <v>595</v>
      </c>
      <c r="R1661" s="13" t="str">
        <f>IF(D1661="TEX","аренда техники — сделка/счёт",IF(OR(Q1661="",H1661="",H1661=0),"—",IF(Q1661&lt;H1661*(1-Параметры!$B$7),"почасовка",IF(Q1661&gt;H1661*(1+Параметры!$B$7),"сделка","любой способ"))))</f>
        <v>любой способ</v>
      </c>
      <c r="S1661">
        <v>0</v>
      </c>
      <c r="T1661">
        <v>0</v>
      </c>
    </row>
    <row r="1662" spans="1:20" x14ac:dyDescent="0.25">
      <c r="A1662" s="13" t="s">
        <v>3365</v>
      </c>
      <c r="B1662" s="13" t="s">
        <v>3366</v>
      </c>
      <c r="C1662" s="13" t="s">
        <v>144</v>
      </c>
      <c r="D1662" s="13" t="s">
        <v>326</v>
      </c>
      <c r="E1662" s="13" t="str">
        <f>IFERROR(INDEX('Почасовка — ставки и план'!$B$5:$B$24,MATCH(D1662,'Почасовка — ставки и план'!$A$5:$A$24,0)),"Аренда техники / механизмы")</f>
        <v>Сантехник</v>
      </c>
      <c r="F1662" s="14">
        <v>7000</v>
      </c>
      <c r="G1662" s="14">
        <v>8050</v>
      </c>
      <c r="H1662" s="15">
        <v>4400</v>
      </c>
      <c r="I1662" s="15">
        <f>IF(OR(H1662="",F1662=""),"",MAX(H1662,MIN(ROUND(H1662*(1+Параметры!$B$5),IF(H1662*(1+Параметры!$B$5)&gt;=1000,-1,0)),ROUND(F1662*Параметры!$B$6,IF(F1662*Параметры!$B$6&gt;=1000,-1,0)))))</f>
        <v>5060</v>
      </c>
      <c r="J1662" s="15">
        <v>5060</v>
      </c>
      <c r="K1662" s="15">
        <f>IF(OR(J1662="",G1662=""),"",MAX(J1662,MIN(ROUND(J1662*(1+Параметры!$B$5),IF(J1662*(1+Параметры!$B$5)&gt;=1000,-1,0)),ROUND(G1662*Параметры!$B$6,IF(G1662*Параметры!$B$6&gt;=1000,-1,0)))))</f>
        <v>5820</v>
      </c>
      <c r="L1662" s="16">
        <v>5</v>
      </c>
      <c r="M1662" s="17">
        <f t="shared" si="120"/>
        <v>0.2</v>
      </c>
      <c r="N1662" s="17">
        <f>IF(OR(L1662="",L1662=0),"",Параметры!$B$3/L1662)</f>
        <v>1.6</v>
      </c>
      <c r="O1662" s="15">
        <f>IF(L1662="","",IFERROR(INDEX('Почасовка — ставки и план'!$D$5:$D$24,MATCH($D1662,'Почасовка — ставки и план'!$A$5:$A$24,0)),""))</f>
        <v>850</v>
      </c>
      <c r="P1662" s="15">
        <f>IF(L1662="","",IFERROR(INDEX('Почасовка — ставки и план'!$E$5:$E$24,MATCH($D1662,'Почасовка — ставки и план'!$A$5:$A$24,0)),""))</f>
        <v>1020</v>
      </c>
      <c r="Q1662" s="15">
        <f t="shared" si="121"/>
        <v>4250</v>
      </c>
      <c r="R1662" s="13" t="str">
        <f>IF(D1662="TEX","аренда техники — сделка/счёт",IF(OR(Q1662="",H1662="",H1662=0),"—",IF(Q1662&lt;H1662*(1-Параметры!$B$7),"почасовка",IF(Q1662&gt;H1662*(1+Параметры!$B$7),"сделка","любой способ"))))</f>
        <v>любой способ</v>
      </c>
      <c r="S1662">
        <v>0</v>
      </c>
      <c r="T1662">
        <v>0</v>
      </c>
    </row>
    <row r="1663" spans="1:20" x14ac:dyDescent="0.25">
      <c r="A1663" s="13" t="s">
        <v>3367</v>
      </c>
      <c r="B1663" s="13" t="s">
        <v>3368</v>
      </c>
      <c r="C1663" s="13" t="s">
        <v>144</v>
      </c>
      <c r="D1663" s="13" t="s">
        <v>64</v>
      </c>
      <c r="E1663" s="13" t="str">
        <f>IFERROR(INDEX('Почасовка — ставки и план'!$B$5:$B$24,MATCH(D1663,'Почасовка — ставки и план'!$A$5:$A$24,0)),"Аренда техники / механизмы")</f>
        <v>Сварщик / монтажник МК</v>
      </c>
      <c r="F1663" s="14">
        <v>720</v>
      </c>
      <c r="G1663" s="14">
        <v>864</v>
      </c>
      <c r="H1663" s="15">
        <v>440</v>
      </c>
      <c r="I1663" s="15">
        <f>IF(OR(H1663="",F1663=""),"",MAX(H1663,MIN(ROUND(H1663*(1+Параметры!$B$5),IF(H1663*(1+Параметры!$B$5)&gt;=1000,-1,0)),ROUND(F1663*Параметры!$B$6,IF(F1663*Параметры!$B$6&gt;=1000,-1,0)))))</f>
        <v>506</v>
      </c>
      <c r="J1663" s="15">
        <v>506</v>
      </c>
      <c r="K1663" s="15">
        <f>IF(OR(J1663="",G1663=""),"",MAX(J1663,MIN(ROUND(J1663*(1+Параметры!$B$5),IF(J1663*(1+Параметры!$B$5)&gt;=1000,-1,0)),ROUND(G1663*Параметры!$B$6,IF(G1663*Параметры!$B$6&gt;=1000,-1,0)))))</f>
        <v>582</v>
      </c>
      <c r="L1663" s="16">
        <v>0.6</v>
      </c>
      <c r="M1663" s="17">
        <f t="shared" si="120"/>
        <v>1.6666666666666667</v>
      </c>
      <c r="N1663" s="17">
        <f>IF(OR(L1663="",L1663=0),"",Параметры!$B$3/L1663)</f>
        <v>13.333333333333334</v>
      </c>
      <c r="O1663" s="15">
        <f>IF(L1663="","",IFERROR(INDEX('Почасовка — ставки и план'!$D$5:$D$24,MATCH($D1663,'Почасовка — ставки и план'!$A$5:$A$24,0)),""))</f>
        <v>900</v>
      </c>
      <c r="P1663" s="15">
        <f>IF(L1663="","",IFERROR(INDEX('Почасовка — ставки и план'!$E$5:$E$24,MATCH($D1663,'Почасовка — ставки и план'!$A$5:$A$24,0)),""))</f>
        <v>1080</v>
      </c>
      <c r="Q1663" s="15">
        <f t="shared" si="121"/>
        <v>540</v>
      </c>
      <c r="R1663" s="13" t="str">
        <f>IF(D1663="TEX","аренда техники — сделка/счёт",IF(OR(Q1663="",H1663="",H1663=0),"—",IF(Q1663&lt;H1663*(1-Параметры!$B$7),"почасовка",IF(Q1663&gt;H1663*(1+Параметры!$B$7),"сделка","любой способ"))))</f>
        <v>сделка</v>
      </c>
      <c r="S1663">
        <v>2.857142857142847E-2</v>
      </c>
      <c r="T1663">
        <v>7.3291925465838403E-2</v>
      </c>
    </row>
    <row r="1664" spans="1:20" x14ac:dyDescent="0.25">
      <c r="A1664" s="13" t="s">
        <v>3369</v>
      </c>
      <c r="B1664" s="13" t="s">
        <v>3370</v>
      </c>
      <c r="C1664" s="13" t="s">
        <v>144</v>
      </c>
      <c r="D1664" s="13" t="s">
        <v>64</v>
      </c>
      <c r="E1664" s="13" t="str">
        <f>IFERROR(INDEX('Почасовка — ставки и план'!$B$5:$B$24,MATCH(D1664,'Почасовка — ставки и план'!$A$5:$A$24,0)),"Аренда техники / механизмы")</f>
        <v>Сварщик / монтажник МК</v>
      </c>
      <c r="F1664" s="14">
        <v>1200</v>
      </c>
      <c r="G1664" s="14">
        <v>1440</v>
      </c>
      <c r="H1664" s="15">
        <v>690</v>
      </c>
      <c r="I1664" s="15">
        <f>IF(OR(H1664="",F1664=""),"",MAX(H1664,MIN(ROUND(H1664*(1+Параметры!$B$5),IF(H1664*(1+Параметры!$B$5)&gt;=1000,-1,0)),ROUND(F1664*Параметры!$B$6,IF(F1664*Параметры!$B$6&gt;=1000,-1,0)))))</f>
        <v>794</v>
      </c>
      <c r="J1664" s="15">
        <v>793</v>
      </c>
      <c r="K1664" s="15">
        <f>IF(OR(J1664="",G1664=""),"",MAX(J1664,MIN(ROUND(J1664*(1+Параметры!$B$5),IF(J1664*(1+Параметры!$B$5)&gt;=1000,-1,0)),ROUND(G1664*Параметры!$B$6,IF(G1664*Параметры!$B$6&gt;=1000,-1,0)))))</f>
        <v>912</v>
      </c>
      <c r="L1664" s="16">
        <v>1</v>
      </c>
      <c r="M1664" s="17">
        <f t="shared" si="120"/>
        <v>1</v>
      </c>
      <c r="N1664" s="17">
        <f>IF(OR(L1664="",L1664=0),"",Параметры!$B$3/L1664)</f>
        <v>8</v>
      </c>
      <c r="O1664" s="15">
        <f>IF(L1664="","",IFERROR(INDEX('Почасовка — ставки и план'!$D$5:$D$24,MATCH($D1664,'Почасовка — ставки и план'!$A$5:$A$24,0)),""))</f>
        <v>900</v>
      </c>
      <c r="P1664" s="15">
        <f>IF(L1664="","",IFERROR(INDEX('Почасовка — ставки и план'!$E$5:$E$24,MATCH($D1664,'Почасовка — ставки и план'!$A$5:$A$24,0)),""))</f>
        <v>1080</v>
      </c>
      <c r="Q1664" s="15">
        <f t="shared" si="121"/>
        <v>900</v>
      </c>
      <c r="R1664" s="13" t="str">
        <f>IF(D1664="TEX","аренда техники — сделка/счёт",IF(OR(Q1664="",H1664="",H1664=0),"—",IF(Q1664&lt;H1664*(1-Параметры!$B$7),"почасовка",IF(Q1664&gt;H1664*(1+Параметры!$B$7),"сделка","любой способ"))))</f>
        <v>сделка</v>
      </c>
      <c r="S1664">
        <v>9.0909090909090828E-2</v>
      </c>
      <c r="T1664">
        <v>0.13833992094861669</v>
      </c>
    </row>
    <row r="1665" spans="1:20" x14ac:dyDescent="0.25">
      <c r="A1665" s="13" t="s">
        <v>3371</v>
      </c>
      <c r="B1665" s="13" t="s">
        <v>3372</v>
      </c>
      <c r="C1665" s="13" t="s">
        <v>144</v>
      </c>
      <c r="D1665" s="13" t="s">
        <v>326</v>
      </c>
      <c r="E1665" s="13" t="str">
        <f>IFERROR(INDEX('Почасовка — ставки и план'!$B$5:$B$24,MATCH(D1665,'Почасовка — ставки и план'!$A$5:$A$24,0)),"Аренда техники / механизмы")</f>
        <v>Сантехник</v>
      </c>
      <c r="F1665" s="14">
        <v>680</v>
      </c>
      <c r="G1665" s="14">
        <v>816</v>
      </c>
      <c r="H1665" s="15">
        <v>400</v>
      </c>
      <c r="I1665" s="15">
        <f>IF(OR(H1665="",F1665=""),"",MAX(H1665,MIN(ROUND(H1665*(1+Параметры!$B$5),IF(H1665*(1+Параметры!$B$5)&gt;=1000,-1,0)),ROUND(F1665*Параметры!$B$6,IF(F1665*Параметры!$B$6&gt;=1000,-1,0)))))</f>
        <v>460</v>
      </c>
      <c r="J1665" s="15">
        <v>460</v>
      </c>
      <c r="K1665" s="15">
        <f>IF(OR(J1665="",G1665=""),"",MAX(J1665,MIN(ROUND(J1665*(1+Параметры!$B$5),IF(J1665*(1+Параметры!$B$5)&gt;=1000,-1,0)),ROUND(G1665*Параметры!$B$6,IF(G1665*Параметры!$B$6&gt;=1000,-1,0)))))</f>
        <v>529</v>
      </c>
      <c r="L1665" s="16">
        <v>0.6</v>
      </c>
      <c r="M1665" s="17">
        <f t="shared" si="120"/>
        <v>1.6666666666666667</v>
      </c>
      <c r="N1665" s="17">
        <f>IF(OR(L1665="",L1665=0),"",Параметры!$B$3/L1665)</f>
        <v>13.333333333333334</v>
      </c>
      <c r="O1665" s="15">
        <f>IF(L1665="","",IFERROR(INDEX('Почасовка — ставки и план'!$D$5:$D$24,MATCH($D1665,'Почасовка — ставки и план'!$A$5:$A$24,0)),""))</f>
        <v>850</v>
      </c>
      <c r="P1665" s="15">
        <f>IF(L1665="","",IFERROR(INDEX('Почасовка — ставки и план'!$E$5:$E$24,MATCH($D1665,'Почасовка — ставки и план'!$A$5:$A$24,0)),""))</f>
        <v>1020</v>
      </c>
      <c r="Q1665" s="15">
        <f t="shared" si="121"/>
        <v>510</v>
      </c>
      <c r="R1665" s="13" t="str">
        <f>IF(D1665="TEX","аренда техники — сделка/счёт",IF(OR(Q1665="",H1665="",H1665=0),"—",IF(Q1665&lt;H1665*(1-Параметры!$B$7),"почасовка",IF(Q1665&gt;H1665*(1+Параметры!$B$7),"сделка","любой способ"))))</f>
        <v>сделка</v>
      </c>
      <c r="S1665">
        <v>4.6153846153846212E-2</v>
      </c>
      <c r="T1665">
        <v>9.2369477911646625E-2</v>
      </c>
    </row>
    <row r="1666" spans="1:20" x14ac:dyDescent="0.25">
      <c r="A1666" s="18" t="s">
        <v>3373</v>
      </c>
      <c r="B1666" s="13" t="s">
        <v>3374</v>
      </c>
      <c r="C1666" s="13" t="s">
        <v>3179</v>
      </c>
      <c r="D1666" s="13" t="s">
        <v>326</v>
      </c>
      <c r="E1666" s="13" t="str">
        <f>IFERROR(INDEX('Почасовка — ставки и план'!$B$5:$B$24,MATCH(D1666,'Почасовка — ставки и план'!$A$5:$A$24,0)),"Аренда техники / механизмы")</f>
        <v>Сантехник</v>
      </c>
      <c r="F1666" s="14">
        <v>2800</v>
      </c>
      <c r="G1666" s="14">
        <v>3220</v>
      </c>
      <c r="H1666" s="15">
        <v>1750</v>
      </c>
      <c r="I1666" s="15">
        <f>IF(OR(H1666="",F1666=""),"",MAX(H1666,MIN(ROUND(H1666*(1+Параметры!$B$5),IF(H1666*(1+Параметры!$B$5)&gt;=1000,-1,0)),ROUND(F1666*Параметры!$B$6,IF(F1666*Параметры!$B$6&gt;=1000,-1,0)))))</f>
        <v>2010</v>
      </c>
      <c r="J1666" s="15">
        <v>2012</v>
      </c>
      <c r="K1666" s="15">
        <f>IF(OR(J1666="",G1666=""),"",MAX(J1666,MIN(ROUND(J1666*(1+Параметры!$B$5),IF(J1666*(1+Параметры!$B$5)&gt;=1000,-1,0)),ROUND(G1666*Параметры!$B$6,IF(G1666*Параметры!$B$6&gt;=1000,-1,0)))))</f>
        <v>2310</v>
      </c>
      <c r="L1666" s="16">
        <v>2</v>
      </c>
      <c r="M1666" s="17">
        <f t="shared" si="120"/>
        <v>0.5</v>
      </c>
      <c r="N1666" s="17">
        <f>IF(OR(L1666="",L1666=0),"",Параметры!$B$3/L1666)</f>
        <v>4</v>
      </c>
      <c r="O1666" s="15">
        <f>IF(L1666="","",IFERROR(INDEX('Почасовка — ставки и план'!$D$5:$D$24,MATCH($D1666,'Почасовка — ставки и план'!$A$5:$A$24,0)),""))</f>
        <v>850</v>
      </c>
      <c r="P1666" s="15">
        <f>IF(L1666="","",IFERROR(INDEX('Почасовка — ставки и план'!$E$5:$E$24,MATCH($D1666,'Почасовка — ставки и план'!$A$5:$A$24,0)),""))</f>
        <v>1020</v>
      </c>
      <c r="Q1666" s="15">
        <f t="shared" si="121"/>
        <v>1700</v>
      </c>
      <c r="R1666" s="13" t="str">
        <f>IF(D1666="TEX","аренда техники — сделка/счёт",IF(OR(Q1666="",H1666="",H1666=0),"—",IF(Q1666&lt;H1666*(1-Параметры!$B$7),"почасовка",IF(Q1666&gt;H1666*(1+Параметры!$B$7),"сделка","любой способ"))))</f>
        <v>любой способ</v>
      </c>
      <c r="S1666">
        <v>0</v>
      </c>
      <c r="T1666">
        <v>0</v>
      </c>
    </row>
    <row r="1667" spans="1:20" x14ac:dyDescent="0.25">
      <c r="A1667" s="18" t="s">
        <v>3375</v>
      </c>
      <c r="B1667" s="13" t="s">
        <v>3376</v>
      </c>
      <c r="C1667" s="13" t="s">
        <v>72</v>
      </c>
      <c r="D1667" s="13" t="s">
        <v>326</v>
      </c>
      <c r="E1667" s="13" t="str">
        <f>IFERROR(INDEX('Почасовка — ставки и план'!$B$5:$B$24,MATCH(D1667,'Почасовка — ставки и план'!$A$5:$A$24,0)),"Аренда техники / механизмы")</f>
        <v>Сантехник</v>
      </c>
      <c r="F1667" s="14">
        <v>907</v>
      </c>
      <c r="G1667" s="14">
        <v>1088</v>
      </c>
      <c r="H1667" s="15">
        <v>560</v>
      </c>
      <c r="I1667" s="15">
        <f>IF(OR(H1667="",F1667=""),"",MAX(H1667,MIN(ROUND(H1667*(1+Параметры!$B$5),IF(H1667*(1+Параметры!$B$5)&gt;=1000,-1,0)),ROUND(F1667*Параметры!$B$6,IF(F1667*Параметры!$B$6&gt;=1000,-1,0)))))</f>
        <v>644</v>
      </c>
      <c r="J1667" s="15">
        <v>644</v>
      </c>
      <c r="K1667" s="15">
        <f>IF(OR(J1667="",G1667=""),"",MAX(J1667,MIN(ROUND(J1667*(1+Параметры!$B$5),IF(J1667*(1+Параметры!$B$5)&gt;=1000,-1,0)),ROUND(G1667*Параметры!$B$6,IF(G1667*Параметры!$B$6&gt;=1000,-1,0)))))</f>
        <v>741</v>
      </c>
      <c r="L1667" s="16">
        <v>0.8</v>
      </c>
      <c r="M1667" s="17">
        <f t="shared" si="120"/>
        <v>1.25</v>
      </c>
      <c r="N1667" s="17">
        <f>IF(OR(L1667="",L1667=0),"",Параметры!$B$3/L1667)</f>
        <v>10</v>
      </c>
      <c r="O1667" s="15">
        <f>IF(L1667="","",IFERROR(INDEX('Почасовка — ставки и план'!$D$5:$D$24,MATCH($D1667,'Почасовка — ставки и план'!$A$5:$A$24,0)),""))</f>
        <v>850</v>
      </c>
      <c r="P1667" s="15">
        <f>IF(L1667="","",IFERROR(INDEX('Почасовка — ставки и план'!$E$5:$E$24,MATCH($D1667,'Почасовка — ставки и план'!$A$5:$A$24,0)),""))</f>
        <v>1020</v>
      </c>
      <c r="Q1667" s="15">
        <f t="shared" si="121"/>
        <v>680</v>
      </c>
      <c r="R1667" s="13" t="str">
        <f>IF(D1667="TEX","аренда техники — сделка/счёт",IF(OR(Q1667="",H1667="",H1667=0),"—",IF(Q1667&lt;H1667*(1-Параметры!$B$7),"почасовка",IF(Q1667&gt;H1667*(1+Параметры!$B$7),"сделка","любой способ"))))</f>
        <v>сделка</v>
      </c>
      <c r="S1667">
        <v>7.7777777777778834E-3</v>
      </c>
      <c r="T1667">
        <v>5.1207729468599077E-2</v>
      </c>
    </row>
    <row r="1668" spans="1:20" x14ac:dyDescent="0.25">
      <c r="A1668" s="18" t="s">
        <v>3377</v>
      </c>
      <c r="B1668" s="13" t="s">
        <v>3378</v>
      </c>
      <c r="C1668" s="13" t="s">
        <v>865</v>
      </c>
      <c r="D1668" s="13" t="s">
        <v>326</v>
      </c>
      <c r="E1668" s="13" t="str">
        <f>IFERROR(INDEX('Почасовка — ставки и план'!$B$5:$B$24,MATCH(D1668,'Почасовка — ставки и план'!$A$5:$A$24,0)),"Аренда техники / механизмы")</f>
        <v>Сантехник</v>
      </c>
      <c r="F1668" s="14">
        <v>9000</v>
      </c>
      <c r="G1668" s="14">
        <v>10350</v>
      </c>
      <c r="H1668" s="15">
        <v>5500</v>
      </c>
      <c r="I1668" s="15">
        <f>IF(OR(H1668="",F1668=""),"",MAX(H1668,MIN(ROUND(H1668*(1+Параметры!$B$5),IF(H1668*(1+Параметры!$B$5)&gt;=1000,-1,0)),ROUND(F1668*Параметры!$B$6,IF(F1668*Параметры!$B$6&gt;=1000,-1,0)))))</f>
        <v>6330</v>
      </c>
      <c r="J1668" s="15">
        <v>6325</v>
      </c>
      <c r="K1668" s="15">
        <f>IF(OR(J1668="",G1668=""),"",MAX(J1668,MIN(ROUND(J1668*(1+Параметры!$B$5),IF(J1668*(1+Параметры!$B$5)&gt;=1000,-1,0)),ROUND(G1668*Параметры!$B$6,IF(G1668*Параметры!$B$6&gt;=1000,-1,0)))))</f>
        <v>7270</v>
      </c>
      <c r="L1668" s="16">
        <v>6</v>
      </c>
      <c r="M1668" s="17">
        <f t="shared" si="120"/>
        <v>0.16666666666666666</v>
      </c>
      <c r="N1668" s="17">
        <f>IF(OR(L1668="",L1668=0),"",Параметры!$B$3/L1668)</f>
        <v>1.3333333333333333</v>
      </c>
      <c r="O1668" s="15">
        <f>IF(L1668="","",IFERROR(INDEX('Почасовка — ставки и план'!$D$5:$D$24,MATCH($D1668,'Почасовка — ставки и план'!$A$5:$A$24,0)),""))</f>
        <v>850</v>
      </c>
      <c r="P1668" s="15">
        <f>IF(L1668="","",IFERROR(INDEX('Почасовка — ставки и план'!$E$5:$E$24,MATCH($D1668,'Почасовка — ставки и план'!$A$5:$A$24,0)),""))</f>
        <v>1020</v>
      </c>
      <c r="Q1668" s="15">
        <f t="shared" si="121"/>
        <v>5100</v>
      </c>
      <c r="R1668" s="13" t="str">
        <f>IF(D1668="TEX","аренда техники — сделка/счёт",IF(OR(Q1668="",H1668="",H1668=0),"—",IF(Q1668&lt;H1668*(1-Параметры!$B$7),"почасовка",IF(Q1668&gt;H1668*(1+Параметры!$B$7),"сделка","любой способ"))))</f>
        <v>любой способ</v>
      </c>
      <c r="S1668">
        <v>0</v>
      </c>
      <c r="T1668">
        <v>0</v>
      </c>
    </row>
    <row r="1669" spans="1:20" x14ac:dyDescent="0.25">
      <c r="A1669" s="11" t="s">
        <v>3379</v>
      </c>
      <c r="B1669" s="12"/>
      <c r="C1669" s="12"/>
      <c r="D1669" s="12"/>
      <c r="E1669" s="12"/>
      <c r="F1669" s="12"/>
      <c r="G1669" s="12"/>
      <c r="H1669" s="12"/>
      <c r="I1669" s="12"/>
      <c r="J1669" s="12"/>
      <c r="K1669" s="12"/>
      <c r="L1669" s="12"/>
      <c r="M1669" s="12"/>
      <c r="N1669" s="12"/>
      <c r="O1669" s="12"/>
      <c r="P1669" s="12"/>
      <c r="Q1669" s="12"/>
      <c r="R1669" s="12"/>
    </row>
    <row r="1670" spans="1:20" x14ac:dyDescent="0.25">
      <c r="A1670" s="13" t="s">
        <v>3380</v>
      </c>
      <c r="B1670" s="13" t="s">
        <v>3381</v>
      </c>
      <c r="C1670" s="13" t="s">
        <v>72</v>
      </c>
      <c r="D1670" s="13" t="s">
        <v>56</v>
      </c>
      <c r="E1670" s="13" t="str">
        <f>IFERROR(INDEX('Почасовка — ставки и план'!$B$5:$B$24,MATCH(D1670,'Почасовка — ставки и план'!$A$5:$A$24,0)),"Аренда техники / механизмы")</f>
        <v>Дорожный рабочий / благоустройство</v>
      </c>
      <c r="F1670" s="14">
        <v>8</v>
      </c>
      <c r="G1670" s="14">
        <v>9</v>
      </c>
      <c r="H1670" s="15">
        <v>5</v>
      </c>
      <c r="I1670" s="15">
        <f>IF(OR(H1670="",F1670=""),"",MAX(H1670,MIN(ROUND(H1670*(1+Параметры!$B$5),IF(H1670*(1+Параметры!$B$5)&gt;=1000,-1,0)),ROUND(F1670*Параметры!$B$6,IF(F1670*Параметры!$B$6&gt;=1000,-1,0)))))</f>
        <v>6</v>
      </c>
      <c r="J1670" s="15">
        <v>6</v>
      </c>
      <c r="K1670" s="15">
        <f>IF(OR(J1670="",G1670=""),"",MAX(J1670,MIN(ROUND(J1670*(1+Параметры!$B$5),IF(J1670*(1+Параметры!$B$5)&gt;=1000,-1,0)),ROUND(G1670*Параметры!$B$6,IF(G1670*Параметры!$B$6&gt;=1000,-1,0)))))</f>
        <v>7</v>
      </c>
      <c r="L1670" s="16">
        <v>6.0000000000000001E-3</v>
      </c>
      <c r="M1670" s="17">
        <f t="shared" ref="M1670:M1701" si="122">IF(OR(L1670="",L1670=0),"",1/L1670)</f>
        <v>166.66666666666666</v>
      </c>
      <c r="N1670" s="17">
        <f>IF(OR(L1670="",L1670=0),"",Параметры!$B$3/L1670)</f>
        <v>1333.3333333333333</v>
      </c>
      <c r="O1670" s="15">
        <f>IF(L1670="","",IFERROR(INDEX('Почасовка — ставки и план'!$D$5:$D$24,MATCH($D1670,'Почасовка — ставки и план'!$A$5:$A$24,0)),""))</f>
        <v>650</v>
      </c>
      <c r="P1670" s="15">
        <f>IF(L1670="","",IFERROR(INDEX('Почасовка — ставки и план'!$E$5:$E$24,MATCH($D1670,'Почасовка — ставки и план'!$A$5:$A$24,0)),""))</f>
        <v>780</v>
      </c>
      <c r="Q1670" s="15">
        <f t="shared" ref="Q1670:Q1701" si="123">IF(OR(L1670="",O1670=""),"",ROUND(L1670*O1670,0))</f>
        <v>4</v>
      </c>
      <c r="R1670" s="13" t="str">
        <f>IF(D1670="TEX","аренда техники — сделка/счёт",IF(OR(Q1670="",H1670="",H1670=0),"—",IF(Q1670&lt;H1670*(1-Параметры!$B$7),"почасовка",IF(Q1670&gt;H1670*(1+Параметры!$B$7),"сделка","любой способ"))))</f>
        <v>почасовка</v>
      </c>
      <c r="S1670">
        <v>0</v>
      </c>
      <c r="T1670">
        <v>0</v>
      </c>
    </row>
    <row r="1671" spans="1:20" x14ac:dyDescent="0.25">
      <c r="A1671" s="13" t="s">
        <v>3382</v>
      </c>
      <c r="B1671" s="13" t="s">
        <v>946</v>
      </c>
      <c r="C1671" s="13" t="s">
        <v>55</v>
      </c>
      <c r="D1671" s="13" t="s">
        <v>947</v>
      </c>
      <c r="E1671" s="13" t="str">
        <f>IFERROR(INDEX('Почасовка — ставки и план'!$B$5:$B$24,MATCH(D1671,'Почасовка — ставки и план'!$A$5:$A$24,0)),"Аренда техники / механизмы")</f>
        <v>Землекоп / рабочий земляных работ</v>
      </c>
      <c r="F1671" s="14">
        <v>800</v>
      </c>
      <c r="G1671" s="14">
        <v>920</v>
      </c>
      <c r="H1671" s="15">
        <v>500</v>
      </c>
      <c r="I1671" s="15">
        <f>IF(OR(H1671="",F1671=""),"",MAX(H1671,MIN(ROUND(H1671*(1+Параметры!$B$5),IF(H1671*(1+Параметры!$B$5)&gt;=1000,-1,0)),ROUND(F1671*Параметры!$B$6,IF(F1671*Параметры!$B$6&gt;=1000,-1,0)))))</f>
        <v>575</v>
      </c>
      <c r="J1671" s="15">
        <v>575</v>
      </c>
      <c r="K1671" s="15">
        <f>IF(OR(J1671="",G1671=""),"",MAX(J1671,MIN(ROUND(J1671*(1+Параметры!$B$5),IF(J1671*(1+Параметры!$B$5)&gt;=1000,-1,0)),ROUND(G1671*Параметры!$B$6,IF(G1671*Параметры!$B$6&gt;=1000,-1,0)))))</f>
        <v>661</v>
      </c>
      <c r="L1671" s="16">
        <v>1</v>
      </c>
      <c r="M1671" s="17">
        <f t="shared" si="122"/>
        <v>1</v>
      </c>
      <c r="N1671" s="17">
        <f>IF(OR(L1671="",L1671=0),"",Параметры!$B$3/L1671)</f>
        <v>8</v>
      </c>
      <c r="O1671" s="15">
        <f>IF(L1671="","",IFERROR(INDEX('Почасовка — ставки и план'!$D$5:$D$24,MATCH($D1671,'Почасовка — ставки и план'!$A$5:$A$24,0)),""))</f>
        <v>550</v>
      </c>
      <c r="P1671" s="15">
        <f>IF(L1671="","",IFERROR(INDEX('Почасовка — ставки и план'!$E$5:$E$24,MATCH($D1671,'Почасовка — ставки и план'!$A$5:$A$24,0)),""))</f>
        <v>660</v>
      </c>
      <c r="Q1671" s="15">
        <f t="shared" si="123"/>
        <v>550</v>
      </c>
      <c r="R1671" s="13" t="str">
        <f>IF(D1671="TEX","аренда техники — сделка/счёт",IF(OR(Q1671="",H1671="",H1671=0),"—",IF(Q1671&lt;H1671*(1-Параметры!$B$7),"почасовка",IF(Q1671&gt;H1671*(1+Параметры!$B$7),"сделка","любой способ"))))</f>
        <v>любой способ</v>
      </c>
      <c r="S1671">
        <v>0</v>
      </c>
      <c r="T1671">
        <v>0</v>
      </c>
    </row>
    <row r="1672" spans="1:20" x14ac:dyDescent="0.25">
      <c r="A1672" s="13" t="s">
        <v>3383</v>
      </c>
      <c r="B1672" s="13" t="s">
        <v>3384</v>
      </c>
      <c r="C1672" s="13" t="s">
        <v>144</v>
      </c>
      <c r="D1672" s="13" t="s">
        <v>947</v>
      </c>
      <c r="E1672" s="13" t="str">
        <f>IFERROR(INDEX('Почасовка — ставки и план'!$B$5:$B$24,MATCH(D1672,'Почасовка — ставки и план'!$A$5:$A$24,0)),"Аренда техники / механизмы")</f>
        <v>Землекоп / рабочий земляных работ</v>
      </c>
      <c r="F1672" s="14">
        <v>70</v>
      </c>
      <c r="G1672" s="14">
        <v>80.5</v>
      </c>
      <c r="H1672" s="15">
        <v>45</v>
      </c>
      <c r="I1672" s="15">
        <f>IF(OR(H1672="",F1672=""),"",MAX(H1672,MIN(ROUND(H1672*(1+Параметры!$B$5),IF(H1672*(1+Параметры!$B$5)&gt;=1000,-1,0)),ROUND(F1672*Параметры!$B$6,IF(F1672*Параметры!$B$6&gt;=1000,-1,0)))))</f>
        <v>52</v>
      </c>
      <c r="J1672" s="15">
        <v>51.5</v>
      </c>
      <c r="K1672" s="15">
        <f>IF(OR(J1672="",G1672=""),"",MAX(J1672,MIN(ROUND(J1672*(1+Параметры!$B$5),IF(J1672*(1+Параметры!$B$5)&gt;=1000,-1,0)),ROUND(G1672*Параметры!$B$6,IF(G1672*Параметры!$B$6&gt;=1000,-1,0)))))</f>
        <v>59</v>
      </c>
      <c r="L1672" s="16">
        <v>7.0000000000000007E-2</v>
      </c>
      <c r="M1672" s="17">
        <f t="shared" si="122"/>
        <v>14.285714285714285</v>
      </c>
      <c r="N1672" s="17">
        <f>IF(OR(L1672="",L1672=0),"",Параметры!$B$3/L1672)</f>
        <v>114.28571428571428</v>
      </c>
      <c r="O1672" s="15">
        <f>IF(L1672="","",IFERROR(INDEX('Почасовка — ставки и план'!$D$5:$D$24,MATCH($D1672,'Почасовка — ставки и план'!$A$5:$A$24,0)),""))</f>
        <v>550</v>
      </c>
      <c r="P1672" s="15">
        <f>IF(L1672="","",IFERROR(INDEX('Почасовка — ставки и план'!$E$5:$E$24,MATCH($D1672,'Почасовка — ставки и план'!$A$5:$A$24,0)),""))</f>
        <v>660</v>
      </c>
      <c r="Q1672" s="15">
        <f t="shared" si="123"/>
        <v>39</v>
      </c>
      <c r="R1672" s="13" t="str">
        <f>IF(D1672="TEX","аренда техники — сделка/счёт",IF(OR(Q1672="",H1672="",H1672=0),"—",IF(Q1672&lt;H1672*(1-Параметры!$B$7),"почасовка",IF(Q1672&gt;H1672*(1+Параметры!$B$7),"сделка","любой способ"))))</f>
        <v>почасовка</v>
      </c>
      <c r="S1672">
        <v>0</v>
      </c>
      <c r="T1672">
        <v>0</v>
      </c>
    </row>
    <row r="1673" spans="1:20" x14ac:dyDescent="0.25">
      <c r="A1673" s="13" t="s">
        <v>3385</v>
      </c>
      <c r="B1673" s="13" t="s">
        <v>3386</v>
      </c>
      <c r="C1673" s="13" t="s">
        <v>144</v>
      </c>
      <c r="D1673" s="13" t="s">
        <v>947</v>
      </c>
      <c r="E1673" s="13" t="str">
        <f>IFERROR(INDEX('Почасовка — ставки и план'!$B$5:$B$24,MATCH(D1673,'Почасовка — ставки и план'!$A$5:$A$24,0)),"Аренда техники / механизмы")</f>
        <v>Землекоп / рабочий земляных работ</v>
      </c>
      <c r="F1673" s="14">
        <v>450</v>
      </c>
      <c r="G1673" s="14">
        <v>518</v>
      </c>
      <c r="H1673" s="15">
        <v>280</v>
      </c>
      <c r="I1673" s="15">
        <f>IF(OR(H1673="",F1673=""),"",MAX(H1673,MIN(ROUND(H1673*(1+Параметры!$B$5),IF(H1673*(1+Параметры!$B$5)&gt;=1000,-1,0)),ROUND(F1673*Параметры!$B$6,IF(F1673*Параметры!$B$6&gt;=1000,-1,0)))))</f>
        <v>322</v>
      </c>
      <c r="J1673" s="15">
        <v>322</v>
      </c>
      <c r="K1673" s="15">
        <f>IF(OR(J1673="",G1673=""),"",MAX(J1673,MIN(ROUND(J1673*(1+Параметры!$B$5),IF(J1673*(1+Параметры!$B$5)&gt;=1000,-1,0)),ROUND(G1673*Параметры!$B$6,IF(G1673*Параметры!$B$6&gt;=1000,-1,0)))))</f>
        <v>370</v>
      </c>
      <c r="L1673" s="16">
        <v>0.45</v>
      </c>
      <c r="M1673" s="17">
        <f t="shared" si="122"/>
        <v>2.2222222222222223</v>
      </c>
      <c r="N1673" s="17">
        <f>IF(OR(L1673="",L1673=0),"",Параметры!$B$3/L1673)</f>
        <v>17.777777777777779</v>
      </c>
      <c r="O1673" s="15">
        <f>IF(L1673="","",IFERROR(INDEX('Почасовка — ставки и план'!$D$5:$D$24,MATCH($D1673,'Почасовка — ставки и план'!$A$5:$A$24,0)),""))</f>
        <v>550</v>
      </c>
      <c r="P1673" s="15">
        <f>IF(L1673="","",IFERROR(INDEX('Почасовка — ставки и план'!$E$5:$E$24,MATCH($D1673,'Почасовка — ставки и план'!$A$5:$A$24,0)),""))</f>
        <v>660</v>
      </c>
      <c r="Q1673" s="15">
        <f t="shared" si="123"/>
        <v>248</v>
      </c>
      <c r="R1673" s="13" t="str">
        <f>IF(D1673="TEX","аренда техники — сделка/счёт",IF(OR(Q1673="",H1673="",H1673=0),"—",IF(Q1673&lt;H1673*(1-Параметры!$B$7),"почасовка",IF(Q1673&gt;H1673*(1+Параметры!$B$7),"сделка","любой способ"))))</f>
        <v>почасовка</v>
      </c>
      <c r="S1673">
        <v>0</v>
      </c>
      <c r="T1673">
        <v>0</v>
      </c>
    </row>
    <row r="1674" spans="1:20" x14ac:dyDescent="0.25">
      <c r="A1674" s="13" t="s">
        <v>3387</v>
      </c>
      <c r="B1674" s="13" t="s">
        <v>3388</v>
      </c>
      <c r="C1674" s="13" t="s">
        <v>144</v>
      </c>
      <c r="D1674" s="13" t="s">
        <v>947</v>
      </c>
      <c r="E1674" s="13" t="str">
        <f>IFERROR(INDEX('Почасовка — ставки и план'!$B$5:$B$24,MATCH(D1674,'Почасовка — ставки и план'!$A$5:$A$24,0)),"Аренда техники / механизмы")</f>
        <v>Землекоп / рабочий земляных работ</v>
      </c>
      <c r="F1674" s="14">
        <v>650</v>
      </c>
      <c r="G1674" s="14">
        <v>747</v>
      </c>
      <c r="H1674" s="15">
        <v>400</v>
      </c>
      <c r="I1674" s="15">
        <f>IF(OR(H1674="",F1674=""),"",MAX(H1674,MIN(ROUND(H1674*(1+Параметры!$B$5),IF(H1674*(1+Параметры!$B$5)&gt;=1000,-1,0)),ROUND(F1674*Параметры!$B$6,IF(F1674*Параметры!$B$6&gt;=1000,-1,0)))))</f>
        <v>460</v>
      </c>
      <c r="J1674" s="15">
        <v>460</v>
      </c>
      <c r="K1674" s="15">
        <f>IF(OR(J1674="",G1674=""),"",MAX(J1674,MIN(ROUND(J1674*(1+Параметры!$B$5),IF(J1674*(1+Параметры!$B$5)&gt;=1000,-1,0)),ROUND(G1674*Параметры!$B$6,IF(G1674*Параметры!$B$6&gt;=1000,-1,0)))))</f>
        <v>529</v>
      </c>
      <c r="L1674" s="16">
        <v>0.7</v>
      </c>
      <c r="M1674" s="17">
        <f t="shared" si="122"/>
        <v>1.4285714285714286</v>
      </c>
      <c r="N1674" s="17">
        <f>IF(OR(L1674="",L1674=0),"",Параметры!$B$3/L1674)</f>
        <v>11.428571428571429</v>
      </c>
      <c r="O1674" s="15">
        <f>IF(L1674="","",IFERROR(INDEX('Почасовка — ставки и план'!$D$5:$D$24,MATCH($D1674,'Почасовка — ставки и план'!$A$5:$A$24,0)),""))</f>
        <v>550</v>
      </c>
      <c r="P1674" s="15">
        <f>IF(L1674="","",IFERROR(INDEX('Почасовка — ставки и план'!$E$5:$E$24,MATCH($D1674,'Почасовка — ставки и план'!$A$5:$A$24,0)),""))</f>
        <v>660</v>
      </c>
      <c r="Q1674" s="15">
        <f t="shared" si="123"/>
        <v>385</v>
      </c>
      <c r="R1674" s="13" t="str">
        <f>IF(D1674="TEX","аренда техники — сделка/счёт",IF(OR(Q1674="",H1674="",H1674=0),"—",IF(Q1674&lt;H1674*(1-Параметры!$B$7),"почасовка",IF(Q1674&gt;H1674*(1+Параметры!$B$7),"сделка","любой способ"))))</f>
        <v>любой способ</v>
      </c>
      <c r="S1674">
        <v>0</v>
      </c>
      <c r="T1674">
        <v>0</v>
      </c>
    </row>
    <row r="1675" spans="1:20" x14ac:dyDescent="0.25">
      <c r="A1675" s="13" t="s">
        <v>3389</v>
      </c>
      <c r="B1675" s="13" t="s">
        <v>3390</v>
      </c>
      <c r="C1675" s="13" t="s">
        <v>69</v>
      </c>
      <c r="D1675" s="13" t="s">
        <v>56</v>
      </c>
      <c r="E1675" s="13" t="str">
        <f>IFERROR(INDEX('Почасовка — ставки и план'!$B$5:$B$24,MATCH(D1675,'Почасовка — ставки и план'!$A$5:$A$24,0)),"Аренда техники / механизмы")</f>
        <v>Дорожный рабочий / благоустройство</v>
      </c>
      <c r="F1675" s="14">
        <v>1000</v>
      </c>
      <c r="G1675" s="14">
        <v>1150</v>
      </c>
      <c r="H1675" s="15">
        <v>650</v>
      </c>
      <c r="I1675" s="15">
        <f>IF(OR(H1675="",F1675=""),"",MAX(H1675,MIN(ROUND(H1675*(1+Параметры!$B$5),IF(H1675*(1+Параметры!$B$5)&gt;=1000,-1,0)),ROUND(F1675*Параметры!$B$6,IF(F1675*Параметры!$B$6&gt;=1000,-1,0)))))</f>
        <v>748</v>
      </c>
      <c r="J1675" s="15">
        <v>747</v>
      </c>
      <c r="K1675" s="15">
        <f>IF(OR(J1675="",G1675=""),"",MAX(J1675,MIN(ROUND(J1675*(1+Параметры!$B$5),IF(J1675*(1+Параметры!$B$5)&gt;=1000,-1,0)),ROUND(G1675*Параметры!$B$6,IF(G1675*Параметры!$B$6&gt;=1000,-1,0)))))</f>
        <v>859</v>
      </c>
      <c r="L1675" s="16">
        <v>0.8</v>
      </c>
      <c r="M1675" s="17">
        <f t="shared" si="122"/>
        <v>1.25</v>
      </c>
      <c r="N1675" s="17">
        <f>IF(OR(L1675="",L1675=0),"",Параметры!$B$3/L1675)</f>
        <v>10</v>
      </c>
      <c r="O1675" s="15">
        <f>IF(L1675="","",IFERROR(INDEX('Почасовка — ставки и план'!$D$5:$D$24,MATCH($D1675,'Почасовка — ставки и план'!$A$5:$A$24,0)),""))</f>
        <v>650</v>
      </c>
      <c r="P1675" s="15">
        <f>IF(L1675="","",IFERROR(INDEX('Почасовка — ставки и план'!$E$5:$E$24,MATCH($D1675,'Почасовка — ставки и план'!$A$5:$A$24,0)),""))</f>
        <v>780</v>
      </c>
      <c r="Q1675" s="15">
        <f t="shared" si="123"/>
        <v>520</v>
      </c>
      <c r="R1675" s="13" t="str">
        <f>IF(D1675="TEX","аренда техники — сделка/счёт",IF(OR(Q1675="",H1675="",H1675=0),"—",IF(Q1675&lt;H1675*(1-Параметры!$B$7),"почасовка",IF(Q1675&gt;H1675*(1+Параметры!$B$7),"сделка","любой способ"))))</f>
        <v>почасовка</v>
      </c>
      <c r="S1675">
        <v>0</v>
      </c>
      <c r="T1675">
        <v>0</v>
      </c>
    </row>
    <row r="1676" spans="1:20" x14ac:dyDescent="0.25">
      <c r="A1676" s="13" t="s">
        <v>3391</v>
      </c>
      <c r="B1676" s="13" t="s">
        <v>3392</v>
      </c>
      <c r="C1676" s="13" t="s">
        <v>69</v>
      </c>
      <c r="D1676" s="13" t="s">
        <v>56</v>
      </c>
      <c r="E1676" s="13" t="str">
        <f>IFERROR(INDEX('Почасовка — ставки и план'!$B$5:$B$24,MATCH(D1676,'Почасовка — ставки и план'!$A$5:$A$24,0)),"Аренда техники / механизмы")</f>
        <v>Дорожный рабочий / благоустройство</v>
      </c>
      <c r="F1676" s="14">
        <v>2600</v>
      </c>
      <c r="G1676" s="14">
        <v>2990</v>
      </c>
      <c r="H1676" s="15">
        <v>1700</v>
      </c>
      <c r="I1676" s="15">
        <f>IF(OR(H1676="",F1676=""),"",MAX(H1676,MIN(ROUND(H1676*(1+Параметры!$B$5),IF(H1676*(1+Параметры!$B$5)&gt;=1000,-1,0)),ROUND(F1676*Параметры!$B$6,IF(F1676*Параметры!$B$6&gt;=1000,-1,0)))))</f>
        <v>1950</v>
      </c>
      <c r="J1676" s="15">
        <v>1955</v>
      </c>
      <c r="K1676" s="15">
        <f>IF(OR(J1676="",G1676=""),"",MAX(J1676,MIN(ROUND(J1676*(1+Параметры!$B$5),IF(J1676*(1+Параметры!$B$5)&gt;=1000,-1,0)),ROUND(G1676*Параметры!$B$6,IF(G1676*Параметры!$B$6&gt;=1000,-1,0)))))</f>
        <v>2240</v>
      </c>
      <c r="L1676" s="16">
        <v>2.2000000000000002</v>
      </c>
      <c r="M1676" s="17">
        <f t="shared" si="122"/>
        <v>0.45454545454545453</v>
      </c>
      <c r="N1676" s="17">
        <f>IF(OR(L1676="",L1676=0),"",Параметры!$B$3/L1676)</f>
        <v>3.6363636363636362</v>
      </c>
      <c r="O1676" s="15">
        <f>IF(L1676="","",IFERROR(INDEX('Почасовка — ставки и план'!$D$5:$D$24,MATCH($D1676,'Почасовка — ставки и план'!$A$5:$A$24,0)),""))</f>
        <v>650</v>
      </c>
      <c r="P1676" s="15">
        <f>IF(L1676="","",IFERROR(INDEX('Почасовка — ставки и план'!$E$5:$E$24,MATCH($D1676,'Почасовка — ставки и план'!$A$5:$A$24,0)),""))</f>
        <v>780</v>
      </c>
      <c r="Q1676" s="15">
        <f t="shared" si="123"/>
        <v>1430</v>
      </c>
      <c r="R1676" s="13" t="str">
        <f>IF(D1676="TEX","аренда техники — сделка/счёт",IF(OR(Q1676="",H1676="",H1676=0),"—",IF(Q1676&lt;H1676*(1-Параметры!$B$7),"почасовка",IF(Q1676&gt;H1676*(1+Параметры!$B$7),"сделка","любой способ"))))</f>
        <v>почасовка</v>
      </c>
      <c r="S1676">
        <v>0</v>
      </c>
      <c r="T1676">
        <v>0</v>
      </c>
    </row>
    <row r="1677" spans="1:20" x14ac:dyDescent="0.25">
      <c r="A1677" s="13" t="s">
        <v>3393</v>
      </c>
      <c r="B1677" s="13" t="s">
        <v>3394</v>
      </c>
      <c r="C1677" s="13" t="s">
        <v>152</v>
      </c>
      <c r="D1677" s="13" t="s">
        <v>64</v>
      </c>
      <c r="E1677" s="13" t="str">
        <f>IFERROR(INDEX('Почасовка — ставки и план'!$B$5:$B$24,MATCH(D1677,'Почасовка — ставки и план'!$A$5:$A$24,0)),"Аренда техники / механизмы")</f>
        <v>Сварщик / монтажник МК</v>
      </c>
      <c r="F1677" s="14">
        <v>96000</v>
      </c>
      <c r="G1677" s="14">
        <v>115200</v>
      </c>
      <c r="H1677" s="15">
        <v>60000</v>
      </c>
      <c r="I1677" s="15">
        <f>IF(OR(H1677="",F1677=""),"",MAX(H1677,MIN(ROUND(H1677*(1+Параметры!$B$5),IF(H1677*(1+Параметры!$B$5)&gt;=1000,-1,0)),ROUND(F1677*Параметры!$B$6,IF(F1677*Параметры!$B$6&gt;=1000,-1,0)))))</f>
        <v>69000</v>
      </c>
      <c r="J1677" s="15">
        <v>69000</v>
      </c>
      <c r="K1677" s="15">
        <f>IF(OR(J1677="",G1677=""),"",MAX(J1677,MIN(ROUND(J1677*(1+Параметры!$B$5),IF(J1677*(1+Параметры!$B$5)&gt;=1000,-1,0)),ROUND(G1677*Параметры!$B$6,IF(G1677*Параметры!$B$6&gt;=1000,-1,0)))))</f>
        <v>79350</v>
      </c>
      <c r="L1677" s="16">
        <v>80</v>
      </c>
      <c r="M1677" s="17">
        <f t="shared" si="122"/>
        <v>1.2500000000000001E-2</v>
      </c>
      <c r="N1677" s="17">
        <f>IF(OR(L1677="",L1677=0),"",Параметры!$B$3/L1677)</f>
        <v>0.1</v>
      </c>
      <c r="O1677" s="15">
        <f>IF(L1677="","",IFERROR(INDEX('Почасовка — ставки и план'!$D$5:$D$24,MATCH($D1677,'Почасовка — ставки и план'!$A$5:$A$24,0)),""))</f>
        <v>900</v>
      </c>
      <c r="P1677" s="15">
        <f>IF(L1677="","",IFERROR(INDEX('Почасовка — ставки и план'!$E$5:$E$24,MATCH($D1677,'Почасовка — ставки и план'!$A$5:$A$24,0)),""))</f>
        <v>1080</v>
      </c>
      <c r="Q1677" s="15">
        <f t="shared" si="123"/>
        <v>72000</v>
      </c>
      <c r="R1677" s="13" t="str">
        <f>IF(D1677="TEX","аренда техники — сделка/счёт",IF(OR(Q1677="",H1677="",H1677=0),"—",IF(Q1677&lt;H1677*(1-Параметры!$B$7),"почасовка",IF(Q1677&gt;H1677*(1+Параметры!$B$7),"сделка","любой способ"))))</f>
        <v>сделка</v>
      </c>
      <c r="S1677">
        <v>1.052631578947372E-2</v>
      </c>
      <c r="T1677">
        <v>5.4462242562929093E-2</v>
      </c>
    </row>
    <row r="1678" spans="1:20" x14ac:dyDescent="0.25">
      <c r="A1678" s="13" t="s">
        <v>3395</v>
      </c>
      <c r="B1678" s="13" t="s">
        <v>3396</v>
      </c>
      <c r="C1678" s="13" t="s">
        <v>72</v>
      </c>
      <c r="D1678" s="13" t="s">
        <v>56</v>
      </c>
      <c r="E1678" s="13" t="str">
        <f>IFERROR(INDEX('Почасовка — ставки и план'!$B$5:$B$24,MATCH(D1678,'Почасовка — ставки и план'!$A$5:$A$24,0)),"Аренда техники / механизмы")</f>
        <v>Дорожный рабочий / благоустройство</v>
      </c>
      <c r="F1678" s="14">
        <v>3600</v>
      </c>
      <c r="G1678" s="14">
        <v>4140</v>
      </c>
      <c r="H1678" s="15">
        <v>2200</v>
      </c>
      <c r="I1678" s="15">
        <f>IF(OR(H1678="",F1678=""),"",MAX(H1678,MIN(ROUND(H1678*(1+Параметры!$B$5),IF(H1678*(1+Параметры!$B$5)&gt;=1000,-1,0)),ROUND(F1678*Параметры!$B$6,IF(F1678*Параметры!$B$6&gt;=1000,-1,0)))))</f>
        <v>2530</v>
      </c>
      <c r="J1678" s="15">
        <v>2530</v>
      </c>
      <c r="K1678" s="15">
        <f>IF(OR(J1678="",G1678=""),"",MAX(J1678,MIN(ROUND(J1678*(1+Параметры!$B$5),IF(J1678*(1+Параметры!$B$5)&gt;=1000,-1,0)),ROUND(G1678*Параметры!$B$6,IF(G1678*Параметры!$B$6&gt;=1000,-1,0)))))</f>
        <v>2910</v>
      </c>
      <c r="L1678" s="16">
        <v>3</v>
      </c>
      <c r="M1678" s="17">
        <f t="shared" si="122"/>
        <v>0.33333333333333331</v>
      </c>
      <c r="N1678" s="17">
        <f>IF(OR(L1678="",L1678=0),"",Параметры!$B$3/L1678)</f>
        <v>2.6666666666666665</v>
      </c>
      <c r="O1678" s="15">
        <f>IF(L1678="","",IFERROR(INDEX('Почасовка — ставки и план'!$D$5:$D$24,MATCH($D1678,'Почасовка — ставки и план'!$A$5:$A$24,0)),""))</f>
        <v>650</v>
      </c>
      <c r="P1678" s="15">
        <f>IF(L1678="","",IFERROR(INDEX('Почасовка — ставки и план'!$E$5:$E$24,MATCH($D1678,'Почасовка — ставки и план'!$A$5:$A$24,0)),""))</f>
        <v>780</v>
      </c>
      <c r="Q1678" s="15">
        <f t="shared" si="123"/>
        <v>1950</v>
      </c>
      <c r="R1678" s="13" t="str">
        <f>IF(D1678="TEX","аренда техники — сделка/счёт",IF(OR(Q1678="",H1678="",H1678=0),"—",IF(Q1678&lt;H1678*(1-Параметры!$B$7),"почасовка",IF(Q1678&gt;H1678*(1+Параметры!$B$7),"сделка","любой способ"))))</f>
        <v>почасовка</v>
      </c>
      <c r="S1678">
        <v>0</v>
      </c>
      <c r="T1678">
        <v>0</v>
      </c>
    </row>
    <row r="1679" spans="1:20" x14ac:dyDescent="0.25">
      <c r="A1679" s="13" t="s">
        <v>3397</v>
      </c>
      <c r="B1679" s="13" t="s">
        <v>3398</v>
      </c>
      <c r="C1679" s="13" t="s">
        <v>72</v>
      </c>
      <c r="D1679" s="13" t="s">
        <v>56</v>
      </c>
      <c r="E1679" s="13" t="str">
        <f>IFERROR(INDEX('Почасовка — ставки и план'!$B$5:$B$24,MATCH(D1679,'Почасовка — ставки и план'!$A$5:$A$24,0)),"Аренда техники / механизмы")</f>
        <v>Дорожный рабочий / благоустройство</v>
      </c>
      <c r="F1679" s="14">
        <v>25</v>
      </c>
      <c r="G1679" s="14">
        <v>28.5</v>
      </c>
      <c r="H1679" s="15">
        <v>15</v>
      </c>
      <c r="I1679" s="15">
        <f>IF(OR(H1679="",F1679=""),"",MAX(H1679,MIN(ROUND(H1679*(1+Параметры!$B$5),IF(H1679*(1+Параметры!$B$5)&gt;=1000,-1,0)),ROUND(F1679*Параметры!$B$6,IF(F1679*Параметры!$B$6&gt;=1000,-1,0)))))</f>
        <v>17</v>
      </c>
      <c r="J1679" s="15">
        <v>17</v>
      </c>
      <c r="K1679" s="15">
        <f>IF(OR(J1679="",G1679=""),"",MAX(J1679,MIN(ROUND(J1679*(1+Параметры!$B$5),IF(J1679*(1+Параметры!$B$5)&gt;=1000,-1,0)),ROUND(G1679*Параметры!$B$6,IF(G1679*Параметры!$B$6&gt;=1000,-1,0)))))</f>
        <v>20</v>
      </c>
      <c r="L1679" s="16">
        <v>6.0000000000000001E-3</v>
      </c>
      <c r="M1679" s="17">
        <f t="shared" si="122"/>
        <v>166.66666666666666</v>
      </c>
      <c r="N1679" s="17">
        <f>IF(OR(L1679="",L1679=0),"",Параметры!$B$3/L1679)</f>
        <v>1333.3333333333333</v>
      </c>
      <c r="O1679" s="15">
        <f>IF(L1679="","",IFERROR(INDEX('Почасовка — ставки и план'!$D$5:$D$24,MATCH($D1679,'Почасовка — ставки и план'!$A$5:$A$24,0)),""))</f>
        <v>650</v>
      </c>
      <c r="P1679" s="15">
        <f>IF(L1679="","",IFERROR(INDEX('Почасовка — ставки и план'!$E$5:$E$24,MATCH($D1679,'Почасовка — ставки и план'!$A$5:$A$24,0)),""))</f>
        <v>780</v>
      </c>
      <c r="Q1679" s="15">
        <f t="shared" si="123"/>
        <v>4</v>
      </c>
      <c r="R1679" s="13" t="str">
        <f>IF(D1679="TEX","аренда техники — сделка/счёт",IF(OR(Q1679="",H1679="",H1679=0),"—",IF(Q1679&lt;H1679*(1-Параметры!$B$7),"почасовка",IF(Q1679&gt;H1679*(1+Параметры!$B$7),"сделка","любой способ"))))</f>
        <v>почасовка</v>
      </c>
      <c r="S1679">
        <v>0</v>
      </c>
      <c r="T1679">
        <v>0</v>
      </c>
    </row>
    <row r="1680" spans="1:20" x14ac:dyDescent="0.25">
      <c r="A1680" s="13" t="s">
        <v>3399</v>
      </c>
      <c r="B1680" s="13" t="s">
        <v>3400</v>
      </c>
      <c r="C1680" s="13" t="s">
        <v>72</v>
      </c>
      <c r="D1680" s="13" t="s">
        <v>56</v>
      </c>
      <c r="E1680" s="13" t="str">
        <f>IFERROR(INDEX('Почасовка — ставки и план'!$B$5:$B$24,MATCH(D1680,'Почасовка — ставки и план'!$A$5:$A$24,0)),"Аренда техники / механизмы")</f>
        <v>Дорожный рабочий / благоустройство</v>
      </c>
      <c r="F1680" s="14">
        <v>22</v>
      </c>
      <c r="G1680" s="14">
        <v>25.5</v>
      </c>
      <c r="H1680" s="15">
        <v>14</v>
      </c>
      <c r="I1680" s="15">
        <f>IF(OR(H1680="",F1680=""),"",MAX(H1680,MIN(ROUND(H1680*(1+Параметры!$B$5),IF(H1680*(1+Параметры!$B$5)&gt;=1000,-1,0)),ROUND(F1680*Параметры!$B$6,IF(F1680*Параметры!$B$6&gt;=1000,-1,0)))))</f>
        <v>16</v>
      </c>
      <c r="J1680" s="15">
        <v>16</v>
      </c>
      <c r="K1680" s="15">
        <f>IF(OR(J1680="",G1680=""),"",MAX(J1680,MIN(ROUND(J1680*(1+Параметры!$B$5),IF(J1680*(1+Параметры!$B$5)&gt;=1000,-1,0)),ROUND(G1680*Параметры!$B$6,IF(G1680*Параметры!$B$6&gt;=1000,-1,0)))))</f>
        <v>18</v>
      </c>
      <c r="L1680" s="16">
        <v>6.0000000000000001E-3</v>
      </c>
      <c r="M1680" s="17">
        <f t="shared" si="122"/>
        <v>166.66666666666666</v>
      </c>
      <c r="N1680" s="17">
        <f>IF(OR(L1680="",L1680=0),"",Параметры!$B$3/L1680)</f>
        <v>1333.3333333333333</v>
      </c>
      <c r="O1680" s="15">
        <f>IF(L1680="","",IFERROR(INDEX('Почасовка — ставки и план'!$D$5:$D$24,MATCH($D1680,'Почасовка — ставки и план'!$A$5:$A$24,0)),""))</f>
        <v>650</v>
      </c>
      <c r="P1680" s="15">
        <f>IF(L1680="","",IFERROR(INDEX('Почасовка — ставки и план'!$E$5:$E$24,MATCH($D1680,'Почасовка — ставки и план'!$A$5:$A$24,0)),""))</f>
        <v>780</v>
      </c>
      <c r="Q1680" s="15">
        <f t="shared" si="123"/>
        <v>4</v>
      </c>
      <c r="R1680" s="13" t="str">
        <f>IF(D1680="TEX","аренда техники — сделка/счёт",IF(OR(Q1680="",H1680="",H1680=0),"—",IF(Q1680&lt;H1680*(1-Параметры!$B$7),"почасовка",IF(Q1680&gt;H1680*(1+Параметры!$B$7),"сделка","любой способ"))))</f>
        <v>почасовка</v>
      </c>
      <c r="S1680">
        <v>0</v>
      </c>
      <c r="T1680">
        <v>0</v>
      </c>
    </row>
    <row r="1681" spans="1:20" x14ac:dyDescent="0.25">
      <c r="A1681" s="13" t="s">
        <v>3401</v>
      </c>
      <c r="B1681" s="13" t="s">
        <v>3402</v>
      </c>
      <c r="C1681" s="13" t="s">
        <v>72</v>
      </c>
      <c r="D1681" s="13" t="s">
        <v>56</v>
      </c>
      <c r="E1681" s="13" t="str">
        <f>IFERROR(INDEX('Почасовка — ставки и план'!$B$5:$B$24,MATCH(D1681,'Почасовка — ставки и план'!$A$5:$A$24,0)),"Аренда техники / механизмы")</f>
        <v>Дорожный рабочий / благоустройство</v>
      </c>
      <c r="F1681" s="14">
        <v>60</v>
      </c>
      <c r="G1681" s="14">
        <v>69</v>
      </c>
      <c r="H1681" s="15">
        <v>38</v>
      </c>
      <c r="I1681" s="15">
        <f>IF(OR(H1681="",F1681=""),"",MAX(H1681,MIN(ROUND(H1681*(1+Параметры!$B$5),IF(H1681*(1+Параметры!$B$5)&gt;=1000,-1,0)),ROUND(F1681*Параметры!$B$6,IF(F1681*Параметры!$B$6&gt;=1000,-1,0)))))</f>
        <v>44</v>
      </c>
      <c r="J1681" s="15">
        <v>43.5</v>
      </c>
      <c r="K1681" s="15">
        <f>IF(OR(J1681="",G1681=""),"",MAX(J1681,MIN(ROUND(J1681*(1+Параметры!$B$5),IF(J1681*(1+Параметры!$B$5)&gt;=1000,-1,0)),ROUND(G1681*Параметры!$B$6,IF(G1681*Параметры!$B$6&gt;=1000,-1,0)))))</f>
        <v>50</v>
      </c>
      <c r="L1681" s="16">
        <v>0.03</v>
      </c>
      <c r="M1681" s="17">
        <f t="shared" si="122"/>
        <v>33.333333333333336</v>
      </c>
      <c r="N1681" s="17">
        <f>IF(OR(L1681="",L1681=0),"",Параметры!$B$3/L1681)</f>
        <v>266.66666666666669</v>
      </c>
      <c r="O1681" s="15">
        <f>IF(L1681="","",IFERROR(INDEX('Почасовка — ставки и план'!$D$5:$D$24,MATCH($D1681,'Почасовка — ставки и план'!$A$5:$A$24,0)),""))</f>
        <v>650</v>
      </c>
      <c r="P1681" s="15">
        <f>IF(L1681="","",IFERROR(INDEX('Почасовка — ставки и план'!$E$5:$E$24,MATCH($D1681,'Почасовка — ставки и план'!$A$5:$A$24,0)),""))</f>
        <v>780</v>
      </c>
      <c r="Q1681" s="15">
        <f t="shared" si="123"/>
        <v>20</v>
      </c>
      <c r="R1681" s="13" t="str">
        <f>IF(D1681="TEX","аренда техники — сделка/счёт",IF(OR(Q1681="",H1681="",H1681=0),"—",IF(Q1681&lt;H1681*(1-Параметры!$B$7),"почасовка",IF(Q1681&gt;H1681*(1+Параметры!$B$7),"сделка","любой способ"))))</f>
        <v>почасовка</v>
      </c>
      <c r="S1681">
        <v>0</v>
      </c>
      <c r="T1681">
        <v>0</v>
      </c>
    </row>
    <row r="1682" spans="1:20" x14ac:dyDescent="0.25">
      <c r="A1682" s="13" t="s">
        <v>3403</v>
      </c>
      <c r="B1682" s="13" t="s">
        <v>3404</v>
      </c>
      <c r="C1682" s="13" t="s">
        <v>72</v>
      </c>
      <c r="D1682" s="13" t="s">
        <v>56</v>
      </c>
      <c r="E1682" s="13" t="str">
        <f>IFERROR(INDEX('Почасовка — ставки и план'!$B$5:$B$24,MATCH(D1682,'Почасовка — ставки и план'!$A$5:$A$24,0)),"Аренда техники / механизмы")</f>
        <v>Дорожный рабочий / благоустройство</v>
      </c>
      <c r="F1682" s="14">
        <v>20</v>
      </c>
      <c r="G1682" s="14">
        <v>23</v>
      </c>
      <c r="H1682" s="15">
        <v>12</v>
      </c>
      <c r="I1682" s="15">
        <f>IF(OR(H1682="",F1682=""),"",MAX(H1682,MIN(ROUND(H1682*(1+Параметры!$B$5),IF(H1682*(1+Параметры!$B$5)&gt;=1000,-1,0)),ROUND(F1682*Параметры!$B$6,IF(F1682*Параметры!$B$6&gt;=1000,-1,0)))))</f>
        <v>14</v>
      </c>
      <c r="J1682" s="15">
        <v>14</v>
      </c>
      <c r="K1682" s="15">
        <f>IF(OR(J1682="",G1682=""),"",MAX(J1682,MIN(ROUND(J1682*(1+Параметры!$B$5),IF(J1682*(1+Параметры!$B$5)&gt;=1000,-1,0)),ROUND(G1682*Параметры!$B$6,IF(G1682*Параметры!$B$6&gt;=1000,-1,0)))))</f>
        <v>16</v>
      </c>
      <c r="L1682" s="16">
        <v>1.2E-2</v>
      </c>
      <c r="M1682" s="17">
        <f t="shared" si="122"/>
        <v>83.333333333333329</v>
      </c>
      <c r="N1682" s="17">
        <f>IF(OR(L1682="",L1682=0),"",Параметры!$B$3/L1682)</f>
        <v>666.66666666666663</v>
      </c>
      <c r="O1682" s="15">
        <f>IF(L1682="","",IFERROR(INDEX('Почасовка — ставки и план'!$D$5:$D$24,MATCH($D1682,'Почасовка — ставки и план'!$A$5:$A$24,0)),""))</f>
        <v>650</v>
      </c>
      <c r="P1682" s="15">
        <f>IF(L1682="","",IFERROR(INDEX('Почасовка — ставки и план'!$E$5:$E$24,MATCH($D1682,'Почасовка — ставки и план'!$A$5:$A$24,0)),""))</f>
        <v>780</v>
      </c>
      <c r="Q1682" s="15">
        <f t="shared" si="123"/>
        <v>8</v>
      </c>
      <c r="R1682" s="13" t="str">
        <f>IF(D1682="TEX","аренда техники — сделка/счёт",IF(OR(Q1682="",H1682="",H1682=0),"—",IF(Q1682&lt;H1682*(1-Параметры!$B$7),"почасовка",IF(Q1682&gt;H1682*(1+Параметры!$B$7),"сделка","любой способ"))))</f>
        <v>почасовка</v>
      </c>
      <c r="S1682">
        <v>0</v>
      </c>
      <c r="T1682">
        <v>0</v>
      </c>
    </row>
    <row r="1683" spans="1:20" x14ac:dyDescent="0.25">
      <c r="A1683" s="13" t="s">
        <v>3405</v>
      </c>
      <c r="B1683" s="13" t="s">
        <v>3406</v>
      </c>
      <c r="C1683" s="13" t="s">
        <v>72</v>
      </c>
      <c r="D1683" s="13" t="s">
        <v>56</v>
      </c>
      <c r="E1683" s="13" t="str">
        <f>IFERROR(INDEX('Почасовка — ставки и план'!$B$5:$B$24,MATCH(D1683,'Почасовка — ставки и план'!$A$5:$A$24,0)),"Аренда техники / механизмы")</f>
        <v>Дорожный рабочий / благоустройство</v>
      </c>
      <c r="F1683" s="14">
        <v>250</v>
      </c>
      <c r="G1683" s="14">
        <v>288</v>
      </c>
      <c r="H1683" s="15">
        <v>150</v>
      </c>
      <c r="I1683" s="15">
        <f>IF(OR(H1683="",F1683=""),"",MAX(H1683,MIN(ROUND(H1683*(1+Параметры!$B$5),IF(H1683*(1+Параметры!$B$5)&gt;=1000,-1,0)),ROUND(F1683*Параметры!$B$6,IF(F1683*Параметры!$B$6&gt;=1000,-1,0)))))</f>
        <v>173</v>
      </c>
      <c r="J1683" s="15">
        <v>172</v>
      </c>
      <c r="K1683" s="15">
        <f>IF(OR(J1683="",G1683=""),"",MAX(J1683,MIN(ROUND(J1683*(1+Параметры!$B$5),IF(J1683*(1+Параметры!$B$5)&gt;=1000,-1,0)),ROUND(G1683*Параметры!$B$6,IF(G1683*Параметры!$B$6&gt;=1000,-1,0)))))</f>
        <v>198</v>
      </c>
      <c r="L1683" s="16">
        <v>0.08</v>
      </c>
      <c r="M1683" s="17">
        <f t="shared" si="122"/>
        <v>12.5</v>
      </c>
      <c r="N1683" s="17">
        <f>IF(OR(L1683="",L1683=0),"",Параметры!$B$3/L1683)</f>
        <v>100</v>
      </c>
      <c r="O1683" s="15">
        <f>IF(L1683="","",IFERROR(INDEX('Почасовка — ставки и план'!$D$5:$D$24,MATCH($D1683,'Почасовка — ставки и план'!$A$5:$A$24,0)),""))</f>
        <v>650</v>
      </c>
      <c r="P1683" s="15">
        <f>IF(L1683="","",IFERROR(INDEX('Почасовка — ставки и план'!$E$5:$E$24,MATCH($D1683,'Почасовка — ставки и план'!$A$5:$A$24,0)),""))</f>
        <v>780</v>
      </c>
      <c r="Q1683" s="15">
        <f t="shared" si="123"/>
        <v>52</v>
      </c>
      <c r="R1683" s="13" t="str">
        <f>IF(D1683="TEX","аренда техники — сделка/счёт",IF(OR(Q1683="",H1683="",H1683=0),"—",IF(Q1683&lt;H1683*(1-Параметры!$B$7),"почасовка",IF(Q1683&gt;H1683*(1+Параметры!$B$7),"сделка","любой способ"))))</f>
        <v>почасовка</v>
      </c>
      <c r="S1683">
        <v>0</v>
      </c>
      <c r="T1683">
        <v>0</v>
      </c>
    </row>
    <row r="1684" spans="1:20" x14ac:dyDescent="0.25">
      <c r="A1684" s="13" t="s">
        <v>3407</v>
      </c>
      <c r="B1684" s="13" t="s">
        <v>3408</v>
      </c>
      <c r="C1684" s="13" t="s">
        <v>72</v>
      </c>
      <c r="D1684" s="13" t="s">
        <v>56</v>
      </c>
      <c r="E1684" s="13" t="str">
        <f>IFERROR(INDEX('Почасовка — ставки и план'!$B$5:$B$24,MATCH(D1684,'Почасовка — ставки и план'!$A$5:$A$24,0)),"Аренда техники / механизмы")</f>
        <v>Дорожный рабочий / благоустройство</v>
      </c>
      <c r="F1684" s="14">
        <v>694</v>
      </c>
      <c r="G1684" s="14">
        <v>832</v>
      </c>
      <c r="H1684" s="15">
        <v>380</v>
      </c>
      <c r="I1684" s="15">
        <f>IF(OR(H1684="",F1684=""),"",MAX(H1684,MIN(ROUND(H1684*(1+Параметры!$B$5),IF(H1684*(1+Параметры!$B$5)&gt;=1000,-1,0)),ROUND(F1684*Параметры!$B$6,IF(F1684*Параметры!$B$6&gt;=1000,-1,0)))))</f>
        <v>437</v>
      </c>
      <c r="J1684" s="15">
        <v>437</v>
      </c>
      <c r="K1684" s="15">
        <f>IF(OR(J1684="",G1684=""),"",MAX(J1684,MIN(ROUND(J1684*(1+Параметры!$B$5),IF(J1684*(1+Параметры!$B$5)&gt;=1000,-1,0)),ROUND(G1684*Параметры!$B$6,IF(G1684*Параметры!$B$6&gt;=1000,-1,0)))))</f>
        <v>503</v>
      </c>
      <c r="L1684" s="16">
        <v>0.8</v>
      </c>
      <c r="M1684" s="17">
        <f t="shared" si="122"/>
        <v>1.25</v>
      </c>
      <c r="N1684" s="17">
        <f>IF(OR(L1684="",L1684=0),"",Параметры!$B$3/L1684)</f>
        <v>10</v>
      </c>
      <c r="O1684" s="15">
        <f>IF(L1684="","",IFERROR(INDEX('Почасовка — ставки и план'!$D$5:$D$24,MATCH($D1684,'Почасовка — ставки и план'!$A$5:$A$24,0)),""))</f>
        <v>650</v>
      </c>
      <c r="P1684" s="15">
        <f>IF(L1684="","",IFERROR(INDEX('Почасовка — ставки и план'!$E$5:$E$24,MATCH($D1684,'Почасовка — ставки и план'!$A$5:$A$24,0)),""))</f>
        <v>780</v>
      </c>
      <c r="Q1684" s="15">
        <f t="shared" si="123"/>
        <v>520</v>
      </c>
      <c r="R1684" s="13" t="str">
        <f>IF(D1684="TEX","аренда техники — сделка/счёт",IF(OR(Q1684="",H1684="",H1684=0),"—",IF(Q1684&lt;H1684*(1-Параметры!$B$7),"почасовка",IF(Q1684&gt;H1684*(1+Параметры!$B$7),"сделка","любой способ"))))</f>
        <v>сделка</v>
      </c>
      <c r="S1684">
        <v>0.1566666666666667</v>
      </c>
      <c r="T1684">
        <v>0.2057971014492754</v>
      </c>
    </row>
    <row r="1685" spans="1:20" x14ac:dyDescent="0.25">
      <c r="A1685" s="13" t="s">
        <v>3409</v>
      </c>
      <c r="B1685" s="13" t="s">
        <v>3410</v>
      </c>
      <c r="C1685" s="13" t="s">
        <v>69</v>
      </c>
      <c r="D1685" s="13" t="s">
        <v>56</v>
      </c>
      <c r="E1685" s="13" t="str">
        <f>IFERROR(INDEX('Почасовка — ставки и план'!$B$5:$B$24,MATCH(D1685,'Почасовка — ставки и план'!$A$5:$A$24,0)),"Аренда техники / механизмы")</f>
        <v>Дорожный рабочий / благоустройство</v>
      </c>
      <c r="F1685" s="14">
        <v>200</v>
      </c>
      <c r="G1685" s="14">
        <v>230</v>
      </c>
      <c r="H1685" s="15">
        <v>120</v>
      </c>
      <c r="I1685" s="15">
        <f>IF(OR(H1685="",F1685=""),"",MAX(H1685,MIN(ROUND(H1685*(1+Параметры!$B$5),IF(H1685*(1+Параметры!$B$5)&gt;=1000,-1,0)),ROUND(F1685*Параметры!$B$6,IF(F1685*Параметры!$B$6&gt;=1000,-1,0)))))</f>
        <v>138</v>
      </c>
      <c r="J1685" s="15">
        <v>138</v>
      </c>
      <c r="K1685" s="15">
        <f>IF(OR(J1685="",G1685=""),"",MAX(J1685,MIN(ROUND(J1685*(1+Параметры!$B$5),IF(J1685*(1+Параметры!$B$5)&gt;=1000,-1,0)),ROUND(G1685*Параметры!$B$6,IF(G1685*Параметры!$B$6&gt;=1000,-1,0)))))</f>
        <v>159</v>
      </c>
      <c r="L1685" s="16">
        <v>0.08</v>
      </c>
      <c r="M1685" s="17">
        <f t="shared" si="122"/>
        <v>12.5</v>
      </c>
      <c r="N1685" s="17">
        <f>IF(OR(L1685="",L1685=0),"",Параметры!$B$3/L1685)</f>
        <v>100</v>
      </c>
      <c r="O1685" s="15">
        <f>IF(L1685="","",IFERROR(INDEX('Почасовка — ставки и план'!$D$5:$D$24,MATCH($D1685,'Почасовка — ставки и план'!$A$5:$A$24,0)),""))</f>
        <v>650</v>
      </c>
      <c r="P1685" s="15">
        <f>IF(L1685="","",IFERROR(INDEX('Почасовка — ставки и план'!$E$5:$E$24,MATCH($D1685,'Почасовка — ставки и план'!$A$5:$A$24,0)),""))</f>
        <v>780</v>
      </c>
      <c r="Q1685" s="15">
        <f t="shared" si="123"/>
        <v>52</v>
      </c>
      <c r="R1685" s="13" t="str">
        <f>IF(D1685="TEX","аренда техники — сделка/счёт",IF(OR(Q1685="",H1685="",H1685=0),"—",IF(Q1685&lt;H1685*(1-Параметры!$B$7),"почасовка",IF(Q1685&gt;H1685*(1+Параметры!$B$7),"сделка","любой способ"))))</f>
        <v>почасовка</v>
      </c>
      <c r="S1685">
        <v>0</v>
      </c>
      <c r="T1685">
        <v>0</v>
      </c>
    </row>
    <row r="1686" spans="1:20" x14ac:dyDescent="0.25">
      <c r="A1686" s="13" t="s">
        <v>3411</v>
      </c>
      <c r="B1686" s="13" t="s">
        <v>3412</v>
      </c>
      <c r="C1686" s="13" t="s">
        <v>72</v>
      </c>
      <c r="D1686" s="13" t="s">
        <v>208</v>
      </c>
      <c r="E1686" s="13" t="str">
        <f>IFERROR(INDEX('Почасовка — ставки и план'!$B$5:$B$24,MATCH(D1686,'Почасовка — ставки и план'!$A$5:$A$24,0)),"Аренда техники / механизмы")</f>
        <v>Отделочник (штукатур, маляр, ГКЛ)</v>
      </c>
      <c r="F1686" s="14">
        <v>280</v>
      </c>
      <c r="G1686" s="14">
        <v>322</v>
      </c>
      <c r="H1686" s="15">
        <v>170</v>
      </c>
      <c r="I1686" s="15">
        <f>IF(OR(H1686="",F1686=""),"",MAX(H1686,MIN(ROUND(H1686*(1+Параметры!$B$5),IF(H1686*(1+Параметры!$B$5)&gt;=1000,-1,0)),ROUND(F1686*Параметры!$B$6,IF(F1686*Параметры!$B$6&gt;=1000,-1,0)))))</f>
        <v>196</v>
      </c>
      <c r="J1686" s="15">
        <v>195</v>
      </c>
      <c r="K1686" s="15">
        <f>IF(OR(J1686="",G1686=""),"",MAX(J1686,MIN(ROUND(J1686*(1+Параметры!$B$5),IF(J1686*(1+Параметры!$B$5)&gt;=1000,-1,0)),ROUND(G1686*Параметры!$B$6,IF(G1686*Параметры!$B$6&gt;=1000,-1,0)))))</f>
        <v>224</v>
      </c>
      <c r="L1686" s="16">
        <v>0.25</v>
      </c>
      <c r="M1686" s="17">
        <f t="shared" si="122"/>
        <v>4</v>
      </c>
      <c r="N1686" s="17">
        <f>IF(OR(L1686="",L1686=0),"",Параметры!$B$3/L1686)</f>
        <v>32</v>
      </c>
      <c r="O1686" s="15">
        <f>IF(L1686="","",IFERROR(INDEX('Почасовка — ставки и план'!$D$5:$D$24,MATCH($D1686,'Почасовка — ставки и план'!$A$5:$A$24,0)),""))</f>
        <v>750</v>
      </c>
      <c r="P1686" s="15">
        <f>IF(L1686="","",IFERROR(INDEX('Почасовка — ставки и план'!$E$5:$E$24,MATCH($D1686,'Почасовка — ставки и план'!$A$5:$A$24,0)),""))</f>
        <v>900</v>
      </c>
      <c r="Q1686" s="15">
        <f t="shared" si="123"/>
        <v>188</v>
      </c>
      <c r="R1686" s="13" t="str">
        <f>IF(D1686="TEX","аренда техники — сделка/счёт",IF(OR(Q1686="",H1686="",H1686=0),"—",IF(Q1686&lt;H1686*(1-Параметры!$B$7),"почасовка",IF(Q1686&gt;H1686*(1+Параметры!$B$7),"сделка","любой способ"))))</f>
        <v>сделка</v>
      </c>
      <c r="S1686">
        <v>0</v>
      </c>
      <c r="T1686">
        <v>0</v>
      </c>
    </row>
    <row r="1687" spans="1:20" x14ac:dyDescent="0.25">
      <c r="A1687" s="13" t="s">
        <v>3413</v>
      </c>
      <c r="B1687" s="13" t="s">
        <v>3414</v>
      </c>
      <c r="C1687" s="13" t="s">
        <v>72</v>
      </c>
      <c r="D1687" s="13" t="s">
        <v>208</v>
      </c>
      <c r="E1687" s="13" t="str">
        <f>IFERROR(INDEX('Почасовка — ставки и план'!$B$5:$B$24,MATCH(D1687,'Почасовка — ставки и план'!$A$5:$A$24,0)),"Аренда техники / механизмы")</f>
        <v>Отделочник (штукатур, маляр, ГКЛ)</v>
      </c>
      <c r="F1687" s="14">
        <v>380</v>
      </c>
      <c r="G1687" s="14">
        <v>437</v>
      </c>
      <c r="H1687" s="15">
        <v>230</v>
      </c>
      <c r="I1687" s="15">
        <f>IF(OR(H1687="",F1687=""),"",MAX(H1687,MIN(ROUND(H1687*(1+Параметры!$B$5),IF(H1687*(1+Параметры!$B$5)&gt;=1000,-1,0)),ROUND(F1687*Параметры!$B$6,IF(F1687*Параметры!$B$6&gt;=1000,-1,0)))))</f>
        <v>265</v>
      </c>
      <c r="J1687" s="15">
        <v>264</v>
      </c>
      <c r="K1687" s="15">
        <f>IF(OR(J1687="",G1687=""),"",MAX(J1687,MIN(ROUND(J1687*(1+Параметры!$B$5),IF(J1687*(1+Параметры!$B$5)&gt;=1000,-1,0)),ROUND(G1687*Параметры!$B$6,IF(G1687*Параметры!$B$6&gt;=1000,-1,0)))))</f>
        <v>304</v>
      </c>
      <c r="L1687" s="16">
        <v>0.35</v>
      </c>
      <c r="M1687" s="17">
        <f t="shared" si="122"/>
        <v>2.8571428571428572</v>
      </c>
      <c r="N1687" s="17">
        <f>IF(OR(L1687="",L1687=0),"",Параметры!$B$3/L1687)</f>
        <v>22.857142857142858</v>
      </c>
      <c r="O1687" s="15">
        <f>IF(L1687="","",IFERROR(INDEX('Почасовка — ставки и план'!$D$5:$D$24,MATCH($D1687,'Почасовка — ставки и план'!$A$5:$A$24,0)),""))</f>
        <v>750</v>
      </c>
      <c r="P1687" s="15">
        <f>IF(L1687="","",IFERROR(INDEX('Почасовка — ставки и план'!$E$5:$E$24,MATCH($D1687,'Почасовка — ставки и план'!$A$5:$A$24,0)),""))</f>
        <v>900</v>
      </c>
      <c r="Q1687" s="15">
        <f t="shared" si="123"/>
        <v>263</v>
      </c>
      <c r="R1687" s="13" t="str">
        <f>IF(D1687="TEX","аренда техники — сделка/счёт",IF(OR(Q1687="",H1687="",H1687=0),"—",IF(Q1687&lt;H1687*(1-Параметры!$B$7),"почасовка",IF(Q1687&gt;H1687*(1+Параметры!$B$7),"сделка","любой способ"))))</f>
        <v>сделка</v>
      </c>
      <c r="S1687">
        <v>0</v>
      </c>
      <c r="T1687">
        <v>0</v>
      </c>
    </row>
    <row r="1688" spans="1:20" x14ac:dyDescent="0.25">
      <c r="A1688" s="13" t="s">
        <v>3415</v>
      </c>
      <c r="B1688" s="13" t="s">
        <v>3416</v>
      </c>
      <c r="C1688" s="13" t="s">
        <v>72</v>
      </c>
      <c r="D1688" s="13" t="s">
        <v>60</v>
      </c>
      <c r="E1688" s="13" t="str">
        <f>IFERROR(INDEX('Почасовка — ставки и план'!$B$5:$B$24,MATCH(D1688,'Почасовка — ставки и план'!$A$5:$A$24,0)),"Аренда техники / механизмы")</f>
        <v>Разнорабочий / демонтажник</v>
      </c>
      <c r="F1688" s="14">
        <v>30</v>
      </c>
      <c r="G1688" s="14">
        <v>34.5</v>
      </c>
      <c r="H1688" s="15">
        <v>18</v>
      </c>
      <c r="I1688" s="15">
        <f>IF(OR(H1688="",F1688=""),"",MAX(H1688,MIN(ROUND(H1688*(1+Параметры!$B$5),IF(H1688*(1+Параметры!$B$5)&gt;=1000,-1,0)),ROUND(F1688*Параметры!$B$6,IF(F1688*Параметры!$B$6&gt;=1000,-1,0)))))</f>
        <v>21</v>
      </c>
      <c r="J1688" s="15">
        <v>20.5</v>
      </c>
      <c r="K1688" s="15">
        <f>IF(OR(J1688="",G1688=""),"",MAX(J1688,MIN(ROUND(J1688*(1+Параметры!$B$5),IF(J1688*(1+Параметры!$B$5)&gt;=1000,-1,0)),ROUND(G1688*Параметры!$B$6,IF(G1688*Параметры!$B$6&gt;=1000,-1,0)))))</f>
        <v>24</v>
      </c>
      <c r="L1688" s="16">
        <v>0.03</v>
      </c>
      <c r="M1688" s="17">
        <f t="shared" si="122"/>
        <v>33.333333333333336</v>
      </c>
      <c r="N1688" s="17">
        <f>IF(OR(L1688="",L1688=0),"",Параметры!$B$3/L1688)</f>
        <v>266.66666666666669</v>
      </c>
      <c r="O1688" s="15">
        <f>IF(L1688="","",IFERROR(INDEX('Почасовка — ставки и план'!$D$5:$D$24,MATCH($D1688,'Почасовка — ставки и план'!$A$5:$A$24,0)),""))</f>
        <v>550</v>
      </c>
      <c r="P1688" s="15">
        <f>IF(L1688="","",IFERROR(INDEX('Почасовка — ставки и план'!$E$5:$E$24,MATCH($D1688,'Почасовка — ставки и план'!$A$5:$A$24,0)),""))</f>
        <v>660</v>
      </c>
      <c r="Q1688" s="15">
        <f t="shared" si="123"/>
        <v>17</v>
      </c>
      <c r="R1688" s="13" t="str">
        <f>IF(D1688="TEX","аренда техники — сделка/счёт",IF(OR(Q1688="",H1688="",H1688=0),"—",IF(Q1688&lt;H1688*(1-Параметры!$B$7),"почасовка",IF(Q1688&gt;H1688*(1+Параметры!$B$7),"сделка","любой способ"))))</f>
        <v>любой способ</v>
      </c>
      <c r="S1688">
        <v>0</v>
      </c>
      <c r="T1688">
        <v>0</v>
      </c>
    </row>
    <row r="1689" spans="1:20" x14ac:dyDescent="0.25">
      <c r="A1689" s="13" t="s">
        <v>3417</v>
      </c>
      <c r="B1689" s="13" t="s">
        <v>3418</v>
      </c>
      <c r="C1689" s="13" t="s">
        <v>72</v>
      </c>
      <c r="D1689" s="13" t="s">
        <v>947</v>
      </c>
      <c r="E1689" s="13" t="str">
        <f>IFERROR(INDEX('Почасовка — ставки и план'!$B$5:$B$24,MATCH(D1689,'Почасовка — ставки и план'!$A$5:$A$24,0)),"Аренда техники / механизмы")</f>
        <v>Землекоп / рабочий земляных работ</v>
      </c>
      <c r="F1689" s="14">
        <v>70</v>
      </c>
      <c r="G1689" s="14">
        <v>80.5</v>
      </c>
      <c r="H1689" s="15">
        <v>45</v>
      </c>
      <c r="I1689" s="15">
        <f>IF(OR(H1689="",F1689=""),"",MAX(H1689,MIN(ROUND(H1689*(1+Параметры!$B$5),IF(H1689*(1+Параметры!$B$5)&gt;=1000,-1,0)),ROUND(F1689*Параметры!$B$6,IF(F1689*Параметры!$B$6&gt;=1000,-1,0)))))</f>
        <v>52</v>
      </c>
      <c r="J1689" s="15">
        <v>51.5</v>
      </c>
      <c r="K1689" s="15">
        <f>IF(OR(J1689="",G1689=""),"",MAX(J1689,MIN(ROUND(J1689*(1+Параметры!$B$5),IF(J1689*(1+Параметры!$B$5)&gt;=1000,-1,0)),ROUND(G1689*Параметры!$B$6,IF(G1689*Параметры!$B$6&gt;=1000,-1,0)))))</f>
        <v>59</v>
      </c>
      <c r="L1689" s="16">
        <v>7.0000000000000007E-2</v>
      </c>
      <c r="M1689" s="17">
        <f t="shared" si="122"/>
        <v>14.285714285714285</v>
      </c>
      <c r="N1689" s="17">
        <f>IF(OR(L1689="",L1689=0),"",Параметры!$B$3/L1689)</f>
        <v>114.28571428571428</v>
      </c>
      <c r="O1689" s="15">
        <f>IF(L1689="","",IFERROR(INDEX('Почасовка — ставки и план'!$D$5:$D$24,MATCH($D1689,'Почасовка — ставки и план'!$A$5:$A$24,0)),""))</f>
        <v>550</v>
      </c>
      <c r="P1689" s="15">
        <f>IF(L1689="","",IFERROR(INDEX('Почасовка — ставки и план'!$E$5:$E$24,MATCH($D1689,'Почасовка — ставки и план'!$A$5:$A$24,0)),""))</f>
        <v>660</v>
      </c>
      <c r="Q1689" s="15">
        <f t="shared" si="123"/>
        <v>39</v>
      </c>
      <c r="R1689" s="13" t="str">
        <f>IF(D1689="TEX","аренда техники — сделка/счёт",IF(OR(Q1689="",H1689="",H1689=0),"—",IF(Q1689&lt;H1689*(1-Параметры!$B$7),"почасовка",IF(Q1689&gt;H1689*(1+Параметры!$B$7),"сделка","любой способ"))))</f>
        <v>почасовка</v>
      </c>
      <c r="S1689">
        <v>0</v>
      </c>
      <c r="T1689">
        <v>0</v>
      </c>
    </row>
    <row r="1690" spans="1:20" x14ac:dyDescent="0.25">
      <c r="A1690" s="13" t="s">
        <v>3419</v>
      </c>
      <c r="B1690" s="13" t="s">
        <v>3420</v>
      </c>
      <c r="C1690" s="13" t="s">
        <v>72</v>
      </c>
      <c r="D1690" s="13" t="s">
        <v>56</v>
      </c>
      <c r="E1690" s="13" t="str">
        <f>IFERROR(INDEX('Почасовка — ставки и план'!$B$5:$B$24,MATCH(D1690,'Почасовка — ставки и план'!$A$5:$A$24,0)),"Аренда техники / механизмы")</f>
        <v>Дорожный рабочий / благоустройство</v>
      </c>
      <c r="F1690" s="14">
        <v>550</v>
      </c>
      <c r="G1690" s="14">
        <v>632</v>
      </c>
      <c r="H1690" s="15">
        <v>350</v>
      </c>
      <c r="I1690" s="15">
        <f>IF(OR(H1690="",F1690=""),"",MAX(H1690,MIN(ROUND(H1690*(1+Параметры!$B$5),IF(H1690*(1+Параметры!$B$5)&gt;=1000,-1,0)),ROUND(F1690*Параметры!$B$6,IF(F1690*Параметры!$B$6&gt;=1000,-1,0)))))</f>
        <v>403</v>
      </c>
      <c r="J1690" s="15">
        <v>402</v>
      </c>
      <c r="K1690" s="15">
        <f>IF(OR(J1690="",G1690=""),"",MAX(J1690,MIN(ROUND(J1690*(1+Параметры!$B$5),IF(J1690*(1+Параметры!$B$5)&gt;=1000,-1,0)),ROUND(G1690*Параметры!$B$6,IF(G1690*Параметры!$B$6&gt;=1000,-1,0)))))</f>
        <v>462</v>
      </c>
      <c r="L1690" s="16">
        <v>0.5</v>
      </c>
      <c r="M1690" s="17">
        <f t="shared" si="122"/>
        <v>2</v>
      </c>
      <c r="N1690" s="17">
        <f>IF(OR(L1690="",L1690=0),"",Параметры!$B$3/L1690)</f>
        <v>16</v>
      </c>
      <c r="O1690" s="15">
        <f>IF(L1690="","",IFERROR(INDEX('Почасовка — ставки и план'!$D$5:$D$24,MATCH($D1690,'Почасовка — ставки и план'!$A$5:$A$24,0)),""))</f>
        <v>650</v>
      </c>
      <c r="P1690" s="15">
        <f>IF(L1690="","",IFERROR(INDEX('Почасовка — ставки и план'!$E$5:$E$24,MATCH($D1690,'Почасовка — ставки и план'!$A$5:$A$24,0)),""))</f>
        <v>780</v>
      </c>
      <c r="Q1690" s="15">
        <f t="shared" si="123"/>
        <v>325</v>
      </c>
      <c r="R1690" s="13" t="str">
        <f>IF(D1690="TEX","аренда техники — сделка/счёт",IF(OR(Q1690="",H1690="",H1690=0),"—",IF(Q1690&lt;H1690*(1-Параметры!$B$7),"почасовка",IF(Q1690&gt;H1690*(1+Параметры!$B$7),"сделка","любой способ"))))</f>
        <v>любой способ</v>
      </c>
      <c r="S1690">
        <v>0</v>
      </c>
      <c r="T1690">
        <v>0</v>
      </c>
    </row>
    <row r="1691" spans="1:20" x14ac:dyDescent="0.25">
      <c r="A1691" s="13" t="s">
        <v>3421</v>
      </c>
      <c r="B1691" s="13" t="s">
        <v>3422</v>
      </c>
      <c r="C1691" s="13" t="s">
        <v>72</v>
      </c>
      <c r="D1691" s="13" t="s">
        <v>947</v>
      </c>
      <c r="E1691" s="13" t="str">
        <f>IFERROR(INDEX('Почасовка — ставки и план'!$B$5:$B$24,MATCH(D1691,'Почасовка — ставки и план'!$A$5:$A$24,0)),"Аренда техники / механизмы")</f>
        <v>Землекоп / рабочий земляных работ</v>
      </c>
      <c r="F1691" s="14">
        <v>110</v>
      </c>
      <c r="G1691" s="14">
        <v>126</v>
      </c>
      <c r="H1691" s="15">
        <v>70</v>
      </c>
      <c r="I1691" s="15">
        <f>IF(OR(H1691="",F1691=""),"",MAX(H1691,MIN(ROUND(H1691*(1+Параметры!$B$5),IF(H1691*(1+Параметры!$B$5)&gt;=1000,-1,0)),ROUND(F1691*Параметры!$B$6,IF(F1691*Параметры!$B$6&gt;=1000,-1,0)))))</f>
        <v>81</v>
      </c>
      <c r="J1691" s="15">
        <v>80.5</v>
      </c>
      <c r="K1691" s="15">
        <f>IF(OR(J1691="",G1691=""),"",MAX(J1691,MIN(ROUND(J1691*(1+Параметры!$B$5),IF(J1691*(1+Параметры!$B$5)&gt;=1000,-1,0)),ROUND(G1691*Параметры!$B$6,IF(G1691*Параметры!$B$6&gt;=1000,-1,0)))))</f>
        <v>93</v>
      </c>
      <c r="L1691" s="16">
        <v>0.12</v>
      </c>
      <c r="M1691" s="17">
        <f t="shared" si="122"/>
        <v>8.3333333333333339</v>
      </c>
      <c r="N1691" s="17">
        <f>IF(OR(L1691="",L1691=0),"",Параметры!$B$3/L1691)</f>
        <v>66.666666666666671</v>
      </c>
      <c r="O1691" s="15">
        <f>IF(L1691="","",IFERROR(INDEX('Почасовка — ставки и план'!$D$5:$D$24,MATCH($D1691,'Почасовка — ставки и план'!$A$5:$A$24,0)),""))</f>
        <v>550</v>
      </c>
      <c r="P1691" s="15">
        <f>IF(L1691="","",IFERROR(INDEX('Почасовка — ставки и план'!$E$5:$E$24,MATCH($D1691,'Почасовка — ставки и план'!$A$5:$A$24,0)),""))</f>
        <v>660</v>
      </c>
      <c r="Q1691" s="15">
        <f t="shared" si="123"/>
        <v>66</v>
      </c>
      <c r="R1691" s="13" t="str">
        <f>IF(D1691="TEX","аренда техники — сделка/счёт",IF(OR(Q1691="",H1691="",H1691=0),"—",IF(Q1691&lt;H1691*(1-Параметры!$B$7),"почасовка",IF(Q1691&gt;H1691*(1+Параметры!$B$7),"сделка","любой способ"))))</f>
        <v>любой способ</v>
      </c>
      <c r="S1691">
        <v>0</v>
      </c>
      <c r="T1691">
        <v>0</v>
      </c>
    </row>
    <row r="1692" spans="1:20" x14ac:dyDescent="0.25">
      <c r="A1692" s="13" t="s">
        <v>3423</v>
      </c>
      <c r="B1692" s="13" t="s">
        <v>3424</v>
      </c>
      <c r="C1692" s="13" t="s">
        <v>72</v>
      </c>
      <c r="D1692" s="13" t="s">
        <v>56</v>
      </c>
      <c r="E1692" s="13" t="str">
        <f>IFERROR(INDEX('Почасовка — ставки и план'!$B$5:$B$24,MATCH(D1692,'Почасовка — ставки и план'!$A$5:$A$24,0)),"Аренда техники / механизмы")</f>
        <v>Дорожный рабочий / благоустройство</v>
      </c>
      <c r="F1692" s="14">
        <v>350</v>
      </c>
      <c r="G1692" s="14">
        <v>416</v>
      </c>
      <c r="H1692" s="15">
        <v>220</v>
      </c>
      <c r="I1692" s="15">
        <f>IF(OR(H1692="",F1692=""),"",MAX(H1692,MIN(ROUND(H1692*(1+Параметры!$B$5),IF(H1692*(1+Параметры!$B$5)&gt;=1000,-1,0)),ROUND(F1692*Параметры!$B$6,IF(F1692*Параметры!$B$6&gt;=1000,-1,0)))))</f>
        <v>253</v>
      </c>
      <c r="J1692" s="15">
        <v>253</v>
      </c>
      <c r="K1692" s="15">
        <f>IF(OR(J1692="",G1692=""),"",MAX(J1692,MIN(ROUND(J1692*(1+Параметры!$B$5),IF(J1692*(1+Параметры!$B$5)&gt;=1000,-1,0)),ROUND(G1692*Параметры!$B$6,IF(G1692*Параметры!$B$6&gt;=1000,-1,0)))))</f>
        <v>291</v>
      </c>
      <c r="L1692" s="16">
        <v>0.4</v>
      </c>
      <c r="M1692" s="17">
        <f t="shared" si="122"/>
        <v>2.5</v>
      </c>
      <c r="N1692" s="17">
        <f>IF(OR(L1692="",L1692=0),"",Параметры!$B$3/L1692)</f>
        <v>20</v>
      </c>
      <c r="O1692" s="15">
        <f>IF(L1692="","",IFERROR(INDEX('Почасовка — ставки и план'!$D$5:$D$24,MATCH($D1692,'Почасовка — ставки и план'!$A$5:$A$24,0)),""))</f>
        <v>650</v>
      </c>
      <c r="P1692" s="15">
        <f>IF(L1692="","",IFERROR(INDEX('Почасовка — ставки и план'!$E$5:$E$24,MATCH($D1692,'Почасовка — ставки и план'!$A$5:$A$24,0)),""))</f>
        <v>780</v>
      </c>
      <c r="Q1692" s="15">
        <f t="shared" si="123"/>
        <v>260</v>
      </c>
      <c r="R1692" s="13" t="str">
        <f>IF(D1692="TEX","аренда техники — сделка/счёт",IF(OR(Q1692="",H1692="",H1692=0),"—",IF(Q1692&lt;H1692*(1-Параметры!$B$7),"почасовка",IF(Q1692&gt;H1692*(1+Параметры!$B$7),"сделка","любой способ"))))</f>
        <v>сделка</v>
      </c>
      <c r="S1692">
        <v>0</v>
      </c>
      <c r="T1692">
        <v>3.4825870646766122E-2</v>
      </c>
    </row>
    <row r="1693" spans="1:20" x14ac:dyDescent="0.25">
      <c r="A1693" s="13" t="s">
        <v>3425</v>
      </c>
      <c r="B1693" s="13" t="s">
        <v>3426</v>
      </c>
      <c r="C1693" s="13" t="s">
        <v>72</v>
      </c>
      <c r="D1693" s="13" t="s">
        <v>56</v>
      </c>
      <c r="E1693" s="13" t="str">
        <f>IFERROR(INDEX('Почасовка — ставки и план'!$B$5:$B$24,MATCH(D1693,'Почасовка — ставки и план'!$A$5:$A$24,0)),"Аренда техники / механизмы")</f>
        <v>Дорожный рабочий / благоустройство</v>
      </c>
      <c r="F1693" s="14">
        <v>35</v>
      </c>
      <c r="G1693" s="14">
        <v>40</v>
      </c>
      <c r="H1693" s="15">
        <v>22</v>
      </c>
      <c r="I1693" s="15">
        <f>IF(OR(H1693="",F1693=""),"",MAX(H1693,MIN(ROUND(H1693*(1+Параметры!$B$5),IF(H1693*(1+Параметры!$B$5)&gt;=1000,-1,0)),ROUND(F1693*Параметры!$B$6,IF(F1693*Параметры!$B$6&gt;=1000,-1,0)))))</f>
        <v>25</v>
      </c>
      <c r="J1693" s="15">
        <v>25.5</v>
      </c>
      <c r="K1693" s="15">
        <f>IF(OR(J1693="",G1693=""),"",MAX(J1693,MIN(ROUND(J1693*(1+Параметры!$B$5),IF(J1693*(1+Параметры!$B$5)&gt;=1000,-1,0)),ROUND(G1693*Параметры!$B$6,IF(G1693*Параметры!$B$6&gt;=1000,-1,0)))))</f>
        <v>29</v>
      </c>
      <c r="L1693" s="16">
        <v>0.02</v>
      </c>
      <c r="M1693" s="17">
        <f t="shared" si="122"/>
        <v>50</v>
      </c>
      <c r="N1693" s="17">
        <f>IF(OR(L1693="",L1693=0),"",Параметры!$B$3/L1693)</f>
        <v>400</v>
      </c>
      <c r="O1693" s="15">
        <f>IF(L1693="","",IFERROR(INDEX('Почасовка — ставки и план'!$D$5:$D$24,MATCH($D1693,'Почасовка — ставки и план'!$A$5:$A$24,0)),""))</f>
        <v>650</v>
      </c>
      <c r="P1693" s="15">
        <f>IF(L1693="","",IFERROR(INDEX('Почасовка — ставки и план'!$E$5:$E$24,MATCH($D1693,'Почасовка — ставки и план'!$A$5:$A$24,0)),""))</f>
        <v>780</v>
      </c>
      <c r="Q1693" s="15">
        <f t="shared" si="123"/>
        <v>13</v>
      </c>
      <c r="R1693" s="13" t="str">
        <f>IF(D1693="TEX","аренда техники — сделка/счёт",IF(OR(Q1693="",H1693="",H1693=0),"—",IF(Q1693&lt;H1693*(1-Параметры!$B$7),"почасовка",IF(Q1693&gt;H1693*(1+Параметры!$B$7),"сделка","любой способ"))))</f>
        <v>почасовка</v>
      </c>
      <c r="S1693">
        <v>0</v>
      </c>
      <c r="T1693">
        <v>0</v>
      </c>
    </row>
    <row r="1694" spans="1:20" x14ac:dyDescent="0.25">
      <c r="A1694" s="13" t="s">
        <v>3427</v>
      </c>
      <c r="B1694" s="13" t="s">
        <v>3428</v>
      </c>
      <c r="C1694" s="13" t="s">
        <v>72</v>
      </c>
      <c r="D1694" s="13" t="s">
        <v>56</v>
      </c>
      <c r="E1694" s="13" t="str">
        <f>IFERROR(INDEX('Почасовка — ставки и план'!$B$5:$B$24,MATCH(D1694,'Почасовка — ставки и план'!$A$5:$A$24,0)),"Аренда техники / механизмы")</f>
        <v>Дорожный рабочий / благоустройство</v>
      </c>
      <c r="F1694" s="14">
        <v>104</v>
      </c>
      <c r="G1694" s="14">
        <v>126</v>
      </c>
      <c r="H1694" s="15">
        <v>60</v>
      </c>
      <c r="I1694" s="15">
        <f>IF(OR(H1694="",F1694=""),"",MAX(H1694,MIN(ROUND(H1694*(1+Параметры!$B$5),IF(H1694*(1+Параметры!$B$5)&gt;=1000,-1,0)),ROUND(F1694*Параметры!$B$6,IF(F1694*Параметры!$B$6&gt;=1000,-1,0)))))</f>
        <v>69</v>
      </c>
      <c r="J1694" s="15">
        <v>69</v>
      </c>
      <c r="K1694" s="15">
        <f>IF(OR(J1694="",G1694=""),"",MAX(J1694,MIN(ROUND(J1694*(1+Параметры!$B$5),IF(J1694*(1+Параметры!$B$5)&gt;=1000,-1,0)),ROUND(G1694*Параметры!$B$6,IF(G1694*Параметры!$B$6&gt;=1000,-1,0)))))</f>
        <v>79</v>
      </c>
      <c r="L1694" s="16">
        <v>0.12</v>
      </c>
      <c r="M1694" s="17">
        <f t="shared" si="122"/>
        <v>8.3333333333333339</v>
      </c>
      <c r="N1694" s="17">
        <f>IF(OR(L1694="",L1694=0),"",Параметры!$B$3/L1694)</f>
        <v>66.666666666666671</v>
      </c>
      <c r="O1694" s="15">
        <f>IF(L1694="","",IFERROR(INDEX('Почасовка — ставки и план'!$D$5:$D$24,MATCH($D1694,'Почасовка — ставки и план'!$A$5:$A$24,0)),""))</f>
        <v>650</v>
      </c>
      <c r="P1694" s="15">
        <f>IF(L1694="","",IFERROR(INDEX('Почасовка — ставки и план'!$E$5:$E$24,MATCH($D1694,'Почасовка — ставки и план'!$A$5:$A$24,0)),""))</f>
        <v>780</v>
      </c>
      <c r="Q1694" s="15">
        <f t="shared" si="123"/>
        <v>78</v>
      </c>
      <c r="R1694" s="13" t="str">
        <f>IF(D1694="TEX","аренда техники — сделка/счёт",IF(OR(Q1694="",H1694="",H1694=0),"—",IF(Q1694&lt;H1694*(1-Параметры!$B$7),"почасовка",IF(Q1694&gt;H1694*(1+Параметры!$B$7),"сделка","любой способ"))))</f>
        <v>сделка</v>
      </c>
      <c r="S1694">
        <v>4.0000000000000042E-2</v>
      </c>
      <c r="T1694">
        <v>9.565217391304337E-2</v>
      </c>
    </row>
    <row r="1695" spans="1:20" x14ac:dyDescent="0.25">
      <c r="A1695" s="13" t="s">
        <v>3429</v>
      </c>
      <c r="B1695" s="13" t="s">
        <v>3430</v>
      </c>
      <c r="C1695" s="13" t="s">
        <v>72</v>
      </c>
      <c r="D1695" s="13" t="s">
        <v>56</v>
      </c>
      <c r="E1695" s="13" t="str">
        <f>IFERROR(INDEX('Почасовка — ставки и план'!$B$5:$B$24,MATCH(D1695,'Почасовка — ставки и план'!$A$5:$A$24,0)),"Аренда техники / механизмы")</f>
        <v>Дорожный рабочий / благоустройство</v>
      </c>
      <c r="F1695" s="14">
        <v>391</v>
      </c>
      <c r="G1695" s="14">
        <v>468</v>
      </c>
      <c r="H1695" s="15">
        <v>190</v>
      </c>
      <c r="I1695" s="15">
        <f>IF(OR(H1695="",F1695=""),"",MAX(H1695,MIN(ROUND(H1695*(1+Параметры!$B$5),IF(H1695*(1+Параметры!$B$5)&gt;=1000,-1,0)),ROUND(F1695*Параметры!$B$6,IF(F1695*Параметры!$B$6&gt;=1000,-1,0)))))</f>
        <v>219</v>
      </c>
      <c r="J1695" s="15">
        <v>218</v>
      </c>
      <c r="K1695" s="15">
        <f>IF(OR(J1695="",G1695=""),"",MAX(J1695,MIN(ROUND(J1695*(1+Параметры!$B$5),IF(J1695*(1+Параметры!$B$5)&gt;=1000,-1,0)),ROUND(G1695*Параметры!$B$6,IF(G1695*Параметры!$B$6&gt;=1000,-1,0)))))</f>
        <v>251</v>
      </c>
      <c r="L1695" s="16">
        <v>0.45</v>
      </c>
      <c r="M1695" s="17">
        <f t="shared" si="122"/>
        <v>2.2222222222222223</v>
      </c>
      <c r="N1695" s="17">
        <f>IF(OR(L1695="",L1695=0),"",Параметры!$B$3/L1695)</f>
        <v>17.777777777777779</v>
      </c>
      <c r="O1695" s="15">
        <f>IF(L1695="","",IFERROR(INDEX('Почасовка — ставки и план'!$D$5:$D$24,MATCH($D1695,'Почасовка — ставки и план'!$A$5:$A$24,0)),""))</f>
        <v>650</v>
      </c>
      <c r="P1695" s="15">
        <f>IF(L1695="","",IFERROR(INDEX('Почасовка — ставки и план'!$E$5:$E$24,MATCH($D1695,'Почасовка — ставки и план'!$A$5:$A$24,0)),""))</f>
        <v>780</v>
      </c>
      <c r="Q1695" s="15">
        <f t="shared" si="123"/>
        <v>293</v>
      </c>
      <c r="R1695" s="13" t="str">
        <f>IF(D1695="TEX","аренда техники — сделка/счёт",IF(OR(Q1695="",H1695="",H1695=0),"—",IF(Q1695&lt;H1695*(1-Параметры!$B$7),"почасовка",IF(Q1695&gt;H1695*(1+Параметры!$B$7),"сделка","любой способ"))))</f>
        <v>сделка</v>
      </c>
      <c r="S1695">
        <v>0.30333333333333318</v>
      </c>
      <c r="T1695">
        <v>0.35652173913043472</v>
      </c>
    </row>
    <row r="1696" spans="1:20" x14ac:dyDescent="0.25">
      <c r="A1696" s="13" t="s">
        <v>3431</v>
      </c>
      <c r="B1696" s="13" t="s">
        <v>3432</v>
      </c>
      <c r="C1696" s="13" t="s">
        <v>72</v>
      </c>
      <c r="D1696" s="13" t="s">
        <v>56</v>
      </c>
      <c r="E1696" s="13" t="str">
        <f>IFERROR(INDEX('Почасовка — ставки и план'!$B$5:$B$24,MATCH(D1696,'Почасовка — ставки и план'!$A$5:$A$24,0)),"Аренда техники / механизмы")</f>
        <v>Дорожный рабочий / благоустройство</v>
      </c>
      <c r="F1696" s="14">
        <v>150</v>
      </c>
      <c r="G1696" s="14">
        <v>172</v>
      </c>
      <c r="H1696" s="15">
        <v>95</v>
      </c>
      <c r="I1696" s="15">
        <f>IF(OR(H1696="",F1696=""),"",MAX(H1696,MIN(ROUND(H1696*(1+Параметры!$B$5),IF(H1696*(1+Параметры!$B$5)&gt;=1000,-1,0)),ROUND(F1696*Параметры!$B$6,IF(F1696*Параметры!$B$6&gt;=1000,-1,0)))))</f>
        <v>109</v>
      </c>
      <c r="J1696" s="15">
        <v>109</v>
      </c>
      <c r="K1696" s="15">
        <f>IF(OR(J1696="",G1696=""),"",MAX(J1696,MIN(ROUND(J1696*(1+Параметры!$B$5),IF(J1696*(1+Параметры!$B$5)&gt;=1000,-1,0)),ROUND(G1696*Параметры!$B$6,IF(G1696*Параметры!$B$6&gt;=1000,-1,0)))))</f>
        <v>125</v>
      </c>
      <c r="L1696" s="16">
        <v>0.12</v>
      </c>
      <c r="M1696" s="17">
        <f t="shared" si="122"/>
        <v>8.3333333333333339</v>
      </c>
      <c r="N1696" s="17">
        <f>IF(OR(L1696="",L1696=0),"",Параметры!$B$3/L1696)</f>
        <v>66.666666666666671</v>
      </c>
      <c r="O1696" s="15">
        <f>IF(L1696="","",IFERROR(INDEX('Почасовка — ставки и план'!$D$5:$D$24,MATCH($D1696,'Почасовка — ставки и план'!$A$5:$A$24,0)),""))</f>
        <v>650</v>
      </c>
      <c r="P1696" s="15">
        <f>IF(L1696="","",IFERROR(INDEX('Почасовка — ставки и план'!$E$5:$E$24,MATCH($D1696,'Почасовка — ставки и план'!$A$5:$A$24,0)),""))</f>
        <v>780</v>
      </c>
      <c r="Q1696" s="15">
        <f t="shared" si="123"/>
        <v>78</v>
      </c>
      <c r="R1696" s="13" t="str">
        <f>IF(D1696="TEX","аренда техники — сделка/счёт",IF(OR(Q1696="",H1696="",H1696=0),"—",IF(Q1696&lt;H1696*(1-Параметры!$B$7),"почасовка",IF(Q1696&gt;H1696*(1+Параметры!$B$7),"сделка","любой способ"))))</f>
        <v>почасовка</v>
      </c>
      <c r="S1696">
        <v>0</v>
      </c>
      <c r="T1696">
        <v>0</v>
      </c>
    </row>
    <row r="1697" spans="1:20" x14ac:dyDescent="0.25">
      <c r="A1697" s="13" t="s">
        <v>3433</v>
      </c>
      <c r="B1697" s="13" t="s">
        <v>3434</v>
      </c>
      <c r="C1697" s="13" t="s">
        <v>144</v>
      </c>
      <c r="D1697" s="13" t="s">
        <v>56</v>
      </c>
      <c r="E1697" s="13" t="str">
        <f>IFERROR(INDEX('Почасовка — ставки и план'!$B$5:$B$24,MATCH(D1697,'Почасовка — ставки и план'!$A$5:$A$24,0)),"Аренда техники / механизмы")</f>
        <v>Дорожный рабочий / благоустройство</v>
      </c>
      <c r="F1697" s="14">
        <v>218</v>
      </c>
      <c r="G1697" s="14">
        <v>260</v>
      </c>
      <c r="H1697" s="15">
        <v>120</v>
      </c>
      <c r="I1697" s="15">
        <f>IF(OR(H1697="",F1697=""),"",MAX(H1697,MIN(ROUND(H1697*(1+Параметры!$B$5),IF(H1697*(1+Параметры!$B$5)&gt;=1000,-1,0)),ROUND(F1697*Параметры!$B$6,IF(F1697*Параметры!$B$6&gt;=1000,-1,0)))))</f>
        <v>138</v>
      </c>
      <c r="J1697" s="15">
        <v>138</v>
      </c>
      <c r="K1697" s="15">
        <f>IF(OR(J1697="",G1697=""),"",MAX(J1697,MIN(ROUND(J1697*(1+Параметры!$B$5),IF(J1697*(1+Параметры!$B$5)&gt;=1000,-1,0)),ROUND(G1697*Параметры!$B$6,IF(G1697*Параметры!$B$6&gt;=1000,-1,0)))))</f>
        <v>159</v>
      </c>
      <c r="L1697" s="16">
        <v>0.25</v>
      </c>
      <c r="M1697" s="17">
        <f t="shared" si="122"/>
        <v>4</v>
      </c>
      <c r="N1697" s="17">
        <f>IF(OR(L1697="",L1697=0),"",Параметры!$B$3/L1697)</f>
        <v>32</v>
      </c>
      <c r="O1697" s="15">
        <f>IF(L1697="","",IFERROR(INDEX('Почасовка — ставки и план'!$D$5:$D$24,MATCH($D1697,'Почасовка — ставки и план'!$A$5:$A$24,0)),""))</f>
        <v>650</v>
      </c>
      <c r="P1697" s="15">
        <f>IF(L1697="","",IFERROR(INDEX('Почасовка — ставки и план'!$E$5:$E$24,MATCH($D1697,'Почасовка — ставки и план'!$A$5:$A$24,0)),""))</f>
        <v>780</v>
      </c>
      <c r="Q1697" s="15">
        <f t="shared" si="123"/>
        <v>163</v>
      </c>
      <c r="R1697" s="13" t="str">
        <f>IF(D1697="TEX","аренда техники — сделка/счёт",IF(OR(Q1697="",H1697="",H1697=0),"—",IF(Q1697&lt;H1697*(1-Параметры!$B$7),"почасовка",IF(Q1697&gt;H1697*(1+Параметры!$B$7),"сделка","любой способ"))))</f>
        <v>сделка</v>
      </c>
      <c r="S1697">
        <v>9.000000000000008E-2</v>
      </c>
      <c r="T1697">
        <v>0.13043478260869559</v>
      </c>
    </row>
    <row r="1698" spans="1:20" x14ac:dyDescent="0.25">
      <c r="A1698" s="13" t="s">
        <v>3435</v>
      </c>
      <c r="B1698" s="13" t="s">
        <v>3436</v>
      </c>
      <c r="C1698" s="13" t="s">
        <v>144</v>
      </c>
      <c r="D1698" s="13" t="s">
        <v>56</v>
      </c>
      <c r="E1698" s="13" t="str">
        <f>IFERROR(INDEX('Почасовка — ставки и план'!$B$5:$B$24,MATCH(D1698,'Почасовка — ставки и план'!$A$5:$A$24,0)),"Аренда техники / механизмы")</f>
        <v>Дорожный рабочий / благоустройство</v>
      </c>
      <c r="F1698" s="14">
        <v>1300</v>
      </c>
      <c r="G1698" s="14">
        <v>1560</v>
      </c>
      <c r="H1698" s="15">
        <v>550</v>
      </c>
      <c r="I1698" s="15">
        <f>IF(OR(H1698="",F1698=""),"",MAX(H1698,MIN(ROUND(H1698*(1+Параметры!$B$5),IF(H1698*(1+Параметры!$B$5)&gt;=1000,-1,0)),ROUND(F1698*Параметры!$B$6,IF(F1698*Параметры!$B$6&gt;=1000,-1,0)))))</f>
        <v>633</v>
      </c>
      <c r="J1698" s="15">
        <v>632</v>
      </c>
      <c r="K1698" s="15">
        <f>IF(OR(J1698="",G1698=""),"",MAX(J1698,MIN(ROUND(J1698*(1+Параметры!$B$5),IF(J1698*(1+Параметры!$B$5)&gt;=1000,-1,0)),ROUND(G1698*Параметры!$B$6,IF(G1698*Параметры!$B$6&gt;=1000,-1,0)))))</f>
        <v>727</v>
      </c>
      <c r="L1698" s="16">
        <v>1.5</v>
      </c>
      <c r="M1698" s="17">
        <f t="shared" si="122"/>
        <v>0.66666666666666663</v>
      </c>
      <c r="N1698" s="17">
        <f>IF(OR(L1698="",L1698=0),"",Параметры!$B$3/L1698)</f>
        <v>5.333333333333333</v>
      </c>
      <c r="O1698" s="15">
        <f>IF(L1698="","",IFERROR(INDEX('Почасовка — ставки и план'!$D$5:$D$24,MATCH($D1698,'Почасовка — ставки и план'!$A$5:$A$24,0)),""))</f>
        <v>650</v>
      </c>
      <c r="P1698" s="15">
        <f>IF(L1698="","",IFERROR(INDEX('Почасовка — ставки и план'!$E$5:$E$24,MATCH($D1698,'Почасовка — ставки и план'!$A$5:$A$24,0)),""))</f>
        <v>780</v>
      </c>
      <c r="Q1698" s="15">
        <f t="shared" si="123"/>
        <v>975</v>
      </c>
      <c r="R1698" s="13" t="str">
        <f>IF(D1698="TEX","аренда техники — сделка/счёт",IF(OR(Q1698="",H1698="",H1698=0),"—",IF(Q1698&lt;H1698*(1-Параметры!$B$7),"почасовка",IF(Q1698&gt;H1698*(1+Параметры!$B$7),"сделка","любой способ"))))</f>
        <v>сделка</v>
      </c>
      <c r="S1698">
        <v>0.44444444444444442</v>
      </c>
      <c r="T1698">
        <v>0.50724637681159424</v>
      </c>
    </row>
    <row r="1699" spans="1:20" x14ac:dyDescent="0.25">
      <c r="A1699" s="13" t="s">
        <v>3437</v>
      </c>
      <c r="B1699" s="13" t="s">
        <v>3438</v>
      </c>
      <c r="C1699" s="13" t="s">
        <v>144</v>
      </c>
      <c r="D1699" s="13" t="s">
        <v>56</v>
      </c>
      <c r="E1699" s="13" t="str">
        <f>IFERROR(INDEX('Почасовка — ставки и план'!$B$5:$B$24,MATCH(D1699,'Почасовка — ставки и план'!$A$5:$A$24,0)),"Аренда техники / механизмы")</f>
        <v>Дорожный рабочий / благоустройство</v>
      </c>
      <c r="F1699" s="14">
        <v>1907</v>
      </c>
      <c r="G1699" s="14">
        <v>2288</v>
      </c>
      <c r="H1699" s="15">
        <v>800</v>
      </c>
      <c r="I1699" s="15">
        <f>IF(OR(H1699="",F1699=""),"",MAX(H1699,MIN(ROUND(H1699*(1+Параметры!$B$5),IF(H1699*(1+Параметры!$B$5)&gt;=1000,-1,0)),ROUND(F1699*Параметры!$B$6,IF(F1699*Параметры!$B$6&gt;=1000,-1,0)))))</f>
        <v>920</v>
      </c>
      <c r="J1699" s="15">
        <v>920</v>
      </c>
      <c r="K1699" s="15">
        <f>IF(OR(J1699="",G1699=""),"",MAX(J1699,MIN(ROUND(J1699*(1+Параметры!$B$5),IF(J1699*(1+Параметры!$B$5)&gt;=1000,-1,0)),ROUND(G1699*Параметры!$B$6,IF(G1699*Параметры!$B$6&gt;=1000,-1,0)))))</f>
        <v>1060</v>
      </c>
      <c r="L1699" s="16">
        <v>2.2000000000000002</v>
      </c>
      <c r="M1699" s="17">
        <f t="shared" si="122"/>
        <v>0.45454545454545453</v>
      </c>
      <c r="N1699" s="17">
        <f>IF(OR(L1699="",L1699=0),"",Параметры!$B$3/L1699)</f>
        <v>3.6363636363636362</v>
      </c>
      <c r="O1699" s="15">
        <f>IF(L1699="","",IFERROR(INDEX('Почасовка — ставки и план'!$D$5:$D$24,MATCH($D1699,'Почасовка — ставки и план'!$A$5:$A$24,0)),""))</f>
        <v>650</v>
      </c>
      <c r="P1699" s="15">
        <f>IF(L1699="","",IFERROR(INDEX('Почасовка — ставки и план'!$E$5:$E$24,MATCH($D1699,'Почасовка — ставки и план'!$A$5:$A$24,0)),""))</f>
        <v>780</v>
      </c>
      <c r="Q1699" s="15">
        <f t="shared" si="123"/>
        <v>1430</v>
      </c>
      <c r="R1699" s="13" t="str">
        <f>IF(D1699="TEX","аренда техники — сделка/счёт",IF(OR(Q1699="",H1699="",H1699=0),"—",IF(Q1699&lt;H1699*(1-Параметры!$B$7),"почасовка",IF(Q1699&gt;H1699*(1+Параметры!$B$7),"сделка","любой способ"))))</f>
        <v>сделка</v>
      </c>
      <c r="S1699">
        <v>0.466923076923077</v>
      </c>
      <c r="T1699">
        <v>0.5304347826086957</v>
      </c>
    </row>
    <row r="1700" spans="1:20" x14ac:dyDescent="0.25">
      <c r="A1700" s="13" t="s">
        <v>3439</v>
      </c>
      <c r="B1700" s="13" t="s">
        <v>3440</v>
      </c>
      <c r="C1700" s="13" t="s">
        <v>144</v>
      </c>
      <c r="D1700" s="13" t="s">
        <v>56</v>
      </c>
      <c r="E1700" s="13" t="str">
        <f>IFERROR(INDEX('Почасовка — ставки и план'!$B$5:$B$24,MATCH(D1700,'Почасовка — ставки и план'!$A$5:$A$24,0)),"Аренда техники / механизмы")</f>
        <v>Дорожный рабочий / благоустройство</v>
      </c>
      <c r="F1700" s="14">
        <v>260</v>
      </c>
      <c r="G1700" s="14">
        <v>312</v>
      </c>
      <c r="H1700" s="15">
        <v>150</v>
      </c>
      <c r="I1700" s="15">
        <f>IF(OR(H1700="",F1700=""),"",MAX(H1700,MIN(ROUND(H1700*(1+Параметры!$B$5),IF(H1700*(1+Параметры!$B$5)&gt;=1000,-1,0)),ROUND(F1700*Параметры!$B$6,IF(F1700*Параметры!$B$6&gt;=1000,-1,0)))))</f>
        <v>173</v>
      </c>
      <c r="J1700" s="15">
        <v>172</v>
      </c>
      <c r="K1700" s="15">
        <f>IF(OR(J1700="",G1700=""),"",MAX(J1700,MIN(ROUND(J1700*(1+Параметры!$B$5),IF(J1700*(1+Параметры!$B$5)&gt;=1000,-1,0)),ROUND(G1700*Параметры!$B$6,IF(G1700*Параметры!$B$6&gt;=1000,-1,0)))))</f>
        <v>198</v>
      </c>
      <c r="L1700" s="16">
        <v>0.3</v>
      </c>
      <c r="M1700" s="17">
        <f t="shared" si="122"/>
        <v>3.3333333333333335</v>
      </c>
      <c r="N1700" s="17">
        <f>IF(OR(L1700="",L1700=0),"",Параметры!$B$3/L1700)</f>
        <v>26.666666666666668</v>
      </c>
      <c r="O1700" s="15">
        <f>IF(L1700="","",IFERROR(INDEX('Почасовка — ставки и план'!$D$5:$D$24,MATCH($D1700,'Почасовка — ставки и план'!$A$5:$A$24,0)),""))</f>
        <v>650</v>
      </c>
      <c r="P1700" s="15">
        <f>IF(L1700="","",IFERROR(INDEX('Почасовка — ставки и план'!$E$5:$E$24,MATCH($D1700,'Почасовка — ставки и план'!$A$5:$A$24,0)),""))</f>
        <v>780</v>
      </c>
      <c r="Q1700" s="15">
        <f t="shared" si="123"/>
        <v>195</v>
      </c>
      <c r="R1700" s="13" t="str">
        <f>IF(D1700="TEX","аренда техники — сделка/счёт",IF(OR(Q1700="",H1700="",H1700=0),"—",IF(Q1700&lt;H1700*(1-Параметры!$B$7),"почасовка",IF(Q1700&gt;H1700*(1+Параметры!$B$7),"сделка","любой способ"))))</f>
        <v>сделка</v>
      </c>
      <c r="S1700">
        <v>4.0000000000000042E-2</v>
      </c>
      <c r="T1700">
        <v>8.3333333333333259E-2</v>
      </c>
    </row>
    <row r="1701" spans="1:20" x14ac:dyDescent="0.25">
      <c r="A1701" s="13" t="s">
        <v>3441</v>
      </c>
      <c r="B1701" s="13" t="s">
        <v>3442</v>
      </c>
      <c r="C1701" s="13" t="s">
        <v>72</v>
      </c>
      <c r="D1701" s="13" t="s">
        <v>56</v>
      </c>
      <c r="E1701" s="13" t="str">
        <f>IFERROR(INDEX('Почасовка — ставки и план'!$B$5:$B$24,MATCH(D1701,'Почасовка — ставки и план'!$A$5:$A$24,0)),"Аренда техники / механизмы")</f>
        <v>Дорожный рабочий / благоустройство</v>
      </c>
      <c r="F1701" s="14">
        <v>304</v>
      </c>
      <c r="G1701" s="14">
        <v>364</v>
      </c>
      <c r="H1701" s="15">
        <v>190</v>
      </c>
      <c r="I1701" s="15">
        <f>IF(OR(H1701="",F1701=""),"",MAX(H1701,MIN(ROUND(H1701*(1+Параметры!$B$5),IF(H1701*(1+Параметры!$B$5)&gt;=1000,-1,0)),ROUND(F1701*Параметры!$B$6,IF(F1701*Параметры!$B$6&gt;=1000,-1,0)))))</f>
        <v>219</v>
      </c>
      <c r="J1701" s="15">
        <v>218</v>
      </c>
      <c r="K1701" s="15">
        <f>IF(OR(J1701="",G1701=""),"",MAX(J1701,MIN(ROUND(J1701*(1+Параметры!$B$5),IF(J1701*(1+Параметры!$B$5)&gt;=1000,-1,0)),ROUND(G1701*Параметры!$B$6,IF(G1701*Параметры!$B$6&gt;=1000,-1,0)))))</f>
        <v>251</v>
      </c>
      <c r="L1701" s="16">
        <v>0.35</v>
      </c>
      <c r="M1701" s="17">
        <f t="shared" si="122"/>
        <v>2.8571428571428572</v>
      </c>
      <c r="N1701" s="17">
        <f>IF(OR(L1701="",L1701=0),"",Параметры!$B$3/L1701)</f>
        <v>22.857142857142858</v>
      </c>
      <c r="O1701" s="15">
        <f>IF(L1701="","",IFERROR(INDEX('Почасовка — ставки и план'!$D$5:$D$24,MATCH($D1701,'Почасовка — ставки и план'!$A$5:$A$24,0)),""))</f>
        <v>650</v>
      </c>
      <c r="P1701" s="15">
        <f>IF(L1701="","",IFERROR(INDEX('Почасовка — ставки и план'!$E$5:$E$24,MATCH($D1701,'Почасовка — ставки и план'!$A$5:$A$24,0)),""))</f>
        <v>780</v>
      </c>
      <c r="Q1701" s="15">
        <f t="shared" si="123"/>
        <v>228</v>
      </c>
      <c r="R1701" s="13" t="str">
        <f>IF(D1701="TEX","аренда техники — сделка/счёт",IF(OR(Q1701="",H1701="",H1701=0),"—",IF(Q1701&lt;H1701*(1-Параметры!$B$7),"почасовка",IF(Q1701&gt;H1701*(1+Параметры!$B$7),"сделка","любой способ"))))</f>
        <v>сделка</v>
      </c>
      <c r="S1701">
        <v>1.3333333333333419E-2</v>
      </c>
      <c r="T1701">
        <v>5.507246376811592E-2</v>
      </c>
    </row>
    <row r="1702" spans="1:20" x14ac:dyDescent="0.25">
      <c r="A1702" s="13" t="s">
        <v>3443</v>
      </c>
      <c r="B1702" s="13" t="s">
        <v>3444</v>
      </c>
      <c r="C1702" s="13" t="s">
        <v>72</v>
      </c>
      <c r="D1702" s="13" t="s">
        <v>208</v>
      </c>
      <c r="E1702" s="13" t="str">
        <f>IFERROR(INDEX('Почасовка — ставки и план'!$B$5:$B$24,MATCH(D1702,'Почасовка — ставки и план'!$A$5:$A$24,0)),"Аренда техники / механизмы")</f>
        <v>Отделочник (штукатур, маляр, ГКЛ)</v>
      </c>
      <c r="F1702" s="14">
        <v>351</v>
      </c>
      <c r="G1702" s="14">
        <v>420</v>
      </c>
      <c r="H1702" s="15">
        <v>210</v>
      </c>
      <c r="I1702" s="15">
        <f>IF(OR(H1702="",F1702=""),"",MAX(H1702,MIN(ROUND(H1702*(1+Параметры!$B$5),IF(H1702*(1+Параметры!$B$5)&gt;=1000,-1,0)),ROUND(F1702*Параметры!$B$6,IF(F1702*Параметры!$B$6&gt;=1000,-1,0)))))</f>
        <v>242</v>
      </c>
      <c r="J1702" s="15">
        <v>241</v>
      </c>
      <c r="K1702" s="15">
        <f>IF(OR(J1702="",G1702=""),"",MAX(J1702,MIN(ROUND(J1702*(1+Параметры!$B$5),IF(J1702*(1+Параметры!$B$5)&gt;=1000,-1,0)),ROUND(G1702*Параметры!$B$6,IF(G1702*Параметры!$B$6&gt;=1000,-1,0)))))</f>
        <v>277</v>
      </c>
      <c r="L1702" s="16">
        <v>0.35</v>
      </c>
      <c r="M1702" s="17">
        <f t="shared" ref="M1702:M1733" si="124">IF(OR(L1702="",L1702=0),"",1/L1702)</f>
        <v>2.8571428571428572</v>
      </c>
      <c r="N1702" s="17">
        <f>IF(OR(L1702="",L1702=0),"",Параметры!$B$3/L1702)</f>
        <v>22.857142857142858</v>
      </c>
      <c r="O1702" s="15">
        <f>IF(L1702="","",IFERROR(INDEX('Почасовка — ставки и план'!$D$5:$D$24,MATCH($D1702,'Почасовка — ставки и план'!$A$5:$A$24,0)),""))</f>
        <v>750</v>
      </c>
      <c r="P1702" s="15">
        <f>IF(L1702="","",IFERROR(INDEX('Почасовка — ставки и план'!$E$5:$E$24,MATCH($D1702,'Почасовка — ставки и план'!$A$5:$A$24,0)),""))</f>
        <v>900</v>
      </c>
      <c r="Q1702" s="15">
        <f t="shared" ref="Q1702:Q1733" si="125">IF(OR(L1702="",O1702=""),"",ROUND(L1702*O1702,0))</f>
        <v>263</v>
      </c>
      <c r="R1702" s="13" t="str">
        <f>IF(D1702="TEX","аренда техники — сделка/счёт",IF(OR(Q1702="",H1702="",H1702=0),"—",IF(Q1702&lt;H1702*(1-Параметры!$B$7),"почасовка",IF(Q1702&gt;H1702*(1+Параметры!$B$7),"сделка","любой способ"))))</f>
        <v>сделка</v>
      </c>
      <c r="S1702">
        <v>2.857142857142891E-3</v>
      </c>
      <c r="T1702">
        <v>4.4776119402984982E-2</v>
      </c>
    </row>
    <row r="1703" spans="1:20" x14ac:dyDescent="0.25">
      <c r="A1703" s="13" t="s">
        <v>3445</v>
      </c>
      <c r="B1703" s="13" t="s">
        <v>3446</v>
      </c>
      <c r="C1703" s="13" t="s">
        <v>144</v>
      </c>
      <c r="D1703" s="13" t="s">
        <v>56</v>
      </c>
      <c r="E1703" s="13" t="str">
        <f>IFERROR(INDEX('Почасовка — ставки и план'!$B$5:$B$24,MATCH(D1703,'Почасовка — ставки и план'!$A$5:$A$24,0)),"Аренда техники / механизмы")</f>
        <v>Дорожный рабочий / благоустройство</v>
      </c>
      <c r="F1703" s="14">
        <v>800</v>
      </c>
      <c r="G1703" s="14">
        <v>920</v>
      </c>
      <c r="H1703" s="15">
        <v>500</v>
      </c>
      <c r="I1703" s="15">
        <f>IF(OR(H1703="",F1703=""),"",MAX(H1703,MIN(ROUND(H1703*(1+Параметры!$B$5),IF(H1703*(1+Параметры!$B$5)&gt;=1000,-1,0)),ROUND(F1703*Параметры!$B$6,IF(F1703*Параметры!$B$6&gt;=1000,-1,0)))))</f>
        <v>575</v>
      </c>
      <c r="J1703" s="15">
        <v>575</v>
      </c>
      <c r="K1703" s="15">
        <f>IF(OR(J1703="",G1703=""),"",MAX(J1703,MIN(ROUND(J1703*(1+Параметры!$B$5),IF(J1703*(1+Параметры!$B$5)&gt;=1000,-1,0)),ROUND(G1703*Параметры!$B$6,IF(G1703*Параметры!$B$6&gt;=1000,-1,0)))))</f>
        <v>661</v>
      </c>
      <c r="L1703" s="16">
        <v>0.8</v>
      </c>
      <c r="M1703" s="17">
        <f t="shared" si="124"/>
        <v>1.25</v>
      </c>
      <c r="N1703" s="17">
        <f>IF(OR(L1703="",L1703=0),"",Параметры!$B$3/L1703)</f>
        <v>10</v>
      </c>
      <c r="O1703" s="15">
        <f>IF(L1703="","",IFERROR(INDEX('Почасовка — ставки и план'!$D$5:$D$24,MATCH($D1703,'Почасовка — ставки и план'!$A$5:$A$24,0)),""))</f>
        <v>650</v>
      </c>
      <c r="P1703" s="15">
        <f>IF(L1703="","",IFERROR(INDEX('Почасовка — ставки и план'!$E$5:$E$24,MATCH($D1703,'Почасовка — ставки и план'!$A$5:$A$24,0)),""))</f>
        <v>780</v>
      </c>
      <c r="Q1703" s="15">
        <f t="shared" si="125"/>
        <v>520</v>
      </c>
      <c r="R1703" s="13" t="str">
        <f>IF(D1703="TEX","аренда техники — сделка/счёт",IF(OR(Q1703="",H1703="",H1703=0),"—",IF(Q1703&lt;H1703*(1-Параметры!$B$7),"почасовка",IF(Q1703&gt;H1703*(1+Параметры!$B$7),"сделка","любой способ"))))</f>
        <v>любой способ</v>
      </c>
      <c r="S1703">
        <v>0</v>
      </c>
      <c r="T1703">
        <v>0</v>
      </c>
    </row>
    <row r="1704" spans="1:20" x14ac:dyDescent="0.25">
      <c r="A1704" s="13" t="s">
        <v>3447</v>
      </c>
      <c r="B1704" s="13" t="s">
        <v>3448</v>
      </c>
      <c r="C1704" s="13" t="s">
        <v>144</v>
      </c>
      <c r="D1704" s="13" t="s">
        <v>56</v>
      </c>
      <c r="E1704" s="13" t="str">
        <f>IFERROR(INDEX('Почасовка — ставки и план'!$B$5:$B$24,MATCH(D1704,'Почасовка — ставки и план'!$A$5:$A$24,0)),"Аренда техники / механизмы")</f>
        <v>Дорожный рабочий / благоустройство</v>
      </c>
      <c r="F1704" s="14">
        <v>650</v>
      </c>
      <c r="G1704" s="14">
        <v>747</v>
      </c>
      <c r="H1704" s="15">
        <v>400</v>
      </c>
      <c r="I1704" s="15">
        <f>IF(OR(H1704="",F1704=""),"",MAX(H1704,MIN(ROUND(H1704*(1+Параметры!$B$5),IF(H1704*(1+Параметры!$B$5)&gt;=1000,-1,0)),ROUND(F1704*Параметры!$B$6,IF(F1704*Параметры!$B$6&gt;=1000,-1,0)))))</f>
        <v>460</v>
      </c>
      <c r="J1704" s="15">
        <v>460</v>
      </c>
      <c r="K1704" s="15">
        <f>IF(OR(J1704="",G1704=""),"",MAX(J1704,MIN(ROUND(J1704*(1+Параметры!$B$5),IF(J1704*(1+Параметры!$B$5)&gt;=1000,-1,0)),ROUND(G1704*Параметры!$B$6,IF(G1704*Параметры!$B$6&gt;=1000,-1,0)))))</f>
        <v>529</v>
      </c>
      <c r="L1704" s="16">
        <v>0.6</v>
      </c>
      <c r="M1704" s="17">
        <f t="shared" si="124"/>
        <v>1.6666666666666667</v>
      </c>
      <c r="N1704" s="17">
        <f>IF(OR(L1704="",L1704=0),"",Параметры!$B$3/L1704)</f>
        <v>13.333333333333334</v>
      </c>
      <c r="O1704" s="15">
        <f>IF(L1704="","",IFERROR(INDEX('Почасовка — ставки и план'!$D$5:$D$24,MATCH($D1704,'Почасовка — ставки и план'!$A$5:$A$24,0)),""))</f>
        <v>650</v>
      </c>
      <c r="P1704" s="15">
        <f>IF(L1704="","",IFERROR(INDEX('Почасовка — ставки и план'!$E$5:$E$24,MATCH($D1704,'Почасовка — ставки и план'!$A$5:$A$24,0)),""))</f>
        <v>780</v>
      </c>
      <c r="Q1704" s="15">
        <f t="shared" si="125"/>
        <v>390</v>
      </c>
      <c r="R1704" s="13" t="str">
        <f>IF(D1704="TEX","аренда техники — сделка/счёт",IF(OR(Q1704="",H1704="",H1704=0),"—",IF(Q1704&lt;H1704*(1-Параметры!$B$7),"почасовка",IF(Q1704&gt;H1704*(1+Параметры!$B$7),"сделка","любой способ"))))</f>
        <v>любой способ</v>
      </c>
      <c r="S1704">
        <v>0</v>
      </c>
      <c r="T1704">
        <v>0</v>
      </c>
    </row>
    <row r="1705" spans="1:20" x14ac:dyDescent="0.25">
      <c r="A1705" s="13" t="s">
        <v>3449</v>
      </c>
      <c r="B1705" s="13" t="s">
        <v>3450</v>
      </c>
      <c r="C1705" s="13" t="s">
        <v>144</v>
      </c>
      <c r="D1705" s="13" t="s">
        <v>56</v>
      </c>
      <c r="E1705" s="13" t="str">
        <f>IFERROR(INDEX('Почасовка — ставки и план'!$B$5:$B$24,MATCH(D1705,'Почасовка — ставки и план'!$A$5:$A$24,0)),"Аренда техники / механизмы")</f>
        <v>Дорожный рабочий / благоустройство</v>
      </c>
      <c r="F1705" s="14">
        <v>15</v>
      </c>
      <c r="G1705" s="14">
        <v>17</v>
      </c>
      <c r="H1705" s="15">
        <v>9</v>
      </c>
      <c r="I1705" s="15">
        <f>IF(OR(H1705="",F1705=""),"",MAX(H1705,MIN(ROUND(H1705*(1+Параметры!$B$5),IF(H1705*(1+Параметры!$B$5)&gt;=1000,-1,0)),ROUND(F1705*Параметры!$B$6,IF(F1705*Параметры!$B$6&gt;=1000,-1,0)))))</f>
        <v>10</v>
      </c>
      <c r="J1705" s="15">
        <v>10.5</v>
      </c>
      <c r="K1705" s="15">
        <f>IF(OR(J1705="",G1705=""),"",MAX(J1705,MIN(ROUND(J1705*(1+Параметры!$B$5),IF(J1705*(1+Параметры!$B$5)&gt;=1000,-1,0)),ROUND(G1705*Параметры!$B$6,IF(G1705*Параметры!$B$6&gt;=1000,-1,0)))))</f>
        <v>12</v>
      </c>
      <c r="L1705" s="16">
        <v>1.2E-2</v>
      </c>
      <c r="M1705" s="17">
        <f t="shared" si="124"/>
        <v>83.333333333333329</v>
      </c>
      <c r="N1705" s="17">
        <f>IF(OR(L1705="",L1705=0),"",Параметры!$B$3/L1705)</f>
        <v>666.66666666666663</v>
      </c>
      <c r="O1705" s="15">
        <f>IF(L1705="","",IFERROR(INDEX('Почасовка — ставки и план'!$D$5:$D$24,MATCH($D1705,'Почасовка — ставки и план'!$A$5:$A$24,0)),""))</f>
        <v>650</v>
      </c>
      <c r="P1705" s="15">
        <f>IF(L1705="","",IFERROR(INDEX('Почасовка — ставки и план'!$E$5:$E$24,MATCH($D1705,'Почасовка — ставки и план'!$A$5:$A$24,0)),""))</f>
        <v>780</v>
      </c>
      <c r="Q1705" s="15">
        <f t="shared" si="125"/>
        <v>8</v>
      </c>
      <c r="R1705" s="13" t="str">
        <f>IF(D1705="TEX","аренда техники — сделка/счёт",IF(OR(Q1705="",H1705="",H1705=0),"—",IF(Q1705&lt;H1705*(1-Параметры!$B$7),"почасовка",IF(Q1705&gt;H1705*(1+Параметры!$B$7),"сделка","любой способ"))))</f>
        <v>почасовка</v>
      </c>
      <c r="S1705">
        <v>0</v>
      </c>
      <c r="T1705">
        <v>0</v>
      </c>
    </row>
    <row r="1706" spans="1:20" x14ac:dyDescent="0.25">
      <c r="A1706" s="13" t="s">
        <v>3451</v>
      </c>
      <c r="B1706" s="13" t="s">
        <v>3452</v>
      </c>
      <c r="C1706" s="13" t="s">
        <v>144</v>
      </c>
      <c r="D1706" s="13" t="s">
        <v>56</v>
      </c>
      <c r="E1706" s="13" t="str">
        <f>IFERROR(INDEX('Почасовка — ставки и план'!$B$5:$B$24,MATCH(D1706,'Почасовка — ставки и план'!$A$5:$A$24,0)),"Аренда техники / механизмы")</f>
        <v>Дорожный рабочий / благоустройство</v>
      </c>
      <c r="F1706" s="14">
        <v>35</v>
      </c>
      <c r="G1706" s="14">
        <v>40</v>
      </c>
      <c r="H1706" s="15">
        <v>22</v>
      </c>
      <c r="I1706" s="15">
        <f>IF(OR(H1706="",F1706=""),"",MAX(H1706,MIN(ROUND(H1706*(1+Параметры!$B$5),IF(H1706*(1+Параметры!$B$5)&gt;=1000,-1,0)),ROUND(F1706*Параметры!$B$6,IF(F1706*Параметры!$B$6&gt;=1000,-1,0)))))</f>
        <v>25</v>
      </c>
      <c r="J1706" s="15">
        <v>25.5</v>
      </c>
      <c r="K1706" s="15">
        <f>IF(OR(J1706="",G1706=""),"",MAX(J1706,MIN(ROUND(J1706*(1+Параметры!$B$5),IF(J1706*(1+Параметры!$B$5)&gt;=1000,-1,0)),ROUND(G1706*Параметры!$B$6,IF(G1706*Параметры!$B$6&gt;=1000,-1,0)))))</f>
        <v>29</v>
      </c>
      <c r="L1706" s="16">
        <v>0.03</v>
      </c>
      <c r="M1706" s="17">
        <f t="shared" si="124"/>
        <v>33.333333333333336</v>
      </c>
      <c r="N1706" s="17">
        <f>IF(OR(L1706="",L1706=0),"",Параметры!$B$3/L1706)</f>
        <v>266.66666666666669</v>
      </c>
      <c r="O1706" s="15">
        <f>IF(L1706="","",IFERROR(INDEX('Почасовка — ставки и план'!$D$5:$D$24,MATCH($D1706,'Почасовка — ставки и план'!$A$5:$A$24,0)),""))</f>
        <v>650</v>
      </c>
      <c r="P1706" s="15">
        <f>IF(L1706="","",IFERROR(INDEX('Почасовка — ставки и план'!$E$5:$E$24,MATCH($D1706,'Почасовка — ставки и план'!$A$5:$A$24,0)),""))</f>
        <v>780</v>
      </c>
      <c r="Q1706" s="15">
        <f t="shared" si="125"/>
        <v>20</v>
      </c>
      <c r="R1706" s="13" t="str">
        <f>IF(D1706="TEX","аренда техники — сделка/счёт",IF(OR(Q1706="",H1706="",H1706=0),"—",IF(Q1706&lt;H1706*(1-Параметры!$B$7),"почасовка",IF(Q1706&gt;H1706*(1+Параметры!$B$7),"сделка","любой способ"))))</f>
        <v>любой способ</v>
      </c>
      <c r="S1706">
        <v>0</v>
      </c>
      <c r="T1706">
        <v>0</v>
      </c>
    </row>
    <row r="1707" spans="1:20" x14ac:dyDescent="0.25">
      <c r="A1707" s="13" t="s">
        <v>3453</v>
      </c>
      <c r="B1707" s="13" t="s">
        <v>3454</v>
      </c>
      <c r="C1707" s="13" t="s">
        <v>72</v>
      </c>
      <c r="D1707" s="13" t="s">
        <v>56</v>
      </c>
      <c r="E1707" s="13" t="str">
        <f>IFERROR(INDEX('Почасовка — ставки и план'!$B$5:$B$24,MATCH(D1707,'Почасовка — ставки и план'!$A$5:$A$24,0)),"Аренда техники / механизмы")</f>
        <v>Дорожный рабочий / благоустройство</v>
      </c>
      <c r="F1707" s="14">
        <v>70</v>
      </c>
      <c r="G1707" s="14">
        <v>80.5</v>
      </c>
      <c r="H1707" s="15">
        <v>40</v>
      </c>
      <c r="I1707" s="15">
        <f>IF(OR(H1707="",F1707=""),"",MAX(H1707,MIN(ROUND(H1707*(1+Параметры!$B$5),IF(H1707*(1+Параметры!$B$5)&gt;=1000,-1,0)),ROUND(F1707*Параметры!$B$6,IF(F1707*Параметры!$B$6&gt;=1000,-1,0)))))</f>
        <v>46</v>
      </c>
      <c r="J1707" s="15">
        <v>46</v>
      </c>
      <c r="K1707" s="15">
        <f>IF(OR(J1707="",G1707=""),"",MAX(J1707,MIN(ROUND(J1707*(1+Параметры!$B$5),IF(J1707*(1+Параметры!$B$5)&gt;=1000,-1,0)),ROUND(G1707*Параметры!$B$6,IF(G1707*Параметры!$B$6&gt;=1000,-1,0)))))</f>
        <v>53</v>
      </c>
      <c r="L1707" s="16">
        <v>0.04</v>
      </c>
      <c r="M1707" s="17">
        <f t="shared" si="124"/>
        <v>25</v>
      </c>
      <c r="N1707" s="17">
        <f>IF(OR(L1707="",L1707=0),"",Параметры!$B$3/L1707)</f>
        <v>200</v>
      </c>
      <c r="O1707" s="15">
        <f>IF(L1707="","",IFERROR(INDEX('Почасовка — ставки и план'!$D$5:$D$24,MATCH($D1707,'Почасовка — ставки и план'!$A$5:$A$24,0)),""))</f>
        <v>650</v>
      </c>
      <c r="P1707" s="15">
        <f>IF(L1707="","",IFERROR(INDEX('Почасовка — ставки и план'!$E$5:$E$24,MATCH($D1707,'Почасовка — ставки и план'!$A$5:$A$24,0)),""))</f>
        <v>780</v>
      </c>
      <c r="Q1707" s="15">
        <f t="shared" si="125"/>
        <v>26</v>
      </c>
      <c r="R1707" s="13" t="str">
        <f>IF(D1707="TEX","аренда техники — сделка/счёт",IF(OR(Q1707="",H1707="",H1707=0),"—",IF(Q1707&lt;H1707*(1-Параметры!$B$7),"почасовка",IF(Q1707&gt;H1707*(1+Параметры!$B$7),"сделка","любой способ"))))</f>
        <v>почасовка</v>
      </c>
      <c r="S1707">
        <v>0</v>
      </c>
      <c r="T1707">
        <v>0</v>
      </c>
    </row>
    <row r="1708" spans="1:20" x14ac:dyDescent="0.25">
      <c r="A1708" s="13" t="s">
        <v>3455</v>
      </c>
      <c r="B1708" s="13" t="s">
        <v>3456</v>
      </c>
      <c r="C1708" s="13" t="s">
        <v>72</v>
      </c>
      <c r="D1708" s="13" t="s">
        <v>56</v>
      </c>
      <c r="E1708" s="13" t="str">
        <f>IFERROR(INDEX('Почасовка — ставки и план'!$B$5:$B$24,MATCH(D1708,'Почасовка — ставки и план'!$A$5:$A$24,0)),"Аренда техники / механизмы")</f>
        <v>Дорожный рабочий / благоустройство</v>
      </c>
      <c r="F1708" s="14">
        <v>15</v>
      </c>
      <c r="G1708" s="14">
        <v>17</v>
      </c>
      <c r="H1708" s="15">
        <v>9</v>
      </c>
      <c r="I1708" s="15">
        <f>IF(OR(H1708="",F1708=""),"",MAX(H1708,MIN(ROUND(H1708*(1+Параметры!$B$5),IF(H1708*(1+Параметры!$B$5)&gt;=1000,-1,0)),ROUND(F1708*Параметры!$B$6,IF(F1708*Параметры!$B$6&gt;=1000,-1,0)))))</f>
        <v>10</v>
      </c>
      <c r="J1708" s="15">
        <v>10.5</v>
      </c>
      <c r="K1708" s="15">
        <f>IF(OR(J1708="",G1708=""),"",MAX(J1708,MIN(ROUND(J1708*(1+Параметры!$B$5),IF(J1708*(1+Параметры!$B$5)&gt;=1000,-1,0)),ROUND(G1708*Параметры!$B$6,IF(G1708*Параметры!$B$6&gt;=1000,-1,0)))))</f>
        <v>12</v>
      </c>
      <c r="L1708" s="16">
        <v>1.4999999999999999E-2</v>
      </c>
      <c r="M1708" s="17">
        <f t="shared" si="124"/>
        <v>66.666666666666671</v>
      </c>
      <c r="N1708" s="17">
        <f>IF(OR(L1708="",L1708=0),"",Параметры!$B$3/L1708)</f>
        <v>533.33333333333337</v>
      </c>
      <c r="O1708" s="15">
        <f>IF(L1708="","",IFERROR(INDEX('Почасовка — ставки и план'!$D$5:$D$24,MATCH($D1708,'Почасовка — ставки и план'!$A$5:$A$24,0)),""))</f>
        <v>650</v>
      </c>
      <c r="P1708" s="15">
        <f>IF(L1708="","",IFERROR(INDEX('Почасовка — ставки и план'!$E$5:$E$24,MATCH($D1708,'Почасовка — ставки и план'!$A$5:$A$24,0)),""))</f>
        <v>780</v>
      </c>
      <c r="Q1708" s="15">
        <f t="shared" si="125"/>
        <v>10</v>
      </c>
      <c r="R1708" s="13" t="str">
        <f>IF(D1708="TEX","аренда техники — сделка/счёт",IF(OR(Q1708="",H1708="",H1708=0),"—",IF(Q1708&lt;H1708*(1-Параметры!$B$7),"почасовка",IF(Q1708&gt;H1708*(1+Параметры!$B$7),"сделка","любой способ"))))</f>
        <v>сделка</v>
      </c>
      <c r="S1708">
        <v>0</v>
      </c>
      <c r="T1708">
        <v>0</v>
      </c>
    </row>
    <row r="1709" spans="1:20" x14ac:dyDescent="0.25">
      <c r="A1709" s="13" t="s">
        <v>3457</v>
      </c>
      <c r="B1709" s="13" t="s">
        <v>3458</v>
      </c>
      <c r="C1709" s="13" t="s">
        <v>55</v>
      </c>
      <c r="D1709" s="13" t="s">
        <v>60</v>
      </c>
      <c r="E1709" s="13" t="str">
        <f>IFERROR(INDEX('Почасовка — ставки и план'!$B$5:$B$24,MATCH(D1709,'Почасовка — ставки и план'!$A$5:$A$24,0)),"Аренда техники / механизмы")</f>
        <v>Разнорабочий / демонтажник</v>
      </c>
      <c r="F1709" s="14">
        <v>3667</v>
      </c>
      <c r="G1709" s="14">
        <v>4400</v>
      </c>
      <c r="H1709" s="15">
        <v>2200</v>
      </c>
      <c r="I1709" s="15">
        <f>IF(OR(H1709="",F1709=""),"",MAX(H1709,MIN(ROUND(H1709*(1+Параметры!$B$5),IF(H1709*(1+Параметры!$B$5)&gt;=1000,-1,0)),ROUND(F1709*Параметры!$B$6,IF(F1709*Параметры!$B$6&gt;=1000,-1,0)))))</f>
        <v>2530</v>
      </c>
      <c r="J1709" s="15">
        <v>2530</v>
      </c>
      <c r="K1709" s="15">
        <f>IF(OR(J1709="",G1709=""),"",MAX(J1709,MIN(ROUND(J1709*(1+Параметры!$B$5),IF(J1709*(1+Параметры!$B$5)&gt;=1000,-1,0)),ROUND(G1709*Параметры!$B$6,IF(G1709*Параметры!$B$6&gt;=1000,-1,0)))))</f>
        <v>2910</v>
      </c>
      <c r="L1709" s="16">
        <v>5</v>
      </c>
      <c r="M1709" s="17">
        <f t="shared" si="124"/>
        <v>0.2</v>
      </c>
      <c r="N1709" s="17">
        <f>IF(OR(L1709="",L1709=0),"",Параметры!$B$3/L1709)</f>
        <v>1.6</v>
      </c>
      <c r="O1709" s="15">
        <f>IF(L1709="","",IFERROR(INDEX('Почасовка — ставки и план'!$D$5:$D$24,MATCH($D1709,'Почасовка — ставки и план'!$A$5:$A$24,0)),""))</f>
        <v>550</v>
      </c>
      <c r="P1709" s="15">
        <f>IF(L1709="","",IFERROR(INDEX('Почасовка — ставки и план'!$E$5:$E$24,MATCH($D1709,'Почасовка — ставки и план'!$A$5:$A$24,0)),""))</f>
        <v>660</v>
      </c>
      <c r="Q1709" s="15">
        <f t="shared" si="125"/>
        <v>2750</v>
      </c>
      <c r="R1709" s="13" t="str">
        <f>IF(D1709="TEX","аренда техники — сделка/счёт",IF(OR(Q1709="",H1709="",H1709=0),"—",IF(Q1709&lt;H1709*(1-Параметры!$B$7),"почасовка",IF(Q1709&gt;H1709*(1+Параметры!$B$7),"сделка","любой способ"))))</f>
        <v>сделка</v>
      </c>
      <c r="S1709">
        <v>4.771428571428582E-2</v>
      </c>
      <c r="T1709">
        <v>9.3167701863354102E-2</v>
      </c>
    </row>
    <row r="1710" spans="1:20" x14ac:dyDescent="0.25">
      <c r="A1710" s="13" t="s">
        <v>3459</v>
      </c>
      <c r="B1710" s="13" t="s">
        <v>3460</v>
      </c>
      <c r="C1710" s="13" t="s">
        <v>72</v>
      </c>
      <c r="D1710" s="13" t="s">
        <v>56</v>
      </c>
      <c r="E1710" s="13" t="str">
        <f>IFERROR(INDEX('Почасовка — ставки и план'!$B$5:$B$24,MATCH(D1710,'Почасовка — ставки и план'!$A$5:$A$24,0)),"Аренда техники / механизмы")</f>
        <v>Дорожный рабочий / благоустройство</v>
      </c>
      <c r="F1710" s="14">
        <v>350</v>
      </c>
      <c r="G1710" s="14">
        <v>416</v>
      </c>
      <c r="H1710" s="15">
        <v>220</v>
      </c>
      <c r="I1710" s="15">
        <f>IF(OR(H1710="",F1710=""),"",MAX(H1710,MIN(ROUND(H1710*(1+Параметры!$B$5),IF(H1710*(1+Параметры!$B$5)&gt;=1000,-1,0)),ROUND(F1710*Параметры!$B$6,IF(F1710*Параметры!$B$6&gt;=1000,-1,0)))))</f>
        <v>253</v>
      </c>
      <c r="J1710" s="15">
        <v>253</v>
      </c>
      <c r="K1710" s="15">
        <f>IF(OR(J1710="",G1710=""),"",MAX(J1710,MIN(ROUND(J1710*(1+Параметры!$B$5),IF(J1710*(1+Параметры!$B$5)&gt;=1000,-1,0)),ROUND(G1710*Параметры!$B$6,IF(G1710*Параметры!$B$6&gt;=1000,-1,0)))))</f>
        <v>291</v>
      </c>
      <c r="L1710" s="16">
        <v>0.4</v>
      </c>
      <c r="M1710" s="17">
        <f t="shared" si="124"/>
        <v>2.5</v>
      </c>
      <c r="N1710" s="17">
        <f>IF(OR(L1710="",L1710=0),"",Параметры!$B$3/L1710)</f>
        <v>20</v>
      </c>
      <c r="O1710" s="15">
        <f>IF(L1710="","",IFERROR(INDEX('Почасовка — ставки и план'!$D$5:$D$24,MATCH($D1710,'Почасовка — ставки и план'!$A$5:$A$24,0)),""))</f>
        <v>650</v>
      </c>
      <c r="P1710" s="15">
        <f>IF(L1710="","",IFERROR(INDEX('Почасовка — ставки и план'!$E$5:$E$24,MATCH($D1710,'Почасовка — ставки и план'!$A$5:$A$24,0)),""))</f>
        <v>780</v>
      </c>
      <c r="Q1710" s="15">
        <f t="shared" si="125"/>
        <v>260</v>
      </c>
      <c r="R1710" s="13" t="str">
        <f>IF(D1710="TEX","аренда техники — сделка/счёт",IF(OR(Q1710="",H1710="",H1710=0),"—",IF(Q1710&lt;H1710*(1-Параметры!$B$7),"почасовка",IF(Q1710&gt;H1710*(1+Параметры!$B$7),"сделка","любой способ"))))</f>
        <v>сделка</v>
      </c>
      <c r="S1710">
        <v>0</v>
      </c>
      <c r="T1710">
        <v>3.4825870646766122E-2</v>
      </c>
    </row>
    <row r="1711" spans="1:20" x14ac:dyDescent="0.25">
      <c r="A1711" s="13" t="s">
        <v>3461</v>
      </c>
      <c r="B1711" s="13" t="s">
        <v>3462</v>
      </c>
      <c r="C1711" s="13" t="s">
        <v>72</v>
      </c>
      <c r="D1711" s="13" t="s">
        <v>56</v>
      </c>
      <c r="E1711" s="13" t="str">
        <f>IFERROR(INDEX('Почасовка — ставки и план'!$B$5:$B$24,MATCH(D1711,'Почасовка — ставки и план'!$A$5:$A$24,0)),"Аренда техники / механизмы")</f>
        <v>Дорожный рабочий / благоустройство</v>
      </c>
      <c r="F1711" s="14">
        <v>250</v>
      </c>
      <c r="G1711" s="14">
        <v>288</v>
      </c>
      <c r="H1711" s="15">
        <v>160</v>
      </c>
      <c r="I1711" s="15">
        <f>IF(OR(H1711="",F1711=""),"",MAX(H1711,MIN(ROUND(H1711*(1+Параметры!$B$5),IF(H1711*(1+Параметры!$B$5)&gt;=1000,-1,0)),ROUND(F1711*Параметры!$B$6,IF(F1711*Параметры!$B$6&gt;=1000,-1,0)))))</f>
        <v>184</v>
      </c>
      <c r="J1711" s="15">
        <v>184</v>
      </c>
      <c r="K1711" s="15">
        <f>IF(OR(J1711="",G1711=""),"",MAX(J1711,MIN(ROUND(J1711*(1+Параметры!$B$5),IF(J1711*(1+Параметры!$B$5)&gt;=1000,-1,0)),ROUND(G1711*Параметры!$B$6,IF(G1711*Параметры!$B$6&gt;=1000,-1,0)))))</f>
        <v>212</v>
      </c>
      <c r="L1711" s="16">
        <v>0.25</v>
      </c>
      <c r="M1711" s="17">
        <f t="shared" si="124"/>
        <v>4</v>
      </c>
      <c r="N1711" s="17">
        <f>IF(OR(L1711="",L1711=0),"",Параметры!$B$3/L1711)</f>
        <v>32</v>
      </c>
      <c r="O1711" s="15">
        <f>IF(L1711="","",IFERROR(INDEX('Почасовка — ставки и план'!$D$5:$D$24,MATCH($D1711,'Почасовка — ставки и план'!$A$5:$A$24,0)),""))</f>
        <v>650</v>
      </c>
      <c r="P1711" s="15">
        <f>IF(L1711="","",IFERROR(INDEX('Почасовка — ставки и план'!$E$5:$E$24,MATCH($D1711,'Почасовка — ставки и план'!$A$5:$A$24,0)),""))</f>
        <v>780</v>
      </c>
      <c r="Q1711" s="15">
        <f t="shared" si="125"/>
        <v>163</v>
      </c>
      <c r="R1711" s="13" t="str">
        <f>IF(D1711="TEX","аренда техники — сделка/счёт",IF(OR(Q1711="",H1711="",H1711=0),"—",IF(Q1711&lt;H1711*(1-Параметры!$B$7),"почасовка",IF(Q1711&gt;H1711*(1+Параметры!$B$7),"сделка","любой способ"))))</f>
        <v>любой способ</v>
      </c>
      <c r="S1711">
        <v>0</v>
      </c>
      <c r="T1711">
        <v>0</v>
      </c>
    </row>
    <row r="1712" spans="1:20" x14ac:dyDescent="0.25">
      <c r="A1712" s="13" t="s">
        <v>3463</v>
      </c>
      <c r="B1712" s="13" t="s">
        <v>3464</v>
      </c>
      <c r="C1712" s="13" t="s">
        <v>3465</v>
      </c>
      <c r="D1712" s="13" t="s">
        <v>56</v>
      </c>
      <c r="E1712" s="13" t="str">
        <f>IFERROR(INDEX('Почасовка — ставки и план'!$B$5:$B$24,MATCH(D1712,'Почасовка — ставки и план'!$A$5:$A$24,0)),"Аренда техники / механизмы")</f>
        <v>Дорожный рабочий / благоустройство</v>
      </c>
      <c r="F1712" s="14">
        <v>12000</v>
      </c>
      <c r="G1712" s="14">
        <v>13800</v>
      </c>
      <c r="H1712" s="15">
        <v>7500</v>
      </c>
      <c r="I1712" s="15">
        <f>IF(OR(H1712="",F1712=""),"",MAX(H1712,MIN(ROUND(H1712*(1+Параметры!$B$5),IF(H1712*(1+Параметры!$B$5)&gt;=1000,-1,0)),ROUND(F1712*Параметры!$B$6,IF(F1712*Параметры!$B$6&gt;=1000,-1,0)))))</f>
        <v>8630</v>
      </c>
      <c r="J1712" s="15">
        <v>8625</v>
      </c>
      <c r="K1712" s="15">
        <f>IF(OR(J1712="",G1712=""),"",MAX(J1712,MIN(ROUND(J1712*(1+Параметры!$B$5),IF(J1712*(1+Параметры!$B$5)&gt;=1000,-1,0)),ROUND(G1712*Параметры!$B$6,IF(G1712*Параметры!$B$6&gt;=1000,-1,0)))))</f>
        <v>9920</v>
      </c>
      <c r="L1712" s="16">
        <v>6</v>
      </c>
      <c r="M1712" s="17">
        <f t="shared" si="124"/>
        <v>0.16666666666666666</v>
      </c>
      <c r="N1712" s="17">
        <f>IF(OR(L1712="",L1712=0),"",Параметры!$B$3/L1712)</f>
        <v>1.3333333333333333</v>
      </c>
      <c r="O1712" s="15">
        <f>IF(L1712="","",IFERROR(INDEX('Почасовка — ставки и план'!$D$5:$D$24,MATCH($D1712,'Почасовка — ставки и план'!$A$5:$A$24,0)),""))</f>
        <v>650</v>
      </c>
      <c r="P1712" s="15">
        <f>IF(L1712="","",IFERROR(INDEX('Почасовка — ставки и план'!$E$5:$E$24,MATCH($D1712,'Почасовка — ставки и план'!$A$5:$A$24,0)),""))</f>
        <v>780</v>
      </c>
      <c r="Q1712" s="15">
        <f t="shared" si="125"/>
        <v>3900</v>
      </c>
      <c r="R1712" s="13" t="str">
        <f>IF(D1712="TEX","аренда техники — сделка/счёт",IF(OR(Q1712="",H1712="",H1712=0),"—",IF(Q1712&lt;H1712*(1-Параметры!$B$7),"почасовка",IF(Q1712&gt;H1712*(1+Параметры!$B$7),"сделка","любой способ"))))</f>
        <v>почасовка</v>
      </c>
      <c r="S1712">
        <v>0</v>
      </c>
      <c r="T1712">
        <v>0</v>
      </c>
    </row>
    <row r="1713" spans="1:20" x14ac:dyDescent="0.25">
      <c r="A1713" s="13" t="s">
        <v>3466</v>
      </c>
      <c r="B1713" s="13" t="s">
        <v>3467</v>
      </c>
      <c r="C1713" s="13" t="s">
        <v>3465</v>
      </c>
      <c r="D1713" s="13" t="s">
        <v>56</v>
      </c>
      <c r="E1713" s="13" t="str">
        <f>IFERROR(INDEX('Почасовка — ставки и план'!$B$5:$B$24,MATCH(D1713,'Почасовка — ставки и план'!$A$5:$A$24,0)),"Аренда техники / механизмы")</f>
        <v>Дорожный рабочий / благоустройство</v>
      </c>
      <c r="F1713" s="14">
        <v>60000</v>
      </c>
      <c r="G1713" s="14">
        <v>69000</v>
      </c>
      <c r="H1713" s="15">
        <v>38000</v>
      </c>
      <c r="I1713" s="15">
        <f>IF(OR(H1713="",F1713=""),"",MAX(H1713,MIN(ROUND(H1713*(1+Параметры!$B$5),IF(H1713*(1+Параметры!$B$5)&gt;=1000,-1,0)),ROUND(F1713*Параметры!$B$6,IF(F1713*Параметры!$B$6&gt;=1000,-1,0)))))</f>
        <v>43700</v>
      </c>
      <c r="J1713" s="15">
        <v>43700</v>
      </c>
      <c r="K1713" s="15">
        <f>IF(OR(J1713="",G1713=""),"",MAX(J1713,MIN(ROUND(J1713*(1+Параметры!$B$5),IF(J1713*(1+Параметры!$B$5)&gt;=1000,-1,0)),ROUND(G1713*Параметры!$B$6,IF(G1713*Параметры!$B$6&gt;=1000,-1,0)))))</f>
        <v>50260</v>
      </c>
      <c r="L1713" s="16">
        <v>20</v>
      </c>
      <c r="M1713" s="17">
        <f t="shared" si="124"/>
        <v>0.05</v>
      </c>
      <c r="N1713" s="17">
        <f>IF(OR(L1713="",L1713=0),"",Параметры!$B$3/L1713)</f>
        <v>0.4</v>
      </c>
      <c r="O1713" s="15">
        <f>IF(L1713="","",IFERROR(INDEX('Почасовка — ставки и план'!$D$5:$D$24,MATCH($D1713,'Почасовка — ставки и план'!$A$5:$A$24,0)),""))</f>
        <v>650</v>
      </c>
      <c r="P1713" s="15">
        <f>IF(L1713="","",IFERROR(INDEX('Почасовка — ставки и план'!$E$5:$E$24,MATCH($D1713,'Почасовка — ставки и план'!$A$5:$A$24,0)),""))</f>
        <v>780</v>
      </c>
      <c r="Q1713" s="15">
        <f t="shared" si="125"/>
        <v>13000</v>
      </c>
      <c r="R1713" s="13" t="str">
        <f>IF(D1713="TEX","аренда техники — сделка/счёт",IF(OR(Q1713="",H1713="",H1713=0),"—",IF(Q1713&lt;H1713*(1-Параметры!$B$7),"почасовка",IF(Q1713&gt;H1713*(1+Параметры!$B$7),"сделка","любой способ"))))</f>
        <v>почасовка</v>
      </c>
      <c r="S1713">
        <v>0</v>
      </c>
      <c r="T1713">
        <v>0</v>
      </c>
    </row>
    <row r="1714" spans="1:20" x14ac:dyDescent="0.25">
      <c r="A1714" s="13" t="s">
        <v>3468</v>
      </c>
      <c r="B1714" s="13" t="s">
        <v>3469</v>
      </c>
      <c r="C1714" s="13" t="s">
        <v>55</v>
      </c>
      <c r="D1714" s="13" t="s">
        <v>832</v>
      </c>
      <c r="E1714" s="13" t="str">
        <f>IFERROR(INDEX('Почасовка — ставки и план'!$B$5:$B$24,MATCH(D1714,'Почасовка — ставки и план'!$A$5:$A$24,0)),"Аренда техники / механизмы")</f>
        <v>Аренда техники / механизмы</v>
      </c>
      <c r="F1714" s="14">
        <v>180</v>
      </c>
      <c r="G1714" s="14">
        <v>207</v>
      </c>
      <c r="H1714" s="15">
        <v>120</v>
      </c>
      <c r="I1714" s="15">
        <f>IF(OR(H1714="",F1714=""),"",MAX(H1714,MIN(ROUND(H1714*(1+Параметры!$B$5),IF(H1714*(1+Параметры!$B$5)&gt;=1000,-1,0)),ROUND(F1714*Параметры!$B$6,IF(F1714*Параметры!$B$6&gt;=1000,-1,0)))))</f>
        <v>135</v>
      </c>
      <c r="J1714" s="15">
        <v>138</v>
      </c>
      <c r="K1714" s="15">
        <f>IF(OR(J1714="",G1714=""),"",MAX(J1714,MIN(ROUND(J1714*(1+Параметры!$B$5),IF(J1714*(1+Параметры!$B$5)&gt;=1000,-1,0)),ROUND(G1714*Параметры!$B$6,IF(G1714*Параметры!$B$6&gt;=1000,-1,0)))))</f>
        <v>155</v>
      </c>
      <c r="L1714" s="16"/>
      <c r="M1714" s="17" t="str">
        <f t="shared" si="124"/>
        <v/>
      </c>
      <c r="N1714" s="17" t="str">
        <f>IF(OR(L1714="",L1714=0),"",Параметры!$B$3/L1714)</f>
        <v/>
      </c>
      <c r="O1714" s="15" t="str">
        <f>IF(L1714="","",IFERROR(INDEX('Почасовка — ставки и план'!$D$5:$D$24,MATCH($D1714,'Почасовка — ставки и план'!$A$5:$A$24,0)),""))</f>
        <v/>
      </c>
      <c r="P1714" s="15" t="str">
        <f>IF(L1714="","",IFERROR(INDEX('Почасовка — ставки и план'!$E$5:$E$24,MATCH($D1714,'Почасовка — ставки и план'!$A$5:$A$24,0)),""))</f>
        <v/>
      </c>
      <c r="Q1714" s="15" t="str">
        <f t="shared" si="125"/>
        <v/>
      </c>
      <c r="R1714" s="13" t="str">
        <f>IF(D1714="TEX","аренда техники — сделка/счёт",IF(OR(Q1714="",H1714="",H1714=0),"—",IF(Q1714&lt;H1714*(1-Параметры!$B$7),"почасовка",IF(Q1714&gt;H1714*(1+Параметры!$B$7),"сделка","любой способ"))))</f>
        <v>аренда техники — сделка/счёт</v>
      </c>
      <c r="S1714">
        <v>0</v>
      </c>
      <c r="T1714">
        <v>0</v>
      </c>
    </row>
    <row r="1715" spans="1:20" x14ac:dyDescent="0.25">
      <c r="A1715" s="13" t="s">
        <v>3470</v>
      </c>
      <c r="B1715" s="13" t="s">
        <v>959</v>
      </c>
      <c r="C1715" s="13" t="s">
        <v>55</v>
      </c>
      <c r="D1715" s="13" t="s">
        <v>947</v>
      </c>
      <c r="E1715" s="13" t="str">
        <f>IFERROR(INDEX('Почасовка — ставки и план'!$B$5:$B$24,MATCH(D1715,'Почасовка — ставки и план'!$A$5:$A$24,0)),"Аренда техники / механизмы")</f>
        <v>Землекоп / рабочий земляных работ</v>
      </c>
      <c r="F1715" s="14">
        <v>1467</v>
      </c>
      <c r="G1715" s="14">
        <v>1760</v>
      </c>
      <c r="H1715" s="15">
        <v>900</v>
      </c>
      <c r="I1715" s="15">
        <f>IF(OR(H1715="",F1715=""),"",MAX(H1715,MIN(ROUND(H1715*(1+Параметры!$B$5),IF(H1715*(1+Параметры!$B$5)&gt;=1000,-1,0)),ROUND(F1715*Параметры!$B$6,IF(F1715*Параметры!$B$6&gt;=1000,-1,0)))))</f>
        <v>1040</v>
      </c>
      <c r="J1715" s="15">
        <v>1035</v>
      </c>
      <c r="K1715" s="15">
        <f>IF(OR(J1715="",G1715=""),"",MAX(J1715,MIN(ROUND(J1715*(1+Параметры!$B$5),IF(J1715*(1+Параметры!$B$5)&gt;=1000,-1,0)),ROUND(G1715*Параметры!$B$6,IF(G1715*Параметры!$B$6&gt;=1000,-1,0)))))</f>
        <v>1190</v>
      </c>
      <c r="L1715" s="16">
        <v>2</v>
      </c>
      <c r="M1715" s="17">
        <f t="shared" si="124"/>
        <v>0.5</v>
      </c>
      <c r="N1715" s="17">
        <f>IF(OR(L1715="",L1715=0),"",Параметры!$B$3/L1715)</f>
        <v>4</v>
      </c>
      <c r="O1715" s="15">
        <f>IF(L1715="","",IFERROR(INDEX('Почасовка — ставки и план'!$D$5:$D$24,MATCH($D1715,'Почасовка — ставки и план'!$A$5:$A$24,0)),""))</f>
        <v>550</v>
      </c>
      <c r="P1715" s="15">
        <f>IF(L1715="","",IFERROR(INDEX('Почасовка — ставки и план'!$E$5:$E$24,MATCH($D1715,'Почасовка — ставки и план'!$A$5:$A$24,0)),""))</f>
        <v>660</v>
      </c>
      <c r="Q1715" s="15">
        <f t="shared" si="125"/>
        <v>1100</v>
      </c>
      <c r="R1715" s="13" t="str">
        <f>IF(D1715="TEX","аренда техники — сделка/счёт",IF(OR(Q1715="",H1715="",H1715=0),"—",IF(Q1715&lt;H1715*(1-Параметры!$B$7),"почасовка",IF(Q1715&gt;H1715*(1+Параметры!$B$7),"сделка","любой способ"))))</f>
        <v>сделка</v>
      </c>
      <c r="S1715">
        <v>4.785714285714282E-2</v>
      </c>
      <c r="T1715">
        <v>9.3167701863354102E-2</v>
      </c>
    </row>
    <row r="1716" spans="1:20" x14ac:dyDescent="0.25">
      <c r="A1716" s="13" t="s">
        <v>3471</v>
      </c>
      <c r="B1716" s="13" t="s">
        <v>3472</v>
      </c>
      <c r="C1716" s="13" t="s">
        <v>69</v>
      </c>
      <c r="D1716" s="13" t="s">
        <v>56</v>
      </c>
      <c r="E1716" s="13" t="str">
        <f>IFERROR(INDEX('Почасовка — ставки и план'!$B$5:$B$24,MATCH(D1716,'Почасовка — ставки и план'!$A$5:$A$24,0)),"Аренда техники / механизмы")</f>
        <v>Дорожный рабочий / благоустройство</v>
      </c>
      <c r="F1716" s="14">
        <v>200</v>
      </c>
      <c r="G1716" s="14">
        <v>230</v>
      </c>
      <c r="H1716" s="15">
        <v>120</v>
      </c>
      <c r="I1716" s="15">
        <f>IF(OR(H1716="",F1716=""),"",MAX(H1716,MIN(ROUND(H1716*(1+Параметры!$B$5),IF(H1716*(1+Параметры!$B$5)&gt;=1000,-1,0)),ROUND(F1716*Параметры!$B$6,IF(F1716*Параметры!$B$6&gt;=1000,-1,0)))))</f>
        <v>138</v>
      </c>
      <c r="J1716" s="15">
        <v>138</v>
      </c>
      <c r="K1716" s="15">
        <f>IF(OR(J1716="",G1716=""),"",MAX(J1716,MIN(ROUND(J1716*(1+Параметры!$B$5),IF(J1716*(1+Параметры!$B$5)&gt;=1000,-1,0)),ROUND(G1716*Параметры!$B$6,IF(G1716*Параметры!$B$6&gt;=1000,-1,0)))))</f>
        <v>159</v>
      </c>
      <c r="L1716" s="16">
        <v>0.1</v>
      </c>
      <c r="M1716" s="17">
        <f t="shared" si="124"/>
        <v>10</v>
      </c>
      <c r="N1716" s="17">
        <f>IF(OR(L1716="",L1716=0),"",Параметры!$B$3/L1716)</f>
        <v>80</v>
      </c>
      <c r="O1716" s="15">
        <f>IF(L1716="","",IFERROR(INDEX('Почасовка — ставки и план'!$D$5:$D$24,MATCH($D1716,'Почасовка — ставки и план'!$A$5:$A$24,0)),""))</f>
        <v>650</v>
      </c>
      <c r="P1716" s="15">
        <f>IF(L1716="","",IFERROR(INDEX('Почасовка — ставки и план'!$E$5:$E$24,MATCH($D1716,'Почасовка — ставки и план'!$A$5:$A$24,0)),""))</f>
        <v>780</v>
      </c>
      <c r="Q1716" s="15">
        <f t="shared" si="125"/>
        <v>65</v>
      </c>
      <c r="R1716" s="13" t="str">
        <f>IF(D1716="TEX","аренда техники — сделка/счёт",IF(OR(Q1716="",H1716="",H1716=0),"—",IF(Q1716&lt;H1716*(1-Параметры!$B$7),"почасовка",IF(Q1716&gt;H1716*(1+Параметры!$B$7),"сделка","любой способ"))))</f>
        <v>почасовка</v>
      </c>
      <c r="S1716">
        <v>0</v>
      </c>
      <c r="T1716">
        <v>0</v>
      </c>
    </row>
    <row r="1717" spans="1:20" x14ac:dyDescent="0.25">
      <c r="A1717" s="13" t="s">
        <v>3473</v>
      </c>
      <c r="B1717" s="13" t="s">
        <v>3474</v>
      </c>
      <c r="C1717" s="13" t="s">
        <v>72</v>
      </c>
      <c r="D1717" s="13" t="s">
        <v>56</v>
      </c>
      <c r="E1717" s="13" t="str">
        <f>IFERROR(INDEX('Почасовка — ставки и план'!$B$5:$B$24,MATCH(D1717,'Почасовка — ставки и план'!$A$5:$A$24,0)),"Аренда техники / механизмы")</f>
        <v>Дорожный рабочий / благоустройство</v>
      </c>
      <c r="F1717" s="14">
        <v>700</v>
      </c>
      <c r="G1717" s="14">
        <v>805</v>
      </c>
      <c r="H1717" s="15">
        <v>450</v>
      </c>
      <c r="I1717" s="15">
        <f>IF(OR(H1717="",F1717=""),"",MAX(H1717,MIN(ROUND(H1717*(1+Параметры!$B$5),IF(H1717*(1+Параметры!$B$5)&gt;=1000,-1,0)),ROUND(F1717*Параметры!$B$6,IF(F1717*Параметры!$B$6&gt;=1000,-1,0)))))</f>
        <v>518</v>
      </c>
      <c r="J1717" s="15">
        <v>518</v>
      </c>
      <c r="K1717" s="15">
        <f>IF(OR(J1717="",G1717=""),"",MAX(J1717,MIN(ROUND(J1717*(1+Параметры!$B$5),IF(J1717*(1+Параметры!$B$5)&gt;=1000,-1,0)),ROUND(G1717*Параметры!$B$6,IF(G1717*Параметры!$B$6&gt;=1000,-1,0)))))</f>
        <v>596</v>
      </c>
      <c r="L1717" s="16">
        <v>0.6</v>
      </c>
      <c r="M1717" s="17">
        <f t="shared" si="124"/>
        <v>1.6666666666666667</v>
      </c>
      <c r="N1717" s="17">
        <f>IF(OR(L1717="",L1717=0),"",Параметры!$B$3/L1717)</f>
        <v>13.333333333333334</v>
      </c>
      <c r="O1717" s="15">
        <f>IF(L1717="","",IFERROR(INDEX('Почасовка — ставки и план'!$D$5:$D$24,MATCH($D1717,'Почасовка — ставки и план'!$A$5:$A$24,0)),""))</f>
        <v>650</v>
      </c>
      <c r="P1717" s="15">
        <f>IF(L1717="","",IFERROR(INDEX('Почасовка — ставки и план'!$E$5:$E$24,MATCH($D1717,'Почасовка — ставки и план'!$A$5:$A$24,0)),""))</f>
        <v>780</v>
      </c>
      <c r="Q1717" s="15">
        <f t="shared" si="125"/>
        <v>390</v>
      </c>
      <c r="R1717" s="13" t="str">
        <f>IF(D1717="TEX","аренда техники — сделка/счёт",IF(OR(Q1717="",H1717="",H1717=0),"—",IF(Q1717&lt;H1717*(1-Параметры!$B$7),"почасовка",IF(Q1717&gt;H1717*(1+Параметры!$B$7),"сделка","любой способ"))))</f>
        <v>почасовка</v>
      </c>
      <c r="S1717">
        <v>0</v>
      </c>
      <c r="T1717">
        <v>0</v>
      </c>
    </row>
    <row r="1718" spans="1:20" x14ac:dyDescent="0.25">
      <c r="A1718" s="13" t="s">
        <v>3475</v>
      </c>
      <c r="B1718" s="13" t="s">
        <v>3476</v>
      </c>
      <c r="C1718" s="13" t="s">
        <v>72</v>
      </c>
      <c r="D1718" s="13" t="s">
        <v>56</v>
      </c>
      <c r="E1718" s="13" t="str">
        <f>IFERROR(INDEX('Почасовка — ставки и план'!$B$5:$B$24,MATCH(D1718,'Почасовка — ставки и план'!$A$5:$A$24,0)),"Аренда техники / механизмы")</f>
        <v>Дорожный рабочий / благоустройство</v>
      </c>
      <c r="F1718" s="14">
        <v>500</v>
      </c>
      <c r="G1718" s="14">
        <v>575</v>
      </c>
      <c r="H1718" s="15">
        <v>320</v>
      </c>
      <c r="I1718" s="15">
        <f>IF(OR(H1718="",F1718=""),"",MAX(H1718,MIN(ROUND(H1718*(1+Параметры!$B$5),IF(H1718*(1+Параметры!$B$5)&gt;=1000,-1,0)),ROUND(F1718*Параметры!$B$6,IF(F1718*Параметры!$B$6&gt;=1000,-1,0)))))</f>
        <v>368</v>
      </c>
      <c r="J1718" s="15">
        <v>368</v>
      </c>
      <c r="K1718" s="15">
        <f>IF(OR(J1718="",G1718=""),"",MAX(J1718,MIN(ROUND(J1718*(1+Параметры!$B$5),IF(J1718*(1+Параметры!$B$5)&gt;=1000,-1,0)),ROUND(G1718*Параметры!$B$6,IF(G1718*Параметры!$B$6&gt;=1000,-1,0)))))</f>
        <v>423</v>
      </c>
      <c r="L1718" s="16">
        <v>0.4</v>
      </c>
      <c r="M1718" s="17">
        <f t="shared" si="124"/>
        <v>2.5</v>
      </c>
      <c r="N1718" s="17">
        <f>IF(OR(L1718="",L1718=0),"",Параметры!$B$3/L1718)</f>
        <v>20</v>
      </c>
      <c r="O1718" s="15">
        <f>IF(L1718="","",IFERROR(INDEX('Почасовка — ставки и план'!$D$5:$D$24,MATCH($D1718,'Почасовка — ставки и план'!$A$5:$A$24,0)),""))</f>
        <v>650</v>
      </c>
      <c r="P1718" s="15">
        <f>IF(L1718="","",IFERROR(INDEX('Почасовка — ставки и план'!$E$5:$E$24,MATCH($D1718,'Почасовка — ставки и план'!$A$5:$A$24,0)),""))</f>
        <v>780</v>
      </c>
      <c r="Q1718" s="15">
        <f t="shared" si="125"/>
        <v>260</v>
      </c>
      <c r="R1718" s="13" t="str">
        <f>IF(D1718="TEX","аренда техники — сделка/счёт",IF(OR(Q1718="",H1718="",H1718=0),"—",IF(Q1718&lt;H1718*(1-Параметры!$B$7),"почасовка",IF(Q1718&gt;H1718*(1+Параметры!$B$7),"сделка","любой способ"))))</f>
        <v>почасовка</v>
      </c>
      <c r="S1718">
        <v>0</v>
      </c>
      <c r="T1718">
        <v>0</v>
      </c>
    </row>
    <row r="1719" spans="1:20" x14ac:dyDescent="0.25">
      <c r="A1719" s="13" t="s">
        <v>3477</v>
      </c>
      <c r="B1719" s="13" t="s">
        <v>3478</v>
      </c>
      <c r="C1719" s="13" t="s">
        <v>69</v>
      </c>
      <c r="D1719" s="13" t="s">
        <v>64</v>
      </c>
      <c r="E1719" s="13" t="str">
        <f>IFERROR(INDEX('Почасовка — ставки и план'!$B$5:$B$24,MATCH(D1719,'Почасовка — ставки и план'!$A$5:$A$24,0)),"Аренда техники / механизмы")</f>
        <v>Сварщик / монтажник МК</v>
      </c>
      <c r="F1719" s="14">
        <v>1800</v>
      </c>
      <c r="G1719" s="14">
        <v>2160</v>
      </c>
      <c r="H1719" s="15">
        <v>1000</v>
      </c>
      <c r="I1719" s="15">
        <f>IF(OR(H1719="",F1719=""),"",MAX(H1719,MIN(ROUND(H1719*(1+Параметры!$B$5),IF(H1719*(1+Параметры!$B$5)&gt;=1000,-1,0)),ROUND(F1719*Параметры!$B$6,IF(F1719*Параметры!$B$6&gt;=1000,-1,0)))))</f>
        <v>1150</v>
      </c>
      <c r="J1719" s="15">
        <v>1150</v>
      </c>
      <c r="K1719" s="15">
        <f>IF(OR(J1719="",G1719=""),"",MAX(J1719,MIN(ROUND(J1719*(1+Параметры!$B$5),IF(J1719*(1+Параметры!$B$5)&gt;=1000,-1,0)),ROUND(G1719*Параметры!$B$6,IF(G1719*Параметры!$B$6&gt;=1000,-1,0)))))</f>
        <v>1320</v>
      </c>
      <c r="L1719" s="16">
        <v>1.5</v>
      </c>
      <c r="M1719" s="17">
        <f t="shared" si="124"/>
        <v>0.66666666666666663</v>
      </c>
      <c r="N1719" s="17">
        <f>IF(OR(L1719="",L1719=0),"",Параметры!$B$3/L1719)</f>
        <v>5.333333333333333</v>
      </c>
      <c r="O1719" s="15">
        <f>IF(L1719="","",IFERROR(INDEX('Почасовка — ставки и план'!$D$5:$D$24,MATCH($D1719,'Почасовка — ставки и план'!$A$5:$A$24,0)),""))</f>
        <v>900</v>
      </c>
      <c r="P1719" s="15">
        <f>IF(L1719="","",IFERROR(INDEX('Почасовка — ставки и план'!$E$5:$E$24,MATCH($D1719,'Почасовка — ставки и план'!$A$5:$A$24,0)),""))</f>
        <v>1080</v>
      </c>
      <c r="Q1719" s="15">
        <f t="shared" si="125"/>
        <v>1350</v>
      </c>
      <c r="R1719" s="13" t="str">
        <f>IF(D1719="TEX","аренда техники — сделка/счёт",IF(OR(Q1719="",H1719="",H1719=0),"—",IF(Q1719&lt;H1719*(1-Параметры!$B$7),"почасовка",IF(Q1719&gt;H1719*(1+Параметры!$B$7),"сделка","любой способ"))))</f>
        <v>сделка</v>
      </c>
      <c r="S1719">
        <v>0.125</v>
      </c>
      <c r="T1719">
        <v>0.173913043478261</v>
      </c>
    </row>
    <row r="1720" spans="1:20" x14ac:dyDescent="0.25">
      <c r="A1720" s="13" t="s">
        <v>3479</v>
      </c>
      <c r="B1720" s="13" t="s">
        <v>3480</v>
      </c>
      <c r="C1720" s="13" t="s">
        <v>152</v>
      </c>
      <c r="D1720" s="13" t="s">
        <v>56</v>
      </c>
      <c r="E1720" s="13" t="str">
        <f>IFERROR(INDEX('Почасовка — ставки и план'!$B$5:$B$24,MATCH(D1720,'Почасовка — ставки и план'!$A$5:$A$24,0)),"Аренда техники / механизмы")</f>
        <v>Дорожный рабочий / благоустройство</v>
      </c>
      <c r="F1720" s="14">
        <v>5200</v>
      </c>
      <c r="G1720" s="14">
        <v>6240</v>
      </c>
      <c r="H1720" s="15">
        <v>2200</v>
      </c>
      <c r="I1720" s="15">
        <f>IF(OR(H1720="",F1720=""),"",MAX(H1720,MIN(ROUND(H1720*(1+Параметры!$B$5),IF(H1720*(1+Параметры!$B$5)&gt;=1000,-1,0)),ROUND(F1720*Параметры!$B$6,IF(F1720*Параметры!$B$6&gt;=1000,-1,0)))))</f>
        <v>2530</v>
      </c>
      <c r="J1720" s="15">
        <v>2530</v>
      </c>
      <c r="K1720" s="15">
        <f>IF(OR(J1720="",G1720=""),"",MAX(J1720,MIN(ROUND(J1720*(1+Параметры!$B$5),IF(J1720*(1+Параметры!$B$5)&gt;=1000,-1,0)),ROUND(G1720*Параметры!$B$6,IF(G1720*Параметры!$B$6&gt;=1000,-1,0)))))</f>
        <v>2910</v>
      </c>
      <c r="L1720" s="16">
        <v>6</v>
      </c>
      <c r="M1720" s="17">
        <f t="shared" si="124"/>
        <v>0.16666666666666666</v>
      </c>
      <c r="N1720" s="17">
        <f>IF(OR(L1720="",L1720=0),"",Параметры!$B$3/L1720)</f>
        <v>1.3333333333333333</v>
      </c>
      <c r="O1720" s="15">
        <f>IF(L1720="","",IFERROR(INDEX('Почасовка — ставки и план'!$D$5:$D$24,MATCH($D1720,'Почасовка — ставки и план'!$A$5:$A$24,0)),""))</f>
        <v>650</v>
      </c>
      <c r="P1720" s="15">
        <f>IF(L1720="","",IFERROR(INDEX('Почасовка — ставки и план'!$E$5:$E$24,MATCH($D1720,'Почасовка — ставки и план'!$A$5:$A$24,0)),""))</f>
        <v>780</v>
      </c>
      <c r="Q1720" s="15">
        <f t="shared" si="125"/>
        <v>3900</v>
      </c>
      <c r="R1720" s="13" t="str">
        <f>IF(D1720="TEX","аренда техники — сделка/счёт",IF(OR(Q1720="",H1720="",H1720=0),"—",IF(Q1720&lt;H1720*(1-Параметры!$B$7),"почасовка",IF(Q1720&gt;H1720*(1+Параметры!$B$7),"сделка","любой способ"))))</f>
        <v>сделка</v>
      </c>
      <c r="S1720">
        <v>0.48571428571428582</v>
      </c>
      <c r="T1720">
        <v>0.55031055900621118</v>
      </c>
    </row>
    <row r="1721" spans="1:20" x14ac:dyDescent="0.25">
      <c r="A1721" s="13" t="s">
        <v>3481</v>
      </c>
      <c r="B1721" s="13" t="s">
        <v>3482</v>
      </c>
      <c r="C1721" s="13" t="s">
        <v>72</v>
      </c>
      <c r="D1721" s="13" t="s">
        <v>56</v>
      </c>
      <c r="E1721" s="13" t="str">
        <f>IFERROR(INDEX('Почасовка — ставки и план'!$B$5:$B$24,MATCH(D1721,'Почасовка — ставки и план'!$A$5:$A$24,0)),"Аренда техники / механизмы")</f>
        <v>Дорожный рабочий / благоустройство</v>
      </c>
      <c r="F1721" s="14">
        <v>6</v>
      </c>
      <c r="G1721" s="14">
        <v>7</v>
      </c>
      <c r="H1721" s="15">
        <v>4</v>
      </c>
      <c r="I1721" s="15">
        <f>IF(OR(H1721="",F1721=""),"",MAX(H1721,MIN(ROUND(H1721*(1+Параметры!$B$5),IF(H1721*(1+Параметры!$B$5)&gt;=1000,-1,0)),ROUND(F1721*Параметры!$B$6,IF(F1721*Параметры!$B$6&gt;=1000,-1,0)))))</f>
        <v>5</v>
      </c>
      <c r="J1721" s="15">
        <v>4.5</v>
      </c>
      <c r="K1721" s="15">
        <f>IF(OR(J1721="",G1721=""),"",MAX(J1721,MIN(ROUND(J1721*(1+Параметры!$B$5),IF(J1721*(1+Параметры!$B$5)&gt;=1000,-1,0)),ROUND(G1721*Параметры!$B$6,IF(G1721*Параметры!$B$6&gt;=1000,-1,0)))))</f>
        <v>5</v>
      </c>
      <c r="L1721" s="16">
        <v>6.0000000000000001E-3</v>
      </c>
      <c r="M1721" s="17">
        <f t="shared" si="124"/>
        <v>166.66666666666666</v>
      </c>
      <c r="N1721" s="17">
        <f>IF(OR(L1721="",L1721=0),"",Параметры!$B$3/L1721)</f>
        <v>1333.3333333333333</v>
      </c>
      <c r="O1721" s="15">
        <f>IF(L1721="","",IFERROR(INDEX('Почасовка — ставки и план'!$D$5:$D$24,MATCH($D1721,'Почасовка — ставки и план'!$A$5:$A$24,0)),""))</f>
        <v>650</v>
      </c>
      <c r="P1721" s="15">
        <f>IF(L1721="","",IFERROR(INDEX('Почасовка — ставки и план'!$E$5:$E$24,MATCH($D1721,'Почасовка — ставки и план'!$A$5:$A$24,0)),""))</f>
        <v>780</v>
      </c>
      <c r="Q1721" s="15">
        <f t="shared" si="125"/>
        <v>4</v>
      </c>
      <c r="R1721" s="13" t="str">
        <f>IF(D1721="TEX","аренда техники — сделка/счёт",IF(OR(Q1721="",H1721="",H1721=0),"—",IF(Q1721&lt;H1721*(1-Параметры!$B$7),"почасовка",IF(Q1721&gt;H1721*(1+Параметры!$B$7),"сделка","любой способ"))))</f>
        <v>любой способ</v>
      </c>
      <c r="S1721">
        <v>0</v>
      </c>
      <c r="T1721">
        <v>0</v>
      </c>
    </row>
    <row r="1722" spans="1:20" x14ac:dyDescent="0.25">
      <c r="A1722" s="13" t="s">
        <v>3483</v>
      </c>
      <c r="B1722" s="13" t="s">
        <v>3484</v>
      </c>
      <c r="C1722" s="13" t="s">
        <v>69</v>
      </c>
      <c r="D1722" s="13" t="s">
        <v>64</v>
      </c>
      <c r="E1722" s="13" t="str">
        <f>IFERROR(INDEX('Почасовка — ставки и план'!$B$5:$B$24,MATCH(D1722,'Почасовка — ставки и план'!$A$5:$A$24,0)),"Аренда техники / механизмы")</f>
        <v>Сварщик / монтажник МК</v>
      </c>
      <c r="F1722" s="14">
        <v>720</v>
      </c>
      <c r="G1722" s="14">
        <v>864</v>
      </c>
      <c r="H1722" s="15">
        <v>400</v>
      </c>
      <c r="I1722" s="15">
        <f>IF(OR(H1722="",F1722=""),"",MAX(H1722,MIN(ROUND(H1722*(1+Параметры!$B$5),IF(H1722*(1+Параметры!$B$5)&gt;=1000,-1,0)),ROUND(F1722*Параметры!$B$6,IF(F1722*Параметры!$B$6&gt;=1000,-1,0)))))</f>
        <v>460</v>
      </c>
      <c r="J1722" s="15">
        <v>460</v>
      </c>
      <c r="K1722" s="15">
        <f>IF(OR(J1722="",G1722=""),"",MAX(J1722,MIN(ROUND(J1722*(1+Параметры!$B$5),IF(J1722*(1+Параметры!$B$5)&gt;=1000,-1,0)),ROUND(G1722*Параметры!$B$6,IF(G1722*Параметры!$B$6&gt;=1000,-1,0)))))</f>
        <v>529</v>
      </c>
      <c r="L1722" s="16">
        <v>0.6</v>
      </c>
      <c r="M1722" s="17">
        <f t="shared" si="124"/>
        <v>1.6666666666666667</v>
      </c>
      <c r="N1722" s="17">
        <f>IF(OR(L1722="",L1722=0),"",Параметры!$B$3/L1722)</f>
        <v>13.333333333333334</v>
      </c>
      <c r="O1722" s="15">
        <f>IF(L1722="","",IFERROR(INDEX('Почасовка — ставки и план'!$D$5:$D$24,MATCH($D1722,'Почасовка — ставки и план'!$A$5:$A$24,0)),""))</f>
        <v>900</v>
      </c>
      <c r="P1722" s="15">
        <f>IF(L1722="","",IFERROR(INDEX('Почасовка — ставки и план'!$E$5:$E$24,MATCH($D1722,'Почасовка — ставки и план'!$A$5:$A$24,0)),""))</f>
        <v>1080</v>
      </c>
      <c r="Q1722" s="15">
        <f t="shared" si="125"/>
        <v>540</v>
      </c>
      <c r="R1722" s="13" t="str">
        <f>IF(D1722="TEX","аренда техники — сделка/счёт",IF(OR(Q1722="",H1722="",H1722=0),"—",IF(Q1722&lt;H1722*(1-Параметры!$B$7),"почасовка",IF(Q1722&gt;H1722*(1+Параметры!$B$7),"сделка","любой способ"))))</f>
        <v>сделка</v>
      </c>
      <c r="S1722">
        <v>0.1076923076923078</v>
      </c>
      <c r="T1722">
        <v>0.15662650602409631</v>
      </c>
    </row>
    <row r="1723" spans="1:20" x14ac:dyDescent="0.25">
      <c r="A1723" s="13" t="s">
        <v>3485</v>
      </c>
      <c r="B1723" s="13" t="s">
        <v>3486</v>
      </c>
      <c r="C1723" s="13" t="s">
        <v>72</v>
      </c>
      <c r="D1723" s="13" t="s">
        <v>56</v>
      </c>
      <c r="E1723" s="13" t="str">
        <f>IFERROR(INDEX('Почасовка — ставки и план'!$B$5:$B$24,MATCH(D1723,'Почасовка — ставки и план'!$A$5:$A$24,0)),"Аренда техники / механизмы")</f>
        <v>Дорожный рабочий / благоустройство</v>
      </c>
      <c r="F1723" s="14">
        <v>45</v>
      </c>
      <c r="G1723" s="14">
        <v>51.5</v>
      </c>
      <c r="H1723" s="15">
        <v>28</v>
      </c>
      <c r="I1723" s="15">
        <f>IF(OR(H1723="",F1723=""),"",MAX(H1723,MIN(ROUND(H1723*(1+Параметры!$B$5),IF(H1723*(1+Параметры!$B$5)&gt;=1000,-1,0)),ROUND(F1723*Параметры!$B$6,IF(F1723*Параметры!$B$6&gt;=1000,-1,0)))))</f>
        <v>32</v>
      </c>
      <c r="J1723" s="15">
        <v>32</v>
      </c>
      <c r="K1723" s="15">
        <f>IF(OR(J1723="",G1723=""),"",MAX(J1723,MIN(ROUND(J1723*(1+Параметры!$B$5),IF(J1723*(1+Параметры!$B$5)&gt;=1000,-1,0)),ROUND(G1723*Параметры!$B$6,IF(G1723*Параметры!$B$6&gt;=1000,-1,0)))))</f>
        <v>37</v>
      </c>
      <c r="L1723" s="16">
        <v>0.04</v>
      </c>
      <c r="M1723" s="17">
        <f t="shared" si="124"/>
        <v>25</v>
      </c>
      <c r="N1723" s="17">
        <f>IF(OR(L1723="",L1723=0),"",Параметры!$B$3/L1723)</f>
        <v>200</v>
      </c>
      <c r="O1723" s="15">
        <f>IF(L1723="","",IFERROR(INDEX('Почасовка — ставки и план'!$D$5:$D$24,MATCH($D1723,'Почасовка — ставки и план'!$A$5:$A$24,0)),""))</f>
        <v>650</v>
      </c>
      <c r="P1723" s="15">
        <f>IF(L1723="","",IFERROR(INDEX('Почасовка — ставки и план'!$E$5:$E$24,MATCH($D1723,'Почасовка — ставки и план'!$A$5:$A$24,0)),""))</f>
        <v>780</v>
      </c>
      <c r="Q1723" s="15">
        <f t="shared" si="125"/>
        <v>26</v>
      </c>
      <c r="R1723" s="13" t="str">
        <f>IF(D1723="TEX","аренда техники — сделка/счёт",IF(OR(Q1723="",H1723="",H1723=0),"—",IF(Q1723&lt;H1723*(1-Параметры!$B$7),"почасовка",IF(Q1723&gt;H1723*(1+Параметры!$B$7),"сделка","любой способ"))))</f>
        <v>любой способ</v>
      </c>
      <c r="S1723">
        <v>0</v>
      </c>
      <c r="T1723">
        <v>0</v>
      </c>
    </row>
    <row r="1724" spans="1:20" x14ac:dyDescent="0.25">
      <c r="A1724" s="13" t="s">
        <v>3487</v>
      </c>
      <c r="B1724" s="13" t="s">
        <v>3488</v>
      </c>
      <c r="C1724" s="13" t="s">
        <v>72</v>
      </c>
      <c r="D1724" s="13" t="s">
        <v>200</v>
      </c>
      <c r="E1724" s="13" t="str">
        <f>IFERROR(INDEX('Почасовка — ставки и план'!$B$5:$B$24,MATCH(D1724,'Почасовка — ставки и план'!$A$5:$A$24,0)),"Аренда техники / механизмы")</f>
        <v>Плиточник / укладчик полов</v>
      </c>
      <c r="F1724" s="14">
        <v>1500</v>
      </c>
      <c r="G1724" s="14">
        <v>1728</v>
      </c>
      <c r="H1724" s="15">
        <v>950</v>
      </c>
      <c r="I1724" s="15">
        <f>IF(OR(H1724="",F1724=""),"",MAX(H1724,MIN(ROUND(H1724*(1+Параметры!$B$5),IF(H1724*(1+Параметры!$B$5)&gt;=1000,-1,0)),ROUND(F1724*Параметры!$B$6,IF(F1724*Параметры!$B$6&gt;=1000,-1,0)))))</f>
        <v>1090</v>
      </c>
      <c r="J1724" s="15">
        <v>1092</v>
      </c>
      <c r="K1724" s="15">
        <f>IF(OR(J1724="",G1724=""),"",MAX(J1724,MIN(ROUND(J1724*(1+Параметры!$B$5),IF(J1724*(1+Параметры!$B$5)&gt;=1000,-1,0)),ROUND(G1724*Параметры!$B$6,IF(G1724*Параметры!$B$6&gt;=1000,-1,0)))))</f>
        <v>1260</v>
      </c>
      <c r="L1724" s="16">
        <v>1.2</v>
      </c>
      <c r="M1724" s="17">
        <f t="shared" si="124"/>
        <v>0.83333333333333337</v>
      </c>
      <c r="N1724" s="17">
        <f>IF(OR(L1724="",L1724=0),"",Параметры!$B$3/L1724)</f>
        <v>6.666666666666667</v>
      </c>
      <c r="O1724" s="15">
        <f>IF(L1724="","",IFERROR(INDEX('Почасовка — ставки и план'!$D$5:$D$24,MATCH($D1724,'Почасовка — ставки и план'!$A$5:$A$24,0)),""))</f>
        <v>900</v>
      </c>
      <c r="P1724" s="15">
        <f>IF(L1724="","",IFERROR(INDEX('Почасовка — ставки и план'!$E$5:$E$24,MATCH($D1724,'Почасовка — ставки и план'!$A$5:$A$24,0)),""))</f>
        <v>1080</v>
      </c>
      <c r="Q1724" s="15">
        <f t="shared" si="125"/>
        <v>1080</v>
      </c>
      <c r="R1724" s="13" t="str">
        <f>IF(D1724="TEX","аренда техники — сделка/счёт",IF(OR(Q1724="",H1724="",H1724=0),"—",IF(Q1724&lt;H1724*(1-Параметры!$B$7),"почасовка",IF(Q1724&gt;H1724*(1+Параметры!$B$7),"сделка","любой способ"))))</f>
        <v>сделка</v>
      </c>
      <c r="S1724">
        <v>0</v>
      </c>
      <c r="T1724">
        <v>1.739130434782687E-3</v>
      </c>
    </row>
    <row r="1725" spans="1:20" x14ac:dyDescent="0.25">
      <c r="A1725" s="13" t="s">
        <v>3489</v>
      </c>
      <c r="B1725" s="13" t="s">
        <v>963</v>
      </c>
      <c r="C1725" s="13" t="s">
        <v>55</v>
      </c>
      <c r="D1725" s="13" t="s">
        <v>947</v>
      </c>
      <c r="E1725" s="13" t="str">
        <f>IFERROR(INDEX('Почасовка — ставки и план'!$B$5:$B$24,MATCH(D1725,'Почасовка — ставки и план'!$A$5:$A$24,0)),"Аренда техники / механизмы")</f>
        <v>Землекоп / рабочий земляных работ</v>
      </c>
      <c r="F1725" s="14">
        <v>184</v>
      </c>
      <c r="G1725" s="14">
        <v>220</v>
      </c>
      <c r="H1725" s="15">
        <v>110</v>
      </c>
      <c r="I1725" s="15">
        <f>IF(OR(H1725="",F1725=""),"",MAX(H1725,MIN(ROUND(H1725*(1+Параметры!$B$5),IF(H1725*(1+Параметры!$B$5)&gt;=1000,-1,0)),ROUND(F1725*Параметры!$B$6,IF(F1725*Параметры!$B$6&gt;=1000,-1,0)))))</f>
        <v>127</v>
      </c>
      <c r="J1725" s="15">
        <v>126</v>
      </c>
      <c r="K1725" s="15">
        <f>IF(OR(J1725="",G1725=""),"",MAX(J1725,MIN(ROUND(J1725*(1+Параметры!$B$5),IF(J1725*(1+Параметры!$B$5)&gt;=1000,-1,0)),ROUND(G1725*Параметры!$B$6,IF(G1725*Параметры!$B$6&gt;=1000,-1,0)))))</f>
        <v>145</v>
      </c>
      <c r="L1725" s="16">
        <v>0.25</v>
      </c>
      <c r="M1725" s="17">
        <f t="shared" si="124"/>
        <v>4</v>
      </c>
      <c r="N1725" s="17">
        <f>IF(OR(L1725="",L1725=0),"",Параметры!$B$3/L1725)</f>
        <v>32</v>
      </c>
      <c r="O1725" s="15">
        <f>IF(L1725="","",IFERROR(INDEX('Почасовка — ставки и план'!$D$5:$D$24,MATCH($D1725,'Почасовка — ставки и план'!$A$5:$A$24,0)),""))</f>
        <v>550</v>
      </c>
      <c r="P1725" s="15">
        <f>IF(L1725="","",IFERROR(INDEX('Почасовка — ставки и план'!$E$5:$E$24,MATCH($D1725,'Почасовка — ставки и план'!$A$5:$A$24,0)),""))</f>
        <v>660</v>
      </c>
      <c r="Q1725" s="15">
        <f t="shared" si="125"/>
        <v>138</v>
      </c>
      <c r="R1725" s="13" t="str">
        <f>IF(D1725="TEX","аренда техники — сделка/счёт",IF(OR(Q1725="",H1725="",H1725=0),"—",IF(Q1725&lt;H1725*(1-Параметры!$B$7),"почасовка",IF(Q1725&gt;H1725*(1+Параметры!$B$7),"сделка","любой способ"))))</f>
        <v>сделка</v>
      </c>
      <c r="S1725">
        <v>2.222222222222214E-2</v>
      </c>
      <c r="T1725">
        <v>6.2801932367149815E-2</v>
      </c>
    </row>
    <row r="1726" spans="1:20" x14ac:dyDescent="0.25">
      <c r="A1726" s="13" t="s">
        <v>3490</v>
      </c>
      <c r="B1726" s="13" t="s">
        <v>3491</v>
      </c>
      <c r="C1726" s="13" t="s">
        <v>55</v>
      </c>
      <c r="D1726" s="13" t="s">
        <v>832</v>
      </c>
      <c r="E1726" s="13" t="str">
        <f>IFERROR(INDEX('Почасовка — ставки и план'!$B$5:$B$24,MATCH(D1726,'Почасовка — ставки и план'!$A$5:$A$24,0)),"Аренда техники / механизмы")</f>
        <v>Аренда техники / механизмы</v>
      </c>
      <c r="F1726" s="14">
        <v>70</v>
      </c>
      <c r="G1726" s="14">
        <v>80.5</v>
      </c>
      <c r="H1726" s="15">
        <v>45</v>
      </c>
      <c r="I1726" s="15">
        <f>IF(OR(H1726="",F1726=""),"",MAX(H1726,MIN(ROUND(H1726*(1+Параметры!$B$5),IF(H1726*(1+Параметры!$B$5)&gt;=1000,-1,0)),ROUND(F1726*Параметры!$B$6,IF(F1726*Параметры!$B$6&gt;=1000,-1,0)))))</f>
        <v>52</v>
      </c>
      <c r="J1726" s="15">
        <v>51.5</v>
      </c>
      <c r="K1726" s="15">
        <f>IF(OR(J1726="",G1726=""),"",MAX(J1726,MIN(ROUND(J1726*(1+Параметры!$B$5),IF(J1726*(1+Параметры!$B$5)&gt;=1000,-1,0)),ROUND(G1726*Параметры!$B$6,IF(G1726*Параметры!$B$6&gt;=1000,-1,0)))))</f>
        <v>59</v>
      </c>
      <c r="L1726" s="16"/>
      <c r="M1726" s="17" t="str">
        <f t="shared" si="124"/>
        <v/>
      </c>
      <c r="N1726" s="17" t="str">
        <f>IF(OR(L1726="",L1726=0),"",Параметры!$B$3/L1726)</f>
        <v/>
      </c>
      <c r="O1726" s="15" t="str">
        <f>IF(L1726="","",IFERROR(INDEX('Почасовка — ставки и план'!$D$5:$D$24,MATCH($D1726,'Почасовка — ставки и план'!$A$5:$A$24,0)),""))</f>
        <v/>
      </c>
      <c r="P1726" s="15" t="str">
        <f>IF(L1726="","",IFERROR(INDEX('Почасовка — ставки и план'!$E$5:$E$24,MATCH($D1726,'Почасовка — ставки и план'!$A$5:$A$24,0)),""))</f>
        <v/>
      </c>
      <c r="Q1726" s="15" t="str">
        <f t="shared" si="125"/>
        <v/>
      </c>
      <c r="R1726" s="13" t="str">
        <f>IF(D1726="TEX","аренда техники — сделка/счёт",IF(OR(Q1726="",H1726="",H1726=0),"—",IF(Q1726&lt;H1726*(1-Параметры!$B$7),"почасовка",IF(Q1726&gt;H1726*(1+Параметры!$B$7),"сделка","любой способ"))))</f>
        <v>аренда техники — сделка/счёт</v>
      </c>
      <c r="S1726">
        <v>0</v>
      </c>
      <c r="T1726">
        <v>0</v>
      </c>
    </row>
    <row r="1727" spans="1:20" x14ac:dyDescent="0.25">
      <c r="A1727" s="13" t="s">
        <v>3492</v>
      </c>
      <c r="B1727" s="13" t="s">
        <v>3493</v>
      </c>
      <c r="C1727" s="13" t="s">
        <v>69</v>
      </c>
      <c r="D1727" s="13" t="s">
        <v>56</v>
      </c>
      <c r="E1727" s="13" t="str">
        <f>IFERROR(INDEX('Почасовка — ставки и план'!$B$5:$B$24,MATCH(D1727,'Почасовка — ставки и план'!$A$5:$A$24,0)),"Аренда техники / механизмы")</f>
        <v>Дорожный рабочий / благоустройство</v>
      </c>
      <c r="F1727" s="14">
        <v>550</v>
      </c>
      <c r="G1727" s="14">
        <v>632</v>
      </c>
      <c r="H1727" s="15">
        <v>350</v>
      </c>
      <c r="I1727" s="15">
        <f>IF(OR(H1727="",F1727=""),"",MAX(H1727,MIN(ROUND(H1727*(1+Параметры!$B$5),IF(H1727*(1+Параметры!$B$5)&gt;=1000,-1,0)),ROUND(F1727*Параметры!$B$6,IF(F1727*Параметры!$B$6&gt;=1000,-1,0)))))</f>
        <v>403</v>
      </c>
      <c r="J1727" s="15">
        <v>402</v>
      </c>
      <c r="K1727" s="15">
        <f>IF(OR(J1727="",G1727=""),"",MAX(J1727,MIN(ROUND(J1727*(1+Параметры!$B$5),IF(J1727*(1+Параметры!$B$5)&gt;=1000,-1,0)),ROUND(G1727*Параметры!$B$6,IF(G1727*Параметры!$B$6&gt;=1000,-1,0)))))</f>
        <v>462</v>
      </c>
      <c r="L1727" s="16">
        <v>0.5</v>
      </c>
      <c r="M1727" s="17">
        <f t="shared" si="124"/>
        <v>2</v>
      </c>
      <c r="N1727" s="17">
        <f>IF(OR(L1727="",L1727=0),"",Параметры!$B$3/L1727)</f>
        <v>16</v>
      </c>
      <c r="O1727" s="15">
        <f>IF(L1727="","",IFERROR(INDEX('Почасовка — ставки и план'!$D$5:$D$24,MATCH($D1727,'Почасовка — ставки и план'!$A$5:$A$24,0)),""))</f>
        <v>650</v>
      </c>
      <c r="P1727" s="15">
        <f>IF(L1727="","",IFERROR(INDEX('Почасовка — ставки и план'!$E$5:$E$24,MATCH($D1727,'Почасовка — ставки и план'!$A$5:$A$24,0)),""))</f>
        <v>780</v>
      </c>
      <c r="Q1727" s="15">
        <f t="shared" si="125"/>
        <v>325</v>
      </c>
      <c r="R1727" s="13" t="str">
        <f>IF(D1727="TEX","аренда техники — сделка/счёт",IF(OR(Q1727="",H1727="",H1727=0),"—",IF(Q1727&lt;H1727*(1-Параметры!$B$7),"почасовка",IF(Q1727&gt;H1727*(1+Параметры!$B$7),"сделка","любой способ"))))</f>
        <v>любой способ</v>
      </c>
      <c r="S1727">
        <v>0</v>
      </c>
      <c r="T1727">
        <v>0</v>
      </c>
    </row>
    <row r="1728" spans="1:20" x14ac:dyDescent="0.25">
      <c r="A1728" s="13" t="s">
        <v>3494</v>
      </c>
      <c r="B1728" s="13" t="s">
        <v>3495</v>
      </c>
      <c r="C1728" s="13" t="s">
        <v>144</v>
      </c>
      <c r="D1728" s="13" t="s">
        <v>56</v>
      </c>
      <c r="E1728" s="13" t="str">
        <f>IFERROR(INDEX('Почасовка — ставки и план'!$B$5:$B$24,MATCH(D1728,'Почасовка — ставки и план'!$A$5:$A$24,0)),"Аренда техники / механизмы")</f>
        <v>Дорожный рабочий / благоустройство</v>
      </c>
      <c r="F1728" s="14">
        <v>3000</v>
      </c>
      <c r="G1728" s="14">
        <v>3450</v>
      </c>
      <c r="H1728" s="15">
        <v>1900</v>
      </c>
      <c r="I1728" s="15">
        <f>IF(OR(H1728="",F1728=""),"",MAX(H1728,MIN(ROUND(H1728*(1+Параметры!$B$5),IF(H1728*(1+Параметры!$B$5)&gt;=1000,-1,0)),ROUND(F1728*Параметры!$B$6,IF(F1728*Параметры!$B$6&gt;=1000,-1,0)))))</f>
        <v>2190</v>
      </c>
      <c r="J1728" s="15">
        <v>2185</v>
      </c>
      <c r="K1728" s="15">
        <f>IF(OR(J1728="",G1728=""),"",MAX(J1728,MIN(ROUND(J1728*(1+Параметры!$B$5),IF(J1728*(1+Параметры!$B$5)&gt;=1000,-1,0)),ROUND(G1728*Параметры!$B$6,IF(G1728*Параметры!$B$6&gt;=1000,-1,0)))))</f>
        <v>2510</v>
      </c>
      <c r="L1728" s="16">
        <v>2</v>
      </c>
      <c r="M1728" s="17">
        <f t="shared" si="124"/>
        <v>0.5</v>
      </c>
      <c r="N1728" s="17">
        <f>IF(OR(L1728="",L1728=0),"",Параметры!$B$3/L1728)</f>
        <v>4</v>
      </c>
      <c r="O1728" s="15">
        <f>IF(L1728="","",IFERROR(INDEX('Почасовка — ставки и план'!$D$5:$D$24,MATCH($D1728,'Почасовка — ставки и план'!$A$5:$A$24,0)),""))</f>
        <v>650</v>
      </c>
      <c r="P1728" s="15">
        <f>IF(L1728="","",IFERROR(INDEX('Почасовка — ставки и план'!$E$5:$E$24,MATCH($D1728,'Почасовка — ставки и план'!$A$5:$A$24,0)),""))</f>
        <v>780</v>
      </c>
      <c r="Q1728" s="15">
        <f t="shared" si="125"/>
        <v>1300</v>
      </c>
      <c r="R1728" s="13" t="str">
        <f>IF(D1728="TEX","аренда техники — сделка/счёт",IF(OR(Q1728="",H1728="",H1728=0),"—",IF(Q1728&lt;H1728*(1-Параметры!$B$7),"почасовка",IF(Q1728&gt;H1728*(1+Параметры!$B$7),"сделка","любой способ"))))</f>
        <v>почасовка</v>
      </c>
      <c r="S1728">
        <v>0</v>
      </c>
      <c r="T1728">
        <v>0</v>
      </c>
    </row>
    <row r="1729" spans="1:20" x14ac:dyDescent="0.25">
      <c r="A1729" s="13" t="s">
        <v>3496</v>
      </c>
      <c r="B1729" s="13" t="s">
        <v>3497</v>
      </c>
      <c r="C1729" s="13" t="s">
        <v>144</v>
      </c>
      <c r="D1729" s="13" t="s">
        <v>56</v>
      </c>
      <c r="E1729" s="13" t="str">
        <f>IFERROR(INDEX('Почасовка — ставки и план'!$B$5:$B$24,MATCH(D1729,'Почасовка — ставки и план'!$A$5:$A$24,0)),"Аренда техники / механизмы")</f>
        <v>Дорожный рабочий / благоустройство</v>
      </c>
      <c r="F1729" s="14">
        <v>35000</v>
      </c>
      <c r="G1729" s="14">
        <v>40250</v>
      </c>
      <c r="H1729" s="15">
        <v>22000</v>
      </c>
      <c r="I1729" s="15">
        <f>IF(OR(H1729="",F1729=""),"",MAX(H1729,MIN(ROUND(H1729*(1+Параметры!$B$5),IF(H1729*(1+Параметры!$B$5)&gt;=1000,-1,0)),ROUND(F1729*Параметры!$B$6,IF(F1729*Параметры!$B$6&gt;=1000,-1,0)))))</f>
        <v>25300</v>
      </c>
      <c r="J1729" s="15">
        <v>25300</v>
      </c>
      <c r="K1729" s="15">
        <f>IF(OR(J1729="",G1729=""),"",MAX(J1729,MIN(ROUND(J1729*(1+Параметры!$B$5),IF(J1729*(1+Параметры!$B$5)&gt;=1000,-1,0)),ROUND(G1729*Параметры!$B$6,IF(G1729*Параметры!$B$6&gt;=1000,-1,0)))))</f>
        <v>29100</v>
      </c>
      <c r="L1729" s="16">
        <v>24</v>
      </c>
      <c r="M1729" s="17">
        <f t="shared" si="124"/>
        <v>4.1666666666666664E-2</v>
      </c>
      <c r="N1729" s="17">
        <f>IF(OR(L1729="",L1729=0),"",Параметры!$B$3/L1729)</f>
        <v>0.33333333333333331</v>
      </c>
      <c r="O1729" s="15">
        <f>IF(L1729="","",IFERROR(INDEX('Почасовка — ставки и план'!$D$5:$D$24,MATCH($D1729,'Почасовка — ставки и план'!$A$5:$A$24,0)),""))</f>
        <v>650</v>
      </c>
      <c r="P1729" s="15">
        <f>IF(L1729="","",IFERROR(INDEX('Почасовка — ставки и план'!$E$5:$E$24,MATCH($D1729,'Почасовка — ставки и план'!$A$5:$A$24,0)),""))</f>
        <v>780</v>
      </c>
      <c r="Q1729" s="15">
        <f t="shared" si="125"/>
        <v>15600</v>
      </c>
      <c r="R1729" s="13" t="str">
        <f>IF(D1729="TEX","аренда техники — сделка/счёт",IF(OR(Q1729="",H1729="",H1729=0),"—",IF(Q1729&lt;H1729*(1-Параметры!$B$7),"почасовка",IF(Q1729&gt;H1729*(1+Параметры!$B$7),"сделка","любой способ"))))</f>
        <v>почасовка</v>
      </c>
      <c r="S1729">
        <v>0</v>
      </c>
      <c r="T1729">
        <v>0</v>
      </c>
    </row>
    <row r="1730" spans="1:20" x14ac:dyDescent="0.25">
      <c r="A1730" s="13" t="s">
        <v>3498</v>
      </c>
      <c r="B1730" s="13" t="s">
        <v>3499</v>
      </c>
      <c r="C1730" s="13" t="s">
        <v>144</v>
      </c>
      <c r="D1730" s="13" t="s">
        <v>56</v>
      </c>
      <c r="E1730" s="13" t="str">
        <f>IFERROR(INDEX('Почасовка — ставки и план'!$B$5:$B$24,MATCH(D1730,'Почасовка — ставки и план'!$A$5:$A$24,0)),"Аренда техники / механизмы")</f>
        <v>Дорожный рабочий / благоустройство</v>
      </c>
      <c r="F1730" s="14">
        <v>25000</v>
      </c>
      <c r="G1730" s="14">
        <v>28750</v>
      </c>
      <c r="H1730" s="15">
        <v>16000</v>
      </c>
      <c r="I1730" s="15">
        <f>IF(OR(H1730="",F1730=""),"",MAX(H1730,MIN(ROUND(H1730*(1+Параметры!$B$5),IF(H1730*(1+Параметры!$B$5)&gt;=1000,-1,0)),ROUND(F1730*Параметры!$B$6,IF(F1730*Параметры!$B$6&gt;=1000,-1,0)))))</f>
        <v>18400</v>
      </c>
      <c r="J1730" s="15">
        <v>18400</v>
      </c>
      <c r="K1730" s="15">
        <f>IF(OR(J1730="",G1730=""),"",MAX(J1730,MIN(ROUND(J1730*(1+Параметры!$B$5),IF(J1730*(1+Параметры!$B$5)&gt;=1000,-1,0)),ROUND(G1730*Параметры!$B$6,IF(G1730*Параметры!$B$6&gt;=1000,-1,0)))))</f>
        <v>21160</v>
      </c>
      <c r="L1730" s="16">
        <v>16</v>
      </c>
      <c r="M1730" s="17">
        <f t="shared" si="124"/>
        <v>6.25E-2</v>
      </c>
      <c r="N1730" s="17">
        <f>IF(OR(L1730="",L1730=0),"",Параметры!$B$3/L1730)</f>
        <v>0.5</v>
      </c>
      <c r="O1730" s="15">
        <f>IF(L1730="","",IFERROR(INDEX('Почасовка — ставки и план'!$D$5:$D$24,MATCH($D1730,'Почасовка — ставки и план'!$A$5:$A$24,0)),""))</f>
        <v>650</v>
      </c>
      <c r="P1730" s="15">
        <f>IF(L1730="","",IFERROR(INDEX('Почасовка — ставки и план'!$E$5:$E$24,MATCH($D1730,'Почасовка — ставки и план'!$A$5:$A$24,0)),""))</f>
        <v>780</v>
      </c>
      <c r="Q1730" s="15">
        <f t="shared" si="125"/>
        <v>10400</v>
      </c>
      <c r="R1730" s="13" t="str">
        <f>IF(D1730="TEX","аренда техники — сделка/счёт",IF(OR(Q1730="",H1730="",H1730=0),"—",IF(Q1730&lt;H1730*(1-Параметры!$B$7),"почасовка",IF(Q1730&gt;H1730*(1+Параметры!$B$7),"сделка","любой способ"))))</f>
        <v>почасовка</v>
      </c>
      <c r="S1730">
        <v>0</v>
      </c>
      <c r="T1730">
        <v>0</v>
      </c>
    </row>
    <row r="1731" spans="1:20" x14ac:dyDescent="0.25">
      <c r="A1731" s="13" t="s">
        <v>3500</v>
      </c>
      <c r="B1731" s="13" t="s">
        <v>3501</v>
      </c>
      <c r="C1731" s="13" t="s">
        <v>144</v>
      </c>
      <c r="D1731" s="13" t="s">
        <v>56</v>
      </c>
      <c r="E1731" s="13" t="str">
        <f>IFERROR(INDEX('Почасовка — ставки и план'!$B$5:$B$24,MATCH(D1731,'Почасовка — ставки и план'!$A$5:$A$24,0)),"Аренда техники / механизмы")</f>
        <v>Дорожный рабочий / благоустройство</v>
      </c>
      <c r="F1731" s="14">
        <v>3500</v>
      </c>
      <c r="G1731" s="14">
        <v>4025</v>
      </c>
      <c r="H1731" s="15">
        <v>2200</v>
      </c>
      <c r="I1731" s="15">
        <f>IF(OR(H1731="",F1731=""),"",MAX(H1731,MIN(ROUND(H1731*(1+Параметры!$B$5),IF(H1731*(1+Параметры!$B$5)&gt;=1000,-1,0)),ROUND(F1731*Параметры!$B$6,IF(F1731*Параметры!$B$6&gt;=1000,-1,0)))))</f>
        <v>2530</v>
      </c>
      <c r="J1731" s="15">
        <v>2530</v>
      </c>
      <c r="K1731" s="15">
        <f>IF(OR(J1731="",G1731=""),"",MAX(J1731,MIN(ROUND(J1731*(1+Параметры!$B$5),IF(J1731*(1+Параметры!$B$5)&gt;=1000,-1,0)),ROUND(G1731*Параметры!$B$6,IF(G1731*Параметры!$B$6&gt;=1000,-1,0)))))</f>
        <v>2910</v>
      </c>
      <c r="L1731" s="16">
        <v>2.5</v>
      </c>
      <c r="M1731" s="17">
        <f t="shared" si="124"/>
        <v>0.4</v>
      </c>
      <c r="N1731" s="17">
        <f>IF(OR(L1731="",L1731=0),"",Параметры!$B$3/L1731)</f>
        <v>3.2</v>
      </c>
      <c r="O1731" s="15">
        <f>IF(L1731="","",IFERROR(INDEX('Почасовка — ставки и план'!$D$5:$D$24,MATCH($D1731,'Почасовка — ставки и план'!$A$5:$A$24,0)),""))</f>
        <v>650</v>
      </c>
      <c r="P1731" s="15">
        <f>IF(L1731="","",IFERROR(INDEX('Почасовка — ставки и план'!$E$5:$E$24,MATCH($D1731,'Почасовка — ставки и план'!$A$5:$A$24,0)),""))</f>
        <v>780</v>
      </c>
      <c r="Q1731" s="15">
        <f t="shared" si="125"/>
        <v>1625</v>
      </c>
      <c r="R1731" s="13" t="str">
        <f>IF(D1731="TEX","аренда техники — сделка/счёт",IF(OR(Q1731="",H1731="",H1731=0),"—",IF(Q1731&lt;H1731*(1-Параметры!$B$7),"почасовка",IF(Q1731&gt;H1731*(1+Параметры!$B$7),"сделка","любой способ"))))</f>
        <v>почасовка</v>
      </c>
      <c r="S1731">
        <v>0</v>
      </c>
      <c r="T1731">
        <v>0</v>
      </c>
    </row>
    <row r="1732" spans="1:20" x14ac:dyDescent="0.25">
      <c r="A1732" s="13" t="s">
        <v>3502</v>
      </c>
      <c r="B1732" s="13" t="s">
        <v>3503</v>
      </c>
      <c r="C1732" s="13" t="s">
        <v>144</v>
      </c>
      <c r="D1732" s="13" t="s">
        <v>56</v>
      </c>
      <c r="E1732" s="13" t="str">
        <f>IFERROR(INDEX('Почасовка — ставки и план'!$B$5:$B$24,MATCH(D1732,'Почасовка — ставки и план'!$A$5:$A$24,0)),"Аренда техники / механизмы")</f>
        <v>Дорожный рабочий / благоустройство</v>
      </c>
      <c r="F1732" s="14">
        <v>4800</v>
      </c>
      <c r="G1732" s="14">
        <v>5520</v>
      </c>
      <c r="H1732" s="15">
        <v>3000</v>
      </c>
      <c r="I1732" s="15">
        <f>IF(OR(H1732="",F1732=""),"",MAX(H1732,MIN(ROUND(H1732*(1+Параметры!$B$5),IF(H1732*(1+Параметры!$B$5)&gt;=1000,-1,0)),ROUND(F1732*Параметры!$B$6,IF(F1732*Параметры!$B$6&gt;=1000,-1,0)))))</f>
        <v>3450</v>
      </c>
      <c r="J1732" s="15">
        <v>3450</v>
      </c>
      <c r="K1732" s="15">
        <f>IF(OR(J1732="",G1732=""),"",MAX(J1732,MIN(ROUND(J1732*(1+Параметры!$B$5),IF(J1732*(1+Параметры!$B$5)&gt;=1000,-1,0)),ROUND(G1732*Параметры!$B$6,IF(G1732*Параметры!$B$6&gt;=1000,-1,0)))))</f>
        <v>3970</v>
      </c>
      <c r="L1732" s="16">
        <v>3.5</v>
      </c>
      <c r="M1732" s="17">
        <f t="shared" si="124"/>
        <v>0.2857142857142857</v>
      </c>
      <c r="N1732" s="17">
        <f>IF(OR(L1732="",L1732=0),"",Параметры!$B$3/L1732)</f>
        <v>2.2857142857142856</v>
      </c>
      <c r="O1732" s="15">
        <f>IF(L1732="","",IFERROR(INDEX('Почасовка — ставки и план'!$D$5:$D$24,MATCH($D1732,'Почасовка — ставки и план'!$A$5:$A$24,0)),""))</f>
        <v>650</v>
      </c>
      <c r="P1732" s="15">
        <f>IF(L1732="","",IFERROR(INDEX('Почасовка — ставки и план'!$E$5:$E$24,MATCH($D1732,'Почасовка — ставки и план'!$A$5:$A$24,0)),""))</f>
        <v>780</v>
      </c>
      <c r="Q1732" s="15">
        <f t="shared" si="125"/>
        <v>2275</v>
      </c>
      <c r="R1732" s="13" t="str">
        <f>IF(D1732="TEX","аренда техники — сделка/счёт",IF(OR(Q1732="",H1732="",H1732=0),"—",IF(Q1732&lt;H1732*(1-Параметры!$B$7),"почасовка",IF(Q1732&gt;H1732*(1+Параметры!$B$7),"сделка","любой способ"))))</f>
        <v>почасовка</v>
      </c>
      <c r="S1732">
        <v>0</v>
      </c>
      <c r="T1732">
        <v>0</v>
      </c>
    </row>
    <row r="1733" spans="1:20" x14ac:dyDescent="0.25">
      <c r="A1733" s="13" t="s">
        <v>3504</v>
      </c>
      <c r="B1733" s="13" t="s">
        <v>3505</v>
      </c>
      <c r="C1733" s="13" t="s">
        <v>144</v>
      </c>
      <c r="D1733" s="13" t="s">
        <v>56</v>
      </c>
      <c r="E1733" s="13" t="str">
        <f>IFERROR(INDEX('Почасовка — ставки и план'!$B$5:$B$24,MATCH(D1733,'Почасовка — ставки и план'!$A$5:$A$24,0)),"Аренда техники / механизмы")</f>
        <v>Дорожный рабочий / благоустройство</v>
      </c>
      <c r="F1733" s="14">
        <v>1200</v>
      </c>
      <c r="G1733" s="14">
        <v>1380</v>
      </c>
      <c r="H1733" s="15">
        <v>750</v>
      </c>
      <c r="I1733" s="15">
        <f>IF(OR(H1733="",F1733=""),"",MAX(H1733,MIN(ROUND(H1733*(1+Параметры!$B$5),IF(H1733*(1+Параметры!$B$5)&gt;=1000,-1,0)),ROUND(F1733*Параметры!$B$6,IF(F1733*Параметры!$B$6&gt;=1000,-1,0)))))</f>
        <v>863</v>
      </c>
      <c r="J1733" s="15">
        <v>862</v>
      </c>
      <c r="K1733" s="15">
        <f>IF(OR(J1733="",G1733=""),"",MAX(J1733,MIN(ROUND(J1733*(1+Параметры!$B$5),IF(J1733*(1+Параметры!$B$5)&gt;=1000,-1,0)),ROUND(G1733*Параметры!$B$6,IF(G1733*Параметры!$B$6&gt;=1000,-1,0)))))</f>
        <v>991</v>
      </c>
      <c r="L1733" s="16">
        <v>0.8</v>
      </c>
      <c r="M1733" s="17">
        <f t="shared" si="124"/>
        <v>1.25</v>
      </c>
      <c r="N1733" s="17">
        <f>IF(OR(L1733="",L1733=0),"",Параметры!$B$3/L1733)</f>
        <v>10</v>
      </c>
      <c r="O1733" s="15">
        <f>IF(L1733="","",IFERROR(INDEX('Почасовка — ставки и план'!$D$5:$D$24,MATCH($D1733,'Почасовка — ставки и план'!$A$5:$A$24,0)),""))</f>
        <v>650</v>
      </c>
      <c r="P1733" s="15">
        <f>IF(L1733="","",IFERROR(INDEX('Почасовка — ставки и план'!$E$5:$E$24,MATCH($D1733,'Почасовка — ставки и план'!$A$5:$A$24,0)),""))</f>
        <v>780</v>
      </c>
      <c r="Q1733" s="15">
        <f t="shared" si="125"/>
        <v>520</v>
      </c>
      <c r="R1733" s="13" t="str">
        <f>IF(D1733="TEX","аренда техники — сделка/счёт",IF(OR(Q1733="",H1733="",H1733=0),"—",IF(Q1733&lt;H1733*(1-Параметры!$B$7),"почасовка",IF(Q1733&gt;H1733*(1+Параметры!$B$7),"сделка","любой способ"))))</f>
        <v>почасовка</v>
      </c>
      <c r="S1733">
        <v>0</v>
      </c>
      <c r="T1733">
        <v>0</v>
      </c>
    </row>
    <row r="1734" spans="1:20" x14ac:dyDescent="0.25">
      <c r="A1734" s="13" t="s">
        <v>3506</v>
      </c>
      <c r="B1734" s="13" t="s">
        <v>3507</v>
      </c>
      <c r="C1734" s="13" t="s">
        <v>144</v>
      </c>
      <c r="D1734" s="13" t="s">
        <v>56</v>
      </c>
      <c r="E1734" s="13" t="str">
        <f>IFERROR(INDEX('Почасовка — ставки и план'!$B$5:$B$24,MATCH(D1734,'Почасовка — ставки и план'!$A$5:$A$24,0)),"Аренда техники / механизмы")</f>
        <v>Дорожный рабочий / благоустройство</v>
      </c>
      <c r="F1734" s="14">
        <v>2500</v>
      </c>
      <c r="G1734" s="14">
        <v>2875</v>
      </c>
      <c r="H1734" s="15">
        <v>1600</v>
      </c>
      <c r="I1734" s="15">
        <f>IF(OR(H1734="",F1734=""),"",MAX(H1734,MIN(ROUND(H1734*(1+Параметры!$B$5),IF(H1734*(1+Параметры!$B$5)&gt;=1000,-1,0)),ROUND(F1734*Параметры!$B$6,IF(F1734*Параметры!$B$6&gt;=1000,-1,0)))))</f>
        <v>1840</v>
      </c>
      <c r="J1734" s="15">
        <v>1840</v>
      </c>
      <c r="K1734" s="15">
        <f>IF(OR(J1734="",G1734=""),"",MAX(J1734,MIN(ROUND(J1734*(1+Параметры!$B$5),IF(J1734*(1+Параметры!$B$5)&gt;=1000,-1,0)),ROUND(G1734*Параметры!$B$6,IF(G1734*Параметры!$B$6&gt;=1000,-1,0)))))</f>
        <v>2120</v>
      </c>
      <c r="L1734" s="16">
        <v>1.5</v>
      </c>
      <c r="M1734" s="17">
        <f t="shared" ref="M1734:M1765" si="126">IF(OR(L1734="",L1734=0),"",1/L1734)</f>
        <v>0.66666666666666663</v>
      </c>
      <c r="N1734" s="17">
        <f>IF(OR(L1734="",L1734=0),"",Параметры!$B$3/L1734)</f>
        <v>5.333333333333333</v>
      </c>
      <c r="O1734" s="15">
        <f>IF(L1734="","",IFERROR(INDEX('Почасовка — ставки и план'!$D$5:$D$24,MATCH($D1734,'Почасовка — ставки и план'!$A$5:$A$24,0)),""))</f>
        <v>650</v>
      </c>
      <c r="P1734" s="15">
        <f>IF(L1734="","",IFERROR(INDEX('Почасовка — ставки и план'!$E$5:$E$24,MATCH($D1734,'Почасовка — ставки и план'!$A$5:$A$24,0)),""))</f>
        <v>780</v>
      </c>
      <c r="Q1734" s="15">
        <f t="shared" ref="Q1734:Q1765" si="127">IF(OR(L1734="",O1734=""),"",ROUND(L1734*O1734,0))</f>
        <v>975</v>
      </c>
      <c r="R1734" s="13" t="str">
        <f>IF(D1734="TEX","аренда техники — сделка/счёт",IF(OR(Q1734="",H1734="",H1734=0),"—",IF(Q1734&lt;H1734*(1-Параметры!$B$7),"почасовка",IF(Q1734&gt;H1734*(1+Параметры!$B$7),"сделка","любой способ"))))</f>
        <v>почасовка</v>
      </c>
      <c r="S1734">
        <v>0</v>
      </c>
      <c r="T1734">
        <v>0</v>
      </c>
    </row>
    <row r="1735" spans="1:20" x14ac:dyDescent="0.25">
      <c r="A1735" s="13" t="s">
        <v>3508</v>
      </c>
      <c r="B1735" s="13" t="s">
        <v>3509</v>
      </c>
      <c r="C1735" s="13" t="s">
        <v>69</v>
      </c>
      <c r="D1735" s="13" t="s">
        <v>56</v>
      </c>
      <c r="E1735" s="13" t="str">
        <f>IFERROR(INDEX('Почасовка — ставки и план'!$B$5:$B$24,MATCH(D1735,'Почасовка — ставки и план'!$A$5:$A$24,0)),"Аренда техники / механизмы")</f>
        <v>Дорожный рабочий / благоустройство</v>
      </c>
      <c r="F1735" s="14">
        <v>350</v>
      </c>
      <c r="G1735" s="14">
        <v>402</v>
      </c>
      <c r="H1735" s="15">
        <v>220</v>
      </c>
      <c r="I1735" s="15">
        <f>IF(OR(H1735="",F1735=""),"",MAX(H1735,MIN(ROUND(H1735*(1+Параметры!$B$5),IF(H1735*(1+Параметры!$B$5)&gt;=1000,-1,0)),ROUND(F1735*Параметры!$B$6,IF(F1735*Параметры!$B$6&gt;=1000,-1,0)))))</f>
        <v>253</v>
      </c>
      <c r="J1735" s="15">
        <v>253</v>
      </c>
      <c r="K1735" s="15">
        <f>IF(OR(J1735="",G1735=""),"",MAX(J1735,MIN(ROUND(J1735*(1+Параметры!$B$5),IF(J1735*(1+Параметры!$B$5)&gt;=1000,-1,0)),ROUND(G1735*Параметры!$B$6,IF(G1735*Параметры!$B$6&gt;=1000,-1,0)))))</f>
        <v>291</v>
      </c>
      <c r="L1735" s="16">
        <v>0.35</v>
      </c>
      <c r="M1735" s="17">
        <f t="shared" si="126"/>
        <v>2.8571428571428572</v>
      </c>
      <c r="N1735" s="17">
        <f>IF(OR(L1735="",L1735=0),"",Параметры!$B$3/L1735)</f>
        <v>22.857142857142858</v>
      </c>
      <c r="O1735" s="15">
        <f>IF(L1735="","",IFERROR(INDEX('Почасовка — ставки и план'!$D$5:$D$24,MATCH($D1735,'Почасовка — ставки и план'!$A$5:$A$24,0)),""))</f>
        <v>650</v>
      </c>
      <c r="P1735" s="15">
        <f>IF(L1735="","",IFERROR(INDEX('Почасовка — ставки и план'!$E$5:$E$24,MATCH($D1735,'Почасовка — ставки и план'!$A$5:$A$24,0)),""))</f>
        <v>780</v>
      </c>
      <c r="Q1735" s="15">
        <f t="shared" si="127"/>
        <v>228</v>
      </c>
      <c r="R1735" s="13" t="str">
        <f>IF(D1735="TEX","аренда техники — сделка/счёт",IF(OR(Q1735="",H1735="",H1735=0),"—",IF(Q1735&lt;H1735*(1-Параметры!$B$7),"почасовка",IF(Q1735&gt;H1735*(1+Параметры!$B$7),"сделка","любой способ"))))</f>
        <v>любой способ</v>
      </c>
      <c r="S1735">
        <v>0</v>
      </c>
      <c r="T1735">
        <v>0</v>
      </c>
    </row>
    <row r="1736" spans="1:20" x14ac:dyDescent="0.25">
      <c r="A1736" s="13" t="s">
        <v>3510</v>
      </c>
      <c r="B1736" s="13" t="s">
        <v>3511</v>
      </c>
      <c r="C1736" s="13" t="s">
        <v>144</v>
      </c>
      <c r="D1736" s="13" t="s">
        <v>56</v>
      </c>
      <c r="E1736" s="13" t="str">
        <f>IFERROR(INDEX('Почасовка — ставки и план'!$B$5:$B$24,MATCH(D1736,'Почасовка — ставки и план'!$A$5:$A$24,0)),"Аренда техники / механизмы")</f>
        <v>Дорожный рабочий / благоустройство</v>
      </c>
      <c r="F1736" s="14">
        <v>2500</v>
      </c>
      <c r="G1736" s="14">
        <v>2875</v>
      </c>
      <c r="H1736" s="15">
        <v>1600</v>
      </c>
      <c r="I1736" s="15">
        <f>IF(OR(H1736="",F1736=""),"",MAX(H1736,MIN(ROUND(H1736*(1+Параметры!$B$5),IF(H1736*(1+Параметры!$B$5)&gt;=1000,-1,0)),ROUND(F1736*Параметры!$B$6,IF(F1736*Параметры!$B$6&gt;=1000,-1,0)))))</f>
        <v>1840</v>
      </c>
      <c r="J1736" s="15">
        <v>1840</v>
      </c>
      <c r="K1736" s="15">
        <f>IF(OR(J1736="",G1736=""),"",MAX(J1736,MIN(ROUND(J1736*(1+Параметры!$B$5),IF(J1736*(1+Параметры!$B$5)&gt;=1000,-1,0)),ROUND(G1736*Параметры!$B$6,IF(G1736*Параметры!$B$6&gt;=1000,-1,0)))))</f>
        <v>2120</v>
      </c>
      <c r="L1736" s="16">
        <v>2</v>
      </c>
      <c r="M1736" s="17">
        <f t="shared" si="126"/>
        <v>0.5</v>
      </c>
      <c r="N1736" s="17">
        <f>IF(OR(L1736="",L1736=0),"",Параметры!$B$3/L1736)</f>
        <v>4</v>
      </c>
      <c r="O1736" s="15">
        <f>IF(L1736="","",IFERROR(INDEX('Почасовка — ставки и план'!$D$5:$D$24,MATCH($D1736,'Почасовка — ставки и план'!$A$5:$A$24,0)),""))</f>
        <v>650</v>
      </c>
      <c r="P1736" s="15">
        <f>IF(L1736="","",IFERROR(INDEX('Почасовка — ставки и план'!$E$5:$E$24,MATCH($D1736,'Почасовка — ставки и план'!$A$5:$A$24,0)),""))</f>
        <v>780</v>
      </c>
      <c r="Q1736" s="15">
        <f t="shared" si="127"/>
        <v>1300</v>
      </c>
      <c r="R1736" s="13" t="str">
        <f>IF(D1736="TEX","аренда техники — сделка/счёт",IF(OR(Q1736="",H1736="",H1736=0),"—",IF(Q1736&lt;H1736*(1-Параметры!$B$7),"почасовка",IF(Q1736&gt;H1736*(1+Параметры!$B$7),"сделка","любой способ"))))</f>
        <v>почасовка</v>
      </c>
      <c r="S1736">
        <v>0</v>
      </c>
      <c r="T1736">
        <v>0</v>
      </c>
    </row>
    <row r="1737" spans="1:20" x14ac:dyDescent="0.25">
      <c r="A1737" s="13" t="s">
        <v>3512</v>
      </c>
      <c r="B1737" s="13" t="s">
        <v>3513</v>
      </c>
      <c r="C1737" s="13" t="s">
        <v>144</v>
      </c>
      <c r="D1737" s="13" t="s">
        <v>56</v>
      </c>
      <c r="E1737" s="13" t="str">
        <f>IFERROR(INDEX('Почасовка — ставки и план'!$B$5:$B$24,MATCH(D1737,'Почасовка — ставки и план'!$A$5:$A$24,0)),"Аренда техники / механизмы")</f>
        <v>Дорожный рабочий / благоустройство</v>
      </c>
      <c r="F1737" s="14">
        <v>3500</v>
      </c>
      <c r="G1737" s="14">
        <v>4025</v>
      </c>
      <c r="H1737" s="15">
        <v>2200</v>
      </c>
      <c r="I1737" s="15">
        <f>IF(OR(H1737="",F1737=""),"",MAX(H1737,MIN(ROUND(H1737*(1+Параметры!$B$5),IF(H1737*(1+Параметры!$B$5)&gt;=1000,-1,0)),ROUND(F1737*Параметры!$B$6,IF(F1737*Параметры!$B$6&gt;=1000,-1,0)))))</f>
        <v>2530</v>
      </c>
      <c r="J1737" s="15">
        <v>2530</v>
      </c>
      <c r="K1737" s="15">
        <f>IF(OR(J1737="",G1737=""),"",MAX(J1737,MIN(ROUND(J1737*(1+Параметры!$B$5),IF(J1737*(1+Параметры!$B$5)&gt;=1000,-1,0)),ROUND(G1737*Параметры!$B$6,IF(G1737*Параметры!$B$6&gt;=1000,-1,0)))))</f>
        <v>2910</v>
      </c>
      <c r="L1737" s="16">
        <v>3</v>
      </c>
      <c r="M1737" s="17">
        <f t="shared" si="126"/>
        <v>0.33333333333333331</v>
      </c>
      <c r="N1737" s="17">
        <f>IF(OR(L1737="",L1737=0),"",Параметры!$B$3/L1737)</f>
        <v>2.6666666666666665</v>
      </c>
      <c r="O1737" s="15">
        <f>IF(L1737="","",IFERROR(INDEX('Почасовка — ставки и план'!$D$5:$D$24,MATCH($D1737,'Почасовка — ставки и план'!$A$5:$A$24,0)),""))</f>
        <v>650</v>
      </c>
      <c r="P1737" s="15">
        <f>IF(L1737="","",IFERROR(INDEX('Почасовка — ставки и план'!$E$5:$E$24,MATCH($D1737,'Почасовка — ставки и план'!$A$5:$A$24,0)),""))</f>
        <v>780</v>
      </c>
      <c r="Q1737" s="15">
        <f t="shared" si="127"/>
        <v>1950</v>
      </c>
      <c r="R1737" s="13" t="str">
        <f>IF(D1737="TEX","аренда техники — сделка/счёт",IF(OR(Q1737="",H1737="",H1737=0),"—",IF(Q1737&lt;H1737*(1-Параметры!$B$7),"почасовка",IF(Q1737&gt;H1737*(1+Параметры!$B$7),"сделка","любой способ"))))</f>
        <v>почасовка</v>
      </c>
      <c r="S1737">
        <v>0</v>
      </c>
      <c r="T1737">
        <v>0</v>
      </c>
    </row>
    <row r="1738" spans="1:20" x14ac:dyDescent="0.25">
      <c r="A1738" s="13" t="s">
        <v>3514</v>
      </c>
      <c r="B1738" s="13" t="s">
        <v>3515</v>
      </c>
      <c r="C1738" s="13" t="s">
        <v>144</v>
      </c>
      <c r="D1738" s="13" t="s">
        <v>56</v>
      </c>
      <c r="E1738" s="13" t="str">
        <f>IFERROR(INDEX('Почасовка — ставки и план'!$B$5:$B$24,MATCH(D1738,'Почасовка — ставки и план'!$A$5:$A$24,0)),"Аренда техники / механизмы")</f>
        <v>Дорожный рабочий / благоустройство</v>
      </c>
      <c r="F1738" s="14">
        <v>1000</v>
      </c>
      <c r="G1738" s="14">
        <v>1150</v>
      </c>
      <c r="H1738" s="15">
        <v>600</v>
      </c>
      <c r="I1738" s="15">
        <f>IF(OR(H1738="",F1738=""),"",MAX(H1738,MIN(ROUND(H1738*(1+Параметры!$B$5),IF(H1738*(1+Параметры!$B$5)&gt;=1000,-1,0)),ROUND(F1738*Параметры!$B$6,IF(F1738*Параметры!$B$6&gt;=1000,-1,0)))))</f>
        <v>690</v>
      </c>
      <c r="J1738" s="15">
        <v>690</v>
      </c>
      <c r="K1738" s="15">
        <f>IF(OR(J1738="",G1738=""),"",MAX(J1738,MIN(ROUND(J1738*(1+Параметры!$B$5),IF(J1738*(1+Параметры!$B$5)&gt;=1000,-1,0)),ROUND(G1738*Параметры!$B$6,IF(G1738*Параметры!$B$6&gt;=1000,-1,0)))))</f>
        <v>794</v>
      </c>
      <c r="L1738" s="16">
        <v>0.8</v>
      </c>
      <c r="M1738" s="17">
        <f t="shared" si="126"/>
        <v>1.25</v>
      </c>
      <c r="N1738" s="17">
        <f>IF(OR(L1738="",L1738=0),"",Параметры!$B$3/L1738)</f>
        <v>10</v>
      </c>
      <c r="O1738" s="15">
        <f>IF(L1738="","",IFERROR(INDEX('Почасовка — ставки и план'!$D$5:$D$24,MATCH($D1738,'Почасовка — ставки и план'!$A$5:$A$24,0)),""))</f>
        <v>650</v>
      </c>
      <c r="P1738" s="15">
        <f>IF(L1738="","",IFERROR(INDEX('Почасовка — ставки и план'!$E$5:$E$24,MATCH($D1738,'Почасовка — ставки и план'!$A$5:$A$24,0)),""))</f>
        <v>780</v>
      </c>
      <c r="Q1738" s="15">
        <f t="shared" si="127"/>
        <v>520</v>
      </c>
      <c r="R1738" s="13" t="str">
        <f>IF(D1738="TEX","аренда техники — сделка/счёт",IF(OR(Q1738="",H1738="",H1738=0),"—",IF(Q1738&lt;H1738*(1-Параметры!$B$7),"почасовка",IF(Q1738&gt;H1738*(1+Параметры!$B$7),"сделка","любой способ"))))</f>
        <v>почасовка</v>
      </c>
      <c r="S1738">
        <v>0</v>
      </c>
      <c r="T1738">
        <v>0</v>
      </c>
    </row>
    <row r="1739" spans="1:20" x14ac:dyDescent="0.25">
      <c r="A1739" s="13" t="s">
        <v>3516</v>
      </c>
      <c r="B1739" s="13" t="s">
        <v>3517</v>
      </c>
      <c r="C1739" s="13" t="s">
        <v>144</v>
      </c>
      <c r="D1739" s="13" t="s">
        <v>56</v>
      </c>
      <c r="E1739" s="13" t="str">
        <f>IFERROR(INDEX('Почасовка — ставки и план'!$B$5:$B$24,MATCH(D1739,'Почасовка — ставки и план'!$A$5:$A$24,0)),"Аренда техники / механизмы")</f>
        <v>Дорожный рабочий / благоустройство</v>
      </c>
      <c r="F1739" s="14">
        <v>1000</v>
      </c>
      <c r="G1739" s="14">
        <v>1150</v>
      </c>
      <c r="H1739" s="15">
        <v>650</v>
      </c>
      <c r="I1739" s="15">
        <f>IF(OR(H1739="",F1739=""),"",MAX(H1739,MIN(ROUND(H1739*(1+Параметры!$B$5),IF(H1739*(1+Параметры!$B$5)&gt;=1000,-1,0)),ROUND(F1739*Параметры!$B$6,IF(F1739*Параметры!$B$6&gt;=1000,-1,0)))))</f>
        <v>748</v>
      </c>
      <c r="J1739" s="15">
        <v>747</v>
      </c>
      <c r="K1739" s="15">
        <f>IF(OR(J1739="",G1739=""),"",MAX(J1739,MIN(ROUND(J1739*(1+Параметры!$B$5),IF(J1739*(1+Параметры!$B$5)&gt;=1000,-1,0)),ROUND(G1739*Параметры!$B$6,IF(G1739*Параметры!$B$6&gt;=1000,-1,0)))))</f>
        <v>859</v>
      </c>
      <c r="L1739" s="16">
        <v>1</v>
      </c>
      <c r="M1739" s="17">
        <f t="shared" si="126"/>
        <v>1</v>
      </c>
      <c r="N1739" s="17">
        <f>IF(OR(L1739="",L1739=0),"",Параметры!$B$3/L1739)</f>
        <v>8</v>
      </c>
      <c r="O1739" s="15">
        <f>IF(L1739="","",IFERROR(INDEX('Почасовка — ставки и план'!$D$5:$D$24,MATCH($D1739,'Почасовка — ставки и план'!$A$5:$A$24,0)),""))</f>
        <v>650</v>
      </c>
      <c r="P1739" s="15">
        <f>IF(L1739="","",IFERROR(INDEX('Почасовка — ставки и план'!$E$5:$E$24,MATCH($D1739,'Почасовка — ставки и план'!$A$5:$A$24,0)),""))</f>
        <v>780</v>
      </c>
      <c r="Q1739" s="15">
        <f t="shared" si="127"/>
        <v>650</v>
      </c>
      <c r="R1739" s="13" t="str">
        <f>IF(D1739="TEX","аренда техники — сделка/счёт",IF(OR(Q1739="",H1739="",H1739=0),"—",IF(Q1739&lt;H1739*(1-Параметры!$B$7),"почасовка",IF(Q1739&gt;H1739*(1+Параметры!$B$7),"сделка","любой способ"))))</f>
        <v>любой способ</v>
      </c>
      <c r="S1739">
        <v>0</v>
      </c>
      <c r="T1739">
        <v>0</v>
      </c>
    </row>
    <row r="1740" spans="1:20" x14ac:dyDescent="0.25">
      <c r="A1740" s="13" t="s">
        <v>3518</v>
      </c>
      <c r="B1740" s="13" t="s">
        <v>3519</v>
      </c>
      <c r="C1740" s="13" t="s">
        <v>144</v>
      </c>
      <c r="D1740" s="13" t="s">
        <v>56</v>
      </c>
      <c r="E1740" s="13" t="str">
        <f>IFERROR(INDEX('Почасовка — ставки и план'!$B$5:$B$24,MATCH(D1740,'Почасовка — ставки и план'!$A$5:$A$24,0)),"Аренда техники / механизмы")</f>
        <v>Дорожный рабочий / благоустройство</v>
      </c>
      <c r="F1740" s="14">
        <v>1500</v>
      </c>
      <c r="G1740" s="14">
        <v>1725</v>
      </c>
      <c r="H1740" s="15">
        <v>950</v>
      </c>
      <c r="I1740" s="15">
        <f>IF(OR(H1740="",F1740=""),"",MAX(H1740,MIN(ROUND(H1740*(1+Параметры!$B$5),IF(H1740*(1+Параметры!$B$5)&gt;=1000,-1,0)),ROUND(F1740*Параметры!$B$6,IF(F1740*Параметры!$B$6&gt;=1000,-1,0)))))</f>
        <v>1090</v>
      </c>
      <c r="J1740" s="15">
        <v>1092</v>
      </c>
      <c r="K1740" s="15">
        <f>IF(OR(J1740="",G1740=""),"",MAX(J1740,MIN(ROUND(J1740*(1+Параметры!$B$5),IF(J1740*(1+Параметры!$B$5)&gt;=1000,-1,0)),ROUND(G1740*Параметры!$B$6,IF(G1740*Параметры!$B$6&gt;=1000,-1,0)))))</f>
        <v>1260</v>
      </c>
      <c r="L1740" s="16">
        <v>1.2</v>
      </c>
      <c r="M1740" s="17">
        <f t="shared" si="126"/>
        <v>0.83333333333333337</v>
      </c>
      <c r="N1740" s="17">
        <f>IF(OR(L1740="",L1740=0),"",Параметры!$B$3/L1740)</f>
        <v>6.666666666666667</v>
      </c>
      <c r="O1740" s="15">
        <f>IF(L1740="","",IFERROR(INDEX('Почасовка — ставки и план'!$D$5:$D$24,MATCH($D1740,'Почасовка — ставки и план'!$A$5:$A$24,0)),""))</f>
        <v>650</v>
      </c>
      <c r="P1740" s="15">
        <f>IF(L1740="","",IFERROR(INDEX('Почасовка — ставки и план'!$E$5:$E$24,MATCH($D1740,'Почасовка — ставки и план'!$A$5:$A$24,0)),""))</f>
        <v>780</v>
      </c>
      <c r="Q1740" s="15">
        <f t="shared" si="127"/>
        <v>780</v>
      </c>
      <c r="R1740" s="13" t="str">
        <f>IF(D1740="TEX","аренда техники — сделка/счёт",IF(OR(Q1740="",H1740="",H1740=0),"—",IF(Q1740&lt;H1740*(1-Параметры!$B$7),"почасовка",IF(Q1740&gt;H1740*(1+Параметры!$B$7),"сделка","любой способ"))))</f>
        <v>почасовка</v>
      </c>
      <c r="S1740">
        <v>0</v>
      </c>
      <c r="T1740">
        <v>0</v>
      </c>
    </row>
    <row r="1741" spans="1:20" x14ac:dyDescent="0.25">
      <c r="A1741" s="13" t="s">
        <v>3520</v>
      </c>
      <c r="B1741" s="13" t="s">
        <v>3521</v>
      </c>
      <c r="C1741" s="13" t="s">
        <v>72</v>
      </c>
      <c r="D1741" s="13" t="s">
        <v>56</v>
      </c>
      <c r="E1741" s="13" t="str">
        <f>IFERROR(INDEX('Почасовка — ставки и план'!$B$5:$B$24,MATCH(D1741,'Почасовка — ставки и план'!$A$5:$A$24,0)),"Аренда техники / механизмы")</f>
        <v>Дорожный рабочий / благоустройство</v>
      </c>
      <c r="F1741" s="14">
        <v>450</v>
      </c>
      <c r="G1741" s="14">
        <v>518</v>
      </c>
      <c r="H1741" s="15">
        <v>280</v>
      </c>
      <c r="I1741" s="15">
        <f>IF(OR(H1741="",F1741=""),"",MAX(H1741,MIN(ROUND(H1741*(1+Параметры!$B$5),IF(H1741*(1+Параметры!$B$5)&gt;=1000,-1,0)),ROUND(F1741*Параметры!$B$6,IF(F1741*Параметры!$B$6&gt;=1000,-1,0)))))</f>
        <v>322</v>
      </c>
      <c r="J1741" s="15">
        <v>322</v>
      </c>
      <c r="K1741" s="15">
        <f>IF(OR(J1741="",G1741=""),"",MAX(J1741,MIN(ROUND(J1741*(1+Параметры!$B$5),IF(J1741*(1+Параметры!$B$5)&gt;=1000,-1,0)),ROUND(G1741*Параметры!$B$6,IF(G1741*Параметры!$B$6&gt;=1000,-1,0)))))</f>
        <v>370</v>
      </c>
      <c r="L1741" s="16">
        <v>0.35</v>
      </c>
      <c r="M1741" s="17">
        <f t="shared" si="126"/>
        <v>2.8571428571428572</v>
      </c>
      <c r="N1741" s="17">
        <f>IF(OR(L1741="",L1741=0),"",Параметры!$B$3/L1741)</f>
        <v>22.857142857142858</v>
      </c>
      <c r="O1741" s="15">
        <f>IF(L1741="","",IFERROR(INDEX('Почасовка — ставки и план'!$D$5:$D$24,MATCH($D1741,'Почасовка — ставки и план'!$A$5:$A$24,0)),""))</f>
        <v>650</v>
      </c>
      <c r="P1741" s="15">
        <f>IF(L1741="","",IFERROR(INDEX('Почасовка — ставки и план'!$E$5:$E$24,MATCH($D1741,'Почасовка — ставки и план'!$A$5:$A$24,0)),""))</f>
        <v>780</v>
      </c>
      <c r="Q1741" s="15">
        <f t="shared" si="127"/>
        <v>228</v>
      </c>
      <c r="R1741" s="13" t="str">
        <f>IF(D1741="TEX","аренда техники — сделка/счёт",IF(OR(Q1741="",H1741="",H1741=0),"—",IF(Q1741&lt;H1741*(1-Параметры!$B$7),"почасовка",IF(Q1741&gt;H1741*(1+Параметры!$B$7),"сделка","любой способ"))))</f>
        <v>почасовка</v>
      </c>
      <c r="S1741">
        <v>0</v>
      </c>
      <c r="T1741">
        <v>0</v>
      </c>
    </row>
    <row r="1742" spans="1:20" x14ac:dyDescent="0.25">
      <c r="A1742" s="13" t="s">
        <v>3522</v>
      </c>
      <c r="B1742" s="13" t="s">
        <v>3523</v>
      </c>
      <c r="C1742" s="13" t="s">
        <v>72</v>
      </c>
      <c r="D1742" s="13" t="s">
        <v>56</v>
      </c>
      <c r="E1742" s="13" t="str">
        <f>IFERROR(INDEX('Почасовка — ставки и план'!$B$5:$B$24,MATCH(D1742,'Почасовка — ставки и план'!$A$5:$A$24,0)),"Аренда техники / механизмы")</f>
        <v>Дорожный рабочий / благоустройство</v>
      </c>
      <c r="F1742" s="14">
        <v>300</v>
      </c>
      <c r="G1742" s="14">
        <v>345</v>
      </c>
      <c r="H1742" s="15">
        <v>190</v>
      </c>
      <c r="I1742" s="15">
        <f>IF(OR(H1742="",F1742=""),"",MAX(H1742,MIN(ROUND(H1742*(1+Параметры!$B$5),IF(H1742*(1+Параметры!$B$5)&gt;=1000,-1,0)),ROUND(F1742*Параметры!$B$6,IF(F1742*Параметры!$B$6&gt;=1000,-1,0)))))</f>
        <v>219</v>
      </c>
      <c r="J1742" s="15">
        <v>218</v>
      </c>
      <c r="K1742" s="15">
        <f>IF(OR(J1742="",G1742=""),"",MAX(J1742,MIN(ROUND(J1742*(1+Параметры!$B$5),IF(J1742*(1+Параметры!$B$5)&gt;=1000,-1,0)),ROUND(G1742*Параметры!$B$6,IF(G1742*Параметры!$B$6&gt;=1000,-1,0)))))</f>
        <v>251</v>
      </c>
      <c r="L1742" s="16">
        <v>0.25</v>
      </c>
      <c r="M1742" s="17">
        <f t="shared" si="126"/>
        <v>4</v>
      </c>
      <c r="N1742" s="17">
        <f>IF(OR(L1742="",L1742=0),"",Параметры!$B$3/L1742)</f>
        <v>32</v>
      </c>
      <c r="O1742" s="15">
        <f>IF(L1742="","",IFERROR(INDEX('Почасовка — ставки и план'!$D$5:$D$24,MATCH($D1742,'Почасовка — ставки и план'!$A$5:$A$24,0)),""))</f>
        <v>650</v>
      </c>
      <c r="P1742" s="15">
        <f>IF(L1742="","",IFERROR(INDEX('Почасовка — ставки и план'!$E$5:$E$24,MATCH($D1742,'Почасовка — ставки и план'!$A$5:$A$24,0)),""))</f>
        <v>780</v>
      </c>
      <c r="Q1742" s="15">
        <f t="shared" si="127"/>
        <v>163</v>
      </c>
      <c r="R1742" s="13" t="str">
        <f>IF(D1742="TEX","аренда техники — сделка/счёт",IF(OR(Q1742="",H1742="",H1742=0),"—",IF(Q1742&lt;H1742*(1-Параметры!$B$7),"почасовка",IF(Q1742&gt;H1742*(1+Параметры!$B$7),"сделка","любой способ"))))</f>
        <v>почасовка</v>
      </c>
      <c r="S1742">
        <v>0</v>
      </c>
      <c r="T1742">
        <v>0</v>
      </c>
    </row>
    <row r="1743" spans="1:20" x14ac:dyDescent="0.25">
      <c r="A1743" s="13" t="s">
        <v>3524</v>
      </c>
      <c r="B1743" s="13" t="s">
        <v>3525</v>
      </c>
      <c r="C1743" s="13" t="s">
        <v>72</v>
      </c>
      <c r="D1743" s="13" t="s">
        <v>56</v>
      </c>
      <c r="E1743" s="13" t="str">
        <f>IFERROR(INDEX('Почасовка — ставки и план'!$B$5:$B$24,MATCH(D1743,'Почасовка — ставки и план'!$A$5:$A$24,0)),"Аренда техники / механизмы")</f>
        <v>Дорожный рабочий / благоустройство</v>
      </c>
      <c r="F1743" s="14">
        <v>150</v>
      </c>
      <c r="G1743" s="14">
        <v>172</v>
      </c>
      <c r="H1743" s="15">
        <v>90</v>
      </c>
      <c r="I1743" s="15">
        <f>IF(OR(H1743="",F1743=""),"",MAX(H1743,MIN(ROUND(H1743*(1+Параметры!$B$5),IF(H1743*(1+Параметры!$B$5)&gt;=1000,-1,0)),ROUND(F1743*Параметры!$B$6,IF(F1743*Параметры!$B$6&gt;=1000,-1,0)))))</f>
        <v>104</v>
      </c>
      <c r="J1743" s="15">
        <v>103</v>
      </c>
      <c r="K1743" s="15">
        <f>IF(OR(J1743="",G1743=""),"",MAX(J1743,MIN(ROUND(J1743*(1+Параметры!$B$5),IF(J1743*(1+Параметры!$B$5)&gt;=1000,-1,0)),ROUND(G1743*Параметры!$B$6,IF(G1743*Параметры!$B$6&gt;=1000,-1,0)))))</f>
        <v>118</v>
      </c>
      <c r="L1743" s="16">
        <v>0.12</v>
      </c>
      <c r="M1743" s="17">
        <f t="shared" si="126"/>
        <v>8.3333333333333339</v>
      </c>
      <c r="N1743" s="17">
        <f>IF(OR(L1743="",L1743=0),"",Параметры!$B$3/L1743)</f>
        <v>66.666666666666671</v>
      </c>
      <c r="O1743" s="15">
        <f>IF(L1743="","",IFERROR(INDEX('Почасовка — ставки и план'!$D$5:$D$24,MATCH($D1743,'Почасовка — ставки и план'!$A$5:$A$24,0)),""))</f>
        <v>650</v>
      </c>
      <c r="P1743" s="15">
        <f>IF(L1743="","",IFERROR(INDEX('Почасовка — ставки и план'!$E$5:$E$24,MATCH($D1743,'Почасовка — ставки и план'!$A$5:$A$24,0)),""))</f>
        <v>780</v>
      </c>
      <c r="Q1743" s="15">
        <f t="shared" si="127"/>
        <v>78</v>
      </c>
      <c r="R1743" s="13" t="str">
        <f>IF(D1743="TEX","аренда техники — сделка/счёт",IF(OR(Q1743="",H1743="",H1743=0),"—",IF(Q1743&lt;H1743*(1-Параметры!$B$7),"почасовка",IF(Q1743&gt;H1743*(1+Параметры!$B$7),"сделка","любой способ"))))</f>
        <v>почасовка</v>
      </c>
      <c r="S1743">
        <v>0</v>
      </c>
      <c r="T1743">
        <v>0</v>
      </c>
    </row>
    <row r="1744" spans="1:20" x14ac:dyDescent="0.25">
      <c r="A1744" s="13" t="s">
        <v>3526</v>
      </c>
      <c r="B1744" s="13" t="s">
        <v>3527</v>
      </c>
      <c r="C1744" s="13" t="s">
        <v>69</v>
      </c>
      <c r="D1744" s="13" t="s">
        <v>56</v>
      </c>
      <c r="E1744" s="13" t="str">
        <f>IFERROR(INDEX('Почасовка — ставки и план'!$B$5:$B$24,MATCH(D1744,'Почасовка — ставки и план'!$A$5:$A$24,0)),"Аренда техники / механизмы")</f>
        <v>Дорожный рабочий / благоустройство</v>
      </c>
      <c r="F1744" s="14">
        <v>1100</v>
      </c>
      <c r="G1744" s="14">
        <v>1265</v>
      </c>
      <c r="H1744" s="15">
        <v>700</v>
      </c>
      <c r="I1744" s="15">
        <f>IF(OR(H1744="",F1744=""),"",MAX(H1744,MIN(ROUND(H1744*(1+Параметры!$B$5),IF(H1744*(1+Параметры!$B$5)&gt;=1000,-1,0)),ROUND(F1744*Параметры!$B$6,IF(F1744*Параметры!$B$6&gt;=1000,-1,0)))))</f>
        <v>805</v>
      </c>
      <c r="J1744" s="15">
        <v>805</v>
      </c>
      <c r="K1744" s="15">
        <f>IF(OR(J1744="",G1744=""),"",MAX(J1744,MIN(ROUND(J1744*(1+Параметры!$B$5),IF(J1744*(1+Параметры!$B$5)&gt;=1000,-1,0)),ROUND(G1744*Параметры!$B$6,IF(G1744*Параметры!$B$6&gt;=1000,-1,0)))))</f>
        <v>926</v>
      </c>
      <c r="L1744" s="16">
        <v>1</v>
      </c>
      <c r="M1744" s="17">
        <f t="shared" si="126"/>
        <v>1</v>
      </c>
      <c r="N1744" s="17">
        <f>IF(OR(L1744="",L1744=0),"",Параметры!$B$3/L1744)</f>
        <v>8</v>
      </c>
      <c r="O1744" s="15">
        <f>IF(L1744="","",IFERROR(INDEX('Почасовка — ставки и план'!$D$5:$D$24,MATCH($D1744,'Почасовка — ставки и план'!$A$5:$A$24,0)),""))</f>
        <v>650</v>
      </c>
      <c r="P1744" s="15">
        <f>IF(L1744="","",IFERROR(INDEX('Почасовка — ставки и план'!$E$5:$E$24,MATCH($D1744,'Почасовка — ставки и план'!$A$5:$A$24,0)),""))</f>
        <v>780</v>
      </c>
      <c r="Q1744" s="15">
        <f t="shared" si="127"/>
        <v>650</v>
      </c>
      <c r="R1744" s="13" t="str">
        <f>IF(D1744="TEX","аренда техники — сделка/счёт",IF(OR(Q1744="",H1744="",H1744=0),"—",IF(Q1744&lt;H1744*(1-Параметры!$B$7),"почасовка",IF(Q1744&gt;H1744*(1+Параметры!$B$7),"сделка","любой способ"))))</f>
        <v>любой способ</v>
      </c>
      <c r="S1744">
        <v>0</v>
      </c>
      <c r="T1744">
        <v>0</v>
      </c>
    </row>
    <row r="1745" spans="1:20" x14ac:dyDescent="0.25">
      <c r="A1745" s="13" t="s">
        <v>3528</v>
      </c>
      <c r="B1745" s="13" t="s">
        <v>3529</v>
      </c>
      <c r="C1745" s="13" t="s">
        <v>72</v>
      </c>
      <c r="D1745" s="13" t="s">
        <v>56</v>
      </c>
      <c r="E1745" s="13" t="str">
        <f>IFERROR(INDEX('Почасовка — ставки и план'!$B$5:$B$24,MATCH(D1745,'Почасовка — ставки и план'!$A$5:$A$24,0)),"Аренда техники / механизмы")</f>
        <v>Дорожный рабочий / благоустройство</v>
      </c>
      <c r="F1745" s="14">
        <v>320</v>
      </c>
      <c r="G1745" s="14">
        <v>368</v>
      </c>
      <c r="H1745" s="15">
        <v>200</v>
      </c>
      <c r="I1745" s="15">
        <f>IF(OR(H1745="",F1745=""),"",MAX(H1745,MIN(ROUND(H1745*(1+Параметры!$B$5),IF(H1745*(1+Параметры!$B$5)&gt;=1000,-1,0)),ROUND(F1745*Параметры!$B$6,IF(F1745*Параметры!$B$6&gt;=1000,-1,0)))))</f>
        <v>230</v>
      </c>
      <c r="J1745" s="15">
        <v>230</v>
      </c>
      <c r="K1745" s="15">
        <f>IF(OR(J1745="",G1745=""),"",MAX(J1745,MIN(ROUND(J1745*(1+Параметры!$B$5),IF(J1745*(1+Параметры!$B$5)&gt;=1000,-1,0)),ROUND(G1745*Параметры!$B$6,IF(G1745*Параметры!$B$6&gt;=1000,-1,0)))))</f>
        <v>265</v>
      </c>
      <c r="L1745" s="16">
        <v>0.28000000000000003</v>
      </c>
      <c r="M1745" s="17">
        <f t="shared" si="126"/>
        <v>3.5714285714285712</v>
      </c>
      <c r="N1745" s="17">
        <f>IF(OR(L1745="",L1745=0),"",Параметры!$B$3/L1745)</f>
        <v>28.571428571428569</v>
      </c>
      <c r="O1745" s="15">
        <f>IF(L1745="","",IFERROR(INDEX('Почасовка — ставки и план'!$D$5:$D$24,MATCH($D1745,'Почасовка — ставки и план'!$A$5:$A$24,0)),""))</f>
        <v>650</v>
      </c>
      <c r="P1745" s="15">
        <f>IF(L1745="","",IFERROR(INDEX('Почасовка — ставки и план'!$E$5:$E$24,MATCH($D1745,'Почасовка — ставки и план'!$A$5:$A$24,0)),""))</f>
        <v>780</v>
      </c>
      <c r="Q1745" s="15">
        <f t="shared" si="127"/>
        <v>182</v>
      </c>
      <c r="R1745" s="13" t="str">
        <f>IF(D1745="TEX","аренда техники — сделка/счёт",IF(OR(Q1745="",H1745="",H1745=0),"—",IF(Q1745&lt;H1745*(1-Параметры!$B$7),"почасовка",IF(Q1745&gt;H1745*(1+Параметры!$B$7),"сделка","любой способ"))))</f>
        <v>любой способ</v>
      </c>
      <c r="S1745">
        <v>0</v>
      </c>
      <c r="T1745">
        <v>0</v>
      </c>
    </row>
    <row r="1746" spans="1:20" x14ac:dyDescent="0.25">
      <c r="A1746" s="13" t="s">
        <v>3530</v>
      </c>
      <c r="B1746" s="13" t="s">
        <v>3531</v>
      </c>
      <c r="C1746" s="13" t="s">
        <v>72</v>
      </c>
      <c r="D1746" s="13" t="s">
        <v>56</v>
      </c>
      <c r="E1746" s="13" t="str">
        <f>IFERROR(INDEX('Почасовка — ставки и план'!$B$5:$B$24,MATCH(D1746,'Почасовка — ставки и план'!$A$5:$A$24,0)),"Аренда техники / механизмы")</f>
        <v>Дорожный рабочий / благоустройство</v>
      </c>
      <c r="F1746" s="14">
        <v>250</v>
      </c>
      <c r="G1746" s="14">
        <v>288</v>
      </c>
      <c r="H1746" s="15">
        <v>160</v>
      </c>
      <c r="I1746" s="15">
        <f>IF(OR(H1746="",F1746=""),"",MAX(H1746,MIN(ROUND(H1746*(1+Параметры!$B$5),IF(H1746*(1+Параметры!$B$5)&gt;=1000,-1,0)),ROUND(F1746*Параметры!$B$6,IF(F1746*Параметры!$B$6&gt;=1000,-1,0)))))</f>
        <v>184</v>
      </c>
      <c r="J1746" s="15">
        <v>184</v>
      </c>
      <c r="K1746" s="15">
        <f>IF(OR(J1746="",G1746=""),"",MAX(J1746,MIN(ROUND(J1746*(1+Параметры!$B$5),IF(J1746*(1+Параметры!$B$5)&gt;=1000,-1,0)),ROUND(G1746*Параметры!$B$6,IF(G1746*Параметры!$B$6&gt;=1000,-1,0)))))</f>
        <v>212</v>
      </c>
      <c r="L1746" s="16">
        <v>0.12</v>
      </c>
      <c r="M1746" s="17">
        <f t="shared" si="126"/>
        <v>8.3333333333333339</v>
      </c>
      <c r="N1746" s="17">
        <f>IF(OR(L1746="",L1746=0),"",Параметры!$B$3/L1746)</f>
        <v>66.666666666666671</v>
      </c>
      <c r="O1746" s="15">
        <f>IF(L1746="","",IFERROR(INDEX('Почасовка — ставки и план'!$D$5:$D$24,MATCH($D1746,'Почасовка — ставки и план'!$A$5:$A$24,0)),""))</f>
        <v>650</v>
      </c>
      <c r="P1746" s="15">
        <f>IF(L1746="","",IFERROR(INDEX('Почасовка — ставки и план'!$E$5:$E$24,MATCH($D1746,'Почасовка — ставки и план'!$A$5:$A$24,0)),""))</f>
        <v>780</v>
      </c>
      <c r="Q1746" s="15">
        <f t="shared" si="127"/>
        <v>78</v>
      </c>
      <c r="R1746" s="13" t="str">
        <f>IF(D1746="TEX","аренда техники — сделка/счёт",IF(OR(Q1746="",H1746="",H1746=0),"—",IF(Q1746&lt;H1746*(1-Параметры!$B$7),"почасовка",IF(Q1746&gt;H1746*(1+Параметры!$B$7),"сделка","любой способ"))))</f>
        <v>почасовка</v>
      </c>
      <c r="S1746">
        <v>0</v>
      </c>
      <c r="T1746">
        <v>0</v>
      </c>
    </row>
    <row r="1747" spans="1:20" x14ac:dyDescent="0.25">
      <c r="A1747" s="13" t="s">
        <v>3532</v>
      </c>
      <c r="B1747" s="13" t="s">
        <v>3533</v>
      </c>
      <c r="C1747" s="13" t="s">
        <v>55</v>
      </c>
      <c r="D1747" s="13" t="s">
        <v>56</v>
      </c>
      <c r="E1747" s="13" t="str">
        <f>IFERROR(INDEX('Почасовка — ставки и план'!$B$5:$B$24,MATCH(D1747,'Почасовка — ставки и план'!$A$5:$A$24,0)),"Аренда техники / механизмы")</f>
        <v>Дорожный рабочий / благоустройство</v>
      </c>
      <c r="F1747" s="14">
        <v>694</v>
      </c>
      <c r="G1747" s="14">
        <v>832</v>
      </c>
      <c r="H1747" s="15">
        <v>400</v>
      </c>
      <c r="I1747" s="15">
        <f>IF(OR(H1747="",F1747=""),"",MAX(H1747,MIN(ROUND(H1747*(1+Параметры!$B$5),IF(H1747*(1+Параметры!$B$5)&gt;=1000,-1,0)),ROUND(F1747*Параметры!$B$6,IF(F1747*Параметры!$B$6&gt;=1000,-1,0)))))</f>
        <v>460</v>
      </c>
      <c r="J1747" s="15">
        <v>460</v>
      </c>
      <c r="K1747" s="15">
        <f>IF(OR(J1747="",G1747=""),"",MAX(J1747,MIN(ROUND(J1747*(1+Параметры!$B$5),IF(J1747*(1+Параметры!$B$5)&gt;=1000,-1,0)),ROUND(G1747*Параметры!$B$6,IF(G1747*Параметры!$B$6&gt;=1000,-1,0)))))</f>
        <v>529</v>
      </c>
      <c r="L1747" s="16">
        <v>0.8</v>
      </c>
      <c r="M1747" s="17">
        <f t="shared" si="126"/>
        <v>1.25</v>
      </c>
      <c r="N1747" s="17">
        <f>IF(OR(L1747="",L1747=0),"",Параметры!$B$3/L1747)</f>
        <v>10</v>
      </c>
      <c r="O1747" s="15">
        <f>IF(L1747="","",IFERROR(INDEX('Почасовка — ставки и план'!$D$5:$D$24,MATCH($D1747,'Почасовка — ставки и план'!$A$5:$A$24,0)),""))</f>
        <v>650</v>
      </c>
      <c r="P1747" s="15">
        <f>IF(L1747="","",IFERROR(INDEX('Почасовка — ставки и план'!$E$5:$E$24,MATCH($D1747,'Почасовка — ставки и план'!$A$5:$A$24,0)),""))</f>
        <v>780</v>
      </c>
      <c r="Q1747" s="15">
        <f t="shared" si="127"/>
        <v>520</v>
      </c>
      <c r="R1747" s="13" t="str">
        <f>IF(D1747="TEX","аренда техники — сделка/счёт",IF(OR(Q1747="",H1747="",H1747=0),"—",IF(Q1747&lt;H1747*(1-Параметры!$B$7),"почасовка",IF(Q1747&gt;H1747*(1+Параметры!$B$7),"сделка","любой способ"))))</f>
        <v>сделка</v>
      </c>
      <c r="S1747">
        <v>6.7692307692307718E-2</v>
      </c>
      <c r="T1747">
        <v>0.1137884872824633</v>
      </c>
    </row>
    <row r="1748" spans="1:20" x14ac:dyDescent="0.25">
      <c r="A1748" s="13" t="s">
        <v>3534</v>
      </c>
      <c r="B1748" s="13" t="s">
        <v>3535</v>
      </c>
      <c r="C1748" s="13" t="s">
        <v>55</v>
      </c>
      <c r="D1748" s="13" t="s">
        <v>56</v>
      </c>
      <c r="E1748" s="13" t="str">
        <f>IFERROR(INDEX('Почасовка — ставки и план'!$B$5:$B$24,MATCH(D1748,'Почасовка — ставки и план'!$A$5:$A$24,0)),"Аренда техники / механизмы")</f>
        <v>Дорожный рабочий / благоустройство</v>
      </c>
      <c r="F1748" s="14">
        <v>607</v>
      </c>
      <c r="G1748" s="14">
        <v>728</v>
      </c>
      <c r="H1748" s="15">
        <v>350</v>
      </c>
      <c r="I1748" s="15">
        <f>IF(OR(H1748="",F1748=""),"",MAX(H1748,MIN(ROUND(H1748*(1+Параметры!$B$5),IF(H1748*(1+Параметры!$B$5)&gt;=1000,-1,0)),ROUND(F1748*Параметры!$B$6,IF(F1748*Параметры!$B$6&gt;=1000,-1,0)))))</f>
        <v>403</v>
      </c>
      <c r="J1748" s="15">
        <v>402</v>
      </c>
      <c r="K1748" s="15">
        <f>IF(OR(J1748="",G1748=""),"",MAX(J1748,MIN(ROUND(J1748*(1+Параметры!$B$5),IF(J1748*(1+Параметры!$B$5)&gt;=1000,-1,0)),ROUND(G1748*Параметры!$B$6,IF(G1748*Параметры!$B$6&gt;=1000,-1,0)))))</f>
        <v>462</v>
      </c>
      <c r="L1748" s="16">
        <v>0.7</v>
      </c>
      <c r="M1748" s="17">
        <f t="shared" si="126"/>
        <v>1.4285714285714286</v>
      </c>
      <c r="N1748" s="17">
        <f>IF(OR(L1748="",L1748=0),"",Параметры!$B$3/L1748)</f>
        <v>11.428571428571429</v>
      </c>
      <c r="O1748" s="15">
        <f>IF(L1748="","",IFERROR(INDEX('Почасовка — ставки и план'!$D$5:$D$24,MATCH($D1748,'Почасовка — ставки и план'!$A$5:$A$24,0)),""))</f>
        <v>650</v>
      </c>
      <c r="P1748" s="15">
        <f>IF(L1748="","",IFERROR(INDEX('Почасовка — ставки и план'!$E$5:$E$24,MATCH($D1748,'Почасовка — ставки и план'!$A$5:$A$24,0)),""))</f>
        <v>780</v>
      </c>
      <c r="Q1748" s="15">
        <f t="shared" si="127"/>
        <v>455</v>
      </c>
      <c r="R1748" s="13" t="str">
        <f>IF(D1748="TEX","аренда техники — сделка/счёт",IF(OR(Q1748="",H1748="",H1748=0),"—",IF(Q1748&lt;H1748*(1-Параметры!$B$7),"почасовка",IF(Q1748&gt;H1748*(1+Параметры!$B$7),"сделка","любой способ"))))</f>
        <v>сделка</v>
      </c>
      <c r="S1748">
        <v>0.1036363636363635</v>
      </c>
      <c r="T1748">
        <v>0.15189873417721511</v>
      </c>
    </row>
    <row r="1749" spans="1:20" x14ac:dyDescent="0.25">
      <c r="A1749" s="13" t="s">
        <v>3536</v>
      </c>
      <c r="B1749" s="13" t="s">
        <v>3537</v>
      </c>
      <c r="C1749" s="13" t="s">
        <v>55</v>
      </c>
      <c r="D1749" s="13" t="s">
        <v>56</v>
      </c>
      <c r="E1749" s="13" t="str">
        <f>IFERROR(INDEX('Почасовка — ставки и план'!$B$5:$B$24,MATCH(D1749,'Почасовка — ставки и план'!$A$5:$A$24,0)),"Аренда техники / механизмы")</f>
        <v>Дорожный рабочий / благоустройство</v>
      </c>
      <c r="F1749" s="14">
        <v>780</v>
      </c>
      <c r="G1749" s="14">
        <v>936</v>
      </c>
      <c r="H1749" s="15">
        <v>470</v>
      </c>
      <c r="I1749" s="15">
        <f>IF(OR(H1749="",F1749=""),"",MAX(H1749,MIN(ROUND(H1749*(1+Параметры!$B$5),IF(H1749*(1+Параметры!$B$5)&gt;=1000,-1,0)),ROUND(F1749*Параметры!$B$6,IF(F1749*Параметры!$B$6&gt;=1000,-1,0)))))</f>
        <v>541</v>
      </c>
      <c r="J1749" s="15">
        <v>540</v>
      </c>
      <c r="K1749" s="15">
        <f>IF(OR(J1749="",G1749=""),"",MAX(J1749,MIN(ROUND(J1749*(1+Параметры!$B$5),IF(J1749*(1+Параметры!$B$5)&gt;=1000,-1,0)),ROUND(G1749*Параметры!$B$6,IF(G1749*Параметры!$B$6&gt;=1000,-1,0)))))</f>
        <v>621</v>
      </c>
      <c r="L1749" s="16">
        <v>0.9</v>
      </c>
      <c r="M1749" s="17">
        <f t="shared" si="126"/>
        <v>1.1111111111111112</v>
      </c>
      <c r="N1749" s="17">
        <f>IF(OR(L1749="",L1749=0),"",Параметры!$B$3/L1749)</f>
        <v>8.8888888888888893</v>
      </c>
      <c r="O1749" s="15">
        <f>IF(L1749="","",IFERROR(INDEX('Почасовка — ставки и план'!$D$5:$D$24,MATCH($D1749,'Почасовка — ставки и план'!$A$5:$A$24,0)),""))</f>
        <v>650</v>
      </c>
      <c r="P1749" s="15">
        <f>IF(L1749="","",IFERROR(INDEX('Почасовка — ставки и план'!$E$5:$E$24,MATCH($D1749,'Почасовка — ставки и план'!$A$5:$A$24,0)),""))</f>
        <v>780</v>
      </c>
      <c r="Q1749" s="15">
        <f t="shared" si="127"/>
        <v>585</v>
      </c>
      <c r="R1749" s="13" t="str">
        <f>IF(D1749="TEX","аренда техники — сделка/счёт",IF(OR(Q1749="",H1749="",H1749=0),"—",IF(Q1749&lt;H1749*(1-Параметры!$B$7),"почасовка",IF(Q1749&gt;H1749*(1+Параметры!$B$7),"сделка","любой способ"))))</f>
        <v>сделка</v>
      </c>
      <c r="S1749">
        <v>4.0000000000000042E-2</v>
      </c>
      <c r="T1749">
        <v>8.5846867749419964E-2</v>
      </c>
    </row>
    <row r="1750" spans="1:20" x14ac:dyDescent="0.25">
      <c r="A1750" s="13" t="s">
        <v>3538</v>
      </c>
      <c r="B1750" s="13" t="s">
        <v>3539</v>
      </c>
      <c r="C1750" s="13" t="s">
        <v>72</v>
      </c>
      <c r="D1750" s="13" t="s">
        <v>162</v>
      </c>
      <c r="E1750" s="13" t="str">
        <f>IFERROR(INDEX('Почасовка — ставки и план'!$B$5:$B$24,MATCH(D1750,'Почасовка — ставки и план'!$A$5:$A$24,0)),"Аренда техники / механизмы")</f>
        <v>Бетонщик / арматурщик</v>
      </c>
      <c r="F1750" s="14">
        <v>380</v>
      </c>
      <c r="G1750" s="14">
        <v>437</v>
      </c>
      <c r="H1750" s="15">
        <v>240</v>
      </c>
      <c r="I1750" s="15">
        <f>IF(OR(H1750="",F1750=""),"",MAX(H1750,MIN(ROUND(H1750*(1+Параметры!$B$5),IF(H1750*(1+Параметры!$B$5)&gt;=1000,-1,0)),ROUND(F1750*Параметры!$B$6,IF(F1750*Параметры!$B$6&gt;=1000,-1,0)))))</f>
        <v>276</v>
      </c>
      <c r="J1750" s="15">
        <v>276</v>
      </c>
      <c r="K1750" s="15">
        <f>IF(OR(J1750="",G1750=""),"",MAX(J1750,MIN(ROUND(J1750*(1+Параметры!$B$5),IF(J1750*(1+Параметры!$B$5)&gt;=1000,-1,0)),ROUND(G1750*Параметры!$B$6,IF(G1750*Параметры!$B$6&gt;=1000,-1,0)))))</f>
        <v>317</v>
      </c>
      <c r="L1750" s="16">
        <v>0.3</v>
      </c>
      <c r="M1750" s="17">
        <f t="shared" si="126"/>
        <v>3.3333333333333335</v>
      </c>
      <c r="N1750" s="17">
        <f>IF(OR(L1750="",L1750=0),"",Параметры!$B$3/L1750)</f>
        <v>26.666666666666668</v>
      </c>
      <c r="O1750" s="15">
        <f>IF(L1750="","",IFERROR(INDEX('Почасовка — ставки и план'!$D$5:$D$24,MATCH($D1750,'Почасовка — ставки и план'!$A$5:$A$24,0)),""))</f>
        <v>800</v>
      </c>
      <c r="P1750" s="15">
        <f>IF(L1750="","",IFERROR(INDEX('Почасовка — ставки и план'!$E$5:$E$24,MATCH($D1750,'Почасовка — ставки и план'!$A$5:$A$24,0)),""))</f>
        <v>950</v>
      </c>
      <c r="Q1750" s="15">
        <f t="shared" si="127"/>
        <v>240</v>
      </c>
      <c r="R1750" s="13" t="str">
        <f>IF(D1750="TEX","аренда техники — сделка/счёт",IF(OR(Q1750="",H1750="",H1750=0),"—",IF(Q1750&lt;H1750*(1-Параметры!$B$7),"почасовка",IF(Q1750&gt;H1750*(1+Параметры!$B$7),"сделка","любой способ"))))</f>
        <v>любой способ</v>
      </c>
      <c r="S1750">
        <v>0</v>
      </c>
      <c r="T1750">
        <v>0</v>
      </c>
    </row>
    <row r="1751" spans="1:20" x14ac:dyDescent="0.25">
      <c r="A1751" s="13" t="s">
        <v>3540</v>
      </c>
      <c r="B1751" s="13" t="s">
        <v>3541</v>
      </c>
      <c r="C1751" s="13" t="s">
        <v>72</v>
      </c>
      <c r="D1751" s="13" t="s">
        <v>200</v>
      </c>
      <c r="E1751" s="13" t="str">
        <f>IFERROR(INDEX('Почасовка — ставки и план'!$B$5:$B$24,MATCH(D1751,'Почасовка — ставки и план'!$A$5:$A$24,0)),"Аренда техники / механизмы")</f>
        <v>Плиточник / укладчик полов</v>
      </c>
      <c r="F1751" s="14">
        <v>2200</v>
      </c>
      <c r="G1751" s="14">
        <v>2592</v>
      </c>
      <c r="H1751" s="15">
        <v>1400</v>
      </c>
      <c r="I1751" s="15">
        <f>IF(OR(H1751="",F1751=""),"",MAX(H1751,MIN(ROUND(H1751*(1+Параметры!$B$5),IF(H1751*(1+Параметры!$B$5)&gt;=1000,-1,0)),ROUND(F1751*Параметры!$B$6,IF(F1751*Параметры!$B$6&gt;=1000,-1,0)))))</f>
        <v>1610</v>
      </c>
      <c r="J1751" s="15">
        <v>1610</v>
      </c>
      <c r="K1751" s="15">
        <f>IF(OR(J1751="",G1751=""),"",MAX(J1751,MIN(ROUND(J1751*(1+Параметры!$B$5),IF(J1751*(1+Параметры!$B$5)&gt;=1000,-1,0)),ROUND(G1751*Параметры!$B$6,IF(G1751*Параметры!$B$6&gt;=1000,-1,0)))))</f>
        <v>1850</v>
      </c>
      <c r="L1751" s="16">
        <v>1.8</v>
      </c>
      <c r="M1751" s="17">
        <f t="shared" si="126"/>
        <v>0.55555555555555558</v>
      </c>
      <c r="N1751" s="17">
        <f>IF(OR(L1751="",L1751=0),"",Параметры!$B$3/L1751)</f>
        <v>4.4444444444444446</v>
      </c>
      <c r="O1751" s="15">
        <f>IF(L1751="","",IFERROR(INDEX('Почасовка — ставки и план'!$D$5:$D$24,MATCH($D1751,'Почасовка — ставки и план'!$A$5:$A$24,0)),""))</f>
        <v>900</v>
      </c>
      <c r="P1751" s="15">
        <f>IF(L1751="","",IFERROR(INDEX('Почасовка — ставки и план'!$E$5:$E$24,MATCH($D1751,'Почасовка — ставки и план'!$A$5:$A$24,0)),""))</f>
        <v>1080</v>
      </c>
      <c r="Q1751" s="15">
        <f t="shared" si="127"/>
        <v>1620</v>
      </c>
      <c r="R1751" s="13" t="str">
        <f>IF(D1751="TEX","аренда техники — сделка/счёт",IF(OR(Q1751="",H1751="",H1751=0),"—",IF(Q1751&lt;H1751*(1-Параметры!$B$7),"почасовка",IF(Q1751&gt;H1751*(1+Параметры!$B$7),"сделка","любой способ"))))</f>
        <v>сделка</v>
      </c>
      <c r="S1751">
        <v>0</v>
      </c>
      <c r="T1751">
        <v>2.4505928853755021E-2</v>
      </c>
    </row>
    <row r="1752" spans="1:20" x14ac:dyDescent="0.25">
      <c r="A1752" s="13" t="s">
        <v>3542</v>
      </c>
      <c r="B1752" s="13" t="s">
        <v>3543</v>
      </c>
      <c r="C1752" s="13" t="s">
        <v>72</v>
      </c>
      <c r="D1752" s="13" t="s">
        <v>200</v>
      </c>
      <c r="E1752" s="13" t="str">
        <f>IFERROR(INDEX('Почасовка — ставки и план'!$B$5:$B$24,MATCH(D1752,'Почасовка — ставки и план'!$A$5:$A$24,0)),"Аренда техники / механизмы")</f>
        <v>Плиточник / укладчик полов</v>
      </c>
      <c r="F1752" s="14">
        <v>1920</v>
      </c>
      <c r="G1752" s="14">
        <v>2304</v>
      </c>
      <c r="H1752" s="15">
        <v>1200</v>
      </c>
      <c r="I1752" s="15">
        <f>IF(OR(H1752="",F1752=""),"",MAX(H1752,MIN(ROUND(H1752*(1+Параметры!$B$5),IF(H1752*(1+Параметры!$B$5)&gt;=1000,-1,0)),ROUND(F1752*Параметры!$B$6,IF(F1752*Параметры!$B$6&gt;=1000,-1,0)))))</f>
        <v>1380</v>
      </c>
      <c r="J1752" s="15">
        <v>1380</v>
      </c>
      <c r="K1752" s="15">
        <f>IF(OR(J1752="",G1752=""),"",MAX(J1752,MIN(ROUND(J1752*(1+Параметры!$B$5),IF(J1752*(1+Параметры!$B$5)&gt;=1000,-1,0)),ROUND(G1752*Параметры!$B$6,IF(G1752*Параметры!$B$6&gt;=1000,-1,0)))))</f>
        <v>1590</v>
      </c>
      <c r="L1752" s="16">
        <v>1.6</v>
      </c>
      <c r="M1752" s="17">
        <f t="shared" si="126"/>
        <v>0.625</v>
      </c>
      <c r="N1752" s="17">
        <f>IF(OR(L1752="",L1752=0),"",Параметры!$B$3/L1752)</f>
        <v>5</v>
      </c>
      <c r="O1752" s="15">
        <f>IF(L1752="","",IFERROR(INDEX('Почасовка — ставки и план'!$D$5:$D$24,MATCH($D1752,'Почасовка — ставки и план'!$A$5:$A$24,0)),""))</f>
        <v>900</v>
      </c>
      <c r="P1752" s="15">
        <f>IF(L1752="","",IFERROR(INDEX('Почасовка — ставки и план'!$E$5:$E$24,MATCH($D1752,'Почасовка — ставки и план'!$A$5:$A$24,0)),""))</f>
        <v>1080</v>
      </c>
      <c r="Q1752" s="15">
        <f t="shared" si="127"/>
        <v>1440</v>
      </c>
      <c r="R1752" s="13" t="str">
        <f>IF(D1752="TEX","аренда техники — сделка/счёт",IF(OR(Q1752="",H1752="",H1752=0),"—",IF(Q1752&lt;H1752*(1-Параметры!$B$7),"почасовка",IF(Q1752&gt;H1752*(1+Параметры!$B$7),"сделка","любой способ"))))</f>
        <v>сделка</v>
      </c>
      <c r="S1752">
        <v>1.052631578947372E-2</v>
      </c>
      <c r="T1752">
        <v>5.4462242562929093E-2</v>
      </c>
    </row>
    <row r="1753" spans="1:20" x14ac:dyDescent="0.25">
      <c r="A1753" s="13" t="s">
        <v>3544</v>
      </c>
      <c r="B1753" s="13" t="s">
        <v>3545</v>
      </c>
      <c r="C1753" s="13" t="s">
        <v>72</v>
      </c>
      <c r="D1753" s="13" t="s">
        <v>200</v>
      </c>
      <c r="E1753" s="13" t="str">
        <f>IFERROR(INDEX('Почасовка — ставки и план'!$B$5:$B$24,MATCH(D1753,'Почасовка — ставки и план'!$A$5:$A$24,0)),"Аренда техники / механизмы")</f>
        <v>Плиточник / укладчик полов</v>
      </c>
      <c r="F1753" s="14">
        <v>1680</v>
      </c>
      <c r="G1753" s="14">
        <v>2016</v>
      </c>
      <c r="H1753" s="15">
        <v>1000</v>
      </c>
      <c r="I1753" s="15">
        <f>IF(OR(H1753="",F1753=""),"",MAX(H1753,MIN(ROUND(H1753*(1+Параметры!$B$5),IF(H1753*(1+Параметры!$B$5)&gt;=1000,-1,0)),ROUND(F1753*Параметры!$B$6,IF(F1753*Параметры!$B$6&gt;=1000,-1,0)))))</f>
        <v>1150</v>
      </c>
      <c r="J1753" s="15">
        <v>1150</v>
      </c>
      <c r="K1753" s="15">
        <f>IF(OR(J1753="",G1753=""),"",MAX(J1753,MIN(ROUND(J1753*(1+Параметры!$B$5),IF(J1753*(1+Параметры!$B$5)&gt;=1000,-1,0)),ROUND(G1753*Параметры!$B$6,IF(G1753*Параметры!$B$6&gt;=1000,-1,0)))))</f>
        <v>1320</v>
      </c>
      <c r="L1753" s="16">
        <v>1.4</v>
      </c>
      <c r="M1753" s="17">
        <f t="shared" si="126"/>
        <v>0.7142857142857143</v>
      </c>
      <c r="N1753" s="17">
        <f>IF(OR(L1753="",L1753=0),"",Параметры!$B$3/L1753)</f>
        <v>5.7142857142857144</v>
      </c>
      <c r="O1753" s="15">
        <f>IF(L1753="","",IFERROR(INDEX('Почасовка — ставки и план'!$D$5:$D$24,MATCH($D1753,'Почасовка — ставки и план'!$A$5:$A$24,0)),""))</f>
        <v>900</v>
      </c>
      <c r="P1753" s="15">
        <f>IF(L1753="","",IFERROR(INDEX('Почасовка — ставки и план'!$E$5:$E$24,MATCH($D1753,'Почасовка — ставки и план'!$A$5:$A$24,0)),""))</f>
        <v>1080</v>
      </c>
      <c r="Q1753" s="15">
        <f t="shared" si="127"/>
        <v>1260</v>
      </c>
      <c r="R1753" s="13" t="str">
        <f>IF(D1753="TEX","аренда техники — сделка/счёт",IF(OR(Q1753="",H1753="",H1753=0),"—",IF(Q1753&lt;H1753*(1-Параметры!$B$7),"почасовка",IF(Q1753&gt;H1753*(1+Параметры!$B$7),"сделка","любой способ"))))</f>
        <v>сделка</v>
      </c>
      <c r="S1753">
        <v>5.0000000000000037E-2</v>
      </c>
      <c r="T1753">
        <v>9.565217391304337E-2</v>
      </c>
    </row>
    <row r="1754" spans="1:20" x14ac:dyDescent="0.25">
      <c r="A1754" s="13" t="s">
        <v>3546</v>
      </c>
      <c r="B1754" s="13" t="s">
        <v>3547</v>
      </c>
      <c r="C1754" s="13" t="s">
        <v>72</v>
      </c>
      <c r="D1754" s="13" t="s">
        <v>200</v>
      </c>
      <c r="E1754" s="13" t="str">
        <f>IFERROR(INDEX('Почасовка — ставки и план'!$B$5:$B$24,MATCH(D1754,'Почасовка — ставки и план'!$A$5:$A$24,0)),"Аренда техники / механизмы")</f>
        <v>Плиточник / укладчик полов</v>
      </c>
      <c r="F1754" s="14">
        <v>1200</v>
      </c>
      <c r="G1754" s="14">
        <v>1440</v>
      </c>
      <c r="H1754" s="15">
        <v>700</v>
      </c>
      <c r="I1754" s="15">
        <f>IF(OR(H1754="",F1754=""),"",MAX(H1754,MIN(ROUND(H1754*(1+Параметры!$B$5),IF(H1754*(1+Параметры!$B$5)&gt;=1000,-1,0)),ROUND(F1754*Параметры!$B$6,IF(F1754*Параметры!$B$6&gt;=1000,-1,0)))))</f>
        <v>805</v>
      </c>
      <c r="J1754" s="15">
        <v>805</v>
      </c>
      <c r="K1754" s="15">
        <f>IF(OR(J1754="",G1754=""),"",MAX(J1754,MIN(ROUND(J1754*(1+Параметры!$B$5),IF(J1754*(1+Параметры!$B$5)&gt;=1000,-1,0)),ROUND(G1754*Параметры!$B$6,IF(G1754*Параметры!$B$6&gt;=1000,-1,0)))))</f>
        <v>926</v>
      </c>
      <c r="L1754" s="16">
        <v>1</v>
      </c>
      <c r="M1754" s="17">
        <f t="shared" si="126"/>
        <v>1</v>
      </c>
      <c r="N1754" s="17">
        <f>IF(OR(L1754="",L1754=0),"",Параметры!$B$3/L1754)</f>
        <v>8</v>
      </c>
      <c r="O1754" s="15">
        <f>IF(L1754="","",IFERROR(INDEX('Почасовка — ставки и план'!$D$5:$D$24,MATCH($D1754,'Почасовка — ставки и план'!$A$5:$A$24,0)),""))</f>
        <v>900</v>
      </c>
      <c r="P1754" s="15">
        <f>IF(L1754="","",IFERROR(INDEX('Почасовка — ставки и план'!$E$5:$E$24,MATCH($D1754,'Почасовка — ставки и план'!$A$5:$A$24,0)),""))</f>
        <v>1080</v>
      </c>
      <c r="Q1754" s="15">
        <f t="shared" si="127"/>
        <v>900</v>
      </c>
      <c r="R1754" s="13" t="str">
        <f>IF(D1754="TEX","аренда техники — сделка/счёт",IF(OR(Q1754="",H1754="",H1754=0),"—",IF(Q1754&lt;H1754*(1-Параметры!$B$7),"почасовка",IF(Q1754&gt;H1754*(1+Параметры!$B$7),"сделка","любой способ"))))</f>
        <v>сделка</v>
      </c>
      <c r="S1754">
        <v>9.0909090909090828E-2</v>
      </c>
      <c r="T1754">
        <v>0.13833992094861669</v>
      </c>
    </row>
    <row r="1755" spans="1:20" x14ac:dyDescent="0.25">
      <c r="A1755" s="13" t="s">
        <v>3548</v>
      </c>
      <c r="B1755" s="13" t="s">
        <v>3549</v>
      </c>
      <c r="C1755" s="13" t="s">
        <v>72</v>
      </c>
      <c r="D1755" s="13" t="s">
        <v>56</v>
      </c>
      <c r="E1755" s="13" t="str">
        <f>IFERROR(INDEX('Почасовка — ставки и план'!$B$5:$B$24,MATCH(D1755,'Почасовка — ставки и план'!$A$5:$A$24,0)),"Аренда техники / механизмы")</f>
        <v>Дорожный рабочий / благоустройство</v>
      </c>
      <c r="F1755" s="14">
        <v>220</v>
      </c>
      <c r="G1755" s="14">
        <v>253</v>
      </c>
      <c r="H1755" s="15">
        <v>140</v>
      </c>
      <c r="I1755" s="15">
        <f>IF(OR(H1755="",F1755=""),"",MAX(H1755,MIN(ROUND(H1755*(1+Параметры!$B$5),IF(H1755*(1+Параметры!$B$5)&gt;=1000,-1,0)),ROUND(F1755*Параметры!$B$6,IF(F1755*Параметры!$B$6&gt;=1000,-1,0)))))</f>
        <v>161</v>
      </c>
      <c r="J1755" s="15">
        <v>161</v>
      </c>
      <c r="K1755" s="15">
        <f>IF(OR(J1755="",G1755=""),"",MAX(J1755,MIN(ROUND(J1755*(1+Параметры!$B$5),IF(J1755*(1+Параметры!$B$5)&gt;=1000,-1,0)),ROUND(G1755*Параметры!$B$6,IF(G1755*Параметры!$B$6&gt;=1000,-1,0)))))</f>
        <v>185</v>
      </c>
      <c r="L1755" s="16">
        <v>0.2</v>
      </c>
      <c r="M1755" s="17">
        <f t="shared" si="126"/>
        <v>5</v>
      </c>
      <c r="N1755" s="17">
        <f>IF(OR(L1755="",L1755=0),"",Параметры!$B$3/L1755)</f>
        <v>40</v>
      </c>
      <c r="O1755" s="15">
        <f>IF(L1755="","",IFERROR(INDEX('Почасовка — ставки и план'!$D$5:$D$24,MATCH($D1755,'Почасовка — ставки и план'!$A$5:$A$24,0)),""))</f>
        <v>650</v>
      </c>
      <c r="P1755" s="15">
        <f>IF(L1755="","",IFERROR(INDEX('Почасовка — ставки и план'!$E$5:$E$24,MATCH($D1755,'Почасовка — ставки и план'!$A$5:$A$24,0)),""))</f>
        <v>780</v>
      </c>
      <c r="Q1755" s="15">
        <f t="shared" si="127"/>
        <v>130</v>
      </c>
      <c r="R1755" s="13" t="str">
        <f>IF(D1755="TEX","аренда техники — сделка/счёт",IF(OR(Q1755="",H1755="",H1755=0),"—",IF(Q1755&lt;H1755*(1-Параметры!$B$7),"почасовка",IF(Q1755&gt;H1755*(1+Параметры!$B$7),"сделка","любой способ"))))</f>
        <v>любой способ</v>
      </c>
      <c r="S1755">
        <v>0</v>
      </c>
      <c r="T1755">
        <v>0</v>
      </c>
    </row>
    <row r="1756" spans="1:20" x14ac:dyDescent="0.25">
      <c r="A1756" s="13" t="s">
        <v>3550</v>
      </c>
      <c r="B1756" s="13" t="s">
        <v>3551</v>
      </c>
      <c r="C1756" s="13" t="s">
        <v>72</v>
      </c>
      <c r="D1756" s="13" t="s">
        <v>56</v>
      </c>
      <c r="E1756" s="13" t="str">
        <f>IFERROR(INDEX('Почасовка — ставки и план'!$B$5:$B$24,MATCH(D1756,'Почасовка — ставки и план'!$A$5:$A$24,0)),"Аренда техники / механизмы")</f>
        <v>Дорожный рабочий / благоустройство</v>
      </c>
      <c r="F1756" s="14">
        <v>350</v>
      </c>
      <c r="G1756" s="14">
        <v>402</v>
      </c>
      <c r="H1756" s="15">
        <v>220</v>
      </c>
      <c r="I1756" s="15">
        <f>IF(OR(H1756="",F1756=""),"",MAX(H1756,MIN(ROUND(H1756*(1+Параметры!$B$5),IF(H1756*(1+Параметры!$B$5)&gt;=1000,-1,0)),ROUND(F1756*Параметры!$B$6,IF(F1756*Параметры!$B$6&gt;=1000,-1,0)))))</f>
        <v>253</v>
      </c>
      <c r="J1756" s="15">
        <v>253</v>
      </c>
      <c r="K1756" s="15">
        <f>IF(OR(J1756="",G1756=""),"",MAX(J1756,MIN(ROUND(J1756*(1+Параметры!$B$5),IF(J1756*(1+Параметры!$B$5)&gt;=1000,-1,0)),ROUND(G1756*Параметры!$B$6,IF(G1756*Параметры!$B$6&gt;=1000,-1,0)))))</f>
        <v>291</v>
      </c>
      <c r="L1756" s="16">
        <v>0.12</v>
      </c>
      <c r="M1756" s="17">
        <f t="shared" si="126"/>
        <v>8.3333333333333339</v>
      </c>
      <c r="N1756" s="17">
        <f>IF(OR(L1756="",L1756=0),"",Параметры!$B$3/L1756)</f>
        <v>66.666666666666671</v>
      </c>
      <c r="O1756" s="15">
        <f>IF(L1756="","",IFERROR(INDEX('Почасовка — ставки и план'!$D$5:$D$24,MATCH($D1756,'Почасовка — ставки и план'!$A$5:$A$24,0)),""))</f>
        <v>650</v>
      </c>
      <c r="P1756" s="15">
        <f>IF(L1756="","",IFERROR(INDEX('Почасовка — ставки и план'!$E$5:$E$24,MATCH($D1756,'Почасовка — ставки и план'!$A$5:$A$24,0)),""))</f>
        <v>780</v>
      </c>
      <c r="Q1756" s="15">
        <f t="shared" si="127"/>
        <v>78</v>
      </c>
      <c r="R1756" s="13" t="str">
        <f>IF(D1756="TEX","аренда техники — сделка/счёт",IF(OR(Q1756="",H1756="",H1756=0),"—",IF(Q1756&lt;H1756*(1-Параметры!$B$7),"почасовка",IF(Q1756&gt;H1756*(1+Параметры!$B$7),"сделка","любой способ"))))</f>
        <v>почасовка</v>
      </c>
      <c r="S1756">
        <v>0</v>
      </c>
      <c r="T1756">
        <v>0</v>
      </c>
    </row>
    <row r="1757" spans="1:20" x14ac:dyDescent="0.25">
      <c r="A1757" s="13" t="s">
        <v>3552</v>
      </c>
      <c r="B1757" s="13" t="s">
        <v>3553</v>
      </c>
      <c r="C1757" s="13" t="s">
        <v>72</v>
      </c>
      <c r="D1757" s="13" t="s">
        <v>56</v>
      </c>
      <c r="E1757" s="13" t="str">
        <f>IFERROR(INDEX('Почасовка — ставки и план'!$B$5:$B$24,MATCH(D1757,'Почасовка — ставки и план'!$A$5:$A$24,0)),"Аренда техники / механизмы")</f>
        <v>Дорожный рабочий / благоустройство</v>
      </c>
      <c r="F1757" s="14">
        <v>340</v>
      </c>
      <c r="G1757" s="14">
        <v>391</v>
      </c>
      <c r="H1757" s="15">
        <v>210</v>
      </c>
      <c r="I1757" s="15">
        <f>IF(OR(H1757="",F1757=""),"",MAX(H1757,MIN(ROUND(H1757*(1+Параметры!$B$5),IF(H1757*(1+Параметры!$B$5)&gt;=1000,-1,0)),ROUND(F1757*Параметры!$B$6,IF(F1757*Параметры!$B$6&gt;=1000,-1,0)))))</f>
        <v>242</v>
      </c>
      <c r="J1757" s="15">
        <v>241</v>
      </c>
      <c r="K1757" s="15">
        <f>IF(OR(J1757="",G1757=""),"",MAX(J1757,MIN(ROUND(J1757*(1+Параметры!$B$5),IF(J1757*(1+Параметры!$B$5)&gt;=1000,-1,0)),ROUND(G1757*Параметры!$B$6,IF(G1757*Параметры!$B$6&gt;=1000,-1,0)))))</f>
        <v>277</v>
      </c>
      <c r="L1757" s="16">
        <v>0.12</v>
      </c>
      <c r="M1757" s="17">
        <f t="shared" si="126"/>
        <v>8.3333333333333339</v>
      </c>
      <c r="N1757" s="17">
        <f>IF(OR(L1757="",L1757=0),"",Параметры!$B$3/L1757)</f>
        <v>66.666666666666671</v>
      </c>
      <c r="O1757" s="15">
        <f>IF(L1757="","",IFERROR(INDEX('Почасовка — ставки и план'!$D$5:$D$24,MATCH($D1757,'Почасовка — ставки и план'!$A$5:$A$24,0)),""))</f>
        <v>650</v>
      </c>
      <c r="P1757" s="15">
        <f>IF(L1757="","",IFERROR(INDEX('Почасовка — ставки и план'!$E$5:$E$24,MATCH($D1757,'Почасовка — ставки и план'!$A$5:$A$24,0)),""))</f>
        <v>780</v>
      </c>
      <c r="Q1757" s="15">
        <f t="shared" si="127"/>
        <v>78</v>
      </c>
      <c r="R1757" s="13" t="str">
        <f>IF(D1757="TEX","аренда техники — сделка/счёт",IF(OR(Q1757="",H1757="",H1757=0),"—",IF(Q1757&lt;H1757*(1-Параметры!$B$7),"почасовка",IF(Q1757&gt;H1757*(1+Параметры!$B$7),"сделка","любой способ"))))</f>
        <v>почасовка</v>
      </c>
      <c r="S1757">
        <v>0</v>
      </c>
      <c r="T1757">
        <v>0</v>
      </c>
    </row>
    <row r="1758" spans="1:20" x14ac:dyDescent="0.25">
      <c r="A1758" s="13" t="s">
        <v>3554</v>
      </c>
      <c r="B1758" s="13" t="s">
        <v>3555</v>
      </c>
      <c r="C1758" s="13" t="s">
        <v>72</v>
      </c>
      <c r="D1758" s="13" t="s">
        <v>56</v>
      </c>
      <c r="E1758" s="13" t="str">
        <f>IFERROR(INDEX('Почасовка — ставки и план'!$B$5:$B$24,MATCH(D1758,'Почасовка — ставки и план'!$A$5:$A$24,0)),"Аренда техники / механизмы")</f>
        <v>Дорожный рабочий / благоустройство</v>
      </c>
      <c r="F1758" s="14">
        <v>45</v>
      </c>
      <c r="G1758" s="14">
        <v>51.5</v>
      </c>
      <c r="H1758" s="15">
        <v>28</v>
      </c>
      <c r="I1758" s="15">
        <f>IF(OR(H1758="",F1758=""),"",MAX(H1758,MIN(ROUND(H1758*(1+Параметры!$B$5),IF(H1758*(1+Параметры!$B$5)&gt;=1000,-1,0)),ROUND(F1758*Параметры!$B$6,IF(F1758*Параметры!$B$6&gt;=1000,-1,0)))))</f>
        <v>32</v>
      </c>
      <c r="J1758" s="15">
        <v>32</v>
      </c>
      <c r="K1758" s="15">
        <f>IF(OR(J1758="",G1758=""),"",MAX(J1758,MIN(ROUND(J1758*(1+Параметры!$B$5),IF(J1758*(1+Параметры!$B$5)&gt;=1000,-1,0)),ROUND(G1758*Параметры!$B$6,IF(G1758*Параметры!$B$6&gt;=1000,-1,0)))))</f>
        <v>37</v>
      </c>
      <c r="L1758" s="16">
        <v>0.02</v>
      </c>
      <c r="M1758" s="17">
        <f t="shared" si="126"/>
        <v>50</v>
      </c>
      <c r="N1758" s="17">
        <f>IF(OR(L1758="",L1758=0),"",Параметры!$B$3/L1758)</f>
        <v>400</v>
      </c>
      <c r="O1758" s="15">
        <f>IF(L1758="","",IFERROR(INDEX('Почасовка — ставки и план'!$D$5:$D$24,MATCH($D1758,'Почасовка — ставки и план'!$A$5:$A$24,0)),""))</f>
        <v>650</v>
      </c>
      <c r="P1758" s="15">
        <f>IF(L1758="","",IFERROR(INDEX('Почасовка — ставки и план'!$E$5:$E$24,MATCH($D1758,'Почасовка — ставки и план'!$A$5:$A$24,0)),""))</f>
        <v>780</v>
      </c>
      <c r="Q1758" s="15">
        <f t="shared" si="127"/>
        <v>13</v>
      </c>
      <c r="R1758" s="13" t="str">
        <f>IF(D1758="TEX","аренда техники — сделка/счёт",IF(OR(Q1758="",H1758="",H1758=0),"—",IF(Q1758&lt;H1758*(1-Параметры!$B$7),"почасовка",IF(Q1758&gt;H1758*(1+Параметры!$B$7),"сделка","любой способ"))))</f>
        <v>почасовка</v>
      </c>
      <c r="S1758">
        <v>0</v>
      </c>
      <c r="T1758">
        <v>0</v>
      </c>
    </row>
    <row r="1759" spans="1:20" x14ac:dyDescent="0.25">
      <c r="A1759" s="13" t="s">
        <v>3556</v>
      </c>
      <c r="B1759" s="13" t="s">
        <v>3557</v>
      </c>
      <c r="C1759" s="13" t="s">
        <v>72</v>
      </c>
      <c r="D1759" s="13" t="s">
        <v>56</v>
      </c>
      <c r="E1759" s="13" t="str">
        <f>IFERROR(INDEX('Почасовка — ставки и план'!$B$5:$B$24,MATCH(D1759,'Почасовка — ставки и план'!$A$5:$A$24,0)),"Аренда техники / механизмы")</f>
        <v>Дорожный рабочий / благоустройство</v>
      </c>
      <c r="F1759" s="14">
        <v>867</v>
      </c>
      <c r="G1759" s="14">
        <v>1040</v>
      </c>
      <c r="H1759" s="15">
        <v>550</v>
      </c>
      <c r="I1759" s="15">
        <f>IF(OR(H1759="",F1759=""),"",MAX(H1759,MIN(ROUND(H1759*(1+Параметры!$B$5),IF(H1759*(1+Параметры!$B$5)&gt;=1000,-1,0)),ROUND(F1759*Параметры!$B$6,IF(F1759*Параметры!$B$6&gt;=1000,-1,0)))))</f>
        <v>633</v>
      </c>
      <c r="J1759" s="15">
        <v>632</v>
      </c>
      <c r="K1759" s="15">
        <f>IF(OR(J1759="",G1759=""),"",MAX(J1759,MIN(ROUND(J1759*(1+Параметры!$B$5),IF(J1759*(1+Параметры!$B$5)&gt;=1000,-1,0)),ROUND(G1759*Параметры!$B$6,IF(G1759*Параметры!$B$6&gt;=1000,-1,0)))))</f>
        <v>727</v>
      </c>
      <c r="L1759" s="16">
        <v>1</v>
      </c>
      <c r="M1759" s="17">
        <f t="shared" si="126"/>
        <v>1</v>
      </c>
      <c r="N1759" s="17">
        <f>IF(OR(L1759="",L1759=0),"",Параметры!$B$3/L1759)</f>
        <v>8</v>
      </c>
      <c r="O1759" s="15">
        <f>IF(L1759="","",IFERROR(INDEX('Почасовка — ставки и план'!$D$5:$D$24,MATCH($D1759,'Почасовка — ставки и план'!$A$5:$A$24,0)),""))</f>
        <v>650</v>
      </c>
      <c r="P1759" s="15">
        <f>IF(L1759="","",IFERROR(INDEX('Почасовка — ставки и план'!$E$5:$E$24,MATCH($D1759,'Почасовка — ставки и план'!$A$5:$A$24,0)),""))</f>
        <v>780</v>
      </c>
      <c r="Q1759" s="15">
        <f t="shared" si="127"/>
        <v>650</v>
      </c>
      <c r="R1759" s="13" t="str">
        <f>IF(D1759="TEX","аренда техники — сделка/счёт",IF(OR(Q1759="",H1759="",H1759=0),"—",IF(Q1759&lt;H1759*(1-Параметры!$B$7),"почасовка",IF(Q1759&gt;H1759*(1+Параметры!$B$7),"сделка","любой способ"))))</f>
        <v>сделка</v>
      </c>
      <c r="S1759">
        <v>2.0000000000000021E-2</v>
      </c>
      <c r="T1759">
        <v>6.4483111566018492E-2</v>
      </c>
    </row>
    <row r="1760" spans="1:20" x14ac:dyDescent="0.25">
      <c r="A1760" s="18" t="s">
        <v>3558</v>
      </c>
      <c r="B1760" s="13" t="s">
        <v>3559</v>
      </c>
      <c r="C1760" s="13" t="s">
        <v>72</v>
      </c>
      <c r="D1760" s="13" t="s">
        <v>56</v>
      </c>
      <c r="E1760" s="13" t="str">
        <f>IFERROR(INDEX('Почасовка — ставки и план'!$B$5:$B$24,MATCH(D1760,'Почасовка — ставки и план'!$A$5:$A$24,0)),"Аренда техники / механизмы")</f>
        <v>Дорожный рабочий / благоустройство</v>
      </c>
      <c r="F1760" s="14">
        <v>260</v>
      </c>
      <c r="G1760" s="14">
        <v>312</v>
      </c>
      <c r="H1760" s="15">
        <v>160</v>
      </c>
      <c r="I1760" s="15">
        <f>IF(OR(H1760="",F1760=""),"",MAX(H1760,MIN(ROUND(H1760*(1+Параметры!$B$5),IF(H1760*(1+Параметры!$B$5)&gt;=1000,-1,0)),ROUND(F1760*Параметры!$B$6,IF(F1760*Параметры!$B$6&gt;=1000,-1,0)))))</f>
        <v>184</v>
      </c>
      <c r="J1760" s="15">
        <v>184</v>
      </c>
      <c r="K1760" s="15">
        <f>IF(OR(J1760="",G1760=""),"",MAX(J1760,MIN(ROUND(J1760*(1+Параметры!$B$5),IF(J1760*(1+Параметры!$B$5)&gt;=1000,-1,0)),ROUND(G1760*Параметры!$B$6,IF(G1760*Параметры!$B$6&gt;=1000,-1,0)))))</f>
        <v>212</v>
      </c>
      <c r="L1760" s="16">
        <v>0.3</v>
      </c>
      <c r="M1760" s="17">
        <f t="shared" si="126"/>
        <v>3.3333333333333335</v>
      </c>
      <c r="N1760" s="17">
        <f>IF(OR(L1760="",L1760=0),"",Параметры!$B$3/L1760)</f>
        <v>26.666666666666668</v>
      </c>
      <c r="O1760" s="15">
        <f>IF(L1760="","",IFERROR(INDEX('Почасовка — ставки и план'!$D$5:$D$24,MATCH($D1760,'Почасовка — ставки и план'!$A$5:$A$24,0)),""))</f>
        <v>650</v>
      </c>
      <c r="P1760" s="15">
        <f>IF(L1760="","",IFERROR(INDEX('Почасовка — ставки и план'!$E$5:$E$24,MATCH($D1760,'Почасовка — ставки и план'!$A$5:$A$24,0)),""))</f>
        <v>780</v>
      </c>
      <c r="Q1760" s="15">
        <f t="shared" si="127"/>
        <v>195</v>
      </c>
      <c r="R1760" s="13" t="str">
        <f>IF(D1760="TEX","аренда техники — сделка/счёт",IF(OR(Q1760="",H1760="",H1760=0),"—",IF(Q1760&lt;H1760*(1-Параметры!$B$7),"почасовка",IF(Q1760&gt;H1760*(1+Параметры!$B$7),"сделка","любой способ"))))</f>
        <v>сделка</v>
      </c>
      <c r="S1760">
        <v>4.0000000000000042E-2</v>
      </c>
      <c r="T1760">
        <v>8.3333333333333259E-2</v>
      </c>
    </row>
    <row r="1761" spans="1:20" x14ac:dyDescent="0.25">
      <c r="A1761" s="18" t="s">
        <v>3560</v>
      </c>
      <c r="B1761" s="13" t="s">
        <v>3561</v>
      </c>
      <c r="C1761" s="13" t="s">
        <v>72</v>
      </c>
      <c r="D1761" s="13" t="s">
        <v>832</v>
      </c>
      <c r="E1761" s="13" t="str">
        <f>IFERROR(INDEX('Почасовка — ставки и план'!$B$5:$B$24,MATCH(D1761,'Почасовка — ставки и план'!$A$5:$A$24,0)),"Аренда техники / механизмы")</f>
        <v>Аренда техники / механизмы</v>
      </c>
      <c r="F1761" s="14">
        <v>150</v>
      </c>
      <c r="G1761" s="14">
        <v>172</v>
      </c>
      <c r="H1761" s="15">
        <v>100</v>
      </c>
      <c r="I1761" s="15">
        <f>IF(OR(H1761="",F1761=""),"",MAX(H1761,MIN(ROUND(H1761*(1+Параметры!$B$5),IF(H1761*(1+Параметры!$B$5)&gt;=1000,-1,0)),ROUND(F1761*Параметры!$B$6,IF(F1761*Параметры!$B$6&gt;=1000,-1,0)))))</f>
        <v>113</v>
      </c>
      <c r="J1761" s="15">
        <v>115</v>
      </c>
      <c r="K1761" s="15">
        <f>IF(OR(J1761="",G1761=""),"",MAX(J1761,MIN(ROUND(J1761*(1+Параметры!$B$5),IF(J1761*(1+Параметры!$B$5)&gt;=1000,-1,0)),ROUND(G1761*Параметры!$B$6,IF(G1761*Параметры!$B$6&gt;=1000,-1,0)))))</f>
        <v>129</v>
      </c>
      <c r="L1761" s="16"/>
      <c r="M1761" s="17" t="str">
        <f t="shared" si="126"/>
        <v/>
      </c>
      <c r="N1761" s="17" t="str">
        <f>IF(OR(L1761="",L1761=0),"",Параметры!$B$3/L1761)</f>
        <v/>
      </c>
      <c r="O1761" s="15" t="str">
        <f>IF(L1761="","",IFERROR(INDEX('Почасовка — ставки и план'!$D$5:$D$24,MATCH($D1761,'Почасовка — ставки и план'!$A$5:$A$24,0)),""))</f>
        <v/>
      </c>
      <c r="P1761" s="15" t="str">
        <f>IF(L1761="","",IFERROR(INDEX('Почасовка — ставки и план'!$E$5:$E$24,MATCH($D1761,'Почасовка — ставки и план'!$A$5:$A$24,0)),""))</f>
        <v/>
      </c>
      <c r="Q1761" s="15" t="str">
        <f t="shared" si="127"/>
        <v/>
      </c>
      <c r="R1761" s="13" t="str">
        <f>IF(D1761="TEX","аренда техники — сделка/счёт",IF(OR(Q1761="",H1761="",H1761=0),"—",IF(Q1761&lt;H1761*(1-Параметры!$B$7),"почасовка",IF(Q1761&gt;H1761*(1+Параметры!$B$7),"сделка","любой способ"))))</f>
        <v>аренда техники — сделка/счёт</v>
      </c>
      <c r="S1761">
        <v>0</v>
      </c>
      <c r="T1761">
        <v>0</v>
      </c>
    </row>
    <row r="1762" spans="1:20" x14ac:dyDescent="0.25">
      <c r="A1762" s="18" t="s">
        <v>3562</v>
      </c>
      <c r="B1762" s="13" t="s">
        <v>3563</v>
      </c>
      <c r="C1762" s="13" t="s">
        <v>69</v>
      </c>
      <c r="D1762" s="13" t="s">
        <v>56</v>
      </c>
      <c r="E1762" s="13" t="str">
        <f>IFERROR(INDEX('Почасовка — ставки и план'!$B$5:$B$24,MATCH(D1762,'Почасовка — ставки и план'!$A$5:$A$24,0)),"Аренда техники / механизмы")</f>
        <v>Дорожный рабочий / благоустройство</v>
      </c>
      <c r="F1762" s="14">
        <v>218</v>
      </c>
      <c r="G1762" s="14">
        <v>260</v>
      </c>
      <c r="H1762" s="15">
        <v>110</v>
      </c>
      <c r="I1762" s="15">
        <f>IF(OR(H1762="",F1762=""),"",MAX(H1762,MIN(ROUND(H1762*(1+Параметры!$B$5),IF(H1762*(1+Параметры!$B$5)&gt;=1000,-1,0)),ROUND(F1762*Параметры!$B$6,IF(F1762*Параметры!$B$6&gt;=1000,-1,0)))))</f>
        <v>127</v>
      </c>
      <c r="J1762" s="15">
        <v>126</v>
      </c>
      <c r="K1762" s="15">
        <f>IF(OR(J1762="",G1762=""),"",MAX(J1762,MIN(ROUND(J1762*(1+Параметры!$B$5),IF(J1762*(1+Параметры!$B$5)&gt;=1000,-1,0)),ROUND(G1762*Параметры!$B$6,IF(G1762*Параметры!$B$6&gt;=1000,-1,0)))))</f>
        <v>145</v>
      </c>
      <c r="L1762" s="16">
        <v>0.25</v>
      </c>
      <c r="M1762" s="17">
        <f t="shared" si="126"/>
        <v>4</v>
      </c>
      <c r="N1762" s="17">
        <f>IF(OR(L1762="",L1762=0),"",Параметры!$B$3/L1762)</f>
        <v>32</v>
      </c>
      <c r="O1762" s="15">
        <f>IF(L1762="","",IFERROR(INDEX('Почасовка — ставки и план'!$D$5:$D$24,MATCH($D1762,'Почасовка — ставки и план'!$A$5:$A$24,0)),""))</f>
        <v>650</v>
      </c>
      <c r="P1762" s="15">
        <f>IF(L1762="","",IFERROR(INDEX('Почасовка — ставки и план'!$E$5:$E$24,MATCH($D1762,'Почасовка — ставки и план'!$A$5:$A$24,0)),""))</f>
        <v>780</v>
      </c>
      <c r="Q1762" s="15">
        <f t="shared" si="127"/>
        <v>163</v>
      </c>
      <c r="R1762" s="13" t="str">
        <f>IF(D1762="TEX","аренда техники — сделка/счёт",IF(OR(Q1762="",H1762="",H1762=0),"—",IF(Q1762&lt;H1762*(1-Параметры!$B$7),"почасовка",IF(Q1762&gt;H1762*(1+Параметры!$B$7),"сделка","любой способ"))))</f>
        <v>сделка</v>
      </c>
      <c r="S1762">
        <v>0.211111111111111</v>
      </c>
      <c r="T1762">
        <v>0.2560386473429952</v>
      </c>
    </row>
    <row r="1763" spans="1:20" x14ac:dyDescent="0.25">
      <c r="A1763" s="18" t="s">
        <v>3564</v>
      </c>
      <c r="B1763" s="13" t="s">
        <v>3565</v>
      </c>
      <c r="C1763" s="13" t="s">
        <v>72</v>
      </c>
      <c r="D1763" s="13" t="s">
        <v>200</v>
      </c>
      <c r="E1763" s="13" t="str">
        <f>IFERROR(INDEX('Почасовка — ставки и план'!$B$5:$B$24,MATCH(D1763,'Почасовка — ставки и план'!$A$5:$A$24,0)),"Аренда техники / механизмы")</f>
        <v>Плиточник / укладчик полов</v>
      </c>
      <c r="F1763" s="14">
        <v>420</v>
      </c>
      <c r="G1763" s="14">
        <v>504</v>
      </c>
      <c r="H1763" s="15">
        <v>220</v>
      </c>
      <c r="I1763" s="15">
        <f>IF(OR(H1763="",F1763=""),"",MAX(H1763,MIN(ROUND(H1763*(1+Параметры!$B$5),IF(H1763*(1+Параметры!$B$5)&gt;=1000,-1,0)),ROUND(F1763*Параметры!$B$6,IF(F1763*Параметры!$B$6&gt;=1000,-1,0)))))</f>
        <v>253</v>
      </c>
      <c r="J1763" s="15">
        <v>253</v>
      </c>
      <c r="K1763" s="15">
        <f>IF(OR(J1763="",G1763=""),"",MAX(J1763,MIN(ROUND(J1763*(1+Параметры!$B$5),IF(J1763*(1+Параметры!$B$5)&gt;=1000,-1,0)),ROUND(G1763*Параметры!$B$6,IF(G1763*Параметры!$B$6&gt;=1000,-1,0)))))</f>
        <v>291</v>
      </c>
      <c r="L1763" s="16">
        <v>0.35</v>
      </c>
      <c r="M1763" s="17">
        <f t="shared" si="126"/>
        <v>2.8571428571428572</v>
      </c>
      <c r="N1763" s="17">
        <f>IF(OR(L1763="",L1763=0),"",Параметры!$B$3/L1763)</f>
        <v>22.857142857142858</v>
      </c>
      <c r="O1763" s="15">
        <f>IF(L1763="","",IFERROR(INDEX('Почасовка — ставки и план'!$D$5:$D$24,MATCH($D1763,'Почасовка — ставки и план'!$A$5:$A$24,0)),""))</f>
        <v>900</v>
      </c>
      <c r="P1763" s="15">
        <f>IF(L1763="","",IFERROR(INDEX('Почасовка — ставки и план'!$E$5:$E$24,MATCH($D1763,'Почасовка — ставки и план'!$A$5:$A$24,0)),""))</f>
        <v>1080</v>
      </c>
      <c r="Q1763" s="15">
        <f t="shared" si="127"/>
        <v>315</v>
      </c>
      <c r="R1763" s="13" t="str">
        <f>IF(D1763="TEX","аренда техники — сделка/счёт",IF(OR(Q1763="",H1763="",H1763=0),"—",IF(Q1763&lt;H1763*(1-Параметры!$B$7),"почасовка",IF(Q1763&gt;H1763*(1+Параметры!$B$7),"сделка","любой способ"))))</f>
        <v>сделка</v>
      </c>
      <c r="S1763">
        <v>0.2</v>
      </c>
      <c r="T1763">
        <v>0.25373134328358221</v>
      </c>
    </row>
    <row r="1764" spans="1:20" x14ac:dyDescent="0.25">
      <c r="A1764" s="18" t="s">
        <v>3566</v>
      </c>
      <c r="B1764" s="13" t="s">
        <v>3567</v>
      </c>
      <c r="C1764" s="13" t="s">
        <v>72</v>
      </c>
      <c r="D1764" s="13" t="s">
        <v>200</v>
      </c>
      <c r="E1764" s="13" t="str">
        <f>IFERROR(INDEX('Почасовка — ставки и план'!$B$5:$B$24,MATCH(D1764,'Почасовка — ставки и план'!$A$5:$A$24,0)),"Аренда техники / механизмы")</f>
        <v>Плиточник / укладчик полов</v>
      </c>
      <c r="F1764" s="14">
        <v>1680</v>
      </c>
      <c r="G1764" s="14">
        <v>2016</v>
      </c>
      <c r="H1764" s="15">
        <v>1000</v>
      </c>
      <c r="I1764" s="15">
        <f>IF(OR(H1764="",F1764=""),"",MAX(H1764,MIN(ROUND(H1764*(1+Параметры!$B$5),IF(H1764*(1+Параметры!$B$5)&gt;=1000,-1,0)),ROUND(F1764*Параметры!$B$6,IF(F1764*Параметры!$B$6&gt;=1000,-1,0)))))</f>
        <v>1150</v>
      </c>
      <c r="J1764" s="15">
        <v>1150</v>
      </c>
      <c r="K1764" s="15">
        <f>IF(OR(J1764="",G1764=""),"",MAX(J1764,MIN(ROUND(J1764*(1+Параметры!$B$5),IF(J1764*(1+Параметры!$B$5)&gt;=1000,-1,0)),ROUND(G1764*Параметры!$B$6,IF(G1764*Параметры!$B$6&gt;=1000,-1,0)))))</f>
        <v>1320</v>
      </c>
      <c r="L1764" s="16">
        <v>1.4</v>
      </c>
      <c r="M1764" s="17">
        <f t="shared" si="126"/>
        <v>0.7142857142857143</v>
      </c>
      <c r="N1764" s="17">
        <f>IF(OR(L1764="",L1764=0),"",Параметры!$B$3/L1764)</f>
        <v>5.7142857142857144</v>
      </c>
      <c r="O1764" s="15">
        <f>IF(L1764="","",IFERROR(INDEX('Почасовка — ставки и план'!$D$5:$D$24,MATCH($D1764,'Почасовка — ставки и план'!$A$5:$A$24,0)),""))</f>
        <v>900</v>
      </c>
      <c r="P1764" s="15">
        <f>IF(L1764="","",IFERROR(INDEX('Почасовка — ставки и план'!$E$5:$E$24,MATCH($D1764,'Почасовка — ставки и план'!$A$5:$A$24,0)),""))</f>
        <v>1080</v>
      </c>
      <c r="Q1764" s="15">
        <f t="shared" si="127"/>
        <v>1260</v>
      </c>
      <c r="R1764" s="13" t="str">
        <f>IF(D1764="TEX","аренда техники — сделка/счёт",IF(OR(Q1764="",H1764="",H1764=0),"—",IF(Q1764&lt;H1764*(1-Параметры!$B$7),"почасовка",IF(Q1764&gt;H1764*(1+Параметры!$B$7),"сделка","любой способ"))))</f>
        <v>сделка</v>
      </c>
      <c r="S1764">
        <v>5.0000000000000037E-2</v>
      </c>
      <c r="T1764">
        <v>9.565217391304337E-2</v>
      </c>
    </row>
    <row r="1765" spans="1:20" x14ac:dyDescent="0.25">
      <c r="A1765" s="18" t="s">
        <v>3568</v>
      </c>
      <c r="B1765" s="13" t="s">
        <v>3569</v>
      </c>
      <c r="C1765" s="13" t="s">
        <v>69</v>
      </c>
      <c r="D1765" s="13" t="s">
        <v>56</v>
      </c>
      <c r="E1765" s="13" t="str">
        <f>IFERROR(INDEX('Почасовка — ставки и план'!$B$5:$B$24,MATCH(D1765,'Почасовка — ставки и план'!$A$5:$A$24,0)),"Аренда техники / механизмы")</f>
        <v>Дорожный рабочий / благоустройство</v>
      </c>
      <c r="F1765" s="14">
        <v>90</v>
      </c>
      <c r="G1765" s="14">
        <v>103</v>
      </c>
      <c r="H1765" s="15">
        <v>55</v>
      </c>
      <c r="I1765" s="15">
        <f>IF(OR(H1765="",F1765=""),"",MAX(H1765,MIN(ROUND(H1765*(1+Параметры!$B$5),IF(H1765*(1+Параметры!$B$5)&gt;=1000,-1,0)),ROUND(F1765*Параметры!$B$6,IF(F1765*Параметры!$B$6&gt;=1000,-1,0)))))</f>
        <v>63</v>
      </c>
      <c r="J1765" s="15">
        <v>63</v>
      </c>
      <c r="K1765" s="15">
        <f>IF(OR(J1765="",G1765=""),"",MAX(J1765,MIN(ROUND(J1765*(1+Параметры!$B$5),IF(J1765*(1+Параметры!$B$5)&gt;=1000,-1,0)),ROUND(G1765*Параметры!$B$6,IF(G1765*Параметры!$B$6&gt;=1000,-1,0)))))</f>
        <v>72</v>
      </c>
      <c r="L1765" s="16">
        <v>0.05</v>
      </c>
      <c r="M1765" s="17">
        <f t="shared" si="126"/>
        <v>20</v>
      </c>
      <c r="N1765" s="17">
        <f>IF(OR(L1765="",L1765=0),"",Параметры!$B$3/L1765)</f>
        <v>160</v>
      </c>
      <c r="O1765" s="15">
        <f>IF(L1765="","",IFERROR(INDEX('Почасовка — ставки и план'!$D$5:$D$24,MATCH($D1765,'Почасовка — ставки и план'!$A$5:$A$24,0)),""))</f>
        <v>650</v>
      </c>
      <c r="P1765" s="15">
        <f>IF(L1765="","",IFERROR(INDEX('Почасовка — ставки и план'!$E$5:$E$24,MATCH($D1765,'Почасовка — ставки и план'!$A$5:$A$24,0)),""))</f>
        <v>780</v>
      </c>
      <c r="Q1765" s="15">
        <f t="shared" si="127"/>
        <v>33</v>
      </c>
      <c r="R1765" s="13" t="str">
        <f>IF(D1765="TEX","аренда техники — сделка/счёт",IF(OR(Q1765="",H1765="",H1765=0),"—",IF(Q1765&lt;H1765*(1-Параметры!$B$7),"почасовка",IF(Q1765&gt;H1765*(1+Параметры!$B$7),"сделка","любой способ"))))</f>
        <v>почасовка</v>
      </c>
      <c r="S1765">
        <v>0</v>
      </c>
      <c r="T1765">
        <v>0</v>
      </c>
    </row>
    <row r="1766" spans="1:20" x14ac:dyDescent="0.25">
      <c r="A1766" s="18" t="s">
        <v>3570</v>
      </c>
      <c r="B1766" s="13" t="s">
        <v>3571</v>
      </c>
      <c r="C1766" s="13" t="s">
        <v>144</v>
      </c>
      <c r="D1766" s="13" t="s">
        <v>56</v>
      </c>
      <c r="E1766" s="13" t="str">
        <f>IFERROR(INDEX('Почасовка — ставки и план'!$B$5:$B$24,MATCH(D1766,'Почасовка — ставки и план'!$A$5:$A$24,0)),"Аренда техники / механизмы")</f>
        <v>Дорожный рабочий / благоустройство</v>
      </c>
      <c r="F1766" s="14">
        <v>600</v>
      </c>
      <c r="G1766" s="14">
        <v>690</v>
      </c>
      <c r="H1766" s="15">
        <v>380</v>
      </c>
      <c r="I1766" s="15">
        <f>IF(OR(H1766="",F1766=""),"",MAX(H1766,MIN(ROUND(H1766*(1+Параметры!$B$5),IF(H1766*(1+Параметры!$B$5)&gt;=1000,-1,0)),ROUND(F1766*Параметры!$B$6,IF(F1766*Параметры!$B$6&gt;=1000,-1,0)))))</f>
        <v>437</v>
      </c>
      <c r="J1766" s="15">
        <v>437</v>
      </c>
      <c r="K1766" s="15">
        <f>IF(OR(J1766="",G1766=""),"",MAX(J1766,MIN(ROUND(J1766*(1+Параметры!$B$5),IF(J1766*(1+Параметры!$B$5)&gt;=1000,-1,0)),ROUND(G1766*Параметры!$B$6,IF(G1766*Параметры!$B$6&gt;=1000,-1,0)))))</f>
        <v>503</v>
      </c>
      <c r="L1766" s="16">
        <v>0.5</v>
      </c>
      <c r="M1766" s="17">
        <f t="shared" ref="M1766:M1797" si="128">IF(OR(L1766="",L1766=0),"",1/L1766)</f>
        <v>2</v>
      </c>
      <c r="N1766" s="17">
        <f>IF(OR(L1766="",L1766=0),"",Параметры!$B$3/L1766)</f>
        <v>16</v>
      </c>
      <c r="O1766" s="15">
        <f>IF(L1766="","",IFERROR(INDEX('Почасовка — ставки и план'!$D$5:$D$24,MATCH($D1766,'Почасовка — ставки и план'!$A$5:$A$24,0)),""))</f>
        <v>650</v>
      </c>
      <c r="P1766" s="15">
        <f>IF(L1766="","",IFERROR(INDEX('Почасовка — ставки и план'!$E$5:$E$24,MATCH($D1766,'Почасовка — ставки и план'!$A$5:$A$24,0)),""))</f>
        <v>780</v>
      </c>
      <c r="Q1766" s="15">
        <f t="shared" ref="Q1766:Q1775" si="129">IF(OR(L1766="",O1766=""),"",ROUND(L1766*O1766,0))</f>
        <v>325</v>
      </c>
      <c r="R1766" s="13" t="str">
        <f>IF(D1766="TEX","аренда техники — сделка/счёт",IF(OR(Q1766="",H1766="",H1766=0),"—",IF(Q1766&lt;H1766*(1-Параметры!$B$7),"почасовка",IF(Q1766&gt;H1766*(1+Параметры!$B$7),"сделка","любой способ"))))</f>
        <v>почасовка</v>
      </c>
      <c r="S1766">
        <v>0</v>
      </c>
      <c r="T1766">
        <v>0</v>
      </c>
    </row>
    <row r="1767" spans="1:20" x14ac:dyDescent="0.25">
      <c r="A1767" s="18" t="s">
        <v>3572</v>
      </c>
      <c r="B1767" s="13" t="s">
        <v>3573</v>
      </c>
      <c r="C1767" s="13" t="s">
        <v>144</v>
      </c>
      <c r="D1767" s="13" t="s">
        <v>56</v>
      </c>
      <c r="E1767" s="13" t="str">
        <f>IFERROR(INDEX('Почасовка — ставки и план'!$B$5:$B$24,MATCH(D1767,'Почасовка — ставки и план'!$A$5:$A$24,0)),"Аренда техники / механизмы")</f>
        <v>Дорожный рабочий / благоустройство</v>
      </c>
      <c r="F1767" s="14">
        <v>750</v>
      </c>
      <c r="G1767" s="14">
        <v>862</v>
      </c>
      <c r="H1767" s="15">
        <v>470</v>
      </c>
      <c r="I1767" s="15">
        <f>IF(OR(H1767="",F1767=""),"",MAX(H1767,MIN(ROUND(H1767*(1+Параметры!$B$5),IF(H1767*(1+Параметры!$B$5)&gt;=1000,-1,0)),ROUND(F1767*Параметры!$B$6,IF(F1767*Параметры!$B$6&gt;=1000,-1,0)))))</f>
        <v>541</v>
      </c>
      <c r="J1767" s="15">
        <v>540</v>
      </c>
      <c r="K1767" s="15">
        <f>IF(OR(J1767="",G1767=""),"",MAX(J1767,MIN(ROUND(J1767*(1+Параметры!$B$5),IF(J1767*(1+Параметры!$B$5)&gt;=1000,-1,0)),ROUND(G1767*Параметры!$B$6,IF(G1767*Параметры!$B$6&gt;=1000,-1,0)))))</f>
        <v>621</v>
      </c>
      <c r="L1767" s="16">
        <v>0.5</v>
      </c>
      <c r="M1767" s="17">
        <f t="shared" si="128"/>
        <v>2</v>
      </c>
      <c r="N1767" s="17">
        <f>IF(OR(L1767="",L1767=0),"",Параметры!$B$3/L1767)</f>
        <v>16</v>
      </c>
      <c r="O1767" s="15">
        <f>IF(L1767="","",IFERROR(INDEX('Почасовка — ставки и план'!$D$5:$D$24,MATCH($D1767,'Почасовка — ставки и план'!$A$5:$A$24,0)),""))</f>
        <v>650</v>
      </c>
      <c r="P1767" s="15">
        <f>IF(L1767="","",IFERROR(INDEX('Почасовка — ставки и план'!$E$5:$E$24,MATCH($D1767,'Почасовка — ставки и план'!$A$5:$A$24,0)),""))</f>
        <v>780</v>
      </c>
      <c r="Q1767" s="15">
        <f t="shared" si="129"/>
        <v>325</v>
      </c>
      <c r="R1767" s="13" t="str">
        <f>IF(D1767="TEX","аренда техники — сделка/счёт",IF(OR(Q1767="",H1767="",H1767=0),"—",IF(Q1767&lt;H1767*(1-Параметры!$B$7),"почасовка",IF(Q1767&gt;H1767*(1+Параметры!$B$7),"сделка","любой способ"))))</f>
        <v>почасовка</v>
      </c>
      <c r="S1767">
        <v>0</v>
      </c>
      <c r="T1767">
        <v>0</v>
      </c>
    </row>
    <row r="1768" spans="1:20" x14ac:dyDescent="0.25">
      <c r="A1768" s="18" t="s">
        <v>3574</v>
      </c>
      <c r="B1768" s="13" t="s">
        <v>3575</v>
      </c>
      <c r="C1768" s="13" t="s">
        <v>72</v>
      </c>
      <c r="D1768" s="13" t="s">
        <v>56</v>
      </c>
      <c r="E1768" s="13" t="str">
        <f>IFERROR(INDEX('Почасовка — ставки и план'!$B$5:$B$24,MATCH(D1768,'Почасовка — ставки и план'!$A$5:$A$24,0)),"Аренда техники / механизмы")</f>
        <v>Дорожный рабочий / благоустройство</v>
      </c>
      <c r="F1768" s="14">
        <v>600</v>
      </c>
      <c r="G1768" s="14">
        <v>690</v>
      </c>
      <c r="H1768" s="15">
        <v>380</v>
      </c>
      <c r="I1768" s="15">
        <f>IF(OR(H1768="",F1768=""),"",MAX(H1768,MIN(ROUND(H1768*(1+Параметры!$B$5),IF(H1768*(1+Параметры!$B$5)&gt;=1000,-1,0)),ROUND(F1768*Параметры!$B$6,IF(F1768*Параметры!$B$6&gt;=1000,-1,0)))))</f>
        <v>437</v>
      </c>
      <c r="J1768" s="15">
        <v>437</v>
      </c>
      <c r="K1768" s="15">
        <f>IF(OR(J1768="",G1768=""),"",MAX(J1768,MIN(ROUND(J1768*(1+Параметры!$B$5),IF(J1768*(1+Параметры!$B$5)&gt;=1000,-1,0)),ROUND(G1768*Параметры!$B$6,IF(G1768*Параметры!$B$6&gt;=1000,-1,0)))))</f>
        <v>503</v>
      </c>
      <c r="L1768" s="16">
        <v>0.4</v>
      </c>
      <c r="M1768" s="17">
        <f t="shared" si="128"/>
        <v>2.5</v>
      </c>
      <c r="N1768" s="17">
        <f>IF(OR(L1768="",L1768=0),"",Параметры!$B$3/L1768)</f>
        <v>20</v>
      </c>
      <c r="O1768" s="15">
        <f>IF(L1768="","",IFERROR(INDEX('Почасовка — ставки и план'!$D$5:$D$24,MATCH($D1768,'Почасовка — ставки и план'!$A$5:$A$24,0)),""))</f>
        <v>650</v>
      </c>
      <c r="P1768" s="15">
        <f>IF(L1768="","",IFERROR(INDEX('Почасовка — ставки и план'!$E$5:$E$24,MATCH($D1768,'Почасовка — ставки и план'!$A$5:$A$24,0)),""))</f>
        <v>780</v>
      </c>
      <c r="Q1768" s="15">
        <f t="shared" si="129"/>
        <v>260</v>
      </c>
      <c r="R1768" s="13" t="str">
        <f>IF(D1768="TEX","аренда техники — сделка/счёт",IF(OR(Q1768="",H1768="",H1768=0),"—",IF(Q1768&lt;H1768*(1-Параметры!$B$7),"почасовка",IF(Q1768&gt;H1768*(1+Параметры!$B$7),"сделка","любой способ"))))</f>
        <v>почасовка</v>
      </c>
      <c r="S1768">
        <v>0</v>
      </c>
      <c r="T1768">
        <v>0</v>
      </c>
    </row>
    <row r="1769" spans="1:20" x14ac:dyDescent="0.25">
      <c r="A1769" s="18" t="s">
        <v>3576</v>
      </c>
      <c r="B1769" s="13" t="s">
        <v>3577</v>
      </c>
      <c r="C1769" s="13" t="s">
        <v>1226</v>
      </c>
      <c r="D1769" s="13" t="s">
        <v>56</v>
      </c>
      <c r="E1769" s="13" t="str">
        <f>IFERROR(INDEX('Почасовка — ставки и план'!$B$5:$B$24,MATCH(D1769,'Почасовка — ставки и план'!$A$5:$A$24,0)),"Аренда техники / механизмы")</f>
        <v>Дорожный рабочий / благоустройство</v>
      </c>
      <c r="F1769" s="14">
        <v>350</v>
      </c>
      <c r="G1769" s="14">
        <v>402</v>
      </c>
      <c r="H1769" s="15">
        <v>220</v>
      </c>
      <c r="I1769" s="15">
        <f>IF(OR(H1769="",F1769=""),"",MAX(H1769,MIN(ROUND(H1769*(1+Параметры!$B$5),IF(H1769*(1+Параметры!$B$5)&gt;=1000,-1,0)),ROUND(F1769*Параметры!$B$6,IF(F1769*Параметры!$B$6&gt;=1000,-1,0)))))</f>
        <v>253</v>
      </c>
      <c r="J1769" s="15">
        <v>253</v>
      </c>
      <c r="K1769" s="15">
        <f>IF(OR(J1769="",G1769=""),"",MAX(J1769,MIN(ROUND(J1769*(1+Параметры!$B$5),IF(J1769*(1+Параметры!$B$5)&gt;=1000,-1,0)),ROUND(G1769*Параметры!$B$6,IF(G1769*Параметры!$B$6&gt;=1000,-1,0)))))</f>
        <v>291</v>
      </c>
      <c r="L1769" s="16">
        <v>0.15</v>
      </c>
      <c r="M1769" s="17">
        <f t="shared" si="128"/>
        <v>6.666666666666667</v>
      </c>
      <c r="N1769" s="17">
        <f>IF(OR(L1769="",L1769=0),"",Параметры!$B$3/L1769)</f>
        <v>53.333333333333336</v>
      </c>
      <c r="O1769" s="15">
        <f>IF(L1769="","",IFERROR(INDEX('Почасовка — ставки и план'!$D$5:$D$24,MATCH($D1769,'Почасовка — ставки и план'!$A$5:$A$24,0)),""))</f>
        <v>650</v>
      </c>
      <c r="P1769" s="15">
        <f>IF(L1769="","",IFERROR(INDEX('Почасовка — ставки и план'!$E$5:$E$24,MATCH($D1769,'Почасовка — ставки и план'!$A$5:$A$24,0)),""))</f>
        <v>780</v>
      </c>
      <c r="Q1769" s="15">
        <f t="shared" si="129"/>
        <v>98</v>
      </c>
      <c r="R1769" s="13" t="str">
        <f>IF(D1769="TEX","аренда техники — сделка/счёт",IF(OR(Q1769="",H1769="",H1769=0),"—",IF(Q1769&lt;H1769*(1-Параметры!$B$7),"почасовка",IF(Q1769&gt;H1769*(1+Параметры!$B$7),"сделка","любой способ"))))</f>
        <v>почасовка</v>
      </c>
      <c r="S1769">
        <v>0</v>
      </c>
      <c r="T1769">
        <v>0</v>
      </c>
    </row>
    <row r="1770" spans="1:20" x14ac:dyDescent="0.25">
      <c r="A1770" s="18" t="s">
        <v>3578</v>
      </c>
      <c r="B1770" s="13" t="s">
        <v>3579</v>
      </c>
      <c r="C1770" s="13" t="s">
        <v>69</v>
      </c>
      <c r="D1770" s="13" t="s">
        <v>56</v>
      </c>
      <c r="E1770" s="13" t="str">
        <f>IFERROR(INDEX('Почасовка — ставки и план'!$B$5:$B$24,MATCH(D1770,'Почасовка — ставки и план'!$A$5:$A$24,0)),"Аренда техники / механизмы")</f>
        <v>Дорожный рабочий / благоустройство</v>
      </c>
      <c r="F1770" s="14">
        <v>100</v>
      </c>
      <c r="G1770" s="14">
        <v>115</v>
      </c>
      <c r="H1770" s="15">
        <v>60</v>
      </c>
      <c r="I1770" s="15">
        <f>IF(OR(H1770="",F1770=""),"",MAX(H1770,MIN(ROUND(H1770*(1+Параметры!$B$5),IF(H1770*(1+Параметры!$B$5)&gt;=1000,-1,0)),ROUND(F1770*Параметры!$B$6,IF(F1770*Параметры!$B$6&gt;=1000,-1,0)))))</f>
        <v>69</v>
      </c>
      <c r="J1770" s="15">
        <v>69</v>
      </c>
      <c r="K1770" s="15">
        <f>IF(OR(J1770="",G1770=""),"",MAX(J1770,MIN(ROUND(J1770*(1+Параметры!$B$5),IF(J1770*(1+Параметры!$B$5)&gt;=1000,-1,0)),ROUND(G1770*Параметры!$B$6,IF(G1770*Параметры!$B$6&gt;=1000,-1,0)))))</f>
        <v>79</v>
      </c>
      <c r="L1770" s="16">
        <v>0.06</v>
      </c>
      <c r="M1770" s="17">
        <f t="shared" si="128"/>
        <v>16.666666666666668</v>
      </c>
      <c r="N1770" s="17">
        <f>IF(OR(L1770="",L1770=0),"",Параметры!$B$3/L1770)</f>
        <v>133.33333333333334</v>
      </c>
      <c r="O1770" s="15">
        <f>IF(L1770="","",IFERROR(INDEX('Почасовка — ставки и план'!$D$5:$D$24,MATCH($D1770,'Почасовка — ставки и план'!$A$5:$A$24,0)),""))</f>
        <v>650</v>
      </c>
      <c r="P1770" s="15">
        <f>IF(L1770="","",IFERROR(INDEX('Почасовка — ставки и план'!$E$5:$E$24,MATCH($D1770,'Почасовка — ставки и план'!$A$5:$A$24,0)),""))</f>
        <v>780</v>
      </c>
      <c r="Q1770" s="15">
        <f t="shared" si="129"/>
        <v>39</v>
      </c>
      <c r="R1770" s="13" t="str">
        <f>IF(D1770="TEX","аренда техники — сделка/счёт",IF(OR(Q1770="",H1770="",H1770=0),"—",IF(Q1770&lt;H1770*(1-Параметры!$B$7),"почасовка",IF(Q1770&gt;H1770*(1+Параметры!$B$7),"сделка","любой способ"))))</f>
        <v>почасовка</v>
      </c>
      <c r="S1770">
        <v>0</v>
      </c>
      <c r="T1770">
        <v>0</v>
      </c>
    </row>
    <row r="1771" spans="1:20" x14ac:dyDescent="0.25">
      <c r="A1771" s="18" t="s">
        <v>3580</v>
      </c>
      <c r="B1771" s="13" t="s">
        <v>3581</v>
      </c>
      <c r="C1771" s="13" t="s">
        <v>55</v>
      </c>
      <c r="D1771" s="13" t="s">
        <v>56</v>
      </c>
      <c r="E1771" s="13" t="str">
        <f>IFERROR(INDEX('Почасовка — ставки и план'!$B$5:$B$24,MATCH(D1771,'Почасовка — ставки и план'!$A$5:$A$24,0)),"Аренда техники / механизмы")</f>
        <v>Дорожный рабочий / благоустройство</v>
      </c>
      <c r="F1771" s="14">
        <v>1040</v>
      </c>
      <c r="G1771" s="14">
        <v>1248</v>
      </c>
      <c r="H1771" s="15">
        <v>560</v>
      </c>
      <c r="I1771" s="15">
        <f>IF(OR(H1771="",F1771=""),"",MAX(H1771,MIN(ROUND(H1771*(1+Параметры!$B$5),IF(H1771*(1+Параметры!$B$5)&gt;=1000,-1,0)),ROUND(F1771*Параметры!$B$6,IF(F1771*Параметры!$B$6&gt;=1000,-1,0)))))</f>
        <v>644</v>
      </c>
      <c r="J1771" s="15">
        <v>644</v>
      </c>
      <c r="K1771" s="15">
        <f>IF(OR(J1771="",G1771=""),"",MAX(J1771,MIN(ROUND(J1771*(1+Параметры!$B$5),IF(J1771*(1+Параметры!$B$5)&gt;=1000,-1,0)),ROUND(G1771*Параметры!$B$6,IF(G1771*Параметры!$B$6&gt;=1000,-1,0)))))</f>
        <v>741</v>
      </c>
      <c r="L1771" s="16">
        <v>1.2</v>
      </c>
      <c r="M1771" s="17">
        <f t="shared" si="128"/>
        <v>0.83333333333333337</v>
      </c>
      <c r="N1771" s="17">
        <f>IF(OR(L1771="",L1771=0),"",Параметры!$B$3/L1771)</f>
        <v>6.666666666666667</v>
      </c>
      <c r="O1771" s="15">
        <f>IF(L1771="","",IFERROR(INDEX('Почасовка — ставки и план'!$D$5:$D$24,MATCH($D1771,'Почасовка — ставки и план'!$A$5:$A$24,0)),""))</f>
        <v>650</v>
      </c>
      <c r="P1771" s="15">
        <f>IF(L1771="","",IFERROR(INDEX('Почасовка — ставки и план'!$E$5:$E$24,MATCH($D1771,'Почасовка — ставки и план'!$A$5:$A$24,0)),""))</f>
        <v>780</v>
      </c>
      <c r="Q1771" s="15">
        <f t="shared" si="129"/>
        <v>780</v>
      </c>
      <c r="R1771" s="13" t="str">
        <f>IF(D1771="TEX","аренда техники — сделка/счёт",IF(OR(Q1771="",H1771="",H1771=0),"—",IF(Q1771&lt;H1771*(1-Параметры!$B$7),"почасовка",IF(Q1771&gt;H1771*(1+Параметры!$B$7),"сделка","любой способ"))))</f>
        <v>сделка</v>
      </c>
      <c r="S1771">
        <v>0.15555555555555539</v>
      </c>
      <c r="T1771">
        <v>0.2057971014492754</v>
      </c>
    </row>
    <row r="1772" spans="1:20" x14ac:dyDescent="0.25">
      <c r="A1772" s="18" t="s">
        <v>3582</v>
      </c>
      <c r="B1772" s="13" t="s">
        <v>3583</v>
      </c>
      <c r="C1772" s="13" t="s">
        <v>55</v>
      </c>
      <c r="D1772" s="13" t="s">
        <v>832</v>
      </c>
      <c r="E1772" s="13" t="str">
        <f>IFERROR(INDEX('Почасовка — ставки и план'!$B$5:$B$24,MATCH(D1772,'Почасовка — ставки и план'!$A$5:$A$24,0)),"Аренда техники / механизмы")</f>
        <v>Аренда техники / механизмы</v>
      </c>
      <c r="F1772" s="14">
        <v>550</v>
      </c>
      <c r="G1772" s="14">
        <v>632</v>
      </c>
      <c r="H1772" s="15">
        <v>400</v>
      </c>
      <c r="I1772" s="15">
        <f>IF(OR(H1772="",F1772=""),"",MAX(H1772,MIN(ROUND(H1772*(1+Параметры!$B$5),IF(H1772*(1+Параметры!$B$5)&gt;=1000,-1,0)),ROUND(F1772*Параметры!$B$6,IF(F1772*Параметры!$B$6&gt;=1000,-1,0)))))</f>
        <v>413</v>
      </c>
      <c r="J1772" s="15">
        <v>460</v>
      </c>
      <c r="K1772" s="15">
        <f>IF(OR(J1772="",G1772=""),"",MAX(J1772,MIN(ROUND(J1772*(1+Параметры!$B$5),IF(J1772*(1+Параметры!$B$5)&gt;=1000,-1,0)),ROUND(G1772*Параметры!$B$6,IF(G1772*Параметры!$B$6&gt;=1000,-1,0)))))</f>
        <v>474</v>
      </c>
      <c r="L1772" s="16"/>
      <c r="M1772" s="17" t="str">
        <f t="shared" si="128"/>
        <v/>
      </c>
      <c r="N1772" s="17" t="str">
        <f>IF(OR(L1772="",L1772=0),"",Параметры!$B$3/L1772)</f>
        <v/>
      </c>
      <c r="O1772" s="15" t="str">
        <f>IF(L1772="","",IFERROR(INDEX('Почасовка — ставки и план'!$D$5:$D$24,MATCH($D1772,'Почасовка — ставки и план'!$A$5:$A$24,0)),""))</f>
        <v/>
      </c>
      <c r="P1772" s="15" t="str">
        <f>IF(L1772="","",IFERROR(INDEX('Почасовка — ставки и план'!$E$5:$E$24,MATCH($D1772,'Почасовка — ставки и план'!$A$5:$A$24,0)),""))</f>
        <v/>
      </c>
      <c r="Q1772" s="15" t="str">
        <f t="shared" si="129"/>
        <v/>
      </c>
      <c r="R1772" s="13" t="str">
        <f>IF(D1772="TEX","аренда техники — сделка/счёт",IF(OR(Q1772="",H1772="",H1772=0),"—",IF(Q1772&lt;H1772*(1-Параметры!$B$7),"почасовка",IF(Q1772&gt;H1772*(1+Параметры!$B$7),"сделка","любой способ"))))</f>
        <v>аренда техники — сделка/счёт</v>
      </c>
      <c r="S1772">
        <v>0</v>
      </c>
      <c r="T1772">
        <v>0</v>
      </c>
    </row>
    <row r="1773" spans="1:20" x14ac:dyDescent="0.25">
      <c r="A1773" s="18" t="s">
        <v>3584</v>
      </c>
      <c r="B1773" s="13" t="s">
        <v>3585</v>
      </c>
      <c r="C1773" s="13" t="s">
        <v>3586</v>
      </c>
      <c r="D1773" s="13" t="s">
        <v>832</v>
      </c>
      <c r="E1773" s="13" t="str">
        <f>IFERROR(INDEX('Почасовка — ставки и план'!$B$5:$B$24,MATCH(D1773,'Почасовка — ставки и план'!$A$5:$A$24,0)),"Аренда техники / механизмы")</f>
        <v>Аренда техники / механизмы</v>
      </c>
      <c r="F1773" s="14">
        <v>3000</v>
      </c>
      <c r="G1773" s="14">
        <v>3450</v>
      </c>
      <c r="H1773" s="15">
        <v>2300</v>
      </c>
      <c r="I1773" s="15">
        <f>IF(OR(H1773="",F1773=""),"",MAX(H1773,MIN(ROUND(H1773*(1+Параметры!$B$5),IF(H1773*(1+Параметры!$B$5)&gt;=1000,-1,0)),ROUND(F1773*Параметры!$B$6,IF(F1773*Параметры!$B$6&gt;=1000,-1,0)))))</f>
        <v>2300</v>
      </c>
      <c r="J1773" s="15">
        <v>2645</v>
      </c>
      <c r="K1773" s="15">
        <f>IF(OR(J1773="",G1773=""),"",MAX(J1773,MIN(ROUND(J1773*(1+Параметры!$B$5),IF(J1773*(1+Параметры!$B$5)&gt;=1000,-1,0)),ROUND(G1773*Параметры!$B$6,IF(G1773*Параметры!$B$6&gt;=1000,-1,0)))))</f>
        <v>2645</v>
      </c>
      <c r="L1773" s="16"/>
      <c r="M1773" s="17" t="str">
        <f t="shared" si="128"/>
        <v/>
      </c>
      <c r="N1773" s="17" t="str">
        <f>IF(OR(L1773="",L1773=0),"",Параметры!$B$3/L1773)</f>
        <v/>
      </c>
      <c r="O1773" s="15" t="str">
        <f>IF(L1773="","",IFERROR(INDEX('Почасовка — ставки и план'!$D$5:$D$24,MATCH($D1773,'Почасовка — ставки и план'!$A$5:$A$24,0)),""))</f>
        <v/>
      </c>
      <c r="P1773" s="15" t="str">
        <f>IF(L1773="","",IFERROR(INDEX('Почасовка — ставки и план'!$E$5:$E$24,MATCH($D1773,'Почасовка — ставки и план'!$A$5:$A$24,0)),""))</f>
        <v/>
      </c>
      <c r="Q1773" s="15" t="str">
        <f t="shared" si="129"/>
        <v/>
      </c>
      <c r="R1773" s="13" t="str">
        <f>IF(D1773="TEX","аренда техники — сделка/счёт",IF(OR(Q1773="",H1773="",H1773=0),"—",IF(Q1773&lt;H1773*(1-Параметры!$B$7),"почасовка",IF(Q1773&gt;H1773*(1+Параметры!$B$7),"сделка","любой способ"))))</f>
        <v>аренда техники — сделка/счёт</v>
      </c>
      <c r="S1773">
        <v>0</v>
      </c>
      <c r="T1773">
        <v>0</v>
      </c>
    </row>
    <row r="1774" spans="1:20" x14ac:dyDescent="0.25">
      <c r="A1774" s="18" t="s">
        <v>3587</v>
      </c>
      <c r="B1774" s="13" t="s">
        <v>3588</v>
      </c>
      <c r="C1774" s="13" t="s">
        <v>3586</v>
      </c>
      <c r="D1774" s="13" t="s">
        <v>832</v>
      </c>
      <c r="E1774" s="13" t="str">
        <f>IFERROR(INDEX('Почасовка — ставки и план'!$B$5:$B$24,MATCH(D1774,'Почасовка — ставки и план'!$A$5:$A$24,0)),"Аренда техники / механизмы")</f>
        <v>Аренда техники / механизмы</v>
      </c>
      <c r="F1774" s="14">
        <v>2500</v>
      </c>
      <c r="G1774" s="14">
        <v>2875</v>
      </c>
      <c r="H1774" s="15">
        <v>1900</v>
      </c>
      <c r="I1774" s="15">
        <f>IF(OR(H1774="",F1774=""),"",MAX(H1774,MIN(ROUND(H1774*(1+Параметры!$B$5),IF(H1774*(1+Параметры!$B$5)&gt;=1000,-1,0)),ROUND(F1774*Параметры!$B$6,IF(F1774*Параметры!$B$6&gt;=1000,-1,0)))))</f>
        <v>1900</v>
      </c>
      <c r="J1774" s="15">
        <v>2185</v>
      </c>
      <c r="K1774" s="15">
        <f>IF(OR(J1774="",G1774=""),"",MAX(J1774,MIN(ROUND(J1774*(1+Параметры!$B$5),IF(J1774*(1+Параметры!$B$5)&gt;=1000,-1,0)),ROUND(G1774*Параметры!$B$6,IF(G1774*Параметры!$B$6&gt;=1000,-1,0)))))</f>
        <v>2185</v>
      </c>
      <c r="L1774" s="16"/>
      <c r="M1774" s="17" t="str">
        <f t="shared" si="128"/>
        <v/>
      </c>
      <c r="N1774" s="17" t="str">
        <f>IF(OR(L1774="",L1774=0),"",Параметры!$B$3/L1774)</f>
        <v/>
      </c>
      <c r="O1774" s="15" t="str">
        <f>IF(L1774="","",IFERROR(INDEX('Почасовка — ставки и план'!$D$5:$D$24,MATCH($D1774,'Почасовка — ставки и план'!$A$5:$A$24,0)),""))</f>
        <v/>
      </c>
      <c r="P1774" s="15" t="str">
        <f>IF(L1774="","",IFERROR(INDEX('Почасовка — ставки и план'!$E$5:$E$24,MATCH($D1774,'Почасовка — ставки и план'!$A$5:$A$24,0)),""))</f>
        <v/>
      </c>
      <c r="Q1774" s="15" t="str">
        <f t="shared" si="129"/>
        <v/>
      </c>
      <c r="R1774" s="13" t="str">
        <f>IF(D1774="TEX","аренда техники — сделка/счёт",IF(OR(Q1774="",H1774="",H1774=0),"—",IF(Q1774&lt;H1774*(1-Параметры!$B$7),"почасовка",IF(Q1774&gt;H1774*(1+Параметры!$B$7),"сделка","любой способ"))))</f>
        <v>аренда техники — сделка/счёт</v>
      </c>
      <c r="S1774">
        <v>0</v>
      </c>
      <c r="T1774">
        <v>0</v>
      </c>
    </row>
    <row r="1775" spans="1:20" x14ac:dyDescent="0.25">
      <c r="A1775" s="18" t="s">
        <v>3589</v>
      </c>
      <c r="B1775" s="13" t="s">
        <v>3590</v>
      </c>
      <c r="C1775" s="13" t="s">
        <v>144</v>
      </c>
      <c r="D1775" s="13" t="s">
        <v>56</v>
      </c>
      <c r="E1775" s="13" t="str">
        <f>IFERROR(INDEX('Почасовка — ставки и план'!$B$5:$B$24,MATCH(D1775,'Почасовка — ставки и план'!$A$5:$A$24,0)),"Аренда техники / механизмы")</f>
        <v>Дорожный рабочий / благоустройство</v>
      </c>
      <c r="F1775" s="14">
        <v>900</v>
      </c>
      <c r="G1775" s="14">
        <v>1035</v>
      </c>
      <c r="H1775" s="15">
        <v>550</v>
      </c>
      <c r="I1775" s="15">
        <f>IF(OR(H1775="",F1775=""),"",MAX(H1775,MIN(ROUND(H1775*(1+Параметры!$B$5),IF(H1775*(1+Параметры!$B$5)&gt;=1000,-1,0)),ROUND(F1775*Параметры!$B$6,IF(F1775*Параметры!$B$6&gt;=1000,-1,0)))))</f>
        <v>633</v>
      </c>
      <c r="J1775" s="15">
        <v>632</v>
      </c>
      <c r="K1775" s="15">
        <f>IF(OR(J1775="",G1775=""),"",MAX(J1775,MIN(ROUND(J1775*(1+Параметры!$B$5),IF(J1775*(1+Параметры!$B$5)&gt;=1000,-1,0)),ROUND(G1775*Параметры!$B$6,IF(G1775*Параметры!$B$6&gt;=1000,-1,0)))))</f>
        <v>727</v>
      </c>
      <c r="L1775" s="16">
        <v>0.8</v>
      </c>
      <c r="M1775" s="17">
        <f t="shared" si="128"/>
        <v>1.25</v>
      </c>
      <c r="N1775" s="17">
        <f>IF(OR(L1775="",L1775=0),"",Параметры!$B$3/L1775)</f>
        <v>10</v>
      </c>
      <c r="O1775" s="15">
        <f>IF(L1775="","",IFERROR(INDEX('Почасовка — ставки и план'!$D$5:$D$24,MATCH($D1775,'Почасовка — ставки и план'!$A$5:$A$24,0)),""))</f>
        <v>650</v>
      </c>
      <c r="P1775" s="15">
        <f>IF(L1775="","",IFERROR(INDEX('Почасовка — ставки и план'!$E$5:$E$24,MATCH($D1775,'Почасовка — ставки и план'!$A$5:$A$24,0)),""))</f>
        <v>780</v>
      </c>
      <c r="Q1775" s="15">
        <f t="shared" si="129"/>
        <v>520</v>
      </c>
      <c r="R1775" s="13" t="str">
        <f>IF(D1775="TEX","аренда техники — сделка/счёт",IF(OR(Q1775="",H1775="",H1775=0),"—",IF(Q1775&lt;H1775*(1-Параметры!$B$7),"почасовка",IF(Q1775&gt;H1775*(1+Параметры!$B$7),"сделка","любой способ"))))</f>
        <v>любой способ</v>
      </c>
      <c r="S1775">
        <v>0</v>
      </c>
      <c r="T1775">
        <v>0</v>
      </c>
    </row>
    <row r="1776" spans="1:20" x14ac:dyDescent="0.25">
      <c r="A1776" s="11" t="s">
        <v>3591</v>
      </c>
      <c r="B1776" s="12"/>
      <c r="C1776" s="12"/>
      <c r="D1776" s="12"/>
      <c r="E1776" s="12"/>
      <c r="F1776" s="12"/>
      <c r="G1776" s="12"/>
      <c r="H1776" s="12"/>
      <c r="I1776" s="12"/>
      <c r="J1776" s="12"/>
      <c r="K1776" s="12"/>
      <c r="L1776" s="12"/>
      <c r="M1776" s="12"/>
      <c r="N1776" s="12"/>
      <c r="O1776" s="12"/>
      <c r="P1776" s="12"/>
      <c r="Q1776" s="12"/>
      <c r="R1776" s="12"/>
    </row>
    <row r="1777" spans="1:20" x14ac:dyDescent="0.25">
      <c r="A1777" s="13" t="s">
        <v>3592</v>
      </c>
      <c r="B1777" s="13" t="s">
        <v>3593</v>
      </c>
      <c r="C1777" s="13" t="s">
        <v>152</v>
      </c>
      <c r="D1777" s="13" t="s">
        <v>64</v>
      </c>
      <c r="E1777" s="13" t="str">
        <f>IFERROR(INDEX('Почасовка — ставки и план'!$B$5:$B$24,MATCH(D1777,'Почасовка — ставки и план'!$A$5:$A$24,0)),"Аренда техники / механизмы")</f>
        <v>Сварщик / монтажник МК</v>
      </c>
      <c r="F1777" s="14">
        <v>90000</v>
      </c>
      <c r="G1777" s="14">
        <v>108000</v>
      </c>
      <c r="H1777" s="15">
        <v>58000</v>
      </c>
      <c r="I1777" s="15">
        <f>IF(OR(H1777="",F1777=""),"",MAX(H1777,MIN(ROUND(H1777*(1+Параметры!$B$5),IF(H1777*(1+Параметры!$B$5)&gt;=1000,-1,0)),ROUND(F1777*Параметры!$B$6,IF(F1777*Параметры!$B$6&gt;=1000,-1,0)))))</f>
        <v>66700</v>
      </c>
      <c r="J1777" s="15">
        <v>66700</v>
      </c>
      <c r="K1777" s="15">
        <f>IF(OR(J1777="",G1777=""),"",MAX(J1777,MIN(ROUND(J1777*(1+Параметры!$B$5),IF(J1777*(1+Параметры!$B$5)&gt;=1000,-1,0)),ROUND(G1777*Параметры!$B$6,IF(G1777*Параметры!$B$6&gt;=1000,-1,0)))))</f>
        <v>76710</v>
      </c>
      <c r="L1777" s="16">
        <v>75</v>
      </c>
      <c r="M1777" s="17">
        <f t="shared" ref="M1777:M1793" si="130">IF(OR(L1777="",L1777=0),"",1/L1777)</f>
        <v>1.3333333333333334E-2</v>
      </c>
      <c r="N1777" s="17">
        <f>IF(OR(L1777="",L1777=0),"",Параметры!$B$3/L1777)</f>
        <v>0.10666666666666667</v>
      </c>
      <c r="O1777" s="15">
        <f>IF(L1777="","",IFERROR(INDEX('Почасовка — ставки и план'!$D$5:$D$24,MATCH($D1777,'Почасовка — ставки и план'!$A$5:$A$24,0)),""))</f>
        <v>900</v>
      </c>
      <c r="P1777" s="15">
        <f>IF(L1777="","",IFERROR(INDEX('Почасовка — ставки и план'!$E$5:$E$24,MATCH($D1777,'Почасовка — ставки и план'!$A$5:$A$24,0)),""))</f>
        <v>1080</v>
      </c>
      <c r="Q1777" s="15">
        <f t="shared" ref="Q1777:Q1793" si="131">IF(OR(L1777="",O1777=""),"",ROUND(L1777*O1777,0))</f>
        <v>67500</v>
      </c>
      <c r="R1777" s="13" t="str">
        <f>IF(D1777="TEX","аренда техники — сделка/счёт",IF(OR(Q1777="",H1777="",H1777=0),"—",IF(Q1777&lt;H1777*(1-Параметры!$B$7),"почасовка",IF(Q1777&gt;H1777*(1+Параметры!$B$7),"сделка","любой способ"))))</f>
        <v>сделка</v>
      </c>
      <c r="S1777">
        <v>0</v>
      </c>
      <c r="T1777">
        <v>4.3478260869565188E-2</v>
      </c>
    </row>
    <row r="1778" spans="1:20" x14ac:dyDescent="0.25">
      <c r="A1778" s="13" t="s">
        <v>3594</v>
      </c>
      <c r="B1778" s="13" t="s">
        <v>3595</v>
      </c>
      <c r="C1778" s="13" t="s">
        <v>144</v>
      </c>
      <c r="D1778" s="13" t="s">
        <v>56</v>
      </c>
      <c r="E1778" s="13" t="str">
        <f>IFERROR(INDEX('Почасовка — ставки и план'!$B$5:$B$24,MATCH(D1778,'Почасовка — ставки и план'!$A$5:$A$24,0)),"Аренда техники / механизмы")</f>
        <v>Дорожный рабочий / благоустройство</v>
      </c>
      <c r="F1778" s="14">
        <v>120</v>
      </c>
      <c r="G1778" s="14">
        <v>138</v>
      </c>
      <c r="H1778" s="15">
        <v>75</v>
      </c>
      <c r="I1778" s="15">
        <f>IF(OR(H1778="",F1778=""),"",MAX(H1778,MIN(ROUND(H1778*(1+Параметры!$B$5),IF(H1778*(1+Параметры!$B$5)&gt;=1000,-1,0)),ROUND(F1778*Параметры!$B$6,IF(F1778*Параметры!$B$6&gt;=1000,-1,0)))))</f>
        <v>86</v>
      </c>
      <c r="J1778" s="15">
        <v>86</v>
      </c>
      <c r="K1778" s="15">
        <f>IF(OR(J1778="",G1778=""),"",MAX(J1778,MIN(ROUND(J1778*(1+Параметры!$B$5),IF(J1778*(1+Параметры!$B$5)&gt;=1000,-1,0)),ROUND(G1778*Параметры!$B$6,IF(G1778*Параметры!$B$6&gt;=1000,-1,0)))))</f>
        <v>99</v>
      </c>
      <c r="L1778" s="16">
        <v>0.1</v>
      </c>
      <c r="M1778" s="17">
        <f t="shared" si="130"/>
        <v>10</v>
      </c>
      <c r="N1778" s="17">
        <f>IF(OR(L1778="",L1778=0),"",Параметры!$B$3/L1778)</f>
        <v>80</v>
      </c>
      <c r="O1778" s="15">
        <f>IF(L1778="","",IFERROR(INDEX('Почасовка — ставки и план'!$D$5:$D$24,MATCH($D1778,'Почасовка — ставки и план'!$A$5:$A$24,0)),""))</f>
        <v>650</v>
      </c>
      <c r="P1778" s="15">
        <f>IF(L1778="","",IFERROR(INDEX('Почасовка — ставки и план'!$E$5:$E$24,MATCH($D1778,'Почасовка — ставки и план'!$A$5:$A$24,0)),""))</f>
        <v>780</v>
      </c>
      <c r="Q1778" s="15">
        <f t="shared" si="131"/>
        <v>65</v>
      </c>
      <c r="R1778" s="13" t="str">
        <f>IF(D1778="TEX","аренда техники — сделка/счёт",IF(OR(Q1778="",H1778="",H1778=0),"—",IF(Q1778&lt;H1778*(1-Параметры!$B$7),"почасовка",IF(Q1778&gt;H1778*(1+Параметры!$B$7),"сделка","любой способ"))))</f>
        <v>почасовка</v>
      </c>
      <c r="S1778">
        <v>0</v>
      </c>
      <c r="T1778">
        <v>0</v>
      </c>
    </row>
    <row r="1779" spans="1:20" x14ac:dyDescent="0.25">
      <c r="A1779" s="13" t="s">
        <v>3596</v>
      </c>
      <c r="B1779" s="13" t="s">
        <v>3597</v>
      </c>
      <c r="C1779" s="13" t="s">
        <v>72</v>
      </c>
      <c r="D1779" s="13" t="s">
        <v>208</v>
      </c>
      <c r="E1779" s="13" t="str">
        <f>IFERROR(INDEX('Почасовка — ставки и план'!$B$5:$B$24,MATCH(D1779,'Почасовка — ставки и план'!$A$5:$A$24,0)),"Аренда техники / механизмы")</f>
        <v>Отделочник (штукатур, маляр, ГКЛ)</v>
      </c>
      <c r="F1779" s="14">
        <v>51</v>
      </c>
      <c r="G1779" s="14">
        <v>60</v>
      </c>
      <c r="H1779" s="15">
        <v>30</v>
      </c>
      <c r="I1779" s="15">
        <f>IF(OR(H1779="",F1779=""),"",MAX(H1779,MIN(ROUND(H1779*(1+Параметры!$B$5),IF(H1779*(1+Параметры!$B$5)&gt;=1000,-1,0)),ROUND(F1779*Параметры!$B$6,IF(F1779*Параметры!$B$6&gt;=1000,-1,0)))))</f>
        <v>35</v>
      </c>
      <c r="J1779" s="15">
        <v>34.5</v>
      </c>
      <c r="K1779" s="15">
        <f>IF(OR(J1779="",G1779=""),"",MAX(J1779,MIN(ROUND(J1779*(1+Параметры!$B$5),IF(J1779*(1+Параметры!$B$5)&gt;=1000,-1,0)),ROUND(G1779*Параметры!$B$6,IF(G1779*Параметры!$B$6&gt;=1000,-1,0)))))</f>
        <v>40</v>
      </c>
      <c r="L1779" s="16">
        <v>0.05</v>
      </c>
      <c r="M1779" s="17">
        <f t="shared" si="130"/>
        <v>20</v>
      </c>
      <c r="N1779" s="17">
        <f>IF(OR(L1779="",L1779=0),"",Параметры!$B$3/L1779)</f>
        <v>160</v>
      </c>
      <c r="O1779" s="15">
        <f>IF(L1779="","",IFERROR(INDEX('Почасовка — ставки и план'!$D$5:$D$24,MATCH($D1779,'Почасовка — ставки и план'!$A$5:$A$24,0)),""))</f>
        <v>750</v>
      </c>
      <c r="P1779" s="15">
        <f>IF(L1779="","",IFERROR(INDEX('Почасовка — ставки и план'!$E$5:$E$24,MATCH($D1779,'Почасовка — ставки и план'!$A$5:$A$24,0)),""))</f>
        <v>900</v>
      </c>
      <c r="Q1779" s="15">
        <f t="shared" si="131"/>
        <v>38</v>
      </c>
      <c r="R1779" s="13" t="str">
        <f>IF(D1779="TEX","аренда техники — сделка/счёт",IF(OR(Q1779="",H1779="",H1779=0),"—",IF(Q1779&lt;H1779*(1-Параметры!$B$7),"почасовка",IF(Q1779&gt;H1779*(1+Параметры!$B$7),"сделка","любой способ"))))</f>
        <v>сделка</v>
      </c>
      <c r="S1779">
        <v>2.0000000000000021E-2</v>
      </c>
      <c r="T1779">
        <v>4.3478260869565188E-2</v>
      </c>
    </row>
    <row r="1780" spans="1:20" x14ac:dyDescent="0.25">
      <c r="A1780" s="13" t="s">
        <v>3598</v>
      </c>
      <c r="B1780" s="13" t="s">
        <v>3599</v>
      </c>
      <c r="C1780" s="13" t="s">
        <v>72</v>
      </c>
      <c r="D1780" s="13" t="s">
        <v>64</v>
      </c>
      <c r="E1780" s="13" t="str">
        <f>IFERROR(INDEX('Почасовка — ставки и план'!$B$5:$B$24,MATCH(D1780,'Почасовка — ставки и план'!$A$5:$A$24,0)),"Аренда техники / механизмы")</f>
        <v>Сварщик / монтажник МК</v>
      </c>
      <c r="F1780" s="14">
        <v>600</v>
      </c>
      <c r="G1780" s="14">
        <v>720</v>
      </c>
      <c r="H1780" s="15">
        <v>350</v>
      </c>
      <c r="I1780" s="15">
        <f>IF(OR(H1780="",F1780=""),"",MAX(H1780,MIN(ROUND(H1780*(1+Параметры!$B$5),IF(H1780*(1+Параметры!$B$5)&gt;=1000,-1,0)),ROUND(F1780*Параметры!$B$6,IF(F1780*Параметры!$B$6&gt;=1000,-1,0)))))</f>
        <v>403</v>
      </c>
      <c r="J1780" s="15">
        <v>402</v>
      </c>
      <c r="K1780" s="15">
        <f>IF(OR(J1780="",G1780=""),"",MAX(J1780,MIN(ROUND(J1780*(1+Параметры!$B$5),IF(J1780*(1+Параметры!$B$5)&gt;=1000,-1,0)),ROUND(G1780*Параметры!$B$6,IF(G1780*Параметры!$B$6&gt;=1000,-1,0)))))</f>
        <v>462</v>
      </c>
      <c r="L1780" s="16">
        <v>0.5</v>
      </c>
      <c r="M1780" s="17">
        <f t="shared" si="130"/>
        <v>2</v>
      </c>
      <c r="N1780" s="17">
        <f>IF(OR(L1780="",L1780=0),"",Параметры!$B$3/L1780)</f>
        <v>16</v>
      </c>
      <c r="O1780" s="15">
        <f>IF(L1780="","",IFERROR(INDEX('Почасовка — ставки и план'!$D$5:$D$24,MATCH($D1780,'Почасовка — ставки и план'!$A$5:$A$24,0)),""))</f>
        <v>900</v>
      </c>
      <c r="P1780" s="15">
        <f>IF(L1780="","",IFERROR(INDEX('Почасовка — ставки и план'!$E$5:$E$24,MATCH($D1780,'Почасовка — ставки и план'!$A$5:$A$24,0)),""))</f>
        <v>1080</v>
      </c>
      <c r="Q1780" s="15">
        <f t="shared" si="131"/>
        <v>450</v>
      </c>
      <c r="R1780" s="13" t="str">
        <f>IF(D1780="TEX","аренда техники — сделка/счёт",IF(OR(Q1780="",H1780="",H1780=0),"—",IF(Q1780&lt;H1780*(1-Параметры!$B$7),"почасовка",IF(Q1780&gt;H1780*(1+Параметры!$B$7),"сделка","любой способ"))))</f>
        <v>сделка</v>
      </c>
      <c r="S1780">
        <v>9.0909090909090828E-2</v>
      </c>
      <c r="T1780">
        <v>0.139240506329114</v>
      </c>
    </row>
    <row r="1781" spans="1:20" x14ac:dyDescent="0.25">
      <c r="A1781" s="13" t="s">
        <v>3600</v>
      </c>
      <c r="B1781" s="13" t="s">
        <v>1143</v>
      </c>
      <c r="C1781" s="13" t="s">
        <v>72</v>
      </c>
      <c r="D1781" s="13" t="s">
        <v>88</v>
      </c>
      <c r="E1781" s="13" t="str">
        <f>IFERROR(INDEX('Почасовка — ставки и план'!$B$5:$B$24,MATCH(D1781,'Почасовка — ставки и план'!$A$5:$A$24,0)),"Аренда техники / механизмы")</f>
        <v>Кровельщик</v>
      </c>
      <c r="F1781" s="14">
        <v>350</v>
      </c>
      <c r="G1781" s="14">
        <v>402</v>
      </c>
      <c r="H1781" s="15">
        <v>220</v>
      </c>
      <c r="I1781" s="15">
        <f>IF(OR(H1781="",F1781=""),"",MAX(H1781,MIN(ROUND(H1781*(1+Параметры!$B$5),IF(H1781*(1+Параметры!$B$5)&gt;=1000,-1,0)),ROUND(F1781*Параметры!$B$6,IF(F1781*Параметры!$B$6&gt;=1000,-1,0)))))</f>
        <v>253</v>
      </c>
      <c r="J1781" s="15">
        <v>253</v>
      </c>
      <c r="K1781" s="15">
        <f>IF(OR(J1781="",G1781=""),"",MAX(J1781,MIN(ROUND(J1781*(1+Параметры!$B$5),IF(J1781*(1+Параметры!$B$5)&gt;=1000,-1,0)),ROUND(G1781*Параметры!$B$6,IF(G1781*Параметры!$B$6&gt;=1000,-1,0)))))</f>
        <v>291</v>
      </c>
      <c r="L1781" s="16">
        <v>0.3</v>
      </c>
      <c r="M1781" s="17">
        <f t="shared" si="130"/>
        <v>3.3333333333333335</v>
      </c>
      <c r="N1781" s="17">
        <f>IF(OR(L1781="",L1781=0),"",Параметры!$B$3/L1781)</f>
        <v>26.666666666666668</v>
      </c>
      <c r="O1781" s="15">
        <f>IF(L1781="","",IFERROR(INDEX('Почасовка — ставки и план'!$D$5:$D$24,MATCH($D1781,'Почасовка — ставки и план'!$A$5:$A$24,0)),""))</f>
        <v>800</v>
      </c>
      <c r="P1781" s="15">
        <f>IF(L1781="","",IFERROR(INDEX('Почасовка — ставки и план'!$E$5:$E$24,MATCH($D1781,'Почасовка — ставки и план'!$A$5:$A$24,0)),""))</f>
        <v>950</v>
      </c>
      <c r="Q1781" s="15">
        <f t="shared" si="131"/>
        <v>240</v>
      </c>
      <c r="R1781" s="13" t="str">
        <f>IF(D1781="TEX","аренда техники — сделка/счёт",IF(OR(Q1781="",H1781="",H1781=0),"—",IF(Q1781&lt;H1781*(1-Параметры!$B$7),"почасовка",IF(Q1781&gt;H1781*(1+Параметры!$B$7),"сделка","любой способ"))))</f>
        <v>любой способ</v>
      </c>
      <c r="S1781">
        <v>0</v>
      </c>
      <c r="T1781">
        <v>0</v>
      </c>
    </row>
    <row r="1782" spans="1:20" x14ac:dyDescent="0.25">
      <c r="A1782" s="13" t="s">
        <v>3601</v>
      </c>
      <c r="B1782" s="13" t="s">
        <v>3602</v>
      </c>
      <c r="C1782" s="13" t="s">
        <v>72</v>
      </c>
      <c r="D1782" s="13" t="s">
        <v>208</v>
      </c>
      <c r="E1782" s="13" t="str">
        <f>IFERROR(INDEX('Почасовка — ставки и план'!$B$5:$B$24,MATCH(D1782,'Почасовка — ставки и план'!$A$5:$A$24,0)),"Аренда техники / механизмы")</f>
        <v>Отделочник (штукатур, маляр, ГКЛ)</v>
      </c>
      <c r="F1782" s="14">
        <v>80</v>
      </c>
      <c r="G1782" s="14">
        <v>96</v>
      </c>
      <c r="H1782" s="15">
        <v>50</v>
      </c>
      <c r="I1782" s="15">
        <f>IF(OR(H1782="",F1782=""),"",MAX(H1782,MIN(ROUND(H1782*(1+Параметры!$B$5),IF(H1782*(1+Параметры!$B$5)&gt;=1000,-1,0)),ROUND(F1782*Параметры!$B$6,IF(F1782*Параметры!$B$6&gt;=1000,-1,0)))))</f>
        <v>58</v>
      </c>
      <c r="J1782" s="15">
        <v>57.5</v>
      </c>
      <c r="K1782" s="15">
        <f>IF(OR(J1782="",G1782=""),"",MAX(J1782,MIN(ROUND(J1782*(1+Параметры!$B$5),IF(J1782*(1+Параметры!$B$5)&gt;=1000,-1,0)),ROUND(G1782*Параметры!$B$6,IF(G1782*Параметры!$B$6&gt;=1000,-1,0)))))</f>
        <v>66</v>
      </c>
      <c r="L1782" s="16">
        <v>0.08</v>
      </c>
      <c r="M1782" s="17">
        <f t="shared" si="130"/>
        <v>12.5</v>
      </c>
      <c r="N1782" s="17">
        <f>IF(OR(L1782="",L1782=0),"",Параметры!$B$3/L1782)</f>
        <v>100</v>
      </c>
      <c r="O1782" s="15">
        <f>IF(L1782="","",IFERROR(INDEX('Почасовка — ставки и план'!$D$5:$D$24,MATCH($D1782,'Почасовка — ставки и план'!$A$5:$A$24,0)),""))</f>
        <v>750</v>
      </c>
      <c r="P1782" s="15">
        <f>IF(L1782="","",IFERROR(INDEX('Почасовка — ставки и план'!$E$5:$E$24,MATCH($D1782,'Почасовка — ставки и план'!$A$5:$A$24,0)),""))</f>
        <v>900</v>
      </c>
      <c r="Q1782" s="15">
        <f t="shared" si="131"/>
        <v>60</v>
      </c>
      <c r="R1782" s="13" t="str">
        <f>IF(D1782="TEX","аренда техники — сделка/счёт",IF(OR(Q1782="",H1782="",H1782=0),"—",IF(Q1782&lt;H1782*(1-Параметры!$B$7),"почасовка",IF(Q1782&gt;H1782*(1+Параметры!$B$7),"сделка","любой способ"))))</f>
        <v>сделка</v>
      </c>
      <c r="S1782">
        <v>0</v>
      </c>
      <c r="T1782">
        <v>4.3478260869565188E-2</v>
      </c>
    </row>
    <row r="1783" spans="1:20" x14ac:dyDescent="0.25">
      <c r="A1783" s="13" t="s">
        <v>3603</v>
      </c>
      <c r="B1783" s="13" t="s">
        <v>3604</v>
      </c>
      <c r="C1783" s="13" t="s">
        <v>72</v>
      </c>
      <c r="D1783" s="13" t="s">
        <v>208</v>
      </c>
      <c r="E1783" s="13" t="str">
        <f>IFERROR(INDEX('Почасовка — ставки и план'!$B$5:$B$24,MATCH(D1783,'Почасовка — ставки и план'!$A$5:$A$24,0)),"Аренда техники / механизмы")</f>
        <v>Отделочник (штукатур, маляр, ГКЛ)</v>
      </c>
      <c r="F1783" s="14">
        <v>151</v>
      </c>
      <c r="G1783" s="14">
        <v>180</v>
      </c>
      <c r="H1783" s="15">
        <v>95</v>
      </c>
      <c r="I1783" s="15">
        <f>IF(OR(H1783="",F1783=""),"",MAX(H1783,MIN(ROUND(H1783*(1+Параметры!$B$5),IF(H1783*(1+Параметры!$B$5)&gt;=1000,-1,0)),ROUND(F1783*Параметры!$B$6,IF(F1783*Параметры!$B$6&gt;=1000,-1,0)))))</f>
        <v>109</v>
      </c>
      <c r="J1783" s="15">
        <v>109</v>
      </c>
      <c r="K1783" s="15">
        <f>IF(OR(J1783="",G1783=""),"",MAX(J1783,MIN(ROUND(J1783*(1+Параметры!$B$5),IF(J1783*(1+Параметры!$B$5)&gt;=1000,-1,0)),ROUND(G1783*Параметры!$B$6,IF(G1783*Параметры!$B$6&gt;=1000,-1,0)))))</f>
        <v>125</v>
      </c>
      <c r="L1783" s="16">
        <v>0.15</v>
      </c>
      <c r="M1783" s="17">
        <f t="shared" si="130"/>
        <v>6.666666666666667</v>
      </c>
      <c r="N1783" s="17">
        <f>IF(OR(L1783="",L1783=0),"",Параметры!$B$3/L1783)</f>
        <v>53.333333333333336</v>
      </c>
      <c r="O1783" s="15">
        <f>IF(L1783="","",IFERROR(INDEX('Почасовка — ставки и план'!$D$5:$D$24,MATCH($D1783,'Почасовка — ставки и план'!$A$5:$A$24,0)),""))</f>
        <v>750</v>
      </c>
      <c r="P1783" s="15">
        <f>IF(L1783="","",IFERROR(INDEX('Почасовка — ставки и план'!$E$5:$E$24,MATCH($D1783,'Почасовка — ставки и план'!$A$5:$A$24,0)),""))</f>
        <v>900</v>
      </c>
      <c r="Q1783" s="15">
        <f t="shared" si="131"/>
        <v>113</v>
      </c>
      <c r="R1783" s="13" t="str">
        <f>IF(D1783="TEX","аренда техники — сделка/счёт",IF(OR(Q1783="",H1783="",H1783=0),"—",IF(Q1783&lt;H1783*(1-Параметры!$B$7),"почасовка",IF(Q1783&gt;H1783*(1+Параметры!$B$7),"сделка","любой способ"))))</f>
        <v>сделка</v>
      </c>
      <c r="S1783">
        <v>6.6666666666665986E-3</v>
      </c>
      <c r="T1783">
        <v>4.6511627906976827E-2</v>
      </c>
    </row>
    <row r="1784" spans="1:20" x14ac:dyDescent="0.25">
      <c r="A1784" s="13" t="s">
        <v>3605</v>
      </c>
      <c r="B1784" s="13" t="s">
        <v>1092</v>
      </c>
      <c r="C1784" s="13" t="s">
        <v>72</v>
      </c>
      <c r="D1784" s="13" t="s">
        <v>208</v>
      </c>
      <c r="E1784" s="13" t="str">
        <f>IFERROR(INDEX('Почасовка — ставки и план'!$B$5:$B$24,MATCH(D1784,'Почасовка — ставки и план'!$A$5:$A$24,0)),"Аренда техники / механизмы")</f>
        <v>Отделочник (штукатур, маляр, ГКЛ)</v>
      </c>
      <c r="F1784" s="14">
        <v>200</v>
      </c>
      <c r="G1784" s="14">
        <v>240</v>
      </c>
      <c r="H1784" s="15">
        <v>95</v>
      </c>
      <c r="I1784" s="15">
        <f>IF(OR(H1784="",F1784=""),"",MAX(H1784,MIN(ROUND(H1784*(1+Параметры!$B$5),IF(H1784*(1+Параметры!$B$5)&gt;=1000,-1,0)),ROUND(F1784*Параметры!$B$6,IF(F1784*Параметры!$B$6&gt;=1000,-1,0)))))</f>
        <v>109</v>
      </c>
      <c r="J1784" s="15">
        <v>109</v>
      </c>
      <c r="K1784" s="15">
        <f>IF(OR(J1784="",G1784=""),"",MAX(J1784,MIN(ROUND(J1784*(1+Параметры!$B$5),IF(J1784*(1+Параметры!$B$5)&gt;=1000,-1,0)),ROUND(G1784*Параметры!$B$6,IF(G1784*Параметры!$B$6&gt;=1000,-1,0)))))</f>
        <v>125</v>
      </c>
      <c r="L1784" s="16">
        <v>0.2</v>
      </c>
      <c r="M1784" s="17">
        <f t="shared" si="130"/>
        <v>5</v>
      </c>
      <c r="N1784" s="17">
        <f>IF(OR(L1784="",L1784=0),"",Параметры!$B$3/L1784)</f>
        <v>40</v>
      </c>
      <c r="O1784" s="15">
        <f>IF(L1784="","",IFERROR(INDEX('Почасовка — ставки и план'!$D$5:$D$24,MATCH($D1784,'Почасовка — ставки и план'!$A$5:$A$24,0)),""))</f>
        <v>750</v>
      </c>
      <c r="P1784" s="15">
        <f>IF(L1784="","",IFERROR(INDEX('Почасовка — ставки и план'!$E$5:$E$24,MATCH($D1784,'Почасовка — ставки и план'!$A$5:$A$24,0)),""))</f>
        <v>900</v>
      </c>
      <c r="Q1784" s="15">
        <f t="shared" si="131"/>
        <v>150</v>
      </c>
      <c r="R1784" s="13" t="str">
        <f>IF(D1784="TEX","аренда техники — сделка/счёт",IF(OR(Q1784="",H1784="",H1784=0),"—",IF(Q1784&lt;H1784*(1-Параметры!$B$7),"почасовка",IF(Q1784&gt;H1784*(1+Параметры!$B$7),"сделка","любой способ"))))</f>
        <v>сделка</v>
      </c>
      <c r="S1784">
        <v>0.33333333333333331</v>
      </c>
      <c r="T1784">
        <v>0.39534883720930242</v>
      </c>
    </row>
    <row r="1785" spans="1:20" x14ac:dyDescent="0.25">
      <c r="A1785" s="13" t="s">
        <v>3606</v>
      </c>
      <c r="B1785" s="13" t="s">
        <v>3607</v>
      </c>
      <c r="C1785" s="13" t="s">
        <v>144</v>
      </c>
      <c r="D1785" s="13" t="s">
        <v>60</v>
      </c>
      <c r="E1785" s="13" t="str">
        <f>IFERROR(INDEX('Почасовка — ставки и план'!$B$5:$B$24,MATCH(D1785,'Почасовка — ставки и план'!$A$5:$A$24,0)),"Аренда техники / механизмы")</f>
        <v>Разнорабочий / демонтажник</v>
      </c>
      <c r="F1785" s="14">
        <v>1000</v>
      </c>
      <c r="G1785" s="14">
        <v>1150</v>
      </c>
      <c r="H1785" s="15">
        <v>600</v>
      </c>
      <c r="I1785" s="15">
        <f>IF(OR(H1785="",F1785=""),"",MAX(H1785,MIN(ROUND(H1785*(1+Параметры!$B$5),IF(H1785*(1+Параметры!$B$5)&gt;=1000,-1,0)),ROUND(F1785*Параметры!$B$6,IF(F1785*Параметры!$B$6&gt;=1000,-1,0)))))</f>
        <v>690</v>
      </c>
      <c r="J1785" s="15">
        <v>690</v>
      </c>
      <c r="K1785" s="15">
        <f>IF(OR(J1785="",G1785=""),"",MAX(J1785,MIN(ROUND(J1785*(1+Параметры!$B$5),IF(J1785*(1+Параметры!$B$5)&gt;=1000,-1,0)),ROUND(G1785*Параметры!$B$6,IF(G1785*Параметры!$B$6&gt;=1000,-1,0)))))</f>
        <v>794</v>
      </c>
      <c r="L1785" s="16">
        <v>1</v>
      </c>
      <c r="M1785" s="17">
        <f t="shared" si="130"/>
        <v>1</v>
      </c>
      <c r="N1785" s="17">
        <f>IF(OR(L1785="",L1785=0),"",Параметры!$B$3/L1785)</f>
        <v>8</v>
      </c>
      <c r="O1785" s="15">
        <f>IF(L1785="","",IFERROR(INDEX('Почасовка — ставки и план'!$D$5:$D$24,MATCH($D1785,'Почасовка — ставки и план'!$A$5:$A$24,0)),""))</f>
        <v>550</v>
      </c>
      <c r="P1785" s="15">
        <f>IF(L1785="","",IFERROR(INDEX('Почасовка — ставки и план'!$E$5:$E$24,MATCH($D1785,'Почасовка — ставки и план'!$A$5:$A$24,0)),""))</f>
        <v>660</v>
      </c>
      <c r="Q1785" s="15">
        <f t="shared" si="131"/>
        <v>550</v>
      </c>
      <c r="R1785" s="13" t="str">
        <f>IF(D1785="TEX","аренда техники — сделка/счёт",IF(OR(Q1785="",H1785="",H1785=0),"—",IF(Q1785&lt;H1785*(1-Параметры!$B$7),"почасовка",IF(Q1785&gt;H1785*(1+Параметры!$B$7),"сделка","любой способ"))))</f>
        <v>любой способ</v>
      </c>
      <c r="S1785">
        <v>0</v>
      </c>
      <c r="T1785">
        <v>0</v>
      </c>
    </row>
    <row r="1786" spans="1:20" x14ac:dyDescent="0.25">
      <c r="A1786" s="13" t="s">
        <v>3608</v>
      </c>
      <c r="B1786" s="13" t="s">
        <v>3609</v>
      </c>
      <c r="C1786" s="13" t="s">
        <v>69</v>
      </c>
      <c r="D1786" s="13" t="s">
        <v>64</v>
      </c>
      <c r="E1786" s="13" t="str">
        <f>IFERROR(INDEX('Почасовка — ставки и план'!$B$5:$B$24,MATCH(D1786,'Почасовка — ставки и план'!$A$5:$A$24,0)),"Аренда техники / механизмы")</f>
        <v>Сварщик / монтажник МК</v>
      </c>
      <c r="F1786" s="14">
        <v>100</v>
      </c>
      <c r="G1786" s="14">
        <v>115</v>
      </c>
      <c r="H1786" s="15">
        <v>60</v>
      </c>
      <c r="I1786" s="15">
        <f>IF(OR(H1786="",F1786=""),"",MAX(H1786,MIN(ROUND(H1786*(1+Параметры!$B$5),IF(H1786*(1+Параметры!$B$5)&gt;=1000,-1,0)),ROUND(F1786*Параметры!$B$6,IF(F1786*Параметры!$B$6&gt;=1000,-1,0)))))</f>
        <v>69</v>
      </c>
      <c r="J1786" s="15">
        <v>69</v>
      </c>
      <c r="K1786" s="15">
        <f>IF(OR(J1786="",G1786=""),"",MAX(J1786,MIN(ROUND(J1786*(1+Параметры!$B$5),IF(J1786*(1+Параметры!$B$5)&gt;=1000,-1,0)),ROUND(G1786*Параметры!$B$6,IF(G1786*Параметры!$B$6&gt;=1000,-1,0)))))</f>
        <v>79</v>
      </c>
      <c r="L1786" s="16">
        <v>0.08</v>
      </c>
      <c r="M1786" s="17">
        <f t="shared" si="130"/>
        <v>12.5</v>
      </c>
      <c r="N1786" s="17">
        <f>IF(OR(L1786="",L1786=0),"",Параметры!$B$3/L1786)</f>
        <v>100</v>
      </c>
      <c r="O1786" s="15">
        <f>IF(L1786="","",IFERROR(INDEX('Почасовка — ставки и план'!$D$5:$D$24,MATCH($D1786,'Почасовка — ставки и план'!$A$5:$A$24,0)),""))</f>
        <v>900</v>
      </c>
      <c r="P1786" s="15">
        <f>IF(L1786="","",IFERROR(INDEX('Почасовка — ставки и план'!$E$5:$E$24,MATCH($D1786,'Почасовка — ставки и план'!$A$5:$A$24,0)),""))</f>
        <v>1080</v>
      </c>
      <c r="Q1786" s="15">
        <f t="shared" si="131"/>
        <v>72</v>
      </c>
      <c r="R1786" s="13" t="str">
        <f>IF(D1786="TEX","аренда техники — сделка/счёт",IF(OR(Q1786="",H1786="",H1786=0),"—",IF(Q1786&lt;H1786*(1-Параметры!$B$7),"почасовка",IF(Q1786&gt;H1786*(1+Параметры!$B$7),"сделка","любой способ"))))</f>
        <v>сделка</v>
      </c>
      <c r="S1786">
        <v>0</v>
      </c>
      <c r="T1786">
        <v>0</v>
      </c>
    </row>
    <row r="1787" spans="1:20" x14ac:dyDescent="0.25">
      <c r="A1787" s="13" t="s">
        <v>3610</v>
      </c>
      <c r="B1787" s="13" t="s">
        <v>3611</v>
      </c>
      <c r="C1787" s="13" t="s">
        <v>1069</v>
      </c>
      <c r="D1787" s="13" t="s">
        <v>64</v>
      </c>
      <c r="E1787" s="13" t="str">
        <f>IFERROR(INDEX('Почасовка — ставки и план'!$B$5:$B$24,MATCH(D1787,'Почасовка — ставки и план'!$A$5:$A$24,0)),"Аренда техники / механизмы")</f>
        <v>Сварщик / монтажник МК</v>
      </c>
      <c r="F1787" s="14">
        <v>1700</v>
      </c>
      <c r="G1787" s="14">
        <v>1955</v>
      </c>
      <c r="H1787" s="15">
        <v>1050</v>
      </c>
      <c r="I1787" s="15">
        <f>IF(OR(H1787="",F1787=""),"",MAX(H1787,MIN(ROUND(H1787*(1+Параметры!$B$5),IF(H1787*(1+Параметры!$B$5)&gt;=1000,-1,0)),ROUND(F1787*Параметры!$B$6,IF(F1787*Параметры!$B$6&gt;=1000,-1,0)))))</f>
        <v>1210</v>
      </c>
      <c r="J1787" s="15">
        <v>1208</v>
      </c>
      <c r="K1787" s="15">
        <f>IF(OR(J1787="",G1787=""),"",MAX(J1787,MIN(ROUND(J1787*(1+Параметры!$B$5),IF(J1787*(1+Параметры!$B$5)&gt;=1000,-1,0)),ROUND(G1787*Параметры!$B$6,IF(G1787*Параметры!$B$6&gt;=1000,-1,0)))))</f>
        <v>1390</v>
      </c>
      <c r="L1787" s="16">
        <v>1</v>
      </c>
      <c r="M1787" s="17">
        <f t="shared" si="130"/>
        <v>1</v>
      </c>
      <c r="N1787" s="17">
        <f>IF(OR(L1787="",L1787=0),"",Параметры!$B$3/L1787)</f>
        <v>8</v>
      </c>
      <c r="O1787" s="15">
        <f>IF(L1787="","",IFERROR(INDEX('Почасовка — ставки и план'!$D$5:$D$24,MATCH($D1787,'Почасовка — ставки и план'!$A$5:$A$24,0)),""))</f>
        <v>900</v>
      </c>
      <c r="P1787" s="15">
        <f>IF(L1787="","",IFERROR(INDEX('Почасовка — ставки и план'!$E$5:$E$24,MATCH($D1787,'Почасовка — ставки и план'!$A$5:$A$24,0)),""))</f>
        <v>1080</v>
      </c>
      <c r="Q1787" s="15">
        <f t="shared" si="131"/>
        <v>900</v>
      </c>
      <c r="R1787" s="13" t="str">
        <f>IF(D1787="TEX","аренда техники — сделка/счёт",IF(OR(Q1787="",H1787="",H1787=0),"—",IF(Q1787&lt;H1787*(1-Параметры!$B$7),"почасовка",IF(Q1787&gt;H1787*(1+Параметры!$B$7),"сделка","любой способ"))))</f>
        <v>почасовка</v>
      </c>
      <c r="S1787">
        <v>0</v>
      </c>
      <c r="T1787">
        <v>0</v>
      </c>
    </row>
    <row r="1788" spans="1:20" x14ac:dyDescent="0.25">
      <c r="A1788" s="13" t="s">
        <v>3612</v>
      </c>
      <c r="B1788" s="13" t="s">
        <v>3613</v>
      </c>
      <c r="C1788" s="13" t="s">
        <v>144</v>
      </c>
      <c r="D1788" s="13" t="s">
        <v>64</v>
      </c>
      <c r="E1788" s="13" t="str">
        <f>IFERROR(INDEX('Почасовка — ставки и план'!$B$5:$B$24,MATCH(D1788,'Почасовка — ставки и план'!$A$5:$A$24,0)),"Аренда техники / механизмы")</f>
        <v>Сварщик / монтажник МК</v>
      </c>
      <c r="F1788" s="14">
        <v>600</v>
      </c>
      <c r="G1788" s="14">
        <v>720</v>
      </c>
      <c r="H1788" s="15">
        <v>380</v>
      </c>
      <c r="I1788" s="15">
        <f>IF(OR(H1788="",F1788=""),"",MAX(H1788,MIN(ROUND(H1788*(1+Параметры!$B$5),IF(H1788*(1+Параметры!$B$5)&gt;=1000,-1,0)),ROUND(F1788*Параметры!$B$6,IF(F1788*Параметры!$B$6&gt;=1000,-1,0)))))</f>
        <v>437</v>
      </c>
      <c r="J1788" s="15">
        <v>437</v>
      </c>
      <c r="K1788" s="15">
        <f>IF(OR(J1788="",G1788=""),"",MAX(J1788,MIN(ROUND(J1788*(1+Параметры!$B$5),IF(J1788*(1+Параметры!$B$5)&gt;=1000,-1,0)),ROUND(G1788*Параметры!$B$6,IF(G1788*Параметры!$B$6&gt;=1000,-1,0)))))</f>
        <v>503</v>
      </c>
      <c r="L1788" s="16">
        <v>0.5</v>
      </c>
      <c r="M1788" s="17">
        <f t="shared" si="130"/>
        <v>2</v>
      </c>
      <c r="N1788" s="17">
        <f>IF(OR(L1788="",L1788=0),"",Параметры!$B$3/L1788)</f>
        <v>16</v>
      </c>
      <c r="O1788" s="15">
        <f>IF(L1788="","",IFERROR(INDEX('Почасовка — ставки и план'!$D$5:$D$24,MATCH($D1788,'Почасовка — ставки и план'!$A$5:$A$24,0)),""))</f>
        <v>900</v>
      </c>
      <c r="P1788" s="15">
        <f>IF(L1788="","",IFERROR(INDEX('Почасовка — ставки и план'!$E$5:$E$24,MATCH($D1788,'Почасовка — ставки и план'!$A$5:$A$24,0)),""))</f>
        <v>1080</v>
      </c>
      <c r="Q1788" s="15">
        <f t="shared" si="131"/>
        <v>450</v>
      </c>
      <c r="R1788" s="13" t="str">
        <f>IF(D1788="TEX","аренда техники — сделка/счёт",IF(OR(Q1788="",H1788="",H1788=0),"—",IF(Q1788&lt;H1788*(1-Параметры!$B$7),"почасовка",IF(Q1788&gt;H1788*(1+Параметры!$B$7),"сделка","любой способ"))))</f>
        <v>сделка</v>
      </c>
      <c r="S1788">
        <v>0</v>
      </c>
      <c r="T1788">
        <v>4.3478260869565188E-2</v>
      </c>
    </row>
    <row r="1789" spans="1:20" x14ac:dyDescent="0.25">
      <c r="A1789" s="13" t="s">
        <v>3614</v>
      </c>
      <c r="B1789" s="13" t="s">
        <v>3615</v>
      </c>
      <c r="C1789" s="13" t="s">
        <v>144</v>
      </c>
      <c r="D1789" s="13" t="s">
        <v>64</v>
      </c>
      <c r="E1789" s="13" t="str">
        <f>IFERROR(INDEX('Почасовка — ставки и план'!$B$5:$B$24,MATCH(D1789,'Почасовка — ставки и план'!$A$5:$A$24,0)),"Аренда техники / механизмы")</f>
        <v>Сварщик / монтажник МК</v>
      </c>
      <c r="F1789" s="14">
        <v>600</v>
      </c>
      <c r="G1789" s="14">
        <v>720</v>
      </c>
      <c r="H1789" s="15">
        <v>380</v>
      </c>
      <c r="I1789" s="15">
        <f>IF(OR(H1789="",F1789=""),"",MAX(H1789,MIN(ROUND(H1789*(1+Параметры!$B$5),IF(H1789*(1+Параметры!$B$5)&gt;=1000,-1,0)),ROUND(F1789*Параметры!$B$6,IF(F1789*Параметры!$B$6&gt;=1000,-1,0)))))</f>
        <v>437</v>
      </c>
      <c r="J1789" s="15">
        <v>437</v>
      </c>
      <c r="K1789" s="15">
        <f>IF(OR(J1789="",G1789=""),"",MAX(J1789,MIN(ROUND(J1789*(1+Параметры!$B$5),IF(J1789*(1+Параметры!$B$5)&gt;=1000,-1,0)),ROUND(G1789*Параметры!$B$6,IF(G1789*Параметры!$B$6&gt;=1000,-1,0)))))</f>
        <v>503</v>
      </c>
      <c r="L1789" s="16">
        <v>0.5</v>
      </c>
      <c r="M1789" s="17">
        <f t="shared" si="130"/>
        <v>2</v>
      </c>
      <c r="N1789" s="17">
        <f>IF(OR(L1789="",L1789=0),"",Параметры!$B$3/L1789)</f>
        <v>16</v>
      </c>
      <c r="O1789" s="15">
        <f>IF(L1789="","",IFERROR(INDEX('Почасовка — ставки и план'!$D$5:$D$24,MATCH($D1789,'Почасовка — ставки и план'!$A$5:$A$24,0)),""))</f>
        <v>900</v>
      </c>
      <c r="P1789" s="15">
        <f>IF(L1789="","",IFERROR(INDEX('Почасовка — ставки и план'!$E$5:$E$24,MATCH($D1789,'Почасовка — ставки и план'!$A$5:$A$24,0)),""))</f>
        <v>1080</v>
      </c>
      <c r="Q1789" s="15">
        <f t="shared" si="131"/>
        <v>450</v>
      </c>
      <c r="R1789" s="13" t="str">
        <f>IF(D1789="TEX","аренда техники — сделка/счёт",IF(OR(Q1789="",H1789="",H1789=0),"—",IF(Q1789&lt;H1789*(1-Параметры!$B$7),"почасовка",IF(Q1789&gt;H1789*(1+Параметры!$B$7),"сделка","любой способ"))))</f>
        <v>сделка</v>
      </c>
      <c r="S1789">
        <v>0</v>
      </c>
      <c r="T1789">
        <v>4.3478260869565188E-2</v>
      </c>
    </row>
    <row r="1790" spans="1:20" x14ac:dyDescent="0.25">
      <c r="A1790" s="13" t="s">
        <v>3616</v>
      </c>
      <c r="B1790" s="13" t="s">
        <v>3617</v>
      </c>
      <c r="C1790" s="13" t="s">
        <v>144</v>
      </c>
      <c r="D1790" s="13" t="s">
        <v>64</v>
      </c>
      <c r="E1790" s="13" t="str">
        <f>IFERROR(INDEX('Почасовка — ставки и план'!$B$5:$B$24,MATCH(D1790,'Почасовка — ставки и план'!$A$5:$A$24,0)),"Аренда техники / механизмы")</f>
        <v>Сварщик / монтажник МК</v>
      </c>
      <c r="F1790" s="14">
        <v>720</v>
      </c>
      <c r="G1790" s="14">
        <v>864</v>
      </c>
      <c r="H1790" s="15">
        <v>440</v>
      </c>
      <c r="I1790" s="15">
        <f>IF(OR(H1790="",F1790=""),"",MAX(H1790,MIN(ROUND(H1790*(1+Параметры!$B$5),IF(H1790*(1+Параметры!$B$5)&gt;=1000,-1,0)),ROUND(F1790*Параметры!$B$6,IF(F1790*Параметры!$B$6&gt;=1000,-1,0)))))</f>
        <v>506</v>
      </c>
      <c r="J1790" s="15">
        <v>506</v>
      </c>
      <c r="K1790" s="15">
        <f>IF(OR(J1790="",G1790=""),"",MAX(J1790,MIN(ROUND(J1790*(1+Параметры!$B$5),IF(J1790*(1+Параметры!$B$5)&gt;=1000,-1,0)),ROUND(G1790*Параметры!$B$6,IF(G1790*Параметры!$B$6&gt;=1000,-1,0)))))</f>
        <v>582</v>
      </c>
      <c r="L1790" s="16">
        <v>0.6</v>
      </c>
      <c r="M1790" s="17">
        <f t="shared" si="130"/>
        <v>1.6666666666666667</v>
      </c>
      <c r="N1790" s="17">
        <f>IF(OR(L1790="",L1790=0),"",Параметры!$B$3/L1790)</f>
        <v>13.333333333333334</v>
      </c>
      <c r="O1790" s="15">
        <f>IF(L1790="","",IFERROR(INDEX('Почасовка — ставки и план'!$D$5:$D$24,MATCH($D1790,'Почасовка — ставки и план'!$A$5:$A$24,0)),""))</f>
        <v>900</v>
      </c>
      <c r="P1790" s="15">
        <f>IF(L1790="","",IFERROR(INDEX('Почасовка — ставки и план'!$E$5:$E$24,MATCH($D1790,'Почасовка — ставки и план'!$A$5:$A$24,0)),""))</f>
        <v>1080</v>
      </c>
      <c r="Q1790" s="15">
        <f t="shared" si="131"/>
        <v>540</v>
      </c>
      <c r="R1790" s="13" t="str">
        <f>IF(D1790="TEX","аренда техники — сделка/счёт",IF(OR(Q1790="",H1790="",H1790=0),"—",IF(Q1790&lt;H1790*(1-Параметры!$B$7),"почасовка",IF(Q1790&gt;H1790*(1+Параметры!$B$7),"сделка","любой способ"))))</f>
        <v>сделка</v>
      </c>
      <c r="S1790">
        <v>2.857142857142847E-2</v>
      </c>
      <c r="T1790">
        <v>7.3291925465838403E-2</v>
      </c>
    </row>
    <row r="1791" spans="1:20" x14ac:dyDescent="0.25">
      <c r="A1791" s="18" t="s">
        <v>3618</v>
      </c>
      <c r="B1791" s="13" t="s">
        <v>3619</v>
      </c>
      <c r="C1791" s="13" t="s">
        <v>72</v>
      </c>
      <c r="D1791" s="13" t="s">
        <v>162</v>
      </c>
      <c r="E1791" s="13" t="str">
        <f>IFERROR(INDEX('Почасовка — ставки и план'!$B$5:$B$24,MATCH(D1791,'Почасовка — ставки и план'!$A$5:$A$24,0)),"Аренда техники / механизмы")</f>
        <v>Бетонщик / арматурщик</v>
      </c>
      <c r="F1791" s="14">
        <v>960</v>
      </c>
      <c r="G1791" s="14">
        <v>1140</v>
      </c>
      <c r="H1791" s="15">
        <v>560</v>
      </c>
      <c r="I1791" s="15">
        <f>IF(OR(H1791="",F1791=""),"",MAX(H1791,MIN(ROUND(H1791*(1+Параметры!$B$5),IF(H1791*(1+Параметры!$B$5)&gt;=1000,-1,0)),ROUND(F1791*Параметры!$B$6,IF(F1791*Параметры!$B$6&gt;=1000,-1,0)))))</f>
        <v>644</v>
      </c>
      <c r="J1791" s="15">
        <v>644</v>
      </c>
      <c r="K1791" s="15">
        <f>IF(OR(J1791="",G1791=""),"",MAX(J1791,MIN(ROUND(J1791*(1+Параметры!$B$5),IF(J1791*(1+Параметры!$B$5)&gt;=1000,-1,0)),ROUND(G1791*Параметры!$B$6,IF(G1791*Параметры!$B$6&gt;=1000,-1,0)))))</f>
        <v>741</v>
      </c>
      <c r="L1791" s="16">
        <v>0.9</v>
      </c>
      <c r="M1791" s="17">
        <f t="shared" si="130"/>
        <v>1.1111111111111112</v>
      </c>
      <c r="N1791" s="17">
        <f>IF(OR(L1791="",L1791=0),"",Параметры!$B$3/L1791)</f>
        <v>8.8888888888888893</v>
      </c>
      <c r="O1791" s="15">
        <f>IF(L1791="","",IFERROR(INDEX('Почасовка — ставки и план'!$D$5:$D$24,MATCH($D1791,'Почасовка — ставки и план'!$A$5:$A$24,0)),""))</f>
        <v>800</v>
      </c>
      <c r="P1791" s="15">
        <f>IF(L1791="","",IFERROR(INDEX('Почасовка — ставки и план'!$E$5:$E$24,MATCH($D1791,'Почасовка — ставки и план'!$A$5:$A$24,0)),""))</f>
        <v>950</v>
      </c>
      <c r="Q1791" s="15">
        <f t="shared" si="131"/>
        <v>720</v>
      </c>
      <c r="R1791" s="13" t="str">
        <f>IF(D1791="TEX","аренда техники — сделка/счёт",IF(OR(Q1791="",H1791="",H1791=0),"—",IF(Q1791&lt;H1791*(1-Параметры!$B$7),"почасовка",IF(Q1791&gt;H1791*(1+Параметры!$B$7),"сделка","любой способ"))))</f>
        <v>сделка</v>
      </c>
      <c r="S1791">
        <v>6.6666666666666652E-2</v>
      </c>
      <c r="T1791">
        <v>0.10144927536231881</v>
      </c>
    </row>
    <row r="1792" spans="1:20" x14ac:dyDescent="0.25">
      <c r="A1792" s="18" t="s">
        <v>3620</v>
      </c>
      <c r="B1792" s="13" t="s">
        <v>3621</v>
      </c>
      <c r="C1792" s="13" t="s">
        <v>63</v>
      </c>
      <c r="D1792" s="13" t="s">
        <v>64</v>
      </c>
      <c r="E1792" s="13" t="str">
        <f>IFERROR(INDEX('Почасовка — ставки и план'!$B$5:$B$24,MATCH(D1792,'Почасовка — ставки и план'!$A$5:$A$24,0)),"Аренда техники / механизмы")</f>
        <v>Сварщик / монтажник МК</v>
      </c>
      <c r="F1792" s="14">
        <v>30000</v>
      </c>
      <c r="G1792" s="14">
        <v>36000</v>
      </c>
      <c r="H1792" s="15">
        <v>11000</v>
      </c>
      <c r="I1792" s="15">
        <f>IF(OR(H1792="",F1792=""),"",MAX(H1792,MIN(ROUND(H1792*(1+Параметры!$B$5),IF(H1792*(1+Параметры!$B$5)&gt;=1000,-1,0)),ROUND(F1792*Параметры!$B$6,IF(F1792*Параметры!$B$6&gt;=1000,-1,0)))))</f>
        <v>12650</v>
      </c>
      <c r="J1792" s="15">
        <v>12650</v>
      </c>
      <c r="K1792" s="15">
        <f>IF(OR(J1792="",G1792=""),"",MAX(J1792,MIN(ROUND(J1792*(1+Параметры!$B$5),IF(J1792*(1+Параметры!$B$5)&gt;=1000,-1,0)),ROUND(G1792*Параметры!$B$6,IF(G1792*Параметры!$B$6&gt;=1000,-1,0)))))</f>
        <v>14550</v>
      </c>
      <c r="L1792" s="16">
        <v>25</v>
      </c>
      <c r="M1792" s="17">
        <f t="shared" si="130"/>
        <v>0.04</v>
      </c>
      <c r="N1792" s="17">
        <f>IF(OR(L1792="",L1792=0),"",Параметры!$B$3/L1792)</f>
        <v>0.32</v>
      </c>
      <c r="O1792" s="15">
        <f>IF(L1792="","",IFERROR(INDEX('Почасовка — ставки и план'!$D$5:$D$24,MATCH($D1792,'Почасовка — ставки и план'!$A$5:$A$24,0)),""))</f>
        <v>900</v>
      </c>
      <c r="P1792" s="15">
        <f>IF(L1792="","",IFERROR(INDEX('Почасовка — ставки и план'!$E$5:$E$24,MATCH($D1792,'Почасовка — ставки и план'!$A$5:$A$24,0)),""))</f>
        <v>1080</v>
      </c>
      <c r="Q1792" s="15">
        <f t="shared" si="131"/>
        <v>22500</v>
      </c>
      <c r="R1792" s="13" t="str">
        <f>IF(D1792="TEX","аренда техники — сделка/счёт",IF(OR(Q1792="",H1792="",H1792=0),"—",IF(Q1792&lt;H1792*(1-Параметры!$B$7),"почасовка",IF(Q1792&gt;H1792*(1+Параметры!$B$7),"сделка","любой способ"))))</f>
        <v>сделка</v>
      </c>
      <c r="S1792">
        <v>0.66666666666666674</v>
      </c>
      <c r="T1792">
        <v>0.73913043478260865</v>
      </c>
    </row>
    <row r="1793" spans="1:20" x14ac:dyDescent="0.25">
      <c r="A1793" s="18" t="s">
        <v>3622</v>
      </c>
      <c r="B1793" s="13" t="s">
        <v>3623</v>
      </c>
      <c r="C1793" s="13" t="s">
        <v>144</v>
      </c>
      <c r="D1793" s="13" t="s">
        <v>64</v>
      </c>
      <c r="E1793" s="13" t="str">
        <f>IFERROR(INDEX('Почасовка — ставки и план'!$B$5:$B$24,MATCH(D1793,'Почасовка — ставки и план'!$A$5:$A$24,0)),"Аренда техники / механизмы")</f>
        <v>Сварщик / монтажник МК</v>
      </c>
      <c r="F1793" s="14">
        <v>1200</v>
      </c>
      <c r="G1793" s="14">
        <v>1440</v>
      </c>
      <c r="H1793" s="15">
        <v>750</v>
      </c>
      <c r="I1793" s="15">
        <f>IF(OR(H1793="",F1793=""),"",MAX(H1793,MIN(ROUND(H1793*(1+Параметры!$B$5),IF(H1793*(1+Параметры!$B$5)&gt;=1000,-1,0)),ROUND(F1793*Параметры!$B$6,IF(F1793*Параметры!$B$6&gt;=1000,-1,0)))))</f>
        <v>863</v>
      </c>
      <c r="J1793" s="15">
        <v>862</v>
      </c>
      <c r="K1793" s="15">
        <f>IF(OR(J1793="",G1793=""),"",MAX(J1793,MIN(ROUND(J1793*(1+Параметры!$B$5),IF(J1793*(1+Параметры!$B$5)&gt;=1000,-1,0)),ROUND(G1793*Параметры!$B$6,IF(G1793*Параметры!$B$6&gt;=1000,-1,0)))))</f>
        <v>991</v>
      </c>
      <c r="L1793" s="16">
        <v>1</v>
      </c>
      <c r="M1793" s="17">
        <f t="shared" si="130"/>
        <v>1</v>
      </c>
      <c r="N1793" s="17">
        <f>IF(OR(L1793="",L1793=0),"",Параметры!$B$3/L1793)</f>
        <v>8</v>
      </c>
      <c r="O1793" s="15">
        <f>IF(L1793="","",IFERROR(INDEX('Почасовка — ставки и план'!$D$5:$D$24,MATCH($D1793,'Почасовка — ставки и план'!$A$5:$A$24,0)),""))</f>
        <v>900</v>
      </c>
      <c r="P1793" s="15">
        <f>IF(L1793="","",IFERROR(INDEX('Почасовка — ставки и план'!$E$5:$E$24,MATCH($D1793,'Почасовка — ставки и план'!$A$5:$A$24,0)),""))</f>
        <v>1080</v>
      </c>
      <c r="Q1793" s="15">
        <f t="shared" si="131"/>
        <v>900</v>
      </c>
      <c r="R1793" s="13" t="str">
        <f>IF(D1793="TEX","аренда техники — сделка/счёт",IF(OR(Q1793="",H1793="",H1793=0),"—",IF(Q1793&lt;H1793*(1-Параметры!$B$7),"почасовка",IF(Q1793&gt;H1793*(1+Параметры!$B$7),"сделка","любой способ"))))</f>
        <v>сделка</v>
      </c>
      <c r="S1793">
        <v>0</v>
      </c>
      <c r="T1793">
        <v>4.3478260869565188E-2</v>
      </c>
    </row>
    <row r="1794" spans="1:20" x14ac:dyDescent="0.25">
      <c r="A1794" s="11" t="s">
        <v>3624</v>
      </c>
      <c r="B1794" s="12"/>
      <c r="C1794" s="12"/>
      <c r="D1794" s="12"/>
      <c r="E1794" s="12"/>
      <c r="F1794" s="12"/>
      <c r="G1794" s="12"/>
      <c r="H1794" s="12"/>
      <c r="I1794" s="12"/>
      <c r="J1794" s="12"/>
      <c r="K1794" s="12"/>
      <c r="L1794" s="12"/>
      <c r="M1794" s="12"/>
      <c r="N1794" s="12"/>
      <c r="O1794" s="12"/>
      <c r="P1794" s="12"/>
      <c r="Q1794" s="12"/>
      <c r="R1794" s="12"/>
    </row>
    <row r="1795" spans="1:20" x14ac:dyDescent="0.25">
      <c r="A1795" s="13" t="s">
        <v>3625</v>
      </c>
      <c r="B1795" s="13" t="s">
        <v>3626</v>
      </c>
      <c r="C1795" s="13" t="s">
        <v>144</v>
      </c>
      <c r="D1795" s="13" t="s">
        <v>273</v>
      </c>
      <c r="E1795" s="13" t="str">
        <f>IFERROR(INDEX('Почасовка — ставки и план'!$B$5:$B$24,MATCH(D1795,'Почасовка — ставки и план'!$A$5:$A$24,0)),"Аренда техники / механизмы")</f>
        <v>Электромонтажник</v>
      </c>
      <c r="F1795" s="14">
        <v>3000</v>
      </c>
      <c r="G1795" s="14">
        <v>3450</v>
      </c>
      <c r="H1795" s="15">
        <v>1900</v>
      </c>
      <c r="I1795" s="15">
        <f>IF(OR(H1795="",F1795=""),"",MAX(H1795,MIN(ROUND(H1795*(1+Параметры!$B$5),IF(H1795*(1+Параметры!$B$5)&gt;=1000,-1,0)),ROUND(F1795*Параметры!$B$6,IF(F1795*Параметры!$B$6&gt;=1000,-1,0)))))</f>
        <v>2190</v>
      </c>
      <c r="J1795" s="15">
        <v>2185</v>
      </c>
      <c r="K1795" s="15">
        <f>IF(OR(J1795="",G1795=""),"",MAX(J1795,MIN(ROUND(J1795*(1+Параметры!$B$5),IF(J1795*(1+Параметры!$B$5)&gt;=1000,-1,0)),ROUND(G1795*Параметры!$B$6,IF(G1795*Параметры!$B$6&gt;=1000,-1,0)))))</f>
        <v>2510</v>
      </c>
      <c r="L1795" s="16">
        <v>1.5</v>
      </c>
      <c r="M1795" s="17">
        <f t="shared" ref="M1795:M1807" si="132">IF(OR(L1795="",L1795=0),"",1/L1795)</f>
        <v>0.66666666666666663</v>
      </c>
      <c r="N1795" s="17">
        <f>IF(OR(L1795="",L1795=0),"",Параметры!$B$3/L1795)</f>
        <v>5.333333333333333</v>
      </c>
      <c r="O1795" s="15">
        <f>IF(L1795="","",IFERROR(INDEX('Почасовка — ставки и план'!$D$5:$D$24,MATCH($D1795,'Почасовка — ставки и план'!$A$5:$A$24,0)),""))</f>
        <v>850</v>
      </c>
      <c r="P1795" s="15">
        <f>IF(L1795="","",IFERROR(INDEX('Почасовка — ставки и план'!$E$5:$E$24,MATCH($D1795,'Почасовка — ставки и план'!$A$5:$A$24,0)),""))</f>
        <v>1020</v>
      </c>
      <c r="Q1795" s="15">
        <f t="shared" ref="Q1795:Q1807" si="133">IF(OR(L1795="",O1795=""),"",ROUND(L1795*O1795,0))</f>
        <v>1275</v>
      </c>
      <c r="R1795" s="13" t="str">
        <f>IF(D1795="TEX","аренда техники — сделка/счёт",IF(OR(Q1795="",H1795="",H1795=0),"—",IF(Q1795&lt;H1795*(1-Параметры!$B$7),"почасовка",IF(Q1795&gt;H1795*(1+Параметры!$B$7),"сделка","любой способ"))))</f>
        <v>почасовка</v>
      </c>
      <c r="S1795">
        <v>0</v>
      </c>
      <c r="T1795">
        <v>0</v>
      </c>
    </row>
    <row r="1796" spans="1:20" x14ac:dyDescent="0.25">
      <c r="A1796" s="13" t="s">
        <v>3627</v>
      </c>
      <c r="B1796" s="13" t="s">
        <v>3628</v>
      </c>
      <c r="C1796" s="13" t="s">
        <v>144</v>
      </c>
      <c r="D1796" s="13" t="s">
        <v>273</v>
      </c>
      <c r="E1796" s="13" t="str">
        <f>IFERROR(INDEX('Почасовка — ставки и план'!$B$5:$B$24,MATCH(D1796,'Почасовка — ставки и план'!$A$5:$A$24,0)),"Аренда техники / механизмы")</f>
        <v>Электромонтажник</v>
      </c>
      <c r="F1796" s="14">
        <v>800</v>
      </c>
      <c r="G1796" s="14">
        <v>920</v>
      </c>
      <c r="H1796" s="15">
        <v>500</v>
      </c>
      <c r="I1796" s="15">
        <f>IF(OR(H1796="",F1796=""),"",MAX(H1796,MIN(ROUND(H1796*(1+Параметры!$B$5),IF(H1796*(1+Параметры!$B$5)&gt;=1000,-1,0)),ROUND(F1796*Параметры!$B$6,IF(F1796*Параметры!$B$6&gt;=1000,-1,0)))))</f>
        <v>575</v>
      </c>
      <c r="J1796" s="15">
        <v>575</v>
      </c>
      <c r="K1796" s="15">
        <f>IF(OR(J1796="",G1796=""),"",MAX(J1796,MIN(ROUND(J1796*(1+Параметры!$B$5),IF(J1796*(1+Параметры!$B$5)&gt;=1000,-1,0)),ROUND(G1796*Параметры!$B$6,IF(G1796*Параметры!$B$6&gt;=1000,-1,0)))))</f>
        <v>661</v>
      </c>
      <c r="L1796" s="16">
        <v>0.5</v>
      </c>
      <c r="M1796" s="17">
        <f t="shared" si="132"/>
        <v>2</v>
      </c>
      <c r="N1796" s="17">
        <f>IF(OR(L1796="",L1796=0),"",Параметры!$B$3/L1796)</f>
        <v>16</v>
      </c>
      <c r="O1796" s="15">
        <f>IF(L1796="","",IFERROR(INDEX('Почасовка — ставки и план'!$D$5:$D$24,MATCH($D1796,'Почасовка — ставки и план'!$A$5:$A$24,0)),""))</f>
        <v>850</v>
      </c>
      <c r="P1796" s="15">
        <f>IF(L1796="","",IFERROR(INDEX('Почасовка — ставки и план'!$E$5:$E$24,MATCH($D1796,'Почасовка — ставки и план'!$A$5:$A$24,0)),""))</f>
        <v>1020</v>
      </c>
      <c r="Q1796" s="15">
        <f t="shared" si="133"/>
        <v>425</v>
      </c>
      <c r="R1796" s="13" t="str">
        <f>IF(D1796="TEX","аренда техники — сделка/счёт",IF(OR(Q1796="",H1796="",H1796=0),"—",IF(Q1796&lt;H1796*(1-Параметры!$B$7),"почасовка",IF(Q1796&gt;H1796*(1+Параметры!$B$7),"сделка","любой способ"))))</f>
        <v>почасовка</v>
      </c>
      <c r="S1796">
        <v>0</v>
      </c>
      <c r="T1796">
        <v>0</v>
      </c>
    </row>
    <row r="1797" spans="1:20" x14ac:dyDescent="0.25">
      <c r="A1797" s="13" t="s">
        <v>3629</v>
      </c>
      <c r="B1797" s="13" t="s">
        <v>3630</v>
      </c>
      <c r="C1797" s="13" t="s">
        <v>144</v>
      </c>
      <c r="D1797" s="13" t="s">
        <v>273</v>
      </c>
      <c r="E1797" s="13" t="str">
        <f>IFERROR(INDEX('Почасовка — ставки и план'!$B$5:$B$24,MATCH(D1797,'Почасовка — ставки и план'!$A$5:$A$24,0)),"Аренда техники / механизмы")</f>
        <v>Электромонтажник</v>
      </c>
      <c r="F1797" s="14">
        <v>1800</v>
      </c>
      <c r="G1797" s="14">
        <v>2070</v>
      </c>
      <c r="H1797" s="15">
        <v>1100</v>
      </c>
      <c r="I1797" s="15">
        <f>IF(OR(H1797="",F1797=""),"",MAX(H1797,MIN(ROUND(H1797*(1+Параметры!$B$5),IF(H1797*(1+Параметры!$B$5)&gt;=1000,-1,0)),ROUND(F1797*Параметры!$B$6,IF(F1797*Параметры!$B$6&gt;=1000,-1,0)))))</f>
        <v>1270</v>
      </c>
      <c r="J1797" s="15">
        <v>1265</v>
      </c>
      <c r="K1797" s="15">
        <f>IF(OR(J1797="",G1797=""),"",MAX(J1797,MIN(ROUND(J1797*(1+Параметры!$B$5),IF(J1797*(1+Параметры!$B$5)&gt;=1000,-1,0)),ROUND(G1797*Параметры!$B$6,IF(G1797*Параметры!$B$6&gt;=1000,-1,0)))))</f>
        <v>1450</v>
      </c>
      <c r="L1797" s="16">
        <v>1</v>
      </c>
      <c r="M1797" s="17">
        <f t="shared" si="132"/>
        <v>1</v>
      </c>
      <c r="N1797" s="17">
        <f>IF(OR(L1797="",L1797=0),"",Параметры!$B$3/L1797)</f>
        <v>8</v>
      </c>
      <c r="O1797" s="15">
        <f>IF(L1797="","",IFERROR(INDEX('Почасовка — ставки и план'!$D$5:$D$24,MATCH($D1797,'Почасовка — ставки и план'!$A$5:$A$24,0)),""))</f>
        <v>850</v>
      </c>
      <c r="P1797" s="15">
        <f>IF(L1797="","",IFERROR(INDEX('Почасовка — ставки и план'!$E$5:$E$24,MATCH($D1797,'Почасовка — ставки и план'!$A$5:$A$24,0)),""))</f>
        <v>1020</v>
      </c>
      <c r="Q1797" s="15">
        <f t="shared" si="133"/>
        <v>850</v>
      </c>
      <c r="R1797" s="13" t="str">
        <f>IF(D1797="TEX","аренда техники — сделка/счёт",IF(OR(Q1797="",H1797="",H1797=0),"—",IF(Q1797&lt;H1797*(1-Параметры!$B$7),"почасовка",IF(Q1797&gt;H1797*(1+Параметры!$B$7),"сделка","любой способ"))))</f>
        <v>почасовка</v>
      </c>
      <c r="S1797">
        <v>0</v>
      </c>
      <c r="T1797">
        <v>0</v>
      </c>
    </row>
    <row r="1798" spans="1:20" x14ac:dyDescent="0.25">
      <c r="A1798" s="13" t="s">
        <v>3631</v>
      </c>
      <c r="B1798" s="13" t="s">
        <v>3632</v>
      </c>
      <c r="C1798" s="13" t="s">
        <v>3633</v>
      </c>
      <c r="D1798" s="13" t="s">
        <v>2663</v>
      </c>
      <c r="E1798" s="13" t="str">
        <f>IFERROR(INDEX('Почасовка — ставки и план'!$B$5:$B$24,MATCH(D1798,'Почасовка — ставки и план'!$A$5:$A$24,0)),"Аренда техники / механизмы")</f>
        <v>Инженер электролаборатории / ПНР</v>
      </c>
      <c r="F1798" s="14">
        <v>45000</v>
      </c>
      <c r="G1798" s="14">
        <v>54000</v>
      </c>
      <c r="H1798" s="15">
        <v>25000</v>
      </c>
      <c r="I1798" s="15">
        <f>IF(OR(H1798="",F1798=""),"",MAX(H1798,MIN(ROUND(H1798*(1+Параметры!$B$5),IF(H1798*(1+Параметры!$B$5)&gt;=1000,-1,0)),ROUND(F1798*Параметры!$B$6,IF(F1798*Параметры!$B$6&gt;=1000,-1,0)))))</f>
        <v>28750</v>
      </c>
      <c r="J1798" s="15">
        <v>30000</v>
      </c>
      <c r="K1798" s="15">
        <f>IF(OR(J1798="",G1798=""),"",MAX(J1798,MIN(ROUND(J1798*(1+Параметры!$B$5),IF(J1798*(1+Параметры!$B$5)&gt;=1000,-1,0)),ROUND(G1798*Параметры!$B$6,IF(G1798*Параметры!$B$6&gt;=1000,-1,0)))))</f>
        <v>34500</v>
      </c>
      <c r="L1798" s="16">
        <v>24</v>
      </c>
      <c r="M1798" s="17">
        <f t="shared" si="132"/>
        <v>4.1666666666666664E-2</v>
      </c>
      <c r="N1798" s="17">
        <f>IF(OR(L1798="",L1798=0),"",Параметры!$B$3/L1798)</f>
        <v>0.33333333333333331</v>
      </c>
      <c r="O1798" s="15">
        <f>IF(L1798="","",IFERROR(INDEX('Почасовка — ставки и план'!$D$5:$D$24,MATCH($D1798,'Почасовка — ставки и план'!$A$5:$A$24,0)),""))</f>
        <v>1400</v>
      </c>
      <c r="P1798" s="15">
        <f>IF(L1798="","",IFERROR(INDEX('Почасовка — ставки и план'!$E$5:$E$24,MATCH($D1798,'Почасовка — ставки и план'!$A$5:$A$24,0)),""))</f>
        <v>1680</v>
      </c>
      <c r="Q1798" s="15">
        <f t="shared" si="133"/>
        <v>33600</v>
      </c>
      <c r="R1798" s="13" t="str">
        <f>IF(D1798="TEX","аренда техники — сделка/счёт",IF(OR(Q1798="",H1798="",H1798=0),"—",IF(Q1798&lt;H1798*(1-Параметры!$B$7),"почасовка",IF(Q1798&gt;H1798*(1+Параметры!$B$7),"сделка","любой способ"))))</f>
        <v>сделка</v>
      </c>
      <c r="S1798">
        <v>0</v>
      </c>
      <c r="T1798">
        <v>0</v>
      </c>
    </row>
    <row r="1799" spans="1:20" x14ac:dyDescent="0.25">
      <c r="A1799" s="13" t="s">
        <v>3634</v>
      </c>
      <c r="B1799" s="13" t="s">
        <v>3635</v>
      </c>
      <c r="C1799" s="13" t="s">
        <v>69</v>
      </c>
      <c r="D1799" s="13" t="s">
        <v>273</v>
      </c>
      <c r="E1799" s="13" t="str">
        <f>IFERROR(INDEX('Почасовка — ставки и план'!$B$5:$B$24,MATCH(D1799,'Почасовка — ставки и план'!$A$5:$A$24,0)),"Аренда техники / механизмы")</f>
        <v>Электромонтажник</v>
      </c>
      <c r="F1799" s="14">
        <v>90</v>
      </c>
      <c r="G1799" s="14">
        <v>103</v>
      </c>
      <c r="H1799" s="15">
        <v>55</v>
      </c>
      <c r="I1799" s="15">
        <f>IF(OR(H1799="",F1799=""),"",MAX(H1799,MIN(ROUND(H1799*(1+Параметры!$B$5),IF(H1799*(1+Параметры!$B$5)&gt;=1000,-1,0)),ROUND(F1799*Параметры!$B$6,IF(F1799*Параметры!$B$6&gt;=1000,-1,0)))))</f>
        <v>63</v>
      </c>
      <c r="J1799" s="15">
        <v>63</v>
      </c>
      <c r="K1799" s="15">
        <f>IF(OR(J1799="",G1799=""),"",MAX(J1799,MIN(ROUND(J1799*(1+Параметры!$B$5),IF(J1799*(1+Параметры!$B$5)&gt;=1000,-1,0)),ROUND(G1799*Параметры!$B$6,IF(G1799*Параметры!$B$6&gt;=1000,-1,0)))))</f>
        <v>72</v>
      </c>
      <c r="L1799" s="16">
        <v>0.06</v>
      </c>
      <c r="M1799" s="17">
        <f t="shared" si="132"/>
        <v>16.666666666666668</v>
      </c>
      <c r="N1799" s="17">
        <f>IF(OR(L1799="",L1799=0),"",Параметры!$B$3/L1799)</f>
        <v>133.33333333333334</v>
      </c>
      <c r="O1799" s="15">
        <f>IF(L1799="","",IFERROR(INDEX('Почасовка — ставки и план'!$D$5:$D$24,MATCH($D1799,'Почасовка — ставки и план'!$A$5:$A$24,0)),""))</f>
        <v>850</v>
      </c>
      <c r="P1799" s="15">
        <f>IF(L1799="","",IFERROR(INDEX('Почасовка — ставки и план'!$E$5:$E$24,MATCH($D1799,'Почасовка — ставки и план'!$A$5:$A$24,0)),""))</f>
        <v>1020</v>
      </c>
      <c r="Q1799" s="15">
        <f t="shared" si="133"/>
        <v>51</v>
      </c>
      <c r="R1799" s="13" t="str">
        <f>IF(D1799="TEX","аренда техники — сделка/счёт",IF(OR(Q1799="",H1799="",H1799=0),"—",IF(Q1799&lt;H1799*(1-Параметры!$B$7),"почасовка",IF(Q1799&gt;H1799*(1+Параметры!$B$7),"сделка","любой способ"))))</f>
        <v>любой способ</v>
      </c>
      <c r="S1799">
        <v>0</v>
      </c>
      <c r="T1799">
        <v>0</v>
      </c>
    </row>
    <row r="1800" spans="1:20" x14ac:dyDescent="0.25">
      <c r="A1800" s="13" t="s">
        <v>3636</v>
      </c>
      <c r="B1800" s="13" t="s">
        <v>3637</v>
      </c>
      <c r="C1800" s="13" t="s">
        <v>1069</v>
      </c>
      <c r="D1800" s="13" t="s">
        <v>273</v>
      </c>
      <c r="E1800" s="13" t="str">
        <f>IFERROR(INDEX('Почасовка — ставки и план'!$B$5:$B$24,MATCH(D1800,'Почасовка — ставки и план'!$A$5:$A$24,0)),"Аренда техники / механизмы")</f>
        <v>Электромонтажник</v>
      </c>
      <c r="F1800" s="14">
        <v>1500</v>
      </c>
      <c r="G1800" s="14">
        <v>1725</v>
      </c>
      <c r="H1800" s="15">
        <v>950</v>
      </c>
      <c r="I1800" s="15">
        <f>IF(OR(H1800="",F1800=""),"",MAX(H1800,MIN(ROUND(H1800*(1+Параметры!$B$5),IF(H1800*(1+Параметры!$B$5)&gt;=1000,-1,0)),ROUND(F1800*Параметры!$B$6,IF(F1800*Параметры!$B$6&gt;=1000,-1,0)))))</f>
        <v>1090</v>
      </c>
      <c r="J1800" s="15">
        <v>1092</v>
      </c>
      <c r="K1800" s="15">
        <f>IF(OR(J1800="",G1800=""),"",MAX(J1800,MIN(ROUND(J1800*(1+Параметры!$B$5),IF(J1800*(1+Параметры!$B$5)&gt;=1000,-1,0)),ROUND(G1800*Параметры!$B$6,IF(G1800*Параметры!$B$6&gt;=1000,-1,0)))))</f>
        <v>1260</v>
      </c>
      <c r="L1800" s="16">
        <v>1</v>
      </c>
      <c r="M1800" s="17">
        <f t="shared" si="132"/>
        <v>1</v>
      </c>
      <c r="N1800" s="17">
        <f>IF(OR(L1800="",L1800=0),"",Параметры!$B$3/L1800)</f>
        <v>8</v>
      </c>
      <c r="O1800" s="15">
        <f>IF(L1800="","",IFERROR(INDEX('Почасовка — ставки и план'!$D$5:$D$24,MATCH($D1800,'Почасовка — ставки и план'!$A$5:$A$24,0)),""))</f>
        <v>850</v>
      </c>
      <c r="P1800" s="15">
        <f>IF(L1800="","",IFERROR(INDEX('Почасовка — ставки и план'!$E$5:$E$24,MATCH($D1800,'Почасовка — ставки и план'!$A$5:$A$24,0)),""))</f>
        <v>1020</v>
      </c>
      <c r="Q1800" s="15">
        <f t="shared" si="133"/>
        <v>850</v>
      </c>
      <c r="R1800" s="13" t="str">
        <f>IF(D1800="TEX","аренда техники — сделка/счёт",IF(OR(Q1800="",H1800="",H1800=0),"—",IF(Q1800&lt;H1800*(1-Параметры!$B$7),"почасовка",IF(Q1800&gt;H1800*(1+Параметры!$B$7),"сделка","любой способ"))))</f>
        <v>почасовка</v>
      </c>
      <c r="S1800">
        <v>0</v>
      </c>
      <c r="T1800">
        <v>0</v>
      </c>
    </row>
    <row r="1801" spans="1:20" x14ac:dyDescent="0.25">
      <c r="A1801" s="13" t="s">
        <v>3638</v>
      </c>
      <c r="B1801" s="13" t="s">
        <v>3639</v>
      </c>
      <c r="C1801" s="13" t="s">
        <v>144</v>
      </c>
      <c r="D1801" s="13" t="s">
        <v>273</v>
      </c>
      <c r="E1801" s="13" t="str">
        <f>IFERROR(INDEX('Почасовка — ставки и план'!$B$5:$B$24,MATCH(D1801,'Почасовка — ставки и план'!$A$5:$A$24,0)),"Аренда техники / механизмы")</f>
        <v>Электромонтажник</v>
      </c>
      <c r="F1801" s="14">
        <v>550</v>
      </c>
      <c r="G1801" s="14">
        <v>632</v>
      </c>
      <c r="H1801" s="15">
        <v>350</v>
      </c>
      <c r="I1801" s="15">
        <f>IF(OR(H1801="",F1801=""),"",MAX(H1801,MIN(ROUND(H1801*(1+Параметры!$B$5),IF(H1801*(1+Параметры!$B$5)&gt;=1000,-1,0)),ROUND(F1801*Параметры!$B$6,IF(F1801*Параметры!$B$6&gt;=1000,-1,0)))))</f>
        <v>403</v>
      </c>
      <c r="J1801" s="15">
        <v>402</v>
      </c>
      <c r="K1801" s="15">
        <f>IF(OR(J1801="",G1801=""),"",MAX(J1801,MIN(ROUND(J1801*(1+Параметры!$B$5),IF(J1801*(1+Параметры!$B$5)&gt;=1000,-1,0)),ROUND(G1801*Параметры!$B$6,IF(G1801*Параметры!$B$6&gt;=1000,-1,0)))))</f>
        <v>462</v>
      </c>
      <c r="L1801" s="16">
        <v>0.4</v>
      </c>
      <c r="M1801" s="17">
        <f t="shared" si="132"/>
        <v>2.5</v>
      </c>
      <c r="N1801" s="17">
        <f>IF(OR(L1801="",L1801=0),"",Параметры!$B$3/L1801)</f>
        <v>20</v>
      </c>
      <c r="O1801" s="15">
        <f>IF(L1801="","",IFERROR(INDEX('Почасовка — ставки и план'!$D$5:$D$24,MATCH($D1801,'Почасовка — ставки и план'!$A$5:$A$24,0)),""))</f>
        <v>850</v>
      </c>
      <c r="P1801" s="15">
        <f>IF(L1801="","",IFERROR(INDEX('Почасовка — ставки и план'!$E$5:$E$24,MATCH($D1801,'Почасовка — ставки и план'!$A$5:$A$24,0)),""))</f>
        <v>1020</v>
      </c>
      <c r="Q1801" s="15">
        <f t="shared" si="133"/>
        <v>340</v>
      </c>
      <c r="R1801" s="13" t="str">
        <f>IF(D1801="TEX","аренда техники — сделка/счёт",IF(OR(Q1801="",H1801="",H1801=0),"—",IF(Q1801&lt;H1801*(1-Параметры!$B$7),"почасовка",IF(Q1801&gt;H1801*(1+Параметры!$B$7),"сделка","любой способ"))))</f>
        <v>любой способ</v>
      </c>
      <c r="S1801">
        <v>0</v>
      </c>
      <c r="T1801">
        <v>0</v>
      </c>
    </row>
    <row r="1802" spans="1:20" x14ac:dyDescent="0.25">
      <c r="A1802" s="13" t="s">
        <v>3640</v>
      </c>
      <c r="B1802" s="13" t="s">
        <v>3641</v>
      </c>
      <c r="C1802" s="13" t="s">
        <v>144</v>
      </c>
      <c r="D1802" s="13" t="s">
        <v>273</v>
      </c>
      <c r="E1802" s="13" t="str">
        <f>IFERROR(INDEX('Почасовка — ставки и план'!$B$5:$B$24,MATCH(D1802,'Почасовка — ставки и план'!$A$5:$A$24,0)),"Аренда техники / механизмы")</f>
        <v>Электромонтажник</v>
      </c>
      <c r="F1802" s="14">
        <v>35</v>
      </c>
      <c r="G1802" s="14">
        <v>42</v>
      </c>
      <c r="H1802" s="15">
        <v>18</v>
      </c>
      <c r="I1802" s="15">
        <f>IF(OR(H1802="",F1802=""),"",MAX(H1802,MIN(ROUND(H1802*(1+Параметры!$B$5),IF(H1802*(1+Параметры!$B$5)&gt;=1000,-1,0)),ROUND(F1802*Параметры!$B$6,IF(F1802*Параметры!$B$6&gt;=1000,-1,0)))))</f>
        <v>21</v>
      </c>
      <c r="J1802" s="15">
        <v>20.5</v>
      </c>
      <c r="K1802" s="15">
        <f>IF(OR(J1802="",G1802=""),"",MAX(J1802,MIN(ROUND(J1802*(1+Параметры!$B$5),IF(J1802*(1+Параметры!$B$5)&gt;=1000,-1,0)),ROUND(G1802*Параметры!$B$6,IF(G1802*Параметры!$B$6&gt;=1000,-1,0)))))</f>
        <v>24</v>
      </c>
      <c r="L1802" s="16">
        <v>0.03</v>
      </c>
      <c r="M1802" s="17">
        <f t="shared" si="132"/>
        <v>33.333333333333336</v>
      </c>
      <c r="N1802" s="17">
        <f>IF(OR(L1802="",L1802=0),"",Параметры!$B$3/L1802)</f>
        <v>266.66666666666669</v>
      </c>
      <c r="O1802" s="15">
        <f>IF(L1802="","",IFERROR(INDEX('Почасовка — ставки и план'!$D$5:$D$24,MATCH($D1802,'Почасовка — ставки и план'!$A$5:$A$24,0)),""))</f>
        <v>850</v>
      </c>
      <c r="P1802" s="15">
        <f>IF(L1802="","",IFERROR(INDEX('Почасовка — ставки и план'!$E$5:$E$24,MATCH($D1802,'Почасовка — ставки и план'!$A$5:$A$24,0)),""))</f>
        <v>1020</v>
      </c>
      <c r="Q1802" s="15">
        <f t="shared" si="133"/>
        <v>26</v>
      </c>
      <c r="R1802" s="13" t="str">
        <f>IF(D1802="TEX","аренда техники — сделка/счёт",IF(OR(Q1802="",H1802="",H1802=0),"—",IF(Q1802&lt;H1802*(1-Параметры!$B$7),"почасовка",IF(Q1802&gt;H1802*(1+Параметры!$B$7),"сделка","любой способ"))))</f>
        <v>сделка</v>
      </c>
      <c r="S1802">
        <v>0.16666666666666671</v>
      </c>
      <c r="T1802">
        <v>0.21739130434782619</v>
      </c>
    </row>
    <row r="1803" spans="1:20" x14ac:dyDescent="0.25">
      <c r="A1803" s="13" t="s">
        <v>3642</v>
      </c>
      <c r="B1803" s="13" t="s">
        <v>3643</v>
      </c>
      <c r="C1803" s="13" t="s">
        <v>72</v>
      </c>
      <c r="D1803" s="13" t="s">
        <v>2686</v>
      </c>
      <c r="E1803" s="13" t="str">
        <f>IFERROR(INDEX('Почасовка — ставки и план'!$B$5:$B$24,MATCH(D1803,'Почасовка — ставки и план'!$A$5:$A$24,0)),"Аренда техники / механизмы")</f>
        <v>Дезинфектор (ОЗДС)</v>
      </c>
      <c r="F1803" s="14">
        <v>25</v>
      </c>
      <c r="G1803" s="14">
        <v>27.5</v>
      </c>
      <c r="H1803" s="15">
        <v>15</v>
      </c>
      <c r="I1803" s="15">
        <f>IF(OR(H1803="",F1803=""),"",MAX(H1803,MIN(ROUND(H1803*(1+Параметры!$B$5),IF(H1803*(1+Параметры!$B$5)&gt;=1000,-1,0)),ROUND(F1803*Параметры!$B$6,IF(F1803*Параметры!$B$6&gt;=1000,-1,0)))))</f>
        <v>17</v>
      </c>
      <c r="J1803" s="15">
        <v>16.5</v>
      </c>
      <c r="K1803" s="15">
        <f>IF(OR(J1803="",G1803=""),"",MAX(J1803,MIN(ROUND(J1803*(1+Параметры!$B$5),IF(J1803*(1+Параметры!$B$5)&gt;=1000,-1,0)),ROUND(G1803*Параметры!$B$6,IF(G1803*Параметры!$B$6&gt;=1000,-1,0)))))</f>
        <v>19</v>
      </c>
      <c r="L1803" s="16">
        <v>0.01</v>
      </c>
      <c r="M1803" s="17">
        <f t="shared" si="132"/>
        <v>100</v>
      </c>
      <c r="N1803" s="17">
        <f>IF(OR(L1803="",L1803=0),"",Параметры!$B$3/L1803)</f>
        <v>800</v>
      </c>
      <c r="O1803" s="15">
        <f>IF(L1803="","",IFERROR(INDEX('Почасовка — ставки и план'!$D$5:$D$24,MATCH($D1803,'Почасовка — ставки и план'!$A$5:$A$24,0)),""))</f>
        <v>850</v>
      </c>
      <c r="P1803" s="15">
        <f>IF(L1803="","",IFERROR(INDEX('Почасовка — ставки и план'!$E$5:$E$24,MATCH($D1803,'Почасовка — ставки и план'!$A$5:$A$24,0)),""))</f>
        <v>1020</v>
      </c>
      <c r="Q1803" s="15">
        <f t="shared" si="133"/>
        <v>9</v>
      </c>
      <c r="R1803" s="13" t="str">
        <f>IF(D1803="TEX","аренда техники — сделка/счёт",IF(OR(Q1803="",H1803="",H1803=0),"—",IF(Q1803&lt;H1803*(1-Параметры!$B$7),"почасовка",IF(Q1803&gt;H1803*(1+Параметры!$B$7),"сделка","любой способ"))))</f>
        <v>почасовка</v>
      </c>
      <c r="S1803">
        <v>0</v>
      </c>
      <c r="T1803">
        <v>0</v>
      </c>
    </row>
    <row r="1804" spans="1:20" x14ac:dyDescent="0.25">
      <c r="A1804" s="18" t="s">
        <v>3644</v>
      </c>
      <c r="B1804" s="13" t="s">
        <v>3645</v>
      </c>
      <c r="C1804" s="13" t="s">
        <v>2098</v>
      </c>
      <c r="D1804" s="13" t="s">
        <v>2663</v>
      </c>
      <c r="E1804" s="13" t="str">
        <f>IFERROR(INDEX('Почасовка — ставки и план'!$B$5:$B$24,MATCH(D1804,'Почасовка — ставки и план'!$A$5:$A$24,0)),"Аренда техники / механизмы")</f>
        <v>Инженер электролаборатории / ПНР</v>
      </c>
      <c r="F1804" s="14">
        <v>11200</v>
      </c>
      <c r="G1804" s="14">
        <v>13440</v>
      </c>
      <c r="H1804" s="15">
        <v>5500</v>
      </c>
      <c r="I1804" s="15">
        <f>IF(OR(H1804="",F1804=""),"",MAX(H1804,MIN(ROUND(H1804*(1+Параметры!$B$5),IF(H1804*(1+Параметры!$B$5)&gt;=1000,-1,0)),ROUND(F1804*Параметры!$B$6,IF(F1804*Параметры!$B$6&gt;=1000,-1,0)))))</f>
        <v>6330</v>
      </c>
      <c r="J1804" s="15">
        <v>6325</v>
      </c>
      <c r="K1804" s="15">
        <f>IF(OR(J1804="",G1804=""),"",MAX(J1804,MIN(ROUND(J1804*(1+Параметры!$B$5),IF(J1804*(1+Параметры!$B$5)&gt;=1000,-1,0)),ROUND(G1804*Параметры!$B$6,IF(G1804*Параметры!$B$6&gt;=1000,-1,0)))))</f>
        <v>7270</v>
      </c>
      <c r="L1804" s="16">
        <v>6</v>
      </c>
      <c r="M1804" s="17">
        <f t="shared" si="132"/>
        <v>0.16666666666666666</v>
      </c>
      <c r="N1804" s="17">
        <f>IF(OR(L1804="",L1804=0),"",Параметры!$B$3/L1804)</f>
        <v>1.3333333333333333</v>
      </c>
      <c r="O1804" s="15">
        <f>IF(L1804="","",IFERROR(INDEX('Почасовка — ставки и план'!$D$5:$D$24,MATCH($D1804,'Почасовка — ставки и план'!$A$5:$A$24,0)),""))</f>
        <v>1400</v>
      </c>
      <c r="P1804" s="15">
        <f>IF(L1804="","",IFERROR(INDEX('Почасовка — ставки и план'!$E$5:$E$24,MATCH($D1804,'Почасовка — ставки и план'!$A$5:$A$24,0)),""))</f>
        <v>1680</v>
      </c>
      <c r="Q1804" s="15">
        <f t="shared" si="133"/>
        <v>8400</v>
      </c>
      <c r="R1804" s="13" t="str">
        <f>IF(D1804="TEX","аренда техники — сделка/счёт",IF(OR(Q1804="",H1804="",H1804=0),"—",IF(Q1804&lt;H1804*(1-Параметры!$B$7),"почасовка",IF(Q1804&gt;H1804*(1+Параметры!$B$7),"сделка","любой способ"))))</f>
        <v>сделка</v>
      </c>
      <c r="S1804">
        <v>0.24444444444444449</v>
      </c>
      <c r="T1804">
        <v>0.29855072463768112</v>
      </c>
    </row>
    <row r="1805" spans="1:20" x14ac:dyDescent="0.25">
      <c r="A1805" s="18" t="s">
        <v>3646</v>
      </c>
      <c r="B1805" s="13" t="s">
        <v>3647</v>
      </c>
      <c r="C1805" s="13" t="s">
        <v>69</v>
      </c>
      <c r="D1805" s="13" t="s">
        <v>273</v>
      </c>
      <c r="E1805" s="13" t="str">
        <f>IFERROR(INDEX('Почасовка — ставки и план'!$B$5:$B$24,MATCH(D1805,'Почасовка — ставки и план'!$A$5:$A$24,0)),"Аренда техники / механизмы")</f>
        <v>Электромонтажник</v>
      </c>
      <c r="F1805" s="14">
        <v>40</v>
      </c>
      <c r="G1805" s="14">
        <v>46</v>
      </c>
      <c r="H1805" s="15">
        <v>25</v>
      </c>
      <c r="I1805" s="15">
        <f>IF(OR(H1805="",F1805=""),"",MAX(H1805,MIN(ROUND(H1805*(1+Параметры!$B$5),IF(H1805*(1+Параметры!$B$5)&gt;=1000,-1,0)),ROUND(F1805*Параметры!$B$6,IF(F1805*Параметры!$B$6&gt;=1000,-1,0)))))</f>
        <v>29</v>
      </c>
      <c r="J1805" s="15">
        <v>28.5</v>
      </c>
      <c r="K1805" s="15">
        <f>IF(OR(J1805="",G1805=""),"",MAX(J1805,MIN(ROUND(J1805*(1+Параметры!$B$5),IF(J1805*(1+Параметры!$B$5)&gt;=1000,-1,0)),ROUND(G1805*Параметры!$B$6,IF(G1805*Параметры!$B$6&gt;=1000,-1,0)))))</f>
        <v>33</v>
      </c>
      <c r="L1805" s="16">
        <v>0.03</v>
      </c>
      <c r="M1805" s="17">
        <f t="shared" si="132"/>
        <v>33.333333333333336</v>
      </c>
      <c r="N1805" s="17">
        <f>IF(OR(L1805="",L1805=0),"",Параметры!$B$3/L1805)</f>
        <v>266.66666666666669</v>
      </c>
      <c r="O1805" s="15">
        <f>IF(L1805="","",IFERROR(INDEX('Почасовка — ставки и план'!$D$5:$D$24,MATCH($D1805,'Почасовка — ставки и план'!$A$5:$A$24,0)),""))</f>
        <v>850</v>
      </c>
      <c r="P1805" s="15">
        <f>IF(L1805="","",IFERROR(INDEX('Почасовка — ставки и план'!$E$5:$E$24,MATCH($D1805,'Почасовка — ставки и план'!$A$5:$A$24,0)),""))</f>
        <v>1020</v>
      </c>
      <c r="Q1805" s="15">
        <f t="shared" si="133"/>
        <v>26</v>
      </c>
      <c r="R1805" s="13" t="str">
        <f>IF(D1805="TEX","аренда техники — сделка/счёт",IF(OR(Q1805="",H1805="",H1805=0),"—",IF(Q1805&lt;H1805*(1-Параметры!$B$7),"почасовка",IF(Q1805&gt;H1805*(1+Параметры!$B$7),"сделка","любой способ"))))</f>
        <v>любой способ</v>
      </c>
      <c r="S1805">
        <v>0</v>
      </c>
      <c r="T1805">
        <v>0</v>
      </c>
    </row>
    <row r="1806" spans="1:20" x14ac:dyDescent="0.25">
      <c r="A1806" s="18" t="s">
        <v>3648</v>
      </c>
      <c r="B1806" s="13" t="s">
        <v>3649</v>
      </c>
      <c r="C1806" s="13" t="s">
        <v>144</v>
      </c>
      <c r="D1806" s="13" t="s">
        <v>2686</v>
      </c>
      <c r="E1806" s="13" t="str">
        <f>IFERROR(INDEX('Почасовка — ставки и план'!$B$5:$B$24,MATCH(D1806,'Почасовка — ставки и план'!$A$5:$A$24,0)),"Аренда техники / механизмы")</f>
        <v>Дезинфектор (ОЗДС)</v>
      </c>
      <c r="F1806" s="14">
        <v>250</v>
      </c>
      <c r="G1806" s="14">
        <v>288</v>
      </c>
      <c r="H1806" s="15">
        <v>150</v>
      </c>
      <c r="I1806" s="15">
        <f>IF(OR(H1806="",F1806=""),"",MAX(H1806,MIN(ROUND(H1806*(1+Параметры!$B$5),IF(H1806*(1+Параметры!$B$5)&gt;=1000,-1,0)),ROUND(F1806*Параметры!$B$6,IF(F1806*Параметры!$B$6&gt;=1000,-1,0)))))</f>
        <v>173</v>
      </c>
      <c r="J1806" s="15">
        <v>172</v>
      </c>
      <c r="K1806" s="15">
        <f>IF(OR(J1806="",G1806=""),"",MAX(J1806,MIN(ROUND(J1806*(1+Параметры!$B$5),IF(J1806*(1+Параметры!$B$5)&gt;=1000,-1,0)),ROUND(G1806*Параметры!$B$6,IF(G1806*Параметры!$B$6&gt;=1000,-1,0)))))</f>
        <v>198</v>
      </c>
      <c r="L1806" s="16">
        <v>0.15</v>
      </c>
      <c r="M1806" s="17">
        <f t="shared" si="132"/>
        <v>6.666666666666667</v>
      </c>
      <c r="N1806" s="17">
        <f>IF(OR(L1806="",L1806=0),"",Параметры!$B$3/L1806)</f>
        <v>53.333333333333336</v>
      </c>
      <c r="O1806" s="15">
        <f>IF(L1806="","",IFERROR(INDEX('Почасовка — ставки и план'!$D$5:$D$24,MATCH($D1806,'Почасовка — ставки и план'!$A$5:$A$24,0)),""))</f>
        <v>850</v>
      </c>
      <c r="P1806" s="15">
        <f>IF(L1806="","",IFERROR(INDEX('Почасовка — ставки и план'!$E$5:$E$24,MATCH($D1806,'Почасовка — ставки и план'!$A$5:$A$24,0)),""))</f>
        <v>1020</v>
      </c>
      <c r="Q1806" s="15">
        <f t="shared" si="133"/>
        <v>128</v>
      </c>
      <c r="R1806" s="13" t="str">
        <f>IF(D1806="TEX","аренда техники — сделка/счёт",IF(OR(Q1806="",H1806="",H1806=0),"—",IF(Q1806&lt;H1806*(1-Параметры!$B$7),"почасовка",IF(Q1806&gt;H1806*(1+Параметры!$B$7),"сделка","любой способ"))))</f>
        <v>почасовка</v>
      </c>
      <c r="S1806">
        <v>0</v>
      </c>
      <c r="T1806">
        <v>0</v>
      </c>
    </row>
    <row r="1807" spans="1:20" x14ac:dyDescent="0.25">
      <c r="A1807" s="18" t="s">
        <v>3650</v>
      </c>
      <c r="B1807" s="13" t="s">
        <v>3651</v>
      </c>
      <c r="C1807" s="13" t="s">
        <v>144</v>
      </c>
      <c r="D1807" s="13" t="s">
        <v>2686</v>
      </c>
      <c r="E1807" s="13" t="str">
        <f>IFERROR(INDEX('Почасовка — ставки и план'!$B$5:$B$24,MATCH(D1807,'Почасовка — ставки и план'!$A$5:$A$24,0)),"Аренда техники / механизмы")</f>
        <v>Дезинфектор (ОЗДС)</v>
      </c>
      <c r="F1807" s="14">
        <v>150</v>
      </c>
      <c r="G1807" s="14">
        <v>172</v>
      </c>
      <c r="H1807" s="15">
        <v>90</v>
      </c>
      <c r="I1807" s="15">
        <f>IF(OR(H1807="",F1807=""),"",MAX(H1807,MIN(ROUND(H1807*(1+Параметры!$B$5),IF(H1807*(1+Параметры!$B$5)&gt;=1000,-1,0)),ROUND(F1807*Параметры!$B$6,IF(F1807*Параметры!$B$6&gt;=1000,-1,0)))))</f>
        <v>104</v>
      </c>
      <c r="J1807" s="15">
        <v>103</v>
      </c>
      <c r="K1807" s="15">
        <f>IF(OR(J1807="",G1807=""),"",MAX(J1807,MIN(ROUND(J1807*(1+Параметры!$B$5),IF(J1807*(1+Параметры!$B$5)&gt;=1000,-1,0)),ROUND(G1807*Параметры!$B$6,IF(G1807*Параметры!$B$6&gt;=1000,-1,0)))))</f>
        <v>118</v>
      </c>
      <c r="L1807" s="16">
        <v>0.1</v>
      </c>
      <c r="M1807" s="17">
        <f t="shared" si="132"/>
        <v>10</v>
      </c>
      <c r="N1807" s="17">
        <f>IF(OR(L1807="",L1807=0),"",Параметры!$B$3/L1807)</f>
        <v>80</v>
      </c>
      <c r="O1807" s="15">
        <f>IF(L1807="","",IFERROR(INDEX('Почасовка — ставки и план'!$D$5:$D$24,MATCH($D1807,'Почасовка — ставки и план'!$A$5:$A$24,0)),""))</f>
        <v>850</v>
      </c>
      <c r="P1807" s="15">
        <f>IF(L1807="","",IFERROR(INDEX('Почасовка — ставки и план'!$E$5:$E$24,MATCH($D1807,'Почасовка — ставки и план'!$A$5:$A$24,0)),""))</f>
        <v>1020</v>
      </c>
      <c r="Q1807" s="15">
        <f t="shared" si="133"/>
        <v>85</v>
      </c>
      <c r="R1807" s="13" t="str">
        <f>IF(D1807="TEX","аренда техники — сделка/счёт",IF(OR(Q1807="",H1807="",H1807=0),"—",IF(Q1807&lt;H1807*(1-Параметры!$B$7),"почасовка",IF(Q1807&gt;H1807*(1+Параметры!$B$7),"сделка","любой способ"))))</f>
        <v>любой способ</v>
      </c>
      <c r="S1807">
        <v>0</v>
      </c>
      <c r="T1807">
        <v>0</v>
      </c>
    </row>
    <row r="1808" spans="1:20" x14ac:dyDescent="0.25">
      <c r="A1808" s="11" t="s">
        <v>3652</v>
      </c>
      <c r="B1808" s="12"/>
      <c r="C1808" s="12"/>
      <c r="D1808" s="12"/>
      <c r="E1808" s="12"/>
      <c r="F1808" s="12"/>
      <c r="G1808" s="12"/>
      <c r="H1808" s="12"/>
      <c r="I1808" s="12"/>
      <c r="J1808" s="12"/>
      <c r="K1808" s="12"/>
      <c r="L1808" s="12"/>
      <c r="M1808" s="12"/>
      <c r="N1808" s="12"/>
      <c r="O1808" s="12"/>
      <c r="P1808" s="12"/>
      <c r="Q1808" s="12"/>
      <c r="R1808" s="12"/>
    </row>
    <row r="1809" spans="1:20" x14ac:dyDescent="0.25">
      <c r="A1809" s="13" t="s">
        <v>3653</v>
      </c>
      <c r="B1809" s="13" t="s">
        <v>3654</v>
      </c>
      <c r="C1809" s="13" t="s">
        <v>144</v>
      </c>
      <c r="D1809" s="13" t="s">
        <v>276</v>
      </c>
      <c r="E1809" s="13" t="str">
        <f>IFERROR(INDEX('Почасовка — ставки и план'!$B$5:$B$24,MATCH(D1809,'Почасовка — ставки и план'!$A$5:$A$24,0)),"Аренда техники / механизмы")</f>
        <v>Монтажник дверей, окон, перегородок</v>
      </c>
      <c r="F1809" s="14">
        <v>1500</v>
      </c>
      <c r="G1809" s="14">
        <v>1725</v>
      </c>
      <c r="H1809" s="15">
        <v>930</v>
      </c>
      <c r="I1809" s="15">
        <f>IF(OR(H1809="",F1809=""),"",MAX(H1809,MIN(ROUND(H1809*(1+Параметры!$B$5),IF(H1809*(1+Параметры!$B$5)&gt;=1000,-1,0)),ROUND(F1809*Параметры!$B$6,IF(F1809*Параметры!$B$6&gt;=1000,-1,0)))))</f>
        <v>1070</v>
      </c>
      <c r="J1809" s="15">
        <v>1069</v>
      </c>
      <c r="K1809" s="15">
        <f>IF(OR(J1809="",G1809=""),"",MAX(J1809,MIN(ROUND(J1809*(1+Параметры!$B$5),IF(J1809*(1+Параметры!$B$5)&gt;=1000,-1,0)),ROUND(G1809*Параметры!$B$6,IF(G1809*Параметры!$B$6&gt;=1000,-1,0)))))</f>
        <v>1230</v>
      </c>
      <c r="L1809" s="16">
        <v>0.6</v>
      </c>
      <c r="M1809" s="17">
        <f t="shared" ref="M1809:M1840" si="134">IF(OR(L1809="",L1809=0),"",1/L1809)</f>
        <v>1.6666666666666667</v>
      </c>
      <c r="N1809" s="17">
        <f>IF(OR(L1809="",L1809=0),"",Параметры!$B$3/L1809)</f>
        <v>13.333333333333334</v>
      </c>
      <c r="O1809" s="15">
        <f>IF(L1809="","",IFERROR(INDEX('Почасовка — ставки и план'!$D$5:$D$24,MATCH($D1809,'Почасовка — ставки и план'!$A$5:$A$24,0)),""))</f>
        <v>800</v>
      </c>
      <c r="P1809" s="15">
        <f>IF(L1809="","",IFERROR(INDEX('Почасовка — ставки и план'!$E$5:$E$24,MATCH($D1809,'Почасовка — ставки и план'!$A$5:$A$24,0)),""))</f>
        <v>950</v>
      </c>
      <c r="Q1809" s="15">
        <f t="shared" ref="Q1809:Q1840" si="135">IF(OR(L1809="",O1809=""),"",ROUND(L1809*O1809,0))</f>
        <v>480</v>
      </c>
      <c r="R1809" s="13" t="str">
        <f>IF(D1809="TEX","аренда техники — сделка/счёт",IF(OR(Q1809="",H1809="",H1809=0),"—",IF(Q1809&lt;H1809*(1-Параметры!$B$7),"почасовка",IF(Q1809&gt;H1809*(1+Параметры!$B$7),"сделка","любой способ"))))</f>
        <v>почасовка</v>
      </c>
      <c r="S1809">
        <v>0</v>
      </c>
      <c r="T1809">
        <v>0</v>
      </c>
    </row>
    <row r="1810" spans="1:20" x14ac:dyDescent="0.25">
      <c r="A1810" s="13" t="s">
        <v>3655</v>
      </c>
      <c r="B1810" s="13" t="s">
        <v>3656</v>
      </c>
      <c r="C1810" s="13" t="s">
        <v>144</v>
      </c>
      <c r="D1810" s="13" t="s">
        <v>276</v>
      </c>
      <c r="E1810" s="13" t="str">
        <f>IFERROR(INDEX('Почасовка — ставки и план'!$B$5:$B$24,MATCH(D1810,'Почасовка — ставки и план'!$A$5:$A$24,0)),"Аренда техники / механизмы")</f>
        <v>Монтажник дверей, окон, перегородок</v>
      </c>
      <c r="F1810" s="14">
        <v>1700</v>
      </c>
      <c r="G1810" s="14">
        <v>1955</v>
      </c>
      <c r="H1810" s="15">
        <v>1054</v>
      </c>
      <c r="I1810" s="15">
        <f>IF(OR(H1810="",F1810=""),"",MAX(H1810,MIN(ROUND(H1810*(1+Параметры!$B$5),IF(H1810*(1+Параметры!$B$5)&gt;=1000,-1,0)),ROUND(F1810*Параметры!$B$6,IF(F1810*Параметры!$B$6&gt;=1000,-1,0)))))</f>
        <v>1210</v>
      </c>
      <c r="J1810" s="15">
        <v>1212</v>
      </c>
      <c r="K1810" s="15">
        <f>IF(OR(J1810="",G1810=""),"",MAX(J1810,MIN(ROUND(J1810*(1+Параметры!$B$5),IF(J1810*(1+Параметры!$B$5)&gt;=1000,-1,0)),ROUND(G1810*Параметры!$B$6,IF(G1810*Параметры!$B$6&gt;=1000,-1,0)))))</f>
        <v>1390</v>
      </c>
      <c r="L1810" s="16">
        <v>0.7</v>
      </c>
      <c r="M1810" s="17">
        <f t="shared" si="134"/>
        <v>1.4285714285714286</v>
      </c>
      <c r="N1810" s="17">
        <f>IF(OR(L1810="",L1810=0),"",Параметры!$B$3/L1810)</f>
        <v>11.428571428571429</v>
      </c>
      <c r="O1810" s="15">
        <f>IF(L1810="","",IFERROR(INDEX('Почасовка — ставки и план'!$D$5:$D$24,MATCH($D1810,'Почасовка — ставки и план'!$A$5:$A$24,0)),""))</f>
        <v>800</v>
      </c>
      <c r="P1810" s="15">
        <f>IF(L1810="","",IFERROR(INDEX('Почасовка — ставки и план'!$E$5:$E$24,MATCH($D1810,'Почасовка — ставки и план'!$A$5:$A$24,0)),""))</f>
        <v>950</v>
      </c>
      <c r="Q1810" s="15">
        <f t="shared" si="135"/>
        <v>560</v>
      </c>
      <c r="R1810" s="13" t="str">
        <f>IF(D1810="TEX","аренда техники — сделка/счёт",IF(OR(Q1810="",H1810="",H1810=0),"—",IF(Q1810&lt;H1810*(1-Параметры!$B$7),"почасовка",IF(Q1810&gt;H1810*(1+Параметры!$B$7),"сделка","любой способ"))))</f>
        <v>почасовка</v>
      </c>
      <c r="S1810">
        <v>0</v>
      </c>
      <c r="T1810">
        <v>0</v>
      </c>
    </row>
    <row r="1811" spans="1:20" x14ac:dyDescent="0.25">
      <c r="A1811" s="13" t="s">
        <v>3657</v>
      </c>
      <c r="B1811" s="13" t="s">
        <v>3658</v>
      </c>
      <c r="C1811" s="13" t="s">
        <v>144</v>
      </c>
      <c r="D1811" s="13" t="s">
        <v>545</v>
      </c>
      <c r="E1811" s="13" t="str">
        <f>IFERROR(INDEX('Почасовка — ставки и план'!$B$5:$B$24,MATCH(D1811,'Почасовка — ставки и план'!$A$5:$A$24,0)),"Аренда техники / механизмы")</f>
        <v>Сервисный инженер ворот и автоматики</v>
      </c>
      <c r="F1811" s="14">
        <v>4500</v>
      </c>
      <c r="G1811" s="14">
        <v>5175</v>
      </c>
      <c r="H1811" s="15">
        <v>2700</v>
      </c>
      <c r="I1811" s="15">
        <f>IF(OR(H1811="",F1811=""),"",MAX(H1811,MIN(ROUND(H1811*(1+Параметры!$B$5),IF(H1811*(1+Параметры!$B$5)&gt;=1000,-1,0)),ROUND(F1811*Параметры!$B$6,IF(F1811*Параметры!$B$6&gt;=1000,-1,0)))))</f>
        <v>3110</v>
      </c>
      <c r="J1811" s="15">
        <v>3105</v>
      </c>
      <c r="K1811" s="15">
        <f>IF(OR(J1811="",G1811=""),"",MAX(J1811,MIN(ROUND(J1811*(1+Параметры!$B$5),IF(J1811*(1+Параметры!$B$5)&gt;=1000,-1,0)),ROUND(G1811*Параметры!$B$6,IF(G1811*Параметры!$B$6&gt;=1000,-1,0)))))</f>
        <v>3570</v>
      </c>
      <c r="L1811" s="16">
        <v>2.5</v>
      </c>
      <c r="M1811" s="17">
        <f t="shared" si="134"/>
        <v>0.4</v>
      </c>
      <c r="N1811" s="17">
        <f>IF(OR(L1811="",L1811=0),"",Параметры!$B$3/L1811)</f>
        <v>3.2</v>
      </c>
      <c r="O1811" s="15">
        <f>IF(L1811="","",IFERROR(INDEX('Почасовка — ставки и план'!$D$5:$D$24,MATCH($D1811,'Почасовка — ставки и план'!$A$5:$A$24,0)),""))</f>
        <v>1200</v>
      </c>
      <c r="P1811" s="15">
        <f>IF(L1811="","",IFERROR(INDEX('Почасовка — ставки и план'!$E$5:$E$24,MATCH($D1811,'Почасовка — ставки и план'!$A$5:$A$24,0)),""))</f>
        <v>1440</v>
      </c>
      <c r="Q1811" s="15">
        <f t="shared" si="135"/>
        <v>3000</v>
      </c>
      <c r="R1811" s="13" t="str">
        <f>IF(D1811="TEX","аренда техники — сделка/счёт",IF(OR(Q1811="",H1811="",H1811=0),"—",IF(Q1811&lt;H1811*(1-Параметры!$B$7),"почасовка",IF(Q1811&gt;H1811*(1+Параметры!$B$7),"сделка","любой способ"))))</f>
        <v>сделка</v>
      </c>
      <c r="S1811">
        <v>0</v>
      </c>
      <c r="T1811">
        <v>0</v>
      </c>
    </row>
    <row r="1812" spans="1:20" x14ac:dyDescent="0.25">
      <c r="A1812" s="13" t="s">
        <v>3659</v>
      </c>
      <c r="B1812" s="13" t="s">
        <v>3660</v>
      </c>
      <c r="C1812" s="13" t="s">
        <v>72</v>
      </c>
      <c r="D1812" s="13" t="s">
        <v>276</v>
      </c>
      <c r="E1812" s="13" t="str">
        <f>IFERROR(INDEX('Почасовка — ставки и план'!$B$5:$B$24,MATCH(D1812,'Почасовка — ставки и план'!$A$5:$A$24,0)),"Аренда техники / механизмы")</f>
        <v>Монтажник дверей, окон, перегородок</v>
      </c>
      <c r="F1812" s="14">
        <v>4000</v>
      </c>
      <c r="G1812" s="14">
        <v>4600</v>
      </c>
      <c r="H1812" s="15">
        <v>2480</v>
      </c>
      <c r="I1812" s="15">
        <f>IF(OR(H1812="",F1812=""),"",MAX(H1812,MIN(ROUND(H1812*(1+Параметры!$B$5),IF(H1812*(1+Параметры!$B$5)&gt;=1000,-1,0)),ROUND(F1812*Параметры!$B$6,IF(F1812*Параметры!$B$6&gt;=1000,-1,0)))))</f>
        <v>2850</v>
      </c>
      <c r="J1812" s="15">
        <v>2852</v>
      </c>
      <c r="K1812" s="15">
        <f>IF(OR(J1812="",G1812=""),"",MAX(J1812,MIN(ROUND(J1812*(1+Параметры!$B$5),IF(J1812*(1+Параметры!$B$5)&gt;=1000,-1,0)),ROUND(G1812*Параметры!$B$6,IF(G1812*Параметры!$B$6&gt;=1000,-1,0)))))</f>
        <v>3280</v>
      </c>
      <c r="L1812" s="16">
        <v>2.5</v>
      </c>
      <c r="M1812" s="17">
        <f t="shared" si="134"/>
        <v>0.4</v>
      </c>
      <c r="N1812" s="17">
        <f>IF(OR(L1812="",L1812=0),"",Параметры!$B$3/L1812)</f>
        <v>3.2</v>
      </c>
      <c r="O1812" s="15">
        <f>IF(L1812="","",IFERROR(INDEX('Почасовка — ставки и план'!$D$5:$D$24,MATCH($D1812,'Почасовка — ставки и план'!$A$5:$A$24,0)),""))</f>
        <v>800</v>
      </c>
      <c r="P1812" s="15">
        <f>IF(L1812="","",IFERROR(INDEX('Почасовка — ставки и план'!$E$5:$E$24,MATCH($D1812,'Почасовка — ставки и план'!$A$5:$A$24,0)),""))</f>
        <v>950</v>
      </c>
      <c r="Q1812" s="15">
        <f t="shared" si="135"/>
        <v>2000</v>
      </c>
      <c r="R1812" s="13" t="str">
        <f>IF(D1812="TEX","аренда техники — сделка/счёт",IF(OR(Q1812="",H1812="",H1812=0),"—",IF(Q1812&lt;H1812*(1-Параметры!$B$7),"почасовка",IF(Q1812&gt;H1812*(1+Параметры!$B$7),"сделка","любой способ"))))</f>
        <v>почасовка</v>
      </c>
      <c r="S1812">
        <v>0</v>
      </c>
      <c r="T1812">
        <v>0</v>
      </c>
    </row>
    <row r="1813" spans="1:20" x14ac:dyDescent="0.25">
      <c r="A1813" s="13" t="s">
        <v>3661</v>
      </c>
      <c r="B1813" s="13" t="s">
        <v>3662</v>
      </c>
      <c r="C1813" s="13" t="s">
        <v>144</v>
      </c>
      <c r="D1813" s="13" t="s">
        <v>276</v>
      </c>
      <c r="E1813" s="13" t="str">
        <f>IFERROR(INDEX('Почасовка — ставки и план'!$B$5:$B$24,MATCH(D1813,'Почасовка — ставки и план'!$A$5:$A$24,0)),"Аренда техники / механизмы")</f>
        <v>Монтажник дверей, окон, перегородок</v>
      </c>
      <c r="F1813" s="14">
        <v>2000</v>
      </c>
      <c r="G1813" s="14">
        <v>2300</v>
      </c>
      <c r="H1813" s="15">
        <v>1240</v>
      </c>
      <c r="I1813" s="15">
        <f>IF(OR(H1813="",F1813=""),"",MAX(H1813,MIN(ROUND(H1813*(1+Параметры!$B$5),IF(H1813*(1+Параметры!$B$5)&gt;=1000,-1,0)),ROUND(F1813*Параметры!$B$6,IF(F1813*Параметры!$B$6&gt;=1000,-1,0)))))</f>
        <v>1430</v>
      </c>
      <c r="J1813" s="15">
        <v>1426</v>
      </c>
      <c r="K1813" s="15">
        <f>IF(OR(J1813="",G1813=""),"",MAX(J1813,MIN(ROUND(J1813*(1+Параметры!$B$5),IF(J1813*(1+Параметры!$B$5)&gt;=1000,-1,0)),ROUND(G1813*Параметры!$B$6,IF(G1813*Параметры!$B$6&gt;=1000,-1,0)))))</f>
        <v>1640</v>
      </c>
      <c r="L1813" s="16">
        <v>1.2</v>
      </c>
      <c r="M1813" s="17">
        <f t="shared" si="134"/>
        <v>0.83333333333333337</v>
      </c>
      <c r="N1813" s="17">
        <f>IF(OR(L1813="",L1813=0),"",Параметры!$B$3/L1813)</f>
        <v>6.666666666666667</v>
      </c>
      <c r="O1813" s="15">
        <f>IF(L1813="","",IFERROR(INDEX('Почасовка — ставки и план'!$D$5:$D$24,MATCH($D1813,'Почасовка — ставки и план'!$A$5:$A$24,0)),""))</f>
        <v>800</v>
      </c>
      <c r="P1813" s="15">
        <f>IF(L1813="","",IFERROR(INDEX('Почасовка — ставки и план'!$E$5:$E$24,MATCH($D1813,'Почасовка — ставки и план'!$A$5:$A$24,0)),""))</f>
        <v>950</v>
      </c>
      <c r="Q1813" s="15">
        <f t="shared" si="135"/>
        <v>960</v>
      </c>
      <c r="R1813" s="13" t="str">
        <f>IF(D1813="TEX","аренда техники — сделка/счёт",IF(OR(Q1813="",H1813="",H1813=0),"—",IF(Q1813&lt;H1813*(1-Параметры!$B$7),"почасовка",IF(Q1813&gt;H1813*(1+Параметры!$B$7),"сделка","любой способ"))))</f>
        <v>почасовка</v>
      </c>
      <c r="S1813">
        <v>0</v>
      </c>
      <c r="T1813">
        <v>0</v>
      </c>
    </row>
    <row r="1814" spans="1:20" x14ac:dyDescent="0.25">
      <c r="A1814" s="13" t="s">
        <v>3663</v>
      </c>
      <c r="B1814" s="13" t="s">
        <v>3664</v>
      </c>
      <c r="C1814" s="13" t="s">
        <v>144</v>
      </c>
      <c r="D1814" s="13" t="s">
        <v>545</v>
      </c>
      <c r="E1814" s="13" t="str">
        <f>IFERROR(INDEX('Почасовка — ставки и план'!$B$5:$B$24,MATCH(D1814,'Почасовка — ставки и план'!$A$5:$A$24,0)),"Аренда техники / механизмы")</f>
        <v>Сервисный инженер ворот и автоматики</v>
      </c>
      <c r="F1814" s="14">
        <v>3500</v>
      </c>
      <c r="G1814" s="14">
        <v>4025</v>
      </c>
      <c r="H1814" s="15">
        <v>2100</v>
      </c>
      <c r="I1814" s="15">
        <f>IF(OR(H1814="",F1814=""),"",MAX(H1814,MIN(ROUND(H1814*(1+Параметры!$B$5),IF(H1814*(1+Параметры!$B$5)&gt;=1000,-1,0)),ROUND(F1814*Параметры!$B$6,IF(F1814*Параметры!$B$6&gt;=1000,-1,0)))))</f>
        <v>2420</v>
      </c>
      <c r="J1814" s="15">
        <v>2415</v>
      </c>
      <c r="K1814" s="15">
        <f>IF(OR(J1814="",G1814=""),"",MAX(J1814,MIN(ROUND(J1814*(1+Параметры!$B$5),IF(J1814*(1+Параметры!$B$5)&gt;=1000,-1,0)),ROUND(G1814*Параметры!$B$6,IF(G1814*Параметры!$B$6&gt;=1000,-1,0)))))</f>
        <v>2780</v>
      </c>
      <c r="L1814" s="16">
        <v>2</v>
      </c>
      <c r="M1814" s="17">
        <f t="shared" si="134"/>
        <v>0.5</v>
      </c>
      <c r="N1814" s="17">
        <f>IF(OR(L1814="",L1814=0),"",Параметры!$B$3/L1814)</f>
        <v>4</v>
      </c>
      <c r="O1814" s="15">
        <f>IF(L1814="","",IFERROR(INDEX('Почасовка — ставки и план'!$D$5:$D$24,MATCH($D1814,'Почасовка — ставки и план'!$A$5:$A$24,0)),""))</f>
        <v>1200</v>
      </c>
      <c r="P1814" s="15">
        <f>IF(L1814="","",IFERROR(INDEX('Почасовка — ставки и план'!$E$5:$E$24,MATCH($D1814,'Почасовка — ставки и план'!$A$5:$A$24,0)),""))</f>
        <v>1440</v>
      </c>
      <c r="Q1814" s="15">
        <f t="shared" si="135"/>
        <v>2400</v>
      </c>
      <c r="R1814" s="13" t="str">
        <f>IF(D1814="TEX","аренда техники — сделка/счёт",IF(OR(Q1814="",H1814="",H1814=0),"—",IF(Q1814&lt;H1814*(1-Параметры!$B$7),"почасовка",IF(Q1814&gt;H1814*(1+Параметры!$B$7),"сделка","любой способ"))))</f>
        <v>сделка</v>
      </c>
      <c r="S1814">
        <v>0</v>
      </c>
      <c r="T1814">
        <v>0</v>
      </c>
    </row>
    <row r="1815" spans="1:20" x14ac:dyDescent="0.25">
      <c r="A1815" s="13" t="s">
        <v>3665</v>
      </c>
      <c r="B1815" s="13" t="s">
        <v>3666</v>
      </c>
      <c r="C1815" s="13" t="s">
        <v>144</v>
      </c>
      <c r="D1815" s="13" t="s">
        <v>545</v>
      </c>
      <c r="E1815" s="13" t="str">
        <f>IFERROR(INDEX('Почасовка — ставки и план'!$B$5:$B$24,MATCH(D1815,'Почасовка — ставки и план'!$A$5:$A$24,0)),"Аренда техники / механизмы")</f>
        <v>Сервисный инженер ворот и автоматики</v>
      </c>
      <c r="F1815" s="14">
        <v>2500</v>
      </c>
      <c r="G1815" s="14">
        <v>2875</v>
      </c>
      <c r="H1815" s="15">
        <v>1500</v>
      </c>
      <c r="I1815" s="15">
        <f>IF(OR(H1815="",F1815=""),"",MAX(H1815,MIN(ROUND(H1815*(1+Параметры!$B$5),IF(H1815*(1+Параметры!$B$5)&gt;=1000,-1,0)),ROUND(F1815*Параметры!$B$6,IF(F1815*Параметры!$B$6&gt;=1000,-1,0)))))</f>
        <v>1730</v>
      </c>
      <c r="J1815" s="15">
        <v>1725</v>
      </c>
      <c r="K1815" s="15">
        <f>IF(OR(J1815="",G1815=""),"",MAX(J1815,MIN(ROUND(J1815*(1+Параметры!$B$5),IF(J1815*(1+Параметры!$B$5)&gt;=1000,-1,0)),ROUND(G1815*Параметры!$B$6,IF(G1815*Параметры!$B$6&gt;=1000,-1,0)))))</f>
        <v>1980</v>
      </c>
      <c r="L1815" s="16">
        <v>1</v>
      </c>
      <c r="M1815" s="17">
        <f t="shared" si="134"/>
        <v>1</v>
      </c>
      <c r="N1815" s="17">
        <f>IF(OR(L1815="",L1815=0),"",Параметры!$B$3/L1815)</f>
        <v>8</v>
      </c>
      <c r="O1815" s="15">
        <f>IF(L1815="","",IFERROR(INDEX('Почасовка — ставки и план'!$D$5:$D$24,MATCH($D1815,'Почасовка — ставки и план'!$A$5:$A$24,0)),""))</f>
        <v>1200</v>
      </c>
      <c r="P1815" s="15">
        <f>IF(L1815="","",IFERROR(INDEX('Почасовка — ставки и план'!$E$5:$E$24,MATCH($D1815,'Почасовка — ставки и план'!$A$5:$A$24,0)),""))</f>
        <v>1440</v>
      </c>
      <c r="Q1815" s="15">
        <f t="shared" si="135"/>
        <v>1200</v>
      </c>
      <c r="R1815" s="13" t="str">
        <f>IF(D1815="TEX","аренда техники — сделка/счёт",IF(OR(Q1815="",H1815="",H1815=0),"—",IF(Q1815&lt;H1815*(1-Параметры!$B$7),"почасовка",IF(Q1815&gt;H1815*(1+Параметры!$B$7),"сделка","любой способ"))))</f>
        <v>почасовка</v>
      </c>
      <c r="S1815">
        <v>0</v>
      </c>
      <c r="T1815">
        <v>0</v>
      </c>
    </row>
    <row r="1816" spans="1:20" x14ac:dyDescent="0.25">
      <c r="A1816" s="13" t="s">
        <v>3667</v>
      </c>
      <c r="B1816" s="13" t="s">
        <v>3668</v>
      </c>
      <c r="C1816" s="13" t="s">
        <v>144</v>
      </c>
      <c r="D1816" s="13" t="s">
        <v>545</v>
      </c>
      <c r="E1816" s="13" t="str">
        <f>IFERROR(INDEX('Почасовка — ставки и план'!$B$5:$B$24,MATCH(D1816,'Почасовка — ставки и план'!$A$5:$A$24,0)),"Аренда техники / механизмы")</f>
        <v>Сервисный инженер ворот и автоматики</v>
      </c>
      <c r="F1816" s="14">
        <v>1600</v>
      </c>
      <c r="G1816" s="14">
        <v>1840</v>
      </c>
      <c r="H1816" s="15">
        <v>960</v>
      </c>
      <c r="I1816" s="15">
        <f>IF(OR(H1816="",F1816=""),"",MAX(H1816,MIN(ROUND(H1816*(1+Параметры!$B$5),IF(H1816*(1+Параметры!$B$5)&gt;=1000,-1,0)),ROUND(F1816*Параметры!$B$6,IF(F1816*Параметры!$B$6&gt;=1000,-1,0)))))</f>
        <v>1100</v>
      </c>
      <c r="J1816" s="15">
        <v>1104</v>
      </c>
      <c r="K1816" s="15">
        <f>IF(OR(J1816="",G1816=""),"",MAX(J1816,MIN(ROUND(J1816*(1+Параметры!$B$5),IF(J1816*(1+Параметры!$B$5)&gt;=1000,-1,0)),ROUND(G1816*Параметры!$B$6,IF(G1816*Параметры!$B$6&gt;=1000,-1,0)))))</f>
        <v>1270</v>
      </c>
      <c r="L1816" s="16">
        <v>0.8</v>
      </c>
      <c r="M1816" s="17">
        <f t="shared" si="134"/>
        <v>1.25</v>
      </c>
      <c r="N1816" s="17">
        <f>IF(OR(L1816="",L1816=0),"",Параметры!$B$3/L1816)</f>
        <v>10</v>
      </c>
      <c r="O1816" s="15">
        <f>IF(L1816="","",IFERROR(INDEX('Почасовка — ставки и план'!$D$5:$D$24,MATCH($D1816,'Почасовка — ставки и план'!$A$5:$A$24,0)),""))</f>
        <v>1200</v>
      </c>
      <c r="P1816" s="15">
        <f>IF(L1816="","",IFERROR(INDEX('Почасовка — ставки и план'!$E$5:$E$24,MATCH($D1816,'Почасовка — ставки и план'!$A$5:$A$24,0)),""))</f>
        <v>1440</v>
      </c>
      <c r="Q1816" s="15">
        <f t="shared" si="135"/>
        <v>960</v>
      </c>
      <c r="R1816" s="13" t="str">
        <f>IF(D1816="TEX","аренда техники — сделка/счёт",IF(OR(Q1816="",H1816="",H1816=0),"—",IF(Q1816&lt;H1816*(1-Параметры!$B$7),"почасовка",IF(Q1816&gt;H1816*(1+Параметры!$B$7),"сделка","любой способ"))))</f>
        <v>любой способ</v>
      </c>
      <c r="S1816">
        <v>0</v>
      </c>
      <c r="T1816">
        <v>0</v>
      </c>
    </row>
    <row r="1817" spans="1:20" x14ac:dyDescent="0.25">
      <c r="A1817" s="13" t="s">
        <v>3669</v>
      </c>
      <c r="B1817" s="13" t="s">
        <v>3670</v>
      </c>
      <c r="C1817" s="13" t="s">
        <v>144</v>
      </c>
      <c r="D1817" s="13" t="s">
        <v>545</v>
      </c>
      <c r="E1817" s="13" t="str">
        <f>IFERROR(INDEX('Почасовка — ставки и план'!$B$5:$B$24,MATCH(D1817,'Почасовка — ставки и план'!$A$5:$A$24,0)),"Аренда техники / механизмы")</f>
        <v>Сервисный инженер ворот и автоматики</v>
      </c>
      <c r="F1817" s="14">
        <v>1800</v>
      </c>
      <c r="G1817" s="14">
        <v>2070</v>
      </c>
      <c r="H1817" s="15">
        <v>1080</v>
      </c>
      <c r="I1817" s="15">
        <f>IF(OR(H1817="",F1817=""),"",MAX(H1817,MIN(ROUND(H1817*(1+Параметры!$B$5),IF(H1817*(1+Параметры!$B$5)&gt;=1000,-1,0)),ROUND(F1817*Параметры!$B$6,IF(F1817*Параметры!$B$6&gt;=1000,-1,0)))))</f>
        <v>1240</v>
      </c>
      <c r="J1817" s="15">
        <v>1242</v>
      </c>
      <c r="K1817" s="15">
        <f>IF(OR(J1817="",G1817=""),"",MAX(J1817,MIN(ROUND(J1817*(1+Параметры!$B$5),IF(J1817*(1+Параметры!$B$5)&gt;=1000,-1,0)),ROUND(G1817*Параметры!$B$6,IF(G1817*Параметры!$B$6&gt;=1000,-1,0)))))</f>
        <v>1430</v>
      </c>
      <c r="L1817" s="16">
        <v>1</v>
      </c>
      <c r="M1817" s="17">
        <f t="shared" si="134"/>
        <v>1</v>
      </c>
      <c r="N1817" s="17">
        <f>IF(OR(L1817="",L1817=0),"",Параметры!$B$3/L1817)</f>
        <v>8</v>
      </c>
      <c r="O1817" s="15">
        <f>IF(L1817="","",IFERROR(INDEX('Почасовка — ставки и план'!$D$5:$D$24,MATCH($D1817,'Почасовка — ставки и план'!$A$5:$A$24,0)),""))</f>
        <v>1200</v>
      </c>
      <c r="P1817" s="15">
        <f>IF(L1817="","",IFERROR(INDEX('Почасовка — ставки и план'!$E$5:$E$24,MATCH($D1817,'Почасовка — ставки и план'!$A$5:$A$24,0)),""))</f>
        <v>1440</v>
      </c>
      <c r="Q1817" s="15">
        <f t="shared" si="135"/>
        <v>1200</v>
      </c>
      <c r="R1817" s="13" t="str">
        <f>IF(D1817="TEX","аренда техники — сделка/счёт",IF(OR(Q1817="",H1817="",H1817=0),"—",IF(Q1817&lt;H1817*(1-Параметры!$B$7),"почасовка",IF(Q1817&gt;H1817*(1+Параметры!$B$7),"сделка","любой способ"))))</f>
        <v>сделка</v>
      </c>
      <c r="S1817">
        <v>0</v>
      </c>
      <c r="T1817">
        <v>0</v>
      </c>
    </row>
    <row r="1818" spans="1:20" x14ac:dyDescent="0.25">
      <c r="A1818" s="13" t="s">
        <v>3671</v>
      </c>
      <c r="B1818" s="13" t="s">
        <v>3672</v>
      </c>
      <c r="C1818" s="13" t="s">
        <v>144</v>
      </c>
      <c r="D1818" s="13" t="s">
        <v>276</v>
      </c>
      <c r="E1818" s="13" t="str">
        <f>IFERROR(INDEX('Почасовка — ставки и план'!$B$5:$B$24,MATCH(D1818,'Почасовка — ставки и план'!$A$5:$A$24,0)),"Аренда техники / механизмы")</f>
        <v>Монтажник дверей, окон, перегородок</v>
      </c>
      <c r="F1818" s="14">
        <v>500</v>
      </c>
      <c r="G1818" s="14">
        <v>575</v>
      </c>
      <c r="H1818" s="15">
        <v>310</v>
      </c>
      <c r="I1818" s="15">
        <f>IF(OR(H1818="",F1818=""),"",MAX(H1818,MIN(ROUND(H1818*(1+Параметры!$B$5),IF(H1818*(1+Параметры!$B$5)&gt;=1000,-1,0)),ROUND(F1818*Параметры!$B$6,IF(F1818*Параметры!$B$6&gt;=1000,-1,0)))))</f>
        <v>357</v>
      </c>
      <c r="J1818" s="15">
        <v>356</v>
      </c>
      <c r="K1818" s="15">
        <f>IF(OR(J1818="",G1818=""),"",MAX(J1818,MIN(ROUND(J1818*(1+Параметры!$B$5),IF(J1818*(1+Параметры!$B$5)&gt;=1000,-1,0)),ROUND(G1818*Параметры!$B$6,IF(G1818*Параметры!$B$6&gt;=1000,-1,0)))))</f>
        <v>409</v>
      </c>
      <c r="L1818" s="16">
        <v>0.25</v>
      </c>
      <c r="M1818" s="17">
        <f t="shared" si="134"/>
        <v>4</v>
      </c>
      <c r="N1818" s="17">
        <f>IF(OR(L1818="",L1818=0),"",Параметры!$B$3/L1818)</f>
        <v>32</v>
      </c>
      <c r="O1818" s="15">
        <f>IF(L1818="","",IFERROR(INDEX('Почасовка — ставки и план'!$D$5:$D$24,MATCH($D1818,'Почасовка — ставки и план'!$A$5:$A$24,0)),""))</f>
        <v>800</v>
      </c>
      <c r="P1818" s="15">
        <f>IF(L1818="","",IFERROR(INDEX('Почасовка — ставки и план'!$E$5:$E$24,MATCH($D1818,'Почасовка — ставки и план'!$A$5:$A$24,0)),""))</f>
        <v>950</v>
      </c>
      <c r="Q1818" s="15">
        <f t="shared" si="135"/>
        <v>200</v>
      </c>
      <c r="R1818" s="13" t="str">
        <f>IF(D1818="TEX","аренда техники — сделка/счёт",IF(OR(Q1818="",H1818="",H1818=0),"—",IF(Q1818&lt;H1818*(1-Параметры!$B$7),"почасовка",IF(Q1818&gt;H1818*(1+Параметры!$B$7),"сделка","любой способ"))))</f>
        <v>почасовка</v>
      </c>
      <c r="S1818">
        <v>0</v>
      </c>
      <c r="T1818">
        <v>0</v>
      </c>
    </row>
    <row r="1819" spans="1:20" x14ac:dyDescent="0.25">
      <c r="A1819" s="13" t="s">
        <v>3673</v>
      </c>
      <c r="B1819" s="13" t="s">
        <v>3674</v>
      </c>
      <c r="C1819" s="13" t="s">
        <v>144</v>
      </c>
      <c r="D1819" s="13" t="s">
        <v>545</v>
      </c>
      <c r="E1819" s="13" t="str">
        <f>IFERROR(INDEX('Почасовка — ставки и план'!$B$5:$B$24,MATCH(D1819,'Почасовка — ставки и план'!$A$5:$A$24,0)),"Аренда техники / механизмы")</f>
        <v>Сервисный инженер ворот и автоматики</v>
      </c>
      <c r="F1819" s="14">
        <v>2500</v>
      </c>
      <c r="G1819" s="14">
        <v>2875</v>
      </c>
      <c r="H1819" s="15">
        <v>1500</v>
      </c>
      <c r="I1819" s="15">
        <f>IF(OR(H1819="",F1819=""),"",MAX(H1819,MIN(ROUND(H1819*(1+Параметры!$B$5),IF(H1819*(1+Параметры!$B$5)&gt;=1000,-1,0)),ROUND(F1819*Параметры!$B$6,IF(F1819*Параметры!$B$6&gt;=1000,-1,0)))))</f>
        <v>1730</v>
      </c>
      <c r="J1819" s="15">
        <v>1725</v>
      </c>
      <c r="K1819" s="15">
        <f>IF(OR(J1819="",G1819=""),"",MAX(J1819,MIN(ROUND(J1819*(1+Параметры!$B$5),IF(J1819*(1+Параметры!$B$5)&gt;=1000,-1,0)),ROUND(G1819*Параметры!$B$6,IF(G1819*Параметры!$B$6&gt;=1000,-1,0)))))</f>
        <v>1980</v>
      </c>
      <c r="L1819" s="16">
        <v>1.2</v>
      </c>
      <c r="M1819" s="17">
        <f t="shared" si="134"/>
        <v>0.83333333333333337</v>
      </c>
      <c r="N1819" s="17">
        <f>IF(OR(L1819="",L1819=0),"",Параметры!$B$3/L1819)</f>
        <v>6.666666666666667</v>
      </c>
      <c r="O1819" s="15">
        <f>IF(L1819="","",IFERROR(INDEX('Почасовка — ставки и план'!$D$5:$D$24,MATCH($D1819,'Почасовка — ставки и план'!$A$5:$A$24,0)),""))</f>
        <v>1200</v>
      </c>
      <c r="P1819" s="15">
        <f>IF(L1819="","",IFERROR(INDEX('Почасовка — ставки и план'!$E$5:$E$24,MATCH($D1819,'Почасовка — ставки и план'!$A$5:$A$24,0)),""))</f>
        <v>1440</v>
      </c>
      <c r="Q1819" s="15">
        <f t="shared" si="135"/>
        <v>1440</v>
      </c>
      <c r="R1819" s="13" t="str">
        <f>IF(D1819="TEX","аренда техники — сделка/счёт",IF(OR(Q1819="",H1819="",H1819=0),"—",IF(Q1819&lt;H1819*(1-Параметры!$B$7),"почасовка",IF(Q1819&gt;H1819*(1+Параметры!$B$7),"сделка","любой способ"))))</f>
        <v>любой способ</v>
      </c>
      <c r="S1819">
        <v>0</v>
      </c>
      <c r="T1819">
        <v>0</v>
      </c>
    </row>
    <row r="1820" spans="1:20" x14ac:dyDescent="0.25">
      <c r="A1820" s="13" t="s">
        <v>3675</v>
      </c>
      <c r="B1820" s="13" t="s">
        <v>3676</v>
      </c>
      <c r="C1820" s="13" t="s">
        <v>144</v>
      </c>
      <c r="D1820" s="13" t="s">
        <v>545</v>
      </c>
      <c r="E1820" s="13" t="str">
        <f>IFERROR(INDEX('Почасовка — ставки и план'!$B$5:$B$24,MATCH(D1820,'Почасовка — ставки и план'!$A$5:$A$24,0)),"Аренда техники / механизмы")</f>
        <v>Сервисный инженер ворот и автоматики</v>
      </c>
      <c r="F1820" s="14">
        <v>5500</v>
      </c>
      <c r="G1820" s="14">
        <v>6325</v>
      </c>
      <c r="H1820" s="15">
        <v>3300</v>
      </c>
      <c r="I1820" s="15">
        <f>IF(OR(H1820="",F1820=""),"",MAX(H1820,MIN(ROUND(H1820*(1+Параметры!$B$5),IF(H1820*(1+Параметры!$B$5)&gt;=1000,-1,0)),ROUND(F1820*Параметры!$B$6,IF(F1820*Параметры!$B$6&gt;=1000,-1,0)))))</f>
        <v>3800</v>
      </c>
      <c r="J1820" s="15">
        <v>3795</v>
      </c>
      <c r="K1820" s="15">
        <f>IF(OR(J1820="",G1820=""),"",MAX(J1820,MIN(ROUND(J1820*(1+Параметры!$B$5),IF(J1820*(1+Параметры!$B$5)&gt;=1000,-1,0)),ROUND(G1820*Параметры!$B$6,IF(G1820*Параметры!$B$6&gt;=1000,-1,0)))))</f>
        <v>4360</v>
      </c>
      <c r="L1820" s="16">
        <v>2.5</v>
      </c>
      <c r="M1820" s="17">
        <f t="shared" si="134"/>
        <v>0.4</v>
      </c>
      <c r="N1820" s="17">
        <f>IF(OR(L1820="",L1820=0),"",Параметры!$B$3/L1820)</f>
        <v>3.2</v>
      </c>
      <c r="O1820" s="15">
        <f>IF(L1820="","",IFERROR(INDEX('Почасовка — ставки и план'!$D$5:$D$24,MATCH($D1820,'Почасовка — ставки и план'!$A$5:$A$24,0)),""))</f>
        <v>1200</v>
      </c>
      <c r="P1820" s="15">
        <f>IF(L1820="","",IFERROR(INDEX('Почасовка — ставки и план'!$E$5:$E$24,MATCH($D1820,'Почасовка — ставки и план'!$A$5:$A$24,0)),""))</f>
        <v>1440</v>
      </c>
      <c r="Q1820" s="15">
        <f t="shared" si="135"/>
        <v>3000</v>
      </c>
      <c r="R1820" s="13" t="str">
        <f>IF(D1820="TEX","аренда техники — сделка/счёт",IF(OR(Q1820="",H1820="",H1820=0),"—",IF(Q1820&lt;H1820*(1-Параметры!$B$7),"почасовка",IF(Q1820&gt;H1820*(1+Параметры!$B$7),"сделка","любой способ"))))</f>
        <v>любой способ</v>
      </c>
      <c r="S1820">
        <v>0</v>
      </c>
      <c r="T1820">
        <v>0</v>
      </c>
    </row>
    <row r="1821" spans="1:20" x14ac:dyDescent="0.25">
      <c r="A1821" s="13" t="s">
        <v>3677</v>
      </c>
      <c r="B1821" s="13" t="s">
        <v>3678</v>
      </c>
      <c r="C1821" s="13" t="s">
        <v>144</v>
      </c>
      <c r="D1821" s="13" t="s">
        <v>545</v>
      </c>
      <c r="E1821" s="13" t="str">
        <f>IFERROR(INDEX('Почасовка — ставки и план'!$B$5:$B$24,MATCH(D1821,'Почасовка — ставки и план'!$A$5:$A$24,0)),"Аренда техники / механизмы")</f>
        <v>Сервисный инженер ворот и автоматики</v>
      </c>
      <c r="F1821" s="14">
        <v>2800</v>
      </c>
      <c r="G1821" s="14">
        <v>3220</v>
      </c>
      <c r="H1821" s="15">
        <v>1680</v>
      </c>
      <c r="I1821" s="15">
        <f>IF(OR(H1821="",F1821=""),"",MAX(H1821,MIN(ROUND(H1821*(1+Параметры!$B$5),IF(H1821*(1+Параметры!$B$5)&gt;=1000,-1,0)),ROUND(F1821*Параметры!$B$6,IF(F1821*Параметры!$B$6&gt;=1000,-1,0)))))</f>
        <v>1930</v>
      </c>
      <c r="J1821" s="15">
        <v>1932</v>
      </c>
      <c r="K1821" s="15">
        <f>IF(OR(J1821="",G1821=""),"",MAX(J1821,MIN(ROUND(J1821*(1+Параметры!$B$5),IF(J1821*(1+Параметры!$B$5)&gt;=1000,-1,0)),ROUND(G1821*Параметры!$B$6,IF(G1821*Параметры!$B$6&gt;=1000,-1,0)))))</f>
        <v>2220</v>
      </c>
      <c r="L1821" s="16">
        <v>1.5</v>
      </c>
      <c r="M1821" s="17">
        <f t="shared" si="134"/>
        <v>0.66666666666666663</v>
      </c>
      <c r="N1821" s="17">
        <f>IF(OR(L1821="",L1821=0),"",Параметры!$B$3/L1821)</f>
        <v>5.333333333333333</v>
      </c>
      <c r="O1821" s="15">
        <f>IF(L1821="","",IFERROR(INDEX('Почасовка — ставки и план'!$D$5:$D$24,MATCH($D1821,'Почасовка — ставки и план'!$A$5:$A$24,0)),""))</f>
        <v>1200</v>
      </c>
      <c r="P1821" s="15">
        <f>IF(L1821="","",IFERROR(INDEX('Почасовка — ставки и план'!$E$5:$E$24,MATCH($D1821,'Почасовка — ставки и план'!$A$5:$A$24,0)),""))</f>
        <v>1440</v>
      </c>
      <c r="Q1821" s="15">
        <f t="shared" si="135"/>
        <v>1800</v>
      </c>
      <c r="R1821" s="13" t="str">
        <f>IF(D1821="TEX","аренда техники — сделка/счёт",IF(OR(Q1821="",H1821="",H1821=0),"—",IF(Q1821&lt;H1821*(1-Параметры!$B$7),"почасовка",IF(Q1821&gt;H1821*(1+Параметры!$B$7),"сделка","любой способ"))))</f>
        <v>любой способ</v>
      </c>
      <c r="S1821">
        <v>0</v>
      </c>
      <c r="T1821">
        <v>0</v>
      </c>
    </row>
    <row r="1822" spans="1:20" x14ac:dyDescent="0.25">
      <c r="A1822" s="13" t="s">
        <v>3679</v>
      </c>
      <c r="B1822" s="13" t="s">
        <v>3680</v>
      </c>
      <c r="C1822" s="13" t="s">
        <v>144</v>
      </c>
      <c r="D1822" s="13" t="s">
        <v>545</v>
      </c>
      <c r="E1822" s="13" t="str">
        <f>IFERROR(INDEX('Почасовка — ставки и план'!$B$5:$B$24,MATCH(D1822,'Почасовка — ставки и план'!$A$5:$A$24,0)),"Аренда техники / механизмы")</f>
        <v>Сервисный инженер ворот и автоматики</v>
      </c>
      <c r="F1822" s="14">
        <v>2800</v>
      </c>
      <c r="G1822" s="14">
        <v>3220</v>
      </c>
      <c r="H1822" s="15">
        <v>1680</v>
      </c>
      <c r="I1822" s="15">
        <f>IF(OR(H1822="",F1822=""),"",MAX(H1822,MIN(ROUND(H1822*(1+Параметры!$B$5),IF(H1822*(1+Параметры!$B$5)&gt;=1000,-1,0)),ROUND(F1822*Параметры!$B$6,IF(F1822*Параметры!$B$6&gt;=1000,-1,0)))))</f>
        <v>1930</v>
      </c>
      <c r="J1822" s="15">
        <v>1932</v>
      </c>
      <c r="K1822" s="15">
        <f>IF(OR(J1822="",G1822=""),"",MAX(J1822,MIN(ROUND(J1822*(1+Параметры!$B$5),IF(J1822*(1+Параметры!$B$5)&gt;=1000,-1,0)),ROUND(G1822*Параметры!$B$6,IF(G1822*Параметры!$B$6&gt;=1000,-1,0)))))</f>
        <v>2220</v>
      </c>
      <c r="L1822" s="16">
        <v>1.5</v>
      </c>
      <c r="M1822" s="17">
        <f t="shared" si="134"/>
        <v>0.66666666666666663</v>
      </c>
      <c r="N1822" s="17">
        <f>IF(OR(L1822="",L1822=0),"",Параметры!$B$3/L1822)</f>
        <v>5.333333333333333</v>
      </c>
      <c r="O1822" s="15">
        <f>IF(L1822="","",IFERROR(INDEX('Почасовка — ставки и план'!$D$5:$D$24,MATCH($D1822,'Почасовка — ставки и план'!$A$5:$A$24,0)),""))</f>
        <v>1200</v>
      </c>
      <c r="P1822" s="15">
        <f>IF(L1822="","",IFERROR(INDEX('Почасовка — ставки и план'!$E$5:$E$24,MATCH($D1822,'Почасовка — ставки и план'!$A$5:$A$24,0)),""))</f>
        <v>1440</v>
      </c>
      <c r="Q1822" s="15">
        <f t="shared" si="135"/>
        <v>1800</v>
      </c>
      <c r="R1822" s="13" t="str">
        <f>IF(D1822="TEX","аренда техники — сделка/счёт",IF(OR(Q1822="",H1822="",H1822=0),"—",IF(Q1822&lt;H1822*(1-Параметры!$B$7),"почасовка",IF(Q1822&gt;H1822*(1+Параметры!$B$7),"сделка","любой способ"))))</f>
        <v>любой способ</v>
      </c>
      <c r="S1822">
        <v>0</v>
      </c>
      <c r="T1822">
        <v>0</v>
      </c>
    </row>
    <row r="1823" spans="1:20" x14ac:dyDescent="0.25">
      <c r="A1823" s="13" t="s">
        <v>3681</v>
      </c>
      <c r="B1823" s="13" t="s">
        <v>3682</v>
      </c>
      <c r="C1823" s="13" t="s">
        <v>69</v>
      </c>
      <c r="D1823" s="13" t="s">
        <v>276</v>
      </c>
      <c r="E1823" s="13" t="str">
        <f>IFERROR(INDEX('Почасовка — ставки и план'!$B$5:$B$24,MATCH(D1823,'Почасовка — ставки и план'!$A$5:$A$24,0)),"Аренда техники / механизмы")</f>
        <v>Монтажник дверей, окон, перегородок</v>
      </c>
      <c r="F1823" s="14">
        <v>600</v>
      </c>
      <c r="G1823" s="14">
        <v>690</v>
      </c>
      <c r="H1823" s="15">
        <v>372</v>
      </c>
      <c r="I1823" s="15">
        <f>IF(OR(H1823="",F1823=""),"",MAX(H1823,MIN(ROUND(H1823*(1+Параметры!$B$5),IF(H1823*(1+Параметры!$B$5)&gt;=1000,-1,0)),ROUND(F1823*Параметры!$B$6,IF(F1823*Параметры!$B$6&gt;=1000,-1,0)))))</f>
        <v>428</v>
      </c>
      <c r="J1823" s="15">
        <v>428</v>
      </c>
      <c r="K1823" s="15">
        <f>IF(OR(J1823="",G1823=""),"",MAX(J1823,MIN(ROUND(J1823*(1+Параметры!$B$5),IF(J1823*(1+Параметры!$B$5)&gt;=1000,-1,0)),ROUND(G1823*Параметры!$B$6,IF(G1823*Параметры!$B$6&gt;=1000,-1,0)))))</f>
        <v>492</v>
      </c>
      <c r="L1823" s="16">
        <v>0.4</v>
      </c>
      <c r="M1823" s="17">
        <f t="shared" si="134"/>
        <v>2.5</v>
      </c>
      <c r="N1823" s="17">
        <f>IF(OR(L1823="",L1823=0),"",Параметры!$B$3/L1823)</f>
        <v>20</v>
      </c>
      <c r="O1823" s="15">
        <f>IF(L1823="","",IFERROR(INDEX('Почасовка — ставки и план'!$D$5:$D$24,MATCH($D1823,'Почасовка — ставки и план'!$A$5:$A$24,0)),""))</f>
        <v>800</v>
      </c>
      <c r="P1823" s="15">
        <f>IF(L1823="","",IFERROR(INDEX('Почасовка — ставки и план'!$E$5:$E$24,MATCH($D1823,'Почасовка — ставки и план'!$A$5:$A$24,0)),""))</f>
        <v>950</v>
      </c>
      <c r="Q1823" s="15">
        <f t="shared" si="135"/>
        <v>320</v>
      </c>
      <c r="R1823" s="13" t="str">
        <f>IF(D1823="TEX","аренда техники — сделка/счёт",IF(OR(Q1823="",H1823="",H1823=0),"—",IF(Q1823&lt;H1823*(1-Параметры!$B$7),"почасовка",IF(Q1823&gt;H1823*(1+Параметры!$B$7),"сделка","любой способ"))))</f>
        <v>почасовка</v>
      </c>
      <c r="S1823">
        <v>0</v>
      </c>
      <c r="T1823">
        <v>0</v>
      </c>
    </row>
    <row r="1824" spans="1:20" x14ac:dyDescent="0.25">
      <c r="A1824" s="13" t="s">
        <v>3683</v>
      </c>
      <c r="B1824" s="13" t="s">
        <v>3684</v>
      </c>
      <c r="C1824" s="13" t="s">
        <v>69</v>
      </c>
      <c r="D1824" s="13" t="s">
        <v>276</v>
      </c>
      <c r="E1824" s="13" t="str">
        <f>IFERROR(INDEX('Почасовка — ставки и план'!$B$5:$B$24,MATCH(D1824,'Почасовка — ставки и план'!$A$5:$A$24,0)),"Аренда техники / механизмы")</f>
        <v>Монтажник дверей, окон, перегородок</v>
      </c>
      <c r="F1824" s="14">
        <v>600</v>
      </c>
      <c r="G1824" s="14">
        <v>690</v>
      </c>
      <c r="H1824" s="15">
        <v>372</v>
      </c>
      <c r="I1824" s="15">
        <f>IF(OR(H1824="",F1824=""),"",MAX(H1824,MIN(ROUND(H1824*(1+Параметры!$B$5),IF(H1824*(1+Параметры!$B$5)&gt;=1000,-1,0)),ROUND(F1824*Параметры!$B$6,IF(F1824*Параметры!$B$6&gt;=1000,-1,0)))))</f>
        <v>428</v>
      </c>
      <c r="J1824" s="15">
        <v>428</v>
      </c>
      <c r="K1824" s="15">
        <f>IF(OR(J1824="",G1824=""),"",MAX(J1824,MIN(ROUND(J1824*(1+Параметры!$B$5),IF(J1824*(1+Параметры!$B$5)&gt;=1000,-1,0)),ROUND(G1824*Параметры!$B$6,IF(G1824*Параметры!$B$6&gt;=1000,-1,0)))))</f>
        <v>492</v>
      </c>
      <c r="L1824" s="16">
        <v>0.4</v>
      </c>
      <c r="M1824" s="17">
        <f t="shared" si="134"/>
        <v>2.5</v>
      </c>
      <c r="N1824" s="17">
        <f>IF(OR(L1824="",L1824=0),"",Параметры!$B$3/L1824)</f>
        <v>20</v>
      </c>
      <c r="O1824" s="15">
        <f>IF(L1824="","",IFERROR(INDEX('Почасовка — ставки и план'!$D$5:$D$24,MATCH($D1824,'Почасовка — ставки и план'!$A$5:$A$24,0)),""))</f>
        <v>800</v>
      </c>
      <c r="P1824" s="15">
        <f>IF(L1824="","",IFERROR(INDEX('Почасовка — ставки и план'!$E$5:$E$24,MATCH($D1824,'Почасовка — ставки и план'!$A$5:$A$24,0)),""))</f>
        <v>950</v>
      </c>
      <c r="Q1824" s="15">
        <f t="shared" si="135"/>
        <v>320</v>
      </c>
      <c r="R1824" s="13" t="str">
        <f>IF(D1824="TEX","аренда техники — сделка/счёт",IF(OR(Q1824="",H1824="",H1824=0),"—",IF(Q1824&lt;H1824*(1-Параметры!$B$7),"почасовка",IF(Q1824&gt;H1824*(1+Параметры!$B$7),"сделка","любой способ"))))</f>
        <v>почасовка</v>
      </c>
      <c r="S1824">
        <v>0</v>
      </c>
      <c r="T1824">
        <v>0</v>
      </c>
    </row>
    <row r="1825" spans="1:20" x14ac:dyDescent="0.25">
      <c r="A1825" s="13" t="s">
        <v>3685</v>
      </c>
      <c r="B1825" s="13" t="s">
        <v>3686</v>
      </c>
      <c r="C1825" s="13" t="s">
        <v>144</v>
      </c>
      <c r="D1825" s="13" t="s">
        <v>545</v>
      </c>
      <c r="E1825" s="13" t="str">
        <f>IFERROR(INDEX('Почасовка — ставки и план'!$B$5:$B$24,MATCH(D1825,'Почасовка — ставки и план'!$A$5:$A$24,0)),"Аренда техники / механизмы")</f>
        <v>Сервисный инженер ворот и автоматики</v>
      </c>
      <c r="F1825" s="14">
        <v>3200</v>
      </c>
      <c r="G1825" s="14">
        <v>3840</v>
      </c>
      <c r="H1825" s="15">
        <v>1800</v>
      </c>
      <c r="I1825" s="15">
        <f>IF(OR(H1825="",F1825=""),"",MAX(H1825,MIN(ROUND(H1825*(1+Параметры!$B$5),IF(H1825*(1+Параметры!$B$5)&gt;=1000,-1,0)),ROUND(F1825*Параметры!$B$6,IF(F1825*Параметры!$B$6&gt;=1000,-1,0)))))</f>
        <v>2070</v>
      </c>
      <c r="J1825" s="15">
        <v>2070</v>
      </c>
      <c r="K1825" s="15">
        <f>IF(OR(J1825="",G1825=""),"",MAX(J1825,MIN(ROUND(J1825*(1+Параметры!$B$5),IF(J1825*(1+Параметры!$B$5)&gt;=1000,-1,0)),ROUND(G1825*Параметры!$B$6,IF(G1825*Параметры!$B$6&gt;=1000,-1,0)))))</f>
        <v>2380</v>
      </c>
      <c r="L1825" s="16">
        <v>2</v>
      </c>
      <c r="M1825" s="17">
        <f t="shared" si="134"/>
        <v>0.5</v>
      </c>
      <c r="N1825" s="17">
        <f>IF(OR(L1825="",L1825=0),"",Параметры!$B$3/L1825)</f>
        <v>4</v>
      </c>
      <c r="O1825" s="15">
        <f>IF(L1825="","",IFERROR(INDEX('Почасовка — ставки и план'!$D$5:$D$24,MATCH($D1825,'Почасовка — ставки и план'!$A$5:$A$24,0)),""))</f>
        <v>1200</v>
      </c>
      <c r="P1825" s="15">
        <f>IF(L1825="","",IFERROR(INDEX('Почасовка — ставки и план'!$E$5:$E$24,MATCH($D1825,'Почасовка — ставки и план'!$A$5:$A$24,0)),""))</f>
        <v>1440</v>
      </c>
      <c r="Q1825" s="15">
        <f t="shared" si="135"/>
        <v>2400</v>
      </c>
      <c r="R1825" s="13" t="str">
        <f>IF(D1825="TEX","аренда техники — сделка/счёт",IF(OR(Q1825="",H1825="",H1825=0),"—",IF(Q1825&lt;H1825*(1-Параметры!$B$7),"почасовка",IF(Q1825&gt;H1825*(1+Параметры!$B$7),"сделка","любой способ"))))</f>
        <v>сделка</v>
      </c>
      <c r="S1825">
        <v>6.6666666666666652E-2</v>
      </c>
      <c r="T1825">
        <v>0.11304347826086961</v>
      </c>
    </row>
    <row r="1826" spans="1:20" x14ac:dyDescent="0.25">
      <c r="A1826" s="13" t="s">
        <v>3687</v>
      </c>
      <c r="B1826" s="13" t="s">
        <v>3688</v>
      </c>
      <c r="C1826" s="13" t="s">
        <v>144</v>
      </c>
      <c r="D1826" s="13" t="s">
        <v>545</v>
      </c>
      <c r="E1826" s="13" t="str">
        <f>IFERROR(INDEX('Почасовка — ставки и план'!$B$5:$B$24,MATCH(D1826,'Почасовка — ставки и план'!$A$5:$A$24,0)),"Аренда техники / механизмы")</f>
        <v>Сервисный инженер ворот и автоматики</v>
      </c>
      <c r="F1826" s="14">
        <v>24000</v>
      </c>
      <c r="G1826" s="14">
        <v>27600</v>
      </c>
      <c r="H1826" s="15">
        <v>14400</v>
      </c>
      <c r="I1826" s="15">
        <f>IF(OR(H1826="",F1826=""),"",MAX(H1826,MIN(ROUND(H1826*(1+Параметры!$B$5),IF(H1826*(1+Параметры!$B$5)&gt;=1000,-1,0)),ROUND(F1826*Параметры!$B$6,IF(F1826*Параметры!$B$6&gt;=1000,-1,0)))))</f>
        <v>16560</v>
      </c>
      <c r="J1826" s="15">
        <v>16560</v>
      </c>
      <c r="K1826" s="15">
        <f>IF(OR(J1826="",G1826=""),"",MAX(J1826,MIN(ROUND(J1826*(1+Параметры!$B$5),IF(J1826*(1+Параметры!$B$5)&gt;=1000,-1,0)),ROUND(G1826*Параметры!$B$6,IF(G1826*Параметры!$B$6&gt;=1000,-1,0)))))</f>
        <v>19040</v>
      </c>
      <c r="L1826" s="16">
        <v>8</v>
      </c>
      <c r="M1826" s="17">
        <f t="shared" si="134"/>
        <v>0.125</v>
      </c>
      <c r="N1826" s="17">
        <f>IF(OR(L1826="",L1826=0),"",Параметры!$B$3/L1826)</f>
        <v>1</v>
      </c>
      <c r="O1826" s="15">
        <f>IF(L1826="","",IFERROR(INDEX('Почасовка — ставки и план'!$D$5:$D$24,MATCH($D1826,'Почасовка — ставки и план'!$A$5:$A$24,0)),""))</f>
        <v>1200</v>
      </c>
      <c r="P1826" s="15">
        <f>IF(L1826="","",IFERROR(INDEX('Почасовка — ставки и план'!$E$5:$E$24,MATCH($D1826,'Почасовка — ставки и план'!$A$5:$A$24,0)),""))</f>
        <v>1440</v>
      </c>
      <c r="Q1826" s="15">
        <f t="shared" si="135"/>
        <v>9600</v>
      </c>
      <c r="R1826" s="13" t="str">
        <f>IF(D1826="TEX","аренда техники — сделка/счёт",IF(OR(Q1826="",H1826="",H1826=0),"—",IF(Q1826&lt;H1826*(1-Параметры!$B$7),"почасовка",IF(Q1826&gt;H1826*(1+Параметры!$B$7),"сделка","любой способ"))))</f>
        <v>почасовка</v>
      </c>
      <c r="S1826">
        <v>0</v>
      </c>
      <c r="T1826">
        <v>0</v>
      </c>
    </row>
    <row r="1827" spans="1:20" x14ac:dyDescent="0.25">
      <c r="A1827" s="13" t="s">
        <v>3689</v>
      </c>
      <c r="B1827" s="13" t="s">
        <v>3690</v>
      </c>
      <c r="C1827" s="13" t="s">
        <v>144</v>
      </c>
      <c r="D1827" s="13" t="s">
        <v>545</v>
      </c>
      <c r="E1827" s="13" t="str">
        <f>IFERROR(INDEX('Почасовка — ставки и план'!$B$5:$B$24,MATCH(D1827,'Почасовка — ставки и план'!$A$5:$A$24,0)),"Аренда техники / механизмы")</f>
        <v>Сервисный инженер ворот и автоматики</v>
      </c>
      <c r="F1827" s="14">
        <v>2500</v>
      </c>
      <c r="G1827" s="14">
        <v>2875</v>
      </c>
      <c r="H1827" s="15">
        <v>1500</v>
      </c>
      <c r="I1827" s="15">
        <f>IF(OR(H1827="",F1827=""),"",MAX(H1827,MIN(ROUND(H1827*(1+Параметры!$B$5),IF(H1827*(1+Параметры!$B$5)&gt;=1000,-1,0)),ROUND(F1827*Параметры!$B$6,IF(F1827*Параметры!$B$6&gt;=1000,-1,0)))))</f>
        <v>1730</v>
      </c>
      <c r="J1827" s="15">
        <v>1725</v>
      </c>
      <c r="K1827" s="15">
        <f>IF(OR(J1827="",G1827=""),"",MAX(J1827,MIN(ROUND(J1827*(1+Параметры!$B$5),IF(J1827*(1+Параметры!$B$5)&gt;=1000,-1,0)),ROUND(G1827*Параметры!$B$6,IF(G1827*Параметры!$B$6&gt;=1000,-1,0)))))</f>
        <v>1980</v>
      </c>
      <c r="L1827" s="16">
        <v>1</v>
      </c>
      <c r="M1827" s="17">
        <f t="shared" si="134"/>
        <v>1</v>
      </c>
      <c r="N1827" s="17">
        <f>IF(OR(L1827="",L1827=0),"",Параметры!$B$3/L1827)</f>
        <v>8</v>
      </c>
      <c r="O1827" s="15">
        <f>IF(L1827="","",IFERROR(INDEX('Почасовка — ставки и план'!$D$5:$D$24,MATCH($D1827,'Почасовка — ставки и план'!$A$5:$A$24,0)),""))</f>
        <v>1200</v>
      </c>
      <c r="P1827" s="15">
        <f>IF(L1827="","",IFERROR(INDEX('Почасовка — ставки и план'!$E$5:$E$24,MATCH($D1827,'Почасовка — ставки и план'!$A$5:$A$24,0)),""))</f>
        <v>1440</v>
      </c>
      <c r="Q1827" s="15">
        <f t="shared" si="135"/>
        <v>1200</v>
      </c>
      <c r="R1827" s="13" t="str">
        <f>IF(D1827="TEX","аренда техники — сделка/счёт",IF(OR(Q1827="",H1827="",H1827=0),"—",IF(Q1827&lt;H1827*(1-Параметры!$B$7),"почасовка",IF(Q1827&gt;H1827*(1+Параметры!$B$7),"сделка","любой способ"))))</f>
        <v>почасовка</v>
      </c>
      <c r="S1827">
        <v>0</v>
      </c>
      <c r="T1827">
        <v>0</v>
      </c>
    </row>
    <row r="1828" spans="1:20" x14ac:dyDescent="0.25">
      <c r="A1828" s="13" t="s">
        <v>3691</v>
      </c>
      <c r="B1828" s="13" t="s">
        <v>3692</v>
      </c>
      <c r="C1828" s="13" t="s">
        <v>144</v>
      </c>
      <c r="D1828" s="13" t="s">
        <v>545</v>
      </c>
      <c r="E1828" s="13" t="str">
        <f>IFERROR(INDEX('Почасовка — ставки и план'!$B$5:$B$24,MATCH(D1828,'Почасовка — ставки и план'!$A$5:$A$24,0)),"Аренда техники / механизмы")</f>
        <v>Сервисный инженер ворот и автоматики</v>
      </c>
      <c r="F1828" s="14">
        <v>3000</v>
      </c>
      <c r="G1828" s="14">
        <v>3450</v>
      </c>
      <c r="H1828" s="15">
        <v>1800</v>
      </c>
      <c r="I1828" s="15">
        <f>IF(OR(H1828="",F1828=""),"",MAX(H1828,MIN(ROUND(H1828*(1+Параметры!$B$5),IF(H1828*(1+Параметры!$B$5)&gt;=1000,-1,0)),ROUND(F1828*Параметры!$B$6,IF(F1828*Параметры!$B$6&gt;=1000,-1,0)))))</f>
        <v>2070</v>
      </c>
      <c r="J1828" s="15">
        <v>2070</v>
      </c>
      <c r="K1828" s="15">
        <f>IF(OR(J1828="",G1828=""),"",MAX(J1828,MIN(ROUND(J1828*(1+Параметры!$B$5),IF(J1828*(1+Параметры!$B$5)&gt;=1000,-1,0)),ROUND(G1828*Параметры!$B$6,IF(G1828*Параметры!$B$6&gt;=1000,-1,0)))))</f>
        <v>2380</v>
      </c>
      <c r="L1828" s="16">
        <v>1.5</v>
      </c>
      <c r="M1828" s="17">
        <f t="shared" si="134"/>
        <v>0.66666666666666663</v>
      </c>
      <c r="N1828" s="17">
        <f>IF(OR(L1828="",L1828=0),"",Параметры!$B$3/L1828)</f>
        <v>5.333333333333333</v>
      </c>
      <c r="O1828" s="15">
        <f>IF(L1828="","",IFERROR(INDEX('Почасовка — ставки и план'!$D$5:$D$24,MATCH($D1828,'Почасовка — ставки и план'!$A$5:$A$24,0)),""))</f>
        <v>1200</v>
      </c>
      <c r="P1828" s="15">
        <f>IF(L1828="","",IFERROR(INDEX('Почасовка — ставки и план'!$E$5:$E$24,MATCH($D1828,'Почасовка — ставки и план'!$A$5:$A$24,0)),""))</f>
        <v>1440</v>
      </c>
      <c r="Q1828" s="15">
        <f t="shared" si="135"/>
        <v>1800</v>
      </c>
      <c r="R1828" s="13" t="str">
        <f>IF(D1828="TEX","аренда техники — сделка/счёт",IF(OR(Q1828="",H1828="",H1828=0),"—",IF(Q1828&lt;H1828*(1-Параметры!$B$7),"почасовка",IF(Q1828&gt;H1828*(1+Параметры!$B$7),"сделка","любой способ"))))</f>
        <v>любой способ</v>
      </c>
      <c r="S1828">
        <v>0</v>
      </c>
      <c r="T1828">
        <v>0</v>
      </c>
    </row>
    <row r="1829" spans="1:20" x14ac:dyDescent="0.25">
      <c r="A1829" s="13" t="s">
        <v>3693</v>
      </c>
      <c r="B1829" s="13" t="s">
        <v>3694</v>
      </c>
      <c r="C1829" s="13" t="s">
        <v>144</v>
      </c>
      <c r="D1829" s="13" t="s">
        <v>276</v>
      </c>
      <c r="E1829" s="13" t="str">
        <f>IFERROR(INDEX('Почасовка — ставки и план'!$B$5:$B$24,MATCH(D1829,'Почасовка — ставки и план'!$A$5:$A$24,0)),"Аренда техники / механизмы")</f>
        <v>Монтажник дверей, окон, перегородок</v>
      </c>
      <c r="F1829" s="14">
        <v>1500</v>
      </c>
      <c r="G1829" s="14">
        <v>1725</v>
      </c>
      <c r="H1829" s="15">
        <v>930</v>
      </c>
      <c r="I1829" s="15">
        <f>IF(OR(H1829="",F1829=""),"",MAX(H1829,MIN(ROUND(H1829*(1+Параметры!$B$5),IF(H1829*(1+Параметры!$B$5)&gt;=1000,-1,0)),ROUND(F1829*Параметры!$B$6,IF(F1829*Параметры!$B$6&gt;=1000,-1,0)))))</f>
        <v>1070</v>
      </c>
      <c r="J1829" s="15">
        <v>1069</v>
      </c>
      <c r="K1829" s="15">
        <f>IF(OR(J1829="",G1829=""),"",MAX(J1829,MIN(ROUND(J1829*(1+Параметры!$B$5),IF(J1829*(1+Параметры!$B$5)&gt;=1000,-1,0)),ROUND(G1829*Параметры!$B$6,IF(G1829*Параметры!$B$6&gt;=1000,-1,0)))))</f>
        <v>1230</v>
      </c>
      <c r="L1829" s="16">
        <v>0.6</v>
      </c>
      <c r="M1829" s="17">
        <f t="shared" si="134"/>
        <v>1.6666666666666667</v>
      </c>
      <c r="N1829" s="17">
        <f>IF(OR(L1829="",L1829=0),"",Параметры!$B$3/L1829)</f>
        <v>13.333333333333334</v>
      </c>
      <c r="O1829" s="15">
        <f>IF(L1829="","",IFERROR(INDEX('Почасовка — ставки и план'!$D$5:$D$24,MATCH($D1829,'Почасовка — ставки и план'!$A$5:$A$24,0)),""))</f>
        <v>800</v>
      </c>
      <c r="P1829" s="15">
        <f>IF(L1829="","",IFERROR(INDEX('Почасовка — ставки и план'!$E$5:$E$24,MATCH($D1829,'Почасовка — ставки и план'!$A$5:$A$24,0)),""))</f>
        <v>950</v>
      </c>
      <c r="Q1829" s="15">
        <f t="shared" si="135"/>
        <v>480</v>
      </c>
      <c r="R1829" s="13" t="str">
        <f>IF(D1829="TEX","аренда техники — сделка/счёт",IF(OR(Q1829="",H1829="",H1829=0),"—",IF(Q1829&lt;H1829*(1-Параметры!$B$7),"почасовка",IF(Q1829&gt;H1829*(1+Параметры!$B$7),"сделка","любой способ"))))</f>
        <v>почасовка</v>
      </c>
      <c r="S1829">
        <v>0</v>
      </c>
      <c r="T1829">
        <v>0</v>
      </c>
    </row>
    <row r="1830" spans="1:20" x14ac:dyDescent="0.25">
      <c r="A1830" s="13" t="s">
        <v>3695</v>
      </c>
      <c r="B1830" s="13" t="s">
        <v>3696</v>
      </c>
      <c r="C1830" s="13" t="s">
        <v>144</v>
      </c>
      <c r="D1830" s="13" t="s">
        <v>545</v>
      </c>
      <c r="E1830" s="13" t="str">
        <f>IFERROR(INDEX('Почасовка — ставки и план'!$B$5:$B$24,MATCH(D1830,'Почасовка — ставки и план'!$A$5:$A$24,0)),"Аренда техники / механизмы")</f>
        <v>Сервисный инженер ворот и автоматики</v>
      </c>
      <c r="F1830" s="14">
        <v>4000</v>
      </c>
      <c r="G1830" s="14">
        <v>4600</v>
      </c>
      <c r="H1830" s="15">
        <v>2400</v>
      </c>
      <c r="I1830" s="15">
        <f>IF(OR(H1830="",F1830=""),"",MAX(H1830,MIN(ROUND(H1830*(1+Параметры!$B$5),IF(H1830*(1+Параметры!$B$5)&gt;=1000,-1,0)),ROUND(F1830*Параметры!$B$6,IF(F1830*Параметры!$B$6&gt;=1000,-1,0)))))</f>
        <v>2760</v>
      </c>
      <c r="J1830" s="15">
        <v>2760</v>
      </c>
      <c r="K1830" s="15">
        <f>IF(OR(J1830="",G1830=""),"",MAX(J1830,MIN(ROUND(J1830*(1+Параметры!$B$5),IF(J1830*(1+Параметры!$B$5)&gt;=1000,-1,0)),ROUND(G1830*Параметры!$B$6,IF(G1830*Параметры!$B$6&gt;=1000,-1,0)))))</f>
        <v>3170</v>
      </c>
      <c r="L1830" s="16">
        <v>1.2</v>
      </c>
      <c r="M1830" s="17">
        <f t="shared" si="134"/>
        <v>0.83333333333333337</v>
      </c>
      <c r="N1830" s="17">
        <f>IF(OR(L1830="",L1830=0),"",Параметры!$B$3/L1830)</f>
        <v>6.666666666666667</v>
      </c>
      <c r="O1830" s="15">
        <f>IF(L1830="","",IFERROR(INDEX('Почасовка — ставки и план'!$D$5:$D$24,MATCH($D1830,'Почасовка — ставки и план'!$A$5:$A$24,0)),""))</f>
        <v>1200</v>
      </c>
      <c r="P1830" s="15">
        <f>IF(L1830="","",IFERROR(INDEX('Почасовка — ставки и план'!$E$5:$E$24,MATCH($D1830,'Почасовка — ставки и план'!$A$5:$A$24,0)),""))</f>
        <v>1440</v>
      </c>
      <c r="Q1830" s="15">
        <f t="shared" si="135"/>
        <v>1440</v>
      </c>
      <c r="R1830" s="13" t="str">
        <f>IF(D1830="TEX","аренда техники — сделка/счёт",IF(OR(Q1830="",H1830="",H1830=0),"—",IF(Q1830&lt;H1830*(1-Параметры!$B$7),"почасовка",IF(Q1830&gt;H1830*(1+Параметры!$B$7),"сделка","любой способ"))))</f>
        <v>почасовка</v>
      </c>
      <c r="S1830">
        <v>0</v>
      </c>
      <c r="T1830">
        <v>0</v>
      </c>
    </row>
    <row r="1831" spans="1:20" x14ac:dyDescent="0.25">
      <c r="A1831" s="13" t="s">
        <v>3697</v>
      </c>
      <c r="B1831" s="13" t="s">
        <v>3698</v>
      </c>
      <c r="C1831" s="13" t="s">
        <v>144</v>
      </c>
      <c r="D1831" s="13" t="s">
        <v>545</v>
      </c>
      <c r="E1831" s="13" t="str">
        <f>IFERROR(INDEX('Почасовка — ставки и план'!$B$5:$B$24,MATCH(D1831,'Почасовка — ставки и план'!$A$5:$A$24,0)),"Аренда техники / механизмы")</f>
        <v>Сервисный инженер ворот и автоматики</v>
      </c>
      <c r="F1831" s="14">
        <v>1500</v>
      </c>
      <c r="G1831" s="14">
        <v>1725</v>
      </c>
      <c r="H1831" s="15">
        <v>900</v>
      </c>
      <c r="I1831" s="15">
        <f>IF(OR(H1831="",F1831=""),"",MAX(H1831,MIN(ROUND(H1831*(1+Параметры!$B$5),IF(H1831*(1+Параметры!$B$5)&gt;=1000,-1,0)),ROUND(F1831*Параметры!$B$6,IF(F1831*Параметры!$B$6&gt;=1000,-1,0)))))</f>
        <v>1040</v>
      </c>
      <c r="J1831" s="15">
        <v>1035</v>
      </c>
      <c r="K1831" s="15">
        <f>IF(OR(J1831="",G1831=""),"",MAX(J1831,MIN(ROUND(J1831*(1+Параметры!$B$5),IF(J1831*(1+Параметры!$B$5)&gt;=1000,-1,0)),ROUND(G1831*Параметры!$B$6,IF(G1831*Параметры!$B$6&gt;=1000,-1,0)))))</f>
        <v>1190</v>
      </c>
      <c r="L1831" s="16">
        <v>0.8</v>
      </c>
      <c r="M1831" s="17">
        <f t="shared" si="134"/>
        <v>1.25</v>
      </c>
      <c r="N1831" s="17">
        <f>IF(OR(L1831="",L1831=0),"",Параметры!$B$3/L1831)</f>
        <v>10</v>
      </c>
      <c r="O1831" s="15">
        <f>IF(L1831="","",IFERROR(INDEX('Почасовка — ставки и план'!$D$5:$D$24,MATCH($D1831,'Почасовка — ставки и план'!$A$5:$A$24,0)),""))</f>
        <v>1200</v>
      </c>
      <c r="P1831" s="15">
        <f>IF(L1831="","",IFERROR(INDEX('Почасовка — ставки и план'!$E$5:$E$24,MATCH($D1831,'Почасовка — ставки и план'!$A$5:$A$24,0)),""))</f>
        <v>1440</v>
      </c>
      <c r="Q1831" s="15">
        <f t="shared" si="135"/>
        <v>960</v>
      </c>
      <c r="R1831" s="13" t="str">
        <f>IF(D1831="TEX","аренда техники — сделка/счёт",IF(OR(Q1831="",H1831="",H1831=0),"—",IF(Q1831&lt;H1831*(1-Параметры!$B$7),"почасовка",IF(Q1831&gt;H1831*(1+Параметры!$B$7),"сделка","любой способ"))))</f>
        <v>любой способ</v>
      </c>
      <c r="S1831">
        <v>0</v>
      </c>
      <c r="T1831">
        <v>0</v>
      </c>
    </row>
    <row r="1832" spans="1:20" x14ac:dyDescent="0.25">
      <c r="A1832" s="13" t="s">
        <v>3699</v>
      </c>
      <c r="B1832" s="13" t="s">
        <v>3700</v>
      </c>
      <c r="C1832" s="13" t="s">
        <v>144</v>
      </c>
      <c r="D1832" s="13" t="s">
        <v>276</v>
      </c>
      <c r="E1832" s="13" t="str">
        <f>IFERROR(INDEX('Почасовка — ставки и план'!$B$5:$B$24,MATCH(D1832,'Почасовка — ставки и план'!$A$5:$A$24,0)),"Аренда техники / механизмы")</f>
        <v>Монтажник дверей, окон, перегородок</v>
      </c>
      <c r="F1832" s="14">
        <v>1200</v>
      </c>
      <c r="G1832" s="14">
        <v>1380</v>
      </c>
      <c r="H1832" s="15">
        <v>744</v>
      </c>
      <c r="I1832" s="15">
        <f>IF(OR(H1832="",F1832=""),"",MAX(H1832,MIN(ROUND(H1832*(1+Параметры!$B$5),IF(H1832*(1+Параметры!$B$5)&gt;=1000,-1,0)),ROUND(F1832*Параметры!$B$6,IF(F1832*Параметры!$B$6&gt;=1000,-1,0)))))</f>
        <v>856</v>
      </c>
      <c r="J1832" s="15">
        <v>856</v>
      </c>
      <c r="K1832" s="15">
        <f>IF(OR(J1832="",G1832=""),"",MAX(J1832,MIN(ROUND(J1832*(1+Параметры!$B$5),IF(J1832*(1+Параметры!$B$5)&gt;=1000,-1,0)),ROUND(G1832*Параметры!$B$6,IF(G1832*Параметры!$B$6&gt;=1000,-1,0)))))</f>
        <v>984</v>
      </c>
      <c r="L1832" s="16">
        <v>0.5</v>
      </c>
      <c r="M1832" s="17">
        <f t="shared" si="134"/>
        <v>2</v>
      </c>
      <c r="N1832" s="17">
        <f>IF(OR(L1832="",L1832=0),"",Параметры!$B$3/L1832)</f>
        <v>16</v>
      </c>
      <c r="O1832" s="15">
        <f>IF(L1832="","",IFERROR(INDEX('Почасовка — ставки и план'!$D$5:$D$24,MATCH($D1832,'Почасовка — ставки и план'!$A$5:$A$24,0)),""))</f>
        <v>800</v>
      </c>
      <c r="P1832" s="15">
        <f>IF(L1832="","",IFERROR(INDEX('Почасовка — ставки и план'!$E$5:$E$24,MATCH($D1832,'Почасовка — ставки и план'!$A$5:$A$24,0)),""))</f>
        <v>950</v>
      </c>
      <c r="Q1832" s="15">
        <f t="shared" si="135"/>
        <v>400</v>
      </c>
      <c r="R1832" s="13" t="str">
        <f>IF(D1832="TEX","аренда техники — сделка/счёт",IF(OR(Q1832="",H1832="",H1832=0),"—",IF(Q1832&lt;H1832*(1-Параметры!$B$7),"почасовка",IF(Q1832&gt;H1832*(1+Параметры!$B$7),"сделка","любой способ"))))</f>
        <v>почасовка</v>
      </c>
      <c r="S1832">
        <v>0</v>
      </c>
      <c r="T1832">
        <v>0</v>
      </c>
    </row>
    <row r="1833" spans="1:20" x14ac:dyDescent="0.25">
      <c r="A1833" s="13" t="s">
        <v>3701</v>
      </c>
      <c r="B1833" s="13" t="s">
        <v>3702</v>
      </c>
      <c r="C1833" s="13" t="s">
        <v>144</v>
      </c>
      <c r="D1833" s="13" t="s">
        <v>545</v>
      </c>
      <c r="E1833" s="13" t="str">
        <f>IFERROR(INDEX('Почасовка — ставки и план'!$B$5:$B$24,MATCH(D1833,'Почасовка — ставки и план'!$A$5:$A$24,0)),"Аренда техники / механизмы")</f>
        <v>Сервисный инженер ворот и автоматики</v>
      </c>
      <c r="F1833" s="14">
        <v>3500</v>
      </c>
      <c r="G1833" s="14">
        <v>4025</v>
      </c>
      <c r="H1833" s="15">
        <v>2100</v>
      </c>
      <c r="I1833" s="15">
        <f>IF(OR(H1833="",F1833=""),"",MAX(H1833,MIN(ROUND(H1833*(1+Параметры!$B$5),IF(H1833*(1+Параметры!$B$5)&gt;=1000,-1,0)),ROUND(F1833*Параметры!$B$6,IF(F1833*Параметры!$B$6&gt;=1000,-1,0)))))</f>
        <v>2420</v>
      </c>
      <c r="J1833" s="15">
        <v>2415</v>
      </c>
      <c r="K1833" s="15">
        <f>IF(OR(J1833="",G1833=""),"",MAX(J1833,MIN(ROUND(J1833*(1+Параметры!$B$5),IF(J1833*(1+Параметры!$B$5)&gt;=1000,-1,0)),ROUND(G1833*Параметры!$B$6,IF(G1833*Параметры!$B$6&gt;=1000,-1,0)))))</f>
        <v>2780</v>
      </c>
      <c r="L1833" s="16">
        <v>2</v>
      </c>
      <c r="M1833" s="17">
        <f t="shared" si="134"/>
        <v>0.5</v>
      </c>
      <c r="N1833" s="17">
        <f>IF(OR(L1833="",L1833=0),"",Параметры!$B$3/L1833)</f>
        <v>4</v>
      </c>
      <c r="O1833" s="15">
        <f>IF(L1833="","",IFERROR(INDEX('Почасовка — ставки и план'!$D$5:$D$24,MATCH($D1833,'Почасовка — ставки и план'!$A$5:$A$24,0)),""))</f>
        <v>1200</v>
      </c>
      <c r="P1833" s="15">
        <f>IF(L1833="","",IFERROR(INDEX('Почасовка — ставки и план'!$E$5:$E$24,MATCH($D1833,'Почасовка — ставки и план'!$A$5:$A$24,0)),""))</f>
        <v>1440</v>
      </c>
      <c r="Q1833" s="15">
        <f t="shared" si="135"/>
        <v>2400</v>
      </c>
      <c r="R1833" s="13" t="str">
        <f>IF(D1833="TEX","аренда техники — сделка/счёт",IF(OR(Q1833="",H1833="",H1833=0),"—",IF(Q1833&lt;H1833*(1-Параметры!$B$7),"почасовка",IF(Q1833&gt;H1833*(1+Параметры!$B$7),"сделка","любой способ"))))</f>
        <v>сделка</v>
      </c>
      <c r="S1833">
        <v>0</v>
      </c>
      <c r="T1833">
        <v>0</v>
      </c>
    </row>
    <row r="1834" spans="1:20" x14ac:dyDescent="0.25">
      <c r="A1834" s="13" t="s">
        <v>3703</v>
      </c>
      <c r="B1834" s="13" t="s">
        <v>3704</v>
      </c>
      <c r="C1834" s="13" t="s">
        <v>144</v>
      </c>
      <c r="D1834" s="13" t="s">
        <v>545</v>
      </c>
      <c r="E1834" s="13" t="str">
        <f>IFERROR(INDEX('Почасовка — ставки и план'!$B$5:$B$24,MATCH(D1834,'Почасовка — ставки и план'!$A$5:$A$24,0)),"Аренда техники / механизмы")</f>
        <v>Сервисный инженер ворот и автоматики</v>
      </c>
      <c r="F1834" s="14">
        <v>3000</v>
      </c>
      <c r="G1834" s="14">
        <v>3450</v>
      </c>
      <c r="H1834" s="15">
        <v>1800</v>
      </c>
      <c r="I1834" s="15">
        <f>IF(OR(H1834="",F1834=""),"",MAX(H1834,MIN(ROUND(H1834*(1+Параметры!$B$5),IF(H1834*(1+Параметры!$B$5)&gt;=1000,-1,0)),ROUND(F1834*Параметры!$B$6,IF(F1834*Параметры!$B$6&gt;=1000,-1,0)))))</f>
        <v>2070</v>
      </c>
      <c r="J1834" s="15">
        <v>2070</v>
      </c>
      <c r="K1834" s="15">
        <f>IF(OR(J1834="",G1834=""),"",MAX(J1834,MIN(ROUND(J1834*(1+Параметры!$B$5),IF(J1834*(1+Параметры!$B$5)&gt;=1000,-1,0)),ROUND(G1834*Параметры!$B$6,IF(G1834*Параметры!$B$6&gt;=1000,-1,0)))))</f>
        <v>2380</v>
      </c>
      <c r="L1834" s="16">
        <v>1</v>
      </c>
      <c r="M1834" s="17">
        <f t="shared" si="134"/>
        <v>1</v>
      </c>
      <c r="N1834" s="17">
        <f>IF(OR(L1834="",L1834=0),"",Параметры!$B$3/L1834)</f>
        <v>8</v>
      </c>
      <c r="O1834" s="15">
        <f>IF(L1834="","",IFERROR(INDEX('Почасовка — ставки и план'!$D$5:$D$24,MATCH($D1834,'Почасовка — ставки и план'!$A$5:$A$24,0)),""))</f>
        <v>1200</v>
      </c>
      <c r="P1834" s="15">
        <f>IF(L1834="","",IFERROR(INDEX('Почасовка — ставки и план'!$E$5:$E$24,MATCH($D1834,'Почасовка — ставки и план'!$A$5:$A$24,0)),""))</f>
        <v>1440</v>
      </c>
      <c r="Q1834" s="15">
        <f t="shared" si="135"/>
        <v>1200</v>
      </c>
      <c r="R1834" s="13" t="str">
        <f>IF(D1834="TEX","аренда техники — сделка/счёт",IF(OR(Q1834="",H1834="",H1834=0),"—",IF(Q1834&lt;H1834*(1-Параметры!$B$7),"почасовка",IF(Q1834&gt;H1834*(1+Параметры!$B$7),"сделка","любой способ"))))</f>
        <v>почасовка</v>
      </c>
      <c r="S1834">
        <v>0</v>
      </c>
      <c r="T1834">
        <v>0</v>
      </c>
    </row>
    <row r="1835" spans="1:20" x14ac:dyDescent="0.25">
      <c r="A1835" s="13" t="s">
        <v>3705</v>
      </c>
      <c r="B1835" s="13" t="s">
        <v>3706</v>
      </c>
      <c r="C1835" s="13" t="s">
        <v>144</v>
      </c>
      <c r="D1835" s="13" t="s">
        <v>545</v>
      </c>
      <c r="E1835" s="13" t="str">
        <f>IFERROR(INDEX('Почасовка — ставки и план'!$B$5:$B$24,MATCH(D1835,'Почасовка — ставки и план'!$A$5:$A$24,0)),"Аренда техники / механизмы")</f>
        <v>Сервисный инженер ворот и автоматики</v>
      </c>
      <c r="F1835" s="14">
        <v>4000</v>
      </c>
      <c r="G1835" s="14">
        <v>4600</v>
      </c>
      <c r="H1835" s="15">
        <v>2400</v>
      </c>
      <c r="I1835" s="15">
        <f>IF(OR(H1835="",F1835=""),"",MAX(H1835,MIN(ROUND(H1835*(1+Параметры!$B$5),IF(H1835*(1+Параметры!$B$5)&gt;=1000,-1,0)),ROUND(F1835*Параметры!$B$6,IF(F1835*Параметры!$B$6&gt;=1000,-1,0)))))</f>
        <v>2760</v>
      </c>
      <c r="J1835" s="15">
        <v>2760</v>
      </c>
      <c r="K1835" s="15">
        <f>IF(OR(J1835="",G1835=""),"",MAX(J1835,MIN(ROUND(J1835*(1+Параметры!$B$5),IF(J1835*(1+Параметры!$B$5)&gt;=1000,-1,0)),ROUND(G1835*Параметры!$B$6,IF(G1835*Параметры!$B$6&gt;=1000,-1,0)))))</f>
        <v>3170</v>
      </c>
      <c r="L1835" s="16">
        <v>2</v>
      </c>
      <c r="M1835" s="17">
        <f t="shared" si="134"/>
        <v>0.5</v>
      </c>
      <c r="N1835" s="17">
        <f>IF(OR(L1835="",L1835=0),"",Параметры!$B$3/L1835)</f>
        <v>4</v>
      </c>
      <c r="O1835" s="15">
        <f>IF(L1835="","",IFERROR(INDEX('Почасовка — ставки и план'!$D$5:$D$24,MATCH($D1835,'Почасовка — ставки и план'!$A$5:$A$24,0)),""))</f>
        <v>1200</v>
      </c>
      <c r="P1835" s="15">
        <f>IF(L1835="","",IFERROR(INDEX('Почасовка — ставки и план'!$E$5:$E$24,MATCH($D1835,'Почасовка — ставки и план'!$A$5:$A$24,0)),""))</f>
        <v>1440</v>
      </c>
      <c r="Q1835" s="15">
        <f t="shared" si="135"/>
        <v>2400</v>
      </c>
      <c r="R1835" s="13" t="str">
        <f>IF(D1835="TEX","аренда техники — сделка/счёт",IF(OR(Q1835="",H1835="",H1835=0),"—",IF(Q1835&lt;H1835*(1-Параметры!$B$7),"почасовка",IF(Q1835&gt;H1835*(1+Параметры!$B$7),"сделка","любой способ"))))</f>
        <v>любой способ</v>
      </c>
      <c r="S1835">
        <v>0</v>
      </c>
      <c r="T1835">
        <v>0</v>
      </c>
    </row>
    <row r="1836" spans="1:20" x14ac:dyDescent="0.25">
      <c r="A1836" s="13" t="s">
        <v>3707</v>
      </c>
      <c r="B1836" s="13" t="s">
        <v>3708</v>
      </c>
      <c r="C1836" s="13" t="s">
        <v>144</v>
      </c>
      <c r="D1836" s="13" t="s">
        <v>545</v>
      </c>
      <c r="E1836" s="13" t="str">
        <f>IFERROR(INDEX('Почасовка — ставки и план'!$B$5:$B$24,MATCH(D1836,'Почасовка — ставки и план'!$A$5:$A$24,0)),"Аренда техники / механизмы")</f>
        <v>Сервисный инженер ворот и автоматики</v>
      </c>
      <c r="F1836" s="14">
        <v>2500</v>
      </c>
      <c r="G1836" s="14">
        <v>2875</v>
      </c>
      <c r="H1836" s="15">
        <v>1500</v>
      </c>
      <c r="I1836" s="15">
        <f>IF(OR(H1836="",F1836=""),"",MAX(H1836,MIN(ROUND(H1836*(1+Параметры!$B$5),IF(H1836*(1+Параметры!$B$5)&gt;=1000,-1,0)),ROUND(F1836*Параметры!$B$6,IF(F1836*Параметры!$B$6&gt;=1000,-1,0)))))</f>
        <v>1730</v>
      </c>
      <c r="J1836" s="15">
        <v>1725</v>
      </c>
      <c r="K1836" s="15">
        <f>IF(OR(J1836="",G1836=""),"",MAX(J1836,MIN(ROUND(J1836*(1+Параметры!$B$5),IF(J1836*(1+Параметры!$B$5)&gt;=1000,-1,0)),ROUND(G1836*Параметры!$B$6,IF(G1836*Параметры!$B$6&gt;=1000,-1,0)))))</f>
        <v>1980</v>
      </c>
      <c r="L1836" s="16">
        <v>1</v>
      </c>
      <c r="M1836" s="17">
        <f t="shared" si="134"/>
        <v>1</v>
      </c>
      <c r="N1836" s="17">
        <f>IF(OR(L1836="",L1836=0),"",Параметры!$B$3/L1836)</f>
        <v>8</v>
      </c>
      <c r="O1836" s="15">
        <f>IF(L1836="","",IFERROR(INDEX('Почасовка — ставки и план'!$D$5:$D$24,MATCH($D1836,'Почасовка — ставки и план'!$A$5:$A$24,0)),""))</f>
        <v>1200</v>
      </c>
      <c r="P1836" s="15">
        <f>IF(L1836="","",IFERROR(INDEX('Почасовка — ставки и план'!$E$5:$E$24,MATCH($D1836,'Почасовка — ставки и план'!$A$5:$A$24,0)),""))</f>
        <v>1440</v>
      </c>
      <c r="Q1836" s="15">
        <f t="shared" si="135"/>
        <v>1200</v>
      </c>
      <c r="R1836" s="13" t="str">
        <f>IF(D1836="TEX","аренда техники — сделка/счёт",IF(OR(Q1836="",H1836="",H1836=0),"—",IF(Q1836&lt;H1836*(1-Параметры!$B$7),"почасовка",IF(Q1836&gt;H1836*(1+Параметры!$B$7),"сделка","любой способ"))))</f>
        <v>почасовка</v>
      </c>
      <c r="S1836">
        <v>0</v>
      </c>
      <c r="T1836">
        <v>0</v>
      </c>
    </row>
    <row r="1837" spans="1:20" x14ac:dyDescent="0.25">
      <c r="A1837" s="13" t="s">
        <v>3709</v>
      </c>
      <c r="B1837" s="13" t="s">
        <v>3710</v>
      </c>
      <c r="C1837" s="13" t="s">
        <v>72</v>
      </c>
      <c r="D1837" s="13" t="s">
        <v>276</v>
      </c>
      <c r="E1837" s="13" t="str">
        <f>IFERROR(INDEX('Почасовка — ставки и план'!$B$5:$B$24,MATCH(D1837,'Почасовка — ставки и план'!$A$5:$A$24,0)),"Аренда техники / механизмы")</f>
        <v>Монтажник дверей, окон, перегородок</v>
      </c>
      <c r="F1837" s="14">
        <v>2000</v>
      </c>
      <c r="G1837" s="14">
        <v>2300</v>
      </c>
      <c r="H1837" s="15">
        <v>1240</v>
      </c>
      <c r="I1837" s="15">
        <f>IF(OR(H1837="",F1837=""),"",MAX(H1837,MIN(ROUND(H1837*(1+Параметры!$B$5),IF(H1837*(1+Параметры!$B$5)&gt;=1000,-1,0)),ROUND(F1837*Параметры!$B$6,IF(F1837*Параметры!$B$6&gt;=1000,-1,0)))))</f>
        <v>1430</v>
      </c>
      <c r="J1837" s="15">
        <v>1426</v>
      </c>
      <c r="K1837" s="15">
        <f>IF(OR(J1837="",G1837=""),"",MAX(J1837,MIN(ROUND(J1837*(1+Параметры!$B$5),IF(J1837*(1+Параметры!$B$5)&gt;=1000,-1,0)),ROUND(G1837*Параметры!$B$6,IF(G1837*Параметры!$B$6&gt;=1000,-1,0)))))</f>
        <v>1640</v>
      </c>
      <c r="L1837" s="16">
        <v>1.5</v>
      </c>
      <c r="M1837" s="17">
        <f t="shared" si="134"/>
        <v>0.66666666666666663</v>
      </c>
      <c r="N1837" s="17">
        <f>IF(OR(L1837="",L1837=0),"",Параметры!$B$3/L1837)</f>
        <v>5.333333333333333</v>
      </c>
      <c r="O1837" s="15">
        <f>IF(L1837="","",IFERROR(INDEX('Почасовка — ставки и план'!$D$5:$D$24,MATCH($D1837,'Почасовка — ставки и план'!$A$5:$A$24,0)),""))</f>
        <v>800</v>
      </c>
      <c r="P1837" s="15">
        <f>IF(L1837="","",IFERROR(INDEX('Почасовка — ставки и план'!$E$5:$E$24,MATCH($D1837,'Почасовка — ставки и план'!$A$5:$A$24,0)),""))</f>
        <v>950</v>
      </c>
      <c r="Q1837" s="15">
        <f t="shared" si="135"/>
        <v>1200</v>
      </c>
      <c r="R1837" s="13" t="str">
        <f>IF(D1837="TEX","аренда техники — сделка/счёт",IF(OR(Q1837="",H1837="",H1837=0),"—",IF(Q1837&lt;H1837*(1-Параметры!$B$7),"почасовка",IF(Q1837&gt;H1837*(1+Параметры!$B$7),"сделка","любой способ"))))</f>
        <v>любой способ</v>
      </c>
      <c r="S1837">
        <v>0</v>
      </c>
      <c r="T1837">
        <v>0</v>
      </c>
    </row>
    <row r="1838" spans="1:20" x14ac:dyDescent="0.25">
      <c r="A1838" s="13" t="s">
        <v>3711</v>
      </c>
      <c r="B1838" s="13" t="s">
        <v>3712</v>
      </c>
      <c r="C1838" s="13" t="s">
        <v>72</v>
      </c>
      <c r="D1838" s="13" t="s">
        <v>276</v>
      </c>
      <c r="E1838" s="13" t="str">
        <f>IFERROR(INDEX('Почасовка — ставки и план'!$B$5:$B$24,MATCH(D1838,'Почасовка — ставки и план'!$A$5:$A$24,0)),"Аренда техники / механизмы")</f>
        <v>Монтажник дверей, окон, перегородок</v>
      </c>
      <c r="F1838" s="14">
        <v>2200</v>
      </c>
      <c r="G1838" s="14">
        <v>2530</v>
      </c>
      <c r="H1838" s="15">
        <v>1364</v>
      </c>
      <c r="I1838" s="15">
        <f>IF(OR(H1838="",F1838=""),"",MAX(H1838,MIN(ROUND(H1838*(1+Параметры!$B$5),IF(H1838*(1+Параметры!$B$5)&gt;=1000,-1,0)),ROUND(F1838*Параметры!$B$6,IF(F1838*Параметры!$B$6&gt;=1000,-1,0)))))</f>
        <v>1570</v>
      </c>
      <c r="J1838" s="15">
        <v>1569</v>
      </c>
      <c r="K1838" s="15">
        <f>IF(OR(J1838="",G1838=""),"",MAX(J1838,MIN(ROUND(J1838*(1+Параметры!$B$5),IF(J1838*(1+Параметры!$B$5)&gt;=1000,-1,0)),ROUND(G1838*Параметры!$B$6,IF(G1838*Параметры!$B$6&gt;=1000,-1,0)))))</f>
        <v>1800</v>
      </c>
      <c r="L1838" s="16">
        <v>1.7</v>
      </c>
      <c r="M1838" s="17">
        <f t="shared" si="134"/>
        <v>0.58823529411764708</v>
      </c>
      <c r="N1838" s="17">
        <f>IF(OR(L1838="",L1838=0),"",Параметры!$B$3/L1838)</f>
        <v>4.7058823529411766</v>
      </c>
      <c r="O1838" s="15">
        <f>IF(L1838="","",IFERROR(INDEX('Почасовка — ставки и план'!$D$5:$D$24,MATCH($D1838,'Почасовка — ставки и план'!$A$5:$A$24,0)),""))</f>
        <v>800</v>
      </c>
      <c r="P1838" s="15">
        <f>IF(L1838="","",IFERROR(INDEX('Почасовка — ставки и план'!$E$5:$E$24,MATCH($D1838,'Почасовка — ставки и план'!$A$5:$A$24,0)),""))</f>
        <v>950</v>
      </c>
      <c r="Q1838" s="15">
        <f t="shared" si="135"/>
        <v>1360</v>
      </c>
      <c r="R1838" s="13" t="str">
        <f>IF(D1838="TEX","аренда техники — сделка/счёт",IF(OR(Q1838="",H1838="",H1838=0),"—",IF(Q1838&lt;H1838*(1-Параметры!$B$7),"почасовка",IF(Q1838&gt;H1838*(1+Параметры!$B$7),"сделка","любой способ"))))</f>
        <v>любой способ</v>
      </c>
      <c r="S1838">
        <v>0</v>
      </c>
      <c r="T1838">
        <v>0</v>
      </c>
    </row>
    <row r="1839" spans="1:20" x14ac:dyDescent="0.25">
      <c r="A1839" s="13" t="s">
        <v>3713</v>
      </c>
      <c r="B1839" s="13" t="s">
        <v>3714</v>
      </c>
      <c r="C1839" s="13" t="s">
        <v>144</v>
      </c>
      <c r="D1839" s="13" t="s">
        <v>545</v>
      </c>
      <c r="E1839" s="13" t="str">
        <f>IFERROR(INDEX('Почасовка — ставки и план'!$B$5:$B$24,MATCH(D1839,'Почасовка — ставки и план'!$A$5:$A$24,0)),"Аренда техники / механизмы")</f>
        <v>Сервисный инженер ворот и автоматики</v>
      </c>
      <c r="F1839" s="14">
        <v>3500</v>
      </c>
      <c r="G1839" s="14">
        <v>4025</v>
      </c>
      <c r="H1839" s="15">
        <v>2100</v>
      </c>
      <c r="I1839" s="15">
        <f>IF(OR(H1839="",F1839=""),"",MAX(H1839,MIN(ROUND(H1839*(1+Параметры!$B$5),IF(H1839*(1+Параметры!$B$5)&gt;=1000,-1,0)),ROUND(F1839*Параметры!$B$6,IF(F1839*Параметры!$B$6&gt;=1000,-1,0)))))</f>
        <v>2420</v>
      </c>
      <c r="J1839" s="15">
        <v>2415</v>
      </c>
      <c r="K1839" s="15">
        <f>IF(OR(J1839="",G1839=""),"",MAX(J1839,MIN(ROUND(J1839*(1+Параметры!$B$5),IF(J1839*(1+Параметры!$B$5)&gt;=1000,-1,0)),ROUND(G1839*Параметры!$B$6,IF(G1839*Параметры!$B$6&gt;=1000,-1,0)))))</f>
        <v>2780</v>
      </c>
      <c r="L1839" s="16">
        <v>1.2</v>
      </c>
      <c r="M1839" s="17">
        <f t="shared" si="134"/>
        <v>0.83333333333333337</v>
      </c>
      <c r="N1839" s="17">
        <f>IF(OR(L1839="",L1839=0),"",Параметры!$B$3/L1839)</f>
        <v>6.666666666666667</v>
      </c>
      <c r="O1839" s="15">
        <f>IF(L1839="","",IFERROR(INDEX('Почасовка — ставки и план'!$D$5:$D$24,MATCH($D1839,'Почасовка — ставки и план'!$A$5:$A$24,0)),""))</f>
        <v>1200</v>
      </c>
      <c r="P1839" s="15">
        <f>IF(L1839="","",IFERROR(INDEX('Почасовка — ставки и план'!$E$5:$E$24,MATCH($D1839,'Почасовка — ставки и план'!$A$5:$A$24,0)),""))</f>
        <v>1440</v>
      </c>
      <c r="Q1839" s="15">
        <f t="shared" si="135"/>
        <v>1440</v>
      </c>
      <c r="R1839" s="13" t="str">
        <f>IF(D1839="TEX","аренда техники — сделка/счёт",IF(OR(Q1839="",H1839="",H1839=0),"—",IF(Q1839&lt;H1839*(1-Параметры!$B$7),"почасовка",IF(Q1839&gt;H1839*(1+Параметры!$B$7),"сделка","любой способ"))))</f>
        <v>почасовка</v>
      </c>
      <c r="S1839">
        <v>0</v>
      </c>
      <c r="T1839">
        <v>0</v>
      </c>
    </row>
    <row r="1840" spans="1:20" x14ac:dyDescent="0.25">
      <c r="A1840" s="13" t="s">
        <v>3715</v>
      </c>
      <c r="B1840" s="13" t="s">
        <v>3716</v>
      </c>
      <c r="C1840" s="13" t="s">
        <v>144</v>
      </c>
      <c r="D1840" s="13" t="s">
        <v>545</v>
      </c>
      <c r="E1840" s="13" t="str">
        <f>IFERROR(INDEX('Почасовка — ставки и план'!$B$5:$B$24,MATCH(D1840,'Почасовка — ставки и план'!$A$5:$A$24,0)),"Аренда техники / механизмы")</f>
        <v>Сервисный инженер ворот и автоматики</v>
      </c>
      <c r="F1840" s="14">
        <v>3000</v>
      </c>
      <c r="G1840" s="14">
        <v>3450</v>
      </c>
      <c r="H1840" s="15">
        <v>1800</v>
      </c>
      <c r="I1840" s="15">
        <f>IF(OR(H1840="",F1840=""),"",MAX(H1840,MIN(ROUND(H1840*(1+Параметры!$B$5),IF(H1840*(1+Параметры!$B$5)&gt;=1000,-1,0)),ROUND(F1840*Параметры!$B$6,IF(F1840*Параметры!$B$6&gt;=1000,-1,0)))))</f>
        <v>2070</v>
      </c>
      <c r="J1840" s="15">
        <v>2070</v>
      </c>
      <c r="K1840" s="15">
        <f>IF(OR(J1840="",G1840=""),"",MAX(J1840,MIN(ROUND(J1840*(1+Параметры!$B$5),IF(J1840*(1+Параметры!$B$5)&gt;=1000,-1,0)),ROUND(G1840*Параметры!$B$6,IF(G1840*Параметры!$B$6&gt;=1000,-1,0)))))</f>
        <v>2380</v>
      </c>
      <c r="L1840" s="16">
        <v>1.5</v>
      </c>
      <c r="M1840" s="17">
        <f t="shared" si="134"/>
        <v>0.66666666666666663</v>
      </c>
      <c r="N1840" s="17">
        <f>IF(OR(L1840="",L1840=0),"",Параметры!$B$3/L1840)</f>
        <v>5.333333333333333</v>
      </c>
      <c r="O1840" s="15">
        <f>IF(L1840="","",IFERROR(INDEX('Почасовка — ставки и план'!$D$5:$D$24,MATCH($D1840,'Почасовка — ставки и план'!$A$5:$A$24,0)),""))</f>
        <v>1200</v>
      </c>
      <c r="P1840" s="15">
        <f>IF(L1840="","",IFERROR(INDEX('Почасовка — ставки и план'!$E$5:$E$24,MATCH($D1840,'Почасовка — ставки и план'!$A$5:$A$24,0)),""))</f>
        <v>1440</v>
      </c>
      <c r="Q1840" s="15">
        <f t="shared" si="135"/>
        <v>1800</v>
      </c>
      <c r="R1840" s="13" t="str">
        <f>IF(D1840="TEX","аренда техники — сделка/счёт",IF(OR(Q1840="",H1840="",H1840=0),"—",IF(Q1840&lt;H1840*(1-Параметры!$B$7),"почасовка",IF(Q1840&gt;H1840*(1+Параметры!$B$7),"сделка","любой способ"))))</f>
        <v>любой способ</v>
      </c>
      <c r="S1840">
        <v>0</v>
      </c>
      <c r="T1840">
        <v>0</v>
      </c>
    </row>
    <row r="1841" spans="1:20" x14ac:dyDescent="0.25">
      <c r="A1841" s="13" t="s">
        <v>3717</v>
      </c>
      <c r="B1841" s="13" t="s">
        <v>3718</v>
      </c>
      <c r="C1841" s="13" t="s">
        <v>144</v>
      </c>
      <c r="D1841" s="13" t="s">
        <v>545</v>
      </c>
      <c r="E1841" s="13" t="str">
        <f>IFERROR(INDEX('Почасовка — ставки и план'!$B$5:$B$24,MATCH(D1841,'Почасовка — ставки и план'!$A$5:$A$24,0)),"Аренда техники / механизмы")</f>
        <v>Сервисный инженер ворот и автоматики</v>
      </c>
      <c r="F1841" s="14">
        <v>3500</v>
      </c>
      <c r="G1841" s="14">
        <v>4025</v>
      </c>
      <c r="H1841" s="15">
        <v>2100</v>
      </c>
      <c r="I1841" s="15">
        <f>IF(OR(H1841="",F1841=""),"",MAX(H1841,MIN(ROUND(H1841*(1+Параметры!$B$5),IF(H1841*(1+Параметры!$B$5)&gt;=1000,-1,0)),ROUND(F1841*Параметры!$B$6,IF(F1841*Параметры!$B$6&gt;=1000,-1,0)))))</f>
        <v>2420</v>
      </c>
      <c r="J1841" s="15">
        <v>2415</v>
      </c>
      <c r="K1841" s="15">
        <f>IF(OR(J1841="",G1841=""),"",MAX(J1841,MIN(ROUND(J1841*(1+Параметры!$B$5),IF(J1841*(1+Параметры!$B$5)&gt;=1000,-1,0)),ROUND(G1841*Параметры!$B$6,IF(G1841*Параметры!$B$6&gt;=1000,-1,0)))))</f>
        <v>2780</v>
      </c>
      <c r="L1841" s="16">
        <v>1.5</v>
      </c>
      <c r="M1841" s="17">
        <f t="shared" ref="M1841:M1872" si="136">IF(OR(L1841="",L1841=0),"",1/L1841)</f>
        <v>0.66666666666666663</v>
      </c>
      <c r="N1841" s="17">
        <f>IF(OR(L1841="",L1841=0),"",Параметры!$B$3/L1841)</f>
        <v>5.333333333333333</v>
      </c>
      <c r="O1841" s="15">
        <f>IF(L1841="","",IFERROR(INDEX('Почасовка — ставки и план'!$D$5:$D$24,MATCH($D1841,'Почасовка — ставки и план'!$A$5:$A$24,0)),""))</f>
        <v>1200</v>
      </c>
      <c r="P1841" s="15">
        <f>IF(L1841="","",IFERROR(INDEX('Почасовка — ставки и план'!$E$5:$E$24,MATCH($D1841,'Почасовка — ставки и план'!$A$5:$A$24,0)),""))</f>
        <v>1440</v>
      </c>
      <c r="Q1841" s="15">
        <f t="shared" ref="Q1841:Q1872" si="137">IF(OR(L1841="",O1841=""),"",ROUND(L1841*O1841,0))</f>
        <v>1800</v>
      </c>
      <c r="R1841" s="13" t="str">
        <f>IF(D1841="TEX","аренда техники — сделка/счёт",IF(OR(Q1841="",H1841="",H1841=0),"—",IF(Q1841&lt;H1841*(1-Параметры!$B$7),"почасовка",IF(Q1841&gt;H1841*(1+Параметры!$B$7),"сделка","любой способ"))))</f>
        <v>почасовка</v>
      </c>
      <c r="S1841">
        <v>0</v>
      </c>
      <c r="T1841">
        <v>0</v>
      </c>
    </row>
    <row r="1842" spans="1:20" x14ac:dyDescent="0.25">
      <c r="A1842" s="13" t="s">
        <v>3719</v>
      </c>
      <c r="B1842" s="13" t="s">
        <v>3720</v>
      </c>
      <c r="C1842" s="13" t="s">
        <v>144</v>
      </c>
      <c r="D1842" s="13" t="s">
        <v>545</v>
      </c>
      <c r="E1842" s="13" t="str">
        <f>IFERROR(INDEX('Почасовка — ставки и план'!$B$5:$B$24,MATCH(D1842,'Почасовка — ставки и план'!$A$5:$A$24,0)),"Аренда техники / механизмы")</f>
        <v>Сервисный инженер ворот и автоматики</v>
      </c>
      <c r="F1842" s="14">
        <v>4000</v>
      </c>
      <c r="G1842" s="14">
        <v>4600</v>
      </c>
      <c r="H1842" s="15">
        <v>2400</v>
      </c>
      <c r="I1842" s="15">
        <f>IF(OR(H1842="",F1842=""),"",MAX(H1842,MIN(ROUND(H1842*(1+Параметры!$B$5),IF(H1842*(1+Параметры!$B$5)&gt;=1000,-1,0)),ROUND(F1842*Параметры!$B$6,IF(F1842*Параметры!$B$6&gt;=1000,-1,0)))))</f>
        <v>2760</v>
      </c>
      <c r="J1842" s="15">
        <v>2760</v>
      </c>
      <c r="K1842" s="15">
        <f>IF(OR(J1842="",G1842=""),"",MAX(J1842,MIN(ROUND(J1842*(1+Параметры!$B$5),IF(J1842*(1+Параметры!$B$5)&gt;=1000,-1,0)),ROUND(G1842*Параметры!$B$6,IF(G1842*Параметры!$B$6&gt;=1000,-1,0)))))</f>
        <v>3170</v>
      </c>
      <c r="L1842" s="16">
        <v>2</v>
      </c>
      <c r="M1842" s="17">
        <f t="shared" si="136"/>
        <v>0.5</v>
      </c>
      <c r="N1842" s="17">
        <f>IF(OR(L1842="",L1842=0),"",Параметры!$B$3/L1842)</f>
        <v>4</v>
      </c>
      <c r="O1842" s="15">
        <f>IF(L1842="","",IFERROR(INDEX('Почасовка — ставки и план'!$D$5:$D$24,MATCH($D1842,'Почасовка — ставки и план'!$A$5:$A$24,0)),""))</f>
        <v>1200</v>
      </c>
      <c r="P1842" s="15">
        <f>IF(L1842="","",IFERROR(INDEX('Почасовка — ставки и план'!$E$5:$E$24,MATCH($D1842,'Почасовка — ставки и план'!$A$5:$A$24,0)),""))</f>
        <v>1440</v>
      </c>
      <c r="Q1842" s="15">
        <f t="shared" si="137"/>
        <v>2400</v>
      </c>
      <c r="R1842" s="13" t="str">
        <f>IF(D1842="TEX","аренда техники — сделка/счёт",IF(OR(Q1842="",H1842="",H1842=0),"—",IF(Q1842&lt;H1842*(1-Параметры!$B$7),"почасовка",IF(Q1842&gt;H1842*(1+Параметры!$B$7),"сделка","любой способ"))))</f>
        <v>любой способ</v>
      </c>
      <c r="S1842">
        <v>0</v>
      </c>
      <c r="T1842">
        <v>0</v>
      </c>
    </row>
    <row r="1843" spans="1:20" x14ac:dyDescent="0.25">
      <c r="A1843" s="13" t="s">
        <v>3721</v>
      </c>
      <c r="B1843" s="13" t="s">
        <v>3722</v>
      </c>
      <c r="C1843" s="13" t="s">
        <v>144</v>
      </c>
      <c r="D1843" s="13" t="s">
        <v>545</v>
      </c>
      <c r="E1843" s="13" t="str">
        <f>IFERROR(INDEX('Почасовка — ставки и план'!$B$5:$B$24,MATCH(D1843,'Почасовка — ставки и план'!$A$5:$A$24,0)),"Аренда техники / механизмы")</f>
        <v>Сервисный инженер ворот и автоматики</v>
      </c>
      <c r="F1843" s="14">
        <v>3500</v>
      </c>
      <c r="G1843" s="14">
        <v>4025</v>
      </c>
      <c r="H1843" s="15">
        <v>2100</v>
      </c>
      <c r="I1843" s="15">
        <f>IF(OR(H1843="",F1843=""),"",MAX(H1843,MIN(ROUND(H1843*(1+Параметры!$B$5),IF(H1843*(1+Параметры!$B$5)&gt;=1000,-1,0)),ROUND(F1843*Параметры!$B$6,IF(F1843*Параметры!$B$6&gt;=1000,-1,0)))))</f>
        <v>2420</v>
      </c>
      <c r="J1843" s="15">
        <v>2415</v>
      </c>
      <c r="K1843" s="15">
        <f>IF(OR(J1843="",G1843=""),"",MAX(J1843,MIN(ROUND(J1843*(1+Параметры!$B$5),IF(J1843*(1+Параметры!$B$5)&gt;=1000,-1,0)),ROUND(G1843*Параметры!$B$6,IF(G1843*Параметры!$B$6&gt;=1000,-1,0)))))</f>
        <v>2780</v>
      </c>
      <c r="L1843" s="16">
        <v>1.5</v>
      </c>
      <c r="M1843" s="17">
        <f t="shared" si="136"/>
        <v>0.66666666666666663</v>
      </c>
      <c r="N1843" s="17">
        <f>IF(OR(L1843="",L1843=0),"",Параметры!$B$3/L1843)</f>
        <v>5.333333333333333</v>
      </c>
      <c r="O1843" s="15">
        <f>IF(L1843="","",IFERROR(INDEX('Почасовка — ставки и план'!$D$5:$D$24,MATCH($D1843,'Почасовка — ставки и план'!$A$5:$A$24,0)),""))</f>
        <v>1200</v>
      </c>
      <c r="P1843" s="15">
        <f>IF(L1843="","",IFERROR(INDEX('Почасовка — ставки и план'!$E$5:$E$24,MATCH($D1843,'Почасовка — ставки и план'!$A$5:$A$24,0)),""))</f>
        <v>1440</v>
      </c>
      <c r="Q1843" s="15">
        <f t="shared" si="137"/>
        <v>1800</v>
      </c>
      <c r="R1843" s="13" t="str">
        <f>IF(D1843="TEX","аренда техники — сделка/счёт",IF(OR(Q1843="",H1843="",H1843=0),"—",IF(Q1843&lt;H1843*(1-Параметры!$B$7),"почасовка",IF(Q1843&gt;H1843*(1+Параметры!$B$7),"сделка","любой способ"))))</f>
        <v>почасовка</v>
      </c>
      <c r="S1843">
        <v>0</v>
      </c>
      <c r="T1843">
        <v>0</v>
      </c>
    </row>
    <row r="1844" spans="1:20" x14ac:dyDescent="0.25">
      <c r="A1844" s="13" t="s">
        <v>3723</v>
      </c>
      <c r="B1844" s="13" t="s">
        <v>3724</v>
      </c>
      <c r="C1844" s="13" t="s">
        <v>144</v>
      </c>
      <c r="D1844" s="13" t="s">
        <v>545</v>
      </c>
      <c r="E1844" s="13" t="str">
        <f>IFERROR(INDEX('Почасовка — ставки и план'!$B$5:$B$24,MATCH(D1844,'Почасовка — ставки и план'!$A$5:$A$24,0)),"Аренда техники / механизмы")</f>
        <v>Сервисный инженер ворот и автоматики</v>
      </c>
      <c r="F1844" s="14">
        <v>32000</v>
      </c>
      <c r="G1844" s="14">
        <v>36800</v>
      </c>
      <c r="H1844" s="15">
        <v>19200</v>
      </c>
      <c r="I1844" s="15">
        <f>IF(OR(H1844="",F1844=""),"",MAX(H1844,MIN(ROUND(H1844*(1+Параметры!$B$5),IF(H1844*(1+Параметры!$B$5)&gt;=1000,-1,0)),ROUND(F1844*Параметры!$B$6,IF(F1844*Параметры!$B$6&gt;=1000,-1,0)))))</f>
        <v>22080</v>
      </c>
      <c r="J1844" s="15">
        <v>22080</v>
      </c>
      <c r="K1844" s="15">
        <f>IF(OR(J1844="",G1844=""),"",MAX(J1844,MIN(ROUND(J1844*(1+Параметры!$B$5),IF(J1844*(1+Параметры!$B$5)&gt;=1000,-1,0)),ROUND(G1844*Параметры!$B$6,IF(G1844*Параметры!$B$6&gt;=1000,-1,0)))))</f>
        <v>25390</v>
      </c>
      <c r="L1844" s="16">
        <v>16</v>
      </c>
      <c r="M1844" s="17">
        <f t="shared" si="136"/>
        <v>6.25E-2</v>
      </c>
      <c r="N1844" s="17">
        <f>IF(OR(L1844="",L1844=0),"",Параметры!$B$3/L1844)</f>
        <v>0.5</v>
      </c>
      <c r="O1844" s="15">
        <f>IF(L1844="","",IFERROR(INDEX('Почасовка — ставки и план'!$D$5:$D$24,MATCH($D1844,'Почасовка — ставки и план'!$A$5:$A$24,0)),""))</f>
        <v>1200</v>
      </c>
      <c r="P1844" s="15">
        <f>IF(L1844="","",IFERROR(INDEX('Почасовка — ставки и план'!$E$5:$E$24,MATCH($D1844,'Почасовка — ставки и план'!$A$5:$A$24,0)),""))</f>
        <v>1440</v>
      </c>
      <c r="Q1844" s="15">
        <f t="shared" si="137"/>
        <v>19200</v>
      </c>
      <c r="R1844" s="13" t="str">
        <f>IF(D1844="TEX","аренда техники — сделка/счёт",IF(OR(Q1844="",H1844="",H1844=0),"—",IF(Q1844&lt;H1844*(1-Параметры!$B$7),"почасовка",IF(Q1844&gt;H1844*(1+Параметры!$B$7),"сделка","любой способ"))))</f>
        <v>любой способ</v>
      </c>
      <c r="S1844">
        <v>0</v>
      </c>
      <c r="T1844">
        <v>0</v>
      </c>
    </row>
    <row r="1845" spans="1:20" x14ac:dyDescent="0.25">
      <c r="A1845" s="13" t="s">
        <v>3725</v>
      </c>
      <c r="B1845" s="13" t="s">
        <v>3726</v>
      </c>
      <c r="C1845" s="13" t="s">
        <v>144</v>
      </c>
      <c r="D1845" s="13" t="s">
        <v>545</v>
      </c>
      <c r="E1845" s="13" t="str">
        <f>IFERROR(INDEX('Почасовка — ставки и план'!$B$5:$B$24,MATCH(D1845,'Почасовка — ставки и план'!$A$5:$A$24,0)),"Аренда техники / механизмы")</f>
        <v>Сервисный инженер ворот и автоматики</v>
      </c>
      <c r="F1845" s="14">
        <v>34000</v>
      </c>
      <c r="G1845" s="14">
        <v>39100</v>
      </c>
      <c r="H1845" s="15">
        <v>20400</v>
      </c>
      <c r="I1845" s="15">
        <f>IF(OR(H1845="",F1845=""),"",MAX(H1845,MIN(ROUND(H1845*(1+Параметры!$B$5),IF(H1845*(1+Параметры!$B$5)&gt;=1000,-1,0)),ROUND(F1845*Параметры!$B$6,IF(F1845*Параметры!$B$6&gt;=1000,-1,0)))))</f>
        <v>23460</v>
      </c>
      <c r="J1845" s="15">
        <v>23460</v>
      </c>
      <c r="K1845" s="15">
        <f>IF(OR(J1845="",G1845=""),"",MAX(J1845,MIN(ROUND(J1845*(1+Параметры!$B$5),IF(J1845*(1+Параметры!$B$5)&gt;=1000,-1,0)),ROUND(G1845*Параметры!$B$6,IF(G1845*Параметры!$B$6&gt;=1000,-1,0)))))</f>
        <v>26980</v>
      </c>
      <c r="L1845" s="16">
        <v>18</v>
      </c>
      <c r="M1845" s="17">
        <f t="shared" si="136"/>
        <v>5.5555555555555552E-2</v>
      </c>
      <c r="N1845" s="17">
        <f>IF(OR(L1845="",L1845=0),"",Параметры!$B$3/L1845)</f>
        <v>0.44444444444444442</v>
      </c>
      <c r="O1845" s="15">
        <f>IF(L1845="","",IFERROR(INDEX('Почасовка — ставки и план'!$D$5:$D$24,MATCH($D1845,'Почасовка — ставки и план'!$A$5:$A$24,0)),""))</f>
        <v>1200</v>
      </c>
      <c r="P1845" s="15">
        <f>IF(L1845="","",IFERROR(INDEX('Почасовка — ставки и план'!$E$5:$E$24,MATCH($D1845,'Почасовка — ставки и план'!$A$5:$A$24,0)),""))</f>
        <v>1440</v>
      </c>
      <c r="Q1845" s="15">
        <f t="shared" si="137"/>
        <v>21600</v>
      </c>
      <c r="R1845" s="13" t="str">
        <f>IF(D1845="TEX","аренда техники — сделка/счёт",IF(OR(Q1845="",H1845="",H1845=0),"—",IF(Q1845&lt;H1845*(1-Параметры!$B$7),"почасовка",IF(Q1845&gt;H1845*(1+Параметры!$B$7),"сделка","любой способ"))))</f>
        <v>любой способ</v>
      </c>
      <c r="S1845">
        <v>0</v>
      </c>
      <c r="T1845">
        <v>0</v>
      </c>
    </row>
    <row r="1846" spans="1:20" x14ac:dyDescent="0.25">
      <c r="A1846" s="13" t="s">
        <v>3727</v>
      </c>
      <c r="B1846" s="13" t="s">
        <v>3728</v>
      </c>
      <c r="C1846" s="13" t="s">
        <v>144</v>
      </c>
      <c r="D1846" s="13" t="s">
        <v>545</v>
      </c>
      <c r="E1846" s="13" t="str">
        <f>IFERROR(INDEX('Почасовка — ставки и план'!$B$5:$B$24,MATCH(D1846,'Почасовка — ставки и план'!$A$5:$A$24,0)),"Аренда техники / механизмы")</f>
        <v>Сервисный инженер ворот и автоматики</v>
      </c>
      <c r="F1846" s="14">
        <v>30000</v>
      </c>
      <c r="G1846" s="14">
        <v>34500</v>
      </c>
      <c r="H1846" s="15">
        <v>18000</v>
      </c>
      <c r="I1846" s="15">
        <f>IF(OR(H1846="",F1846=""),"",MAX(H1846,MIN(ROUND(H1846*(1+Параметры!$B$5),IF(H1846*(1+Параметры!$B$5)&gt;=1000,-1,0)),ROUND(F1846*Параметры!$B$6,IF(F1846*Параметры!$B$6&gt;=1000,-1,0)))))</f>
        <v>20700</v>
      </c>
      <c r="J1846" s="15">
        <v>20700</v>
      </c>
      <c r="K1846" s="15">
        <f>IF(OR(J1846="",G1846=""),"",MAX(J1846,MIN(ROUND(J1846*(1+Параметры!$B$5),IF(J1846*(1+Параметры!$B$5)&gt;=1000,-1,0)),ROUND(G1846*Параметры!$B$6,IF(G1846*Параметры!$B$6&gt;=1000,-1,0)))))</f>
        <v>23810</v>
      </c>
      <c r="L1846" s="16">
        <v>15</v>
      </c>
      <c r="M1846" s="17">
        <f t="shared" si="136"/>
        <v>6.6666666666666666E-2</v>
      </c>
      <c r="N1846" s="17">
        <f>IF(OR(L1846="",L1846=0),"",Параметры!$B$3/L1846)</f>
        <v>0.53333333333333333</v>
      </c>
      <c r="O1846" s="15">
        <f>IF(L1846="","",IFERROR(INDEX('Почасовка — ставки и план'!$D$5:$D$24,MATCH($D1846,'Почасовка — ставки и план'!$A$5:$A$24,0)),""))</f>
        <v>1200</v>
      </c>
      <c r="P1846" s="15">
        <f>IF(L1846="","",IFERROR(INDEX('Почасовка — ставки и план'!$E$5:$E$24,MATCH($D1846,'Почасовка — ставки и план'!$A$5:$A$24,0)),""))</f>
        <v>1440</v>
      </c>
      <c r="Q1846" s="15">
        <f t="shared" si="137"/>
        <v>18000</v>
      </c>
      <c r="R1846" s="13" t="str">
        <f>IF(D1846="TEX","аренда техники — сделка/счёт",IF(OR(Q1846="",H1846="",H1846=0),"—",IF(Q1846&lt;H1846*(1-Параметры!$B$7),"почасовка",IF(Q1846&gt;H1846*(1+Параметры!$B$7),"сделка","любой способ"))))</f>
        <v>любой способ</v>
      </c>
      <c r="S1846">
        <v>0</v>
      </c>
      <c r="T1846">
        <v>0</v>
      </c>
    </row>
    <row r="1847" spans="1:20" x14ac:dyDescent="0.25">
      <c r="A1847" s="13" t="s">
        <v>3729</v>
      </c>
      <c r="B1847" s="13" t="s">
        <v>3730</v>
      </c>
      <c r="C1847" s="13" t="s">
        <v>144</v>
      </c>
      <c r="D1847" s="13" t="s">
        <v>545</v>
      </c>
      <c r="E1847" s="13" t="str">
        <f>IFERROR(INDEX('Почасовка — ставки и план'!$B$5:$B$24,MATCH(D1847,'Почасовка — ставки и план'!$A$5:$A$24,0)),"Аренда техники / механизмы")</f>
        <v>Сервисный инженер ворот и автоматики</v>
      </c>
      <c r="F1847" s="14">
        <v>27000</v>
      </c>
      <c r="G1847" s="14">
        <v>31050</v>
      </c>
      <c r="H1847" s="15">
        <v>16200</v>
      </c>
      <c r="I1847" s="15">
        <f>IF(OR(H1847="",F1847=""),"",MAX(H1847,MIN(ROUND(H1847*(1+Параметры!$B$5),IF(H1847*(1+Параметры!$B$5)&gt;=1000,-1,0)),ROUND(F1847*Параметры!$B$6,IF(F1847*Параметры!$B$6&gt;=1000,-1,0)))))</f>
        <v>18630</v>
      </c>
      <c r="J1847" s="15">
        <v>18630</v>
      </c>
      <c r="K1847" s="15">
        <f>IF(OR(J1847="",G1847=""),"",MAX(J1847,MIN(ROUND(J1847*(1+Параметры!$B$5),IF(J1847*(1+Параметры!$B$5)&gt;=1000,-1,0)),ROUND(G1847*Параметры!$B$6,IF(G1847*Параметры!$B$6&gt;=1000,-1,0)))))</f>
        <v>21420</v>
      </c>
      <c r="L1847" s="16">
        <v>14</v>
      </c>
      <c r="M1847" s="17">
        <f t="shared" si="136"/>
        <v>7.1428571428571425E-2</v>
      </c>
      <c r="N1847" s="17">
        <f>IF(OR(L1847="",L1847=0),"",Параметры!$B$3/L1847)</f>
        <v>0.5714285714285714</v>
      </c>
      <c r="O1847" s="15">
        <f>IF(L1847="","",IFERROR(INDEX('Почасовка — ставки и план'!$D$5:$D$24,MATCH($D1847,'Почасовка — ставки и план'!$A$5:$A$24,0)),""))</f>
        <v>1200</v>
      </c>
      <c r="P1847" s="15">
        <f>IF(L1847="","",IFERROR(INDEX('Почасовка — ставки и план'!$E$5:$E$24,MATCH($D1847,'Почасовка — ставки и план'!$A$5:$A$24,0)),""))</f>
        <v>1440</v>
      </c>
      <c r="Q1847" s="15">
        <f t="shared" si="137"/>
        <v>16800</v>
      </c>
      <c r="R1847" s="13" t="str">
        <f>IF(D1847="TEX","аренда техники — сделка/счёт",IF(OR(Q1847="",H1847="",H1847=0),"—",IF(Q1847&lt;H1847*(1-Параметры!$B$7),"почасовка",IF(Q1847&gt;H1847*(1+Параметры!$B$7),"сделка","любой способ"))))</f>
        <v>любой способ</v>
      </c>
      <c r="S1847">
        <v>0</v>
      </c>
      <c r="T1847">
        <v>0</v>
      </c>
    </row>
    <row r="1848" spans="1:20" x14ac:dyDescent="0.25">
      <c r="A1848" s="13" t="s">
        <v>3731</v>
      </c>
      <c r="B1848" s="13" t="s">
        <v>3732</v>
      </c>
      <c r="C1848" s="13" t="s">
        <v>144</v>
      </c>
      <c r="D1848" s="13" t="s">
        <v>545</v>
      </c>
      <c r="E1848" s="13" t="str">
        <f>IFERROR(INDEX('Почасовка — ставки и план'!$B$5:$B$24,MATCH(D1848,'Почасовка — ставки и план'!$A$5:$A$24,0)),"Аренда техники / механизмы")</f>
        <v>Сервисный инженер ворот и автоматики</v>
      </c>
      <c r="F1848" s="14">
        <v>38000</v>
      </c>
      <c r="G1848" s="14">
        <v>43700</v>
      </c>
      <c r="H1848" s="15">
        <v>22800</v>
      </c>
      <c r="I1848" s="15">
        <f>IF(OR(H1848="",F1848=""),"",MAX(H1848,MIN(ROUND(H1848*(1+Параметры!$B$5),IF(H1848*(1+Параметры!$B$5)&gt;=1000,-1,0)),ROUND(F1848*Параметры!$B$6,IF(F1848*Параметры!$B$6&gt;=1000,-1,0)))))</f>
        <v>26220</v>
      </c>
      <c r="J1848" s="15">
        <v>26220</v>
      </c>
      <c r="K1848" s="15">
        <f>IF(OR(J1848="",G1848=""),"",MAX(J1848,MIN(ROUND(J1848*(1+Параметры!$B$5),IF(J1848*(1+Параметры!$B$5)&gt;=1000,-1,0)),ROUND(G1848*Параметры!$B$6,IF(G1848*Параметры!$B$6&gt;=1000,-1,0)))))</f>
        <v>30150</v>
      </c>
      <c r="L1848" s="16">
        <v>22</v>
      </c>
      <c r="M1848" s="17">
        <f t="shared" si="136"/>
        <v>4.5454545454545456E-2</v>
      </c>
      <c r="N1848" s="17">
        <f>IF(OR(L1848="",L1848=0),"",Параметры!$B$3/L1848)</f>
        <v>0.36363636363636365</v>
      </c>
      <c r="O1848" s="15">
        <f>IF(L1848="","",IFERROR(INDEX('Почасовка — ставки и план'!$D$5:$D$24,MATCH($D1848,'Почасовка — ставки и план'!$A$5:$A$24,0)),""))</f>
        <v>1200</v>
      </c>
      <c r="P1848" s="15">
        <f>IF(L1848="","",IFERROR(INDEX('Почасовка — ставки и план'!$E$5:$E$24,MATCH($D1848,'Почасовка — ставки и план'!$A$5:$A$24,0)),""))</f>
        <v>1440</v>
      </c>
      <c r="Q1848" s="15">
        <f t="shared" si="137"/>
        <v>26400</v>
      </c>
      <c r="R1848" s="13" t="str">
        <f>IF(D1848="TEX","аренда техники — сделка/счёт",IF(OR(Q1848="",H1848="",H1848=0),"—",IF(Q1848&lt;H1848*(1-Параметры!$B$7),"почасовка",IF(Q1848&gt;H1848*(1+Параметры!$B$7),"сделка","любой способ"))))</f>
        <v>сделка</v>
      </c>
      <c r="S1848">
        <v>0</v>
      </c>
      <c r="T1848">
        <v>0</v>
      </c>
    </row>
    <row r="1849" spans="1:20" x14ac:dyDescent="0.25">
      <c r="A1849" s="13" t="s">
        <v>3733</v>
      </c>
      <c r="B1849" s="13" t="s">
        <v>3734</v>
      </c>
      <c r="C1849" s="13" t="s">
        <v>144</v>
      </c>
      <c r="D1849" s="13" t="s">
        <v>545</v>
      </c>
      <c r="E1849" s="13" t="str">
        <f>IFERROR(INDEX('Почасовка — ставки и план'!$B$5:$B$24,MATCH(D1849,'Почасовка — ставки и план'!$A$5:$A$24,0)),"Аренда техники / механизмы")</f>
        <v>Сервисный инженер ворот и автоматики</v>
      </c>
      <c r="F1849" s="14">
        <v>42000</v>
      </c>
      <c r="G1849" s="14">
        <v>48300</v>
      </c>
      <c r="H1849" s="15">
        <v>25200</v>
      </c>
      <c r="I1849" s="15">
        <f>IF(OR(H1849="",F1849=""),"",MAX(H1849,MIN(ROUND(H1849*(1+Параметры!$B$5),IF(H1849*(1+Параметры!$B$5)&gt;=1000,-1,0)),ROUND(F1849*Параметры!$B$6,IF(F1849*Параметры!$B$6&gt;=1000,-1,0)))))</f>
        <v>28980</v>
      </c>
      <c r="J1849" s="15">
        <v>28980</v>
      </c>
      <c r="K1849" s="15">
        <f>IF(OR(J1849="",G1849=""),"",MAX(J1849,MIN(ROUND(J1849*(1+Параметры!$B$5),IF(J1849*(1+Параметры!$B$5)&gt;=1000,-1,0)),ROUND(G1849*Параметры!$B$6,IF(G1849*Параметры!$B$6&gt;=1000,-1,0)))))</f>
        <v>33330</v>
      </c>
      <c r="L1849" s="16">
        <v>24</v>
      </c>
      <c r="M1849" s="17">
        <f t="shared" si="136"/>
        <v>4.1666666666666664E-2</v>
      </c>
      <c r="N1849" s="17">
        <f>IF(OR(L1849="",L1849=0),"",Параметры!$B$3/L1849)</f>
        <v>0.33333333333333331</v>
      </c>
      <c r="O1849" s="15">
        <f>IF(L1849="","",IFERROR(INDEX('Почасовка — ставки и план'!$D$5:$D$24,MATCH($D1849,'Почасовка — ставки и план'!$A$5:$A$24,0)),""))</f>
        <v>1200</v>
      </c>
      <c r="P1849" s="15">
        <f>IF(L1849="","",IFERROR(INDEX('Почасовка — ставки и план'!$E$5:$E$24,MATCH($D1849,'Почасовка — ставки и план'!$A$5:$A$24,0)),""))</f>
        <v>1440</v>
      </c>
      <c r="Q1849" s="15">
        <f t="shared" si="137"/>
        <v>28800</v>
      </c>
      <c r="R1849" s="13" t="str">
        <f>IF(D1849="TEX","аренда техники — сделка/счёт",IF(OR(Q1849="",H1849="",H1849=0),"—",IF(Q1849&lt;H1849*(1-Параметры!$B$7),"почасовка",IF(Q1849&gt;H1849*(1+Параметры!$B$7),"сделка","любой способ"))))</f>
        <v>сделка</v>
      </c>
      <c r="S1849">
        <v>0</v>
      </c>
      <c r="T1849">
        <v>0</v>
      </c>
    </row>
    <row r="1850" spans="1:20" x14ac:dyDescent="0.25">
      <c r="A1850" s="13" t="s">
        <v>3735</v>
      </c>
      <c r="B1850" s="13" t="s">
        <v>3736</v>
      </c>
      <c r="C1850" s="13" t="s">
        <v>72</v>
      </c>
      <c r="D1850" s="13" t="s">
        <v>276</v>
      </c>
      <c r="E1850" s="13" t="str">
        <f>IFERROR(INDEX('Почасовка — ставки и план'!$B$5:$B$24,MATCH(D1850,'Почасовка — ставки и план'!$A$5:$A$24,0)),"Аренда техники / механизмы")</f>
        <v>Монтажник дверей, окон, перегородок</v>
      </c>
      <c r="F1850" s="14">
        <v>3200</v>
      </c>
      <c r="G1850" s="14">
        <v>3800</v>
      </c>
      <c r="H1850" s="15">
        <v>1984</v>
      </c>
      <c r="I1850" s="15">
        <f>IF(OR(H1850="",F1850=""),"",MAX(H1850,MIN(ROUND(H1850*(1+Параметры!$B$5),IF(H1850*(1+Параметры!$B$5)&gt;=1000,-1,0)),ROUND(F1850*Параметры!$B$6,IF(F1850*Параметры!$B$6&gt;=1000,-1,0)))))</f>
        <v>2280</v>
      </c>
      <c r="J1850" s="15">
        <v>2282</v>
      </c>
      <c r="K1850" s="15">
        <f>IF(OR(J1850="",G1850=""),"",MAX(J1850,MIN(ROUND(J1850*(1+Параметры!$B$5),IF(J1850*(1+Параметры!$B$5)&gt;=1000,-1,0)),ROUND(G1850*Параметры!$B$6,IF(G1850*Параметры!$B$6&gt;=1000,-1,0)))))</f>
        <v>2620</v>
      </c>
      <c r="L1850" s="16">
        <v>3</v>
      </c>
      <c r="M1850" s="17">
        <f t="shared" si="136"/>
        <v>0.33333333333333331</v>
      </c>
      <c r="N1850" s="17">
        <f>IF(OR(L1850="",L1850=0),"",Параметры!$B$3/L1850)</f>
        <v>2.6666666666666665</v>
      </c>
      <c r="O1850" s="15">
        <f>IF(L1850="","",IFERROR(INDEX('Почасовка — ставки и план'!$D$5:$D$24,MATCH($D1850,'Почасовка — ставки и план'!$A$5:$A$24,0)),""))</f>
        <v>800</v>
      </c>
      <c r="P1850" s="15">
        <f>IF(L1850="","",IFERROR(INDEX('Почасовка — ставки и план'!$E$5:$E$24,MATCH($D1850,'Почасовка — ставки и план'!$A$5:$A$24,0)),""))</f>
        <v>950</v>
      </c>
      <c r="Q1850" s="15">
        <f t="shared" si="137"/>
        <v>2400</v>
      </c>
      <c r="R1850" s="13" t="str">
        <f>IF(D1850="TEX","аренда техники — сделка/счёт",IF(OR(Q1850="",H1850="",H1850=0),"—",IF(Q1850&lt;H1850*(1-Параметры!$B$7),"почасовка",IF(Q1850&gt;H1850*(1+Параметры!$B$7),"сделка","любой способ"))))</f>
        <v>сделка</v>
      </c>
      <c r="S1850">
        <v>0</v>
      </c>
      <c r="T1850">
        <v>3.2608695652173843E-2</v>
      </c>
    </row>
    <row r="1851" spans="1:20" x14ac:dyDescent="0.25">
      <c r="A1851" s="13" t="s">
        <v>3737</v>
      </c>
      <c r="B1851" s="13" t="s">
        <v>3738</v>
      </c>
      <c r="C1851" s="13" t="s">
        <v>144</v>
      </c>
      <c r="D1851" s="13" t="s">
        <v>276</v>
      </c>
      <c r="E1851" s="13" t="str">
        <f>IFERROR(INDEX('Почасовка — ставки и план'!$B$5:$B$24,MATCH(D1851,'Почасовка — ставки и план'!$A$5:$A$24,0)),"Аренда техники / механизмы")</f>
        <v>Монтажник дверей, окон, перегородок</v>
      </c>
      <c r="F1851" s="14">
        <v>2000</v>
      </c>
      <c r="G1851" s="14">
        <v>2300</v>
      </c>
      <c r="H1851" s="15">
        <v>1240</v>
      </c>
      <c r="I1851" s="15">
        <f>IF(OR(H1851="",F1851=""),"",MAX(H1851,MIN(ROUND(H1851*(1+Параметры!$B$5),IF(H1851*(1+Параметры!$B$5)&gt;=1000,-1,0)),ROUND(F1851*Параметры!$B$6,IF(F1851*Параметры!$B$6&gt;=1000,-1,0)))))</f>
        <v>1430</v>
      </c>
      <c r="J1851" s="15">
        <v>1426</v>
      </c>
      <c r="K1851" s="15">
        <f>IF(OR(J1851="",G1851=""),"",MAX(J1851,MIN(ROUND(J1851*(1+Параметры!$B$5),IF(J1851*(1+Параметры!$B$5)&gt;=1000,-1,0)),ROUND(G1851*Параметры!$B$6,IF(G1851*Параметры!$B$6&gt;=1000,-1,0)))))</f>
        <v>1640</v>
      </c>
      <c r="L1851" s="16">
        <v>1.2</v>
      </c>
      <c r="M1851" s="17">
        <f t="shared" si="136"/>
        <v>0.83333333333333337</v>
      </c>
      <c r="N1851" s="17">
        <f>IF(OR(L1851="",L1851=0),"",Параметры!$B$3/L1851)</f>
        <v>6.666666666666667</v>
      </c>
      <c r="O1851" s="15">
        <f>IF(L1851="","",IFERROR(INDEX('Почасовка — ставки и план'!$D$5:$D$24,MATCH($D1851,'Почасовка — ставки и план'!$A$5:$A$24,0)),""))</f>
        <v>800</v>
      </c>
      <c r="P1851" s="15">
        <f>IF(L1851="","",IFERROR(INDEX('Почасовка — ставки и план'!$E$5:$E$24,MATCH($D1851,'Почасовка — ставки и план'!$A$5:$A$24,0)),""))</f>
        <v>950</v>
      </c>
      <c r="Q1851" s="15">
        <f t="shared" si="137"/>
        <v>960</v>
      </c>
      <c r="R1851" s="13" t="str">
        <f>IF(D1851="TEX","аренда техники — сделка/счёт",IF(OR(Q1851="",H1851="",H1851=0),"—",IF(Q1851&lt;H1851*(1-Параметры!$B$7),"почасовка",IF(Q1851&gt;H1851*(1+Параметры!$B$7),"сделка","любой способ"))))</f>
        <v>почасовка</v>
      </c>
      <c r="S1851">
        <v>0</v>
      </c>
      <c r="T1851">
        <v>0</v>
      </c>
    </row>
    <row r="1852" spans="1:20" x14ac:dyDescent="0.25">
      <c r="A1852" s="13" t="s">
        <v>3739</v>
      </c>
      <c r="B1852" s="13" t="s">
        <v>3740</v>
      </c>
      <c r="C1852" s="13" t="s">
        <v>72</v>
      </c>
      <c r="D1852" s="13" t="s">
        <v>276</v>
      </c>
      <c r="E1852" s="13" t="str">
        <f>IFERROR(INDEX('Почасовка — ставки и план'!$B$5:$B$24,MATCH(D1852,'Почасовка — ставки и план'!$A$5:$A$24,0)),"Аренда техники / механизмы")</f>
        <v>Монтажник дверей, окон, перегородок</v>
      </c>
      <c r="F1852" s="14">
        <v>3200</v>
      </c>
      <c r="G1852" s="14">
        <v>3800</v>
      </c>
      <c r="H1852" s="15">
        <v>1860</v>
      </c>
      <c r="I1852" s="15">
        <f>IF(OR(H1852="",F1852=""),"",MAX(H1852,MIN(ROUND(H1852*(1+Параметры!$B$5),IF(H1852*(1+Параметры!$B$5)&gt;=1000,-1,0)),ROUND(F1852*Параметры!$B$6,IF(F1852*Параметры!$B$6&gt;=1000,-1,0)))))</f>
        <v>2140</v>
      </c>
      <c r="J1852" s="15">
        <v>2139</v>
      </c>
      <c r="K1852" s="15">
        <f>IF(OR(J1852="",G1852=""),"",MAX(J1852,MIN(ROUND(J1852*(1+Параметры!$B$5),IF(J1852*(1+Параметры!$B$5)&gt;=1000,-1,0)),ROUND(G1852*Параметры!$B$6,IF(G1852*Параметры!$B$6&gt;=1000,-1,0)))))</f>
        <v>2460</v>
      </c>
      <c r="L1852" s="16">
        <v>3</v>
      </c>
      <c r="M1852" s="17">
        <f t="shared" si="136"/>
        <v>0.33333333333333331</v>
      </c>
      <c r="N1852" s="17">
        <f>IF(OR(L1852="",L1852=0),"",Параметры!$B$3/L1852)</f>
        <v>2.6666666666666665</v>
      </c>
      <c r="O1852" s="15">
        <f>IF(L1852="","",IFERROR(INDEX('Почасовка — ставки и план'!$D$5:$D$24,MATCH($D1852,'Почасовка — ставки и план'!$A$5:$A$24,0)),""))</f>
        <v>800</v>
      </c>
      <c r="P1852" s="15">
        <f>IF(L1852="","",IFERROR(INDEX('Почасовка — ставки и план'!$E$5:$E$24,MATCH($D1852,'Почасовка — ставки и план'!$A$5:$A$24,0)),""))</f>
        <v>950</v>
      </c>
      <c r="Q1852" s="15">
        <f t="shared" si="137"/>
        <v>2400</v>
      </c>
      <c r="R1852" s="13" t="str">
        <f>IF(D1852="TEX","аренда техники — сделка/счёт",IF(OR(Q1852="",H1852="",H1852=0),"—",IF(Q1852&lt;H1852*(1-Параметры!$B$7),"почасовка",IF(Q1852&gt;H1852*(1+Параметры!$B$7),"сделка","любой способ"))))</f>
        <v>сделка</v>
      </c>
      <c r="S1852">
        <v>6.6666666666666652E-2</v>
      </c>
      <c r="T1852">
        <v>0.10144927536231881</v>
      </c>
    </row>
    <row r="1853" spans="1:20" x14ac:dyDescent="0.25">
      <c r="A1853" s="13" t="s">
        <v>3741</v>
      </c>
      <c r="B1853" s="13" t="s">
        <v>3742</v>
      </c>
      <c r="C1853" s="13" t="s">
        <v>144</v>
      </c>
      <c r="D1853" s="13" t="s">
        <v>545</v>
      </c>
      <c r="E1853" s="13" t="str">
        <f>IFERROR(INDEX('Почасовка — ставки и план'!$B$5:$B$24,MATCH(D1853,'Почасовка — ставки и план'!$A$5:$A$24,0)),"Аренда техники / механизмы")</f>
        <v>Сервисный инженер ворот и автоматики</v>
      </c>
      <c r="F1853" s="14">
        <v>2000</v>
      </c>
      <c r="G1853" s="14">
        <v>2300</v>
      </c>
      <c r="H1853" s="15">
        <v>1200</v>
      </c>
      <c r="I1853" s="15">
        <f>IF(OR(H1853="",F1853=""),"",MAX(H1853,MIN(ROUND(H1853*(1+Параметры!$B$5),IF(H1853*(1+Параметры!$B$5)&gt;=1000,-1,0)),ROUND(F1853*Параметры!$B$6,IF(F1853*Параметры!$B$6&gt;=1000,-1,0)))))</f>
        <v>1380</v>
      </c>
      <c r="J1853" s="15">
        <v>1380</v>
      </c>
      <c r="K1853" s="15">
        <f>IF(OR(J1853="",G1853=""),"",MAX(J1853,MIN(ROUND(J1853*(1+Параметры!$B$5),IF(J1853*(1+Параметры!$B$5)&gt;=1000,-1,0)),ROUND(G1853*Параметры!$B$6,IF(G1853*Параметры!$B$6&gt;=1000,-1,0)))))</f>
        <v>1590</v>
      </c>
      <c r="L1853" s="16">
        <v>0.8</v>
      </c>
      <c r="M1853" s="17">
        <f t="shared" si="136"/>
        <v>1.25</v>
      </c>
      <c r="N1853" s="17">
        <f>IF(OR(L1853="",L1853=0),"",Параметры!$B$3/L1853)</f>
        <v>10</v>
      </c>
      <c r="O1853" s="15">
        <f>IF(L1853="","",IFERROR(INDEX('Почасовка — ставки и план'!$D$5:$D$24,MATCH($D1853,'Почасовка — ставки и план'!$A$5:$A$24,0)),""))</f>
        <v>1200</v>
      </c>
      <c r="P1853" s="15">
        <f>IF(L1853="","",IFERROR(INDEX('Почасовка — ставки и план'!$E$5:$E$24,MATCH($D1853,'Почасовка — ставки и план'!$A$5:$A$24,0)),""))</f>
        <v>1440</v>
      </c>
      <c r="Q1853" s="15">
        <f t="shared" si="137"/>
        <v>960</v>
      </c>
      <c r="R1853" s="13" t="str">
        <f>IF(D1853="TEX","аренда техники — сделка/счёт",IF(OR(Q1853="",H1853="",H1853=0),"—",IF(Q1853&lt;H1853*(1-Параметры!$B$7),"почасовка",IF(Q1853&gt;H1853*(1+Параметры!$B$7),"сделка","любой способ"))))</f>
        <v>почасовка</v>
      </c>
      <c r="S1853">
        <v>0</v>
      </c>
      <c r="T1853">
        <v>0</v>
      </c>
    </row>
    <row r="1854" spans="1:20" x14ac:dyDescent="0.25">
      <c r="A1854" s="13" t="s">
        <v>3743</v>
      </c>
      <c r="B1854" s="13" t="s">
        <v>3744</v>
      </c>
      <c r="C1854" s="13" t="s">
        <v>144</v>
      </c>
      <c r="D1854" s="13" t="s">
        <v>545</v>
      </c>
      <c r="E1854" s="13" t="str">
        <f>IFERROR(INDEX('Почасовка — ставки и план'!$B$5:$B$24,MATCH(D1854,'Почасовка — ставки и план'!$A$5:$A$24,0)),"Аренда техники / механизмы")</f>
        <v>Сервисный инженер ворот и автоматики</v>
      </c>
      <c r="F1854" s="14">
        <v>2500</v>
      </c>
      <c r="G1854" s="14">
        <v>2875</v>
      </c>
      <c r="H1854" s="15">
        <v>1500</v>
      </c>
      <c r="I1854" s="15">
        <f>IF(OR(H1854="",F1854=""),"",MAX(H1854,MIN(ROUND(H1854*(1+Параметры!$B$5),IF(H1854*(1+Параметры!$B$5)&gt;=1000,-1,0)),ROUND(F1854*Параметры!$B$6,IF(F1854*Параметры!$B$6&gt;=1000,-1,0)))))</f>
        <v>1730</v>
      </c>
      <c r="J1854" s="15">
        <v>1725</v>
      </c>
      <c r="K1854" s="15">
        <f>IF(OR(J1854="",G1854=""),"",MAX(J1854,MIN(ROUND(J1854*(1+Параметры!$B$5),IF(J1854*(1+Параметры!$B$5)&gt;=1000,-1,0)),ROUND(G1854*Параметры!$B$6,IF(G1854*Параметры!$B$6&gt;=1000,-1,0)))))</f>
        <v>1980</v>
      </c>
      <c r="L1854" s="16">
        <v>1</v>
      </c>
      <c r="M1854" s="17">
        <f t="shared" si="136"/>
        <v>1</v>
      </c>
      <c r="N1854" s="17">
        <f>IF(OR(L1854="",L1854=0),"",Параметры!$B$3/L1854)</f>
        <v>8</v>
      </c>
      <c r="O1854" s="15">
        <f>IF(L1854="","",IFERROR(INDEX('Почасовка — ставки и план'!$D$5:$D$24,MATCH($D1854,'Почасовка — ставки и план'!$A$5:$A$24,0)),""))</f>
        <v>1200</v>
      </c>
      <c r="P1854" s="15">
        <f>IF(L1854="","",IFERROR(INDEX('Почасовка — ставки и план'!$E$5:$E$24,MATCH($D1854,'Почасовка — ставки и план'!$A$5:$A$24,0)),""))</f>
        <v>1440</v>
      </c>
      <c r="Q1854" s="15">
        <f t="shared" si="137"/>
        <v>1200</v>
      </c>
      <c r="R1854" s="13" t="str">
        <f>IF(D1854="TEX","аренда техники — сделка/счёт",IF(OR(Q1854="",H1854="",H1854=0),"—",IF(Q1854&lt;H1854*(1-Параметры!$B$7),"почасовка",IF(Q1854&gt;H1854*(1+Параметры!$B$7),"сделка","любой способ"))))</f>
        <v>почасовка</v>
      </c>
      <c r="S1854">
        <v>0</v>
      </c>
      <c r="T1854">
        <v>0</v>
      </c>
    </row>
    <row r="1855" spans="1:20" x14ac:dyDescent="0.25">
      <c r="A1855" s="13" t="s">
        <v>3745</v>
      </c>
      <c r="B1855" s="13" t="s">
        <v>3746</v>
      </c>
      <c r="C1855" s="13" t="s">
        <v>72</v>
      </c>
      <c r="D1855" s="13" t="s">
        <v>208</v>
      </c>
      <c r="E1855" s="13" t="str">
        <f>IFERROR(INDEX('Почасовка — ставки и план'!$B$5:$B$24,MATCH(D1855,'Почасовка — ставки и план'!$A$5:$A$24,0)),"Аренда техники / механизмы")</f>
        <v>Отделочник (штукатур, маляр, ГКЛ)</v>
      </c>
      <c r="F1855" s="14">
        <v>900</v>
      </c>
      <c r="G1855" s="14">
        <v>1035</v>
      </c>
      <c r="H1855" s="15">
        <v>567</v>
      </c>
      <c r="I1855" s="15">
        <f>IF(OR(H1855="",F1855=""),"",MAX(H1855,MIN(ROUND(H1855*(1+Параметры!$B$5),IF(H1855*(1+Параметры!$B$5)&gt;=1000,-1,0)),ROUND(F1855*Параметры!$B$6,IF(F1855*Параметры!$B$6&gt;=1000,-1,0)))))</f>
        <v>652</v>
      </c>
      <c r="J1855" s="15">
        <v>652</v>
      </c>
      <c r="K1855" s="15">
        <f>IF(OR(J1855="",G1855=""),"",MAX(J1855,MIN(ROUND(J1855*(1+Параметры!$B$5),IF(J1855*(1+Параметры!$B$5)&gt;=1000,-1,0)),ROUND(G1855*Параметры!$B$6,IF(G1855*Параметры!$B$6&gt;=1000,-1,0)))))</f>
        <v>750</v>
      </c>
      <c r="L1855" s="16">
        <v>0.8</v>
      </c>
      <c r="M1855" s="17">
        <f t="shared" si="136"/>
        <v>1.25</v>
      </c>
      <c r="N1855" s="17">
        <f>IF(OR(L1855="",L1855=0),"",Параметры!$B$3/L1855)</f>
        <v>10</v>
      </c>
      <c r="O1855" s="15">
        <f>IF(L1855="","",IFERROR(INDEX('Почасовка — ставки и план'!$D$5:$D$24,MATCH($D1855,'Почасовка — ставки и план'!$A$5:$A$24,0)),""))</f>
        <v>750</v>
      </c>
      <c r="P1855" s="15">
        <f>IF(L1855="","",IFERROR(INDEX('Почасовка — ставки и план'!$E$5:$E$24,MATCH($D1855,'Почасовка — ставки и план'!$A$5:$A$24,0)),""))</f>
        <v>900</v>
      </c>
      <c r="Q1855" s="15">
        <f t="shared" si="137"/>
        <v>600</v>
      </c>
      <c r="R1855" s="13" t="str">
        <f>IF(D1855="TEX","аренда техники — сделка/счёт",IF(OR(Q1855="",H1855="",H1855=0),"—",IF(Q1855&lt;H1855*(1-Параметры!$B$7),"почасовка",IF(Q1855&gt;H1855*(1+Параметры!$B$7),"сделка","любой способ"))))</f>
        <v>любой способ</v>
      </c>
      <c r="S1855">
        <v>0</v>
      </c>
      <c r="T1855">
        <v>0</v>
      </c>
    </row>
    <row r="1856" spans="1:20" x14ac:dyDescent="0.25">
      <c r="A1856" s="13" t="s">
        <v>3747</v>
      </c>
      <c r="B1856" s="13" t="s">
        <v>3748</v>
      </c>
      <c r="C1856" s="13" t="s">
        <v>144</v>
      </c>
      <c r="D1856" s="13" t="s">
        <v>208</v>
      </c>
      <c r="E1856" s="13" t="str">
        <f>IFERROR(INDEX('Почасовка — ставки и план'!$B$5:$B$24,MATCH(D1856,'Почасовка — ставки и план'!$A$5:$A$24,0)),"Аренда техники / механизмы")</f>
        <v>Отделочник (штукатур, маляр, ГКЛ)</v>
      </c>
      <c r="F1856" s="14">
        <v>1000</v>
      </c>
      <c r="G1856" s="14">
        <v>1150</v>
      </c>
      <c r="H1856" s="15">
        <v>630</v>
      </c>
      <c r="I1856" s="15">
        <f>IF(OR(H1856="",F1856=""),"",MAX(H1856,MIN(ROUND(H1856*(1+Параметры!$B$5),IF(H1856*(1+Параметры!$B$5)&gt;=1000,-1,0)),ROUND(F1856*Параметры!$B$6,IF(F1856*Параметры!$B$6&gt;=1000,-1,0)))))</f>
        <v>725</v>
      </c>
      <c r="J1856" s="15">
        <v>724</v>
      </c>
      <c r="K1856" s="15">
        <f>IF(OR(J1856="",G1856=""),"",MAX(J1856,MIN(ROUND(J1856*(1+Параметры!$B$5),IF(J1856*(1+Параметры!$B$5)&gt;=1000,-1,0)),ROUND(G1856*Параметры!$B$6,IF(G1856*Параметры!$B$6&gt;=1000,-1,0)))))</f>
        <v>833</v>
      </c>
      <c r="L1856" s="16">
        <v>0.5</v>
      </c>
      <c r="M1856" s="17">
        <f t="shared" si="136"/>
        <v>2</v>
      </c>
      <c r="N1856" s="17">
        <f>IF(OR(L1856="",L1856=0),"",Параметры!$B$3/L1856)</f>
        <v>16</v>
      </c>
      <c r="O1856" s="15">
        <f>IF(L1856="","",IFERROR(INDEX('Почасовка — ставки и план'!$D$5:$D$24,MATCH($D1856,'Почасовка — ставки и план'!$A$5:$A$24,0)),""))</f>
        <v>750</v>
      </c>
      <c r="P1856" s="15">
        <f>IF(L1856="","",IFERROR(INDEX('Почасовка — ставки и план'!$E$5:$E$24,MATCH($D1856,'Почасовка — ставки и план'!$A$5:$A$24,0)),""))</f>
        <v>900</v>
      </c>
      <c r="Q1856" s="15">
        <f t="shared" si="137"/>
        <v>375</v>
      </c>
      <c r="R1856" s="13" t="str">
        <f>IF(D1856="TEX","аренда техники — сделка/счёт",IF(OR(Q1856="",H1856="",H1856=0),"—",IF(Q1856&lt;H1856*(1-Параметры!$B$7),"почасовка",IF(Q1856&gt;H1856*(1+Параметры!$B$7),"сделка","любой способ"))))</f>
        <v>почасовка</v>
      </c>
      <c r="S1856">
        <v>0</v>
      </c>
      <c r="T1856">
        <v>0</v>
      </c>
    </row>
    <row r="1857" spans="1:20" x14ac:dyDescent="0.25">
      <c r="A1857" s="13" t="s">
        <v>3749</v>
      </c>
      <c r="B1857" s="13" t="s">
        <v>3750</v>
      </c>
      <c r="C1857" s="13" t="s">
        <v>144</v>
      </c>
      <c r="D1857" s="13" t="s">
        <v>208</v>
      </c>
      <c r="E1857" s="13" t="str">
        <f>IFERROR(INDEX('Почасовка — ставки и план'!$B$5:$B$24,MATCH(D1857,'Почасовка — ставки и план'!$A$5:$A$24,0)),"Аренда техники / механизмы")</f>
        <v>Отделочник (штукатур, маляр, ГКЛ)</v>
      </c>
      <c r="F1857" s="14">
        <v>900</v>
      </c>
      <c r="G1857" s="14">
        <v>1035</v>
      </c>
      <c r="H1857" s="15">
        <v>567</v>
      </c>
      <c r="I1857" s="15">
        <f>IF(OR(H1857="",F1857=""),"",MAX(H1857,MIN(ROUND(H1857*(1+Параметры!$B$5),IF(H1857*(1+Параметры!$B$5)&gt;=1000,-1,0)),ROUND(F1857*Параметры!$B$6,IF(F1857*Параметры!$B$6&gt;=1000,-1,0)))))</f>
        <v>652</v>
      </c>
      <c r="J1857" s="15">
        <v>652</v>
      </c>
      <c r="K1857" s="15">
        <f>IF(OR(J1857="",G1857=""),"",MAX(J1857,MIN(ROUND(J1857*(1+Параметры!$B$5),IF(J1857*(1+Параметры!$B$5)&gt;=1000,-1,0)),ROUND(G1857*Параметры!$B$6,IF(G1857*Параметры!$B$6&gt;=1000,-1,0)))))</f>
        <v>750</v>
      </c>
      <c r="L1857" s="16">
        <v>0.5</v>
      </c>
      <c r="M1857" s="17">
        <f t="shared" si="136"/>
        <v>2</v>
      </c>
      <c r="N1857" s="17">
        <f>IF(OR(L1857="",L1857=0),"",Параметры!$B$3/L1857)</f>
        <v>16</v>
      </c>
      <c r="O1857" s="15">
        <f>IF(L1857="","",IFERROR(INDEX('Почасовка — ставки и план'!$D$5:$D$24,MATCH($D1857,'Почасовка — ставки и план'!$A$5:$A$24,0)),""))</f>
        <v>750</v>
      </c>
      <c r="P1857" s="15">
        <f>IF(L1857="","",IFERROR(INDEX('Почасовка — ставки и план'!$E$5:$E$24,MATCH($D1857,'Почасовка — ставки и план'!$A$5:$A$24,0)),""))</f>
        <v>900</v>
      </c>
      <c r="Q1857" s="15">
        <f t="shared" si="137"/>
        <v>375</v>
      </c>
      <c r="R1857" s="13" t="str">
        <f>IF(D1857="TEX","аренда техники — сделка/счёт",IF(OR(Q1857="",H1857="",H1857=0),"—",IF(Q1857&lt;H1857*(1-Параметры!$B$7),"почасовка",IF(Q1857&gt;H1857*(1+Параметры!$B$7),"сделка","любой способ"))))</f>
        <v>почасовка</v>
      </c>
      <c r="S1857">
        <v>0</v>
      </c>
      <c r="T1857">
        <v>0</v>
      </c>
    </row>
    <row r="1858" spans="1:20" x14ac:dyDescent="0.25">
      <c r="A1858" s="13" t="s">
        <v>3751</v>
      </c>
      <c r="B1858" s="13" t="s">
        <v>3752</v>
      </c>
      <c r="C1858" s="13" t="s">
        <v>144</v>
      </c>
      <c r="D1858" s="13" t="s">
        <v>276</v>
      </c>
      <c r="E1858" s="13" t="str">
        <f>IFERROR(INDEX('Почасовка — ставки и план'!$B$5:$B$24,MATCH(D1858,'Почасовка — ставки и план'!$A$5:$A$24,0)),"Аренда техники / механизмы")</f>
        <v>Монтажник дверей, окон, перегородок</v>
      </c>
      <c r="F1858" s="14">
        <v>1200</v>
      </c>
      <c r="G1858" s="14">
        <v>1380</v>
      </c>
      <c r="H1858" s="15">
        <v>744</v>
      </c>
      <c r="I1858" s="15">
        <f>IF(OR(H1858="",F1858=""),"",MAX(H1858,MIN(ROUND(H1858*(1+Параметры!$B$5),IF(H1858*(1+Параметры!$B$5)&gt;=1000,-1,0)),ROUND(F1858*Параметры!$B$6,IF(F1858*Параметры!$B$6&gt;=1000,-1,0)))))</f>
        <v>856</v>
      </c>
      <c r="J1858" s="15">
        <v>856</v>
      </c>
      <c r="K1858" s="15">
        <f>IF(OR(J1858="",G1858=""),"",MAX(J1858,MIN(ROUND(J1858*(1+Параметры!$B$5),IF(J1858*(1+Параметры!$B$5)&gt;=1000,-1,0)),ROUND(G1858*Параметры!$B$6,IF(G1858*Параметры!$B$6&gt;=1000,-1,0)))))</f>
        <v>984</v>
      </c>
      <c r="L1858" s="16">
        <v>0.5</v>
      </c>
      <c r="M1858" s="17">
        <f t="shared" si="136"/>
        <v>2</v>
      </c>
      <c r="N1858" s="17">
        <f>IF(OR(L1858="",L1858=0),"",Параметры!$B$3/L1858)</f>
        <v>16</v>
      </c>
      <c r="O1858" s="15">
        <f>IF(L1858="","",IFERROR(INDEX('Почасовка — ставки и план'!$D$5:$D$24,MATCH($D1858,'Почасовка — ставки и план'!$A$5:$A$24,0)),""))</f>
        <v>800</v>
      </c>
      <c r="P1858" s="15">
        <f>IF(L1858="","",IFERROR(INDEX('Почасовка — ставки и план'!$E$5:$E$24,MATCH($D1858,'Почасовка — ставки и план'!$A$5:$A$24,0)),""))</f>
        <v>950</v>
      </c>
      <c r="Q1858" s="15">
        <f t="shared" si="137"/>
        <v>400</v>
      </c>
      <c r="R1858" s="13" t="str">
        <f>IF(D1858="TEX","аренда техники — сделка/счёт",IF(OR(Q1858="",H1858="",H1858=0),"—",IF(Q1858&lt;H1858*(1-Параметры!$B$7),"почасовка",IF(Q1858&gt;H1858*(1+Параметры!$B$7),"сделка","любой способ"))))</f>
        <v>почасовка</v>
      </c>
      <c r="S1858">
        <v>0</v>
      </c>
      <c r="T1858">
        <v>0</v>
      </c>
    </row>
    <row r="1859" spans="1:20" x14ac:dyDescent="0.25">
      <c r="A1859" s="13" t="s">
        <v>3753</v>
      </c>
      <c r="B1859" s="13" t="s">
        <v>3754</v>
      </c>
      <c r="C1859" s="13" t="s">
        <v>144</v>
      </c>
      <c r="D1859" s="13" t="s">
        <v>545</v>
      </c>
      <c r="E1859" s="13" t="str">
        <f>IFERROR(INDEX('Почасовка — ставки и план'!$B$5:$B$24,MATCH(D1859,'Почасовка — ставки и план'!$A$5:$A$24,0)),"Аренда техники / механизмы")</f>
        <v>Сервисный инженер ворот и автоматики</v>
      </c>
      <c r="F1859" s="14">
        <v>4500</v>
      </c>
      <c r="G1859" s="14">
        <v>5175</v>
      </c>
      <c r="H1859" s="15">
        <v>2700</v>
      </c>
      <c r="I1859" s="15">
        <f>IF(OR(H1859="",F1859=""),"",MAX(H1859,MIN(ROUND(H1859*(1+Параметры!$B$5),IF(H1859*(1+Параметры!$B$5)&gt;=1000,-1,0)),ROUND(F1859*Параметры!$B$6,IF(F1859*Параметры!$B$6&gt;=1000,-1,0)))))</f>
        <v>3110</v>
      </c>
      <c r="J1859" s="15">
        <v>3105</v>
      </c>
      <c r="K1859" s="15">
        <f>IF(OR(J1859="",G1859=""),"",MAX(J1859,MIN(ROUND(J1859*(1+Параметры!$B$5),IF(J1859*(1+Параметры!$B$5)&gt;=1000,-1,0)),ROUND(G1859*Параметры!$B$6,IF(G1859*Параметры!$B$6&gt;=1000,-1,0)))))</f>
        <v>3570</v>
      </c>
      <c r="L1859" s="16">
        <v>1.5</v>
      </c>
      <c r="M1859" s="17">
        <f t="shared" si="136"/>
        <v>0.66666666666666663</v>
      </c>
      <c r="N1859" s="17">
        <f>IF(OR(L1859="",L1859=0),"",Параметры!$B$3/L1859)</f>
        <v>5.333333333333333</v>
      </c>
      <c r="O1859" s="15">
        <f>IF(L1859="","",IFERROR(INDEX('Почасовка — ставки и план'!$D$5:$D$24,MATCH($D1859,'Почасовка — ставки и план'!$A$5:$A$24,0)),""))</f>
        <v>1200</v>
      </c>
      <c r="P1859" s="15">
        <f>IF(L1859="","",IFERROR(INDEX('Почасовка — ставки и план'!$E$5:$E$24,MATCH($D1859,'Почасовка — ставки и план'!$A$5:$A$24,0)),""))</f>
        <v>1440</v>
      </c>
      <c r="Q1859" s="15">
        <f t="shared" si="137"/>
        <v>1800</v>
      </c>
      <c r="R1859" s="13" t="str">
        <f>IF(D1859="TEX","аренда техники — сделка/счёт",IF(OR(Q1859="",H1859="",H1859=0),"—",IF(Q1859&lt;H1859*(1-Параметры!$B$7),"почасовка",IF(Q1859&gt;H1859*(1+Параметры!$B$7),"сделка","любой способ"))))</f>
        <v>почасовка</v>
      </c>
      <c r="S1859">
        <v>0</v>
      </c>
      <c r="T1859">
        <v>0</v>
      </c>
    </row>
    <row r="1860" spans="1:20" x14ac:dyDescent="0.25">
      <c r="A1860" s="13" t="s">
        <v>3755</v>
      </c>
      <c r="B1860" s="13" t="s">
        <v>3756</v>
      </c>
      <c r="C1860" s="13" t="s">
        <v>865</v>
      </c>
      <c r="D1860" s="13" t="s">
        <v>545</v>
      </c>
      <c r="E1860" s="13" t="str">
        <f>IFERROR(INDEX('Почасовка — ставки и план'!$B$5:$B$24,MATCH(D1860,'Почасовка — ставки и план'!$A$5:$A$24,0)),"Аренда техники / механизмы")</f>
        <v>Сервисный инженер ворот и автоматики</v>
      </c>
      <c r="F1860" s="14">
        <v>6500</v>
      </c>
      <c r="G1860" s="14">
        <v>7475</v>
      </c>
      <c r="H1860" s="15">
        <v>3900</v>
      </c>
      <c r="I1860" s="15">
        <f>IF(OR(H1860="",F1860=""),"",MAX(H1860,MIN(ROUND(H1860*(1+Параметры!$B$5),IF(H1860*(1+Параметры!$B$5)&gt;=1000,-1,0)),ROUND(F1860*Параметры!$B$6,IF(F1860*Параметры!$B$6&gt;=1000,-1,0)))))</f>
        <v>4490</v>
      </c>
      <c r="J1860" s="15">
        <v>4485</v>
      </c>
      <c r="K1860" s="15">
        <f>IF(OR(J1860="",G1860=""),"",MAX(J1860,MIN(ROUND(J1860*(1+Параметры!$B$5),IF(J1860*(1+Параметры!$B$5)&gt;=1000,-1,0)),ROUND(G1860*Параметры!$B$6,IF(G1860*Параметры!$B$6&gt;=1000,-1,0)))))</f>
        <v>5160</v>
      </c>
      <c r="L1860" s="16">
        <v>3</v>
      </c>
      <c r="M1860" s="17">
        <f t="shared" si="136"/>
        <v>0.33333333333333331</v>
      </c>
      <c r="N1860" s="17">
        <f>IF(OR(L1860="",L1860=0),"",Параметры!$B$3/L1860)</f>
        <v>2.6666666666666665</v>
      </c>
      <c r="O1860" s="15">
        <f>IF(L1860="","",IFERROR(INDEX('Почасовка — ставки и план'!$D$5:$D$24,MATCH($D1860,'Почасовка — ставки и план'!$A$5:$A$24,0)),""))</f>
        <v>1200</v>
      </c>
      <c r="P1860" s="15">
        <f>IF(L1860="","",IFERROR(INDEX('Почасовка — ставки и план'!$E$5:$E$24,MATCH($D1860,'Почасовка — ставки и план'!$A$5:$A$24,0)),""))</f>
        <v>1440</v>
      </c>
      <c r="Q1860" s="15">
        <f t="shared" si="137"/>
        <v>3600</v>
      </c>
      <c r="R1860" s="13" t="str">
        <f>IF(D1860="TEX","аренда техники — сделка/счёт",IF(OR(Q1860="",H1860="",H1860=0),"—",IF(Q1860&lt;H1860*(1-Параметры!$B$7),"почасовка",IF(Q1860&gt;H1860*(1+Параметры!$B$7),"сделка","любой способ"))))</f>
        <v>любой способ</v>
      </c>
      <c r="S1860">
        <v>0</v>
      </c>
      <c r="T1860">
        <v>0</v>
      </c>
    </row>
    <row r="1861" spans="1:20" x14ac:dyDescent="0.25">
      <c r="A1861" s="13" t="s">
        <v>3757</v>
      </c>
      <c r="B1861" s="13" t="s">
        <v>3758</v>
      </c>
      <c r="C1861" s="13" t="s">
        <v>144</v>
      </c>
      <c r="D1861" s="13" t="s">
        <v>545</v>
      </c>
      <c r="E1861" s="13" t="str">
        <f>IFERROR(INDEX('Почасовка — ставки и план'!$B$5:$B$24,MATCH(D1861,'Почасовка — ставки и план'!$A$5:$A$24,0)),"Аренда техники / механизмы")</f>
        <v>Сервисный инженер ворот и автоматики</v>
      </c>
      <c r="F1861" s="14">
        <v>3000</v>
      </c>
      <c r="G1861" s="14">
        <v>3450</v>
      </c>
      <c r="H1861" s="15">
        <v>1800</v>
      </c>
      <c r="I1861" s="15">
        <f>IF(OR(H1861="",F1861=""),"",MAX(H1861,MIN(ROUND(H1861*(1+Параметры!$B$5),IF(H1861*(1+Параметры!$B$5)&gt;=1000,-1,0)),ROUND(F1861*Параметры!$B$6,IF(F1861*Параметры!$B$6&gt;=1000,-1,0)))))</f>
        <v>2070</v>
      </c>
      <c r="J1861" s="15">
        <v>2070</v>
      </c>
      <c r="K1861" s="15">
        <f>IF(OR(J1861="",G1861=""),"",MAX(J1861,MIN(ROUND(J1861*(1+Параметры!$B$5),IF(J1861*(1+Параметры!$B$5)&gt;=1000,-1,0)),ROUND(G1861*Параметры!$B$6,IF(G1861*Параметры!$B$6&gt;=1000,-1,0)))))</f>
        <v>2380</v>
      </c>
      <c r="L1861" s="16">
        <v>1.5</v>
      </c>
      <c r="M1861" s="17">
        <f t="shared" si="136"/>
        <v>0.66666666666666663</v>
      </c>
      <c r="N1861" s="17">
        <f>IF(OR(L1861="",L1861=0),"",Параметры!$B$3/L1861)</f>
        <v>5.333333333333333</v>
      </c>
      <c r="O1861" s="15">
        <f>IF(L1861="","",IFERROR(INDEX('Почасовка — ставки и план'!$D$5:$D$24,MATCH($D1861,'Почасовка — ставки и план'!$A$5:$A$24,0)),""))</f>
        <v>1200</v>
      </c>
      <c r="P1861" s="15">
        <f>IF(L1861="","",IFERROR(INDEX('Почасовка — ставки и план'!$E$5:$E$24,MATCH($D1861,'Почасовка — ставки и план'!$A$5:$A$24,0)),""))</f>
        <v>1440</v>
      </c>
      <c r="Q1861" s="15">
        <f t="shared" si="137"/>
        <v>1800</v>
      </c>
      <c r="R1861" s="13" t="str">
        <f>IF(D1861="TEX","аренда техники — сделка/счёт",IF(OR(Q1861="",H1861="",H1861=0),"—",IF(Q1861&lt;H1861*(1-Параметры!$B$7),"почасовка",IF(Q1861&gt;H1861*(1+Параметры!$B$7),"сделка","любой способ"))))</f>
        <v>любой способ</v>
      </c>
      <c r="S1861">
        <v>0</v>
      </c>
      <c r="T1861">
        <v>0</v>
      </c>
    </row>
    <row r="1862" spans="1:20" x14ac:dyDescent="0.25">
      <c r="A1862" s="13" t="s">
        <v>3759</v>
      </c>
      <c r="B1862" s="13" t="s">
        <v>3760</v>
      </c>
      <c r="C1862" s="13" t="s">
        <v>144</v>
      </c>
      <c r="D1862" s="13" t="s">
        <v>276</v>
      </c>
      <c r="E1862" s="13" t="str">
        <f>IFERROR(INDEX('Почасовка — ставки и план'!$B$5:$B$24,MATCH(D1862,'Почасовка — ставки и план'!$A$5:$A$24,0)),"Аренда техники / механизмы")</f>
        <v>Монтажник дверей, окон, перегородок</v>
      </c>
      <c r="F1862" s="14">
        <v>1800</v>
      </c>
      <c r="G1862" s="14">
        <v>2070</v>
      </c>
      <c r="H1862" s="15">
        <v>1116</v>
      </c>
      <c r="I1862" s="15">
        <f>IF(OR(H1862="",F1862=""),"",MAX(H1862,MIN(ROUND(H1862*(1+Параметры!$B$5),IF(H1862*(1+Параметры!$B$5)&gt;=1000,-1,0)),ROUND(F1862*Параметры!$B$6,IF(F1862*Параметры!$B$6&gt;=1000,-1,0)))))</f>
        <v>1280</v>
      </c>
      <c r="J1862" s="15">
        <v>1283</v>
      </c>
      <c r="K1862" s="15">
        <f>IF(OR(J1862="",G1862=""),"",MAX(J1862,MIN(ROUND(J1862*(1+Параметры!$B$5),IF(J1862*(1+Параметры!$B$5)&gt;=1000,-1,0)),ROUND(G1862*Параметры!$B$6,IF(G1862*Параметры!$B$6&gt;=1000,-1,0)))))</f>
        <v>1480</v>
      </c>
      <c r="L1862" s="16">
        <v>1</v>
      </c>
      <c r="M1862" s="17">
        <f t="shared" si="136"/>
        <v>1</v>
      </c>
      <c r="N1862" s="17">
        <f>IF(OR(L1862="",L1862=0),"",Параметры!$B$3/L1862)</f>
        <v>8</v>
      </c>
      <c r="O1862" s="15">
        <f>IF(L1862="","",IFERROR(INDEX('Почасовка — ставки и план'!$D$5:$D$24,MATCH($D1862,'Почасовка — ставки и план'!$A$5:$A$24,0)),""))</f>
        <v>800</v>
      </c>
      <c r="P1862" s="15">
        <f>IF(L1862="","",IFERROR(INDEX('Почасовка — ставки и план'!$E$5:$E$24,MATCH($D1862,'Почасовка — ставки и план'!$A$5:$A$24,0)),""))</f>
        <v>950</v>
      </c>
      <c r="Q1862" s="15">
        <f t="shared" si="137"/>
        <v>800</v>
      </c>
      <c r="R1862" s="13" t="str">
        <f>IF(D1862="TEX","аренда техники — сделка/счёт",IF(OR(Q1862="",H1862="",H1862=0),"—",IF(Q1862&lt;H1862*(1-Параметры!$B$7),"почасовка",IF(Q1862&gt;H1862*(1+Параметры!$B$7),"сделка","любой способ"))))</f>
        <v>почасовка</v>
      </c>
      <c r="S1862">
        <v>0</v>
      </c>
      <c r="T1862">
        <v>0</v>
      </c>
    </row>
    <row r="1863" spans="1:20" x14ac:dyDescent="0.25">
      <c r="A1863" s="13" t="s">
        <v>3761</v>
      </c>
      <c r="B1863" s="13" t="s">
        <v>3762</v>
      </c>
      <c r="C1863" s="13" t="s">
        <v>144</v>
      </c>
      <c r="D1863" s="13" t="s">
        <v>276</v>
      </c>
      <c r="E1863" s="13" t="str">
        <f>IFERROR(INDEX('Почасовка — ставки и план'!$B$5:$B$24,MATCH(D1863,'Почасовка — ставки и план'!$A$5:$A$24,0)),"Аренда техники / механизмы")</f>
        <v>Монтажник дверей, окон, перегородок</v>
      </c>
      <c r="F1863" s="14">
        <v>2200</v>
      </c>
      <c r="G1863" s="14">
        <v>2530</v>
      </c>
      <c r="H1863" s="15">
        <v>1364</v>
      </c>
      <c r="I1863" s="15">
        <f>IF(OR(H1863="",F1863=""),"",MAX(H1863,MIN(ROUND(H1863*(1+Параметры!$B$5),IF(H1863*(1+Параметры!$B$5)&gt;=1000,-1,0)),ROUND(F1863*Параметры!$B$6,IF(F1863*Параметры!$B$6&gt;=1000,-1,0)))))</f>
        <v>1570</v>
      </c>
      <c r="J1863" s="15">
        <v>1569</v>
      </c>
      <c r="K1863" s="15">
        <f>IF(OR(J1863="",G1863=""),"",MAX(J1863,MIN(ROUND(J1863*(1+Параметры!$B$5),IF(J1863*(1+Параметры!$B$5)&gt;=1000,-1,0)),ROUND(G1863*Параметры!$B$6,IF(G1863*Параметры!$B$6&gt;=1000,-1,0)))))</f>
        <v>1800</v>
      </c>
      <c r="L1863" s="16">
        <v>1.3</v>
      </c>
      <c r="M1863" s="17">
        <f t="shared" si="136"/>
        <v>0.76923076923076916</v>
      </c>
      <c r="N1863" s="17">
        <f>IF(OR(L1863="",L1863=0),"",Параметры!$B$3/L1863)</f>
        <v>6.1538461538461533</v>
      </c>
      <c r="O1863" s="15">
        <f>IF(L1863="","",IFERROR(INDEX('Почасовка — ставки и план'!$D$5:$D$24,MATCH($D1863,'Почасовка — ставки и план'!$A$5:$A$24,0)),""))</f>
        <v>800</v>
      </c>
      <c r="P1863" s="15">
        <f>IF(L1863="","",IFERROR(INDEX('Почасовка — ставки и план'!$E$5:$E$24,MATCH($D1863,'Почасовка — ставки и план'!$A$5:$A$24,0)),""))</f>
        <v>950</v>
      </c>
      <c r="Q1863" s="15">
        <f t="shared" si="137"/>
        <v>1040</v>
      </c>
      <c r="R1863" s="13" t="str">
        <f>IF(D1863="TEX","аренда техники — сделка/счёт",IF(OR(Q1863="",H1863="",H1863=0),"—",IF(Q1863&lt;H1863*(1-Параметры!$B$7),"почасовка",IF(Q1863&gt;H1863*(1+Параметры!$B$7),"сделка","любой способ"))))</f>
        <v>почасовка</v>
      </c>
      <c r="S1863">
        <v>0</v>
      </c>
      <c r="T1863">
        <v>0</v>
      </c>
    </row>
    <row r="1864" spans="1:20" x14ac:dyDescent="0.25">
      <c r="A1864" s="13" t="s">
        <v>3763</v>
      </c>
      <c r="B1864" s="13" t="s">
        <v>3764</v>
      </c>
      <c r="C1864" s="13" t="s">
        <v>144</v>
      </c>
      <c r="D1864" s="13" t="s">
        <v>276</v>
      </c>
      <c r="E1864" s="13" t="str">
        <f>IFERROR(INDEX('Почасовка — ставки и план'!$B$5:$B$24,MATCH(D1864,'Почасовка — ставки и план'!$A$5:$A$24,0)),"Аренда техники / механизмы")</f>
        <v>Монтажник дверей, окон, перегородок</v>
      </c>
      <c r="F1864" s="14">
        <v>1500</v>
      </c>
      <c r="G1864" s="14">
        <v>1725</v>
      </c>
      <c r="H1864" s="15">
        <v>930</v>
      </c>
      <c r="I1864" s="15">
        <f>IF(OR(H1864="",F1864=""),"",MAX(H1864,MIN(ROUND(H1864*(1+Параметры!$B$5),IF(H1864*(1+Параметры!$B$5)&gt;=1000,-1,0)),ROUND(F1864*Параметры!$B$6,IF(F1864*Параметры!$B$6&gt;=1000,-1,0)))))</f>
        <v>1070</v>
      </c>
      <c r="J1864" s="15">
        <v>1069</v>
      </c>
      <c r="K1864" s="15">
        <f>IF(OR(J1864="",G1864=""),"",MAX(J1864,MIN(ROUND(J1864*(1+Параметры!$B$5),IF(J1864*(1+Параметры!$B$5)&gt;=1000,-1,0)),ROUND(G1864*Параметры!$B$6,IF(G1864*Параметры!$B$6&gt;=1000,-1,0)))))</f>
        <v>1230</v>
      </c>
      <c r="L1864" s="16">
        <v>0.7</v>
      </c>
      <c r="M1864" s="17">
        <f t="shared" si="136"/>
        <v>1.4285714285714286</v>
      </c>
      <c r="N1864" s="17">
        <f>IF(OR(L1864="",L1864=0),"",Параметры!$B$3/L1864)</f>
        <v>11.428571428571429</v>
      </c>
      <c r="O1864" s="15">
        <f>IF(L1864="","",IFERROR(INDEX('Почасовка — ставки и план'!$D$5:$D$24,MATCH($D1864,'Почасовка — ставки и план'!$A$5:$A$24,0)),""))</f>
        <v>800</v>
      </c>
      <c r="P1864" s="15">
        <f>IF(L1864="","",IFERROR(INDEX('Почасовка — ставки и план'!$E$5:$E$24,MATCH($D1864,'Почасовка — ставки и план'!$A$5:$A$24,0)),""))</f>
        <v>950</v>
      </c>
      <c r="Q1864" s="15">
        <f t="shared" si="137"/>
        <v>560</v>
      </c>
      <c r="R1864" s="13" t="str">
        <f>IF(D1864="TEX","аренда техники — сделка/счёт",IF(OR(Q1864="",H1864="",H1864=0),"—",IF(Q1864&lt;H1864*(1-Параметры!$B$7),"почасовка",IF(Q1864&gt;H1864*(1+Параметры!$B$7),"сделка","любой способ"))))</f>
        <v>почасовка</v>
      </c>
      <c r="S1864">
        <v>0</v>
      </c>
      <c r="T1864">
        <v>0</v>
      </c>
    </row>
    <row r="1865" spans="1:20" x14ac:dyDescent="0.25">
      <c r="A1865" s="13" t="s">
        <v>3765</v>
      </c>
      <c r="B1865" s="13" t="s">
        <v>3766</v>
      </c>
      <c r="C1865" s="13" t="s">
        <v>144</v>
      </c>
      <c r="D1865" s="13" t="s">
        <v>276</v>
      </c>
      <c r="E1865" s="13" t="str">
        <f>IFERROR(INDEX('Почасовка — ставки и план'!$B$5:$B$24,MATCH(D1865,'Почасовка — ставки и план'!$A$5:$A$24,0)),"Аренда техники / механизмы")</f>
        <v>Монтажник дверей, окон, перегородок</v>
      </c>
      <c r="F1865" s="14">
        <v>1000</v>
      </c>
      <c r="G1865" s="14">
        <v>1150</v>
      </c>
      <c r="H1865" s="15">
        <v>620</v>
      </c>
      <c r="I1865" s="15">
        <f>IF(OR(H1865="",F1865=""),"",MAX(H1865,MIN(ROUND(H1865*(1+Параметры!$B$5),IF(H1865*(1+Параметры!$B$5)&gt;=1000,-1,0)),ROUND(F1865*Параметры!$B$6,IF(F1865*Параметры!$B$6&gt;=1000,-1,0)))))</f>
        <v>713</v>
      </c>
      <c r="J1865" s="15">
        <v>713</v>
      </c>
      <c r="K1865" s="15">
        <f>IF(OR(J1865="",G1865=""),"",MAX(J1865,MIN(ROUND(J1865*(1+Параметры!$B$5),IF(J1865*(1+Параметры!$B$5)&gt;=1000,-1,0)),ROUND(G1865*Параметры!$B$6,IF(G1865*Параметры!$B$6&gt;=1000,-1,0)))))</f>
        <v>820</v>
      </c>
      <c r="L1865" s="16">
        <v>0.5</v>
      </c>
      <c r="M1865" s="17">
        <f t="shared" si="136"/>
        <v>2</v>
      </c>
      <c r="N1865" s="17">
        <f>IF(OR(L1865="",L1865=0),"",Параметры!$B$3/L1865)</f>
        <v>16</v>
      </c>
      <c r="O1865" s="15">
        <f>IF(L1865="","",IFERROR(INDEX('Почасовка — ставки и план'!$D$5:$D$24,MATCH($D1865,'Почасовка — ставки и план'!$A$5:$A$24,0)),""))</f>
        <v>800</v>
      </c>
      <c r="P1865" s="15">
        <f>IF(L1865="","",IFERROR(INDEX('Почасовка — ставки и план'!$E$5:$E$24,MATCH($D1865,'Почасовка — ставки и план'!$A$5:$A$24,0)),""))</f>
        <v>950</v>
      </c>
      <c r="Q1865" s="15">
        <f t="shared" si="137"/>
        <v>400</v>
      </c>
      <c r="R1865" s="13" t="str">
        <f>IF(D1865="TEX","аренда техники — сделка/счёт",IF(OR(Q1865="",H1865="",H1865=0),"—",IF(Q1865&lt;H1865*(1-Параметры!$B$7),"почасовка",IF(Q1865&gt;H1865*(1+Параметры!$B$7),"сделка","любой способ"))))</f>
        <v>почасовка</v>
      </c>
      <c r="S1865">
        <v>0</v>
      </c>
      <c r="T1865">
        <v>0</v>
      </c>
    </row>
    <row r="1866" spans="1:20" x14ac:dyDescent="0.25">
      <c r="A1866" s="13" t="s">
        <v>3767</v>
      </c>
      <c r="B1866" s="13" t="s">
        <v>3768</v>
      </c>
      <c r="C1866" s="13" t="s">
        <v>144</v>
      </c>
      <c r="D1866" s="13" t="s">
        <v>276</v>
      </c>
      <c r="E1866" s="13" t="str">
        <f>IFERROR(INDEX('Почасовка — ставки и план'!$B$5:$B$24,MATCH(D1866,'Почасовка — ставки и план'!$A$5:$A$24,0)),"Аренда техники / механизмы")</f>
        <v>Монтажник дверей, окон, перегородок</v>
      </c>
      <c r="F1866" s="14">
        <v>900</v>
      </c>
      <c r="G1866" s="14">
        <v>1035</v>
      </c>
      <c r="H1866" s="15">
        <v>558</v>
      </c>
      <c r="I1866" s="15">
        <f>IF(OR(H1866="",F1866=""),"",MAX(H1866,MIN(ROUND(H1866*(1+Параметры!$B$5),IF(H1866*(1+Параметры!$B$5)&gt;=1000,-1,0)),ROUND(F1866*Параметры!$B$6,IF(F1866*Параметры!$B$6&gt;=1000,-1,0)))))</f>
        <v>642</v>
      </c>
      <c r="J1866" s="15">
        <v>642</v>
      </c>
      <c r="K1866" s="15">
        <f>IF(OR(J1866="",G1866=""),"",MAX(J1866,MIN(ROUND(J1866*(1+Параметры!$B$5),IF(J1866*(1+Параметры!$B$5)&gt;=1000,-1,0)),ROUND(G1866*Параметры!$B$6,IF(G1866*Параметры!$B$6&gt;=1000,-1,0)))))</f>
        <v>738</v>
      </c>
      <c r="L1866" s="16">
        <v>0.4</v>
      </c>
      <c r="M1866" s="17">
        <f t="shared" si="136"/>
        <v>2.5</v>
      </c>
      <c r="N1866" s="17">
        <f>IF(OR(L1866="",L1866=0),"",Параметры!$B$3/L1866)</f>
        <v>20</v>
      </c>
      <c r="O1866" s="15">
        <f>IF(L1866="","",IFERROR(INDEX('Почасовка — ставки и план'!$D$5:$D$24,MATCH($D1866,'Почасовка — ставки и план'!$A$5:$A$24,0)),""))</f>
        <v>800</v>
      </c>
      <c r="P1866" s="15">
        <f>IF(L1866="","",IFERROR(INDEX('Почасовка — ставки и план'!$E$5:$E$24,MATCH($D1866,'Почасовка — ставки и план'!$A$5:$A$24,0)),""))</f>
        <v>950</v>
      </c>
      <c r="Q1866" s="15">
        <f t="shared" si="137"/>
        <v>320</v>
      </c>
      <c r="R1866" s="13" t="str">
        <f>IF(D1866="TEX","аренда техники — сделка/счёт",IF(OR(Q1866="",H1866="",H1866=0),"—",IF(Q1866&lt;H1866*(1-Параметры!$B$7),"почасовка",IF(Q1866&gt;H1866*(1+Параметры!$B$7),"сделка","любой способ"))))</f>
        <v>почасовка</v>
      </c>
      <c r="S1866">
        <v>0</v>
      </c>
      <c r="T1866">
        <v>0</v>
      </c>
    </row>
    <row r="1867" spans="1:20" x14ac:dyDescent="0.25">
      <c r="A1867" s="13" t="s">
        <v>3769</v>
      </c>
      <c r="B1867" s="13" t="s">
        <v>3770</v>
      </c>
      <c r="C1867" s="13" t="s">
        <v>144</v>
      </c>
      <c r="D1867" s="13" t="s">
        <v>276</v>
      </c>
      <c r="E1867" s="13" t="str">
        <f>IFERROR(INDEX('Почасовка — ставки и план'!$B$5:$B$24,MATCH(D1867,'Почасовка — ставки и план'!$A$5:$A$24,0)),"Аренда техники / механизмы")</f>
        <v>Монтажник дверей, окон, перегородок</v>
      </c>
      <c r="F1867" s="14">
        <v>800</v>
      </c>
      <c r="G1867" s="14">
        <v>920</v>
      </c>
      <c r="H1867" s="15">
        <v>496</v>
      </c>
      <c r="I1867" s="15">
        <f>IF(OR(H1867="",F1867=""),"",MAX(H1867,MIN(ROUND(H1867*(1+Параметры!$B$5),IF(H1867*(1+Параметры!$B$5)&gt;=1000,-1,0)),ROUND(F1867*Параметры!$B$6,IF(F1867*Параметры!$B$6&gt;=1000,-1,0)))))</f>
        <v>570</v>
      </c>
      <c r="J1867" s="15">
        <v>570</v>
      </c>
      <c r="K1867" s="15">
        <f>IF(OR(J1867="",G1867=""),"",MAX(J1867,MIN(ROUND(J1867*(1+Параметры!$B$5),IF(J1867*(1+Параметры!$B$5)&gt;=1000,-1,0)),ROUND(G1867*Параметры!$B$6,IF(G1867*Параметры!$B$6&gt;=1000,-1,0)))))</f>
        <v>656</v>
      </c>
      <c r="L1867" s="16">
        <v>0.4</v>
      </c>
      <c r="M1867" s="17">
        <f t="shared" si="136"/>
        <v>2.5</v>
      </c>
      <c r="N1867" s="17">
        <f>IF(OR(L1867="",L1867=0),"",Параметры!$B$3/L1867)</f>
        <v>20</v>
      </c>
      <c r="O1867" s="15">
        <f>IF(L1867="","",IFERROR(INDEX('Почасовка — ставки и план'!$D$5:$D$24,MATCH($D1867,'Почасовка — ставки и план'!$A$5:$A$24,0)),""))</f>
        <v>800</v>
      </c>
      <c r="P1867" s="15">
        <f>IF(L1867="","",IFERROR(INDEX('Почасовка — ставки и план'!$E$5:$E$24,MATCH($D1867,'Почасовка — ставки и план'!$A$5:$A$24,0)),""))</f>
        <v>950</v>
      </c>
      <c r="Q1867" s="15">
        <f t="shared" si="137"/>
        <v>320</v>
      </c>
      <c r="R1867" s="13" t="str">
        <f>IF(D1867="TEX","аренда техники — сделка/счёт",IF(OR(Q1867="",H1867="",H1867=0),"—",IF(Q1867&lt;H1867*(1-Параметры!$B$7),"почасовка",IF(Q1867&gt;H1867*(1+Параметры!$B$7),"сделка","любой способ"))))</f>
        <v>почасовка</v>
      </c>
      <c r="S1867">
        <v>0</v>
      </c>
      <c r="T1867">
        <v>0</v>
      </c>
    </row>
    <row r="1868" spans="1:20" x14ac:dyDescent="0.25">
      <c r="A1868" s="13" t="s">
        <v>3771</v>
      </c>
      <c r="B1868" s="13" t="s">
        <v>3772</v>
      </c>
      <c r="C1868" s="13" t="s">
        <v>144</v>
      </c>
      <c r="D1868" s="13" t="s">
        <v>545</v>
      </c>
      <c r="E1868" s="13" t="str">
        <f>IFERROR(INDEX('Почасовка — ставки и план'!$B$5:$B$24,MATCH(D1868,'Почасовка — ставки и план'!$A$5:$A$24,0)),"Аренда техники / механизмы")</f>
        <v>Сервисный инженер ворот и автоматики</v>
      </c>
      <c r="F1868" s="14">
        <v>3500</v>
      </c>
      <c r="G1868" s="14">
        <v>4025</v>
      </c>
      <c r="H1868" s="15">
        <v>2100</v>
      </c>
      <c r="I1868" s="15">
        <f>IF(OR(H1868="",F1868=""),"",MAX(H1868,MIN(ROUND(H1868*(1+Параметры!$B$5),IF(H1868*(1+Параметры!$B$5)&gt;=1000,-1,0)),ROUND(F1868*Параметры!$B$6,IF(F1868*Параметры!$B$6&gt;=1000,-1,0)))))</f>
        <v>2420</v>
      </c>
      <c r="J1868" s="15">
        <v>2415</v>
      </c>
      <c r="K1868" s="15">
        <f>IF(OR(J1868="",G1868=""),"",MAX(J1868,MIN(ROUND(J1868*(1+Параметры!$B$5),IF(J1868*(1+Параметры!$B$5)&gt;=1000,-1,0)),ROUND(G1868*Параметры!$B$6,IF(G1868*Параметры!$B$6&gt;=1000,-1,0)))))</f>
        <v>2780</v>
      </c>
      <c r="L1868" s="16">
        <v>2</v>
      </c>
      <c r="M1868" s="17">
        <f t="shared" si="136"/>
        <v>0.5</v>
      </c>
      <c r="N1868" s="17">
        <f>IF(OR(L1868="",L1868=0),"",Параметры!$B$3/L1868)</f>
        <v>4</v>
      </c>
      <c r="O1868" s="15">
        <f>IF(L1868="","",IFERROR(INDEX('Почасовка — ставки и план'!$D$5:$D$24,MATCH($D1868,'Почасовка — ставки и план'!$A$5:$A$24,0)),""))</f>
        <v>1200</v>
      </c>
      <c r="P1868" s="15">
        <f>IF(L1868="","",IFERROR(INDEX('Почасовка — ставки и план'!$E$5:$E$24,MATCH($D1868,'Почасовка — ставки и план'!$A$5:$A$24,0)),""))</f>
        <v>1440</v>
      </c>
      <c r="Q1868" s="15">
        <f t="shared" si="137"/>
        <v>2400</v>
      </c>
      <c r="R1868" s="13" t="str">
        <f>IF(D1868="TEX","аренда техники — сделка/счёт",IF(OR(Q1868="",H1868="",H1868=0),"—",IF(Q1868&lt;H1868*(1-Параметры!$B$7),"почасовка",IF(Q1868&gt;H1868*(1+Параметры!$B$7),"сделка","любой способ"))))</f>
        <v>сделка</v>
      </c>
      <c r="S1868">
        <v>0</v>
      </c>
      <c r="T1868">
        <v>0</v>
      </c>
    </row>
    <row r="1869" spans="1:20" x14ac:dyDescent="0.25">
      <c r="A1869" s="13" t="s">
        <v>3773</v>
      </c>
      <c r="B1869" s="13" t="s">
        <v>3774</v>
      </c>
      <c r="C1869" s="13" t="s">
        <v>72</v>
      </c>
      <c r="D1869" s="13" t="s">
        <v>276</v>
      </c>
      <c r="E1869" s="13" t="str">
        <f>IFERROR(INDEX('Почасовка — ставки и план'!$B$5:$B$24,MATCH(D1869,'Почасовка — ставки и план'!$A$5:$A$24,0)),"Аренда техники / механизмы")</f>
        <v>Монтажник дверей, окон, перегородок</v>
      </c>
      <c r="F1869" s="14">
        <v>1800</v>
      </c>
      <c r="G1869" s="14">
        <v>2070</v>
      </c>
      <c r="H1869" s="15">
        <v>1116</v>
      </c>
      <c r="I1869" s="15">
        <f>IF(OR(H1869="",F1869=""),"",MAX(H1869,MIN(ROUND(H1869*(1+Параметры!$B$5),IF(H1869*(1+Параметры!$B$5)&gt;=1000,-1,0)),ROUND(F1869*Параметры!$B$6,IF(F1869*Параметры!$B$6&gt;=1000,-1,0)))))</f>
        <v>1280</v>
      </c>
      <c r="J1869" s="15">
        <v>1283</v>
      </c>
      <c r="K1869" s="15">
        <f>IF(OR(J1869="",G1869=""),"",MAX(J1869,MIN(ROUND(J1869*(1+Параметры!$B$5),IF(J1869*(1+Параметры!$B$5)&gt;=1000,-1,0)),ROUND(G1869*Параметры!$B$6,IF(G1869*Параметры!$B$6&gt;=1000,-1,0)))))</f>
        <v>1480</v>
      </c>
      <c r="L1869" s="16">
        <v>1.5</v>
      </c>
      <c r="M1869" s="17">
        <f t="shared" si="136"/>
        <v>0.66666666666666663</v>
      </c>
      <c r="N1869" s="17">
        <f>IF(OR(L1869="",L1869=0),"",Параметры!$B$3/L1869)</f>
        <v>5.333333333333333</v>
      </c>
      <c r="O1869" s="15">
        <f>IF(L1869="","",IFERROR(INDEX('Почасовка — ставки и план'!$D$5:$D$24,MATCH($D1869,'Почасовка — ставки и план'!$A$5:$A$24,0)),""))</f>
        <v>800</v>
      </c>
      <c r="P1869" s="15">
        <f>IF(L1869="","",IFERROR(INDEX('Почасовка — ставки и план'!$E$5:$E$24,MATCH($D1869,'Почасовка — ставки и план'!$A$5:$A$24,0)),""))</f>
        <v>950</v>
      </c>
      <c r="Q1869" s="15">
        <f t="shared" si="137"/>
        <v>1200</v>
      </c>
      <c r="R1869" s="13" t="str">
        <f>IF(D1869="TEX","аренда техники — сделка/счёт",IF(OR(Q1869="",H1869="",H1869=0),"—",IF(Q1869&lt;H1869*(1-Параметры!$B$7),"почасовка",IF(Q1869&gt;H1869*(1+Параметры!$B$7),"сделка","любой способ"))))</f>
        <v>любой способ</v>
      </c>
      <c r="S1869">
        <v>0</v>
      </c>
      <c r="T1869">
        <v>0</v>
      </c>
    </row>
    <row r="1870" spans="1:20" x14ac:dyDescent="0.25">
      <c r="A1870" s="13" t="s">
        <v>3775</v>
      </c>
      <c r="B1870" s="13" t="s">
        <v>3776</v>
      </c>
      <c r="C1870" s="13" t="s">
        <v>144</v>
      </c>
      <c r="D1870" s="13" t="s">
        <v>545</v>
      </c>
      <c r="E1870" s="13" t="str">
        <f>IFERROR(INDEX('Почасовка — ставки и план'!$B$5:$B$24,MATCH(D1870,'Почасовка — ставки и план'!$A$5:$A$24,0)),"Аренда техники / механизмы")</f>
        <v>Сервисный инженер ворот и автоматики</v>
      </c>
      <c r="F1870" s="14">
        <v>1500</v>
      </c>
      <c r="G1870" s="14">
        <v>1725</v>
      </c>
      <c r="H1870" s="15">
        <v>900</v>
      </c>
      <c r="I1870" s="15">
        <f>IF(OR(H1870="",F1870=""),"",MAX(H1870,MIN(ROUND(H1870*(1+Параметры!$B$5),IF(H1870*(1+Параметры!$B$5)&gt;=1000,-1,0)),ROUND(F1870*Параметры!$B$6,IF(F1870*Параметры!$B$6&gt;=1000,-1,0)))))</f>
        <v>1040</v>
      </c>
      <c r="J1870" s="15">
        <v>1035</v>
      </c>
      <c r="K1870" s="15">
        <f>IF(OR(J1870="",G1870=""),"",MAX(J1870,MIN(ROUND(J1870*(1+Параметры!$B$5),IF(J1870*(1+Параметры!$B$5)&gt;=1000,-1,0)),ROUND(G1870*Параметры!$B$6,IF(G1870*Параметры!$B$6&gt;=1000,-1,0)))))</f>
        <v>1190</v>
      </c>
      <c r="L1870" s="16">
        <v>0.7</v>
      </c>
      <c r="M1870" s="17">
        <f t="shared" si="136"/>
        <v>1.4285714285714286</v>
      </c>
      <c r="N1870" s="17">
        <f>IF(OR(L1870="",L1870=0),"",Параметры!$B$3/L1870)</f>
        <v>11.428571428571429</v>
      </c>
      <c r="O1870" s="15">
        <f>IF(L1870="","",IFERROR(INDEX('Почасовка — ставки и план'!$D$5:$D$24,MATCH($D1870,'Почасовка — ставки и план'!$A$5:$A$24,0)),""))</f>
        <v>1200</v>
      </c>
      <c r="P1870" s="15">
        <f>IF(L1870="","",IFERROR(INDEX('Почасовка — ставки и план'!$E$5:$E$24,MATCH($D1870,'Почасовка — ставки и план'!$A$5:$A$24,0)),""))</f>
        <v>1440</v>
      </c>
      <c r="Q1870" s="15">
        <f t="shared" si="137"/>
        <v>840</v>
      </c>
      <c r="R1870" s="13" t="str">
        <f>IF(D1870="TEX","аренда техники — сделка/счёт",IF(OR(Q1870="",H1870="",H1870=0),"—",IF(Q1870&lt;H1870*(1-Параметры!$B$7),"почасовка",IF(Q1870&gt;H1870*(1+Параметры!$B$7),"сделка","любой способ"))))</f>
        <v>любой способ</v>
      </c>
      <c r="S1870">
        <v>0</v>
      </c>
      <c r="T1870">
        <v>0</v>
      </c>
    </row>
    <row r="1871" spans="1:20" x14ac:dyDescent="0.25">
      <c r="A1871" s="13" t="s">
        <v>3777</v>
      </c>
      <c r="B1871" s="13" t="s">
        <v>3778</v>
      </c>
      <c r="C1871" s="13" t="s">
        <v>144</v>
      </c>
      <c r="D1871" s="13" t="s">
        <v>273</v>
      </c>
      <c r="E1871" s="13" t="str">
        <f>IFERROR(INDEX('Почасовка — ставки и план'!$B$5:$B$24,MATCH(D1871,'Почасовка — ставки и план'!$A$5:$A$24,0)),"Аренда техники / механизмы")</f>
        <v>Электромонтажник</v>
      </c>
      <c r="F1871" s="14">
        <v>5500</v>
      </c>
      <c r="G1871" s="14">
        <v>6325</v>
      </c>
      <c r="H1871" s="15">
        <v>3410</v>
      </c>
      <c r="I1871" s="15">
        <f>IF(OR(H1871="",F1871=""),"",MAX(H1871,MIN(ROUND(H1871*(1+Параметры!$B$5),IF(H1871*(1+Параметры!$B$5)&gt;=1000,-1,0)),ROUND(F1871*Параметры!$B$6,IF(F1871*Параметры!$B$6&gt;=1000,-1,0)))))</f>
        <v>3920</v>
      </c>
      <c r="J1871" s="15">
        <v>3921</v>
      </c>
      <c r="K1871" s="15">
        <f>IF(OR(J1871="",G1871=""),"",MAX(J1871,MIN(ROUND(J1871*(1+Параметры!$B$5),IF(J1871*(1+Параметры!$B$5)&gt;=1000,-1,0)),ROUND(G1871*Параметры!$B$6,IF(G1871*Параметры!$B$6&gt;=1000,-1,0)))))</f>
        <v>4510</v>
      </c>
      <c r="L1871" s="16">
        <v>3</v>
      </c>
      <c r="M1871" s="17">
        <f t="shared" si="136"/>
        <v>0.33333333333333331</v>
      </c>
      <c r="N1871" s="17">
        <f>IF(OR(L1871="",L1871=0),"",Параметры!$B$3/L1871)</f>
        <v>2.6666666666666665</v>
      </c>
      <c r="O1871" s="15">
        <f>IF(L1871="","",IFERROR(INDEX('Почасовка — ставки и план'!$D$5:$D$24,MATCH($D1871,'Почасовка — ставки и план'!$A$5:$A$24,0)),""))</f>
        <v>850</v>
      </c>
      <c r="P1871" s="15">
        <f>IF(L1871="","",IFERROR(INDEX('Почасовка — ставки и план'!$E$5:$E$24,MATCH($D1871,'Почасовка — ставки и план'!$A$5:$A$24,0)),""))</f>
        <v>1020</v>
      </c>
      <c r="Q1871" s="15">
        <f t="shared" si="137"/>
        <v>2550</v>
      </c>
      <c r="R1871" s="13" t="str">
        <f>IF(D1871="TEX","аренда техники — сделка/счёт",IF(OR(Q1871="",H1871="",H1871=0),"—",IF(Q1871&lt;H1871*(1-Параметры!$B$7),"почасовка",IF(Q1871&gt;H1871*(1+Параметры!$B$7),"сделка","любой способ"))))</f>
        <v>почасовка</v>
      </c>
      <c r="S1871">
        <v>0</v>
      </c>
      <c r="T1871">
        <v>0</v>
      </c>
    </row>
    <row r="1872" spans="1:20" x14ac:dyDescent="0.25">
      <c r="A1872" s="13" t="s">
        <v>3779</v>
      </c>
      <c r="B1872" s="13" t="s">
        <v>3780</v>
      </c>
      <c r="C1872" s="13" t="s">
        <v>144</v>
      </c>
      <c r="D1872" s="13" t="s">
        <v>545</v>
      </c>
      <c r="E1872" s="13" t="str">
        <f>IFERROR(INDEX('Почасовка — ставки и план'!$B$5:$B$24,MATCH(D1872,'Почасовка — ставки и план'!$A$5:$A$24,0)),"Аренда техники / механизмы")</f>
        <v>Сервисный инженер ворот и автоматики</v>
      </c>
      <c r="F1872" s="14">
        <v>5000</v>
      </c>
      <c r="G1872" s="14">
        <v>5760</v>
      </c>
      <c r="H1872" s="15">
        <v>3000</v>
      </c>
      <c r="I1872" s="15">
        <f>IF(OR(H1872="",F1872=""),"",MAX(H1872,MIN(ROUND(H1872*(1+Параметры!$B$5),IF(H1872*(1+Параметры!$B$5)&gt;=1000,-1,0)),ROUND(F1872*Параметры!$B$6,IF(F1872*Параметры!$B$6&gt;=1000,-1,0)))))</f>
        <v>3450</v>
      </c>
      <c r="J1872" s="15">
        <v>3450</v>
      </c>
      <c r="K1872" s="15">
        <f>IF(OR(J1872="",G1872=""),"",MAX(J1872,MIN(ROUND(J1872*(1+Параметры!$B$5),IF(J1872*(1+Параметры!$B$5)&gt;=1000,-1,0)),ROUND(G1872*Параметры!$B$6,IF(G1872*Параметры!$B$6&gt;=1000,-1,0)))))</f>
        <v>3970</v>
      </c>
      <c r="L1872" s="16">
        <v>3</v>
      </c>
      <c r="M1872" s="17">
        <f t="shared" si="136"/>
        <v>0.33333333333333331</v>
      </c>
      <c r="N1872" s="17">
        <f>IF(OR(L1872="",L1872=0),"",Параметры!$B$3/L1872)</f>
        <v>2.6666666666666665</v>
      </c>
      <c r="O1872" s="15">
        <f>IF(L1872="","",IFERROR(INDEX('Почасовка — ставки и план'!$D$5:$D$24,MATCH($D1872,'Почасовка — ставки и план'!$A$5:$A$24,0)),""))</f>
        <v>1200</v>
      </c>
      <c r="P1872" s="15">
        <f>IF(L1872="","",IFERROR(INDEX('Почасовка — ставки и план'!$E$5:$E$24,MATCH($D1872,'Почасовка — ставки и план'!$A$5:$A$24,0)),""))</f>
        <v>1440</v>
      </c>
      <c r="Q1872" s="15">
        <f t="shared" si="137"/>
        <v>3600</v>
      </c>
      <c r="R1872" s="13" t="str">
        <f>IF(D1872="TEX","аренда техники — сделка/счёт",IF(OR(Q1872="",H1872="",H1872=0),"—",IF(Q1872&lt;H1872*(1-Параметры!$B$7),"почасовка",IF(Q1872&gt;H1872*(1+Параметры!$B$7),"сделка","любой способ"))))</f>
        <v>сделка</v>
      </c>
      <c r="S1872">
        <v>0</v>
      </c>
      <c r="T1872">
        <v>1.739130434782687E-3</v>
      </c>
    </row>
    <row r="1873" spans="1:20" x14ac:dyDescent="0.25">
      <c r="A1873" s="13" t="s">
        <v>3781</v>
      </c>
      <c r="B1873" s="13" t="s">
        <v>3782</v>
      </c>
      <c r="C1873" s="13" t="s">
        <v>144</v>
      </c>
      <c r="D1873" s="13" t="s">
        <v>545</v>
      </c>
      <c r="E1873" s="13" t="str">
        <f>IFERROR(INDEX('Почасовка — ставки и план'!$B$5:$B$24,MATCH(D1873,'Почасовка — ставки и план'!$A$5:$A$24,0)),"Аренда техники / механизмы")</f>
        <v>Сервисный инженер ворот и автоматики</v>
      </c>
      <c r="F1873" s="14">
        <v>4800</v>
      </c>
      <c r="G1873" s="14">
        <v>5760</v>
      </c>
      <c r="H1873" s="15">
        <v>2700</v>
      </c>
      <c r="I1873" s="15">
        <f>IF(OR(H1873="",F1873=""),"",MAX(H1873,MIN(ROUND(H1873*(1+Параметры!$B$5),IF(H1873*(1+Параметры!$B$5)&gt;=1000,-1,0)),ROUND(F1873*Параметры!$B$6,IF(F1873*Параметры!$B$6&gt;=1000,-1,0)))))</f>
        <v>3110</v>
      </c>
      <c r="J1873" s="15">
        <v>3105</v>
      </c>
      <c r="K1873" s="15">
        <f>IF(OR(J1873="",G1873=""),"",MAX(J1873,MIN(ROUND(J1873*(1+Параметры!$B$5),IF(J1873*(1+Параметры!$B$5)&gt;=1000,-1,0)),ROUND(G1873*Параметры!$B$6,IF(G1873*Параметры!$B$6&gt;=1000,-1,0)))))</f>
        <v>3570</v>
      </c>
      <c r="L1873" s="16">
        <v>3</v>
      </c>
      <c r="M1873" s="17">
        <f t="shared" ref="M1873:M1904" si="138">IF(OR(L1873="",L1873=0),"",1/L1873)</f>
        <v>0.33333333333333331</v>
      </c>
      <c r="N1873" s="17">
        <f>IF(OR(L1873="",L1873=0),"",Параметры!$B$3/L1873)</f>
        <v>2.6666666666666665</v>
      </c>
      <c r="O1873" s="15">
        <f>IF(L1873="","",IFERROR(INDEX('Почасовка — ставки и план'!$D$5:$D$24,MATCH($D1873,'Почасовка — ставки и план'!$A$5:$A$24,0)),""))</f>
        <v>1200</v>
      </c>
      <c r="P1873" s="15">
        <f>IF(L1873="","",IFERROR(INDEX('Почасовка — ставки и план'!$E$5:$E$24,MATCH($D1873,'Почасовка — ставки и план'!$A$5:$A$24,0)),""))</f>
        <v>1440</v>
      </c>
      <c r="Q1873" s="15">
        <f t="shared" ref="Q1873:Q1883" si="139">IF(OR(L1873="",O1873=""),"",ROUND(L1873*O1873,0))</f>
        <v>3600</v>
      </c>
      <c r="R1873" s="13" t="str">
        <f>IF(D1873="TEX","аренда техники — сделка/счёт",IF(OR(Q1873="",H1873="",H1873=0),"—",IF(Q1873&lt;H1873*(1-Параметры!$B$7),"почасовка",IF(Q1873&gt;H1873*(1+Параметры!$B$7),"сделка","любой способ"))))</f>
        <v>сделка</v>
      </c>
      <c r="S1873">
        <v>6.6666666666666652E-2</v>
      </c>
      <c r="T1873">
        <v>0.11304347826086961</v>
      </c>
    </row>
    <row r="1874" spans="1:20" x14ac:dyDescent="0.25">
      <c r="A1874" s="13" t="s">
        <v>3783</v>
      </c>
      <c r="B1874" s="13" t="s">
        <v>3784</v>
      </c>
      <c r="C1874" s="13" t="s">
        <v>144</v>
      </c>
      <c r="D1874" s="13" t="s">
        <v>545</v>
      </c>
      <c r="E1874" s="13" t="str">
        <f>IFERROR(INDEX('Почасовка — ставки и план'!$B$5:$B$24,MATCH(D1874,'Почасовка — ставки и план'!$A$5:$A$24,0)),"Аренда техники / механизмы")</f>
        <v>Сервисный инженер ворот и автоматики</v>
      </c>
      <c r="F1874" s="14">
        <v>2500</v>
      </c>
      <c r="G1874" s="14">
        <v>2875</v>
      </c>
      <c r="H1874" s="15">
        <v>1500</v>
      </c>
      <c r="I1874" s="15">
        <f>IF(OR(H1874="",F1874=""),"",MAX(H1874,MIN(ROUND(H1874*(1+Параметры!$B$5),IF(H1874*(1+Параметры!$B$5)&gt;=1000,-1,0)),ROUND(F1874*Параметры!$B$6,IF(F1874*Параметры!$B$6&gt;=1000,-1,0)))))</f>
        <v>1730</v>
      </c>
      <c r="J1874" s="15">
        <v>1725</v>
      </c>
      <c r="K1874" s="15">
        <f>IF(OR(J1874="",G1874=""),"",MAX(J1874,MIN(ROUND(J1874*(1+Параметры!$B$5),IF(J1874*(1+Параметры!$B$5)&gt;=1000,-1,0)),ROUND(G1874*Параметры!$B$6,IF(G1874*Параметры!$B$6&gt;=1000,-1,0)))))</f>
        <v>1980</v>
      </c>
      <c r="L1874" s="16">
        <v>1</v>
      </c>
      <c r="M1874" s="17">
        <f t="shared" si="138"/>
        <v>1</v>
      </c>
      <c r="N1874" s="17">
        <f>IF(OR(L1874="",L1874=0),"",Параметры!$B$3/L1874)</f>
        <v>8</v>
      </c>
      <c r="O1874" s="15">
        <f>IF(L1874="","",IFERROR(INDEX('Почасовка — ставки и план'!$D$5:$D$24,MATCH($D1874,'Почасовка — ставки и план'!$A$5:$A$24,0)),""))</f>
        <v>1200</v>
      </c>
      <c r="P1874" s="15">
        <f>IF(L1874="","",IFERROR(INDEX('Почасовка — ставки и план'!$E$5:$E$24,MATCH($D1874,'Почасовка — ставки и план'!$A$5:$A$24,0)),""))</f>
        <v>1440</v>
      </c>
      <c r="Q1874" s="15">
        <f t="shared" si="139"/>
        <v>1200</v>
      </c>
      <c r="R1874" s="13" t="str">
        <f>IF(D1874="TEX","аренда техники — сделка/счёт",IF(OR(Q1874="",H1874="",H1874=0),"—",IF(Q1874&lt;H1874*(1-Параметры!$B$7),"почасовка",IF(Q1874&gt;H1874*(1+Параметры!$B$7),"сделка","любой способ"))))</f>
        <v>почасовка</v>
      </c>
      <c r="S1874">
        <v>0</v>
      </c>
      <c r="T1874">
        <v>0</v>
      </c>
    </row>
    <row r="1875" spans="1:20" x14ac:dyDescent="0.25">
      <c r="A1875" s="13" t="s">
        <v>3785</v>
      </c>
      <c r="B1875" s="13" t="s">
        <v>3786</v>
      </c>
      <c r="C1875" s="13" t="s">
        <v>144</v>
      </c>
      <c r="D1875" s="13" t="s">
        <v>545</v>
      </c>
      <c r="E1875" s="13" t="str">
        <f>IFERROR(INDEX('Почасовка — ставки и план'!$B$5:$B$24,MATCH(D1875,'Почасовка — ставки и план'!$A$5:$A$24,0)),"Аренда техники / механизмы")</f>
        <v>Сервисный инженер ворот и автоматики</v>
      </c>
      <c r="F1875" s="14">
        <v>1800</v>
      </c>
      <c r="G1875" s="14">
        <v>2070</v>
      </c>
      <c r="H1875" s="15">
        <v>1080</v>
      </c>
      <c r="I1875" s="15">
        <f>IF(OR(H1875="",F1875=""),"",MAX(H1875,MIN(ROUND(H1875*(1+Параметры!$B$5),IF(H1875*(1+Параметры!$B$5)&gt;=1000,-1,0)),ROUND(F1875*Параметры!$B$6,IF(F1875*Параметры!$B$6&gt;=1000,-1,0)))))</f>
        <v>1240</v>
      </c>
      <c r="J1875" s="15">
        <v>1242</v>
      </c>
      <c r="K1875" s="15">
        <f>IF(OR(J1875="",G1875=""),"",MAX(J1875,MIN(ROUND(J1875*(1+Параметры!$B$5),IF(J1875*(1+Параметры!$B$5)&gt;=1000,-1,0)),ROUND(G1875*Параметры!$B$6,IF(G1875*Параметры!$B$6&gt;=1000,-1,0)))))</f>
        <v>1430</v>
      </c>
      <c r="L1875" s="16">
        <v>0.8</v>
      </c>
      <c r="M1875" s="17">
        <f t="shared" si="138"/>
        <v>1.25</v>
      </c>
      <c r="N1875" s="17">
        <f>IF(OR(L1875="",L1875=0),"",Параметры!$B$3/L1875)</f>
        <v>10</v>
      </c>
      <c r="O1875" s="15">
        <f>IF(L1875="","",IFERROR(INDEX('Почасовка — ставки и план'!$D$5:$D$24,MATCH($D1875,'Почасовка — ставки и план'!$A$5:$A$24,0)),""))</f>
        <v>1200</v>
      </c>
      <c r="P1875" s="15">
        <f>IF(L1875="","",IFERROR(INDEX('Почасовка — ставки и план'!$E$5:$E$24,MATCH($D1875,'Почасовка — ставки и план'!$A$5:$A$24,0)),""))</f>
        <v>1440</v>
      </c>
      <c r="Q1875" s="15">
        <f t="shared" si="139"/>
        <v>960</v>
      </c>
      <c r="R1875" s="13" t="str">
        <f>IF(D1875="TEX","аренда техники — сделка/счёт",IF(OR(Q1875="",H1875="",H1875=0),"—",IF(Q1875&lt;H1875*(1-Параметры!$B$7),"почасовка",IF(Q1875&gt;H1875*(1+Параметры!$B$7),"сделка","любой способ"))))</f>
        <v>почасовка</v>
      </c>
      <c r="S1875">
        <v>0</v>
      </c>
      <c r="T1875">
        <v>0</v>
      </c>
    </row>
    <row r="1876" spans="1:20" x14ac:dyDescent="0.25">
      <c r="A1876" s="13" t="s">
        <v>3787</v>
      </c>
      <c r="B1876" s="13" t="s">
        <v>3788</v>
      </c>
      <c r="C1876" s="13" t="s">
        <v>144</v>
      </c>
      <c r="D1876" s="13" t="s">
        <v>60</v>
      </c>
      <c r="E1876" s="13" t="str">
        <f>IFERROR(INDEX('Почасовка — ставки и план'!$B$5:$B$24,MATCH(D1876,'Почасовка — ставки и план'!$A$5:$A$24,0)),"Аренда техники / механизмы")</f>
        <v>Разнорабочий / демонтажник</v>
      </c>
      <c r="F1876" s="14">
        <v>2500</v>
      </c>
      <c r="G1876" s="14">
        <v>2875</v>
      </c>
      <c r="H1876" s="15">
        <v>1625</v>
      </c>
      <c r="I1876" s="15">
        <f>IF(OR(H1876="",F1876=""),"",MAX(H1876,MIN(ROUND(H1876*(1+Параметры!$B$5),IF(H1876*(1+Параметры!$B$5)&gt;=1000,-1,0)),ROUND(F1876*Параметры!$B$6,IF(F1876*Параметры!$B$6&gt;=1000,-1,0)))))</f>
        <v>1870</v>
      </c>
      <c r="J1876" s="15">
        <v>1869</v>
      </c>
      <c r="K1876" s="15">
        <f>IF(OR(J1876="",G1876=""),"",MAX(J1876,MIN(ROUND(J1876*(1+Параметры!$B$5),IF(J1876*(1+Параметры!$B$5)&gt;=1000,-1,0)),ROUND(G1876*Параметры!$B$6,IF(G1876*Параметры!$B$6&gt;=1000,-1,0)))))</f>
        <v>2150</v>
      </c>
      <c r="L1876" s="16">
        <v>1</v>
      </c>
      <c r="M1876" s="17">
        <f t="shared" si="138"/>
        <v>1</v>
      </c>
      <c r="N1876" s="17">
        <f>IF(OR(L1876="",L1876=0),"",Параметры!$B$3/L1876)</f>
        <v>8</v>
      </c>
      <c r="O1876" s="15">
        <f>IF(L1876="","",IFERROR(INDEX('Почасовка — ставки и план'!$D$5:$D$24,MATCH($D1876,'Почасовка — ставки и план'!$A$5:$A$24,0)),""))</f>
        <v>550</v>
      </c>
      <c r="P1876" s="15">
        <f>IF(L1876="","",IFERROR(INDEX('Почасовка — ставки и план'!$E$5:$E$24,MATCH($D1876,'Почасовка — ставки и план'!$A$5:$A$24,0)),""))</f>
        <v>660</v>
      </c>
      <c r="Q1876" s="15">
        <f t="shared" si="139"/>
        <v>550</v>
      </c>
      <c r="R1876" s="13" t="str">
        <f>IF(D1876="TEX","аренда техники — сделка/счёт",IF(OR(Q1876="",H1876="",H1876=0),"—",IF(Q1876&lt;H1876*(1-Параметры!$B$7),"почасовка",IF(Q1876&gt;H1876*(1+Параметры!$B$7),"сделка","любой способ"))))</f>
        <v>почасовка</v>
      </c>
      <c r="S1876">
        <v>0</v>
      </c>
      <c r="T1876">
        <v>0</v>
      </c>
    </row>
    <row r="1877" spans="1:20" x14ac:dyDescent="0.25">
      <c r="A1877" s="13" t="s">
        <v>3789</v>
      </c>
      <c r="B1877" s="13" t="s">
        <v>3790</v>
      </c>
      <c r="C1877" s="13" t="s">
        <v>144</v>
      </c>
      <c r="D1877" s="13" t="s">
        <v>60</v>
      </c>
      <c r="E1877" s="13" t="str">
        <f>IFERROR(INDEX('Почасовка — ставки и план'!$B$5:$B$24,MATCH(D1877,'Почасовка — ставки и план'!$A$5:$A$24,0)),"Аренда техники / механизмы")</f>
        <v>Разнорабочий / демонтажник</v>
      </c>
      <c r="F1877" s="14">
        <v>2200</v>
      </c>
      <c r="G1877" s="14">
        <v>2530</v>
      </c>
      <c r="H1877" s="15">
        <v>1430</v>
      </c>
      <c r="I1877" s="15">
        <f>IF(OR(H1877="",F1877=""),"",MAX(H1877,MIN(ROUND(H1877*(1+Параметры!$B$5),IF(H1877*(1+Параметры!$B$5)&gt;=1000,-1,0)),ROUND(F1877*Параметры!$B$6,IF(F1877*Параметры!$B$6&gt;=1000,-1,0)))))</f>
        <v>1640</v>
      </c>
      <c r="J1877" s="15">
        <v>1644</v>
      </c>
      <c r="K1877" s="15">
        <f>IF(OR(J1877="",G1877=""),"",MAX(J1877,MIN(ROUND(J1877*(1+Параметры!$B$5),IF(J1877*(1+Параметры!$B$5)&gt;=1000,-1,0)),ROUND(G1877*Параметры!$B$6,IF(G1877*Параметры!$B$6&gt;=1000,-1,0)))))</f>
        <v>1890</v>
      </c>
      <c r="L1877" s="16">
        <v>1</v>
      </c>
      <c r="M1877" s="17">
        <f t="shared" si="138"/>
        <v>1</v>
      </c>
      <c r="N1877" s="17">
        <f>IF(OR(L1877="",L1877=0),"",Параметры!$B$3/L1877)</f>
        <v>8</v>
      </c>
      <c r="O1877" s="15">
        <f>IF(L1877="","",IFERROR(INDEX('Почасовка — ставки и план'!$D$5:$D$24,MATCH($D1877,'Почасовка — ставки и план'!$A$5:$A$24,0)),""))</f>
        <v>550</v>
      </c>
      <c r="P1877" s="15">
        <f>IF(L1877="","",IFERROR(INDEX('Почасовка — ставки и план'!$E$5:$E$24,MATCH($D1877,'Почасовка — ставки и план'!$A$5:$A$24,0)),""))</f>
        <v>660</v>
      </c>
      <c r="Q1877" s="15">
        <f t="shared" si="139"/>
        <v>550</v>
      </c>
      <c r="R1877" s="13" t="str">
        <f>IF(D1877="TEX","аренда техники — сделка/счёт",IF(OR(Q1877="",H1877="",H1877=0),"—",IF(Q1877&lt;H1877*(1-Параметры!$B$7),"почасовка",IF(Q1877&gt;H1877*(1+Параметры!$B$7),"сделка","любой способ"))))</f>
        <v>почасовка</v>
      </c>
      <c r="S1877">
        <v>0</v>
      </c>
      <c r="T1877">
        <v>0</v>
      </c>
    </row>
    <row r="1878" spans="1:20" x14ac:dyDescent="0.25">
      <c r="A1878" s="18" t="s">
        <v>3791</v>
      </c>
      <c r="B1878" s="13" t="s">
        <v>3792</v>
      </c>
      <c r="C1878" s="13" t="s">
        <v>144</v>
      </c>
      <c r="D1878" s="13" t="s">
        <v>545</v>
      </c>
      <c r="E1878" s="13" t="str">
        <f>IFERROR(INDEX('Почасовка — ставки и план'!$B$5:$B$24,MATCH(D1878,'Почасовка — ставки и план'!$A$5:$A$24,0)),"Аренда техники / механизмы")</f>
        <v>Сервисный инженер ворот и автоматики</v>
      </c>
      <c r="F1878" s="14">
        <v>12800</v>
      </c>
      <c r="G1878" s="14">
        <v>15360</v>
      </c>
      <c r="H1878" s="15">
        <v>7200</v>
      </c>
      <c r="I1878" s="15">
        <f>IF(OR(H1878="",F1878=""),"",MAX(H1878,MIN(ROUND(H1878*(1+Параметры!$B$5),IF(H1878*(1+Параметры!$B$5)&gt;=1000,-1,0)),ROUND(F1878*Параметры!$B$6,IF(F1878*Параметры!$B$6&gt;=1000,-1,0)))))</f>
        <v>8280</v>
      </c>
      <c r="J1878" s="15">
        <v>8280</v>
      </c>
      <c r="K1878" s="15">
        <f>IF(OR(J1878="",G1878=""),"",MAX(J1878,MIN(ROUND(J1878*(1+Параметры!$B$5),IF(J1878*(1+Параметры!$B$5)&gt;=1000,-1,0)),ROUND(G1878*Параметры!$B$6,IF(G1878*Параметры!$B$6&gt;=1000,-1,0)))))</f>
        <v>9520</v>
      </c>
      <c r="L1878" s="16">
        <v>8</v>
      </c>
      <c r="M1878" s="17">
        <f t="shared" si="138"/>
        <v>0.125</v>
      </c>
      <c r="N1878" s="17">
        <f>IF(OR(L1878="",L1878=0),"",Параметры!$B$3/L1878)</f>
        <v>1</v>
      </c>
      <c r="O1878" s="15">
        <f>IF(L1878="","",IFERROR(INDEX('Почасовка — ставки и план'!$D$5:$D$24,MATCH($D1878,'Почасовка — ставки и план'!$A$5:$A$24,0)),""))</f>
        <v>1200</v>
      </c>
      <c r="P1878" s="15">
        <f>IF(L1878="","",IFERROR(INDEX('Почасовка — ставки и план'!$E$5:$E$24,MATCH($D1878,'Почасовка — ставки и план'!$A$5:$A$24,0)),""))</f>
        <v>1440</v>
      </c>
      <c r="Q1878" s="15">
        <f t="shared" si="139"/>
        <v>9600</v>
      </c>
      <c r="R1878" s="13" t="str">
        <f>IF(D1878="TEX","аренда техники — сделка/счёт",IF(OR(Q1878="",H1878="",H1878=0),"—",IF(Q1878&lt;H1878*(1-Параметры!$B$7),"почасовка",IF(Q1878&gt;H1878*(1+Параметры!$B$7),"сделка","любой способ"))))</f>
        <v>сделка</v>
      </c>
      <c r="S1878">
        <v>6.6666666666666652E-2</v>
      </c>
      <c r="T1878">
        <v>0.11304347826086961</v>
      </c>
    </row>
    <row r="1879" spans="1:20" x14ac:dyDescent="0.25">
      <c r="A1879" s="18" t="s">
        <v>3793</v>
      </c>
      <c r="B1879" s="13" t="s">
        <v>3794</v>
      </c>
      <c r="C1879" s="13" t="s">
        <v>865</v>
      </c>
      <c r="D1879" s="13" t="s">
        <v>545</v>
      </c>
      <c r="E1879" s="13" t="str">
        <f>IFERROR(INDEX('Почасовка — ставки и план'!$B$5:$B$24,MATCH(D1879,'Почасовка — ставки и план'!$A$5:$A$24,0)),"Аренда техники / механизмы")</f>
        <v>Сервисный инженер ворот и автоматики</v>
      </c>
      <c r="F1879" s="14">
        <v>4500</v>
      </c>
      <c r="G1879" s="14">
        <v>5175</v>
      </c>
      <c r="H1879" s="15">
        <v>2700</v>
      </c>
      <c r="I1879" s="15">
        <f>IF(OR(H1879="",F1879=""),"",MAX(H1879,MIN(ROUND(H1879*(1+Параметры!$B$5),IF(H1879*(1+Параметры!$B$5)&gt;=1000,-1,0)),ROUND(F1879*Параметры!$B$6,IF(F1879*Параметры!$B$6&gt;=1000,-1,0)))))</f>
        <v>3110</v>
      </c>
      <c r="J1879" s="15">
        <v>3105</v>
      </c>
      <c r="K1879" s="15">
        <f>IF(OR(J1879="",G1879=""),"",MAX(J1879,MIN(ROUND(J1879*(1+Параметры!$B$5),IF(J1879*(1+Параметры!$B$5)&gt;=1000,-1,0)),ROUND(G1879*Параметры!$B$6,IF(G1879*Параметры!$B$6&gt;=1000,-1,0)))))</f>
        <v>3570</v>
      </c>
      <c r="L1879" s="16">
        <v>2</v>
      </c>
      <c r="M1879" s="17">
        <f t="shared" si="138"/>
        <v>0.5</v>
      </c>
      <c r="N1879" s="17">
        <f>IF(OR(L1879="",L1879=0),"",Параметры!$B$3/L1879)</f>
        <v>4</v>
      </c>
      <c r="O1879" s="15">
        <f>IF(L1879="","",IFERROR(INDEX('Почасовка — ставки и план'!$D$5:$D$24,MATCH($D1879,'Почасовка — ставки и план'!$A$5:$A$24,0)),""))</f>
        <v>1200</v>
      </c>
      <c r="P1879" s="15">
        <f>IF(L1879="","",IFERROR(INDEX('Почасовка — ставки и план'!$E$5:$E$24,MATCH($D1879,'Почасовка — ставки и план'!$A$5:$A$24,0)),""))</f>
        <v>1440</v>
      </c>
      <c r="Q1879" s="15">
        <f t="shared" si="139"/>
        <v>2400</v>
      </c>
      <c r="R1879" s="13" t="str">
        <f>IF(D1879="TEX","аренда техники — сделка/счёт",IF(OR(Q1879="",H1879="",H1879=0),"—",IF(Q1879&lt;H1879*(1-Параметры!$B$7),"почасовка",IF(Q1879&gt;H1879*(1+Параметры!$B$7),"сделка","любой способ"))))</f>
        <v>почасовка</v>
      </c>
      <c r="S1879">
        <v>0</v>
      </c>
      <c r="T1879">
        <v>0</v>
      </c>
    </row>
    <row r="1880" spans="1:20" x14ac:dyDescent="0.25">
      <c r="A1880" s="18" t="s">
        <v>3795</v>
      </c>
      <c r="B1880" s="13" t="s">
        <v>3796</v>
      </c>
      <c r="C1880" s="13" t="s">
        <v>144</v>
      </c>
      <c r="D1880" s="13" t="s">
        <v>545</v>
      </c>
      <c r="E1880" s="13" t="str">
        <f>IFERROR(INDEX('Почасовка — ставки и план'!$B$5:$B$24,MATCH(D1880,'Почасовка — ставки и план'!$A$5:$A$24,0)),"Аренда техники / механизмы")</f>
        <v>Сервисный инженер ворот и автоматики</v>
      </c>
      <c r="F1880" s="14">
        <v>1800</v>
      </c>
      <c r="G1880" s="14">
        <v>2070</v>
      </c>
      <c r="H1880" s="15">
        <v>1080</v>
      </c>
      <c r="I1880" s="15">
        <f>IF(OR(H1880="",F1880=""),"",MAX(H1880,MIN(ROUND(H1880*(1+Параметры!$B$5),IF(H1880*(1+Параметры!$B$5)&gt;=1000,-1,0)),ROUND(F1880*Параметры!$B$6,IF(F1880*Параметры!$B$6&gt;=1000,-1,0)))))</f>
        <v>1240</v>
      </c>
      <c r="J1880" s="15">
        <v>1242</v>
      </c>
      <c r="K1880" s="15">
        <f>IF(OR(J1880="",G1880=""),"",MAX(J1880,MIN(ROUND(J1880*(1+Параметры!$B$5),IF(J1880*(1+Параметры!$B$5)&gt;=1000,-1,0)),ROUND(G1880*Параметры!$B$6,IF(G1880*Параметры!$B$6&gt;=1000,-1,0)))))</f>
        <v>1430</v>
      </c>
      <c r="L1880" s="16">
        <v>0.5</v>
      </c>
      <c r="M1880" s="17">
        <f t="shared" si="138"/>
        <v>2</v>
      </c>
      <c r="N1880" s="17">
        <f>IF(OR(L1880="",L1880=0),"",Параметры!$B$3/L1880)</f>
        <v>16</v>
      </c>
      <c r="O1880" s="15">
        <f>IF(L1880="","",IFERROR(INDEX('Почасовка — ставки и план'!$D$5:$D$24,MATCH($D1880,'Почасовка — ставки и план'!$A$5:$A$24,0)),""))</f>
        <v>1200</v>
      </c>
      <c r="P1880" s="15">
        <f>IF(L1880="","",IFERROR(INDEX('Почасовка — ставки и план'!$E$5:$E$24,MATCH($D1880,'Почасовка — ставки и план'!$A$5:$A$24,0)),""))</f>
        <v>1440</v>
      </c>
      <c r="Q1880" s="15">
        <f t="shared" si="139"/>
        <v>600</v>
      </c>
      <c r="R1880" s="13" t="str">
        <f>IF(D1880="TEX","аренда техники — сделка/счёт",IF(OR(Q1880="",H1880="",H1880=0),"—",IF(Q1880&lt;H1880*(1-Параметры!$B$7),"почасовка",IF(Q1880&gt;H1880*(1+Параметры!$B$7),"сделка","любой способ"))))</f>
        <v>почасовка</v>
      </c>
      <c r="S1880">
        <v>0</v>
      </c>
      <c r="T1880">
        <v>0</v>
      </c>
    </row>
    <row r="1881" spans="1:20" x14ac:dyDescent="0.25">
      <c r="A1881" s="18" t="s">
        <v>3797</v>
      </c>
      <c r="B1881" s="13" t="s">
        <v>3798</v>
      </c>
      <c r="C1881" s="13" t="s">
        <v>69</v>
      </c>
      <c r="D1881" s="13" t="s">
        <v>276</v>
      </c>
      <c r="E1881" s="13" t="str">
        <f>IFERROR(INDEX('Почасовка — ставки и план'!$B$5:$B$24,MATCH(D1881,'Почасовка — ставки и план'!$A$5:$A$24,0)),"Аренда техники / механизмы")</f>
        <v>Монтажник дверей, окон, перегородок</v>
      </c>
      <c r="F1881" s="14">
        <v>250</v>
      </c>
      <c r="G1881" s="14">
        <v>288</v>
      </c>
      <c r="H1881" s="15">
        <v>155</v>
      </c>
      <c r="I1881" s="15">
        <f>IF(OR(H1881="",F1881=""),"",MAX(H1881,MIN(ROUND(H1881*(1+Параметры!$B$5),IF(H1881*(1+Параметры!$B$5)&gt;=1000,-1,0)),ROUND(F1881*Параметры!$B$6,IF(F1881*Параметры!$B$6&gt;=1000,-1,0)))))</f>
        <v>178</v>
      </c>
      <c r="J1881" s="15">
        <v>178</v>
      </c>
      <c r="K1881" s="15">
        <f>IF(OR(J1881="",G1881=""),"",MAX(J1881,MIN(ROUND(J1881*(1+Параметры!$B$5),IF(J1881*(1+Параметры!$B$5)&gt;=1000,-1,0)),ROUND(G1881*Параметры!$B$6,IF(G1881*Параметры!$B$6&gt;=1000,-1,0)))))</f>
        <v>205</v>
      </c>
      <c r="L1881" s="16">
        <v>0.15</v>
      </c>
      <c r="M1881" s="17">
        <f t="shared" si="138"/>
        <v>6.666666666666667</v>
      </c>
      <c r="N1881" s="17">
        <f>IF(OR(L1881="",L1881=0),"",Параметры!$B$3/L1881)</f>
        <v>53.333333333333336</v>
      </c>
      <c r="O1881" s="15">
        <f>IF(L1881="","",IFERROR(INDEX('Почасовка — ставки и план'!$D$5:$D$24,MATCH($D1881,'Почасовка — ставки и план'!$A$5:$A$24,0)),""))</f>
        <v>800</v>
      </c>
      <c r="P1881" s="15">
        <f>IF(L1881="","",IFERROR(INDEX('Почасовка — ставки и план'!$E$5:$E$24,MATCH($D1881,'Почасовка — ставки и план'!$A$5:$A$24,0)),""))</f>
        <v>950</v>
      </c>
      <c r="Q1881" s="15">
        <f t="shared" si="139"/>
        <v>120</v>
      </c>
      <c r="R1881" s="13" t="str">
        <f>IF(D1881="TEX","аренда техники — сделка/счёт",IF(OR(Q1881="",H1881="",H1881=0),"—",IF(Q1881&lt;H1881*(1-Параметры!$B$7),"почасовка",IF(Q1881&gt;H1881*(1+Параметры!$B$7),"сделка","любой способ"))))</f>
        <v>почасовка</v>
      </c>
      <c r="S1881">
        <v>0</v>
      </c>
      <c r="T1881">
        <v>0</v>
      </c>
    </row>
    <row r="1882" spans="1:20" x14ac:dyDescent="0.25">
      <c r="A1882" s="18" t="s">
        <v>3799</v>
      </c>
      <c r="B1882" s="13" t="s">
        <v>3800</v>
      </c>
      <c r="C1882" s="13" t="s">
        <v>144</v>
      </c>
      <c r="D1882" s="13" t="s">
        <v>545</v>
      </c>
      <c r="E1882" s="13" t="str">
        <f>IFERROR(INDEX('Почасовка — ставки и план'!$B$5:$B$24,MATCH(D1882,'Почасовка — ставки и план'!$A$5:$A$24,0)),"Аренда техники / механизмы")</f>
        <v>Сервисный инженер ворот и автоматики</v>
      </c>
      <c r="F1882" s="14">
        <v>2500</v>
      </c>
      <c r="G1882" s="14">
        <v>2875</v>
      </c>
      <c r="H1882" s="15">
        <v>1500</v>
      </c>
      <c r="I1882" s="15">
        <f>IF(OR(H1882="",F1882=""),"",MAX(H1882,MIN(ROUND(H1882*(1+Параметры!$B$5),IF(H1882*(1+Параметры!$B$5)&gt;=1000,-1,0)),ROUND(F1882*Параметры!$B$6,IF(F1882*Параметры!$B$6&gt;=1000,-1,0)))))</f>
        <v>1730</v>
      </c>
      <c r="J1882" s="15">
        <v>1725</v>
      </c>
      <c r="K1882" s="15">
        <f>IF(OR(J1882="",G1882=""),"",MAX(J1882,MIN(ROUND(J1882*(1+Параметры!$B$5),IF(J1882*(1+Параметры!$B$5)&gt;=1000,-1,0)),ROUND(G1882*Параметры!$B$6,IF(G1882*Параметры!$B$6&gt;=1000,-1,0)))))</f>
        <v>1980</v>
      </c>
      <c r="L1882" s="16">
        <v>1</v>
      </c>
      <c r="M1882" s="17">
        <f t="shared" si="138"/>
        <v>1</v>
      </c>
      <c r="N1882" s="17">
        <f>IF(OR(L1882="",L1882=0),"",Параметры!$B$3/L1882)</f>
        <v>8</v>
      </c>
      <c r="O1882" s="15">
        <f>IF(L1882="","",IFERROR(INDEX('Почасовка — ставки и план'!$D$5:$D$24,MATCH($D1882,'Почасовка — ставки и план'!$A$5:$A$24,0)),""))</f>
        <v>1200</v>
      </c>
      <c r="P1882" s="15">
        <f>IF(L1882="","",IFERROR(INDEX('Почасовка — ставки и план'!$E$5:$E$24,MATCH($D1882,'Почасовка — ставки и план'!$A$5:$A$24,0)),""))</f>
        <v>1440</v>
      </c>
      <c r="Q1882" s="15">
        <f t="shared" si="139"/>
        <v>1200</v>
      </c>
      <c r="R1882" s="13" t="str">
        <f>IF(D1882="TEX","аренда техники — сделка/счёт",IF(OR(Q1882="",H1882="",H1882=0),"—",IF(Q1882&lt;H1882*(1-Параметры!$B$7),"почасовка",IF(Q1882&gt;H1882*(1+Параметры!$B$7),"сделка","любой способ"))))</f>
        <v>почасовка</v>
      </c>
      <c r="S1882">
        <v>0</v>
      </c>
      <c r="T1882">
        <v>0</v>
      </c>
    </row>
    <row r="1883" spans="1:20" x14ac:dyDescent="0.25">
      <c r="A1883" s="18" t="s">
        <v>3801</v>
      </c>
      <c r="B1883" s="13" t="s">
        <v>3802</v>
      </c>
      <c r="C1883" s="13" t="s">
        <v>144</v>
      </c>
      <c r="D1883" s="13" t="s">
        <v>276</v>
      </c>
      <c r="E1883" s="13" t="str">
        <f>IFERROR(INDEX('Почасовка — ставки и план'!$B$5:$B$24,MATCH(D1883,'Почасовка — ставки и план'!$A$5:$A$24,0)),"Аренда техники / механизмы")</f>
        <v>Монтажник дверей, окон, перегородок</v>
      </c>
      <c r="F1883" s="14">
        <v>2000</v>
      </c>
      <c r="G1883" s="14">
        <v>2300</v>
      </c>
      <c r="H1883" s="15">
        <v>1240</v>
      </c>
      <c r="I1883" s="15">
        <f>IF(OR(H1883="",F1883=""),"",MAX(H1883,MIN(ROUND(H1883*(1+Параметры!$B$5),IF(H1883*(1+Параметры!$B$5)&gt;=1000,-1,0)),ROUND(F1883*Параметры!$B$6,IF(F1883*Параметры!$B$6&gt;=1000,-1,0)))))</f>
        <v>1430</v>
      </c>
      <c r="J1883" s="15">
        <v>1426</v>
      </c>
      <c r="K1883" s="15">
        <f>IF(OR(J1883="",G1883=""),"",MAX(J1883,MIN(ROUND(J1883*(1+Параметры!$B$5),IF(J1883*(1+Параметры!$B$5)&gt;=1000,-1,0)),ROUND(G1883*Параметры!$B$6,IF(G1883*Параметры!$B$6&gt;=1000,-1,0)))))</f>
        <v>1640</v>
      </c>
      <c r="L1883" s="16">
        <v>1.2</v>
      </c>
      <c r="M1883" s="17">
        <f t="shared" si="138"/>
        <v>0.83333333333333337</v>
      </c>
      <c r="N1883" s="17">
        <f>IF(OR(L1883="",L1883=0),"",Параметры!$B$3/L1883)</f>
        <v>6.666666666666667</v>
      </c>
      <c r="O1883" s="15">
        <f>IF(L1883="","",IFERROR(INDEX('Почасовка — ставки и план'!$D$5:$D$24,MATCH($D1883,'Почасовка — ставки и план'!$A$5:$A$24,0)),""))</f>
        <v>800</v>
      </c>
      <c r="P1883" s="15">
        <f>IF(L1883="","",IFERROR(INDEX('Почасовка — ставки и план'!$E$5:$E$24,MATCH($D1883,'Почасовка — ставки и план'!$A$5:$A$24,0)),""))</f>
        <v>950</v>
      </c>
      <c r="Q1883" s="15">
        <f t="shared" si="139"/>
        <v>960</v>
      </c>
      <c r="R1883" s="13" t="str">
        <f>IF(D1883="TEX","аренда техники — сделка/счёт",IF(OR(Q1883="",H1883="",H1883=0),"—",IF(Q1883&lt;H1883*(1-Параметры!$B$7),"почасовка",IF(Q1883&gt;H1883*(1+Параметры!$B$7),"сделка","любой способ"))))</f>
        <v>почасовка</v>
      </c>
      <c r="S1883">
        <v>0</v>
      </c>
      <c r="T1883">
        <v>0</v>
      </c>
    </row>
    <row r="1884" spans="1:20" x14ac:dyDescent="0.25">
      <c r="A1884" s="11" t="s">
        <v>3803</v>
      </c>
      <c r="B1884" s="12"/>
      <c r="C1884" s="12"/>
      <c r="D1884" s="12"/>
      <c r="E1884" s="12"/>
      <c r="F1884" s="12"/>
      <c r="G1884" s="12"/>
      <c r="H1884" s="12"/>
      <c r="I1884" s="12"/>
      <c r="J1884" s="12"/>
      <c r="K1884" s="12"/>
      <c r="L1884" s="12"/>
      <c r="M1884" s="12"/>
      <c r="N1884" s="12"/>
      <c r="O1884" s="12"/>
      <c r="P1884" s="12"/>
      <c r="Q1884" s="12"/>
      <c r="R1884" s="12"/>
    </row>
    <row r="1885" spans="1:20" x14ac:dyDescent="0.25">
      <c r="A1885" s="13" t="s">
        <v>3804</v>
      </c>
      <c r="B1885" s="13" t="s">
        <v>3805</v>
      </c>
      <c r="C1885" s="13" t="s">
        <v>72</v>
      </c>
      <c r="D1885" s="13" t="s">
        <v>91</v>
      </c>
      <c r="E1885" s="13" t="str">
        <f>IFERROR(INDEX('Почасовка — ставки и план'!$B$5:$B$24,MATCH(D1885,'Почасовка — ставки и план'!$A$5:$A$24,0)),"Аренда техники / механизмы")</f>
        <v>Фасадчик / промальпинист</v>
      </c>
      <c r="F1885" s="14">
        <v>5134</v>
      </c>
      <c r="G1885" s="14">
        <v>6067</v>
      </c>
      <c r="H1885" s="15">
        <v>2170</v>
      </c>
      <c r="I1885" s="15">
        <f>IF(OR(H1885="",F1885=""),"",MAX(H1885,MIN(ROUND(H1885*(1+Параметры!$B$5),IF(H1885*(1+Параметры!$B$5)&gt;=1000,-1,0)),ROUND(F1885*Параметры!$B$6,IF(F1885*Параметры!$B$6&gt;=1000,-1,0)))))</f>
        <v>2500</v>
      </c>
      <c r="J1885" s="15">
        <v>2495</v>
      </c>
      <c r="K1885" s="15">
        <f>IF(OR(J1885="",G1885=""),"",MAX(J1885,MIN(ROUND(J1885*(1+Параметры!$B$5),IF(J1885*(1+Параметры!$B$5)&gt;=1000,-1,0)),ROUND(G1885*Параметры!$B$6,IF(G1885*Параметры!$B$6&gt;=1000,-1,0)))))</f>
        <v>2870</v>
      </c>
      <c r="L1885" s="16">
        <v>3.5</v>
      </c>
      <c r="M1885" s="17">
        <f t="shared" ref="M1885:M1917" si="140">IF(OR(L1885="",L1885=0),"",1/L1885)</f>
        <v>0.2857142857142857</v>
      </c>
      <c r="N1885" s="17">
        <f>IF(OR(L1885="",L1885=0),"",Параметры!$B$3/L1885)</f>
        <v>2.2857142857142856</v>
      </c>
      <c r="O1885" s="15">
        <f>IF(L1885="","",IFERROR(INDEX('Почасовка — ставки и план'!$D$5:$D$24,MATCH($D1885,'Почасовка — ставки и план'!$A$5:$A$24,0)),""))</f>
        <v>1100</v>
      </c>
      <c r="P1885" s="15">
        <f>IF(L1885="","",IFERROR(INDEX('Почасовка — ставки и план'!$E$5:$E$24,MATCH($D1885,'Почасовка — ставки и план'!$A$5:$A$24,0)),""))</f>
        <v>1300</v>
      </c>
      <c r="Q1885" s="15">
        <f t="shared" ref="Q1885:Q1917" si="141">IF(OR(L1885="",O1885=""),"",ROUND(L1885*O1885,0))</f>
        <v>3850</v>
      </c>
      <c r="R1885" s="13" t="str">
        <f>IF(D1885="TEX","аренда техники — сделка/счёт",IF(OR(Q1885="",H1885="",H1885=0),"—",IF(Q1885&lt;H1885*(1-Параметры!$B$7),"почасовка",IF(Q1885&gt;H1885*(1+Параметры!$B$7),"сделка","любой способ"))))</f>
        <v>сделка</v>
      </c>
      <c r="S1885">
        <v>0.46685714285714291</v>
      </c>
      <c r="T1885">
        <v>0.50732919254658393</v>
      </c>
    </row>
    <row r="1886" spans="1:20" x14ac:dyDescent="0.25">
      <c r="A1886" s="13" t="s">
        <v>3806</v>
      </c>
      <c r="B1886" s="13" t="s">
        <v>3807</v>
      </c>
      <c r="C1886" s="13" t="s">
        <v>72</v>
      </c>
      <c r="D1886" s="13" t="s">
        <v>276</v>
      </c>
      <c r="E1886" s="13" t="str">
        <f>IFERROR(INDEX('Почасовка — ставки и план'!$B$5:$B$24,MATCH(D1886,'Почасовка — ставки и план'!$A$5:$A$24,0)),"Аренда техники / механизмы")</f>
        <v>Монтажник дверей, окон, перегородок</v>
      </c>
      <c r="F1886" s="14">
        <v>2987</v>
      </c>
      <c r="G1886" s="14">
        <v>3547</v>
      </c>
      <c r="H1886" s="15">
        <v>1736</v>
      </c>
      <c r="I1886" s="15">
        <f>IF(OR(H1886="",F1886=""),"",MAX(H1886,MIN(ROUND(H1886*(1+Параметры!$B$5),IF(H1886*(1+Параметры!$B$5)&gt;=1000,-1,0)),ROUND(F1886*Параметры!$B$6,IF(F1886*Параметры!$B$6&gt;=1000,-1,0)))))</f>
        <v>2000</v>
      </c>
      <c r="J1886" s="15">
        <v>1996</v>
      </c>
      <c r="K1886" s="15">
        <f>IF(OR(J1886="",G1886=""),"",MAX(J1886,MIN(ROUND(J1886*(1+Параметры!$B$5),IF(J1886*(1+Параметры!$B$5)&gt;=1000,-1,0)),ROUND(G1886*Параметры!$B$6,IF(G1886*Параметры!$B$6&gt;=1000,-1,0)))))</f>
        <v>2300</v>
      </c>
      <c r="L1886" s="16">
        <v>2.8</v>
      </c>
      <c r="M1886" s="17">
        <f t="shared" si="140"/>
        <v>0.35714285714285715</v>
      </c>
      <c r="N1886" s="17">
        <f>IF(OR(L1886="",L1886=0),"",Параметры!$B$3/L1886)</f>
        <v>2.8571428571428572</v>
      </c>
      <c r="O1886" s="15">
        <f>IF(L1886="","",IFERROR(INDEX('Почасовка — ставки и план'!$D$5:$D$24,MATCH($D1886,'Почасовка — ставки и план'!$A$5:$A$24,0)),""))</f>
        <v>800</v>
      </c>
      <c r="P1886" s="15">
        <f>IF(L1886="","",IFERROR(INDEX('Почасовка — ставки и план'!$E$5:$E$24,MATCH($D1886,'Почасовка — ставки и план'!$A$5:$A$24,0)),""))</f>
        <v>950</v>
      </c>
      <c r="Q1886" s="15">
        <f t="shared" si="141"/>
        <v>2240</v>
      </c>
      <c r="R1886" s="13" t="str">
        <f>IF(D1886="TEX","аренда техники — сделка/счёт",IF(OR(Q1886="",H1886="",H1886=0),"—",IF(Q1886&lt;H1886*(1-Параметры!$B$7),"почасовка",IF(Q1886&gt;H1886*(1+Параметры!$B$7),"сделка","любой способ"))))</f>
        <v>сделка</v>
      </c>
      <c r="S1886">
        <v>6.6785714285714226E-2</v>
      </c>
      <c r="T1886">
        <v>0.10155279503105601</v>
      </c>
    </row>
    <row r="1887" spans="1:20" x14ac:dyDescent="0.25">
      <c r="A1887" s="13" t="s">
        <v>3808</v>
      </c>
      <c r="B1887" s="13" t="s">
        <v>3809</v>
      </c>
      <c r="C1887" s="13" t="s">
        <v>72</v>
      </c>
      <c r="D1887" s="13" t="s">
        <v>276</v>
      </c>
      <c r="E1887" s="13" t="str">
        <f>IFERROR(INDEX('Почасовка — ставки и план'!$B$5:$B$24,MATCH(D1887,'Почасовка — ставки и план'!$A$5:$A$24,0)),"Аренда техники / механизмы")</f>
        <v>Монтажник дверей, окон, перегородок</v>
      </c>
      <c r="F1887" s="14">
        <v>3200</v>
      </c>
      <c r="G1887" s="14">
        <v>3800</v>
      </c>
      <c r="H1887" s="15">
        <v>1984</v>
      </c>
      <c r="I1887" s="15">
        <f>IF(OR(H1887="",F1887=""),"",MAX(H1887,MIN(ROUND(H1887*(1+Параметры!$B$5),IF(H1887*(1+Параметры!$B$5)&gt;=1000,-1,0)),ROUND(F1887*Параметры!$B$6,IF(F1887*Параметры!$B$6&gt;=1000,-1,0)))))</f>
        <v>2280</v>
      </c>
      <c r="J1887" s="15">
        <v>2282</v>
      </c>
      <c r="K1887" s="15">
        <f>IF(OR(J1887="",G1887=""),"",MAX(J1887,MIN(ROUND(J1887*(1+Параметры!$B$5),IF(J1887*(1+Параметры!$B$5)&gt;=1000,-1,0)),ROUND(G1887*Параметры!$B$6,IF(G1887*Параметры!$B$6&gt;=1000,-1,0)))))</f>
        <v>2620</v>
      </c>
      <c r="L1887" s="16">
        <v>3</v>
      </c>
      <c r="M1887" s="17">
        <f t="shared" si="140"/>
        <v>0.33333333333333331</v>
      </c>
      <c r="N1887" s="17">
        <f>IF(OR(L1887="",L1887=0),"",Параметры!$B$3/L1887)</f>
        <v>2.6666666666666665</v>
      </c>
      <c r="O1887" s="15">
        <f>IF(L1887="","",IFERROR(INDEX('Почасовка — ставки и план'!$D$5:$D$24,MATCH($D1887,'Почасовка — ставки и план'!$A$5:$A$24,0)),""))</f>
        <v>800</v>
      </c>
      <c r="P1887" s="15">
        <f>IF(L1887="","",IFERROR(INDEX('Почасовка — ставки и план'!$E$5:$E$24,MATCH($D1887,'Почасовка — ставки и план'!$A$5:$A$24,0)),""))</f>
        <v>950</v>
      </c>
      <c r="Q1887" s="15">
        <f t="shared" si="141"/>
        <v>2400</v>
      </c>
      <c r="R1887" s="13" t="str">
        <f>IF(D1887="TEX","аренда техники — сделка/счёт",IF(OR(Q1887="",H1887="",H1887=0),"—",IF(Q1887&lt;H1887*(1-Параметры!$B$7),"почасовка",IF(Q1887&gt;H1887*(1+Параметры!$B$7),"сделка","любой способ"))))</f>
        <v>сделка</v>
      </c>
      <c r="S1887">
        <v>0</v>
      </c>
      <c r="T1887">
        <v>3.2608695652173843E-2</v>
      </c>
    </row>
    <row r="1888" spans="1:20" x14ac:dyDescent="0.25">
      <c r="A1888" s="13" t="s">
        <v>3810</v>
      </c>
      <c r="B1888" s="13" t="s">
        <v>3811</v>
      </c>
      <c r="C1888" s="13" t="s">
        <v>72</v>
      </c>
      <c r="D1888" s="13" t="s">
        <v>276</v>
      </c>
      <c r="E1888" s="13" t="str">
        <f>IFERROR(INDEX('Почасовка — ставки и план'!$B$5:$B$24,MATCH(D1888,'Почасовка — ставки и план'!$A$5:$A$24,0)),"Аренда техники / механизмы")</f>
        <v>Монтажник дверей, окон, перегородок</v>
      </c>
      <c r="F1888" s="14">
        <v>3414</v>
      </c>
      <c r="G1888" s="14">
        <v>4054</v>
      </c>
      <c r="H1888" s="15">
        <v>1860</v>
      </c>
      <c r="I1888" s="15">
        <f>IF(OR(H1888="",F1888=""),"",MAX(H1888,MIN(ROUND(H1888*(1+Параметры!$B$5),IF(H1888*(1+Параметры!$B$5)&gt;=1000,-1,0)),ROUND(F1888*Параметры!$B$6,IF(F1888*Параметры!$B$6&gt;=1000,-1,0)))))</f>
        <v>2140</v>
      </c>
      <c r="J1888" s="15">
        <v>2139</v>
      </c>
      <c r="K1888" s="15">
        <f>IF(OR(J1888="",G1888=""),"",MAX(J1888,MIN(ROUND(J1888*(1+Параметры!$B$5),IF(J1888*(1+Параметры!$B$5)&gt;=1000,-1,0)),ROUND(G1888*Параметры!$B$6,IF(G1888*Параметры!$B$6&gt;=1000,-1,0)))))</f>
        <v>2460</v>
      </c>
      <c r="L1888" s="16">
        <v>3.2</v>
      </c>
      <c r="M1888" s="17">
        <f t="shared" si="140"/>
        <v>0.3125</v>
      </c>
      <c r="N1888" s="17">
        <f>IF(OR(L1888="",L1888=0),"",Параметры!$B$3/L1888)</f>
        <v>2.5</v>
      </c>
      <c r="O1888" s="15">
        <f>IF(L1888="","",IFERROR(INDEX('Почасовка — ставки и план'!$D$5:$D$24,MATCH($D1888,'Почасовка — ставки и план'!$A$5:$A$24,0)),""))</f>
        <v>800</v>
      </c>
      <c r="P1888" s="15">
        <f>IF(L1888="","",IFERROR(INDEX('Почасовка — ставки и план'!$E$5:$E$24,MATCH($D1888,'Почасовка — ставки и план'!$A$5:$A$24,0)),""))</f>
        <v>950</v>
      </c>
      <c r="Q1888" s="15">
        <f t="shared" si="141"/>
        <v>2560</v>
      </c>
      <c r="R1888" s="13" t="str">
        <f>IF(D1888="TEX","аренда техники — сделка/счёт",IF(OR(Q1888="",H1888="",H1888=0),"—",IF(Q1888&lt;H1888*(1-Параметры!$B$7),"почасовка",IF(Q1888&gt;H1888*(1+Параметры!$B$7),"сделка","любой способ"))))</f>
        <v>сделка</v>
      </c>
      <c r="S1888">
        <v>0.1379999999999999</v>
      </c>
      <c r="T1888">
        <v>0.175072463768116</v>
      </c>
    </row>
    <row r="1889" spans="1:20" x14ac:dyDescent="0.25">
      <c r="A1889" s="13" t="s">
        <v>3812</v>
      </c>
      <c r="B1889" s="13" t="s">
        <v>3813</v>
      </c>
      <c r="C1889" s="13" t="s">
        <v>72</v>
      </c>
      <c r="D1889" s="13" t="s">
        <v>276</v>
      </c>
      <c r="E1889" s="13" t="str">
        <f>IFERROR(INDEX('Почасовка — ставки и план'!$B$5:$B$24,MATCH(D1889,'Почасовка — ставки и план'!$A$5:$A$24,0)),"Аренда техники / механизмы")</f>
        <v>Монтажник дверей, окон, перегородок</v>
      </c>
      <c r="F1889" s="14">
        <v>3414</v>
      </c>
      <c r="G1889" s="14">
        <v>4054</v>
      </c>
      <c r="H1889" s="15">
        <v>1798</v>
      </c>
      <c r="I1889" s="15">
        <f>IF(OR(H1889="",F1889=""),"",MAX(H1889,MIN(ROUND(H1889*(1+Параметры!$B$5),IF(H1889*(1+Параметры!$B$5)&gt;=1000,-1,0)),ROUND(F1889*Параметры!$B$6,IF(F1889*Параметры!$B$6&gt;=1000,-1,0)))))</f>
        <v>2070</v>
      </c>
      <c r="J1889" s="15">
        <v>2068</v>
      </c>
      <c r="K1889" s="15">
        <f>IF(OR(J1889="",G1889=""),"",MAX(J1889,MIN(ROUND(J1889*(1+Параметры!$B$5),IF(J1889*(1+Параметры!$B$5)&gt;=1000,-1,0)),ROUND(G1889*Параметры!$B$6,IF(G1889*Параметры!$B$6&gt;=1000,-1,0)))))</f>
        <v>2380</v>
      </c>
      <c r="L1889" s="16">
        <v>3.2</v>
      </c>
      <c r="M1889" s="17">
        <f t="shared" si="140"/>
        <v>0.3125</v>
      </c>
      <c r="N1889" s="17">
        <f>IF(OR(L1889="",L1889=0),"",Параметры!$B$3/L1889)</f>
        <v>2.5</v>
      </c>
      <c r="O1889" s="15">
        <f>IF(L1889="","",IFERROR(INDEX('Почасовка — ставки и план'!$D$5:$D$24,MATCH($D1889,'Почасовка — ставки и план'!$A$5:$A$24,0)),""))</f>
        <v>800</v>
      </c>
      <c r="P1889" s="15">
        <f>IF(L1889="","",IFERROR(INDEX('Почасовка — ставки и план'!$E$5:$E$24,MATCH($D1889,'Почасовка — ставки и план'!$A$5:$A$24,0)),""))</f>
        <v>950</v>
      </c>
      <c r="Q1889" s="15">
        <f t="shared" si="141"/>
        <v>2560</v>
      </c>
      <c r="R1889" s="13" t="str">
        <f>IF(D1889="TEX","аренда техники — сделка/счёт",IF(OR(Q1889="",H1889="",H1889=0),"—",IF(Q1889&lt;H1889*(1-Параметры!$B$7),"почасовка",IF(Q1889&gt;H1889*(1+Параметры!$B$7),"сделка","любой способ"))))</f>
        <v>сделка</v>
      </c>
      <c r="S1889">
        <v>0.17724137931034489</v>
      </c>
      <c r="T1889">
        <v>0.21559220389805089</v>
      </c>
    </row>
    <row r="1890" spans="1:20" x14ac:dyDescent="0.25">
      <c r="A1890" s="13" t="s">
        <v>3814</v>
      </c>
      <c r="B1890" s="13" t="s">
        <v>3815</v>
      </c>
      <c r="C1890" s="13" t="s">
        <v>72</v>
      </c>
      <c r="D1890" s="13" t="s">
        <v>208</v>
      </c>
      <c r="E1890" s="13" t="str">
        <f>IFERROR(INDEX('Почасовка — ставки и план'!$B$5:$B$24,MATCH(D1890,'Почасовка — ставки и план'!$A$5:$A$24,0)),"Аренда техники / механизмы")</f>
        <v>Отделочник (штукатур, маляр, ГКЛ)</v>
      </c>
      <c r="F1890" s="14">
        <v>900</v>
      </c>
      <c r="G1890" s="14">
        <v>1035</v>
      </c>
      <c r="H1890" s="15">
        <v>567</v>
      </c>
      <c r="I1890" s="15">
        <f>IF(OR(H1890="",F1890=""),"",MAX(H1890,MIN(ROUND(H1890*(1+Параметры!$B$5),IF(H1890*(1+Параметры!$B$5)&gt;=1000,-1,0)),ROUND(F1890*Параметры!$B$6,IF(F1890*Параметры!$B$6&gt;=1000,-1,0)))))</f>
        <v>652</v>
      </c>
      <c r="J1890" s="15">
        <v>652</v>
      </c>
      <c r="K1890" s="15">
        <f>IF(OR(J1890="",G1890=""),"",MAX(J1890,MIN(ROUND(J1890*(1+Параметры!$B$5),IF(J1890*(1+Параметры!$B$5)&gt;=1000,-1,0)),ROUND(G1890*Параметры!$B$6,IF(G1890*Параметры!$B$6&gt;=1000,-1,0)))))</f>
        <v>750</v>
      </c>
      <c r="L1890" s="16">
        <v>0.5</v>
      </c>
      <c r="M1890" s="17">
        <f t="shared" si="140"/>
        <v>2</v>
      </c>
      <c r="N1890" s="17">
        <f>IF(OR(L1890="",L1890=0),"",Параметры!$B$3/L1890)</f>
        <v>16</v>
      </c>
      <c r="O1890" s="15">
        <f>IF(L1890="","",IFERROR(INDEX('Почасовка — ставки и план'!$D$5:$D$24,MATCH($D1890,'Почасовка — ставки и план'!$A$5:$A$24,0)),""))</f>
        <v>750</v>
      </c>
      <c r="P1890" s="15">
        <f>IF(L1890="","",IFERROR(INDEX('Почасовка — ставки и план'!$E$5:$E$24,MATCH($D1890,'Почасовка — ставки и план'!$A$5:$A$24,0)),""))</f>
        <v>900</v>
      </c>
      <c r="Q1890" s="15">
        <f t="shared" si="141"/>
        <v>375</v>
      </c>
      <c r="R1890" s="13" t="str">
        <f>IF(D1890="TEX","аренда техники — сделка/счёт",IF(OR(Q1890="",H1890="",H1890=0),"—",IF(Q1890&lt;H1890*(1-Параметры!$B$7),"почасовка",IF(Q1890&gt;H1890*(1+Параметры!$B$7),"сделка","любой способ"))))</f>
        <v>почасовка</v>
      </c>
      <c r="S1890">
        <v>0</v>
      </c>
      <c r="T1890">
        <v>0</v>
      </c>
    </row>
    <row r="1891" spans="1:20" x14ac:dyDescent="0.25">
      <c r="A1891" s="13" t="s">
        <v>3816</v>
      </c>
      <c r="B1891" s="13" t="s">
        <v>3817</v>
      </c>
      <c r="C1891" s="13" t="s">
        <v>72</v>
      </c>
      <c r="D1891" s="13" t="s">
        <v>208</v>
      </c>
      <c r="E1891" s="13" t="str">
        <f>IFERROR(INDEX('Почасовка — ставки и план'!$B$5:$B$24,MATCH(D1891,'Почасовка — ставки и план'!$A$5:$A$24,0)),"Аренда техники / механизмы")</f>
        <v>Отделочник (штукатур, маляр, ГКЛ)</v>
      </c>
      <c r="F1891" s="14">
        <v>850</v>
      </c>
      <c r="G1891" s="14">
        <v>977</v>
      </c>
      <c r="H1891" s="15">
        <v>536</v>
      </c>
      <c r="I1891" s="15">
        <f>IF(OR(H1891="",F1891=""),"",MAX(H1891,MIN(ROUND(H1891*(1+Параметры!$B$5),IF(H1891*(1+Параметры!$B$5)&gt;=1000,-1,0)),ROUND(F1891*Параметры!$B$6,IF(F1891*Параметры!$B$6&gt;=1000,-1,0)))))</f>
        <v>616</v>
      </c>
      <c r="J1891" s="15">
        <v>616</v>
      </c>
      <c r="K1891" s="15">
        <f>IF(OR(J1891="",G1891=""),"",MAX(J1891,MIN(ROUND(J1891*(1+Параметры!$B$5),IF(J1891*(1+Параметры!$B$5)&gt;=1000,-1,0)),ROUND(G1891*Параметры!$B$6,IF(G1891*Параметры!$B$6&gt;=1000,-1,0)))))</f>
        <v>708</v>
      </c>
      <c r="L1891" s="16">
        <v>0.5</v>
      </c>
      <c r="M1891" s="17">
        <f t="shared" si="140"/>
        <v>2</v>
      </c>
      <c r="N1891" s="17">
        <f>IF(OR(L1891="",L1891=0),"",Параметры!$B$3/L1891)</f>
        <v>16</v>
      </c>
      <c r="O1891" s="15">
        <f>IF(L1891="","",IFERROR(INDEX('Почасовка — ставки и план'!$D$5:$D$24,MATCH($D1891,'Почасовка — ставки и план'!$A$5:$A$24,0)),""))</f>
        <v>750</v>
      </c>
      <c r="P1891" s="15">
        <f>IF(L1891="","",IFERROR(INDEX('Почасовка — ставки и план'!$E$5:$E$24,MATCH($D1891,'Почасовка — ставки и план'!$A$5:$A$24,0)),""))</f>
        <v>900</v>
      </c>
      <c r="Q1891" s="15">
        <f t="shared" si="141"/>
        <v>375</v>
      </c>
      <c r="R1891" s="13" t="str">
        <f>IF(D1891="TEX","аренда техники — сделка/счёт",IF(OR(Q1891="",H1891="",H1891=0),"—",IF(Q1891&lt;H1891*(1-Параметры!$B$7),"почасовка",IF(Q1891&gt;H1891*(1+Параметры!$B$7),"сделка","любой способ"))))</f>
        <v>почасовка</v>
      </c>
      <c r="S1891">
        <v>0</v>
      </c>
      <c r="T1891">
        <v>0</v>
      </c>
    </row>
    <row r="1892" spans="1:20" x14ac:dyDescent="0.25">
      <c r="A1892" s="13" t="s">
        <v>3818</v>
      </c>
      <c r="B1892" s="13" t="s">
        <v>3819</v>
      </c>
      <c r="C1892" s="13" t="s">
        <v>72</v>
      </c>
      <c r="D1892" s="13" t="s">
        <v>208</v>
      </c>
      <c r="E1892" s="13" t="str">
        <f>IFERROR(INDEX('Почасовка — ставки и план'!$B$5:$B$24,MATCH(D1892,'Почасовка — ставки и план'!$A$5:$A$24,0)),"Аренда техники / механизмы")</f>
        <v>Отделочник (штукатур, маляр, ГКЛ)</v>
      </c>
      <c r="F1892" s="14">
        <v>750</v>
      </c>
      <c r="G1892" s="14">
        <v>862</v>
      </c>
      <c r="H1892" s="15">
        <v>472</v>
      </c>
      <c r="I1892" s="15">
        <f>IF(OR(H1892="",F1892=""),"",MAX(H1892,MIN(ROUND(H1892*(1+Параметры!$B$5),IF(H1892*(1+Параметры!$B$5)&gt;=1000,-1,0)),ROUND(F1892*Параметры!$B$6,IF(F1892*Параметры!$B$6&gt;=1000,-1,0)))))</f>
        <v>543</v>
      </c>
      <c r="J1892" s="15">
        <v>543</v>
      </c>
      <c r="K1892" s="15">
        <f>IF(OR(J1892="",G1892=""),"",MAX(J1892,MIN(ROUND(J1892*(1+Параметры!$B$5),IF(J1892*(1+Параметры!$B$5)&gt;=1000,-1,0)),ROUND(G1892*Параметры!$B$6,IF(G1892*Параметры!$B$6&gt;=1000,-1,0)))))</f>
        <v>624</v>
      </c>
      <c r="L1892" s="16">
        <v>0.45</v>
      </c>
      <c r="M1892" s="17">
        <f t="shared" si="140"/>
        <v>2.2222222222222223</v>
      </c>
      <c r="N1892" s="17">
        <f>IF(OR(L1892="",L1892=0),"",Параметры!$B$3/L1892)</f>
        <v>17.777777777777779</v>
      </c>
      <c r="O1892" s="15">
        <f>IF(L1892="","",IFERROR(INDEX('Почасовка — ставки и план'!$D$5:$D$24,MATCH($D1892,'Почасовка — ставки и план'!$A$5:$A$24,0)),""))</f>
        <v>750</v>
      </c>
      <c r="P1892" s="15">
        <f>IF(L1892="","",IFERROR(INDEX('Почасовка — ставки и план'!$E$5:$E$24,MATCH($D1892,'Почасовка — ставки и план'!$A$5:$A$24,0)),""))</f>
        <v>900</v>
      </c>
      <c r="Q1892" s="15">
        <f t="shared" si="141"/>
        <v>338</v>
      </c>
      <c r="R1892" s="13" t="str">
        <f>IF(D1892="TEX","аренда техники — сделка/счёт",IF(OR(Q1892="",H1892="",H1892=0),"—",IF(Q1892&lt;H1892*(1-Параметры!$B$7),"почасовка",IF(Q1892&gt;H1892*(1+Параметры!$B$7),"сделка","любой способ"))))</f>
        <v>почасовка</v>
      </c>
      <c r="S1892">
        <v>0</v>
      </c>
      <c r="T1892">
        <v>0</v>
      </c>
    </row>
    <row r="1893" spans="1:20" x14ac:dyDescent="0.25">
      <c r="A1893" s="13" t="s">
        <v>3820</v>
      </c>
      <c r="B1893" s="13" t="s">
        <v>3821</v>
      </c>
      <c r="C1893" s="13" t="s">
        <v>72</v>
      </c>
      <c r="D1893" s="13" t="s">
        <v>276</v>
      </c>
      <c r="E1893" s="13" t="str">
        <f>IFERROR(INDEX('Почасовка — ставки и план'!$B$5:$B$24,MATCH(D1893,'Почасовка — ставки и план'!$A$5:$A$24,0)),"Аренда техники / механизмы")</f>
        <v>Монтажник дверей, окон, перегородок</v>
      </c>
      <c r="F1893" s="14">
        <v>2000</v>
      </c>
      <c r="G1893" s="14">
        <v>2300</v>
      </c>
      <c r="H1893" s="15">
        <v>1240</v>
      </c>
      <c r="I1893" s="15">
        <f>IF(OR(H1893="",F1893=""),"",MAX(H1893,MIN(ROUND(H1893*(1+Параметры!$B$5),IF(H1893*(1+Параметры!$B$5)&gt;=1000,-1,0)),ROUND(F1893*Параметры!$B$6,IF(F1893*Параметры!$B$6&gt;=1000,-1,0)))))</f>
        <v>1430</v>
      </c>
      <c r="J1893" s="15">
        <v>1426</v>
      </c>
      <c r="K1893" s="15">
        <f>IF(OR(J1893="",G1893=""),"",MAX(J1893,MIN(ROUND(J1893*(1+Параметры!$B$5),IF(J1893*(1+Параметры!$B$5)&gt;=1000,-1,0)),ROUND(G1893*Параметры!$B$6,IF(G1893*Параметры!$B$6&gt;=1000,-1,0)))))</f>
        <v>1640</v>
      </c>
      <c r="L1893" s="16">
        <v>1.5</v>
      </c>
      <c r="M1893" s="17">
        <f t="shared" si="140"/>
        <v>0.66666666666666663</v>
      </c>
      <c r="N1893" s="17">
        <f>IF(OR(L1893="",L1893=0),"",Параметры!$B$3/L1893)</f>
        <v>5.333333333333333</v>
      </c>
      <c r="O1893" s="15">
        <f>IF(L1893="","",IFERROR(INDEX('Почасовка — ставки и план'!$D$5:$D$24,MATCH($D1893,'Почасовка — ставки и план'!$A$5:$A$24,0)),""))</f>
        <v>800</v>
      </c>
      <c r="P1893" s="15">
        <f>IF(L1893="","",IFERROR(INDEX('Почасовка — ставки и план'!$E$5:$E$24,MATCH($D1893,'Почасовка — ставки и план'!$A$5:$A$24,0)),""))</f>
        <v>950</v>
      </c>
      <c r="Q1893" s="15">
        <f t="shared" si="141"/>
        <v>1200</v>
      </c>
      <c r="R1893" s="13" t="str">
        <f>IF(D1893="TEX","аренда техники — сделка/счёт",IF(OR(Q1893="",H1893="",H1893=0),"—",IF(Q1893&lt;H1893*(1-Параметры!$B$7),"почасовка",IF(Q1893&gt;H1893*(1+Параметры!$B$7),"сделка","любой способ"))))</f>
        <v>любой способ</v>
      </c>
      <c r="S1893">
        <v>0</v>
      </c>
      <c r="T1893">
        <v>0</v>
      </c>
    </row>
    <row r="1894" spans="1:20" x14ac:dyDescent="0.25">
      <c r="A1894" s="13" t="s">
        <v>3822</v>
      </c>
      <c r="B1894" s="13" t="s">
        <v>3823</v>
      </c>
      <c r="C1894" s="13" t="s">
        <v>72</v>
      </c>
      <c r="D1894" s="13" t="s">
        <v>276</v>
      </c>
      <c r="E1894" s="13" t="str">
        <f>IFERROR(INDEX('Почасовка — ставки и план'!$B$5:$B$24,MATCH(D1894,'Почасовка — ставки и план'!$A$5:$A$24,0)),"Аренда техники / механизмы")</f>
        <v>Монтажник дверей, окон, перегородок</v>
      </c>
      <c r="F1894" s="14">
        <v>2500</v>
      </c>
      <c r="G1894" s="14">
        <v>2875</v>
      </c>
      <c r="H1894" s="15">
        <v>1550</v>
      </c>
      <c r="I1894" s="15">
        <f>IF(OR(H1894="",F1894=""),"",MAX(H1894,MIN(ROUND(H1894*(1+Параметры!$B$5),IF(H1894*(1+Параметры!$B$5)&gt;=1000,-1,0)),ROUND(F1894*Параметры!$B$6,IF(F1894*Параметры!$B$6&gt;=1000,-1,0)))))</f>
        <v>1780</v>
      </c>
      <c r="J1894" s="15">
        <v>1782</v>
      </c>
      <c r="K1894" s="15">
        <f>IF(OR(J1894="",G1894=""),"",MAX(J1894,MIN(ROUND(J1894*(1+Параметры!$B$5),IF(J1894*(1+Параметры!$B$5)&gt;=1000,-1,0)),ROUND(G1894*Параметры!$B$6,IF(G1894*Параметры!$B$6&gt;=1000,-1,0)))))</f>
        <v>2050</v>
      </c>
      <c r="L1894" s="16">
        <v>2</v>
      </c>
      <c r="M1894" s="17">
        <f t="shared" si="140"/>
        <v>0.5</v>
      </c>
      <c r="N1894" s="17">
        <f>IF(OR(L1894="",L1894=0),"",Параметры!$B$3/L1894)</f>
        <v>4</v>
      </c>
      <c r="O1894" s="15">
        <f>IF(L1894="","",IFERROR(INDEX('Почасовка — ставки и план'!$D$5:$D$24,MATCH($D1894,'Почасовка — ставки и план'!$A$5:$A$24,0)),""))</f>
        <v>800</v>
      </c>
      <c r="P1894" s="15">
        <f>IF(L1894="","",IFERROR(INDEX('Почасовка — ставки и план'!$E$5:$E$24,MATCH($D1894,'Почасовка — ставки и план'!$A$5:$A$24,0)),""))</f>
        <v>950</v>
      </c>
      <c r="Q1894" s="15">
        <f t="shared" si="141"/>
        <v>1600</v>
      </c>
      <c r="R1894" s="13" t="str">
        <f>IF(D1894="TEX","аренда техники — сделка/счёт",IF(OR(Q1894="",H1894="",H1894=0),"—",IF(Q1894&lt;H1894*(1-Параметры!$B$7),"почасовка",IF(Q1894&gt;H1894*(1+Параметры!$B$7),"сделка","любой способ"))))</f>
        <v>любой способ</v>
      </c>
      <c r="S1894">
        <v>0</v>
      </c>
      <c r="T1894">
        <v>0</v>
      </c>
    </row>
    <row r="1895" spans="1:20" x14ac:dyDescent="0.25">
      <c r="A1895" s="13" t="s">
        <v>3824</v>
      </c>
      <c r="B1895" s="13" t="s">
        <v>3825</v>
      </c>
      <c r="C1895" s="13" t="s">
        <v>72</v>
      </c>
      <c r="D1895" s="13" t="s">
        <v>276</v>
      </c>
      <c r="E1895" s="13" t="str">
        <f>IFERROR(INDEX('Почасовка — ставки и план'!$B$5:$B$24,MATCH(D1895,'Почасовка — ставки и план'!$A$5:$A$24,0)),"Аренда техники / механизмы")</f>
        <v>Монтажник дверей, окон, перегородок</v>
      </c>
      <c r="F1895" s="14">
        <v>1500</v>
      </c>
      <c r="G1895" s="14">
        <v>1725</v>
      </c>
      <c r="H1895" s="15">
        <v>930</v>
      </c>
      <c r="I1895" s="15">
        <f>IF(OR(H1895="",F1895=""),"",MAX(H1895,MIN(ROUND(H1895*(1+Параметры!$B$5),IF(H1895*(1+Параметры!$B$5)&gt;=1000,-1,0)),ROUND(F1895*Параметры!$B$6,IF(F1895*Параметры!$B$6&gt;=1000,-1,0)))))</f>
        <v>1070</v>
      </c>
      <c r="J1895" s="15">
        <v>1069</v>
      </c>
      <c r="K1895" s="15">
        <f>IF(OR(J1895="",G1895=""),"",MAX(J1895,MIN(ROUND(J1895*(1+Параметры!$B$5),IF(J1895*(1+Параметры!$B$5)&gt;=1000,-1,0)),ROUND(G1895*Параметры!$B$6,IF(G1895*Параметры!$B$6&gt;=1000,-1,0)))))</f>
        <v>1230</v>
      </c>
      <c r="L1895" s="16">
        <v>1</v>
      </c>
      <c r="M1895" s="17">
        <f t="shared" si="140"/>
        <v>1</v>
      </c>
      <c r="N1895" s="17">
        <f>IF(OR(L1895="",L1895=0),"",Параметры!$B$3/L1895)</f>
        <v>8</v>
      </c>
      <c r="O1895" s="15">
        <f>IF(L1895="","",IFERROR(INDEX('Почасовка — ставки и план'!$D$5:$D$24,MATCH($D1895,'Почасовка — ставки и план'!$A$5:$A$24,0)),""))</f>
        <v>800</v>
      </c>
      <c r="P1895" s="15">
        <f>IF(L1895="","",IFERROR(INDEX('Почасовка — ставки и план'!$E$5:$E$24,MATCH($D1895,'Почасовка — ставки и план'!$A$5:$A$24,0)),""))</f>
        <v>950</v>
      </c>
      <c r="Q1895" s="15">
        <f t="shared" si="141"/>
        <v>800</v>
      </c>
      <c r="R1895" s="13" t="str">
        <f>IF(D1895="TEX","аренда техники — сделка/счёт",IF(OR(Q1895="",H1895="",H1895=0),"—",IF(Q1895&lt;H1895*(1-Параметры!$B$7),"почасовка",IF(Q1895&gt;H1895*(1+Параметры!$B$7),"сделка","любой способ"))))</f>
        <v>почасовка</v>
      </c>
      <c r="S1895">
        <v>0</v>
      </c>
      <c r="T1895">
        <v>0</v>
      </c>
    </row>
    <row r="1896" spans="1:20" x14ac:dyDescent="0.25">
      <c r="A1896" s="13" t="s">
        <v>3826</v>
      </c>
      <c r="B1896" s="13" t="s">
        <v>3827</v>
      </c>
      <c r="C1896" s="13" t="s">
        <v>144</v>
      </c>
      <c r="D1896" s="13" t="s">
        <v>276</v>
      </c>
      <c r="E1896" s="13" t="str">
        <f>IFERROR(INDEX('Почасовка — ставки и план'!$B$5:$B$24,MATCH(D1896,'Почасовка — ставки и план'!$A$5:$A$24,0)),"Аренда техники / механизмы")</f>
        <v>Монтажник дверей, окон, перегородок</v>
      </c>
      <c r="F1896" s="14">
        <v>800</v>
      </c>
      <c r="G1896" s="14">
        <v>920</v>
      </c>
      <c r="H1896" s="15">
        <v>496</v>
      </c>
      <c r="I1896" s="15">
        <f>IF(OR(H1896="",F1896=""),"",MAX(H1896,MIN(ROUND(H1896*(1+Параметры!$B$5),IF(H1896*(1+Параметры!$B$5)&gt;=1000,-1,0)),ROUND(F1896*Параметры!$B$6,IF(F1896*Параметры!$B$6&gt;=1000,-1,0)))))</f>
        <v>570</v>
      </c>
      <c r="J1896" s="15">
        <v>570</v>
      </c>
      <c r="K1896" s="15">
        <f>IF(OR(J1896="",G1896=""),"",MAX(J1896,MIN(ROUND(J1896*(1+Параметры!$B$5),IF(J1896*(1+Параметры!$B$5)&gt;=1000,-1,0)),ROUND(G1896*Параметры!$B$6,IF(G1896*Параметры!$B$6&gt;=1000,-1,0)))))</f>
        <v>656</v>
      </c>
      <c r="L1896" s="16">
        <v>0.4</v>
      </c>
      <c r="M1896" s="17">
        <f t="shared" si="140"/>
        <v>2.5</v>
      </c>
      <c r="N1896" s="17">
        <f>IF(OR(L1896="",L1896=0),"",Параметры!$B$3/L1896)</f>
        <v>20</v>
      </c>
      <c r="O1896" s="15">
        <f>IF(L1896="","",IFERROR(INDEX('Почасовка — ставки и план'!$D$5:$D$24,MATCH($D1896,'Почасовка — ставки и план'!$A$5:$A$24,0)),""))</f>
        <v>800</v>
      </c>
      <c r="P1896" s="15">
        <f>IF(L1896="","",IFERROR(INDEX('Почасовка — ставки и план'!$E$5:$E$24,MATCH($D1896,'Почасовка — ставки и план'!$A$5:$A$24,0)),""))</f>
        <v>950</v>
      </c>
      <c r="Q1896" s="15">
        <f t="shared" si="141"/>
        <v>320</v>
      </c>
      <c r="R1896" s="13" t="str">
        <f>IF(D1896="TEX","аренда техники — сделка/счёт",IF(OR(Q1896="",H1896="",H1896=0),"—",IF(Q1896&lt;H1896*(1-Параметры!$B$7),"почасовка",IF(Q1896&gt;H1896*(1+Параметры!$B$7),"сделка","любой способ"))))</f>
        <v>почасовка</v>
      </c>
      <c r="S1896">
        <v>0</v>
      </c>
      <c r="T1896">
        <v>0</v>
      </c>
    </row>
    <row r="1897" spans="1:20" x14ac:dyDescent="0.25">
      <c r="A1897" s="13" t="s">
        <v>3828</v>
      </c>
      <c r="B1897" s="13" t="s">
        <v>3829</v>
      </c>
      <c r="C1897" s="13" t="s">
        <v>72</v>
      </c>
      <c r="D1897" s="13" t="s">
        <v>276</v>
      </c>
      <c r="E1897" s="13" t="str">
        <f>IFERROR(INDEX('Почасовка — ставки и план'!$B$5:$B$24,MATCH(D1897,'Почасовка — ставки и план'!$A$5:$A$24,0)),"Аренда техники / механизмы")</f>
        <v>Монтажник дверей, окон, перегородок</v>
      </c>
      <c r="F1897" s="14">
        <v>1494</v>
      </c>
      <c r="G1897" s="14">
        <v>1774</v>
      </c>
      <c r="H1897" s="15">
        <v>868</v>
      </c>
      <c r="I1897" s="15">
        <f>IF(OR(H1897="",F1897=""),"",MAX(H1897,MIN(ROUND(H1897*(1+Параметры!$B$5),IF(H1897*(1+Параметры!$B$5)&gt;=1000,-1,0)),ROUND(F1897*Параметры!$B$6,IF(F1897*Параметры!$B$6&gt;=1000,-1,0)))))</f>
        <v>998</v>
      </c>
      <c r="J1897" s="15">
        <v>998</v>
      </c>
      <c r="K1897" s="15">
        <f>IF(OR(J1897="",G1897=""),"",MAX(J1897,MIN(ROUND(J1897*(1+Параметры!$B$5),IF(J1897*(1+Параметры!$B$5)&gt;=1000,-1,0)),ROUND(G1897*Параметры!$B$6,IF(G1897*Параметры!$B$6&gt;=1000,-1,0)))))</f>
        <v>1150</v>
      </c>
      <c r="L1897" s="16">
        <v>1.4</v>
      </c>
      <c r="M1897" s="17">
        <f t="shared" si="140"/>
        <v>0.7142857142857143</v>
      </c>
      <c r="N1897" s="17">
        <f>IF(OR(L1897="",L1897=0),"",Параметры!$B$3/L1897)</f>
        <v>5.7142857142857144</v>
      </c>
      <c r="O1897" s="15">
        <f>IF(L1897="","",IFERROR(INDEX('Почасовка — ставки и план'!$D$5:$D$24,MATCH($D1897,'Почасовка — ставки и план'!$A$5:$A$24,0)),""))</f>
        <v>800</v>
      </c>
      <c r="P1897" s="15">
        <f>IF(L1897="","",IFERROR(INDEX('Почасовка — ставки и план'!$E$5:$E$24,MATCH($D1897,'Почасовка — ставки и план'!$A$5:$A$24,0)),""))</f>
        <v>950</v>
      </c>
      <c r="Q1897" s="15">
        <f t="shared" si="141"/>
        <v>1120</v>
      </c>
      <c r="R1897" s="13" t="str">
        <f>IF(D1897="TEX","аренда техники — сделка/счёт",IF(OR(Q1897="",H1897="",H1897=0),"—",IF(Q1897&lt;H1897*(1-Параметры!$B$7),"почасовка",IF(Q1897&gt;H1897*(1+Параметры!$B$7),"сделка","любой способ"))))</f>
        <v>сделка</v>
      </c>
      <c r="S1897">
        <v>6.7142857142857171E-2</v>
      </c>
      <c r="T1897">
        <v>0.1018633540372671</v>
      </c>
    </row>
    <row r="1898" spans="1:20" x14ac:dyDescent="0.25">
      <c r="A1898" s="13" t="s">
        <v>3830</v>
      </c>
      <c r="B1898" s="13" t="s">
        <v>3831</v>
      </c>
      <c r="C1898" s="13" t="s">
        <v>72</v>
      </c>
      <c r="D1898" s="13" t="s">
        <v>276</v>
      </c>
      <c r="E1898" s="13" t="str">
        <f>IFERROR(INDEX('Почасовка — ставки и план'!$B$5:$B$24,MATCH(D1898,'Почасовка — ставки и план'!$A$5:$A$24,0)),"Аренда техники / механизмы")</f>
        <v>Монтажник дверей, окон, перегородок</v>
      </c>
      <c r="F1898" s="14">
        <v>1920</v>
      </c>
      <c r="G1898" s="14">
        <v>2280</v>
      </c>
      <c r="H1898" s="15">
        <v>1178</v>
      </c>
      <c r="I1898" s="15">
        <f>IF(OR(H1898="",F1898=""),"",MAX(H1898,MIN(ROUND(H1898*(1+Параметры!$B$5),IF(H1898*(1+Параметры!$B$5)&gt;=1000,-1,0)),ROUND(F1898*Параметры!$B$6,IF(F1898*Параметры!$B$6&gt;=1000,-1,0)))))</f>
        <v>1350</v>
      </c>
      <c r="J1898" s="15">
        <v>1355</v>
      </c>
      <c r="K1898" s="15">
        <f>IF(OR(J1898="",G1898=""),"",MAX(J1898,MIN(ROUND(J1898*(1+Параметры!$B$5),IF(J1898*(1+Параметры!$B$5)&gt;=1000,-1,0)),ROUND(G1898*Параметры!$B$6,IF(G1898*Параметры!$B$6&gt;=1000,-1,0)))))</f>
        <v>1560</v>
      </c>
      <c r="L1898" s="16">
        <v>1.8</v>
      </c>
      <c r="M1898" s="17">
        <f t="shared" si="140"/>
        <v>0.55555555555555558</v>
      </c>
      <c r="N1898" s="17">
        <f>IF(OR(L1898="",L1898=0),"",Параметры!$B$3/L1898)</f>
        <v>4.4444444444444446</v>
      </c>
      <c r="O1898" s="15">
        <f>IF(L1898="","",IFERROR(INDEX('Почасовка — ставки и план'!$D$5:$D$24,MATCH($D1898,'Почасовка — ставки и план'!$A$5:$A$24,0)),""))</f>
        <v>800</v>
      </c>
      <c r="P1898" s="15">
        <f>IF(L1898="","",IFERROR(INDEX('Почасовка — ставки и план'!$E$5:$E$24,MATCH($D1898,'Почасовка — ставки и план'!$A$5:$A$24,0)),""))</f>
        <v>950</v>
      </c>
      <c r="Q1898" s="15">
        <f t="shared" si="141"/>
        <v>1440</v>
      </c>
      <c r="R1898" s="13" t="str">
        <f>IF(D1898="TEX","аренда техники — сделка/счёт",IF(OR(Q1898="",H1898="",H1898=0),"—",IF(Q1898&lt;H1898*(1-Параметры!$B$7),"почасовка",IF(Q1898&gt;H1898*(1+Параметры!$B$7),"сделка","любой способ"))))</f>
        <v>сделка</v>
      </c>
      <c r="S1898">
        <v>1.052631578947372E-2</v>
      </c>
      <c r="T1898">
        <v>4.3478260869565188E-2</v>
      </c>
    </row>
    <row r="1899" spans="1:20" x14ac:dyDescent="0.25">
      <c r="A1899" s="13" t="s">
        <v>3832</v>
      </c>
      <c r="B1899" s="13" t="s">
        <v>3833</v>
      </c>
      <c r="C1899" s="13" t="s">
        <v>72</v>
      </c>
      <c r="D1899" s="13" t="s">
        <v>276</v>
      </c>
      <c r="E1899" s="13" t="str">
        <f>IFERROR(INDEX('Почасовка — ставки и план'!$B$5:$B$24,MATCH(D1899,'Почасовка — ставки и план'!$A$5:$A$24,0)),"Аренда техники / механизмы")</f>
        <v>Монтажник дверей, окон, перегородок</v>
      </c>
      <c r="F1899" s="14">
        <v>1707</v>
      </c>
      <c r="G1899" s="14">
        <v>2027</v>
      </c>
      <c r="H1899" s="15">
        <v>1054</v>
      </c>
      <c r="I1899" s="15">
        <f>IF(OR(H1899="",F1899=""),"",MAX(H1899,MIN(ROUND(H1899*(1+Параметры!$B$5),IF(H1899*(1+Параметры!$B$5)&gt;=1000,-1,0)),ROUND(F1899*Параметры!$B$6,IF(F1899*Параметры!$B$6&gt;=1000,-1,0)))))</f>
        <v>1210</v>
      </c>
      <c r="J1899" s="15">
        <v>1212</v>
      </c>
      <c r="K1899" s="15">
        <f>IF(OR(J1899="",G1899=""),"",MAX(J1899,MIN(ROUND(J1899*(1+Параметры!$B$5),IF(J1899*(1+Параметры!$B$5)&gt;=1000,-1,0)),ROUND(G1899*Параметры!$B$6,IF(G1899*Параметры!$B$6&gt;=1000,-1,0)))))</f>
        <v>1390</v>
      </c>
      <c r="L1899" s="16">
        <v>1.6</v>
      </c>
      <c r="M1899" s="17">
        <f t="shared" si="140"/>
        <v>0.625</v>
      </c>
      <c r="N1899" s="17">
        <f>IF(OR(L1899="",L1899=0),"",Параметры!$B$3/L1899)</f>
        <v>5</v>
      </c>
      <c r="O1899" s="15">
        <f>IF(L1899="","",IFERROR(INDEX('Почасовка — ставки и план'!$D$5:$D$24,MATCH($D1899,'Почасовка — ставки и план'!$A$5:$A$24,0)),""))</f>
        <v>800</v>
      </c>
      <c r="P1899" s="15">
        <f>IF(L1899="","",IFERROR(INDEX('Почасовка — ставки и план'!$E$5:$E$24,MATCH($D1899,'Почасовка — ставки и план'!$A$5:$A$24,0)),""))</f>
        <v>950</v>
      </c>
      <c r="Q1899" s="15">
        <f t="shared" si="141"/>
        <v>1280</v>
      </c>
      <c r="R1899" s="13" t="str">
        <f>IF(D1899="TEX","аренда техники — сделка/счёт",IF(OR(Q1899="",H1899="",H1899=0),"—",IF(Q1899&lt;H1899*(1-Параметры!$B$7),"почасовка",IF(Q1899&gt;H1899*(1+Параметры!$B$7),"сделка","любой способ"))))</f>
        <v>сделка</v>
      </c>
      <c r="S1899">
        <v>4.1176470588235592E-3</v>
      </c>
      <c r="T1899">
        <v>3.6828644501278873E-2</v>
      </c>
    </row>
    <row r="1900" spans="1:20" x14ac:dyDescent="0.25">
      <c r="A1900" s="13" t="s">
        <v>3834</v>
      </c>
      <c r="B1900" s="13" t="s">
        <v>3835</v>
      </c>
      <c r="C1900" s="13" t="s">
        <v>72</v>
      </c>
      <c r="D1900" s="13" t="s">
        <v>276</v>
      </c>
      <c r="E1900" s="13" t="str">
        <f>IFERROR(INDEX('Почасовка — ставки и план'!$B$5:$B$24,MATCH(D1900,'Почасовка — ставки и план'!$A$5:$A$24,0)),"Аренда техники / механизмы")</f>
        <v>Монтажник дверей, окон, перегородок</v>
      </c>
      <c r="F1900" s="14">
        <v>1814</v>
      </c>
      <c r="G1900" s="14">
        <v>2154</v>
      </c>
      <c r="H1900" s="15">
        <v>1116</v>
      </c>
      <c r="I1900" s="15">
        <f>IF(OR(H1900="",F1900=""),"",MAX(H1900,MIN(ROUND(H1900*(1+Параметры!$B$5),IF(H1900*(1+Параметры!$B$5)&gt;=1000,-1,0)),ROUND(F1900*Параметры!$B$6,IF(F1900*Параметры!$B$6&gt;=1000,-1,0)))))</f>
        <v>1280</v>
      </c>
      <c r="J1900" s="15">
        <v>1283</v>
      </c>
      <c r="K1900" s="15">
        <f>IF(OR(J1900="",G1900=""),"",MAX(J1900,MIN(ROUND(J1900*(1+Параметры!$B$5),IF(J1900*(1+Параметры!$B$5)&gt;=1000,-1,0)),ROUND(G1900*Параметры!$B$6,IF(G1900*Параметры!$B$6&gt;=1000,-1,0)))))</f>
        <v>1480</v>
      </c>
      <c r="L1900" s="16">
        <v>1.7</v>
      </c>
      <c r="M1900" s="17">
        <f t="shared" si="140"/>
        <v>0.58823529411764708</v>
      </c>
      <c r="N1900" s="17">
        <f>IF(OR(L1900="",L1900=0),"",Параметры!$B$3/L1900)</f>
        <v>4.7058823529411766</v>
      </c>
      <c r="O1900" s="15">
        <f>IF(L1900="","",IFERROR(INDEX('Почасовка — ставки и план'!$D$5:$D$24,MATCH($D1900,'Почасовка — ставки и план'!$A$5:$A$24,0)),""))</f>
        <v>800</v>
      </c>
      <c r="P1900" s="15">
        <f>IF(L1900="","",IFERROR(INDEX('Почасовка — ставки и план'!$E$5:$E$24,MATCH($D1900,'Почасовка — ставки и план'!$A$5:$A$24,0)),""))</f>
        <v>950</v>
      </c>
      <c r="Q1900" s="15">
        <f t="shared" si="141"/>
        <v>1360</v>
      </c>
      <c r="R1900" s="13" t="str">
        <f>IF(D1900="TEX","аренда техники — сделка/счёт",IF(OR(Q1900="",H1900="",H1900=0),"—",IF(Q1900&lt;H1900*(1-Параметры!$B$7),"почасовка",IF(Q1900&gt;H1900*(1+Параметры!$B$7),"сделка","любой способ"))))</f>
        <v>сделка</v>
      </c>
      <c r="S1900">
        <v>7.7777777777778834E-3</v>
      </c>
      <c r="T1900">
        <v>4.057971014492745E-2</v>
      </c>
    </row>
    <row r="1901" spans="1:20" x14ac:dyDescent="0.25">
      <c r="A1901" s="13" t="s">
        <v>3836</v>
      </c>
      <c r="B1901" s="13" t="s">
        <v>3837</v>
      </c>
      <c r="C1901" s="13" t="s">
        <v>72</v>
      </c>
      <c r="D1901" s="13" t="s">
        <v>276</v>
      </c>
      <c r="E1901" s="13" t="str">
        <f>IFERROR(INDEX('Почасовка — ставки и план'!$B$5:$B$24,MATCH(D1901,'Почасовка — ставки и план'!$A$5:$A$24,0)),"Аренда техники / механизмы")</f>
        <v>Монтажник дверей, окон, перегородок</v>
      </c>
      <c r="F1901" s="14">
        <v>1650</v>
      </c>
      <c r="G1901" s="14">
        <v>1900</v>
      </c>
      <c r="H1901" s="15">
        <v>1023</v>
      </c>
      <c r="I1901" s="15">
        <f>IF(OR(H1901="",F1901=""),"",MAX(H1901,MIN(ROUND(H1901*(1+Параметры!$B$5),IF(H1901*(1+Параметры!$B$5)&gt;=1000,-1,0)),ROUND(F1901*Параметры!$B$6,IF(F1901*Параметры!$B$6&gt;=1000,-1,0)))))</f>
        <v>1180</v>
      </c>
      <c r="J1901" s="15">
        <v>1176</v>
      </c>
      <c r="K1901" s="15">
        <f>IF(OR(J1901="",G1901=""),"",MAX(J1901,MIN(ROUND(J1901*(1+Параметры!$B$5),IF(J1901*(1+Параметры!$B$5)&gt;=1000,-1,0)),ROUND(G1901*Параметры!$B$6,IF(G1901*Параметры!$B$6&gt;=1000,-1,0)))))</f>
        <v>1350</v>
      </c>
      <c r="L1901" s="16">
        <v>1.5</v>
      </c>
      <c r="M1901" s="17">
        <f t="shared" si="140"/>
        <v>0.66666666666666663</v>
      </c>
      <c r="N1901" s="17">
        <f>IF(OR(L1901="",L1901=0),"",Параметры!$B$3/L1901)</f>
        <v>5.333333333333333</v>
      </c>
      <c r="O1901" s="15">
        <f>IF(L1901="","",IFERROR(INDEX('Почасовка — ставки и план'!$D$5:$D$24,MATCH($D1901,'Почасовка — ставки и план'!$A$5:$A$24,0)),""))</f>
        <v>800</v>
      </c>
      <c r="P1901" s="15">
        <f>IF(L1901="","",IFERROR(INDEX('Почасовка — ставки и план'!$E$5:$E$24,MATCH($D1901,'Почасовка — ставки и план'!$A$5:$A$24,0)),""))</f>
        <v>950</v>
      </c>
      <c r="Q1901" s="15">
        <f t="shared" si="141"/>
        <v>1200</v>
      </c>
      <c r="R1901" s="13" t="str">
        <f>IF(D1901="TEX","аренда техники — сделка/счёт",IF(OR(Q1901="",H1901="",H1901=0),"—",IF(Q1901&lt;H1901*(1-Параметры!$B$7),"почасовка",IF(Q1901&gt;H1901*(1+Параметры!$B$7),"сделка","любой способ"))))</f>
        <v>сделка</v>
      </c>
      <c r="S1901">
        <v>0</v>
      </c>
      <c r="T1901">
        <v>1.581444385872377E-3</v>
      </c>
    </row>
    <row r="1902" spans="1:20" x14ac:dyDescent="0.25">
      <c r="A1902" s="13" t="s">
        <v>3838</v>
      </c>
      <c r="B1902" s="13" t="s">
        <v>3839</v>
      </c>
      <c r="C1902" s="13" t="s">
        <v>72</v>
      </c>
      <c r="D1902" s="13" t="s">
        <v>276</v>
      </c>
      <c r="E1902" s="13" t="str">
        <f>IFERROR(INDEX('Почасовка — ставки и план'!$B$5:$B$24,MATCH(D1902,'Почасовка — ставки и план'!$A$5:$A$24,0)),"Аренда техники / механизмы")</f>
        <v>Монтажник дверей, окон, перегородок</v>
      </c>
      <c r="F1902" s="14">
        <v>2134</v>
      </c>
      <c r="G1902" s="14">
        <v>2534</v>
      </c>
      <c r="H1902" s="15">
        <v>1302</v>
      </c>
      <c r="I1902" s="15">
        <f>IF(OR(H1902="",F1902=""),"",MAX(H1902,MIN(ROUND(H1902*(1+Параметры!$B$5),IF(H1902*(1+Параметры!$B$5)&gt;=1000,-1,0)),ROUND(F1902*Параметры!$B$6,IF(F1902*Параметры!$B$6&gt;=1000,-1,0)))))</f>
        <v>1500</v>
      </c>
      <c r="J1902" s="15">
        <v>1497</v>
      </c>
      <c r="K1902" s="15">
        <f>IF(OR(J1902="",G1902=""),"",MAX(J1902,MIN(ROUND(J1902*(1+Параметры!$B$5),IF(J1902*(1+Параметры!$B$5)&gt;=1000,-1,0)),ROUND(G1902*Параметры!$B$6,IF(G1902*Параметры!$B$6&gt;=1000,-1,0)))))</f>
        <v>1720</v>
      </c>
      <c r="L1902" s="16">
        <v>2</v>
      </c>
      <c r="M1902" s="17">
        <f t="shared" si="140"/>
        <v>0.5</v>
      </c>
      <c r="N1902" s="17">
        <f>IF(OR(L1902="",L1902=0),"",Параметры!$B$3/L1902)</f>
        <v>4</v>
      </c>
      <c r="O1902" s="15">
        <f>IF(L1902="","",IFERROR(INDEX('Почасовка — ставки и план'!$D$5:$D$24,MATCH($D1902,'Почасовка — ставки и план'!$A$5:$A$24,0)),""))</f>
        <v>800</v>
      </c>
      <c r="P1902" s="15">
        <f>IF(L1902="","",IFERROR(INDEX('Почасовка — ставки и план'!$E$5:$E$24,MATCH($D1902,'Почасовка — ставки и план'!$A$5:$A$24,0)),""))</f>
        <v>950</v>
      </c>
      <c r="Q1902" s="15">
        <f t="shared" si="141"/>
        <v>1600</v>
      </c>
      <c r="R1902" s="13" t="str">
        <f>IF(D1902="TEX","аренда техники — сделка/счёт",IF(OR(Q1902="",H1902="",H1902=0),"—",IF(Q1902&lt;H1902*(1-Параметры!$B$7),"почасовка",IF(Q1902&gt;H1902*(1+Параметры!$B$7),"сделка","любой способ"))))</f>
        <v>сделка</v>
      </c>
      <c r="S1902">
        <v>1.6190476190476089E-2</v>
      </c>
      <c r="T1902">
        <v>4.9275362318840672E-2</v>
      </c>
    </row>
    <row r="1903" spans="1:20" x14ac:dyDescent="0.25">
      <c r="A1903" s="13" t="s">
        <v>3840</v>
      </c>
      <c r="B1903" s="13" t="s">
        <v>3841</v>
      </c>
      <c r="C1903" s="13" t="s">
        <v>72</v>
      </c>
      <c r="D1903" s="13" t="s">
        <v>276</v>
      </c>
      <c r="E1903" s="13" t="str">
        <f>IFERROR(INDEX('Почасовка — ставки и план'!$B$5:$B$24,MATCH(D1903,'Почасовка — ставки и план'!$A$5:$A$24,0)),"Аренда техники / механизмы")</f>
        <v>Монтажник дверей, окон, перегородок</v>
      </c>
      <c r="F1903" s="14">
        <v>2347</v>
      </c>
      <c r="G1903" s="14">
        <v>2787</v>
      </c>
      <c r="H1903" s="15">
        <v>1426</v>
      </c>
      <c r="I1903" s="15">
        <f>IF(OR(H1903="",F1903=""),"",MAX(H1903,MIN(ROUND(H1903*(1+Параметры!$B$5),IF(H1903*(1+Параметры!$B$5)&gt;=1000,-1,0)),ROUND(F1903*Параметры!$B$6,IF(F1903*Параметры!$B$6&gt;=1000,-1,0)))))</f>
        <v>1640</v>
      </c>
      <c r="J1903" s="15">
        <v>1640</v>
      </c>
      <c r="K1903" s="15">
        <f>IF(OR(J1903="",G1903=""),"",MAX(J1903,MIN(ROUND(J1903*(1+Параметры!$B$5),IF(J1903*(1+Параметры!$B$5)&gt;=1000,-1,0)),ROUND(G1903*Параметры!$B$6,IF(G1903*Параметры!$B$6&gt;=1000,-1,0)))))</f>
        <v>1890</v>
      </c>
      <c r="L1903" s="16">
        <v>2.2000000000000002</v>
      </c>
      <c r="M1903" s="17">
        <f t="shared" si="140"/>
        <v>0.45454545454545453</v>
      </c>
      <c r="N1903" s="17">
        <f>IF(OR(L1903="",L1903=0),"",Параметры!$B$3/L1903)</f>
        <v>3.6363636363636362</v>
      </c>
      <c r="O1903" s="15">
        <f>IF(L1903="","",IFERROR(INDEX('Почасовка — ставки и план'!$D$5:$D$24,MATCH($D1903,'Почасовка — ставки и план'!$A$5:$A$24,0)),""))</f>
        <v>800</v>
      </c>
      <c r="P1903" s="15">
        <f>IF(L1903="","",IFERROR(INDEX('Почасовка — ставки и план'!$E$5:$E$24,MATCH($D1903,'Почасовка — ставки и план'!$A$5:$A$24,0)),""))</f>
        <v>950</v>
      </c>
      <c r="Q1903" s="15">
        <f t="shared" si="141"/>
        <v>1760</v>
      </c>
      <c r="R1903" s="13" t="str">
        <f>IF(D1903="TEX","аренда техники — сделка/счёт",IF(OR(Q1903="",H1903="",H1903=0),"—",IF(Q1903&lt;H1903*(1-Параметры!$B$7),"почасовка",IF(Q1903&gt;H1903*(1+Параметры!$B$7),"сделка","любой способ"))))</f>
        <v>сделка</v>
      </c>
      <c r="S1903">
        <v>2.043478260869569E-2</v>
      </c>
      <c r="T1903">
        <v>5.3686200378071813E-2</v>
      </c>
    </row>
    <row r="1904" spans="1:20" x14ac:dyDescent="0.25">
      <c r="A1904" s="13" t="s">
        <v>3842</v>
      </c>
      <c r="B1904" s="13" t="s">
        <v>3843</v>
      </c>
      <c r="C1904" s="13" t="s">
        <v>69</v>
      </c>
      <c r="D1904" s="13" t="s">
        <v>276</v>
      </c>
      <c r="E1904" s="13" t="str">
        <f>IFERROR(INDEX('Почасовка — ставки и план'!$B$5:$B$24,MATCH(D1904,'Почасовка — ставки и план'!$A$5:$A$24,0)),"Аренда техники / механизмы")</f>
        <v>Монтажник дверей, окон, перегородок</v>
      </c>
      <c r="F1904" s="14">
        <v>700</v>
      </c>
      <c r="G1904" s="14">
        <v>805</v>
      </c>
      <c r="H1904" s="15">
        <v>434</v>
      </c>
      <c r="I1904" s="15">
        <f>IF(OR(H1904="",F1904=""),"",MAX(H1904,MIN(ROUND(H1904*(1+Параметры!$B$5),IF(H1904*(1+Параметры!$B$5)&gt;=1000,-1,0)),ROUND(F1904*Параметры!$B$6,IF(F1904*Параметры!$B$6&gt;=1000,-1,0)))))</f>
        <v>499</v>
      </c>
      <c r="J1904" s="15">
        <v>499</v>
      </c>
      <c r="K1904" s="15">
        <f>IF(OR(J1904="",G1904=""),"",MAX(J1904,MIN(ROUND(J1904*(1+Параметры!$B$5),IF(J1904*(1+Параметры!$B$5)&gt;=1000,-1,0)),ROUND(G1904*Параметры!$B$6,IF(G1904*Параметры!$B$6&gt;=1000,-1,0)))))</f>
        <v>574</v>
      </c>
      <c r="L1904" s="16">
        <v>0.5</v>
      </c>
      <c r="M1904" s="17">
        <f t="shared" si="140"/>
        <v>2</v>
      </c>
      <c r="N1904" s="17">
        <f>IF(OR(L1904="",L1904=0),"",Параметры!$B$3/L1904)</f>
        <v>16</v>
      </c>
      <c r="O1904" s="15">
        <f>IF(L1904="","",IFERROR(INDEX('Почасовка — ставки и план'!$D$5:$D$24,MATCH($D1904,'Почасовка — ставки и план'!$A$5:$A$24,0)),""))</f>
        <v>800</v>
      </c>
      <c r="P1904" s="15">
        <f>IF(L1904="","",IFERROR(INDEX('Почасовка — ставки и план'!$E$5:$E$24,MATCH($D1904,'Почасовка — ставки и план'!$A$5:$A$24,0)),""))</f>
        <v>950</v>
      </c>
      <c r="Q1904" s="15">
        <f t="shared" si="141"/>
        <v>400</v>
      </c>
      <c r="R1904" s="13" t="str">
        <f>IF(D1904="TEX","аренда техники — сделка/счёт",IF(OR(Q1904="",H1904="",H1904=0),"—",IF(Q1904&lt;H1904*(1-Параметры!$B$7),"почасовка",IF(Q1904&gt;H1904*(1+Параметры!$B$7),"сделка","любой способ"))))</f>
        <v>любой способ</v>
      </c>
      <c r="S1904">
        <v>0</v>
      </c>
      <c r="T1904">
        <v>0</v>
      </c>
    </row>
    <row r="1905" spans="1:20" x14ac:dyDescent="0.25">
      <c r="A1905" s="13" t="s">
        <v>3844</v>
      </c>
      <c r="B1905" s="13" t="s">
        <v>3845</v>
      </c>
      <c r="C1905" s="13" t="s">
        <v>69</v>
      </c>
      <c r="D1905" s="13" t="s">
        <v>276</v>
      </c>
      <c r="E1905" s="13" t="str">
        <f>IFERROR(INDEX('Почасовка — ставки и план'!$B$5:$B$24,MATCH(D1905,'Почасовка — ставки и план'!$A$5:$A$24,0)),"Аренда техники / механизмы")</f>
        <v>Монтажник дверей, окон, перегородок</v>
      </c>
      <c r="F1905" s="14">
        <v>800</v>
      </c>
      <c r="G1905" s="14">
        <v>920</v>
      </c>
      <c r="H1905" s="15">
        <v>496</v>
      </c>
      <c r="I1905" s="15">
        <f>IF(OR(H1905="",F1905=""),"",MAX(H1905,MIN(ROUND(H1905*(1+Параметры!$B$5),IF(H1905*(1+Параметры!$B$5)&gt;=1000,-1,0)),ROUND(F1905*Параметры!$B$6,IF(F1905*Параметры!$B$6&gt;=1000,-1,0)))))</f>
        <v>570</v>
      </c>
      <c r="J1905" s="15">
        <v>570</v>
      </c>
      <c r="K1905" s="15">
        <f>IF(OR(J1905="",G1905=""),"",MAX(J1905,MIN(ROUND(J1905*(1+Параметры!$B$5),IF(J1905*(1+Параметры!$B$5)&gt;=1000,-1,0)),ROUND(G1905*Параметры!$B$6,IF(G1905*Параметры!$B$6&gt;=1000,-1,0)))))</f>
        <v>656</v>
      </c>
      <c r="L1905" s="16">
        <v>0.6</v>
      </c>
      <c r="M1905" s="17">
        <f t="shared" si="140"/>
        <v>1.6666666666666667</v>
      </c>
      <c r="N1905" s="17">
        <f>IF(OR(L1905="",L1905=0),"",Параметры!$B$3/L1905)</f>
        <v>13.333333333333334</v>
      </c>
      <c r="O1905" s="15">
        <f>IF(L1905="","",IFERROR(INDEX('Почасовка — ставки и план'!$D$5:$D$24,MATCH($D1905,'Почасовка — ставки и план'!$A$5:$A$24,0)),""))</f>
        <v>800</v>
      </c>
      <c r="P1905" s="15">
        <f>IF(L1905="","",IFERROR(INDEX('Почасовка — ставки и план'!$E$5:$E$24,MATCH($D1905,'Почасовка — ставки и план'!$A$5:$A$24,0)),""))</f>
        <v>950</v>
      </c>
      <c r="Q1905" s="15">
        <f t="shared" si="141"/>
        <v>480</v>
      </c>
      <c r="R1905" s="13" t="str">
        <f>IF(D1905="TEX","аренда техники — сделка/счёт",IF(OR(Q1905="",H1905="",H1905=0),"—",IF(Q1905&lt;H1905*(1-Параметры!$B$7),"почасовка",IF(Q1905&gt;H1905*(1+Параметры!$B$7),"сделка","любой способ"))))</f>
        <v>любой способ</v>
      </c>
      <c r="S1905">
        <v>0</v>
      </c>
      <c r="T1905">
        <v>0</v>
      </c>
    </row>
    <row r="1906" spans="1:20" x14ac:dyDescent="0.25">
      <c r="A1906" s="13" t="s">
        <v>3846</v>
      </c>
      <c r="B1906" s="13" t="s">
        <v>3847</v>
      </c>
      <c r="C1906" s="13" t="s">
        <v>69</v>
      </c>
      <c r="D1906" s="13" t="s">
        <v>276</v>
      </c>
      <c r="E1906" s="13" t="str">
        <f>IFERROR(INDEX('Почасовка — ставки и план'!$B$5:$B$24,MATCH(D1906,'Почасовка — ставки и план'!$A$5:$A$24,0)),"Аренда техники / механизмы")</f>
        <v>Монтажник дверей, окон, перегородок</v>
      </c>
      <c r="F1906" s="14">
        <v>700</v>
      </c>
      <c r="G1906" s="14">
        <v>805</v>
      </c>
      <c r="H1906" s="15">
        <v>434</v>
      </c>
      <c r="I1906" s="15">
        <f>IF(OR(H1906="",F1906=""),"",MAX(H1906,MIN(ROUND(H1906*(1+Параметры!$B$5),IF(H1906*(1+Параметры!$B$5)&gt;=1000,-1,0)),ROUND(F1906*Параметры!$B$6,IF(F1906*Параметры!$B$6&gt;=1000,-1,0)))))</f>
        <v>499</v>
      </c>
      <c r="J1906" s="15">
        <v>499</v>
      </c>
      <c r="K1906" s="15">
        <f>IF(OR(J1906="",G1906=""),"",MAX(J1906,MIN(ROUND(J1906*(1+Параметры!$B$5),IF(J1906*(1+Параметры!$B$5)&gt;=1000,-1,0)),ROUND(G1906*Параметры!$B$6,IF(G1906*Параметры!$B$6&gt;=1000,-1,0)))))</f>
        <v>574</v>
      </c>
      <c r="L1906" s="16">
        <v>0.5</v>
      </c>
      <c r="M1906" s="17">
        <f t="shared" si="140"/>
        <v>2</v>
      </c>
      <c r="N1906" s="17">
        <f>IF(OR(L1906="",L1906=0),"",Параметры!$B$3/L1906)</f>
        <v>16</v>
      </c>
      <c r="O1906" s="15">
        <f>IF(L1906="","",IFERROR(INDEX('Почасовка — ставки и план'!$D$5:$D$24,MATCH($D1906,'Почасовка — ставки и план'!$A$5:$A$24,0)),""))</f>
        <v>800</v>
      </c>
      <c r="P1906" s="15">
        <f>IF(L1906="","",IFERROR(INDEX('Почасовка — ставки и план'!$E$5:$E$24,MATCH($D1906,'Почасовка — ставки и план'!$A$5:$A$24,0)),""))</f>
        <v>950</v>
      </c>
      <c r="Q1906" s="15">
        <f t="shared" si="141"/>
        <v>400</v>
      </c>
      <c r="R1906" s="13" t="str">
        <f>IF(D1906="TEX","аренда техники — сделка/счёт",IF(OR(Q1906="",H1906="",H1906=0),"—",IF(Q1906&lt;H1906*(1-Параметры!$B$7),"почасовка",IF(Q1906&gt;H1906*(1+Параметры!$B$7),"сделка","любой способ"))))</f>
        <v>любой способ</v>
      </c>
      <c r="S1906">
        <v>0</v>
      </c>
      <c r="T1906">
        <v>0</v>
      </c>
    </row>
    <row r="1907" spans="1:20" x14ac:dyDescent="0.25">
      <c r="A1907" s="13" t="s">
        <v>3848</v>
      </c>
      <c r="B1907" s="13" t="s">
        <v>3849</v>
      </c>
      <c r="C1907" s="13" t="s">
        <v>144</v>
      </c>
      <c r="D1907" s="13" t="s">
        <v>276</v>
      </c>
      <c r="E1907" s="13" t="str">
        <f>IFERROR(INDEX('Почасовка — ставки и план'!$B$5:$B$24,MATCH(D1907,'Почасовка — ставки и план'!$A$5:$A$24,0)),"Аренда техники / механизмы")</f>
        <v>Монтажник дверей, окон, перегородок</v>
      </c>
      <c r="F1907" s="14">
        <v>400</v>
      </c>
      <c r="G1907" s="14">
        <v>460</v>
      </c>
      <c r="H1907" s="15">
        <v>248</v>
      </c>
      <c r="I1907" s="15">
        <f>IF(OR(H1907="",F1907=""),"",MAX(H1907,MIN(ROUND(H1907*(1+Параметры!$B$5),IF(H1907*(1+Параметры!$B$5)&gt;=1000,-1,0)),ROUND(F1907*Параметры!$B$6,IF(F1907*Параметры!$B$6&gt;=1000,-1,0)))))</f>
        <v>285</v>
      </c>
      <c r="J1907" s="15">
        <v>285</v>
      </c>
      <c r="K1907" s="15">
        <f>IF(OR(J1907="",G1907=""),"",MAX(J1907,MIN(ROUND(J1907*(1+Параметры!$B$5),IF(J1907*(1+Параметры!$B$5)&gt;=1000,-1,0)),ROUND(G1907*Параметры!$B$6,IF(G1907*Параметры!$B$6&gt;=1000,-1,0)))))</f>
        <v>328</v>
      </c>
      <c r="L1907" s="16">
        <v>0.25</v>
      </c>
      <c r="M1907" s="17">
        <f t="shared" si="140"/>
        <v>4</v>
      </c>
      <c r="N1907" s="17">
        <f>IF(OR(L1907="",L1907=0),"",Параметры!$B$3/L1907)</f>
        <v>32</v>
      </c>
      <c r="O1907" s="15">
        <f>IF(L1907="","",IFERROR(INDEX('Почасовка — ставки и план'!$D$5:$D$24,MATCH($D1907,'Почасовка — ставки и план'!$A$5:$A$24,0)),""))</f>
        <v>800</v>
      </c>
      <c r="P1907" s="15">
        <f>IF(L1907="","",IFERROR(INDEX('Почасовка — ставки и план'!$E$5:$E$24,MATCH($D1907,'Почасовка — ставки и план'!$A$5:$A$24,0)),""))</f>
        <v>950</v>
      </c>
      <c r="Q1907" s="15">
        <f t="shared" si="141"/>
        <v>200</v>
      </c>
      <c r="R1907" s="13" t="str">
        <f>IF(D1907="TEX","аренда техники — сделка/счёт",IF(OR(Q1907="",H1907="",H1907=0),"—",IF(Q1907&lt;H1907*(1-Параметры!$B$7),"почасовка",IF(Q1907&gt;H1907*(1+Параметры!$B$7),"сделка","любой способ"))))</f>
        <v>почасовка</v>
      </c>
      <c r="S1907">
        <v>0</v>
      </c>
      <c r="T1907">
        <v>0</v>
      </c>
    </row>
    <row r="1908" spans="1:20" x14ac:dyDescent="0.25">
      <c r="A1908" s="13" t="s">
        <v>3850</v>
      </c>
      <c r="B1908" s="13" t="s">
        <v>3851</v>
      </c>
      <c r="C1908" s="13" t="s">
        <v>69</v>
      </c>
      <c r="D1908" s="13" t="s">
        <v>276</v>
      </c>
      <c r="E1908" s="13" t="str">
        <f>IFERROR(INDEX('Почасовка — ставки и план'!$B$5:$B$24,MATCH(D1908,'Почасовка — ставки и план'!$A$5:$A$24,0)),"Аренда техники / механизмы")</f>
        <v>Монтажник дверей, окон, перегородок</v>
      </c>
      <c r="F1908" s="14">
        <v>150</v>
      </c>
      <c r="G1908" s="14">
        <v>172</v>
      </c>
      <c r="H1908" s="15">
        <v>93</v>
      </c>
      <c r="I1908" s="15">
        <f>IF(OR(H1908="",F1908=""),"",MAX(H1908,MIN(ROUND(H1908*(1+Параметры!$B$5),IF(H1908*(1+Параметры!$B$5)&gt;=1000,-1,0)),ROUND(F1908*Параметры!$B$6,IF(F1908*Параметры!$B$6&gt;=1000,-1,0)))))</f>
        <v>107</v>
      </c>
      <c r="J1908" s="15">
        <v>107</v>
      </c>
      <c r="K1908" s="15">
        <f>IF(OR(J1908="",G1908=""),"",MAX(J1908,MIN(ROUND(J1908*(1+Параметры!$B$5),IF(J1908*(1+Параметры!$B$5)&gt;=1000,-1,0)),ROUND(G1908*Параметры!$B$6,IF(G1908*Параметры!$B$6&gt;=1000,-1,0)))))</f>
        <v>123</v>
      </c>
      <c r="L1908" s="16">
        <v>0.12</v>
      </c>
      <c r="M1908" s="17">
        <f t="shared" si="140"/>
        <v>8.3333333333333339</v>
      </c>
      <c r="N1908" s="17">
        <f>IF(OR(L1908="",L1908=0),"",Параметры!$B$3/L1908)</f>
        <v>66.666666666666671</v>
      </c>
      <c r="O1908" s="15">
        <f>IF(L1908="","",IFERROR(INDEX('Почасовка — ставки и план'!$D$5:$D$24,MATCH($D1908,'Почасовка — ставки и план'!$A$5:$A$24,0)),""))</f>
        <v>800</v>
      </c>
      <c r="P1908" s="15">
        <f>IF(L1908="","",IFERROR(INDEX('Почасовка — ставки и план'!$E$5:$E$24,MATCH($D1908,'Почасовка — ставки и план'!$A$5:$A$24,0)),""))</f>
        <v>950</v>
      </c>
      <c r="Q1908" s="15">
        <f t="shared" si="141"/>
        <v>96</v>
      </c>
      <c r="R1908" s="13" t="str">
        <f>IF(D1908="TEX","аренда техники — сделка/счёт",IF(OR(Q1908="",H1908="",H1908=0),"—",IF(Q1908&lt;H1908*(1-Параметры!$B$7),"почасовка",IF(Q1908&gt;H1908*(1+Параметры!$B$7),"сделка","любой способ"))))</f>
        <v>любой способ</v>
      </c>
      <c r="S1908">
        <v>0</v>
      </c>
      <c r="T1908">
        <v>0</v>
      </c>
    </row>
    <row r="1909" spans="1:20" x14ac:dyDescent="0.25">
      <c r="A1909" s="13" t="s">
        <v>3852</v>
      </c>
      <c r="B1909" s="13" t="s">
        <v>3853</v>
      </c>
      <c r="C1909" s="13" t="s">
        <v>72</v>
      </c>
      <c r="D1909" s="13" t="s">
        <v>276</v>
      </c>
      <c r="E1909" s="13" t="str">
        <f>IFERROR(INDEX('Почасовка — ставки и план'!$B$5:$B$24,MATCH(D1909,'Почасовка — ставки и план'!$A$5:$A$24,0)),"Аренда техники / механизмы")</f>
        <v>Монтажник дверей, окон, перегородок</v>
      </c>
      <c r="F1909" s="14">
        <v>3200</v>
      </c>
      <c r="G1909" s="14">
        <v>3800</v>
      </c>
      <c r="H1909" s="15">
        <v>1984</v>
      </c>
      <c r="I1909" s="15">
        <f>IF(OR(H1909="",F1909=""),"",MAX(H1909,MIN(ROUND(H1909*(1+Параметры!$B$5),IF(H1909*(1+Параметры!$B$5)&gt;=1000,-1,0)),ROUND(F1909*Параметры!$B$6,IF(F1909*Параметры!$B$6&gt;=1000,-1,0)))))</f>
        <v>2280</v>
      </c>
      <c r="J1909" s="15">
        <v>2282</v>
      </c>
      <c r="K1909" s="15">
        <f>IF(OR(J1909="",G1909=""),"",MAX(J1909,MIN(ROUND(J1909*(1+Параметры!$B$5),IF(J1909*(1+Параметры!$B$5)&gt;=1000,-1,0)),ROUND(G1909*Параметры!$B$6,IF(G1909*Параметры!$B$6&gt;=1000,-1,0)))))</f>
        <v>2620</v>
      </c>
      <c r="L1909" s="16">
        <v>3</v>
      </c>
      <c r="M1909" s="17">
        <f t="shared" si="140"/>
        <v>0.33333333333333331</v>
      </c>
      <c r="N1909" s="17">
        <f>IF(OR(L1909="",L1909=0),"",Параметры!$B$3/L1909)</f>
        <v>2.6666666666666665</v>
      </c>
      <c r="O1909" s="15">
        <f>IF(L1909="","",IFERROR(INDEX('Почасовка — ставки и план'!$D$5:$D$24,MATCH($D1909,'Почасовка — ставки и план'!$A$5:$A$24,0)),""))</f>
        <v>800</v>
      </c>
      <c r="P1909" s="15">
        <f>IF(L1909="","",IFERROR(INDEX('Почасовка — ставки и план'!$E$5:$E$24,MATCH($D1909,'Почасовка — ставки и план'!$A$5:$A$24,0)),""))</f>
        <v>950</v>
      </c>
      <c r="Q1909" s="15">
        <f t="shared" si="141"/>
        <v>2400</v>
      </c>
      <c r="R1909" s="13" t="str">
        <f>IF(D1909="TEX","аренда техники — сделка/счёт",IF(OR(Q1909="",H1909="",H1909=0),"—",IF(Q1909&lt;H1909*(1-Параметры!$B$7),"почасовка",IF(Q1909&gt;H1909*(1+Параметры!$B$7),"сделка","любой способ"))))</f>
        <v>сделка</v>
      </c>
      <c r="S1909">
        <v>0</v>
      </c>
      <c r="T1909">
        <v>3.2608695652173843E-2</v>
      </c>
    </row>
    <row r="1910" spans="1:20" x14ac:dyDescent="0.25">
      <c r="A1910" s="13" t="s">
        <v>3854</v>
      </c>
      <c r="B1910" s="13" t="s">
        <v>3855</v>
      </c>
      <c r="C1910" s="13" t="s">
        <v>72</v>
      </c>
      <c r="D1910" s="13" t="s">
        <v>276</v>
      </c>
      <c r="E1910" s="13" t="str">
        <f>IFERROR(INDEX('Почасовка — ставки и план'!$B$5:$B$24,MATCH(D1910,'Почасовка — ставки и план'!$A$5:$A$24,0)),"Аренда техники / механизмы")</f>
        <v>Монтажник дверей, окон, перегородок</v>
      </c>
      <c r="F1910" s="14">
        <v>2200</v>
      </c>
      <c r="G1910" s="14">
        <v>2534</v>
      </c>
      <c r="H1910" s="15">
        <v>1364</v>
      </c>
      <c r="I1910" s="15">
        <f>IF(OR(H1910="",F1910=""),"",MAX(H1910,MIN(ROUND(H1910*(1+Параметры!$B$5),IF(H1910*(1+Параметры!$B$5)&gt;=1000,-1,0)),ROUND(F1910*Параметры!$B$6,IF(F1910*Параметры!$B$6&gt;=1000,-1,0)))))</f>
        <v>1570</v>
      </c>
      <c r="J1910" s="15">
        <v>1569</v>
      </c>
      <c r="K1910" s="15">
        <f>IF(OR(J1910="",G1910=""),"",MAX(J1910,MIN(ROUND(J1910*(1+Параметры!$B$5),IF(J1910*(1+Параметры!$B$5)&gt;=1000,-1,0)),ROUND(G1910*Параметры!$B$6,IF(G1910*Параметры!$B$6&gt;=1000,-1,0)))))</f>
        <v>1800</v>
      </c>
      <c r="L1910" s="16">
        <v>2</v>
      </c>
      <c r="M1910" s="17">
        <f t="shared" si="140"/>
        <v>0.5</v>
      </c>
      <c r="N1910" s="17">
        <f>IF(OR(L1910="",L1910=0),"",Параметры!$B$3/L1910)</f>
        <v>4</v>
      </c>
      <c r="O1910" s="15">
        <f>IF(L1910="","",IFERROR(INDEX('Почасовка — ставки и план'!$D$5:$D$24,MATCH($D1910,'Почасовка — ставки и план'!$A$5:$A$24,0)),""))</f>
        <v>800</v>
      </c>
      <c r="P1910" s="15">
        <f>IF(L1910="","",IFERROR(INDEX('Почасовка — ставки и план'!$E$5:$E$24,MATCH($D1910,'Почасовка — ставки и план'!$A$5:$A$24,0)),""))</f>
        <v>950</v>
      </c>
      <c r="Q1910" s="15">
        <f t="shared" si="141"/>
        <v>1600</v>
      </c>
      <c r="R1910" s="13" t="str">
        <f>IF(D1910="TEX","аренда техники — сделка/счёт",IF(OR(Q1910="",H1910="",H1910=0),"—",IF(Q1910&lt;H1910*(1-Параметры!$B$7),"почасовка",IF(Q1910&gt;H1910*(1+Параметры!$B$7),"сделка","любой способ"))))</f>
        <v>сделка</v>
      </c>
      <c r="S1910">
        <v>0</v>
      </c>
      <c r="T1910">
        <v>1.581027667984181E-3</v>
      </c>
    </row>
    <row r="1911" spans="1:20" x14ac:dyDescent="0.25">
      <c r="A1911" s="18" t="s">
        <v>3856</v>
      </c>
      <c r="B1911" s="13" t="s">
        <v>3857</v>
      </c>
      <c r="C1911" s="13" t="s">
        <v>72</v>
      </c>
      <c r="D1911" s="13" t="s">
        <v>60</v>
      </c>
      <c r="E1911" s="13" t="str">
        <f>IFERROR(INDEX('Почасовка — ставки и план'!$B$5:$B$24,MATCH(D1911,'Почасовка — ставки и план'!$A$5:$A$24,0)),"Аренда техники / механизмы")</f>
        <v>Разнорабочий / демонтажник</v>
      </c>
      <c r="F1911" s="14">
        <v>600</v>
      </c>
      <c r="G1911" s="14">
        <v>690</v>
      </c>
      <c r="H1911" s="15">
        <v>390</v>
      </c>
      <c r="I1911" s="15">
        <f>IF(OR(H1911="",F1911=""),"",MAX(H1911,MIN(ROUND(H1911*(1+Параметры!$B$5),IF(H1911*(1+Параметры!$B$5)&gt;=1000,-1,0)),ROUND(F1911*Параметры!$B$6,IF(F1911*Параметры!$B$6&gt;=1000,-1,0)))))</f>
        <v>449</v>
      </c>
      <c r="J1911" s="15">
        <v>448</v>
      </c>
      <c r="K1911" s="15">
        <f>IF(OR(J1911="",G1911=""),"",MAX(J1911,MIN(ROUND(J1911*(1+Параметры!$B$5),IF(J1911*(1+Параметры!$B$5)&gt;=1000,-1,0)),ROUND(G1911*Параметры!$B$6,IF(G1911*Параметры!$B$6&gt;=1000,-1,0)))))</f>
        <v>515</v>
      </c>
      <c r="L1911" s="16">
        <v>0.6</v>
      </c>
      <c r="M1911" s="17">
        <f t="shared" si="140"/>
        <v>1.6666666666666667</v>
      </c>
      <c r="N1911" s="17">
        <f>IF(OR(L1911="",L1911=0),"",Параметры!$B$3/L1911)</f>
        <v>13.333333333333334</v>
      </c>
      <c r="O1911" s="15">
        <f>IF(L1911="","",IFERROR(INDEX('Почасовка — ставки и план'!$D$5:$D$24,MATCH($D1911,'Почасовка — ставки и план'!$A$5:$A$24,0)),""))</f>
        <v>550</v>
      </c>
      <c r="P1911" s="15">
        <f>IF(L1911="","",IFERROR(INDEX('Почасовка — ставки и план'!$E$5:$E$24,MATCH($D1911,'Почасовка — ставки и план'!$A$5:$A$24,0)),""))</f>
        <v>660</v>
      </c>
      <c r="Q1911" s="15">
        <f t="shared" si="141"/>
        <v>330</v>
      </c>
      <c r="R1911" s="13" t="str">
        <f>IF(D1911="TEX","аренда техники — сделка/счёт",IF(OR(Q1911="",H1911="",H1911=0),"—",IF(Q1911&lt;H1911*(1-Параметры!$B$7),"почасовка",IF(Q1911&gt;H1911*(1+Параметры!$B$7),"сделка","любой способ"))))</f>
        <v>почасовка</v>
      </c>
      <c r="S1911">
        <v>0</v>
      </c>
      <c r="T1911">
        <v>0</v>
      </c>
    </row>
    <row r="1912" spans="1:20" x14ac:dyDescent="0.25">
      <c r="A1912" s="18" t="s">
        <v>3858</v>
      </c>
      <c r="B1912" s="13" t="s">
        <v>3859</v>
      </c>
      <c r="C1912" s="13" t="s">
        <v>144</v>
      </c>
      <c r="D1912" s="13" t="s">
        <v>276</v>
      </c>
      <c r="E1912" s="13" t="str">
        <f>IFERROR(INDEX('Почасовка — ставки и план'!$B$5:$B$24,MATCH(D1912,'Почасовка — ставки и план'!$A$5:$A$24,0)),"Аренда техники / механизмы")</f>
        <v>Монтажник дверей, окон, перегородок</v>
      </c>
      <c r="F1912" s="14">
        <v>500</v>
      </c>
      <c r="G1912" s="14">
        <v>575</v>
      </c>
      <c r="H1912" s="15">
        <v>310</v>
      </c>
      <c r="I1912" s="15">
        <f>IF(OR(H1912="",F1912=""),"",MAX(H1912,MIN(ROUND(H1912*(1+Параметры!$B$5),IF(H1912*(1+Параметры!$B$5)&gt;=1000,-1,0)),ROUND(F1912*Параметры!$B$6,IF(F1912*Параметры!$B$6&gt;=1000,-1,0)))))</f>
        <v>357</v>
      </c>
      <c r="J1912" s="15">
        <v>356</v>
      </c>
      <c r="K1912" s="15">
        <f>IF(OR(J1912="",G1912=""),"",MAX(J1912,MIN(ROUND(J1912*(1+Параметры!$B$5),IF(J1912*(1+Параметры!$B$5)&gt;=1000,-1,0)),ROUND(G1912*Параметры!$B$6,IF(G1912*Параметры!$B$6&gt;=1000,-1,0)))))</f>
        <v>409</v>
      </c>
      <c r="L1912" s="16">
        <v>0.3</v>
      </c>
      <c r="M1912" s="17">
        <f t="shared" si="140"/>
        <v>3.3333333333333335</v>
      </c>
      <c r="N1912" s="17">
        <f>IF(OR(L1912="",L1912=0),"",Параметры!$B$3/L1912)</f>
        <v>26.666666666666668</v>
      </c>
      <c r="O1912" s="15">
        <f>IF(L1912="","",IFERROR(INDEX('Почасовка — ставки и план'!$D$5:$D$24,MATCH($D1912,'Почасовка — ставки и план'!$A$5:$A$24,0)),""))</f>
        <v>800</v>
      </c>
      <c r="P1912" s="15">
        <f>IF(L1912="","",IFERROR(INDEX('Почасовка — ставки и план'!$E$5:$E$24,MATCH($D1912,'Почасовка — ставки и план'!$A$5:$A$24,0)),""))</f>
        <v>950</v>
      </c>
      <c r="Q1912" s="15">
        <f t="shared" si="141"/>
        <v>240</v>
      </c>
      <c r="R1912" s="13" t="str">
        <f>IF(D1912="TEX","аренда техники — сделка/счёт",IF(OR(Q1912="",H1912="",H1912=0),"—",IF(Q1912&lt;H1912*(1-Параметры!$B$7),"почасовка",IF(Q1912&gt;H1912*(1+Параметры!$B$7),"сделка","любой способ"))))</f>
        <v>почасовка</v>
      </c>
      <c r="S1912">
        <v>0</v>
      </c>
      <c r="T1912">
        <v>0</v>
      </c>
    </row>
    <row r="1913" spans="1:20" x14ac:dyDescent="0.25">
      <c r="A1913" s="18" t="s">
        <v>3860</v>
      </c>
      <c r="B1913" s="13" t="s">
        <v>3861</v>
      </c>
      <c r="C1913" s="13" t="s">
        <v>69</v>
      </c>
      <c r="D1913" s="13" t="s">
        <v>276</v>
      </c>
      <c r="E1913" s="13" t="str">
        <f>IFERROR(INDEX('Почасовка — ставки и план'!$B$5:$B$24,MATCH(D1913,'Почасовка — ставки и план'!$A$5:$A$24,0)),"Аренда техники / механизмы")</f>
        <v>Монтажник дверей, окон, перегородок</v>
      </c>
      <c r="F1913" s="14">
        <v>180</v>
      </c>
      <c r="G1913" s="14">
        <v>207</v>
      </c>
      <c r="H1913" s="15">
        <v>112</v>
      </c>
      <c r="I1913" s="15">
        <f>IF(OR(H1913="",F1913=""),"",MAX(H1913,MIN(ROUND(H1913*(1+Параметры!$B$5),IF(H1913*(1+Параметры!$B$5)&gt;=1000,-1,0)),ROUND(F1913*Параметры!$B$6,IF(F1913*Параметры!$B$6&gt;=1000,-1,0)))))</f>
        <v>129</v>
      </c>
      <c r="J1913" s="15">
        <v>128</v>
      </c>
      <c r="K1913" s="15">
        <f>IF(OR(J1913="",G1913=""),"",MAX(J1913,MIN(ROUND(J1913*(1+Параметры!$B$5),IF(J1913*(1+Параметры!$B$5)&gt;=1000,-1,0)),ROUND(G1913*Параметры!$B$6,IF(G1913*Параметры!$B$6&gt;=1000,-1,0)))))</f>
        <v>147</v>
      </c>
      <c r="L1913" s="16">
        <v>0.1</v>
      </c>
      <c r="M1913" s="17">
        <f t="shared" si="140"/>
        <v>10</v>
      </c>
      <c r="N1913" s="17">
        <f>IF(OR(L1913="",L1913=0),"",Параметры!$B$3/L1913)</f>
        <v>80</v>
      </c>
      <c r="O1913" s="15">
        <f>IF(L1913="","",IFERROR(INDEX('Почасовка — ставки и план'!$D$5:$D$24,MATCH($D1913,'Почасовка — ставки и план'!$A$5:$A$24,0)),""))</f>
        <v>800</v>
      </c>
      <c r="P1913" s="15">
        <f>IF(L1913="","",IFERROR(INDEX('Почасовка — ставки и план'!$E$5:$E$24,MATCH($D1913,'Почасовка — ставки и план'!$A$5:$A$24,0)),""))</f>
        <v>950</v>
      </c>
      <c r="Q1913" s="15">
        <f t="shared" si="141"/>
        <v>80</v>
      </c>
      <c r="R1913" s="13" t="str">
        <f>IF(D1913="TEX","аренда техники — сделка/счёт",IF(OR(Q1913="",H1913="",H1913=0),"—",IF(Q1913&lt;H1913*(1-Параметры!$B$7),"почасовка",IF(Q1913&gt;H1913*(1+Параметры!$B$7),"сделка","любой способ"))))</f>
        <v>почасовка</v>
      </c>
      <c r="S1913">
        <v>0</v>
      </c>
      <c r="T1913">
        <v>0</v>
      </c>
    </row>
    <row r="1914" spans="1:20" x14ac:dyDescent="0.25">
      <c r="A1914" s="18" t="s">
        <v>3862</v>
      </c>
      <c r="B1914" s="13" t="s">
        <v>3863</v>
      </c>
      <c r="C1914" s="13" t="s">
        <v>72</v>
      </c>
      <c r="D1914" s="13" t="s">
        <v>276</v>
      </c>
      <c r="E1914" s="13" t="str">
        <f>IFERROR(INDEX('Почасовка — ставки и план'!$B$5:$B$24,MATCH(D1914,'Почасовка — ставки и план'!$A$5:$A$24,0)),"Аренда техники / механизмы")</f>
        <v>Монтажник дверей, окон, перегородок</v>
      </c>
      <c r="F1914" s="14">
        <v>2200</v>
      </c>
      <c r="G1914" s="14">
        <v>2530</v>
      </c>
      <c r="H1914" s="15">
        <v>1364</v>
      </c>
      <c r="I1914" s="15">
        <f>IF(OR(H1914="",F1914=""),"",MAX(H1914,MIN(ROUND(H1914*(1+Параметры!$B$5),IF(H1914*(1+Параметры!$B$5)&gt;=1000,-1,0)),ROUND(F1914*Параметры!$B$6,IF(F1914*Параметры!$B$6&gt;=1000,-1,0)))))</f>
        <v>1570</v>
      </c>
      <c r="J1914" s="15">
        <v>1569</v>
      </c>
      <c r="K1914" s="15">
        <f>IF(OR(J1914="",G1914=""),"",MAX(J1914,MIN(ROUND(J1914*(1+Параметры!$B$5),IF(J1914*(1+Параметры!$B$5)&gt;=1000,-1,0)),ROUND(G1914*Параметры!$B$6,IF(G1914*Параметры!$B$6&gt;=1000,-1,0)))))</f>
        <v>1800</v>
      </c>
      <c r="L1914" s="16">
        <v>1.5</v>
      </c>
      <c r="M1914" s="17">
        <f t="shared" si="140"/>
        <v>0.66666666666666663</v>
      </c>
      <c r="N1914" s="17">
        <f>IF(OR(L1914="",L1914=0),"",Параметры!$B$3/L1914)</f>
        <v>5.333333333333333</v>
      </c>
      <c r="O1914" s="15">
        <f>IF(L1914="","",IFERROR(INDEX('Почасовка — ставки и план'!$D$5:$D$24,MATCH($D1914,'Почасовка — ставки и план'!$A$5:$A$24,0)),""))</f>
        <v>800</v>
      </c>
      <c r="P1914" s="15">
        <f>IF(L1914="","",IFERROR(INDEX('Почасовка — ставки и план'!$E$5:$E$24,MATCH($D1914,'Почасовка — ставки и план'!$A$5:$A$24,0)),""))</f>
        <v>950</v>
      </c>
      <c r="Q1914" s="15">
        <f t="shared" si="141"/>
        <v>1200</v>
      </c>
      <c r="R1914" s="13" t="str">
        <f>IF(D1914="TEX","аренда техники — сделка/счёт",IF(OR(Q1914="",H1914="",H1914=0),"—",IF(Q1914&lt;H1914*(1-Параметры!$B$7),"почасовка",IF(Q1914&gt;H1914*(1+Параметры!$B$7),"сделка","любой способ"))))</f>
        <v>почасовка</v>
      </c>
      <c r="S1914">
        <v>0</v>
      </c>
      <c r="T1914">
        <v>0</v>
      </c>
    </row>
    <row r="1915" spans="1:20" x14ac:dyDescent="0.25">
      <c r="A1915" s="18" t="s">
        <v>3864</v>
      </c>
      <c r="B1915" s="13" t="s">
        <v>3865</v>
      </c>
      <c r="C1915" s="13" t="s">
        <v>69</v>
      </c>
      <c r="D1915" s="13" t="s">
        <v>276</v>
      </c>
      <c r="E1915" s="13" t="str">
        <f>IFERROR(INDEX('Почасовка — ставки и план'!$B$5:$B$24,MATCH(D1915,'Почасовка — ставки и план'!$A$5:$A$24,0)),"Аренда техники / механизмы")</f>
        <v>Монтажник дверей, окон, перегородок</v>
      </c>
      <c r="F1915" s="14">
        <v>900</v>
      </c>
      <c r="G1915" s="14">
        <v>1035</v>
      </c>
      <c r="H1915" s="15">
        <v>558</v>
      </c>
      <c r="I1915" s="15">
        <f>IF(OR(H1915="",F1915=""),"",MAX(H1915,MIN(ROUND(H1915*(1+Параметры!$B$5),IF(H1915*(1+Параметры!$B$5)&gt;=1000,-1,0)),ROUND(F1915*Параметры!$B$6,IF(F1915*Параметры!$B$6&gt;=1000,-1,0)))))</f>
        <v>642</v>
      </c>
      <c r="J1915" s="15">
        <v>642</v>
      </c>
      <c r="K1915" s="15">
        <f>IF(OR(J1915="",G1915=""),"",MAX(J1915,MIN(ROUND(J1915*(1+Параметры!$B$5),IF(J1915*(1+Параметры!$B$5)&gt;=1000,-1,0)),ROUND(G1915*Параметры!$B$6,IF(G1915*Параметры!$B$6&gt;=1000,-1,0)))))</f>
        <v>738</v>
      </c>
      <c r="L1915" s="16">
        <v>0.6</v>
      </c>
      <c r="M1915" s="17">
        <f t="shared" si="140"/>
        <v>1.6666666666666667</v>
      </c>
      <c r="N1915" s="17">
        <f>IF(OR(L1915="",L1915=0),"",Параметры!$B$3/L1915)</f>
        <v>13.333333333333334</v>
      </c>
      <c r="O1915" s="15">
        <f>IF(L1915="","",IFERROR(INDEX('Почасовка — ставки и план'!$D$5:$D$24,MATCH($D1915,'Почасовка — ставки и план'!$A$5:$A$24,0)),""))</f>
        <v>800</v>
      </c>
      <c r="P1915" s="15">
        <f>IF(L1915="","",IFERROR(INDEX('Почасовка — ставки и план'!$E$5:$E$24,MATCH($D1915,'Почасовка — ставки и план'!$A$5:$A$24,0)),""))</f>
        <v>950</v>
      </c>
      <c r="Q1915" s="15">
        <f t="shared" si="141"/>
        <v>480</v>
      </c>
      <c r="R1915" s="13" t="str">
        <f>IF(D1915="TEX","аренда техники — сделка/счёт",IF(OR(Q1915="",H1915="",H1915=0),"—",IF(Q1915&lt;H1915*(1-Параметры!$B$7),"почасовка",IF(Q1915&gt;H1915*(1+Параметры!$B$7),"сделка","любой способ"))))</f>
        <v>почасовка</v>
      </c>
      <c r="S1915">
        <v>0</v>
      </c>
      <c r="T1915">
        <v>0</v>
      </c>
    </row>
    <row r="1916" spans="1:20" x14ac:dyDescent="0.25">
      <c r="A1916" s="18" t="s">
        <v>3866</v>
      </c>
      <c r="B1916" s="13" t="s">
        <v>3867</v>
      </c>
      <c r="C1916" s="13" t="s">
        <v>69</v>
      </c>
      <c r="D1916" s="13" t="s">
        <v>276</v>
      </c>
      <c r="E1916" s="13" t="str">
        <f>IFERROR(INDEX('Почасовка — ставки и план'!$B$5:$B$24,MATCH(D1916,'Почасовка — ставки и план'!$A$5:$A$24,0)),"Аренда техники / механизмы")</f>
        <v>Монтажник дверей, окон, перегородок</v>
      </c>
      <c r="F1916" s="14">
        <v>450</v>
      </c>
      <c r="G1916" s="14">
        <v>518</v>
      </c>
      <c r="H1916" s="15">
        <v>279</v>
      </c>
      <c r="I1916" s="15">
        <f>IF(OR(H1916="",F1916=""),"",MAX(H1916,MIN(ROUND(H1916*(1+Параметры!$B$5),IF(H1916*(1+Параметры!$B$5)&gt;=1000,-1,0)),ROUND(F1916*Параметры!$B$6,IF(F1916*Параметры!$B$6&gt;=1000,-1,0)))))</f>
        <v>321</v>
      </c>
      <c r="J1916" s="15">
        <v>321</v>
      </c>
      <c r="K1916" s="15">
        <f>IF(OR(J1916="",G1916=""),"",MAX(J1916,MIN(ROUND(J1916*(1+Параметры!$B$5),IF(J1916*(1+Параметры!$B$5)&gt;=1000,-1,0)),ROUND(G1916*Параметры!$B$6,IF(G1916*Параметры!$B$6&gt;=1000,-1,0)))))</f>
        <v>369</v>
      </c>
      <c r="L1916" s="16">
        <v>0.3</v>
      </c>
      <c r="M1916" s="17">
        <f t="shared" si="140"/>
        <v>3.3333333333333335</v>
      </c>
      <c r="N1916" s="17">
        <f>IF(OR(L1916="",L1916=0),"",Параметры!$B$3/L1916)</f>
        <v>26.666666666666668</v>
      </c>
      <c r="O1916" s="15">
        <f>IF(L1916="","",IFERROR(INDEX('Почасовка — ставки и план'!$D$5:$D$24,MATCH($D1916,'Почасовка — ставки и план'!$A$5:$A$24,0)),""))</f>
        <v>800</v>
      </c>
      <c r="P1916" s="15">
        <f>IF(L1916="","",IFERROR(INDEX('Почасовка — ставки и план'!$E$5:$E$24,MATCH($D1916,'Почасовка — ставки и план'!$A$5:$A$24,0)),""))</f>
        <v>950</v>
      </c>
      <c r="Q1916" s="15">
        <f t="shared" si="141"/>
        <v>240</v>
      </c>
      <c r="R1916" s="13" t="str">
        <f>IF(D1916="TEX","аренда техники — сделка/счёт",IF(OR(Q1916="",H1916="",H1916=0),"—",IF(Q1916&lt;H1916*(1-Параметры!$B$7),"почасовка",IF(Q1916&gt;H1916*(1+Параметры!$B$7),"сделка","любой способ"))))</f>
        <v>почасовка</v>
      </c>
      <c r="S1916">
        <v>0</v>
      </c>
      <c r="T1916">
        <v>0</v>
      </c>
    </row>
    <row r="1917" spans="1:20" x14ac:dyDescent="0.25">
      <c r="A1917" s="18" t="s">
        <v>3868</v>
      </c>
      <c r="B1917" s="13" t="s">
        <v>3869</v>
      </c>
      <c r="C1917" s="13" t="s">
        <v>72</v>
      </c>
      <c r="D1917" s="13" t="s">
        <v>208</v>
      </c>
      <c r="E1917" s="13" t="str">
        <f>IFERROR(INDEX('Почасовка — ставки и план'!$B$5:$B$24,MATCH(D1917,'Почасовка — ставки и план'!$A$5:$A$24,0)),"Аренда техники / механизмы")</f>
        <v>Отделочник (штукатур, маляр, ГКЛ)</v>
      </c>
      <c r="F1917" s="14">
        <v>600</v>
      </c>
      <c r="G1917" s="14">
        <v>690</v>
      </c>
      <c r="H1917" s="15">
        <v>378</v>
      </c>
      <c r="I1917" s="15">
        <f>IF(OR(H1917="",F1917=""),"",MAX(H1917,MIN(ROUND(H1917*(1+Параметры!$B$5),IF(H1917*(1+Параметры!$B$5)&gt;=1000,-1,0)),ROUND(F1917*Параметры!$B$6,IF(F1917*Параметры!$B$6&gt;=1000,-1,0)))))</f>
        <v>435</v>
      </c>
      <c r="J1917" s="15">
        <v>435</v>
      </c>
      <c r="K1917" s="15">
        <f>IF(OR(J1917="",G1917=""),"",MAX(J1917,MIN(ROUND(J1917*(1+Параметры!$B$5),IF(J1917*(1+Параметры!$B$5)&gt;=1000,-1,0)),ROUND(G1917*Параметры!$B$6,IF(G1917*Параметры!$B$6&gt;=1000,-1,0)))))</f>
        <v>500</v>
      </c>
      <c r="L1917" s="16">
        <v>0.4</v>
      </c>
      <c r="M1917" s="17">
        <f t="shared" si="140"/>
        <v>2.5</v>
      </c>
      <c r="N1917" s="17">
        <f>IF(OR(L1917="",L1917=0),"",Параметры!$B$3/L1917)</f>
        <v>20</v>
      </c>
      <c r="O1917" s="15">
        <f>IF(L1917="","",IFERROR(INDEX('Почасовка — ставки и план'!$D$5:$D$24,MATCH($D1917,'Почасовка — ставки и план'!$A$5:$A$24,0)),""))</f>
        <v>750</v>
      </c>
      <c r="P1917" s="15">
        <f>IF(L1917="","",IFERROR(INDEX('Почасовка — ставки и план'!$E$5:$E$24,MATCH($D1917,'Почасовка — ставки и план'!$A$5:$A$24,0)),""))</f>
        <v>900</v>
      </c>
      <c r="Q1917" s="15">
        <f t="shared" si="141"/>
        <v>300</v>
      </c>
      <c r="R1917" s="13" t="str">
        <f>IF(D1917="TEX","аренда техники — сделка/счёт",IF(OR(Q1917="",H1917="",H1917=0),"—",IF(Q1917&lt;H1917*(1-Параметры!$B$7),"почасовка",IF(Q1917&gt;H1917*(1+Параметры!$B$7),"сделка","любой способ"))))</f>
        <v>почасовка</v>
      </c>
      <c r="S1917">
        <v>0</v>
      </c>
      <c r="T1917">
        <v>0</v>
      </c>
    </row>
    <row r="1918" spans="1:20" x14ac:dyDescent="0.25">
      <c r="A1918" s="11" t="s">
        <v>3870</v>
      </c>
      <c r="B1918" s="12"/>
      <c r="C1918" s="12"/>
      <c r="D1918" s="12"/>
      <c r="E1918" s="12"/>
      <c r="F1918" s="12"/>
      <c r="G1918" s="12"/>
      <c r="H1918" s="12"/>
      <c r="I1918" s="12"/>
      <c r="J1918" s="12"/>
      <c r="K1918" s="12"/>
      <c r="L1918" s="12"/>
      <c r="M1918" s="12"/>
      <c r="N1918" s="12"/>
      <c r="O1918" s="12"/>
      <c r="P1918" s="12"/>
      <c r="Q1918" s="12"/>
      <c r="R1918" s="12"/>
    </row>
    <row r="1919" spans="1:20" x14ac:dyDescent="0.25">
      <c r="A1919" s="13" t="s">
        <v>3871</v>
      </c>
      <c r="B1919" s="13" t="s">
        <v>3872</v>
      </c>
      <c r="C1919" s="13" t="s">
        <v>144</v>
      </c>
      <c r="D1919" s="13" t="s">
        <v>208</v>
      </c>
      <c r="E1919" s="13" t="str">
        <f>IFERROR(INDEX('Почасовка — ставки и план'!$B$5:$B$24,MATCH(D1919,'Почасовка — ставки и план'!$A$5:$A$24,0)),"Аренда техники / механизмы")</f>
        <v>Отделочник (штукатур, маляр, ГКЛ)</v>
      </c>
      <c r="F1919" s="14">
        <v>250</v>
      </c>
      <c r="G1919" s="14">
        <v>288</v>
      </c>
      <c r="H1919" s="15">
        <v>158</v>
      </c>
      <c r="I1919" s="15">
        <f>IF(OR(H1919="",F1919=""),"",MAX(H1919,MIN(ROUND(H1919*(1+Параметры!$B$5),IF(H1919*(1+Параметры!$B$5)&gt;=1000,-1,0)),ROUND(F1919*Параметры!$B$6,IF(F1919*Параметры!$B$6&gt;=1000,-1,0)))))</f>
        <v>182</v>
      </c>
      <c r="J1919" s="15">
        <v>181</v>
      </c>
      <c r="K1919" s="15">
        <f>IF(OR(J1919="",G1919=""),"",MAX(J1919,MIN(ROUND(J1919*(1+Параметры!$B$5),IF(J1919*(1+Параметры!$B$5)&gt;=1000,-1,0)),ROUND(G1919*Параметры!$B$6,IF(G1919*Параметры!$B$6&gt;=1000,-1,0)))))</f>
        <v>208</v>
      </c>
      <c r="L1919" s="16">
        <v>0.2</v>
      </c>
      <c r="M1919" s="17">
        <f t="shared" ref="M1919:M1956" si="142">IF(OR(L1919="",L1919=0),"",1/L1919)</f>
        <v>5</v>
      </c>
      <c r="N1919" s="17">
        <f>IF(OR(L1919="",L1919=0),"",Параметры!$B$3/L1919)</f>
        <v>40</v>
      </c>
      <c r="O1919" s="15">
        <f>IF(L1919="","",IFERROR(INDEX('Почасовка — ставки и план'!$D$5:$D$24,MATCH($D1919,'Почасовка — ставки и план'!$A$5:$A$24,0)),""))</f>
        <v>750</v>
      </c>
      <c r="P1919" s="15">
        <f>IF(L1919="","",IFERROR(INDEX('Почасовка — ставки и план'!$E$5:$E$24,MATCH($D1919,'Почасовка — ставки и план'!$A$5:$A$24,0)),""))</f>
        <v>900</v>
      </c>
      <c r="Q1919" s="15">
        <f t="shared" ref="Q1919:Q1956" si="143">IF(OR(L1919="",O1919=""),"",ROUND(L1919*O1919,0))</f>
        <v>150</v>
      </c>
      <c r="R1919" s="13" t="str">
        <f>IF(D1919="TEX","аренда техники — сделка/счёт",IF(OR(Q1919="",H1919="",H1919=0),"—",IF(Q1919&lt;H1919*(1-Параметры!$B$7),"почасовка",IF(Q1919&gt;H1919*(1+Параметры!$B$7),"сделка","любой способ"))))</f>
        <v>любой способ</v>
      </c>
      <c r="S1919">
        <v>0</v>
      </c>
      <c r="T1919">
        <v>0</v>
      </c>
    </row>
    <row r="1920" spans="1:20" x14ac:dyDescent="0.25">
      <c r="A1920" s="13" t="s">
        <v>3873</v>
      </c>
      <c r="B1920" s="13" t="s">
        <v>3874</v>
      </c>
      <c r="C1920" s="13" t="s">
        <v>144</v>
      </c>
      <c r="D1920" s="13" t="s">
        <v>276</v>
      </c>
      <c r="E1920" s="13" t="str">
        <f>IFERROR(INDEX('Почасовка — ставки и план'!$B$5:$B$24,MATCH(D1920,'Почасовка — ставки и план'!$A$5:$A$24,0)),"Аренда техники / механизмы")</f>
        <v>Монтажник дверей, окон, перегородок</v>
      </c>
      <c r="F1920" s="14">
        <v>900</v>
      </c>
      <c r="G1920" s="14">
        <v>1035</v>
      </c>
      <c r="H1920" s="15">
        <v>558</v>
      </c>
      <c r="I1920" s="15">
        <f>IF(OR(H1920="",F1920=""),"",MAX(H1920,MIN(ROUND(H1920*(1+Параметры!$B$5),IF(H1920*(1+Параметры!$B$5)&gt;=1000,-1,0)),ROUND(F1920*Параметры!$B$6,IF(F1920*Параметры!$B$6&gt;=1000,-1,0)))))</f>
        <v>642</v>
      </c>
      <c r="J1920" s="15">
        <v>642</v>
      </c>
      <c r="K1920" s="15">
        <f>IF(OR(J1920="",G1920=""),"",MAX(J1920,MIN(ROUND(J1920*(1+Параметры!$B$5),IF(J1920*(1+Параметры!$B$5)&gt;=1000,-1,0)),ROUND(G1920*Параметры!$B$6,IF(G1920*Параметры!$B$6&gt;=1000,-1,0)))))</f>
        <v>738</v>
      </c>
      <c r="L1920" s="16">
        <v>0.4</v>
      </c>
      <c r="M1920" s="17">
        <f t="shared" si="142"/>
        <v>2.5</v>
      </c>
      <c r="N1920" s="17">
        <f>IF(OR(L1920="",L1920=0),"",Параметры!$B$3/L1920)</f>
        <v>20</v>
      </c>
      <c r="O1920" s="15">
        <f>IF(L1920="","",IFERROR(INDEX('Почасовка — ставки и план'!$D$5:$D$24,MATCH($D1920,'Почасовка — ставки и план'!$A$5:$A$24,0)),""))</f>
        <v>800</v>
      </c>
      <c r="P1920" s="15">
        <f>IF(L1920="","",IFERROR(INDEX('Почасовка — ставки и план'!$E$5:$E$24,MATCH($D1920,'Почасовка — ставки и план'!$A$5:$A$24,0)),""))</f>
        <v>950</v>
      </c>
      <c r="Q1920" s="15">
        <f t="shared" si="143"/>
        <v>320</v>
      </c>
      <c r="R1920" s="13" t="str">
        <f>IF(D1920="TEX","аренда техники — сделка/счёт",IF(OR(Q1920="",H1920="",H1920=0),"—",IF(Q1920&lt;H1920*(1-Параметры!$B$7),"почасовка",IF(Q1920&gt;H1920*(1+Параметры!$B$7),"сделка","любой способ"))))</f>
        <v>почасовка</v>
      </c>
      <c r="S1920">
        <v>0</v>
      </c>
      <c r="T1920">
        <v>0</v>
      </c>
    </row>
    <row r="1921" spans="1:20" x14ac:dyDescent="0.25">
      <c r="A1921" s="13" t="s">
        <v>3875</v>
      </c>
      <c r="B1921" s="13" t="s">
        <v>3876</v>
      </c>
      <c r="C1921" s="13" t="s">
        <v>144</v>
      </c>
      <c r="D1921" s="13" t="s">
        <v>276</v>
      </c>
      <c r="E1921" s="13" t="str">
        <f>IFERROR(INDEX('Почасовка — ставки и план'!$B$5:$B$24,MATCH(D1921,'Почасовка — ставки и план'!$A$5:$A$24,0)),"Аренда техники / механизмы")</f>
        <v>Монтажник дверей, окон, перегородок</v>
      </c>
      <c r="F1921" s="14">
        <v>1200</v>
      </c>
      <c r="G1921" s="14">
        <v>1380</v>
      </c>
      <c r="H1921" s="15">
        <v>744</v>
      </c>
      <c r="I1921" s="15">
        <f>IF(OR(H1921="",F1921=""),"",MAX(H1921,MIN(ROUND(H1921*(1+Параметры!$B$5),IF(H1921*(1+Параметры!$B$5)&gt;=1000,-1,0)),ROUND(F1921*Параметры!$B$6,IF(F1921*Параметры!$B$6&gt;=1000,-1,0)))))</f>
        <v>856</v>
      </c>
      <c r="J1921" s="15">
        <v>856</v>
      </c>
      <c r="K1921" s="15">
        <f>IF(OR(J1921="",G1921=""),"",MAX(J1921,MIN(ROUND(J1921*(1+Параметры!$B$5),IF(J1921*(1+Параметры!$B$5)&gt;=1000,-1,0)),ROUND(G1921*Параметры!$B$6,IF(G1921*Параметры!$B$6&gt;=1000,-1,0)))))</f>
        <v>984</v>
      </c>
      <c r="L1921" s="16">
        <v>0.6</v>
      </c>
      <c r="M1921" s="17">
        <f t="shared" si="142"/>
        <v>1.6666666666666667</v>
      </c>
      <c r="N1921" s="17">
        <f>IF(OR(L1921="",L1921=0),"",Параметры!$B$3/L1921)</f>
        <v>13.333333333333334</v>
      </c>
      <c r="O1921" s="15">
        <f>IF(L1921="","",IFERROR(INDEX('Почасовка — ставки и план'!$D$5:$D$24,MATCH($D1921,'Почасовка — ставки и план'!$A$5:$A$24,0)),""))</f>
        <v>800</v>
      </c>
      <c r="P1921" s="15">
        <f>IF(L1921="","",IFERROR(INDEX('Почасовка — ставки и план'!$E$5:$E$24,MATCH($D1921,'Почасовка — ставки и план'!$A$5:$A$24,0)),""))</f>
        <v>950</v>
      </c>
      <c r="Q1921" s="15">
        <f t="shared" si="143"/>
        <v>480</v>
      </c>
      <c r="R1921" s="13" t="str">
        <f>IF(D1921="TEX","аренда техники — сделка/счёт",IF(OR(Q1921="",H1921="",H1921=0),"—",IF(Q1921&lt;H1921*(1-Параметры!$B$7),"почасовка",IF(Q1921&gt;H1921*(1+Параметры!$B$7),"сделка","любой способ"))))</f>
        <v>почасовка</v>
      </c>
      <c r="S1921">
        <v>0</v>
      </c>
      <c r="T1921">
        <v>0</v>
      </c>
    </row>
    <row r="1922" spans="1:20" x14ac:dyDescent="0.25">
      <c r="A1922" s="13" t="s">
        <v>3877</v>
      </c>
      <c r="B1922" s="13" t="s">
        <v>3878</v>
      </c>
      <c r="C1922" s="13" t="s">
        <v>144</v>
      </c>
      <c r="D1922" s="13" t="s">
        <v>64</v>
      </c>
      <c r="E1922" s="13" t="str">
        <f>IFERROR(INDEX('Почасовка — ставки и план'!$B$5:$B$24,MATCH(D1922,'Почасовка — ставки и план'!$A$5:$A$24,0)),"Аренда техники / механизмы")</f>
        <v>Сварщик / монтажник МК</v>
      </c>
      <c r="F1922" s="14">
        <v>2800</v>
      </c>
      <c r="G1922" s="14">
        <v>3220</v>
      </c>
      <c r="H1922" s="15">
        <v>1736</v>
      </c>
      <c r="I1922" s="15">
        <f>IF(OR(H1922="",F1922=""),"",MAX(H1922,MIN(ROUND(H1922*(1+Параметры!$B$5),IF(H1922*(1+Параметры!$B$5)&gt;=1000,-1,0)),ROUND(F1922*Параметры!$B$6,IF(F1922*Параметры!$B$6&gt;=1000,-1,0)))))</f>
        <v>2000</v>
      </c>
      <c r="J1922" s="15">
        <v>1996</v>
      </c>
      <c r="K1922" s="15">
        <f>IF(OR(J1922="",G1922=""),"",MAX(J1922,MIN(ROUND(J1922*(1+Параметры!$B$5),IF(J1922*(1+Параметры!$B$5)&gt;=1000,-1,0)),ROUND(G1922*Параметры!$B$6,IF(G1922*Параметры!$B$6&gt;=1000,-1,0)))))</f>
        <v>2300</v>
      </c>
      <c r="L1922" s="16">
        <v>1.2</v>
      </c>
      <c r="M1922" s="17">
        <f t="shared" si="142"/>
        <v>0.83333333333333337</v>
      </c>
      <c r="N1922" s="17">
        <f>IF(OR(L1922="",L1922=0),"",Параметры!$B$3/L1922)</f>
        <v>6.666666666666667</v>
      </c>
      <c r="O1922" s="15">
        <f>IF(L1922="","",IFERROR(INDEX('Почасовка — ставки и план'!$D$5:$D$24,MATCH($D1922,'Почасовка — ставки и план'!$A$5:$A$24,0)),""))</f>
        <v>900</v>
      </c>
      <c r="P1922" s="15">
        <f>IF(L1922="","",IFERROR(INDEX('Почасовка — ставки и план'!$E$5:$E$24,MATCH($D1922,'Почасовка — ставки и план'!$A$5:$A$24,0)),""))</f>
        <v>1080</v>
      </c>
      <c r="Q1922" s="15">
        <f t="shared" si="143"/>
        <v>1080</v>
      </c>
      <c r="R1922" s="13" t="str">
        <f>IF(D1922="TEX","аренда техники — сделка/счёт",IF(OR(Q1922="",H1922="",H1922=0),"—",IF(Q1922&lt;H1922*(1-Параметры!$B$7),"почасовка",IF(Q1922&gt;H1922*(1+Параметры!$B$7),"сделка","любой способ"))))</f>
        <v>почасовка</v>
      </c>
      <c r="S1922">
        <v>0</v>
      </c>
      <c r="T1922">
        <v>0</v>
      </c>
    </row>
    <row r="1923" spans="1:20" x14ac:dyDescent="0.25">
      <c r="A1923" s="13" t="s">
        <v>3879</v>
      </c>
      <c r="B1923" s="13" t="s">
        <v>3880</v>
      </c>
      <c r="C1923" s="13" t="s">
        <v>144</v>
      </c>
      <c r="D1923" s="13" t="s">
        <v>276</v>
      </c>
      <c r="E1923" s="13" t="str">
        <f>IFERROR(INDEX('Почасовка — ставки и план'!$B$5:$B$24,MATCH(D1923,'Почасовка — ставки и план'!$A$5:$A$24,0)),"Аренда техники / механизмы")</f>
        <v>Монтажник дверей, окон, перегородок</v>
      </c>
      <c r="F1923" s="14">
        <v>1300</v>
      </c>
      <c r="G1923" s="14">
        <v>1495</v>
      </c>
      <c r="H1923" s="15">
        <v>806</v>
      </c>
      <c r="I1923" s="15">
        <f>IF(OR(H1923="",F1923=""),"",MAX(H1923,MIN(ROUND(H1923*(1+Параметры!$B$5),IF(H1923*(1+Параметры!$B$5)&gt;=1000,-1,0)),ROUND(F1923*Параметры!$B$6,IF(F1923*Параметры!$B$6&gt;=1000,-1,0)))))</f>
        <v>927</v>
      </c>
      <c r="J1923" s="15">
        <v>927</v>
      </c>
      <c r="K1923" s="15">
        <f>IF(OR(J1923="",G1923=""),"",MAX(J1923,MIN(ROUND(J1923*(1+Параметры!$B$5),IF(J1923*(1+Параметры!$B$5)&gt;=1000,-1,0)),ROUND(G1923*Параметры!$B$6,IF(G1923*Параметры!$B$6&gt;=1000,-1,0)))))</f>
        <v>1070</v>
      </c>
      <c r="L1923" s="16">
        <v>0.7</v>
      </c>
      <c r="M1923" s="17">
        <f t="shared" si="142"/>
        <v>1.4285714285714286</v>
      </c>
      <c r="N1923" s="17">
        <f>IF(OR(L1923="",L1923=0),"",Параметры!$B$3/L1923)</f>
        <v>11.428571428571429</v>
      </c>
      <c r="O1923" s="15">
        <f>IF(L1923="","",IFERROR(INDEX('Почасовка — ставки и план'!$D$5:$D$24,MATCH($D1923,'Почасовка — ставки и план'!$A$5:$A$24,0)),""))</f>
        <v>800</v>
      </c>
      <c r="P1923" s="15">
        <f>IF(L1923="","",IFERROR(INDEX('Почасовка — ставки и план'!$E$5:$E$24,MATCH($D1923,'Почасовка — ставки и план'!$A$5:$A$24,0)),""))</f>
        <v>950</v>
      </c>
      <c r="Q1923" s="15">
        <f t="shared" si="143"/>
        <v>560</v>
      </c>
      <c r="R1923" s="13" t="str">
        <f>IF(D1923="TEX","аренда техники — сделка/счёт",IF(OR(Q1923="",H1923="",H1923=0),"—",IF(Q1923&lt;H1923*(1-Параметры!$B$7),"почасовка",IF(Q1923&gt;H1923*(1+Параметры!$B$7),"сделка","любой способ"))))</f>
        <v>почасовка</v>
      </c>
      <c r="S1923">
        <v>0</v>
      </c>
      <c r="T1923">
        <v>0</v>
      </c>
    </row>
    <row r="1924" spans="1:20" x14ac:dyDescent="0.25">
      <c r="A1924" s="13" t="s">
        <v>3881</v>
      </c>
      <c r="B1924" s="13" t="s">
        <v>3882</v>
      </c>
      <c r="C1924" s="13" t="s">
        <v>144</v>
      </c>
      <c r="D1924" s="13" t="s">
        <v>276</v>
      </c>
      <c r="E1924" s="13" t="str">
        <f>IFERROR(INDEX('Почасовка — ставки и план'!$B$5:$B$24,MATCH(D1924,'Почасовка — ставки и план'!$A$5:$A$24,0)),"Аренда техники / механизмы")</f>
        <v>Монтажник дверей, окон, перегородок</v>
      </c>
      <c r="F1924" s="14">
        <v>800</v>
      </c>
      <c r="G1924" s="14">
        <v>920</v>
      </c>
      <c r="H1924" s="15">
        <v>496</v>
      </c>
      <c r="I1924" s="15">
        <f>IF(OR(H1924="",F1924=""),"",MAX(H1924,MIN(ROUND(H1924*(1+Параметры!$B$5),IF(H1924*(1+Параметры!$B$5)&gt;=1000,-1,0)),ROUND(F1924*Параметры!$B$6,IF(F1924*Параметры!$B$6&gt;=1000,-1,0)))))</f>
        <v>570</v>
      </c>
      <c r="J1924" s="15">
        <v>570</v>
      </c>
      <c r="K1924" s="15">
        <f>IF(OR(J1924="",G1924=""),"",MAX(J1924,MIN(ROUND(J1924*(1+Параметры!$B$5),IF(J1924*(1+Параметры!$B$5)&gt;=1000,-1,0)),ROUND(G1924*Параметры!$B$6,IF(G1924*Параметры!$B$6&gt;=1000,-1,0)))))</f>
        <v>656</v>
      </c>
      <c r="L1924" s="16">
        <v>0.4</v>
      </c>
      <c r="M1924" s="17">
        <f t="shared" si="142"/>
        <v>2.5</v>
      </c>
      <c r="N1924" s="17">
        <f>IF(OR(L1924="",L1924=0),"",Параметры!$B$3/L1924)</f>
        <v>20</v>
      </c>
      <c r="O1924" s="15">
        <f>IF(L1924="","",IFERROR(INDEX('Почасовка — ставки и план'!$D$5:$D$24,MATCH($D1924,'Почасовка — ставки и план'!$A$5:$A$24,0)),""))</f>
        <v>800</v>
      </c>
      <c r="P1924" s="15">
        <f>IF(L1924="","",IFERROR(INDEX('Почасовка — ставки и план'!$E$5:$E$24,MATCH($D1924,'Почасовка — ставки и план'!$A$5:$A$24,0)),""))</f>
        <v>950</v>
      </c>
      <c r="Q1924" s="15">
        <f t="shared" si="143"/>
        <v>320</v>
      </c>
      <c r="R1924" s="13" t="str">
        <f>IF(D1924="TEX","аренда техники — сделка/счёт",IF(OR(Q1924="",H1924="",H1924=0),"—",IF(Q1924&lt;H1924*(1-Параметры!$B$7),"почасовка",IF(Q1924&gt;H1924*(1+Параметры!$B$7),"сделка","любой способ"))))</f>
        <v>почасовка</v>
      </c>
      <c r="S1924">
        <v>0</v>
      </c>
      <c r="T1924">
        <v>0</v>
      </c>
    </row>
    <row r="1925" spans="1:20" x14ac:dyDescent="0.25">
      <c r="A1925" s="13" t="s">
        <v>3883</v>
      </c>
      <c r="B1925" s="13" t="s">
        <v>3884</v>
      </c>
      <c r="C1925" s="13" t="s">
        <v>144</v>
      </c>
      <c r="D1925" s="13" t="s">
        <v>276</v>
      </c>
      <c r="E1925" s="13" t="str">
        <f>IFERROR(INDEX('Почасовка — ставки и план'!$B$5:$B$24,MATCH(D1925,'Почасовка — ставки и план'!$A$5:$A$24,0)),"Аренда техники / механизмы")</f>
        <v>Монтажник дверей, окон, перегородок</v>
      </c>
      <c r="F1925" s="14">
        <v>2000</v>
      </c>
      <c r="G1925" s="14">
        <v>2300</v>
      </c>
      <c r="H1925" s="15">
        <v>1240</v>
      </c>
      <c r="I1925" s="15">
        <f>IF(OR(H1925="",F1925=""),"",MAX(H1925,MIN(ROUND(H1925*(1+Параметры!$B$5),IF(H1925*(1+Параметры!$B$5)&gt;=1000,-1,0)),ROUND(F1925*Параметры!$B$6,IF(F1925*Параметры!$B$6&gt;=1000,-1,0)))))</f>
        <v>1430</v>
      </c>
      <c r="J1925" s="15">
        <v>1426</v>
      </c>
      <c r="K1925" s="15">
        <f>IF(OR(J1925="",G1925=""),"",MAX(J1925,MIN(ROUND(J1925*(1+Параметры!$B$5),IF(J1925*(1+Параметры!$B$5)&gt;=1000,-1,0)),ROUND(G1925*Параметры!$B$6,IF(G1925*Параметры!$B$6&gt;=1000,-1,0)))))</f>
        <v>1640</v>
      </c>
      <c r="L1925" s="16">
        <v>1.2</v>
      </c>
      <c r="M1925" s="17">
        <f t="shared" si="142"/>
        <v>0.83333333333333337</v>
      </c>
      <c r="N1925" s="17">
        <f>IF(OR(L1925="",L1925=0),"",Параметры!$B$3/L1925)</f>
        <v>6.666666666666667</v>
      </c>
      <c r="O1925" s="15">
        <f>IF(L1925="","",IFERROR(INDEX('Почасовка — ставки и план'!$D$5:$D$24,MATCH($D1925,'Почасовка — ставки и план'!$A$5:$A$24,0)),""))</f>
        <v>800</v>
      </c>
      <c r="P1925" s="15">
        <f>IF(L1925="","",IFERROR(INDEX('Почасовка — ставки и план'!$E$5:$E$24,MATCH($D1925,'Почасовка — ставки и план'!$A$5:$A$24,0)),""))</f>
        <v>950</v>
      </c>
      <c r="Q1925" s="15">
        <f t="shared" si="143"/>
        <v>960</v>
      </c>
      <c r="R1925" s="13" t="str">
        <f>IF(D1925="TEX","аренда техники — сделка/счёт",IF(OR(Q1925="",H1925="",H1925=0),"—",IF(Q1925&lt;H1925*(1-Параметры!$B$7),"почасовка",IF(Q1925&gt;H1925*(1+Параметры!$B$7),"сделка","любой способ"))))</f>
        <v>почасовка</v>
      </c>
      <c r="S1925">
        <v>0</v>
      </c>
      <c r="T1925">
        <v>0</v>
      </c>
    </row>
    <row r="1926" spans="1:20" x14ac:dyDescent="0.25">
      <c r="A1926" s="13" t="s">
        <v>3885</v>
      </c>
      <c r="B1926" s="13" t="s">
        <v>3886</v>
      </c>
      <c r="C1926" s="13" t="s">
        <v>144</v>
      </c>
      <c r="D1926" s="13" t="s">
        <v>276</v>
      </c>
      <c r="E1926" s="13" t="str">
        <f>IFERROR(INDEX('Почасовка — ставки и план'!$B$5:$B$24,MATCH(D1926,'Почасовка — ставки и план'!$A$5:$A$24,0)),"Аренда техники / механизмы")</f>
        <v>Монтажник дверей, окон, перегородок</v>
      </c>
      <c r="F1926" s="14">
        <v>2000</v>
      </c>
      <c r="G1926" s="14">
        <v>2300</v>
      </c>
      <c r="H1926" s="15">
        <v>1240</v>
      </c>
      <c r="I1926" s="15">
        <f>IF(OR(H1926="",F1926=""),"",MAX(H1926,MIN(ROUND(H1926*(1+Параметры!$B$5),IF(H1926*(1+Параметры!$B$5)&gt;=1000,-1,0)),ROUND(F1926*Параметры!$B$6,IF(F1926*Параметры!$B$6&gt;=1000,-1,0)))))</f>
        <v>1430</v>
      </c>
      <c r="J1926" s="15">
        <v>1426</v>
      </c>
      <c r="K1926" s="15">
        <f>IF(OR(J1926="",G1926=""),"",MAX(J1926,MIN(ROUND(J1926*(1+Параметры!$B$5),IF(J1926*(1+Параметры!$B$5)&gt;=1000,-1,0)),ROUND(G1926*Параметры!$B$6,IF(G1926*Параметры!$B$6&gt;=1000,-1,0)))))</f>
        <v>1640</v>
      </c>
      <c r="L1926" s="16">
        <v>1.2</v>
      </c>
      <c r="M1926" s="17">
        <f t="shared" si="142"/>
        <v>0.83333333333333337</v>
      </c>
      <c r="N1926" s="17">
        <f>IF(OR(L1926="",L1926=0),"",Параметры!$B$3/L1926)</f>
        <v>6.666666666666667</v>
      </c>
      <c r="O1926" s="15">
        <f>IF(L1926="","",IFERROR(INDEX('Почасовка — ставки и план'!$D$5:$D$24,MATCH($D1926,'Почасовка — ставки и план'!$A$5:$A$24,0)),""))</f>
        <v>800</v>
      </c>
      <c r="P1926" s="15">
        <f>IF(L1926="","",IFERROR(INDEX('Почасовка — ставки и план'!$E$5:$E$24,MATCH($D1926,'Почасовка — ставки и план'!$A$5:$A$24,0)),""))</f>
        <v>950</v>
      </c>
      <c r="Q1926" s="15">
        <f t="shared" si="143"/>
        <v>960</v>
      </c>
      <c r="R1926" s="13" t="str">
        <f>IF(D1926="TEX","аренда техники — сделка/счёт",IF(OR(Q1926="",H1926="",H1926=0),"—",IF(Q1926&lt;H1926*(1-Параметры!$B$7),"почасовка",IF(Q1926&gt;H1926*(1+Параметры!$B$7),"сделка","любой способ"))))</f>
        <v>почасовка</v>
      </c>
      <c r="S1926">
        <v>0</v>
      </c>
      <c r="T1926">
        <v>0</v>
      </c>
    </row>
    <row r="1927" spans="1:20" x14ac:dyDescent="0.25">
      <c r="A1927" s="13" t="s">
        <v>3887</v>
      </c>
      <c r="B1927" s="13" t="s">
        <v>3888</v>
      </c>
      <c r="C1927" s="13" t="s">
        <v>144</v>
      </c>
      <c r="D1927" s="13" t="s">
        <v>276</v>
      </c>
      <c r="E1927" s="13" t="str">
        <f>IFERROR(INDEX('Почасовка — ставки и план'!$B$5:$B$24,MATCH(D1927,'Почасовка — ставки и план'!$A$5:$A$24,0)),"Аренда техники / механизмы")</f>
        <v>Монтажник дверей, окон, перегородок</v>
      </c>
      <c r="F1927" s="14">
        <v>700</v>
      </c>
      <c r="G1927" s="14">
        <v>805</v>
      </c>
      <c r="H1927" s="15">
        <v>434</v>
      </c>
      <c r="I1927" s="15">
        <f>IF(OR(H1927="",F1927=""),"",MAX(H1927,MIN(ROUND(H1927*(1+Параметры!$B$5),IF(H1927*(1+Параметры!$B$5)&gt;=1000,-1,0)),ROUND(F1927*Параметры!$B$6,IF(F1927*Параметры!$B$6&gt;=1000,-1,0)))))</f>
        <v>499</v>
      </c>
      <c r="J1927" s="15">
        <v>499</v>
      </c>
      <c r="K1927" s="15">
        <f>IF(OR(J1927="",G1927=""),"",MAX(J1927,MIN(ROUND(J1927*(1+Параметры!$B$5),IF(J1927*(1+Параметры!$B$5)&gt;=1000,-1,0)),ROUND(G1927*Параметры!$B$6,IF(G1927*Параметры!$B$6&gt;=1000,-1,0)))))</f>
        <v>574</v>
      </c>
      <c r="L1927" s="16">
        <v>0.4</v>
      </c>
      <c r="M1927" s="17">
        <f t="shared" si="142"/>
        <v>2.5</v>
      </c>
      <c r="N1927" s="17">
        <f>IF(OR(L1927="",L1927=0),"",Параметры!$B$3/L1927)</f>
        <v>20</v>
      </c>
      <c r="O1927" s="15">
        <f>IF(L1927="","",IFERROR(INDEX('Почасовка — ставки и план'!$D$5:$D$24,MATCH($D1927,'Почасовка — ставки и план'!$A$5:$A$24,0)),""))</f>
        <v>800</v>
      </c>
      <c r="P1927" s="15">
        <f>IF(L1927="","",IFERROR(INDEX('Почасовка — ставки и план'!$E$5:$E$24,MATCH($D1927,'Почасовка — ставки и план'!$A$5:$A$24,0)),""))</f>
        <v>950</v>
      </c>
      <c r="Q1927" s="15">
        <f t="shared" si="143"/>
        <v>320</v>
      </c>
      <c r="R1927" s="13" t="str">
        <f>IF(D1927="TEX","аренда техники — сделка/счёт",IF(OR(Q1927="",H1927="",H1927=0),"—",IF(Q1927&lt;H1927*(1-Параметры!$B$7),"почасовка",IF(Q1927&gt;H1927*(1+Параметры!$B$7),"сделка","любой способ"))))</f>
        <v>почасовка</v>
      </c>
      <c r="S1927">
        <v>0</v>
      </c>
      <c r="T1927">
        <v>0</v>
      </c>
    </row>
    <row r="1928" spans="1:20" x14ac:dyDescent="0.25">
      <c r="A1928" s="13" t="s">
        <v>3889</v>
      </c>
      <c r="B1928" s="13" t="s">
        <v>3890</v>
      </c>
      <c r="C1928" s="13" t="s">
        <v>144</v>
      </c>
      <c r="D1928" s="13" t="s">
        <v>276</v>
      </c>
      <c r="E1928" s="13" t="str">
        <f>IFERROR(INDEX('Почасовка — ставки и план'!$B$5:$B$24,MATCH(D1928,'Почасовка — ставки и план'!$A$5:$A$24,0)),"Аренда техники / механизмы")</f>
        <v>Монтажник дверей, окон, перегородок</v>
      </c>
      <c r="F1928" s="14">
        <v>2500</v>
      </c>
      <c r="G1928" s="14">
        <v>2875</v>
      </c>
      <c r="H1928" s="15">
        <v>1550</v>
      </c>
      <c r="I1928" s="15">
        <f>IF(OR(H1928="",F1928=""),"",MAX(H1928,MIN(ROUND(H1928*(1+Параметры!$B$5),IF(H1928*(1+Параметры!$B$5)&gt;=1000,-1,0)),ROUND(F1928*Параметры!$B$6,IF(F1928*Параметры!$B$6&gt;=1000,-1,0)))))</f>
        <v>1780</v>
      </c>
      <c r="J1928" s="15">
        <v>1782</v>
      </c>
      <c r="K1928" s="15">
        <f>IF(OR(J1928="",G1928=""),"",MAX(J1928,MIN(ROUND(J1928*(1+Параметры!$B$5),IF(J1928*(1+Параметры!$B$5)&gt;=1000,-1,0)),ROUND(G1928*Параметры!$B$6,IF(G1928*Параметры!$B$6&gt;=1000,-1,0)))))</f>
        <v>2050</v>
      </c>
      <c r="L1928" s="16">
        <v>1.5</v>
      </c>
      <c r="M1928" s="17">
        <f t="shared" si="142"/>
        <v>0.66666666666666663</v>
      </c>
      <c r="N1928" s="17">
        <f>IF(OR(L1928="",L1928=0),"",Параметры!$B$3/L1928)</f>
        <v>5.333333333333333</v>
      </c>
      <c r="O1928" s="15">
        <f>IF(L1928="","",IFERROR(INDEX('Почасовка — ставки и план'!$D$5:$D$24,MATCH($D1928,'Почасовка — ставки и план'!$A$5:$A$24,0)),""))</f>
        <v>800</v>
      </c>
      <c r="P1928" s="15">
        <f>IF(L1928="","",IFERROR(INDEX('Почасовка — ставки и план'!$E$5:$E$24,MATCH($D1928,'Почасовка — ставки и план'!$A$5:$A$24,0)),""))</f>
        <v>950</v>
      </c>
      <c r="Q1928" s="15">
        <f t="shared" si="143"/>
        <v>1200</v>
      </c>
      <c r="R1928" s="13" t="str">
        <f>IF(D1928="TEX","аренда техники — сделка/счёт",IF(OR(Q1928="",H1928="",H1928=0),"—",IF(Q1928&lt;H1928*(1-Параметры!$B$7),"почасовка",IF(Q1928&gt;H1928*(1+Параметры!$B$7),"сделка","любой способ"))))</f>
        <v>почасовка</v>
      </c>
      <c r="S1928">
        <v>0</v>
      </c>
      <c r="T1928">
        <v>0</v>
      </c>
    </row>
    <row r="1929" spans="1:20" x14ac:dyDescent="0.25">
      <c r="A1929" s="13" t="s">
        <v>3891</v>
      </c>
      <c r="B1929" s="13" t="s">
        <v>3892</v>
      </c>
      <c r="C1929" s="13" t="s">
        <v>144</v>
      </c>
      <c r="D1929" s="13" t="s">
        <v>276</v>
      </c>
      <c r="E1929" s="13" t="str">
        <f>IFERROR(INDEX('Почасовка — ставки и план'!$B$5:$B$24,MATCH(D1929,'Почасовка — ставки и план'!$A$5:$A$24,0)),"Аренда техники / механизмы")</f>
        <v>Монтажник дверей, окон, перегородок</v>
      </c>
      <c r="F1929" s="14">
        <v>1800</v>
      </c>
      <c r="G1929" s="14">
        <v>2070</v>
      </c>
      <c r="H1929" s="15">
        <v>1116</v>
      </c>
      <c r="I1929" s="15">
        <f>IF(OR(H1929="",F1929=""),"",MAX(H1929,MIN(ROUND(H1929*(1+Параметры!$B$5),IF(H1929*(1+Параметры!$B$5)&gt;=1000,-1,0)),ROUND(F1929*Параметры!$B$6,IF(F1929*Параметры!$B$6&gt;=1000,-1,0)))))</f>
        <v>1280</v>
      </c>
      <c r="J1929" s="15">
        <v>1283</v>
      </c>
      <c r="K1929" s="15">
        <f>IF(OR(J1929="",G1929=""),"",MAX(J1929,MIN(ROUND(J1929*(1+Параметры!$B$5),IF(J1929*(1+Параметры!$B$5)&gt;=1000,-1,0)),ROUND(G1929*Параметры!$B$6,IF(G1929*Параметры!$B$6&gt;=1000,-1,0)))))</f>
        <v>1480</v>
      </c>
      <c r="L1929" s="16">
        <v>1</v>
      </c>
      <c r="M1929" s="17">
        <f t="shared" si="142"/>
        <v>1</v>
      </c>
      <c r="N1929" s="17">
        <f>IF(OR(L1929="",L1929=0),"",Параметры!$B$3/L1929)</f>
        <v>8</v>
      </c>
      <c r="O1929" s="15">
        <f>IF(L1929="","",IFERROR(INDEX('Почасовка — ставки и план'!$D$5:$D$24,MATCH($D1929,'Почасовка — ставки и план'!$A$5:$A$24,0)),""))</f>
        <v>800</v>
      </c>
      <c r="P1929" s="15">
        <f>IF(L1929="","",IFERROR(INDEX('Почасовка — ставки и план'!$E$5:$E$24,MATCH($D1929,'Почасовка — ставки и план'!$A$5:$A$24,0)),""))</f>
        <v>950</v>
      </c>
      <c r="Q1929" s="15">
        <f t="shared" si="143"/>
        <v>800</v>
      </c>
      <c r="R1929" s="13" t="str">
        <f>IF(D1929="TEX","аренда техники — сделка/счёт",IF(OR(Q1929="",H1929="",H1929=0),"—",IF(Q1929&lt;H1929*(1-Параметры!$B$7),"почасовка",IF(Q1929&gt;H1929*(1+Параметры!$B$7),"сделка","любой способ"))))</f>
        <v>почасовка</v>
      </c>
      <c r="S1929">
        <v>0</v>
      </c>
      <c r="T1929">
        <v>0</v>
      </c>
    </row>
    <row r="1930" spans="1:20" x14ac:dyDescent="0.25">
      <c r="A1930" s="13" t="s">
        <v>3893</v>
      </c>
      <c r="B1930" s="13" t="s">
        <v>3894</v>
      </c>
      <c r="C1930" s="13" t="s">
        <v>144</v>
      </c>
      <c r="D1930" s="13" t="s">
        <v>276</v>
      </c>
      <c r="E1930" s="13" t="str">
        <f>IFERROR(INDEX('Почасовка — ставки и план'!$B$5:$B$24,MATCH(D1930,'Почасовка — ставки и план'!$A$5:$A$24,0)),"Аренда техники / механизмы")</f>
        <v>Монтажник дверей, окон, перегородок</v>
      </c>
      <c r="F1930" s="14">
        <v>1800</v>
      </c>
      <c r="G1930" s="14">
        <v>2070</v>
      </c>
      <c r="H1930" s="15">
        <v>1116</v>
      </c>
      <c r="I1930" s="15">
        <f>IF(OR(H1930="",F1930=""),"",MAX(H1930,MIN(ROUND(H1930*(1+Параметры!$B$5),IF(H1930*(1+Параметры!$B$5)&gt;=1000,-1,0)),ROUND(F1930*Параметры!$B$6,IF(F1930*Параметры!$B$6&gt;=1000,-1,0)))))</f>
        <v>1280</v>
      </c>
      <c r="J1930" s="15">
        <v>1283</v>
      </c>
      <c r="K1930" s="15">
        <f>IF(OR(J1930="",G1930=""),"",MAX(J1930,MIN(ROUND(J1930*(1+Параметры!$B$5),IF(J1930*(1+Параметры!$B$5)&gt;=1000,-1,0)),ROUND(G1930*Параметры!$B$6,IF(G1930*Параметры!$B$6&gt;=1000,-1,0)))))</f>
        <v>1480</v>
      </c>
      <c r="L1930" s="16">
        <v>1</v>
      </c>
      <c r="M1930" s="17">
        <f t="shared" si="142"/>
        <v>1</v>
      </c>
      <c r="N1930" s="17">
        <f>IF(OR(L1930="",L1930=0),"",Параметры!$B$3/L1930)</f>
        <v>8</v>
      </c>
      <c r="O1930" s="15">
        <f>IF(L1930="","",IFERROR(INDEX('Почасовка — ставки и план'!$D$5:$D$24,MATCH($D1930,'Почасовка — ставки и план'!$A$5:$A$24,0)),""))</f>
        <v>800</v>
      </c>
      <c r="P1930" s="15">
        <f>IF(L1930="","",IFERROR(INDEX('Почасовка — ставки и план'!$E$5:$E$24,MATCH($D1930,'Почасовка — ставки и план'!$A$5:$A$24,0)),""))</f>
        <v>950</v>
      </c>
      <c r="Q1930" s="15">
        <f t="shared" si="143"/>
        <v>800</v>
      </c>
      <c r="R1930" s="13" t="str">
        <f>IF(D1930="TEX","аренда техники — сделка/счёт",IF(OR(Q1930="",H1930="",H1930=0),"—",IF(Q1930&lt;H1930*(1-Параметры!$B$7),"почасовка",IF(Q1930&gt;H1930*(1+Параметры!$B$7),"сделка","любой способ"))))</f>
        <v>почасовка</v>
      </c>
      <c r="S1930">
        <v>0</v>
      </c>
      <c r="T1930">
        <v>0</v>
      </c>
    </row>
    <row r="1931" spans="1:20" x14ac:dyDescent="0.25">
      <c r="A1931" s="13" t="s">
        <v>3895</v>
      </c>
      <c r="B1931" s="13" t="s">
        <v>3896</v>
      </c>
      <c r="C1931" s="13" t="s">
        <v>144</v>
      </c>
      <c r="D1931" s="13" t="s">
        <v>276</v>
      </c>
      <c r="E1931" s="13" t="str">
        <f>IFERROR(INDEX('Почасовка — ставки и план'!$B$5:$B$24,MATCH(D1931,'Почасовка — ставки и план'!$A$5:$A$24,0)),"Аренда техники / механизмы")</f>
        <v>Монтажник дверей, окон, перегородок</v>
      </c>
      <c r="F1931" s="14">
        <v>700</v>
      </c>
      <c r="G1931" s="14">
        <v>805</v>
      </c>
      <c r="H1931" s="15">
        <v>434</v>
      </c>
      <c r="I1931" s="15">
        <f>IF(OR(H1931="",F1931=""),"",MAX(H1931,MIN(ROUND(H1931*(1+Параметры!$B$5),IF(H1931*(1+Параметры!$B$5)&gt;=1000,-1,0)),ROUND(F1931*Параметры!$B$6,IF(F1931*Параметры!$B$6&gt;=1000,-1,0)))))</f>
        <v>499</v>
      </c>
      <c r="J1931" s="15">
        <v>499</v>
      </c>
      <c r="K1931" s="15">
        <f>IF(OR(J1931="",G1931=""),"",MAX(J1931,MIN(ROUND(J1931*(1+Параметры!$B$5),IF(J1931*(1+Параметры!$B$5)&gt;=1000,-1,0)),ROUND(G1931*Параметры!$B$6,IF(G1931*Параметры!$B$6&gt;=1000,-1,0)))))</f>
        <v>574</v>
      </c>
      <c r="L1931" s="16">
        <v>0.4</v>
      </c>
      <c r="M1931" s="17">
        <f t="shared" si="142"/>
        <v>2.5</v>
      </c>
      <c r="N1931" s="17">
        <f>IF(OR(L1931="",L1931=0),"",Параметры!$B$3/L1931)</f>
        <v>20</v>
      </c>
      <c r="O1931" s="15">
        <f>IF(L1931="","",IFERROR(INDEX('Почасовка — ставки и план'!$D$5:$D$24,MATCH($D1931,'Почасовка — ставки и план'!$A$5:$A$24,0)),""))</f>
        <v>800</v>
      </c>
      <c r="P1931" s="15">
        <f>IF(L1931="","",IFERROR(INDEX('Почасовка — ставки и план'!$E$5:$E$24,MATCH($D1931,'Почасовка — ставки и план'!$A$5:$A$24,0)),""))</f>
        <v>950</v>
      </c>
      <c r="Q1931" s="15">
        <f t="shared" si="143"/>
        <v>320</v>
      </c>
      <c r="R1931" s="13" t="str">
        <f>IF(D1931="TEX","аренда техники — сделка/счёт",IF(OR(Q1931="",H1931="",H1931=0),"—",IF(Q1931&lt;H1931*(1-Параметры!$B$7),"почасовка",IF(Q1931&gt;H1931*(1+Параметры!$B$7),"сделка","любой способ"))))</f>
        <v>почасовка</v>
      </c>
      <c r="S1931">
        <v>0</v>
      </c>
      <c r="T1931">
        <v>0</v>
      </c>
    </row>
    <row r="1932" spans="1:20" x14ac:dyDescent="0.25">
      <c r="A1932" s="13" t="s">
        <v>3897</v>
      </c>
      <c r="B1932" s="13" t="s">
        <v>3898</v>
      </c>
      <c r="C1932" s="13" t="s">
        <v>144</v>
      </c>
      <c r="D1932" s="13" t="s">
        <v>276</v>
      </c>
      <c r="E1932" s="13" t="str">
        <f>IFERROR(INDEX('Почасовка — ставки и план'!$B$5:$B$24,MATCH(D1932,'Почасовка — ставки и план'!$A$5:$A$24,0)),"Аренда техники / механизмы")</f>
        <v>Монтажник дверей, окон, перегородок</v>
      </c>
      <c r="F1932" s="14">
        <v>3000</v>
      </c>
      <c r="G1932" s="14">
        <v>3450</v>
      </c>
      <c r="H1932" s="15">
        <v>1860</v>
      </c>
      <c r="I1932" s="15">
        <f>IF(OR(H1932="",F1932=""),"",MAX(H1932,MIN(ROUND(H1932*(1+Параметры!$B$5),IF(H1932*(1+Параметры!$B$5)&gt;=1000,-1,0)),ROUND(F1932*Параметры!$B$6,IF(F1932*Параметры!$B$6&gt;=1000,-1,0)))))</f>
        <v>2140</v>
      </c>
      <c r="J1932" s="15">
        <v>2139</v>
      </c>
      <c r="K1932" s="15">
        <f>IF(OR(J1932="",G1932=""),"",MAX(J1932,MIN(ROUND(J1932*(1+Параметры!$B$5),IF(J1932*(1+Параметры!$B$5)&gt;=1000,-1,0)),ROUND(G1932*Параметры!$B$6,IF(G1932*Параметры!$B$6&gt;=1000,-1,0)))))</f>
        <v>2460</v>
      </c>
      <c r="L1932" s="16">
        <v>1.5</v>
      </c>
      <c r="M1932" s="17">
        <f t="shared" si="142"/>
        <v>0.66666666666666663</v>
      </c>
      <c r="N1932" s="17">
        <f>IF(OR(L1932="",L1932=0),"",Параметры!$B$3/L1932)</f>
        <v>5.333333333333333</v>
      </c>
      <c r="O1932" s="15">
        <f>IF(L1932="","",IFERROR(INDEX('Почасовка — ставки и план'!$D$5:$D$24,MATCH($D1932,'Почасовка — ставки и план'!$A$5:$A$24,0)),""))</f>
        <v>800</v>
      </c>
      <c r="P1932" s="15">
        <f>IF(L1932="","",IFERROR(INDEX('Почасовка — ставки и план'!$E$5:$E$24,MATCH($D1932,'Почасовка — ставки и план'!$A$5:$A$24,0)),""))</f>
        <v>950</v>
      </c>
      <c r="Q1932" s="15">
        <f t="shared" si="143"/>
        <v>1200</v>
      </c>
      <c r="R1932" s="13" t="str">
        <f>IF(D1932="TEX","аренда техники — сделка/счёт",IF(OR(Q1932="",H1932="",H1932=0),"—",IF(Q1932&lt;H1932*(1-Параметры!$B$7),"почасовка",IF(Q1932&gt;H1932*(1+Параметры!$B$7),"сделка","любой способ"))))</f>
        <v>почасовка</v>
      </c>
      <c r="S1932">
        <v>0</v>
      </c>
      <c r="T1932">
        <v>0</v>
      </c>
    </row>
    <row r="1933" spans="1:20" x14ac:dyDescent="0.25">
      <c r="A1933" s="13" t="s">
        <v>3899</v>
      </c>
      <c r="B1933" s="13" t="s">
        <v>3900</v>
      </c>
      <c r="C1933" s="13" t="s">
        <v>144</v>
      </c>
      <c r="D1933" s="13" t="s">
        <v>276</v>
      </c>
      <c r="E1933" s="13" t="str">
        <f>IFERROR(INDEX('Почасовка — ставки и план'!$B$5:$B$24,MATCH(D1933,'Почасовка — ставки и план'!$A$5:$A$24,0)),"Аренда техники / механизмы")</f>
        <v>Монтажник дверей, окон, перегородок</v>
      </c>
      <c r="F1933" s="14">
        <v>2000</v>
      </c>
      <c r="G1933" s="14">
        <v>2300</v>
      </c>
      <c r="H1933" s="15">
        <v>1240</v>
      </c>
      <c r="I1933" s="15">
        <f>IF(OR(H1933="",F1933=""),"",MAX(H1933,MIN(ROUND(H1933*(1+Параметры!$B$5),IF(H1933*(1+Параметры!$B$5)&gt;=1000,-1,0)),ROUND(F1933*Параметры!$B$6,IF(F1933*Параметры!$B$6&gt;=1000,-1,0)))))</f>
        <v>1430</v>
      </c>
      <c r="J1933" s="15">
        <v>1426</v>
      </c>
      <c r="K1933" s="15">
        <f>IF(OR(J1933="",G1933=""),"",MAX(J1933,MIN(ROUND(J1933*(1+Параметры!$B$5),IF(J1933*(1+Параметры!$B$5)&gt;=1000,-1,0)),ROUND(G1933*Параметры!$B$6,IF(G1933*Параметры!$B$6&gt;=1000,-1,0)))))</f>
        <v>1640</v>
      </c>
      <c r="L1933" s="16">
        <v>1</v>
      </c>
      <c r="M1933" s="17">
        <f t="shared" si="142"/>
        <v>1</v>
      </c>
      <c r="N1933" s="17">
        <f>IF(OR(L1933="",L1933=0),"",Параметры!$B$3/L1933)</f>
        <v>8</v>
      </c>
      <c r="O1933" s="15">
        <f>IF(L1933="","",IFERROR(INDEX('Почасовка — ставки и план'!$D$5:$D$24,MATCH($D1933,'Почасовка — ставки и план'!$A$5:$A$24,0)),""))</f>
        <v>800</v>
      </c>
      <c r="P1933" s="15">
        <f>IF(L1933="","",IFERROR(INDEX('Почасовка — ставки и план'!$E$5:$E$24,MATCH($D1933,'Почасовка — ставки и план'!$A$5:$A$24,0)),""))</f>
        <v>950</v>
      </c>
      <c r="Q1933" s="15">
        <f t="shared" si="143"/>
        <v>800</v>
      </c>
      <c r="R1933" s="13" t="str">
        <f>IF(D1933="TEX","аренда техники — сделка/счёт",IF(OR(Q1933="",H1933="",H1933=0),"—",IF(Q1933&lt;H1933*(1-Параметры!$B$7),"почасовка",IF(Q1933&gt;H1933*(1+Параметры!$B$7),"сделка","любой способ"))))</f>
        <v>почасовка</v>
      </c>
      <c r="S1933">
        <v>0</v>
      </c>
      <c r="T1933">
        <v>0</v>
      </c>
    </row>
    <row r="1934" spans="1:20" x14ac:dyDescent="0.25">
      <c r="A1934" s="13" t="s">
        <v>3901</v>
      </c>
      <c r="B1934" s="13" t="s">
        <v>3902</v>
      </c>
      <c r="C1934" s="13" t="s">
        <v>144</v>
      </c>
      <c r="D1934" s="13" t="s">
        <v>276</v>
      </c>
      <c r="E1934" s="13" t="str">
        <f>IFERROR(INDEX('Почасовка — ставки и план'!$B$5:$B$24,MATCH(D1934,'Почасовка — ставки и план'!$A$5:$A$24,0)),"Аренда техники / механизмы")</f>
        <v>Монтажник дверей, окон, перегородок</v>
      </c>
      <c r="F1934" s="14">
        <v>900</v>
      </c>
      <c r="G1934" s="14">
        <v>1035</v>
      </c>
      <c r="H1934" s="15">
        <v>558</v>
      </c>
      <c r="I1934" s="15">
        <f>IF(OR(H1934="",F1934=""),"",MAX(H1934,MIN(ROUND(H1934*(1+Параметры!$B$5),IF(H1934*(1+Параметры!$B$5)&gt;=1000,-1,0)),ROUND(F1934*Параметры!$B$6,IF(F1934*Параметры!$B$6&gt;=1000,-1,0)))))</f>
        <v>642</v>
      </c>
      <c r="J1934" s="15">
        <v>642</v>
      </c>
      <c r="K1934" s="15">
        <f>IF(OR(J1934="",G1934=""),"",MAX(J1934,MIN(ROUND(J1934*(1+Параметры!$B$5),IF(J1934*(1+Параметры!$B$5)&gt;=1000,-1,0)),ROUND(G1934*Параметры!$B$6,IF(G1934*Параметры!$B$6&gt;=1000,-1,0)))))</f>
        <v>738</v>
      </c>
      <c r="L1934" s="16">
        <v>0.5</v>
      </c>
      <c r="M1934" s="17">
        <f t="shared" si="142"/>
        <v>2</v>
      </c>
      <c r="N1934" s="17">
        <f>IF(OR(L1934="",L1934=0),"",Параметры!$B$3/L1934)</f>
        <v>16</v>
      </c>
      <c r="O1934" s="15">
        <f>IF(L1934="","",IFERROR(INDEX('Почасовка — ставки и план'!$D$5:$D$24,MATCH($D1934,'Почасовка — ставки и план'!$A$5:$A$24,0)),""))</f>
        <v>800</v>
      </c>
      <c r="P1934" s="15">
        <f>IF(L1934="","",IFERROR(INDEX('Почасовка — ставки и план'!$E$5:$E$24,MATCH($D1934,'Почасовка — ставки и план'!$A$5:$A$24,0)),""))</f>
        <v>950</v>
      </c>
      <c r="Q1934" s="15">
        <f t="shared" si="143"/>
        <v>400</v>
      </c>
      <c r="R1934" s="13" t="str">
        <f>IF(D1934="TEX","аренда техники — сделка/счёт",IF(OR(Q1934="",H1934="",H1934=0),"—",IF(Q1934&lt;H1934*(1-Параметры!$B$7),"почасовка",IF(Q1934&gt;H1934*(1+Параметры!$B$7),"сделка","любой способ"))))</f>
        <v>почасовка</v>
      </c>
      <c r="S1934">
        <v>0</v>
      </c>
      <c r="T1934">
        <v>0</v>
      </c>
    </row>
    <row r="1935" spans="1:20" x14ac:dyDescent="0.25">
      <c r="A1935" s="13" t="s">
        <v>3903</v>
      </c>
      <c r="B1935" s="13" t="s">
        <v>3904</v>
      </c>
      <c r="C1935" s="13" t="s">
        <v>144</v>
      </c>
      <c r="D1935" s="13" t="s">
        <v>276</v>
      </c>
      <c r="E1935" s="13" t="str">
        <f>IFERROR(INDEX('Почасовка — ставки и план'!$B$5:$B$24,MATCH(D1935,'Почасовка — ставки и план'!$A$5:$A$24,0)),"Аренда техники / механизмы")</f>
        <v>Монтажник дверей, окон, перегородок</v>
      </c>
      <c r="F1935" s="14">
        <v>1800</v>
      </c>
      <c r="G1935" s="14">
        <v>2070</v>
      </c>
      <c r="H1935" s="15">
        <v>1116</v>
      </c>
      <c r="I1935" s="15">
        <f>IF(OR(H1935="",F1935=""),"",MAX(H1935,MIN(ROUND(H1935*(1+Параметры!$B$5),IF(H1935*(1+Параметры!$B$5)&gt;=1000,-1,0)),ROUND(F1935*Параметры!$B$6,IF(F1935*Параметры!$B$6&gt;=1000,-1,0)))))</f>
        <v>1280</v>
      </c>
      <c r="J1935" s="15">
        <v>1283</v>
      </c>
      <c r="K1935" s="15">
        <f>IF(OR(J1935="",G1935=""),"",MAX(J1935,MIN(ROUND(J1935*(1+Параметры!$B$5),IF(J1935*(1+Параметры!$B$5)&gt;=1000,-1,0)),ROUND(G1935*Параметры!$B$6,IF(G1935*Параметры!$B$6&gt;=1000,-1,0)))))</f>
        <v>1480</v>
      </c>
      <c r="L1935" s="16">
        <v>1</v>
      </c>
      <c r="M1935" s="17">
        <f t="shared" si="142"/>
        <v>1</v>
      </c>
      <c r="N1935" s="17">
        <f>IF(OR(L1935="",L1935=0),"",Параметры!$B$3/L1935)</f>
        <v>8</v>
      </c>
      <c r="O1935" s="15">
        <f>IF(L1935="","",IFERROR(INDEX('Почасовка — ставки и план'!$D$5:$D$24,MATCH($D1935,'Почасовка — ставки и план'!$A$5:$A$24,0)),""))</f>
        <v>800</v>
      </c>
      <c r="P1935" s="15">
        <f>IF(L1935="","",IFERROR(INDEX('Почасовка — ставки и план'!$E$5:$E$24,MATCH($D1935,'Почасовка — ставки и план'!$A$5:$A$24,0)),""))</f>
        <v>950</v>
      </c>
      <c r="Q1935" s="15">
        <f t="shared" si="143"/>
        <v>800</v>
      </c>
      <c r="R1935" s="13" t="str">
        <f>IF(D1935="TEX","аренда техники — сделка/счёт",IF(OR(Q1935="",H1935="",H1935=0),"—",IF(Q1935&lt;H1935*(1-Параметры!$B$7),"почасовка",IF(Q1935&gt;H1935*(1+Параметры!$B$7),"сделка","любой способ"))))</f>
        <v>почасовка</v>
      </c>
      <c r="S1935">
        <v>0</v>
      </c>
      <c r="T1935">
        <v>0</v>
      </c>
    </row>
    <row r="1936" spans="1:20" x14ac:dyDescent="0.25">
      <c r="A1936" s="13" t="s">
        <v>3905</v>
      </c>
      <c r="B1936" s="13" t="s">
        <v>3906</v>
      </c>
      <c r="C1936" s="13" t="s">
        <v>144</v>
      </c>
      <c r="D1936" s="13" t="s">
        <v>276</v>
      </c>
      <c r="E1936" s="13" t="str">
        <f>IFERROR(INDEX('Почасовка — ставки и план'!$B$5:$B$24,MATCH(D1936,'Почасовка — ставки и план'!$A$5:$A$24,0)),"Аренда техники / механизмы")</f>
        <v>Монтажник дверей, окон, перегородок</v>
      </c>
      <c r="F1936" s="14">
        <v>900</v>
      </c>
      <c r="G1936" s="14">
        <v>1035</v>
      </c>
      <c r="H1936" s="15">
        <v>558</v>
      </c>
      <c r="I1936" s="15">
        <f>IF(OR(H1936="",F1936=""),"",MAX(H1936,MIN(ROUND(H1936*(1+Параметры!$B$5),IF(H1936*(1+Параметры!$B$5)&gt;=1000,-1,0)),ROUND(F1936*Параметры!$B$6,IF(F1936*Параметры!$B$6&gt;=1000,-1,0)))))</f>
        <v>642</v>
      </c>
      <c r="J1936" s="15">
        <v>642</v>
      </c>
      <c r="K1936" s="15">
        <f>IF(OR(J1936="",G1936=""),"",MAX(J1936,MIN(ROUND(J1936*(1+Параметры!$B$5),IF(J1936*(1+Параметры!$B$5)&gt;=1000,-1,0)),ROUND(G1936*Параметры!$B$6,IF(G1936*Параметры!$B$6&gt;=1000,-1,0)))))</f>
        <v>738</v>
      </c>
      <c r="L1936" s="16">
        <v>0.5</v>
      </c>
      <c r="M1936" s="17">
        <f t="shared" si="142"/>
        <v>2</v>
      </c>
      <c r="N1936" s="17">
        <f>IF(OR(L1936="",L1936=0),"",Параметры!$B$3/L1936)</f>
        <v>16</v>
      </c>
      <c r="O1936" s="15">
        <f>IF(L1936="","",IFERROR(INDEX('Почасовка — ставки и план'!$D$5:$D$24,MATCH($D1936,'Почасовка — ставки и план'!$A$5:$A$24,0)),""))</f>
        <v>800</v>
      </c>
      <c r="P1936" s="15">
        <f>IF(L1936="","",IFERROR(INDEX('Почасовка — ставки и план'!$E$5:$E$24,MATCH($D1936,'Почасовка — ставки и план'!$A$5:$A$24,0)),""))</f>
        <v>950</v>
      </c>
      <c r="Q1936" s="15">
        <f t="shared" si="143"/>
        <v>400</v>
      </c>
      <c r="R1936" s="13" t="str">
        <f>IF(D1936="TEX","аренда техники — сделка/счёт",IF(OR(Q1936="",H1936="",H1936=0),"—",IF(Q1936&lt;H1936*(1-Параметры!$B$7),"почасовка",IF(Q1936&gt;H1936*(1+Параметры!$B$7),"сделка","любой способ"))))</f>
        <v>почасовка</v>
      </c>
      <c r="S1936">
        <v>0</v>
      </c>
      <c r="T1936">
        <v>0</v>
      </c>
    </row>
    <row r="1937" spans="1:20" x14ac:dyDescent="0.25">
      <c r="A1937" s="13" t="s">
        <v>3907</v>
      </c>
      <c r="B1937" s="13" t="s">
        <v>3908</v>
      </c>
      <c r="C1937" s="13" t="s">
        <v>144</v>
      </c>
      <c r="D1937" s="13" t="s">
        <v>276</v>
      </c>
      <c r="E1937" s="13" t="str">
        <f>IFERROR(INDEX('Почасовка — ставки и план'!$B$5:$B$24,MATCH(D1937,'Почасовка — ставки и план'!$A$5:$A$24,0)),"Аренда техники / механизмы")</f>
        <v>Монтажник дверей, окон, перегородок</v>
      </c>
      <c r="F1937" s="14">
        <v>600</v>
      </c>
      <c r="G1937" s="14">
        <v>690</v>
      </c>
      <c r="H1937" s="15">
        <v>372</v>
      </c>
      <c r="I1937" s="15">
        <f>IF(OR(H1937="",F1937=""),"",MAX(H1937,MIN(ROUND(H1937*(1+Параметры!$B$5),IF(H1937*(1+Параметры!$B$5)&gt;=1000,-1,0)),ROUND(F1937*Параметры!$B$6,IF(F1937*Параметры!$B$6&gt;=1000,-1,0)))))</f>
        <v>428</v>
      </c>
      <c r="J1937" s="15">
        <v>428</v>
      </c>
      <c r="K1937" s="15">
        <f>IF(OR(J1937="",G1937=""),"",MAX(J1937,MIN(ROUND(J1937*(1+Параметры!$B$5),IF(J1937*(1+Параметры!$B$5)&gt;=1000,-1,0)),ROUND(G1937*Параметры!$B$6,IF(G1937*Параметры!$B$6&gt;=1000,-1,0)))))</f>
        <v>492</v>
      </c>
      <c r="L1937" s="16">
        <v>0.3</v>
      </c>
      <c r="M1937" s="17">
        <f t="shared" si="142"/>
        <v>3.3333333333333335</v>
      </c>
      <c r="N1937" s="17">
        <f>IF(OR(L1937="",L1937=0),"",Параметры!$B$3/L1937)</f>
        <v>26.666666666666668</v>
      </c>
      <c r="O1937" s="15">
        <f>IF(L1937="","",IFERROR(INDEX('Почасовка — ставки и план'!$D$5:$D$24,MATCH($D1937,'Почасовка — ставки и план'!$A$5:$A$24,0)),""))</f>
        <v>800</v>
      </c>
      <c r="P1937" s="15">
        <f>IF(L1937="","",IFERROR(INDEX('Почасовка — ставки и план'!$E$5:$E$24,MATCH($D1937,'Почасовка — ставки и план'!$A$5:$A$24,0)),""))</f>
        <v>950</v>
      </c>
      <c r="Q1937" s="15">
        <f t="shared" si="143"/>
        <v>240</v>
      </c>
      <c r="R1937" s="13" t="str">
        <f>IF(D1937="TEX","аренда техники — сделка/счёт",IF(OR(Q1937="",H1937="",H1937=0),"—",IF(Q1937&lt;H1937*(1-Параметры!$B$7),"почасовка",IF(Q1937&gt;H1937*(1+Параметры!$B$7),"сделка","любой способ"))))</f>
        <v>почасовка</v>
      </c>
      <c r="S1937">
        <v>0</v>
      </c>
      <c r="T1937">
        <v>0</v>
      </c>
    </row>
    <row r="1938" spans="1:20" x14ac:dyDescent="0.25">
      <c r="A1938" s="13" t="s">
        <v>3909</v>
      </c>
      <c r="B1938" s="13" t="s">
        <v>3910</v>
      </c>
      <c r="C1938" s="13" t="s">
        <v>144</v>
      </c>
      <c r="D1938" s="13" t="s">
        <v>276</v>
      </c>
      <c r="E1938" s="13" t="str">
        <f>IFERROR(INDEX('Почасовка — ставки и план'!$B$5:$B$24,MATCH(D1938,'Почасовка — ставки и план'!$A$5:$A$24,0)),"Аренда техники / механизмы")</f>
        <v>Монтажник дверей, окон, перегородок</v>
      </c>
      <c r="F1938" s="14">
        <v>1800</v>
      </c>
      <c r="G1938" s="14">
        <v>2070</v>
      </c>
      <c r="H1938" s="15">
        <v>1116</v>
      </c>
      <c r="I1938" s="15">
        <f>IF(OR(H1938="",F1938=""),"",MAX(H1938,MIN(ROUND(H1938*(1+Параметры!$B$5),IF(H1938*(1+Параметры!$B$5)&gt;=1000,-1,0)),ROUND(F1938*Параметры!$B$6,IF(F1938*Параметры!$B$6&gt;=1000,-1,0)))))</f>
        <v>1280</v>
      </c>
      <c r="J1938" s="15">
        <v>1283</v>
      </c>
      <c r="K1938" s="15">
        <f>IF(OR(J1938="",G1938=""),"",MAX(J1938,MIN(ROUND(J1938*(1+Параметры!$B$5),IF(J1938*(1+Параметры!$B$5)&gt;=1000,-1,0)),ROUND(G1938*Параметры!$B$6,IF(G1938*Параметры!$B$6&gt;=1000,-1,0)))))</f>
        <v>1480</v>
      </c>
      <c r="L1938" s="16">
        <v>1</v>
      </c>
      <c r="M1938" s="17">
        <f t="shared" si="142"/>
        <v>1</v>
      </c>
      <c r="N1938" s="17">
        <f>IF(OR(L1938="",L1938=0),"",Параметры!$B$3/L1938)</f>
        <v>8</v>
      </c>
      <c r="O1938" s="15">
        <f>IF(L1938="","",IFERROR(INDEX('Почасовка — ставки и план'!$D$5:$D$24,MATCH($D1938,'Почасовка — ставки и план'!$A$5:$A$24,0)),""))</f>
        <v>800</v>
      </c>
      <c r="P1938" s="15">
        <f>IF(L1938="","",IFERROR(INDEX('Почасовка — ставки и план'!$E$5:$E$24,MATCH($D1938,'Почасовка — ставки и план'!$A$5:$A$24,0)),""))</f>
        <v>950</v>
      </c>
      <c r="Q1938" s="15">
        <f t="shared" si="143"/>
        <v>800</v>
      </c>
      <c r="R1938" s="13" t="str">
        <f>IF(D1938="TEX","аренда техники — сделка/счёт",IF(OR(Q1938="",H1938="",H1938=0),"—",IF(Q1938&lt;H1938*(1-Параметры!$B$7),"почасовка",IF(Q1938&gt;H1938*(1+Параметры!$B$7),"сделка","любой способ"))))</f>
        <v>почасовка</v>
      </c>
      <c r="S1938">
        <v>0</v>
      </c>
      <c r="T1938">
        <v>0</v>
      </c>
    </row>
    <row r="1939" spans="1:20" x14ac:dyDescent="0.25">
      <c r="A1939" s="13" t="s">
        <v>3911</v>
      </c>
      <c r="B1939" s="13" t="s">
        <v>3912</v>
      </c>
      <c r="C1939" s="13" t="s">
        <v>144</v>
      </c>
      <c r="D1939" s="13" t="s">
        <v>276</v>
      </c>
      <c r="E1939" s="13" t="str">
        <f>IFERROR(INDEX('Почасовка — ставки и план'!$B$5:$B$24,MATCH(D1939,'Почасовка — ставки и план'!$A$5:$A$24,0)),"Аренда техники / механизмы")</f>
        <v>Монтажник дверей, окон, перегородок</v>
      </c>
      <c r="F1939" s="14">
        <v>900</v>
      </c>
      <c r="G1939" s="14">
        <v>1035</v>
      </c>
      <c r="H1939" s="15">
        <v>558</v>
      </c>
      <c r="I1939" s="15">
        <f>IF(OR(H1939="",F1939=""),"",MAX(H1939,MIN(ROUND(H1939*(1+Параметры!$B$5),IF(H1939*(1+Параметры!$B$5)&gt;=1000,-1,0)),ROUND(F1939*Параметры!$B$6,IF(F1939*Параметры!$B$6&gt;=1000,-1,0)))))</f>
        <v>642</v>
      </c>
      <c r="J1939" s="15">
        <v>642</v>
      </c>
      <c r="K1939" s="15">
        <f>IF(OR(J1939="",G1939=""),"",MAX(J1939,MIN(ROUND(J1939*(1+Параметры!$B$5),IF(J1939*(1+Параметры!$B$5)&gt;=1000,-1,0)),ROUND(G1939*Параметры!$B$6,IF(G1939*Параметры!$B$6&gt;=1000,-1,0)))))</f>
        <v>738</v>
      </c>
      <c r="L1939" s="16">
        <v>0.5</v>
      </c>
      <c r="M1939" s="17">
        <f t="shared" si="142"/>
        <v>2</v>
      </c>
      <c r="N1939" s="17">
        <f>IF(OR(L1939="",L1939=0),"",Параметры!$B$3/L1939)</f>
        <v>16</v>
      </c>
      <c r="O1939" s="15">
        <f>IF(L1939="","",IFERROR(INDEX('Почасовка — ставки и план'!$D$5:$D$24,MATCH($D1939,'Почасовка — ставки и план'!$A$5:$A$24,0)),""))</f>
        <v>800</v>
      </c>
      <c r="P1939" s="15">
        <f>IF(L1939="","",IFERROR(INDEX('Почасовка — ставки и план'!$E$5:$E$24,MATCH($D1939,'Почасовка — ставки и план'!$A$5:$A$24,0)),""))</f>
        <v>950</v>
      </c>
      <c r="Q1939" s="15">
        <f t="shared" si="143"/>
        <v>400</v>
      </c>
      <c r="R1939" s="13" t="str">
        <f>IF(D1939="TEX","аренда техники — сделка/счёт",IF(OR(Q1939="",H1939="",H1939=0),"—",IF(Q1939&lt;H1939*(1-Параметры!$B$7),"почасовка",IF(Q1939&gt;H1939*(1+Параметры!$B$7),"сделка","любой способ"))))</f>
        <v>почасовка</v>
      </c>
      <c r="S1939">
        <v>0</v>
      </c>
      <c r="T1939">
        <v>0</v>
      </c>
    </row>
    <row r="1940" spans="1:20" x14ac:dyDescent="0.25">
      <c r="A1940" s="13" t="s">
        <v>3913</v>
      </c>
      <c r="B1940" s="13" t="s">
        <v>3914</v>
      </c>
      <c r="C1940" s="13" t="s">
        <v>144</v>
      </c>
      <c r="D1940" s="13" t="s">
        <v>276</v>
      </c>
      <c r="E1940" s="13" t="str">
        <f>IFERROR(INDEX('Почасовка — ставки и план'!$B$5:$B$24,MATCH(D1940,'Почасовка — ставки и план'!$A$5:$A$24,0)),"Аренда техники / механизмы")</f>
        <v>Монтажник дверей, окон, перегородок</v>
      </c>
      <c r="F1940" s="14">
        <v>1800</v>
      </c>
      <c r="G1940" s="14">
        <v>2070</v>
      </c>
      <c r="H1940" s="15">
        <v>1116</v>
      </c>
      <c r="I1940" s="15">
        <f>IF(OR(H1940="",F1940=""),"",MAX(H1940,MIN(ROUND(H1940*(1+Параметры!$B$5),IF(H1940*(1+Параметры!$B$5)&gt;=1000,-1,0)),ROUND(F1940*Параметры!$B$6,IF(F1940*Параметры!$B$6&gt;=1000,-1,0)))))</f>
        <v>1280</v>
      </c>
      <c r="J1940" s="15">
        <v>1283</v>
      </c>
      <c r="K1940" s="15">
        <f>IF(OR(J1940="",G1940=""),"",MAX(J1940,MIN(ROUND(J1940*(1+Параметры!$B$5),IF(J1940*(1+Параметры!$B$5)&gt;=1000,-1,0)),ROUND(G1940*Параметры!$B$6,IF(G1940*Параметры!$B$6&gt;=1000,-1,0)))))</f>
        <v>1480</v>
      </c>
      <c r="L1940" s="16">
        <v>1</v>
      </c>
      <c r="M1940" s="17">
        <f t="shared" si="142"/>
        <v>1</v>
      </c>
      <c r="N1940" s="17">
        <f>IF(OR(L1940="",L1940=0),"",Параметры!$B$3/L1940)</f>
        <v>8</v>
      </c>
      <c r="O1940" s="15">
        <f>IF(L1940="","",IFERROR(INDEX('Почасовка — ставки и план'!$D$5:$D$24,MATCH($D1940,'Почасовка — ставки и план'!$A$5:$A$24,0)),""))</f>
        <v>800</v>
      </c>
      <c r="P1940" s="15">
        <f>IF(L1940="","",IFERROR(INDEX('Почасовка — ставки и план'!$E$5:$E$24,MATCH($D1940,'Почасовка — ставки и план'!$A$5:$A$24,0)),""))</f>
        <v>950</v>
      </c>
      <c r="Q1940" s="15">
        <f t="shared" si="143"/>
        <v>800</v>
      </c>
      <c r="R1940" s="13" t="str">
        <f>IF(D1940="TEX","аренда техники — сделка/счёт",IF(OR(Q1940="",H1940="",H1940=0),"—",IF(Q1940&lt;H1940*(1-Параметры!$B$7),"почасовка",IF(Q1940&gt;H1940*(1+Параметры!$B$7),"сделка","любой способ"))))</f>
        <v>почасовка</v>
      </c>
      <c r="S1940">
        <v>0</v>
      </c>
      <c r="T1940">
        <v>0</v>
      </c>
    </row>
    <row r="1941" spans="1:20" x14ac:dyDescent="0.25">
      <c r="A1941" s="13" t="s">
        <v>3915</v>
      </c>
      <c r="B1941" s="13" t="s">
        <v>3916</v>
      </c>
      <c r="C1941" s="13" t="s">
        <v>144</v>
      </c>
      <c r="D1941" s="13" t="s">
        <v>276</v>
      </c>
      <c r="E1941" s="13" t="str">
        <f>IFERROR(INDEX('Почасовка — ставки и план'!$B$5:$B$24,MATCH(D1941,'Почасовка — ставки и план'!$A$5:$A$24,0)),"Аренда техники / механизмы")</f>
        <v>Монтажник дверей, окон, перегородок</v>
      </c>
      <c r="F1941" s="14">
        <v>6500</v>
      </c>
      <c r="G1941" s="14">
        <v>7475</v>
      </c>
      <c r="H1941" s="15">
        <v>4030</v>
      </c>
      <c r="I1941" s="15">
        <f>IF(OR(H1941="",F1941=""),"",MAX(H1941,MIN(ROUND(H1941*(1+Параметры!$B$5),IF(H1941*(1+Параметры!$B$5)&gt;=1000,-1,0)),ROUND(F1941*Параметры!$B$6,IF(F1941*Параметры!$B$6&gt;=1000,-1,0)))))</f>
        <v>4630</v>
      </c>
      <c r="J1941" s="15">
        <v>4634</v>
      </c>
      <c r="K1941" s="15">
        <f>IF(OR(J1941="",G1941=""),"",MAX(J1941,MIN(ROUND(J1941*(1+Параметры!$B$5),IF(J1941*(1+Параметры!$B$5)&gt;=1000,-1,0)),ROUND(G1941*Параметры!$B$6,IF(G1941*Параметры!$B$6&gt;=1000,-1,0)))))</f>
        <v>5330</v>
      </c>
      <c r="L1941" s="16">
        <v>4</v>
      </c>
      <c r="M1941" s="17">
        <f t="shared" si="142"/>
        <v>0.25</v>
      </c>
      <c r="N1941" s="17">
        <f>IF(OR(L1941="",L1941=0),"",Параметры!$B$3/L1941)</f>
        <v>2</v>
      </c>
      <c r="O1941" s="15">
        <f>IF(L1941="","",IFERROR(INDEX('Почасовка — ставки и план'!$D$5:$D$24,MATCH($D1941,'Почасовка — ставки и план'!$A$5:$A$24,0)),""))</f>
        <v>800</v>
      </c>
      <c r="P1941" s="15">
        <f>IF(L1941="","",IFERROR(INDEX('Почасовка — ставки и план'!$E$5:$E$24,MATCH($D1941,'Почасовка — ставки и план'!$A$5:$A$24,0)),""))</f>
        <v>950</v>
      </c>
      <c r="Q1941" s="15">
        <f t="shared" si="143"/>
        <v>3200</v>
      </c>
      <c r="R1941" s="13" t="str">
        <f>IF(D1941="TEX","аренда техники — сделка/счёт",IF(OR(Q1941="",H1941="",H1941=0),"—",IF(Q1941&lt;H1941*(1-Параметры!$B$7),"почасовка",IF(Q1941&gt;H1941*(1+Параметры!$B$7),"сделка","любой способ"))))</f>
        <v>почасовка</v>
      </c>
      <c r="S1941">
        <v>0</v>
      </c>
      <c r="T1941">
        <v>0</v>
      </c>
    </row>
    <row r="1942" spans="1:20" x14ac:dyDescent="0.25">
      <c r="A1942" s="13" t="s">
        <v>3917</v>
      </c>
      <c r="B1942" s="13" t="s">
        <v>3918</v>
      </c>
      <c r="C1942" s="13" t="s">
        <v>72</v>
      </c>
      <c r="D1942" s="13" t="s">
        <v>276</v>
      </c>
      <c r="E1942" s="13" t="str">
        <f>IFERROR(INDEX('Почасовка — ставки и план'!$B$5:$B$24,MATCH(D1942,'Почасовка — ставки и план'!$A$5:$A$24,0)),"Аренда техники / механизмы")</f>
        <v>Монтажник дверей, окон, перегородок</v>
      </c>
      <c r="F1942" s="14">
        <v>3200</v>
      </c>
      <c r="G1942" s="14">
        <v>3680</v>
      </c>
      <c r="H1942" s="15">
        <v>1984</v>
      </c>
      <c r="I1942" s="15">
        <f>IF(OR(H1942="",F1942=""),"",MAX(H1942,MIN(ROUND(H1942*(1+Параметры!$B$5),IF(H1942*(1+Параметры!$B$5)&gt;=1000,-1,0)),ROUND(F1942*Параметры!$B$6,IF(F1942*Параметры!$B$6&gt;=1000,-1,0)))))</f>
        <v>2280</v>
      </c>
      <c r="J1942" s="15">
        <v>2282</v>
      </c>
      <c r="K1942" s="15">
        <f>IF(OR(J1942="",G1942=""),"",MAX(J1942,MIN(ROUND(J1942*(1+Параметры!$B$5),IF(J1942*(1+Параметры!$B$5)&gt;=1000,-1,0)),ROUND(G1942*Параметры!$B$6,IF(G1942*Параметры!$B$6&gt;=1000,-1,0)))))</f>
        <v>2620</v>
      </c>
      <c r="L1942" s="16">
        <v>2</v>
      </c>
      <c r="M1942" s="17">
        <f t="shared" si="142"/>
        <v>0.5</v>
      </c>
      <c r="N1942" s="17">
        <f>IF(OR(L1942="",L1942=0),"",Параметры!$B$3/L1942)</f>
        <v>4</v>
      </c>
      <c r="O1942" s="15">
        <f>IF(L1942="","",IFERROR(INDEX('Почасовка — ставки и план'!$D$5:$D$24,MATCH($D1942,'Почасовка — ставки и план'!$A$5:$A$24,0)),""))</f>
        <v>800</v>
      </c>
      <c r="P1942" s="15">
        <f>IF(L1942="","",IFERROR(INDEX('Почасовка — ставки и план'!$E$5:$E$24,MATCH($D1942,'Почасовка — ставки и план'!$A$5:$A$24,0)),""))</f>
        <v>950</v>
      </c>
      <c r="Q1942" s="15">
        <f t="shared" si="143"/>
        <v>1600</v>
      </c>
      <c r="R1942" s="13" t="str">
        <f>IF(D1942="TEX","аренда техники — сделка/счёт",IF(OR(Q1942="",H1942="",H1942=0),"—",IF(Q1942&lt;H1942*(1-Параметры!$B$7),"почасовка",IF(Q1942&gt;H1942*(1+Параметры!$B$7),"сделка","любой способ"))))</f>
        <v>почасовка</v>
      </c>
      <c r="S1942">
        <v>0</v>
      </c>
      <c r="T1942">
        <v>0</v>
      </c>
    </row>
    <row r="1943" spans="1:20" x14ac:dyDescent="0.25">
      <c r="A1943" s="13" t="s">
        <v>3919</v>
      </c>
      <c r="B1943" s="13" t="s">
        <v>3920</v>
      </c>
      <c r="C1943" s="13" t="s">
        <v>144</v>
      </c>
      <c r="D1943" s="13" t="s">
        <v>276</v>
      </c>
      <c r="E1943" s="13" t="str">
        <f>IFERROR(INDEX('Почасовка — ставки и план'!$B$5:$B$24,MATCH(D1943,'Почасовка — ставки и план'!$A$5:$A$24,0)),"Аренда техники / механизмы")</f>
        <v>Монтажник дверей, окон, перегородок</v>
      </c>
      <c r="F1943" s="14">
        <v>13000</v>
      </c>
      <c r="G1943" s="14">
        <v>14950</v>
      </c>
      <c r="H1943" s="15">
        <v>8060</v>
      </c>
      <c r="I1943" s="15">
        <f>IF(OR(H1943="",F1943=""),"",MAX(H1943,MIN(ROUND(H1943*(1+Параметры!$B$5),IF(H1943*(1+Параметры!$B$5)&gt;=1000,-1,0)),ROUND(F1943*Параметры!$B$6,IF(F1943*Параметры!$B$6&gt;=1000,-1,0)))))</f>
        <v>9270</v>
      </c>
      <c r="J1943" s="15">
        <v>9269</v>
      </c>
      <c r="K1943" s="15">
        <f>IF(OR(J1943="",G1943=""),"",MAX(J1943,MIN(ROUND(J1943*(1+Параметры!$B$5),IF(J1943*(1+Параметры!$B$5)&gt;=1000,-1,0)),ROUND(G1943*Параметры!$B$6,IF(G1943*Параметры!$B$6&gt;=1000,-1,0)))))</f>
        <v>10660</v>
      </c>
      <c r="L1943" s="16">
        <v>7</v>
      </c>
      <c r="M1943" s="17">
        <f t="shared" si="142"/>
        <v>0.14285714285714285</v>
      </c>
      <c r="N1943" s="17">
        <f>IF(OR(L1943="",L1943=0),"",Параметры!$B$3/L1943)</f>
        <v>1.1428571428571428</v>
      </c>
      <c r="O1943" s="15">
        <f>IF(L1943="","",IFERROR(INDEX('Почасовка — ставки и план'!$D$5:$D$24,MATCH($D1943,'Почасовка — ставки и план'!$A$5:$A$24,0)),""))</f>
        <v>800</v>
      </c>
      <c r="P1943" s="15">
        <f>IF(L1943="","",IFERROR(INDEX('Почасовка — ставки и план'!$E$5:$E$24,MATCH($D1943,'Почасовка — ставки и план'!$A$5:$A$24,0)),""))</f>
        <v>950</v>
      </c>
      <c r="Q1943" s="15">
        <f t="shared" si="143"/>
        <v>5600</v>
      </c>
      <c r="R1943" s="13" t="str">
        <f>IF(D1943="TEX","аренда техники — сделка/счёт",IF(OR(Q1943="",H1943="",H1943=0),"—",IF(Q1943&lt;H1943*(1-Параметры!$B$7),"почасовка",IF(Q1943&gt;H1943*(1+Параметры!$B$7),"сделка","любой способ"))))</f>
        <v>почасовка</v>
      </c>
      <c r="S1943">
        <v>0</v>
      </c>
      <c r="T1943">
        <v>0</v>
      </c>
    </row>
    <row r="1944" spans="1:20" x14ac:dyDescent="0.25">
      <c r="A1944" s="13" t="s">
        <v>3921</v>
      </c>
      <c r="B1944" s="13" t="s">
        <v>3922</v>
      </c>
      <c r="C1944" s="13" t="s">
        <v>144</v>
      </c>
      <c r="D1944" s="13" t="s">
        <v>276</v>
      </c>
      <c r="E1944" s="13" t="str">
        <f>IFERROR(INDEX('Почасовка — ставки и план'!$B$5:$B$24,MATCH(D1944,'Почасовка — ставки и план'!$A$5:$A$24,0)),"Аренда техники / механизмы")</f>
        <v>Монтажник дверей, окон, перегородок</v>
      </c>
      <c r="F1944" s="14">
        <v>9500</v>
      </c>
      <c r="G1944" s="14">
        <v>10925</v>
      </c>
      <c r="H1944" s="15">
        <v>5890</v>
      </c>
      <c r="I1944" s="15">
        <f>IF(OR(H1944="",F1944=""),"",MAX(H1944,MIN(ROUND(H1944*(1+Параметры!$B$5),IF(H1944*(1+Параметры!$B$5)&gt;=1000,-1,0)),ROUND(F1944*Параметры!$B$6,IF(F1944*Параметры!$B$6&gt;=1000,-1,0)))))</f>
        <v>6770</v>
      </c>
      <c r="J1944" s="15">
        <v>6774</v>
      </c>
      <c r="K1944" s="15">
        <f>IF(OR(J1944="",G1944=""),"",MAX(J1944,MIN(ROUND(J1944*(1+Параметры!$B$5),IF(J1944*(1+Параметры!$B$5)&gt;=1000,-1,0)),ROUND(G1944*Параметры!$B$6,IF(G1944*Параметры!$B$6&gt;=1000,-1,0)))))</f>
        <v>7790</v>
      </c>
      <c r="L1944" s="16">
        <v>5</v>
      </c>
      <c r="M1944" s="17">
        <f t="shared" si="142"/>
        <v>0.2</v>
      </c>
      <c r="N1944" s="17">
        <f>IF(OR(L1944="",L1944=0),"",Параметры!$B$3/L1944)</f>
        <v>1.6</v>
      </c>
      <c r="O1944" s="15">
        <f>IF(L1944="","",IFERROR(INDEX('Почасовка — ставки и план'!$D$5:$D$24,MATCH($D1944,'Почасовка — ставки и план'!$A$5:$A$24,0)),""))</f>
        <v>800</v>
      </c>
      <c r="P1944" s="15">
        <f>IF(L1944="","",IFERROR(INDEX('Почасовка — ставки и план'!$E$5:$E$24,MATCH($D1944,'Почасовка — ставки и план'!$A$5:$A$24,0)),""))</f>
        <v>950</v>
      </c>
      <c r="Q1944" s="15">
        <f t="shared" si="143"/>
        <v>4000</v>
      </c>
      <c r="R1944" s="13" t="str">
        <f>IF(D1944="TEX","аренда техники — сделка/счёт",IF(OR(Q1944="",H1944="",H1944=0),"—",IF(Q1944&lt;H1944*(1-Параметры!$B$7),"почасовка",IF(Q1944&gt;H1944*(1+Параметры!$B$7),"сделка","любой способ"))))</f>
        <v>почасовка</v>
      </c>
      <c r="S1944">
        <v>0</v>
      </c>
      <c r="T1944">
        <v>0</v>
      </c>
    </row>
    <row r="1945" spans="1:20" x14ac:dyDescent="0.25">
      <c r="A1945" s="13" t="s">
        <v>3923</v>
      </c>
      <c r="B1945" s="13" t="s">
        <v>3924</v>
      </c>
      <c r="C1945" s="13" t="s">
        <v>72</v>
      </c>
      <c r="D1945" s="13" t="s">
        <v>276</v>
      </c>
      <c r="E1945" s="13" t="str">
        <f>IFERROR(INDEX('Почасовка — ставки и план'!$B$5:$B$24,MATCH(D1945,'Почасовка — ставки и план'!$A$5:$A$24,0)),"Аренда техники / механизмы")</f>
        <v>Монтажник дверей, окон, перегородок</v>
      </c>
      <c r="F1945" s="14">
        <v>2500</v>
      </c>
      <c r="G1945" s="14">
        <v>2875</v>
      </c>
      <c r="H1945" s="15">
        <v>1550</v>
      </c>
      <c r="I1945" s="15">
        <f>IF(OR(H1945="",F1945=""),"",MAX(H1945,MIN(ROUND(H1945*(1+Параметры!$B$5),IF(H1945*(1+Параметры!$B$5)&gt;=1000,-1,0)),ROUND(F1945*Параметры!$B$6,IF(F1945*Параметры!$B$6&gt;=1000,-1,0)))))</f>
        <v>1780</v>
      </c>
      <c r="J1945" s="15">
        <v>1782</v>
      </c>
      <c r="K1945" s="15">
        <f>IF(OR(J1945="",G1945=""),"",MAX(J1945,MIN(ROUND(J1945*(1+Параметры!$B$5),IF(J1945*(1+Параметры!$B$5)&gt;=1000,-1,0)),ROUND(G1945*Параметры!$B$6,IF(G1945*Параметры!$B$6&gt;=1000,-1,0)))))</f>
        <v>2050</v>
      </c>
      <c r="L1945" s="16">
        <v>1.6</v>
      </c>
      <c r="M1945" s="17">
        <f t="shared" si="142"/>
        <v>0.625</v>
      </c>
      <c r="N1945" s="17">
        <f>IF(OR(L1945="",L1945=0),"",Параметры!$B$3/L1945)</f>
        <v>5</v>
      </c>
      <c r="O1945" s="15">
        <f>IF(L1945="","",IFERROR(INDEX('Почасовка — ставки и план'!$D$5:$D$24,MATCH($D1945,'Почасовка — ставки и план'!$A$5:$A$24,0)),""))</f>
        <v>800</v>
      </c>
      <c r="P1945" s="15">
        <f>IF(L1945="","",IFERROR(INDEX('Почасовка — ставки и план'!$E$5:$E$24,MATCH($D1945,'Почасовка — ставки и план'!$A$5:$A$24,0)),""))</f>
        <v>950</v>
      </c>
      <c r="Q1945" s="15">
        <f t="shared" si="143"/>
        <v>1280</v>
      </c>
      <c r="R1945" s="13" t="str">
        <f>IF(D1945="TEX","аренда техники — сделка/счёт",IF(OR(Q1945="",H1945="",H1945=0),"—",IF(Q1945&lt;H1945*(1-Параметры!$B$7),"почасовка",IF(Q1945&gt;H1945*(1+Параметры!$B$7),"сделка","любой способ"))))</f>
        <v>почасовка</v>
      </c>
      <c r="S1945">
        <v>0</v>
      </c>
      <c r="T1945">
        <v>0</v>
      </c>
    </row>
    <row r="1946" spans="1:20" x14ac:dyDescent="0.25">
      <c r="A1946" s="13" t="s">
        <v>3925</v>
      </c>
      <c r="B1946" s="13" t="s">
        <v>3926</v>
      </c>
      <c r="C1946" s="13" t="s">
        <v>72</v>
      </c>
      <c r="D1946" s="13" t="s">
        <v>64</v>
      </c>
      <c r="E1946" s="13" t="str">
        <f>IFERROR(INDEX('Почасовка — ставки и план'!$B$5:$B$24,MATCH(D1946,'Почасовка — ставки и план'!$A$5:$A$24,0)),"Аренда техники / механизмы")</f>
        <v>Сварщик / монтажник МК</v>
      </c>
      <c r="F1946" s="14">
        <v>3500</v>
      </c>
      <c r="G1946" s="14">
        <v>4025</v>
      </c>
      <c r="H1946" s="15">
        <v>2170</v>
      </c>
      <c r="I1946" s="15">
        <f>IF(OR(H1946="",F1946=""),"",MAX(H1946,MIN(ROUND(H1946*(1+Параметры!$B$5),IF(H1946*(1+Параметры!$B$5)&gt;=1000,-1,0)),ROUND(F1946*Параметры!$B$6,IF(F1946*Параметры!$B$6&gt;=1000,-1,0)))))</f>
        <v>2500</v>
      </c>
      <c r="J1946" s="15">
        <v>2495</v>
      </c>
      <c r="K1946" s="15">
        <f>IF(OR(J1946="",G1946=""),"",MAX(J1946,MIN(ROUND(J1946*(1+Параметры!$B$5),IF(J1946*(1+Параметры!$B$5)&gt;=1000,-1,0)),ROUND(G1946*Параметры!$B$6,IF(G1946*Параметры!$B$6&gt;=1000,-1,0)))))</f>
        <v>2870</v>
      </c>
      <c r="L1946" s="16">
        <v>2.2000000000000002</v>
      </c>
      <c r="M1946" s="17">
        <f t="shared" si="142"/>
        <v>0.45454545454545453</v>
      </c>
      <c r="N1946" s="17">
        <f>IF(OR(L1946="",L1946=0),"",Параметры!$B$3/L1946)</f>
        <v>3.6363636363636362</v>
      </c>
      <c r="O1946" s="15">
        <f>IF(L1946="","",IFERROR(INDEX('Почасовка — ставки и план'!$D$5:$D$24,MATCH($D1946,'Почасовка — ставки и план'!$A$5:$A$24,0)),""))</f>
        <v>900</v>
      </c>
      <c r="P1946" s="15">
        <f>IF(L1946="","",IFERROR(INDEX('Почасовка — ставки и план'!$E$5:$E$24,MATCH($D1946,'Почасовка — ставки и план'!$A$5:$A$24,0)),""))</f>
        <v>1080</v>
      </c>
      <c r="Q1946" s="15">
        <f t="shared" si="143"/>
        <v>1980</v>
      </c>
      <c r="R1946" s="13" t="str">
        <f>IF(D1946="TEX","аренда техники — сделка/счёт",IF(OR(Q1946="",H1946="",H1946=0),"—",IF(Q1946&lt;H1946*(1-Параметры!$B$7),"почасовка",IF(Q1946&gt;H1946*(1+Параметры!$B$7),"сделка","любой способ"))))</f>
        <v>любой способ</v>
      </c>
      <c r="S1946">
        <v>0</v>
      </c>
      <c r="T1946">
        <v>0</v>
      </c>
    </row>
    <row r="1947" spans="1:20" x14ac:dyDescent="0.25">
      <c r="A1947" s="13" t="s">
        <v>3927</v>
      </c>
      <c r="B1947" s="13" t="s">
        <v>3928</v>
      </c>
      <c r="C1947" s="13" t="s">
        <v>72</v>
      </c>
      <c r="D1947" s="13" t="s">
        <v>64</v>
      </c>
      <c r="E1947" s="13" t="str">
        <f>IFERROR(INDEX('Почасовка — ставки и план'!$B$5:$B$24,MATCH(D1947,'Почасовка — ставки и план'!$A$5:$A$24,0)),"Аренда техники / механизмы")</f>
        <v>Сварщик / монтажник МК</v>
      </c>
      <c r="F1947" s="14">
        <v>3700</v>
      </c>
      <c r="G1947" s="14">
        <v>4255</v>
      </c>
      <c r="H1947" s="15">
        <v>2294</v>
      </c>
      <c r="I1947" s="15">
        <f>IF(OR(H1947="",F1947=""),"",MAX(H1947,MIN(ROUND(H1947*(1+Параметры!$B$5),IF(H1947*(1+Параметры!$B$5)&gt;=1000,-1,0)),ROUND(F1947*Параметры!$B$6,IF(F1947*Параметры!$B$6&gt;=1000,-1,0)))))</f>
        <v>2640</v>
      </c>
      <c r="J1947" s="15">
        <v>2638</v>
      </c>
      <c r="K1947" s="15">
        <f>IF(OR(J1947="",G1947=""),"",MAX(J1947,MIN(ROUND(J1947*(1+Параметры!$B$5),IF(J1947*(1+Параметры!$B$5)&gt;=1000,-1,0)),ROUND(G1947*Параметры!$B$6,IF(G1947*Параметры!$B$6&gt;=1000,-1,0)))))</f>
        <v>3030</v>
      </c>
      <c r="L1947" s="16">
        <v>2.4</v>
      </c>
      <c r="M1947" s="17">
        <f t="shared" si="142"/>
        <v>0.41666666666666669</v>
      </c>
      <c r="N1947" s="17">
        <f>IF(OR(L1947="",L1947=0),"",Параметры!$B$3/L1947)</f>
        <v>3.3333333333333335</v>
      </c>
      <c r="O1947" s="15">
        <f>IF(L1947="","",IFERROR(INDEX('Почасовка — ставки и план'!$D$5:$D$24,MATCH($D1947,'Почасовка — ставки и план'!$A$5:$A$24,0)),""))</f>
        <v>900</v>
      </c>
      <c r="P1947" s="15">
        <f>IF(L1947="","",IFERROR(INDEX('Почасовка — ставки и план'!$E$5:$E$24,MATCH($D1947,'Почасовка — ставки и план'!$A$5:$A$24,0)),""))</f>
        <v>1080</v>
      </c>
      <c r="Q1947" s="15">
        <f t="shared" si="143"/>
        <v>2160</v>
      </c>
      <c r="R1947" s="13" t="str">
        <f>IF(D1947="TEX","аренда техники — сделка/счёт",IF(OR(Q1947="",H1947="",H1947=0),"—",IF(Q1947&lt;H1947*(1-Параметры!$B$7),"почасовка",IF(Q1947&gt;H1947*(1+Параметры!$B$7),"сделка","любой способ"))))</f>
        <v>любой способ</v>
      </c>
      <c r="S1947">
        <v>0</v>
      </c>
      <c r="T1947">
        <v>0</v>
      </c>
    </row>
    <row r="1948" spans="1:20" x14ac:dyDescent="0.25">
      <c r="A1948" s="13" t="s">
        <v>3929</v>
      </c>
      <c r="B1948" s="13" t="s">
        <v>3930</v>
      </c>
      <c r="C1948" s="13" t="s">
        <v>72</v>
      </c>
      <c r="D1948" s="13" t="s">
        <v>64</v>
      </c>
      <c r="E1948" s="13" t="str">
        <f>IFERROR(INDEX('Почасовка — ставки и план'!$B$5:$B$24,MATCH(D1948,'Почасовка — ставки и план'!$A$5:$A$24,0)),"Аренда техники / механизмы")</f>
        <v>Сварщик / монтажник МК</v>
      </c>
      <c r="F1948" s="14">
        <v>4300</v>
      </c>
      <c r="G1948" s="14">
        <v>4945</v>
      </c>
      <c r="H1948" s="15">
        <v>2666</v>
      </c>
      <c r="I1948" s="15">
        <f>IF(OR(H1948="",F1948=""),"",MAX(H1948,MIN(ROUND(H1948*(1+Параметры!$B$5),IF(H1948*(1+Параметры!$B$5)&gt;=1000,-1,0)),ROUND(F1948*Параметры!$B$6,IF(F1948*Параметры!$B$6&gt;=1000,-1,0)))))</f>
        <v>3070</v>
      </c>
      <c r="J1948" s="15">
        <v>3066</v>
      </c>
      <c r="K1948" s="15">
        <f>IF(OR(J1948="",G1948=""),"",MAX(J1948,MIN(ROUND(J1948*(1+Параметры!$B$5),IF(J1948*(1+Параметры!$B$5)&gt;=1000,-1,0)),ROUND(G1948*Параметры!$B$6,IF(G1948*Параметры!$B$6&gt;=1000,-1,0)))))</f>
        <v>3530</v>
      </c>
      <c r="L1948" s="16">
        <v>2.6</v>
      </c>
      <c r="M1948" s="17">
        <f t="shared" si="142"/>
        <v>0.38461538461538458</v>
      </c>
      <c r="N1948" s="17">
        <f>IF(OR(L1948="",L1948=0),"",Параметры!$B$3/L1948)</f>
        <v>3.0769230769230766</v>
      </c>
      <c r="O1948" s="15">
        <f>IF(L1948="","",IFERROR(INDEX('Почасовка — ставки и план'!$D$5:$D$24,MATCH($D1948,'Почасовка — ставки и план'!$A$5:$A$24,0)),""))</f>
        <v>900</v>
      </c>
      <c r="P1948" s="15">
        <f>IF(L1948="","",IFERROR(INDEX('Почасовка — ставки и план'!$E$5:$E$24,MATCH($D1948,'Почасовка — ставки и план'!$A$5:$A$24,0)),""))</f>
        <v>1080</v>
      </c>
      <c r="Q1948" s="15">
        <f t="shared" si="143"/>
        <v>2340</v>
      </c>
      <c r="R1948" s="13" t="str">
        <f>IF(D1948="TEX","аренда техники — сделка/счёт",IF(OR(Q1948="",H1948="",H1948=0),"—",IF(Q1948&lt;H1948*(1-Параметры!$B$7),"почасовка",IF(Q1948&gt;H1948*(1+Параметры!$B$7),"сделка","любой способ"))))</f>
        <v>почасовка</v>
      </c>
      <c r="S1948">
        <v>0</v>
      </c>
      <c r="T1948">
        <v>0</v>
      </c>
    </row>
    <row r="1949" spans="1:20" x14ac:dyDescent="0.25">
      <c r="A1949" s="13" t="s">
        <v>3931</v>
      </c>
      <c r="B1949" s="13" t="s">
        <v>3932</v>
      </c>
      <c r="C1949" s="13" t="s">
        <v>72</v>
      </c>
      <c r="D1949" s="13" t="s">
        <v>64</v>
      </c>
      <c r="E1949" s="13" t="str">
        <f>IFERROR(INDEX('Почасовка — ставки и план'!$B$5:$B$24,MATCH(D1949,'Почасовка — ставки и план'!$A$5:$A$24,0)),"Аренда техники / механизмы")</f>
        <v>Сварщик / монтажник МК</v>
      </c>
      <c r="F1949" s="14">
        <v>4500</v>
      </c>
      <c r="G1949" s="14">
        <v>5175</v>
      </c>
      <c r="H1949" s="15">
        <v>2790</v>
      </c>
      <c r="I1949" s="15">
        <f>IF(OR(H1949="",F1949=""),"",MAX(H1949,MIN(ROUND(H1949*(1+Параметры!$B$5),IF(H1949*(1+Параметры!$B$5)&gt;=1000,-1,0)),ROUND(F1949*Параметры!$B$6,IF(F1949*Параметры!$B$6&gt;=1000,-1,0)))))</f>
        <v>3210</v>
      </c>
      <c r="J1949" s="15">
        <v>3208</v>
      </c>
      <c r="K1949" s="15">
        <f>IF(OR(J1949="",G1949=""),"",MAX(J1949,MIN(ROUND(J1949*(1+Параметры!$B$5),IF(J1949*(1+Параметры!$B$5)&gt;=1000,-1,0)),ROUND(G1949*Параметры!$B$6,IF(G1949*Параметры!$B$6&gt;=1000,-1,0)))))</f>
        <v>3690</v>
      </c>
      <c r="L1949" s="16">
        <v>2.7</v>
      </c>
      <c r="M1949" s="17">
        <f t="shared" si="142"/>
        <v>0.37037037037037035</v>
      </c>
      <c r="N1949" s="17">
        <f>IF(OR(L1949="",L1949=0),"",Параметры!$B$3/L1949)</f>
        <v>2.9629629629629628</v>
      </c>
      <c r="O1949" s="15">
        <f>IF(L1949="","",IFERROR(INDEX('Почасовка — ставки и план'!$D$5:$D$24,MATCH($D1949,'Почасовка — ставки и план'!$A$5:$A$24,0)),""))</f>
        <v>900</v>
      </c>
      <c r="P1949" s="15">
        <f>IF(L1949="","",IFERROR(INDEX('Почасовка — ставки и план'!$E$5:$E$24,MATCH($D1949,'Почасовка — ставки и план'!$A$5:$A$24,0)),""))</f>
        <v>1080</v>
      </c>
      <c r="Q1949" s="15">
        <f t="shared" si="143"/>
        <v>2430</v>
      </c>
      <c r="R1949" s="13" t="str">
        <f>IF(D1949="TEX","аренда техники — сделка/счёт",IF(OR(Q1949="",H1949="",H1949=0),"—",IF(Q1949&lt;H1949*(1-Параметры!$B$7),"почасовка",IF(Q1949&gt;H1949*(1+Параметры!$B$7),"сделка","любой способ"))))</f>
        <v>почасовка</v>
      </c>
      <c r="S1949">
        <v>0</v>
      </c>
      <c r="T1949">
        <v>0</v>
      </c>
    </row>
    <row r="1950" spans="1:20" x14ac:dyDescent="0.25">
      <c r="A1950" s="18" t="s">
        <v>3933</v>
      </c>
      <c r="B1950" s="13" t="s">
        <v>3934</v>
      </c>
      <c r="C1950" s="13" t="s">
        <v>144</v>
      </c>
      <c r="D1950" s="13" t="s">
        <v>60</v>
      </c>
      <c r="E1950" s="13" t="str">
        <f>IFERROR(INDEX('Почасовка — ставки и план'!$B$5:$B$24,MATCH(D1950,'Почасовка — ставки и план'!$A$5:$A$24,0)),"Аренда техники / механизмы")</f>
        <v>Разнорабочий / демонтажник</v>
      </c>
      <c r="F1950" s="14">
        <v>4000</v>
      </c>
      <c r="G1950" s="14">
        <v>4600</v>
      </c>
      <c r="H1950" s="15">
        <v>2600</v>
      </c>
      <c r="I1950" s="15">
        <f>IF(OR(H1950="",F1950=""),"",MAX(H1950,MIN(ROUND(H1950*(1+Параметры!$B$5),IF(H1950*(1+Параметры!$B$5)&gt;=1000,-1,0)),ROUND(F1950*Параметры!$B$6,IF(F1950*Параметры!$B$6&gt;=1000,-1,0)))))</f>
        <v>2990</v>
      </c>
      <c r="J1950" s="15">
        <v>2990</v>
      </c>
      <c r="K1950" s="15">
        <f>IF(OR(J1950="",G1950=""),"",MAX(J1950,MIN(ROUND(J1950*(1+Параметры!$B$5),IF(J1950*(1+Параметры!$B$5)&gt;=1000,-1,0)),ROUND(G1950*Параметры!$B$6,IF(G1950*Параметры!$B$6&gt;=1000,-1,0)))))</f>
        <v>3440</v>
      </c>
      <c r="L1950" s="16">
        <v>2.5</v>
      </c>
      <c r="M1950" s="17">
        <f t="shared" si="142"/>
        <v>0.4</v>
      </c>
      <c r="N1950" s="17">
        <f>IF(OR(L1950="",L1950=0),"",Параметры!$B$3/L1950)</f>
        <v>3.2</v>
      </c>
      <c r="O1950" s="15">
        <f>IF(L1950="","",IFERROR(INDEX('Почасовка — ставки и план'!$D$5:$D$24,MATCH($D1950,'Почасовка — ставки и план'!$A$5:$A$24,0)),""))</f>
        <v>550</v>
      </c>
      <c r="P1950" s="15">
        <f>IF(L1950="","",IFERROR(INDEX('Почасовка — ставки и план'!$E$5:$E$24,MATCH($D1950,'Почасовка — ставки и план'!$A$5:$A$24,0)),""))</f>
        <v>660</v>
      </c>
      <c r="Q1950" s="15">
        <f t="shared" si="143"/>
        <v>1375</v>
      </c>
      <c r="R1950" s="13" t="str">
        <f>IF(D1950="TEX","аренда техники — сделка/счёт",IF(OR(Q1950="",H1950="",H1950=0),"—",IF(Q1950&lt;H1950*(1-Параметры!$B$7),"почасовка",IF(Q1950&gt;H1950*(1+Параметры!$B$7),"сделка","любой способ"))))</f>
        <v>почасовка</v>
      </c>
      <c r="S1950">
        <v>0</v>
      </c>
      <c r="T1950">
        <v>0</v>
      </c>
    </row>
    <row r="1951" spans="1:20" x14ac:dyDescent="0.25">
      <c r="A1951" s="18" t="s">
        <v>3935</v>
      </c>
      <c r="B1951" s="13" t="s">
        <v>3936</v>
      </c>
      <c r="C1951" s="13" t="s">
        <v>69</v>
      </c>
      <c r="D1951" s="13" t="s">
        <v>276</v>
      </c>
      <c r="E1951" s="13" t="str">
        <f>IFERROR(INDEX('Почасовка — ставки и план'!$B$5:$B$24,MATCH(D1951,'Почасовка — ставки и план'!$A$5:$A$24,0)),"Аренда техники / механизмы")</f>
        <v>Монтажник дверей, окон, перегородок</v>
      </c>
      <c r="F1951" s="14">
        <v>250</v>
      </c>
      <c r="G1951" s="14">
        <v>288</v>
      </c>
      <c r="H1951" s="15">
        <v>155</v>
      </c>
      <c r="I1951" s="15">
        <f>IF(OR(H1951="",F1951=""),"",MAX(H1951,MIN(ROUND(H1951*(1+Параметры!$B$5),IF(H1951*(1+Параметры!$B$5)&gt;=1000,-1,0)),ROUND(F1951*Параметры!$B$6,IF(F1951*Параметры!$B$6&gt;=1000,-1,0)))))</f>
        <v>178</v>
      </c>
      <c r="J1951" s="15">
        <v>178</v>
      </c>
      <c r="K1951" s="15">
        <f>IF(OR(J1951="",G1951=""),"",MAX(J1951,MIN(ROUND(J1951*(1+Параметры!$B$5),IF(J1951*(1+Параметры!$B$5)&gt;=1000,-1,0)),ROUND(G1951*Параметры!$B$6,IF(G1951*Параметры!$B$6&gt;=1000,-1,0)))))</f>
        <v>205</v>
      </c>
      <c r="L1951" s="16">
        <v>0.15</v>
      </c>
      <c r="M1951" s="17">
        <f t="shared" si="142"/>
        <v>6.666666666666667</v>
      </c>
      <c r="N1951" s="17">
        <f>IF(OR(L1951="",L1951=0),"",Параметры!$B$3/L1951)</f>
        <v>53.333333333333336</v>
      </c>
      <c r="O1951" s="15">
        <f>IF(L1951="","",IFERROR(INDEX('Почасовка — ставки и план'!$D$5:$D$24,MATCH($D1951,'Почасовка — ставки и план'!$A$5:$A$24,0)),""))</f>
        <v>800</v>
      </c>
      <c r="P1951" s="15">
        <f>IF(L1951="","",IFERROR(INDEX('Почасовка — ставки и план'!$E$5:$E$24,MATCH($D1951,'Почасовка — ставки и план'!$A$5:$A$24,0)),""))</f>
        <v>950</v>
      </c>
      <c r="Q1951" s="15">
        <f t="shared" si="143"/>
        <v>120</v>
      </c>
      <c r="R1951" s="13" t="str">
        <f>IF(D1951="TEX","аренда техники — сделка/счёт",IF(OR(Q1951="",H1951="",H1951=0),"—",IF(Q1951&lt;H1951*(1-Параметры!$B$7),"почасовка",IF(Q1951&gt;H1951*(1+Параметры!$B$7),"сделка","любой способ"))))</f>
        <v>почасовка</v>
      </c>
      <c r="S1951">
        <v>0</v>
      </c>
      <c r="T1951">
        <v>0</v>
      </c>
    </row>
    <row r="1952" spans="1:20" x14ac:dyDescent="0.25">
      <c r="A1952" s="18" t="s">
        <v>3937</v>
      </c>
      <c r="B1952" s="13" t="s">
        <v>3938</v>
      </c>
      <c r="C1952" s="13" t="s">
        <v>144</v>
      </c>
      <c r="D1952" s="13" t="s">
        <v>276</v>
      </c>
      <c r="E1952" s="13" t="str">
        <f>IFERROR(INDEX('Почасовка — ставки и план'!$B$5:$B$24,MATCH(D1952,'Почасовка — ставки и план'!$A$5:$A$24,0)),"Аренда техники / механизмы")</f>
        <v>Монтажник дверей, окон, перегородок</v>
      </c>
      <c r="F1952" s="14">
        <v>7500</v>
      </c>
      <c r="G1952" s="14">
        <v>8625</v>
      </c>
      <c r="H1952" s="15">
        <v>4650</v>
      </c>
      <c r="I1952" s="15">
        <f>IF(OR(H1952="",F1952=""),"",MAX(H1952,MIN(ROUND(H1952*(1+Параметры!$B$5),IF(H1952*(1+Параметры!$B$5)&gt;=1000,-1,0)),ROUND(F1952*Параметры!$B$6,IF(F1952*Параметры!$B$6&gt;=1000,-1,0)))))</f>
        <v>5350</v>
      </c>
      <c r="J1952" s="15">
        <v>5348</v>
      </c>
      <c r="K1952" s="15">
        <f>IF(OR(J1952="",G1952=""),"",MAX(J1952,MIN(ROUND(J1952*(1+Параметры!$B$5),IF(J1952*(1+Параметры!$B$5)&gt;=1000,-1,0)),ROUND(G1952*Параметры!$B$6,IF(G1952*Параметры!$B$6&gt;=1000,-1,0)))))</f>
        <v>6150</v>
      </c>
      <c r="L1952" s="16">
        <v>4</v>
      </c>
      <c r="M1952" s="17">
        <f t="shared" si="142"/>
        <v>0.25</v>
      </c>
      <c r="N1952" s="17">
        <f>IF(OR(L1952="",L1952=0),"",Параметры!$B$3/L1952)</f>
        <v>2</v>
      </c>
      <c r="O1952" s="15">
        <f>IF(L1952="","",IFERROR(INDEX('Почасовка — ставки и план'!$D$5:$D$24,MATCH($D1952,'Почасовка — ставки и план'!$A$5:$A$24,0)),""))</f>
        <v>800</v>
      </c>
      <c r="P1952" s="15">
        <f>IF(L1952="","",IFERROR(INDEX('Почасовка — ставки и план'!$E$5:$E$24,MATCH($D1952,'Почасовка — ставки и план'!$A$5:$A$24,0)),""))</f>
        <v>950</v>
      </c>
      <c r="Q1952" s="15">
        <f t="shared" si="143"/>
        <v>3200</v>
      </c>
      <c r="R1952" s="13" t="str">
        <f>IF(D1952="TEX","аренда техники — сделка/счёт",IF(OR(Q1952="",H1952="",H1952=0),"—",IF(Q1952&lt;H1952*(1-Параметры!$B$7),"почасовка",IF(Q1952&gt;H1952*(1+Параметры!$B$7),"сделка","любой способ"))))</f>
        <v>почасовка</v>
      </c>
      <c r="S1952">
        <v>0</v>
      </c>
      <c r="T1952">
        <v>0</v>
      </c>
    </row>
    <row r="1953" spans="1:20" x14ac:dyDescent="0.25">
      <c r="A1953" s="18" t="s">
        <v>3939</v>
      </c>
      <c r="B1953" s="13" t="s">
        <v>3940</v>
      </c>
      <c r="C1953" s="13" t="s">
        <v>144</v>
      </c>
      <c r="D1953" s="13" t="s">
        <v>273</v>
      </c>
      <c r="E1953" s="13" t="str">
        <f>IFERROR(INDEX('Почасовка — ставки и план'!$B$5:$B$24,MATCH(D1953,'Почасовка — ставки и план'!$A$5:$A$24,0)),"Аренда техники / механизмы")</f>
        <v>Электромонтажник</v>
      </c>
      <c r="F1953" s="14">
        <v>2200</v>
      </c>
      <c r="G1953" s="14">
        <v>2530</v>
      </c>
      <c r="H1953" s="15">
        <v>1364</v>
      </c>
      <c r="I1953" s="15">
        <f>IF(OR(H1953="",F1953=""),"",MAX(H1953,MIN(ROUND(H1953*(1+Параметры!$B$5),IF(H1953*(1+Параметры!$B$5)&gt;=1000,-1,0)),ROUND(F1953*Параметры!$B$6,IF(F1953*Параметры!$B$6&gt;=1000,-1,0)))))</f>
        <v>1570</v>
      </c>
      <c r="J1953" s="15">
        <v>1569</v>
      </c>
      <c r="K1953" s="15">
        <f>IF(OR(J1953="",G1953=""),"",MAX(J1953,MIN(ROUND(J1953*(1+Параметры!$B$5),IF(J1953*(1+Параметры!$B$5)&gt;=1000,-1,0)),ROUND(G1953*Параметры!$B$6,IF(G1953*Параметры!$B$6&gt;=1000,-1,0)))))</f>
        <v>1800</v>
      </c>
      <c r="L1953" s="16">
        <v>1.2</v>
      </c>
      <c r="M1953" s="17">
        <f t="shared" si="142"/>
        <v>0.83333333333333337</v>
      </c>
      <c r="N1953" s="17">
        <f>IF(OR(L1953="",L1953=0),"",Параметры!$B$3/L1953)</f>
        <v>6.666666666666667</v>
      </c>
      <c r="O1953" s="15">
        <f>IF(L1953="","",IFERROR(INDEX('Почасовка — ставки и план'!$D$5:$D$24,MATCH($D1953,'Почасовка — ставки и план'!$A$5:$A$24,0)),""))</f>
        <v>850</v>
      </c>
      <c r="P1953" s="15">
        <f>IF(L1953="","",IFERROR(INDEX('Почасовка — ставки и план'!$E$5:$E$24,MATCH($D1953,'Почасовка — ставки и план'!$A$5:$A$24,0)),""))</f>
        <v>1020</v>
      </c>
      <c r="Q1953" s="15">
        <f t="shared" si="143"/>
        <v>1020</v>
      </c>
      <c r="R1953" s="13" t="str">
        <f>IF(D1953="TEX","аренда техники — сделка/счёт",IF(OR(Q1953="",H1953="",H1953=0),"—",IF(Q1953&lt;H1953*(1-Параметры!$B$7),"почасовка",IF(Q1953&gt;H1953*(1+Параметры!$B$7),"сделка","любой способ"))))</f>
        <v>почасовка</v>
      </c>
      <c r="S1953">
        <v>0</v>
      </c>
      <c r="T1953">
        <v>0</v>
      </c>
    </row>
    <row r="1954" spans="1:20" x14ac:dyDescent="0.25">
      <c r="A1954" s="18" t="s">
        <v>3941</v>
      </c>
      <c r="B1954" s="13" t="s">
        <v>3942</v>
      </c>
      <c r="C1954" s="13" t="s">
        <v>144</v>
      </c>
      <c r="D1954" s="13" t="s">
        <v>273</v>
      </c>
      <c r="E1954" s="13" t="str">
        <f>IFERROR(INDEX('Почасовка — ставки и план'!$B$5:$B$24,MATCH(D1954,'Почасовка — ставки и план'!$A$5:$A$24,0)),"Аренда техники / механизмы")</f>
        <v>Электромонтажник</v>
      </c>
      <c r="F1954" s="14">
        <v>3500</v>
      </c>
      <c r="G1954" s="14">
        <v>4025</v>
      </c>
      <c r="H1954" s="15">
        <v>2170</v>
      </c>
      <c r="I1954" s="15">
        <f>IF(OR(H1954="",F1954=""),"",MAX(H1954,MIN(ROUND(H1954*(1+Параметры!$B$5),IF(H1954*(1+Параметры!$B$5)&gt;=1000,-1,0)),ROUND(F1954*Параметры!$B$6,IF(F1954*Параметры!$B$6&gt;=1000,-1,0)))))</f>
        <v>2500</v>
      </c>
      <c r="J1954" s="15">
        <v>2495</v>
      </c>
      <c r="K1954" s="15">
        <f>IF(OR(J1954="",G1954=""),"",MAX(J1954,MIN(ROUND(J1954*(1+Параметры!$B$5),IF(J1954*(1+Параметры!$B$5)&gt;=1000,-1,0)),ROUND(G1954*Параметры!$B$6,IF(G1954*Параметры!$B$6&gt;=1000,-1,0)))))</f>
        <v>2870</v>
      </c>
      <c r="L1954" s="16">
        <v>2</v>
      </c>
      <c r="M1954" s="17">
        <f t="shared" si="142"/>
        <v>0.5</v>
      </c>
      <c r="N1954" s="17">
        <f>IF(OR(L1954="",L1954=0),"",Параметры!$B$3/L1954)</f>
        <v>4</v>
      </c>
      <c r="O1954" s="15">
        <f>IF(L1954="","",IFERROR(INDEX('Почасовка — ставки и план'!$D$5:$D$24,MATCH($D1954,'Почасовка — ставки и план'!$A$5:$A$24,0)),""))</f>
        <v>850</v>
      </c>
      <c r="P1954" s="15">
        <f>IF(L1954="","",IFERROR(INDEX('Почасовка — ставки и план'!$E$5:$E$24,MATCH($D1954,'Почасовка — ставки и план'!$A$5:$A$24,0)),""))</f>
        <v>1020</v>
      </c>
      <c r="Q1954" s="15">
        <f t="shared" si="143"/>
        <v>1700</v>
      </c>
      <c r="R1954" s="13" t="str">
        <f>IF(D1954="TEX","аренда техники — сделка/счёт",IF(OR(Q1954="",H1954="",H1954=0),"—",IF(Q1954&lt;H1954*(1-Параметры!$B$7),"почасовка",IF(Q1954&gt;H1954*(1+Параметры!$B$7),"сделка","любой способ"))))</f>
        <v>почасовка</v>
      </c>
      <c r="S1954">
        <v>0</v>
      </c>
      <c r="T1954">
        <v>0</v>
      </c>
    </row>
    <row r="1955" spans="1:20" x14ac:dyDescent="0.25">
      <c r="A1955" s="18" t="s">
        <v>3943</v>
      </c>
      <c r="B1955" s="13" t="s">
        <v>3944</v>
      </c>
      <c r="C1955" s="13" t="s">
        <v>69</v>
      </c>
      <c r="D1955" s="13" t="s">
        <v>276</v>
      </c>
      <c r="E1955" s="13" t="str">
        <f>IFERROR(INDEX('Почасовка — ставки и план'!$B$5:$B$24,MATCH(D1955,'Почасовка — ставки и план'!$A$5:$A$24,0)),"Аренда техники / механизмы")</f>
        <v>Монтажник дверей, окон, перегородок</v>
      </c>
      <c r="F1955" s="14">
        <v>400</v>
      </c>
      <c r="G1955" s="14">
        <v>460</v>
      </c>
      <c r="H1955" s="15">
        <v>248</v>
      </c>
      <c r="I1955" s="15">
        <f>IF(OR(H1955="",F1955=""),"",MAX(H1955,MIN(ROUND(H1955*(1+Параметры!$B$5),IF(H1955*(1+Параметры!$B$5)&gt;=1000,-1,0)),ROUND(F1955*Параметры!$B$6,IF(F1955*Параметры!$B$6&gt;=1000,-1,0)))))</f>
        <v>285</v>
      </c>
      <c r="J1955" s="15">
        <v>285</v>
      </c>
      <c r="K1955" s="15">
        <f>IF(OR(J1955="",G1955=""),"",MAX(J1955,MIN(ROUND(J1955*(1+Параметры!$B$5),IF(J1955*(1+Параметры!$B$5)&gt;=1000,-1,0)),ROUND(G1955*Параметры!$B$6,IF(G1955*Параметры!$B$6&gt;=1000,-1,0)))))</f>
        <v>328</v>
      </c>
      <c r="L1955" s="16">
        <v>0.3</v>
      </c>
      <c r="M1955" s="17">
        <f t="shared" si="142"/>
        <v>3.3333333333333335</v>
      </c>
      <c r="N1955" s="17">
        <f>IF(OR(L1955="",L1955=0),"",Параметры!$B$3/L1955)</f>
        <v>26.666666666666668</v>
      </c>
      <c r="O1955" s="15">
        <f>IF(L1955="","",IFERROR(INDEX('Почасовка — ставки и план'!$D$5:$D$24,MATCH($D1955,'Почасовка — ставки и план'!$A$5:$A$24,0)),""))</f>
        <v>800</v>
      </c>
      <c r="P1955" s="15">
        <f>IF(L1955="","",IFERROR(INDEX('Почасовка — ставки и план'!$E$5:$E$24,MATCH($D1955,'Почасовка — ставки и план'!$A$5:$A$24,0)),""))</f>
        <v>950</v>
      </c>
      <c r="Q1955" s="15">
        <f t="shared" si="143"/>
        <v>240</v>
      </c>
      <c r="R1955" s="13" t="str">
        <f>IF(D1955="TEX","аренда техники — сделка/счёт",IF(OR(Q1955="",H1955="",H1955=0),"—",IF(Q1955&lt;H1955*(1-Параметры!$B$7),"почасовка",IF(Q1955&gt;H1955*(1+Параметры!$B$7),"сделка","любой способ"))))</f>
        <v>любой способ</v>
      </c>
      <c r="S1955">
        <v>0</v>
      </c>
      <c r="T1955">
        <v>0</v>
      </c>
    </row>
    <row r="1956" spans="1:20" x14ac:dyDescent="0.25">
      <c r="A1956" s="18" t="s">
        <v>3945</v>
      </c>
      <c r="B1956" s="13" t="s">
        <v>3946</v>
      </c>
      <c r="C1956" s="13" t="s">
        <v>144</v>
      </c>
      <c r="D1956" s="13" t="s">
        <v>276</v>
      </c>
      <c r="E1956" s="13" t="str">
        <f>IFERROR(INDEX('Почасовка — ставки и план'!$B$5:$B$24,MATCH(D1956,'Почасовка — ставки и план'!$A$5:$A$24,0)),"Аренда техники / механизмы")</f>
        <v>Монтажник дверей, окон, перегородок</v>
      </c>
      <c r="F1956" s="14">
        <v>1500</v>
      </c>
      <c r="G1956" s="14">
        <v>1725</v>
      </c>
      <c r="H1956" s="15">
        <v>930</v>
      </c>
      <c r="I1956" s="15">
        <f>IF(OR(H1956="",F1956=""),"",MAX(H1956,MIN(ROUND(H1956*(1+Параметры!$B$5),IF(H1956*(1+Параметры!$B$5)&gt;=1000,-1,0)),ROUND(F1956*Параметры!$B$6,IF(F1956*Параметры!$B$6&gt;=1000,-1,0)))))</f>
        <v>1070</v>
      </c>
      <c r="J1956" s="15">
        <v>1069</v>
      </c>
      <c r="K1956" s="15">
        <f>IF(OR(J1956="",G1956=""),"",MAX(J1956,MIN(ROUND(J1956*(1+Параметры!$B$5),IF(J1956*(1+Параметры!$B$5)&gt;=1000,-1,0)),ROUND(G1956*Параметры!$B$6,IF(G1956*Параметры!$B$6&gt;=1000,-1,0)))))</f>
        <v>1230</v>
      </c>
      <c r="L1956" s="16">
        <v>0.8</v>
      </c>
      <c r="M1956" s="17">
        <f t="shared" si="142"/>
        <v>1.25</v>
      </c>
      <c r="N1956" s="17">
        <f>IF(OR(L1956="",L1956=0),"",Параметры!$B$3/L1956)</f>
        <v>10</v>
      </c>
      <c r="O1956" s="15">
        <f>IF(L1956="","",IFERROR(INDEX('Почасовка — ставки и план'!$D$5:$D$24,MATCH($D1956,'Почасовка — ставки и план'!$A$5:$A$24,0)),""))</f>
        <v>800</v>
      </c>
      <c r="P1956" s="15">
        <f>IF(L1956="","",IFERROR(INDEX('Почасовка — ставки и план'!$E$5:$E$24,MATCH($D1956,'Почасовка — ставки и план'!$A$5:$A$24,0)),""))</f>
        <v>950</v>
      </c>
      <c r="Q1956" s="15">
        <f t="shared" si="143"/>
        <v>640</v>
      </c>
      <c r="R1956" s="13" t="str">
        <f>IF(D1956="TEX","аренда техники — сделка/счёт",IF(OR(Q1956="",H1956="",H1956=0),"—",IF(Q1956&lt;H1956*(1-Параметры!$B$7),"почасовка",IF(Q1956&gt;H1956*(1+Параметры!$B$7),"сделка","любой способ"))))</f>
        <v>почасовка</v>
      </c>
      <c r="S1956">
        <v>0</v>
      </c>
      <c r="T1956">
        <v>0</v>
      </c>
    </row>
    <row r="1957" spans="1:20" x14ac:dyDescent="0.25">
      <c r="A1957" s="11" t="s">
        <v>3947</v>
      </c>
      <c r="B1957" s="12"/>
      <c r="C1957" s="12"/>
      <c r="D1957" s="12"/>
      <c r="E1957" s="12"/>
      <c r="F1957" s="12"/>
      <c r="G1957" s="12"/>
      <c r="H1957" s="12"/>
      <c r="I1957" s="12"/>
      <c r="J1957" s="12"/>
      <c r="K1957" s="12"/>
      <c r="L1957" s="12"/>
      <c r="M1957" s="12"/>
      <c r="N1957" s="12"/>
      <c r="O1957" s="12"/>
      <c r="P1957" s="12"/>
      <c r="Q1957" s="12"/>
      <c r="R1957" s="12"/>
    </row>
    <row r="1958" spans="1:20" x14ac:dyDescent="0.25">
      <c r="A1958" s="13" t="s">
        <v>3948</v>
      </c>
      <c r="B1958" s="13" t="s">
        <v>1068</v>
      </c>
      <c r="C1958" s="13" t="s">
        <v>1069</v>
      </c>
      <c r="D1958" s="13" t="s">
        <v>64</v>
      </c>
      <c r="E1958" s="13" t="str">
        <f>IFERROR(INDEX('Почасовка — ставки и план'!$B$5:$B$24,MATCH(D1958,'Почасовка — ставки и план'!$A$5:$A$24,0)),"Аренда техники / механизмы")</f>
        <v>Сварщик / монтажник МК</v>
      </c>
      <c r="F1958" s="14">
        <v>1800</v>
      </c>
      <c r="G1958" s="14">
        <v>2070</v>
      </c>
      <c r="H1958" s="15">
        <v>1116</v>
      </c>
      <c r="I1958" s="15">
        <f>IF(OR(H1958="",F1958=""),"",MAX(H1958,MIN(ROUND(H1958*(1+Параметры!$B$5),IF(H1958*(1+Параметры!$B$5)&gt;=1000,-1,0)),ROUND(F1958*Параметры!$B$6,IF(F1958*Параметры!$B$6&gt;=1000,-1,0)))))</f>
        <v>1280</v>
      </c>
      <c r="J1958" s="15">
        <v>1283</v>
      </c>
      <c r="K1958" s="15">
        <f>IF(OR(J1958="",G1958=""),"",MAX(J1958,MIN(ROUND(J1958*(1+Параметры!$B$5),IF(J1958*(1+Параметры!$B$5)&gt;=1000,-1,0)),ROUND(G1958*Параметры!$B$6,IF(G1958*Параметры!$B$6&gt;=1000,-1,0)))))</f>
        <v>1480</v>
      </c>
      <c r="L1958" s="16">
        <v>1</v>
      </c>
      <c r="M1958" s="17">
        <f t="shared" ref="M1958:M1969" si="144">IF(OR(L1958="",L1958=0),"",1/L1958)</f>
        <v>1</v>
      </c>
      <c r="N1958" s="17">
        <f>IF(OR(L1958="",L1958=0),"",Параметры!$B$3/L1958)</f>
        <v>8</v>
      </c>
      <c r="O1958" s="15">
        <f>IF(L1958="","",IFERROR(INDEX('Почасовка — ставки и план'!$D$5:$D$24,MATCH($D1958,'Почасовка — ставки и план'!$A$5:$A$24,0)),""))</f>
        <v>900</v>
      </c>
      <c r="P1958" s="15">
        <f>IF(L1958="","",IFERROR(INDEX('Почасовка — ставки и план'!$E$5:$E$24,MATCH($D1958,'Почасовка — ставки и план'!$A$5:$A$24,0)),""))</f>
        <v>1080</v>
      </c>
      <c r="Q1958" s="15">
        <f t="shared" ref="Q1958:Q1969" si="145">IF(OR(L1958="",O1958=""),"",ROUND(L1958*O1958,0))</f>
        <v>900</v>
      </c>
      <c r="R1958" s="13" t="str">
        <f>IF(D1958="TEX","аренда техники — сделка/счёт",IF(OR(Q1958="",H1958="",H1958=0),"—",IF(Q1958&lt;H1958*(1-Параметры!$B$7),"почасовка",IF(Q1958&gt;H1958*(1+Параметры!$B$7),"сделка","любой способ"))))</f>
        <v>почасовка</v>
      </c>
      <c r="S1958">
        <v>0</v>
      </c>
      <c r="T1958">
        <v>0</v>
      </c>
    </row>
    <row r="1959" spans="1:20" x14ac:dyDescent="0.25">
      <c r="A1959" s="13" t="s">
        <v>3949</v>
      </c>
      <c r="B1959" s="13" t="s">
        <v>3950</v>
      </c>
      <c r="C1959" s="13" t="s">
        <v>72</v>
      </c>
      <c r="D1959" s="13" t="s">
        <v>64</v>
      </c>
      <c r="E1959" s="13" t="str">
        <f>IFERROR(INDEX('Почасовка — ставки и план'!$B$5:$B$24,MATCH(D1959,'Почасовка — ставки и план'!$A$5:$A$24,0)),"Аренда техники / механизмы")</f>
        <v>Сварщик / монтажник МК</v>
      </c>
      <c r="F1959" s="14">
        <v>1200</v>
      </c>
      <c r="G1959" s="14">
        <v>1440</v>
      </c>
      <c r="H1959" s="15">
        <v>744</v>
      </c>
      <c r="I1959" s="15">
        <f>IF(OR(H1959="",F1959=""),"",MAX(H1959,MIN(ROUND(H1959*(1+Параметры!$B$5),IF(H1959*(1+Параметры!$B$5)&gt;=1000,-1,0)),ROUND(F1959*Параметры!$B$6,IF(F1959*Параметры!$B$6&gt;=1000,-1,0)))))</f>
        <v>856</v>
      </c>
      <c r="J1959" s="15">
        <v>856</v>
      </c>
      <c r="K1959" s="15">
        <f>IF(OR(J1959="",G1959=""),"",MAX(J1959,MIN(ROUND(J1959*(1+Параметры!$B$5),IF(J1959*(1+Параметры!$B$5)&gt;=1000,-1,0)),ROUND(G1959*Параметры!$B$6,IF(G1959*Параметры!$B$6&gt;=1000,-1,0)))))</f>
        <v>984</v>
      </c>
      <c r="L1959" s="16">
        <v>1</v>
      </c>
      <c r="M1959" s="17">
        <f t="shared" si="144"/>
        <v>1</v>
      </c>
      <c r="N1959" s="17">
        <f>IF(OR(L1959="",L1959=0),"",Параметры!$B$3/L1959)</f>
        <v>8</v>
      </c>
      <c r="O1959" s="15">
        <f>IF(L1959="","",IFERROR(INDEX('Почасовка — ставки и план'!$D$5:$D$24,MATCH($D1959,'Почасовка — ставки и план'!$A$5:$A$24,0)),""))</f>
        <v>900</v>
      </c>
      <c r="P1959" s="15">
        <f>IF(L1959="","",IFERROR(INDEX('Почасовка — ставки и план'!$E$5:$E$24,MATCH($D1959,'Почасовка — ставки и план'!$A$5:$A$24,0)),""))</f>
        <v>1080</v>
      </c>
      <c r="Q1959" s="15">
        <f t="shared" si="145"/>
        <v>900</v>
      </c>
      <c r="R1959" s="13" t="str">
        <f>IF(D1959="TEX","аренда техники — сделка/счёт",IF(OR(Q1959="",H1959="",H1959=0),"—",IF(Q1959&lt;H1959*(1-Параметры!$B$7),"почасовка",IF(Q1959&gt;H1959*(1+Параметры!$B$7),"сделка","любой способ"))))</f>
        <v>сделка</v>
      </c>
      <c r="S1959">
        <v>0</v>
      </c>
      <c r="T1959">
        <v>4.3478260869565188E-2</v>
      </c>
    </row>
    <row r="1960" spans="1:20" x14ac:dyDescent="0.25">
      <c r="A1960" s="13" t="s">
        <v>3951</v>
      </c>
      <c r="B1960" s="13" t="s">
        <v>3952</v>
      </c>
      <c r="C1960" s="13" t="s">
        <v>144</v>
      </c>
      <c r="D1960" s="13" t="s">
        <v>64</v>
      </c>
      <c r="E1960" s="13" t="str">
        <f>IFERROR(INDEX('Почасовка — ставки и план'!$B$5:$B$24,MATCH(D1960,'Почасовка — ставки и план'!$A$5:$A$24,0)),"Аренда техники / механизмы")</f>
        <v>Сварщик / монтажник МК</v>
      </c>
      <c r="F1960" s="14">
        <v>1500</v>
      </c>
      <c r="G1960" s="14">
        <v>1725</v>
      </c>
      <c r="H1960" s="15">
        <v>930</v>
      </c>
      <c r="I1960" s="15">
        <f>IF(OR(H1960="",F1960=""),"",MAX(H1960,MIN(ROUND(H1960*(1+Параметры!$B$5),IF(H1960*(1+Параметры!$B$5)&gt;=1000,-1,0)),ROUND(F1960*Параметры!$B$6,IF(F1960*Параметры!$B$6&gt;=1000,-1,0)))))</f>
        <v>1070</v>
      </c>
      <c r="J1960" s="15">
        <v>1069</v>
      </c>
      <c r="K1960" s="15">
        <f>IF(OR(J1960="",G1960=""),"",MAX(J1960,MIN(ROUND(J1960*(1+Параметры!$B$5),IF(J1960*(1+Параметры!$B$5)&gt;=1000,-1,0)),ROUND(G1960*Параметры!$B$6,IF(G1960*Параметры!$B$6&gt;=1000,-1,0)))))</f>
        <v>1230</v>
      </c>
      <c r="L1960" s="16">
        <v>0.8</v>
      </c>
      <c r="M1960" s="17">
        <f t="shared" si="144"/>
        <v>1.25</v>
      </c>
      <c r="N1960" s="17">
        <f>IF(OR(L1960="",L1960=0),"",Параметры!$B$3/L1960)</f>
        <v>10</v>
      </c>
      <c r="O1960" s="15">
        <f>IF(L1960="","",IFERROR(INDEX('Почасовка — ставки и план'!$D$5:$D$24,MATCH($D1960,'Почасовка — ставки и план'!$A$5:$A$24,0)),""))</f>
        <v>900</v>
      </c>
      <c r="P1960" s="15">
        <f>IF(L1960="","",IFERROR(INDEX('Почасовка — ставки и план'!$E$5:$E$24,MATCH($D1960,'Почасовка — ставки и план'!$A$5:$A$24,0)),""))</f>
        <v>1080</v>
      </c>
      <c r="Q1960" s="15">
        <f t="shared" si="145"/>
        <v>720</v>
      </c>
      <c r="R1960" s="13" t="str">
        <f>IF(D1960="TEX","аренда техники — сделка/счёт",IF(OR(Q1960="",H1960="",H1960=0),"—",IF(Q1960&lt;H1960*(1-Параметры!$B$7),"почасовка",IF(Q1960&gt;H1960*(1+Параметры!$B$7),"сделка","любой способ"))))</f>
        <v>почасовка</v>
      </c>
      <c r="S1960">
        <v>0</v>
      </c>
      <c r="T1960">
        <v>0</v>
      </c>
    </row>
    <row r="1961" spans="1:20" x14ac:dyDescent="0.25">
      <c r="A1961" s="13" t="s">
        <v>3953</v>
      </c>
      <c r="B1961" s="13" t="s">
        <v>3954</v>
      </c>
      <c r="C1961" s="13" t="s">
        <v>152</v>
      </c>
      <c r="D1961" s="13" t="s">
        <v>64</v>
      </c>
      <c r="E1961" s="13" t="str">
        <f>IFERROR(INDEX('Почасовка — ставки и план'!$B$5:$B$24,MATCH(D1961,'Почасовка — ставки и план'!$A$5:$A$24,0)),"Аренда техники / механизмы")</f>
        <v>Сварщик / монтажник МК</v>
      </c>
      <c r="F1961" s="14">
        <v>70000</v>
      </c>
      <c r="G1961" s="14">
        <v>80500</v>
      </c>
      <c r="H1961" s="15">
        <v>43400</v>
      </c>
      <c r="I1961" s="15">
        <f>IF(OR(H1961="",F1961=""),"",MAX(H1961,MIN(ROUND(H1961*(1+Параметры!$B$5),IF(H1961*(1+Параметры!$B$5)&gt;=1000,-1,0)),ROUND(F1961*Параметры!$B$6,IF(F1961*Параметры!$B$6&gt;=1000,-1,0)))))</f>
        <v>49910</v>
      </c>
      <c r="J1961" s="15">
        <v>49910</v>
      </c>
      <c r="K1961" s="15">
        <f>IF(OR(J1961="",G1961=""),"",MAX(J1961,MIN(ROUND(J1961*(1+Параметры!$B$5),IF(J1961*(1+Параметры!$B$5)&gt;=1000,-1,0)),ROUND(G1961*Параметры!$B$6,IF(G1961*Параметры!$B$6&gt;=1000,-1,0)))))</f>
        <v>57400</v>
      </c>
      <c r="L1961" s="16">
        <v>45</v>
      </c>
      <c r="M1961" s="17">
        <f t="shared" si="144"/>
        <v>2.2222222222222223E-2</v>
      </c>
      <c r="N1961" s="17">
        <f>IF(OR(L1961="",L1961=0),"",Параметры!$B$3/L1961)</f>
        <v>0.17777777777777778</v>
      </c>
      <c r="O1961" s="15">
        <f>IF(L1961="","",IFERROR(INDEX('Почасовка — ставки и план'!$D$5:$D$24,MATCH($D1961,'Почасовка — ставки и план'!$A$5:$A$24,0)),""))</f>
        <v>900</v>
      </c>
      <c r="P1961" s="15">
        <f>IF(L1961="","",IFERROR(INDEX('Почасовка — ставки и план'!$E$5:$E$24,MATCH($D1961,'Почасовка — ставки и план'!$A$5:$A$24,0)),""))</f>
        <v>1080</v>
      </c>
      <c r="Q1961" s="15">
        <f t="shared" si="145"/>
        <v>40500</v>
      </c>
      <c r="R1961" s="13" t="str">
        <f>IF(D1961="TEX","аренда техники — сделка/счёт",IF(OR(Q1961="",H1961="",H1961=0),"—",IF(Q1961&lt;H1961*(1-Параметры!$B$7),"почасовка",IF(Q1961&gt;H1961*(1+Параметры!$B$7),"сделка","любой способ"))))</f>
        <v>любой способ</v>
      </c>
      <c r="S1961">
        <v>0</v>
      </c>
      <c r="T1961">
        <v>0</v>
      </c>
    </row>
    <row r="1962" spans="1:20" x14ac:dyDescent="0.25">
      <c r="A1962" s="13" t="s">
        <v>3955</v>
      </c>
      <c r="B1962" s="13" t="s">
        <v>3956</v>
      </c>
      <c r="C1962" s="13" t="s">
        <v>72</v>
      </c>
      <c r="D1962" s="13" t="s">
        <v>64</v>
      </c>
      <c r="E1962" s="13" t="str">
        <f>IFERROR(INDEX('Почасовка — ставки и план'!$B$5:$B$24,MATCH(D1962,'Почасовка — ставки и план'!$A$5:$A$24,0)),"Аренда техники / механизмы")</f>
        <v>Сварщик / монтажник МК</v>
      </c>
      <c r="F1962" s="14">
        <v>1800</v>
      </c>
      <c r="G1962" s="14">
        <v>2160</v>
      </c>
      <c r="H1962" s="15">
        <v>930</v>
      </c>
      <c r="I1962" s="15">
        <f>IF(OR(H1962="",F1962=""),"",MAX(H1962,MIN(ROUND(H1962*(1+Параметры!$B$5),IF(H1962*(1+Параметры!$B$5)&gt;=1000,-1,0)),ROUND(F1962*Параметры!$B$6,IF(F1962*Параметры!$B$6&gt;=1000,-1,0)))))</f>
        <v>1070</v>
      </c>
      <c r="J1962" s="15">
        <v>1069</v>
      </c>
      <c r="K1962" s="15">
        <f>IF(OR(J1962="",G1962=""),"",MAX(J1962,MIN(ROUND(J1962*(1+Параметры!$B$5),IF(J1962*(1+Параметры!$B$5)&gt;=1000,-1,0)),ROUND(G1962*Параметры!$B$6,IF(G1962*Параметры!$B$6&gt;=1000,-1,0)))))</f>
        <v>1230</v>
      </c>
      <c r="L1962" s="16">
        <v>1.5</v>
      </c>
      <c r="M1962" s="17">
        <f t="shared" si="144"/>
        <v>0.66666666666666663</v>
      </c>
      <c r="N1962" s="17">
        <f>IF(OR(L1962="",L1962=0),"",Параметры!$B$3/L1962)</f>
        <v>5.333333333333333</v>
      </c>
      <c r="O1962" s="15">
        <f>IF(L1962="","",IFERROR(INDEX('Почасовка — ставки и план'!$D$5:$D$24,MATCH($D1962,'Почасовка — ставки и план'!$A$5:$A$24,0)),""))</f>
        <v>900</v>
      </c>
      <c r="P1962" s="15">
        <f>IF(L1962="","",IFERROR(INDEX('Почасовка — ставки и план'!$E$5:$E$24,MATCH($D1962,'Почасовка — ставки и план'!$A$5:$A$24,0)),""))</f>
        <v>1080</v>
      </c>
      <c r="Q1962" s="15">
        <f t="shared" si="145"/>
        <v>1350</v>
      </c>
      <c r="R1962" s="13" t="str">
        <f>IF(D1962="TEX","аренда техники — сделка/счёт",IF(OR(Q1962="",H1962="",H1962=0),"—",IF(Q1962&lt;H1962*(1-Параметры!$B$7),"почасовка",IF(Q1962&gt;H1962*(1+Параметры!$B$7),"сделка","любой способ"))))</f>
        <v>сделка</v>
      </c>
      <c r="S1962">
        <v>0.2</v>
      </c>
      <c r="T1962">
        <v>0.25217391304347841</v>
      </c>
    </row>
    <row r="1963" spans="1:20" x14ac:dyDescent="0.25">
      <c r="A1963" s="13" t="s">
        <v>3957</v>
      </c>
      <c r="B1963" s="13" t="s">
        <v>3958</v>
      </c>
      <c r="C1963" s="13" t="s">
        <v>144</v>
      </c>
      <c r="D1963" s="13" t="s">
        <v>64</v>
      </c>
      <c r="E1963" s="13" t="str">
        <f>IFERROR(INDEX('Почасовка — ставки и план'!$B$5:$B$24,MATCH(D1963,'Почасовка — ставки и план'!$A$5:$A$24,0)),"Аренда техники / механизмы")</f>
        <v>Сварщик / монтажник МК</v>
      </c>
      <c r="F1963" s="14">
        <v>1500</v>
      </c>
      <c r="G1963" s="14">
        <v>1725</v>
      </c>
      <c r="H1963" s="15">
        <v>930</v>
      </c>
      <c r="I1963" s="15">
        <f>IF(OR(H1963="",F1963=""),"",MAX(H1963,MIN(ROUND(H1963*(1+Параметры!$B$5),IF(H1963*(1+Параметры!$B$5)&gt;=1000,-1,0)),ROUND(F1963*Параметры!$B$6,IF(F1963*Параметры!$B$6&gt;=1000,-1,0)))))</f>
        <v>1070</v>
      </c>
      <c r="J1963" s="15">
        <v>1069</v>
      </c>
      <c r="K1963" s="15">
        <f>IF(OR(J1963="",G1963=""),"",MAX(J1963,MIN(ROUND(J1963*(1+Параметры!$B$5),IF(J1963*(1+Параметры!$B$5)&gt;=1000,-1,0)),ROUND(G1963*Параметры!$B$6,IF(G1963*Параметры!$B$6&gt;=1000,-1,0)))))</f>
        <v>1230</v>
      </c>
      <c r="L1963" s="16">
        <v>0.8</v>
      </c>
      <c r="M1963" s="17">
        <f t="shared" si="144"/>
        <v>1.25</v>
      </c>
      <c r="N1963" s="17">
        <f>IF(OR(L1963="",L1963=0),"",Параметры!$B$3/L1963)</f>
        <v>10</v>
      </c>
      <c r="O1963" s="15">
        <f>IF(L1963="","",IFERROR(INDEX('Почасовка — ставки и план'!$D$5:$D$24,MATCH($D1963,'Почасовка — ставки и план'!$A$5:$A$24,0)),""))</f>
        <v>900</v>
      </c>
      <c r="P1963" s="15">
        <f>IF(L1963="","",IFERROR(INDEX('Почасовка — ставки и план'!$E$5:$E$24,MATCH($D1963,'Почасовка — ставки и план'!$A$5:$A$24,0)),""))</f>
        <v>1080</v>
      </c>
      <c r="Q1963" s="15">
        <f t="shared" si="145"/>
        <v>720</v>
      </c>
      <c r="R1963" s="13" t="str">
        <f>IF(D1963="TEX","аренда техники — сделка/счёт",IF(OR(Q1963="",H1963="",H1963=0),"—",IF(Q1963&lt;H1963*(1-Параметры!$B$7),"почасовка",IF(Q1963&gt;H1963*(1+Параметры!$B$7),"сделка","любой способ"))))</f>
        <v>почасовка</v>
      </c>
      <c r="S1963">
        <v>0</v>
      </c>
      <c r="T1963">
        <v>0</v>
      </c>
    </row>
    <row r="1964" spans="1:20" x14ac:dyDescent="0.25">
      <c r="A1964" s="13" t="s">
        <v>3959</v>
      </c>
      <c r="B1964" s="13" t="s">
        <v>3960</v>
      </c>
      <c r="C1964" s="13" t="s">
        <v>144</v>
      </c>
      <c r="D1964" s="13" t="s">
        <v>276</v>
      </c>
      <c r="E1964" s="13" t="str">
        <f>IFERROR(INDEX('Почасовка — ставки и план'!$B$5:$B$24,MATCH(D1964,'Почасовка — ставки и план'!$A$5:$A$24,0)),"Аренда техники / механизмы")</f>
        <v>Монтажник дверей, окон, перегородок</v>
      </c>
      <c r="F1964" s="14">
        <v>1200</v>
      </c>
      <c r="G1964" s="14">
        <v>1380</v>
      </c>
      <c r="H1964" s="15">
        <v>744</v>
      </c>
      <c r="I1964" s="15">
        <f>IF(OR(H1964="",F1964=""),"",MAX(H1964,MIN(ROUND(H1964*(1+Параметры!$B$5),IF(H1964*(1+Параметры!$B$5)&gt;=1000,-1,0)),ROUND(F1964*Параметры!$B$6,IF(F1964*Параметры!$B$6&gt;=1000,-1,0)))))</f>
        <v>856</v>
      </c>
      <c r="J1964" s="15">
        <v>856</v>
      </c>
      <c r="K1964" s="15">
        <f>IF(OR(J1964="",G1964=""),"",MAX(J1964,MIN(ROUND(J1964*(1+Параметры!$B$5),IF(J1964*(1+Параметры!$B$5)&gt;=1000,-1,0)),ROUND(G1964*Параметры!$B$6,IF(G1964*Параметры!$B$6&gt;=1000,-1,0)))))</f>
        <v>984</v>
      </c>
      <c r="L1964" s="16">
        <v>0.7</v>
      </c>
      <c r="M1964" s="17">
        <f t="shared" si="144"/>
        <v>1.4285714285714286</v>
      </c>
      <c r="N1964" s="17">
        <f>IF(OR(L1964="",L1964=0),"",Параметры!$B$3/L1964)</f>
        <v>11.428571428571429</v>
      </c>
      <c r="O1964" s="15">
        <f>IF(L1964="","",IFERROR(INDEX('Почасовка — ставки и план'!$D$5:$D$24,MATCH($D1964,'Почасовка — ставки и план'!$A$5:$A$24,0)),""))</f>
        <v>800</v>
      </c>
      <c r="P1964" s="15">
        <f>IF(L1964="","",IFERROR(INDEX('Почасовка — ставки и план'!$E$5:$E$24,MATCH($D1964,'Почасовка — ставки и план'!$A$5:$A$24,0)),""))</f>
        <v>950</v>
      </c>
      <c r="Q1964" s="15">
        <f t="shared" si="145"/>
        <v>560</v>
      </c>
      <c r="R1964" s="13" t="str">
        <f>IF(D1964="TEX","аренда техники — сделка/счёт",IF(OR(Q1964="",H1964="",H1964=0),"—",IF(Q1964&lt;H1964*(1-Параметры!$B$7),"почасовка",IF(Q1964&gt;H1964*(1+Параметры!$B$7),"сделка","любой способ"))))</f>
        <v>почасовка</v>
      </c>
      <c r="S1964">
        <v>0</v>
      </c>
      <c r="T1964">
        <v>0</v>
      </c>
    </row>
    <row r="1965" spans="1:20" x14ac:dyDescent="0.25">
      <c r="A1965" s="13" t="s">
        <v>3961</v>
      </c>
      <c r="B1965" s="13" t="s">
        <v>3962</v>
      </c>
      <c r="C1965" s="13" t="s">
        <v>144</v>
      </c>
      <c r="D1965" s="13" t="s">
        <v>64</v>
      </c>
      <c r="E1965" s="13" t="str">
        <f>IFERROR(INDEX('Почасовка — ставки и план'!$B$5:$B$24,MATCH(D1965,'Почасовка — ставки и план'!$A$5:$A$24,0)),"Аренда техники / механизмы")</f>
        <v>Сварщик / монтажник МК</v>
      </c>
      <c r="F1965" s="14">
        <v>1500</v>
      </c>
      <c r="G1965" s="14">
        <v>1725</v>
      </c>
      <c r="H1965" s="15">
        <v>930</v>
      </c>
      <c r="I1965" s="15">
        <f>IF(OR(H1965="",F1965=""),"",MAX(H1965,MIN(ROUND(H1965*(1+Параметры!$B$5),IF(H1965*(1+Параметры!$B$5)&gt;=1000,-1,0)),ROUND(F1965*Параметры!$B$6,IF(F1965*Параметры!$B$6&gt;=1000,-1,0)))))</f>
        <v>1070</v>
      </c>
      <c r="J1965" s="15">
        <v>1069</v>
      </c>
      <c r="K1965" s="15">
        <f>IF(OR(J1965="",G1965=""),"",MAX(J1965,MIN(ROUND(J1965*(1+Параметры!$B$5),IF(J1965*(1+Параметры!$B$5)&gt;=1000,-1,0)),ROUND(G1965*Параметры!$B$6,IF(G1965*Параметры!$B$6&gt;=1000,-1,0)))))</f>
        <v>1230</v>
      </c>
      <c r="L1965" s="16">
        <v>0.8</v>
      </c>
      <c r="M1965" s="17">
        <f t="shared" si="144"/>
        <v>1.25</v>
      </c>
      <c r="N1965" s="17">
        <f>IF(OR(L1965="",L1965=0),"",Параметры!$B$3/L1965)</f>
        <v>10</v>
      </c>
      <c r="O1965" s="15">
        <f>IF(L1965="","",IFERROR(INDEX('Почасовка — ставки и план'!$D$5:$D$24,MATCH($D1965,'Почасовка — ставки и план'!$A$5:$A$24,0)),""))</f>
        <v>900</v>
      </c>
      <c r="P1965" s="15">
        <f>IF(L1965="","",IFERROR(INDEX('Почасовка — ставки и план'!$E$5:$E$24,MATCH($D1965,'Почасовка — ставки и план'!$A$5:$A$24,0)),""))</f>
        <v>1080</v>
      </c>
      <c r="Q1965" s="15">
        <f t="shared" si="145"/>
        <v>720</v>
      </c>
      <c r="R1965" s="13" t="str">
        <f>IF(D1965="TEX","аренда техники — сделка/счёт",IF(OR(Q1965="",H1965="",H1965=0),"—",IF(Q1965&lt;H1965*(1-Параметры!$B$7),"почасовка",IF(Q1965&gt;H1965*(1+Параметры!$B$7),"сделка","любой способ"))))</f>
        <v>почасовка</v>
      </c>
      <c r="S1965">
        <v>0</v>
      </c>
      <c r="T1965">
        <v>0</v>
      </c>
    </row>
    <row r="1966" spans="1:20" x14ac:dyDescent="0.25">
      <c r="A1966" s="13" t="s">
        <v>3963</v>
      </c>
      <c r="B1966" s="13" t="s">
        <v>3964</v>
      </c>
      <c r="C1966" s="13" t="s">
        <v>144</v>
      </c>
      <c r="D1966" s="13" t="s">
        <v>64</v>
      </c>
      <c r="E1966" s="13" t="str">
        <f>IFERROR(INDEX('Почасовка — ставки и план'!$B$5:$B$24,MATCH(D1966,'Почасовка — ставки и план'!$A$5:$A$24,0)),"Аренда техники / механизмы")</f>
        <v>Сварщик / монтажник МК</v>
      </c>
      <c r="F1966" s="14">
        <v>2000</v>
      </c>
      <c r="G1966" s="14">
        <v>2300</v>
      </c>
      <c r="H1966" s="15">
        <v>1240</v>
      </c>
      <c r="I1966" s="15">
        <f>IF(OR(H1966="",F1966=""),"",MAX(H1966,MIN(ROUND(H1966*(1+Параметры!$B$5),IF(H1966*(1+Параметры!$B$5)&gt;=1000,-1,0)),ROUND(F1966*Параметры!$B$6,IF(F1966*Параметры!$B$6&gt;=1000,-1,0)))))</f>
        <v>1430</v>
      </c>
      <c r="J1966" s="15">
        <v>1426</v>
      </c>
      <c r="K1966" s="15">
        <f>IF(OR(J1966="",G1966=""),"",MAX(J1966,MIN(ROUND(J1966*(1+Параметры!$B$5),IF(J1966*(1+Параметры!$B$5)&gt;=1000,-1,0)),ROUND(G1966*Параметры!$B$6,IF(G1966*Параметры!$B$6&gt;=1000,-1,0)))))</f>
        <v>1640</v>
      </c>
      <c r="L1966" s="16">
        <v>1</v>
      </c>
      <c r="M1966" s="17">
        <f t="shared" si="144"/>
        <v>1</v>
      </c>
      <c r="N1966" s="17">
        <f>IF(OR(L1966="",L1966=0),"",Параметры!$B$3/L1966)</f>
        <v>8</v>
      </c>
      <c r="O1966" s="15">
        <f>IF(L1966="","",IFERROR(INDEX('Почасовка — ставки и план'!$D$5:$D$24,MATCH($D1966,'Почасовка — ставки и план'!$A$5:$A$24,0)),""))</f>
        <v>900</v>
      </c>
      <c r="P1966" s="15">
        <f>IF(L1966="","",IFERROR(INDEX('Почасовка — ставки и план'!$E$5:$E$24,MATCH($D1966,'Почасовка — ставки и план'!$A$5:$A$24,0)),""))</f>
        <v>1080</v>
      </c>
      <c r="Q1966" s="15">
        <f t="shared" si="145"/>
        <v>900</v>
      </c>
      <c r="R1966" s="13" t="str">
        <f>IF(D1966="TEX","аренда техники — сделка/счёт",IF(OR(Q1966="",H1966="",H1966=0),"—",IF(Q1966&lt;H1966*(1-Параметры!$B$7),"почасовка",IF(Q1966&gt;H1966*(1+Параметры!$B$7),"сделка","любой способ"))))</f>
        <v>почасовка</v>
      </c>
      <c r="S1966">
        <v>0</v>
      </c>
      <c r="T1966">
        <v>0</v>
      </c>
    </row>
    <row r="1967" spans="1:20" x14ac:dyDescent="0.25">
      <c r="A1967" s="13" t="s">
        <v>3965</v>
      </c>
      <c r="B1967" s="13" t="s">
        <v>3966</v>
      </c>
      <c r="C1967" s="13" t="s">
        <v>144</v>
      </c>
      <c r="D1967" s="13" t="s">
        <v>273</v>
      </c>
      <c r="E1967" s="13" t="str">
        <f>IFERROR(INDEX('Почасовка — ставки и план'!$B$5:$B$24,MATCH(D1967,'Почасовка — ставки и план'!$A$5:$A$24,0)),"Аренда техники / механизмы")</f>
        <v>Электромонтажник</v>
      </c>
      <c r="F1967" s="14">
        <v>2500</v>
      </c>
      <c r="G1967" s="14">
        <v>2875</v>
      </c>
      <c r="H1967" s="15">
        <v>1550</v>
      </c>
      <c r="I1967" s="15">
        <f>IF(OR(H1967="",F1967=""),"",MAX(H1967,MIN(ROUND(H1967*(1+Параметры!$B$5),IF(H1967*(1+Параметры!$B$5)&gt;=1000,-1,0)),ROUND(F1967*Параметры!$B$6,IF(F1967*Параметры!$B$6&gt;=1000,-1,0)))))</f>
        <v>1780</v>
      </c>
      <c r="J1967" s="15">
        <v>1782</v>
      </c>
      <c r="K1967" s="15">
        <f>IF(OR(J1967="",G1967=""),"",MAX(J1967,MIN(ROUND(J1967*(1+Параметры!$B$5),IF(J1967*(1+Параметры!$B$5)&gt;=1000,-1,0)),ROUND(G1967*Параметры!$B$6,IF(G1967*Параметры!$B$6&gt;=1000,-1,0)))))</f>
        <v>2050</v>
      </c>
      <c r="L1967" s="16">
        <v>1</v>
      </c>
      <c r="M1967" s="17">
        <f t="shared" si="144"/>
        <v>1</v>
      </c>
      <c r="N1967" s="17">
        <f>IF(OR(L1967="",L1967=0),"",Параметры!$B$3/L1967)</f>
        <v>8</v>
      </c>
      <c r="O1967" s="15">
        <f>IF(L1967="","",IFERROR(INDEX('Почасовка — ставки и план'!$D$5:$D$24,MATCH($D1967,'Почасовка — ставки и план'!$A$5:$A$24,0)),""))</f>
        <v>850</v>
      </c>
      <c r="P1967" s="15">
        <f>IF(L1967="","",IFERROR(INDEX('Почасовка — ставки и план'!$E$5:$E$24,MATCH($D1967,'Почасовка — ставки и план'!$A$5:$A$24,0)),""))</f>
        <v>1020</v>
      </c>
      <c r="Q1967" s="15">
        <f t="shared" si="145"/>
        <v>850</v>
      </c>
      <c r="R1967" s="13" t="str">
        <f>IF(D1967="TEX","аренда техники — сделка/счёт",IF(OR(Q1967="",H1967="",H1967=0),"—",IF(Q1967&lt;H1967*(1-Параметры!$B$7),"почасовка",IF(Q1967&gt;H1967*(1+Параметры!$B$7),"сделка","любой способ"))))</f>
        <v>почасовка</v>
      </c>
      <c r="S1967">
        <v>0</v>
      </c>
      <c r="T1967">
        <v>0</v>
      </c>
    </row>
    <row r="1968" spans="1:20" x14ac:dyDescent="0.25">
      <c r="A1968" s="18" t="s">
        <v>3967</v>
      </c>
      <c r="B1968" s="13" t="s">
        <v>3968</v>
      </c>
      <c r="C1968" s="13" t="s">
        <v>72</v>
      </c>
      <c r="D1968" s="13" t="s">
        <v>64</v>
      </c>
      <c r="E1968" s="13" t="str">
        <f>IFERROR(INDEX('Почасовка — ставки и план'!$B$5:$B$24,MATCH(D1968,'Почасовка — ставки и план'!$A$5:$A$24,0)),"Аренда техники / механизмы")</f>
        <v>Сварщик / монтажник МК</v>
      </c>
      <c r="F1968" s="14">
        <v>600</v>
      </c>
      <c r="G1968" s="14">
        <v>720</v>
      </c>
      <c r="H1968" s="15">
        <v>310</v>
      </c>
      <c r="I1968" s="15">
        <f>IF(OR(H1968="",F1968=""),"",MAX(H1968,MIN(ROUND(H1968*(1+Параметры!$B$5),IF(H1968*(1+Параметры!$B$5)&gt;=1000,-1,0)),ROUND(F1968*Параметры!$B$6,IF(F1968*Параметры!$B$6&gt;=1000,-1,0)))))</f>
        <v>357</v>
      </c>
      <c r="J1968" s="15">
        <v>356</v>
      </c>
      <c r="K1968" s="15">
        <f>IF(OR(J1968="",G1968=""),"",MAX(J1968,MIN(ROUND(J1968*(1+Параметры!$B$5),IF(J1968*(1+Параметры!$B$5)&gt;=1000,-1,0)),ROUND(G1968*Параметры!$B$6,IF(G1968*Параметры!$B$6&gt;=1000,-1,0)))))</f>
        <v>409</v>
      </c>
      <c r="L1968" s="16">
        <v>0.5</v>
      </c>
      <c r="M1968" s="17">
        <f t="shared" si="144"/>
        <v>2</v>
      </c>
      <c r="N1968" s="17">
        <f>IF(OR(L1968="",L1968=0),"",Параметры!$B$3/L1968)</f>
        <v>16</v>
      </c>
      <c r="O1968" s="15">
        <f>IF(L1968="","",IFERROR(INDEX('Почасовка — ставки и план'!$D$5:$D$24,MATCH($D1968,'Почасовка — ставки и план'!$A$5:$A$24,0)),""))</f>
        <v>900</v>
      </c>
      <c r="P1968" s="15">
        <f>IF(L1968="","",IFERROR(INDEX('Почасовка — ставки и план'!$E$5:$E$24,MATCH($D1968,'Почасовка — ставки и план'!$A$5:$A$24,0)),""))</f>
        <v>1080</v>
      </c>
      <c r="Q1968" s="15">
        <f t="shared" si="145"/>
        <v>450</v>
      </c>
      <c r="R1968" s="13" t="str">
        <f>IF(D1968="TEX","аренда техники — сделка/счёт",IF(OR(Q1968="",H1968="",H1968=0),"—",IF(Q1968&lt;H1968*(1-Параметры!$B$7),"почасовка",IF(Q1968&gt;H1968*(1+Параметры!$B$7),"сделка","любой способ"))))</f>
        <v>сделка</v>
      </c>
      <c r="S1968">
        <v>0.2</v>
      </c>
      <c r="T1968">
        <v>0.25217391304347841</v>
      </c>
    </row>
    <row r="1969" spans="1:20" x14ac:dyDescent="0.25">
      <c r="A1969" s="18" t="s">
        <v>3969</v>
      </c>
      <c r="B1969" s="13" t="s">
        <v>3970</v>
      </c>
      <c r="C1969" s="13" t="s">
        <v>72</v>
      </c>
      <c r="D1969" s="13" t="s">
        <v>208</v>
      </c>
      <c r="E1969" s="13" t="str">
        <f>IFERROR(INDEX('Почасовка — ставки и план'!$B$5:$B$24,MATCH(D1969,'Почасовка — ставки и план'!$A$5:$A$24,0)),"Аренда техники / механизмы")</f>
        <v>Отделочник (штукатур, маляр, ГКЛ)</v>
      </c>
      <c r="F1969" s="14">
        <v>450</v>
      </c>
      <c r="G1969" s="14">
        <v>518</v>
      </c>
      <c r="H1969" s="15">
        <v>284</v>
      </c>
      <c r="I1969" s="15">
        <f>IF(OR(H1969="",F1969=""),"",MAX(H1969,MIN(ROUND(H1969*(1+Параметры!$B$5),IF(H1969*(1+Параметры!$B$5)&gt;=1000,-1,0)),ROUND(F1969*Параметры!$B$6,IF(F1969*Параметры!$B$6&gt;=1000,-1,0)))))</f>
        <v>327</v>
      </c>
      <c r="J1969" s="15">
        <v>326</v>
      </c>
      <c r="K1969" s="15">
        <f>IF(OR(J1969="",G1969=""),"",MAX(J1969,MIN(ROUND(J1969*(1+Параметры!$B$5),IF(J1969*(1+Параметры!$B$5)&gt;=1000,-1,0)),ROUND(G1969*Параметры!$B$6,IF(G1969*Параметры!$B$6&gt;=1000,-1,0)))))</f>
        <v>375</v>
      </c>
      <c r="L1969" s="16">
        <v>0.4</v>
      </c>
      <c r="M1969" s="17">
        <f t="shared" si="144"/>
        <v>2.5</v>
      </c>
      <c r="N1969" s="17">
        <f>IF(OR(L1969="",L1969=0),"",Параметры!$B$3/L1969)</f>
        <v>20</v>
      </c>
      <c r="O1969" s="15">
        <f>IF(L1969="","",IFERROR(INDEX('Почасовка — ставки и план'!$D$5:$D$24,MATCH($D1969,'Почасовка — ставки и план'!$A$5:$A$24,0)),""))</f>
        <v>750</v>
      </c>
      <c r="P1969" s="15">
        <f>IF(L1969="","",IFERROR(INDEX('Почасовка — ставки и план'!$E$5:$E$24,MATCH($D1969,'Почасовка — ставки и план'!$A$5:$A$24,0)),""))</f>
        <v>900</v>
      </c>
      <c r="Q1969" s="15">
        <f t="shared" si="145"/>
        <v>300</v>
      </c>
      <c r="R1969" s="13" t="str">
        <f>IF(D1969="TEX","аренда техники — сделка/счёт",IF(OR(Q1969="",H1969="",H1969=0),"—",IF(Q1969&lt;H1969*(1-Параметры!$B$7),"почасовка",IF(Q1969&gt;H1969*(1+Параметры!$B$7),"сделка","любой способ"))))</f>
        <v>любой способ</v>
      </c>
      <c r="S1969">
        <v>0</v>
      </c>
      <c r="T1969">
        <v>0</v>
      </c>
    </row>
    <row r="1970" spans="1:20" x14ac:dyDescent="0.25">
      <c r="A1970" s="11" t="s">
        <v>3971</v>
      </c>
      <c r="B1970" s="12"/>
      <c r="C1970" s="12"/>
      <c r="D1970" s="12"/>
      <c r="E1970" s="12"/>
      <c r="F1970" s="12"/>
      <c r="G1970" s="12"/>
      <c r="H1970" s="12"/>
      <c r="I1970" s="12"/>
      <c r="J1970" s="12"/>
      <c r="K1970" s="12"/>
      <c r="L1970" s="12"/>
      <c r="M1970" s="12"/>
      <c r="N1970" s="12"/>
      <c r="O1970" s="12"/>
      <c r="P1970" s="12"/>
      <c r="Q1970" s="12"/>
      <c r="R1970" s="12"/>
    </row>
    <row r="1971" spans="1:20" x14ac:dyDescent="0.25">
      <c r="A1971" s="13" t="s">
        <v>3972</v>
      </c>
      <c r="B1971" s="13" t="s">
        <v>3973</v>
      </c>
      <c r="C1971" s="13" t="s">
        <v>144</v>
      </c>
      <c r="D1971" s="13" t="s">
        <v>545</v>
      </c>
      <c r="E1971" s="13" t="str">
        <f>IFERROR(INDEX('Почасовка — ставки и план'!$B$5:$B$24,MATCH(D1971,'Почасовка — ставки и план'!$A$5:$A$24,0)),"Аренда техники / механизмы")</f>
        <v>Сервисный инженер ворот и автоматики</v>
      </c>
      <c r="F1971" s="14">
        <v>2500</v>
      </c>
      <c r="G1971" s="14">
        <v>2880</v>
      </c>
      <c r="H1971" s="15">
        <v>1500</v>
      </c>
      <c r="I1971" s="15">
        <f>IF(OR(H1971="",F1971=""),"",MAX(H1971,MIN(ROUND(H1971*(1+Параметры!$B$5),IF(H1971*(1+Параметры!$B$5)&gt;=1000,-1,0)),ROUND(F1971*Параметры!$B$6,IF(F1971*Параметры!$B$6&gt;=1000,-1,0)))))</f>
        <v>1730</v>
      </c>
      <c r="J1971" s="15">
        <v>1725</v>
      </c>
      <c r="K1971" s="15">
        <f>IF(OR(J1971="",G1971=""),"",MAX(J1971,MIN(ROUND(J1971*(1+Параметры!$B$5),IF(J1971*(1+Параметры!$B$5)&gt;=1000,-1,0)),ROUND(G1971*Параметры!$B$6,IF(G1971*Параметры!$B$6&gt;=1000,-1,0)))))</f>
        <v>1980</v>
      </c>
      <c r="L1971" s="16">
        <v>1.5</v>
      </c>
      <c r="M1971" s="17">
        <f t="shared" ref="M1971:M2002" si="146">IF(OR(L1971="",L1971=0),"",1/L1971)</f>
        <v>0.66666666666666663</v>
      </c>
      <c r="N1971" s="17">
        <f>IF(OR(L1971="",L1971=0),"",Параметры!$B$3/L1971)</f>
        <v>5.333333333333333</v>
      </c>
      <c r="O1971" s="15">
        <f>IF(L1971="","",IFERROR(INDEX('Почасовка — ставки и план'!$D$5:$D$24,MATCH($D1971,'Почасовка — ставки и план'!$A$5:$A$24,0)),""))</f>
        <v>1200</v>
      </c>
      <c r="P1971" s="15">
        <f>IF(L1971="","",IFERROR(INDEX('Почасовка — ставки и план'!$E$5:$E$24,MATCH($D1971,'Почасовка — ставки и план'!$A$5:$A$24,0)),""))</f>
        <v>1440</v>
      </c>
      <c r="Q1971" s="15">
        <f t="shared" ref="Q1971:Q2002" si="147">IF(OR(L1971="",O1971=""),"",ROUND(L1971*O1971,0))</f>
        <v>1800</v>
      </c>
      <c r="R1971" s="13" t="str">
        <f>IF(D1971="TEX","аренда техники — сделка/счёт",IF(OR(Q1971="",H1971="",H1971=0),"—",IF(Q1971&lt;H1971*(1-Параметры!$B$7),"почасовка",IF(Q1971&gt;H1971*(1+Параметры!$B$7),"сделка","любой способ"))))</f>
        <v>сделка</v>
      </c>
      <c r="S1971">
        <v>0</v>
      </c>
      <c r="T1971">
        <v>1.739130434782687E-3</v>
      </c>
    </row>
    <row r="1972" spans="1:20" x14ac:dyDescent="0.25">
      <c r="A1972" s="13" t="s">
        <v>3974</v>
      </c>
      <c r="B1972" s="13" t="s">
        <v>3975</v>
      </c>
      <c r="C1972" s="13" t="s">
        <v>144</v>
      </c>
      <c r="D1972" s="13" t="s">
        <v>545</v>
      </c>
      <c r="E1972" s="13" t="str">
        <f>IFERROR(INDEX('Почасовка — ставки и план'!$B$5:$B$24,MATCH(D1972,'Почасовка — ставки и план'!$A$5:$A$24,0)),"Аренда техники / механизмы")</f>
        <v>Сервисный инженер ворот и автоматики</v>
      </c>
      <c r="F1972" s="14">
        <v>4000</v>
      </c>
      <c r="G1972" s="14">
        <v>4800</v>
      </c>
      <c r="H1972" s="15">
        <v>2400</v>
      </c>
      <c r="I1972" s="15">
        <f>IF(OR(H1972="",F1972=""),"",MAX(H1972,MIN(ROUND(H1972*(1+Параметры!$B$5),IF(H1972*(1+Параметры!$B$5)&gt;=1000,-1,0)),ROUND(F1972*Параметры!$B$6,IF(F1972*Параметры!$B$6&gt;=1000,-1,0)))))</f>
        <v>2760</v>
      </c>
      <c r="J1972" s="15">
        <v>2760</v>
      </c>
      <c r="K1972" s="15">
        <f>IF(OR(J1972="",G1972=""),"",MAX(J1972,MIN(ROUND(J1972*(1+Параметры!$B$5),IF(J1972*(1+Параметры!$B$5)&gt;=1000,-1,0)),ROUND(G1972*Параметры!$B$6,IF(G1972*Параметры!$B$6&gt;=1000,-1,0)))))</f>
        <v>3170</v>
      </c>
      <c r="L1972" s="16">
        <v>2.5</v>
      </c>
      <c r="M1972" s="17">
        <f t="shared" si="146"/>
        <v>0.4</v>
      </c>
      <c r="N1972" s="17">
        <f>IF(OR(L1972="",L1972=0),"",Параметры!$B$3/L1972)</f>
        <v>3.2</v>
      </c>
      <c r="O1972" s="15">
        <f>IF(L1972="","",IFERROR(INDEX('Почасовка — ставки и план'!$D$5:$D$24,MATCH($D1972,'Почасовка — ставки и план'!$A$5:$A$24,0)),""))</f>
        <v>1200</v>
      </c>
      <c r="P1972" s="15">
        <f>IF(L1972="","",IFERROR(INDEX('Почасовка — ставки и план'!$E$5:$E$24,MATCH($D1972,'Почасовка — ставки и план'!$A$5:$A$24,0)),""))</f>
        <v>1440</v>
      </c>
      <c r="Q1972" s="15">
        <f t="shared" si="147"/>
        <v>3000</v>
      </c>
      <c r="R1972" s="13" t="str">
        <f>IF(D1972="TEX","аренда техники — сделка/счёт",IF(OR(Q1972="",H1972="",H1972=0),"—",IF(Q1972&lt;H1972*(1-Параметры!$B$7),"почасовка",IF(Q1972&gt;H1972*(1+Параметры!$B$7),"сделка","любой способ"))))</f>
        <v>сделка</v>
      </c>
      <c r="S1972">
        <v>0</v>
      </c>
      <c r="T1972">
        <v>4.3478260869565188E-2</v>
      </c>
    </row>
    <row r="1973" spans="1:20" x14ac:dyDescent="0.25">
      <c r="A1973" s="13" t="s">
        <v>3976</v>
      </c>
      <c r="B1973" s="13" t="s">
        <v>3977</v>
      </c>
      <c r="C1973" s="13" t="s">
        <v>144</v>
      </c>
      <c r="D1973" s="13" t="s">
        <v>545</v>
      </c>
      <c r="E1973" s="13" t="str">
        <f>IFERROR(INDEX('Почасовка — ставки и план'!$B$5:$B$24,MATCH(D1973,'Почасовка — ставки и план'!$A$5:$A$24,0)),"Аренда техники / механизмы")</f>
        <v>Сервисный инженер ворот и автоматики</v>
      </c>
      <c r="F1973" s="14">
        <v>3000</v>
      </c>
      <c r="G1973" s="14">
        <v>3450</v>
      </c>
      <c r="H1973" s="15">
        <v>1800</v>
      </c>
      <c r="I1973" s="15">
        <f>IF(OR(H1973="",F1973=""),"",MAX(H1973,MIN(ROUND(H1973*(1+Параметры!$B$5),IF(H1973*(1+Параметры!$B$5)&gt;=1000,-1,0)),ROUND(F1973*Параметры!$B$6,IF(F1973*Параметры!$B$6&gt;=1000,-1,0)))))</f>
        <v>2070</v>
      </c>
      <c r="J1973" s="15">
        <v>2070</v>
      </c>
      <c r="K1973" s="15">
        <f>IF(OR(J1973="",G1973=""),"",MAX(J1973,MIN(ROUND(J1973*(1+Параметры!$B$5),IF(J1973*(1+Параметры!$B$5)&gt;=1000,-1,0)),ROUND(G1973*Параметры!$B$6,IF(G1973*Параметры!$B$6&gt;=1000,-1,0)))))</f>
        <v>2380</v>
      </c>
      <c r="L1973" s="16">
        <v>1</v>
      </c>
      <c r="M1973" s="17">
        <f t="shared" si="146"/>
        <v>1</v>
      </c>
      <c r="N1973" s="17">
        <f>IF(OR(L1973="",L1973=0),"",Параметры!$B$3/L1973)</f>
        <v>8</v>
      </c>
      <c r="O1973" s="15">
        <f>IF(L1973="","",IFERROR(INDEX('Почасовка — ставки и план'!$D$5:$D$24,MATCH($D1973,'Почасовка — ставки и план'!$A$5:$A$24,0)),""))</f>
        <v>1200</v>
      </c>
      <c r="P1973" s="15">
        <f>IF(L1973="","",IFERROR(INDEX('Почасовка — ставки и план'!$E$5:$E$24,MATCH($D1973,'Почасовка — ставки и план'!$A$5:$A$24,0)),""))</f>
        <v>1440</v>
      </c>
      <c r="Q1973" s="15">
        <f t="shared" si="147"/>
        <v>1200</v>
      </c>
      <c r="R1973" s="13" t="str">
        <f>IF(D1973="TEX","аренда техники — сделка/счёт",IF(OR(Q1973="",H1973="",H1973=0),"—",IF(Q1973&lt;H1973*(1-Параметры!$B$7),"почасовка",IF(Q1973&gt;H1973*(1+Параметры!$B$7),"сделка","любой способ"))))</f>
        <v>почасовка</v>
      </c>
      <c r="S1973">
        <v>0</v>
      </c>
      <c r="T1973">
        <v>0</v>
      </c>
    </row>
    <row r="1974" spans="1:20" x14ac:dyDescent="0.25">
      <c r="A1974" s="13" t="s">
        <v>3978</v>
      </c>
      <c r="B1974" s="13" t="s">
        <v>3979</v>
      </c>
      <c r="C1974" s="13" t="s">
        <v>144</v>
      </c>
      <c r="D1974" s="13" t="s">
        <v>545</v>
      </c>
      <c r="E1974" s="13" t="str">
        <f>IFERROR(INDEX('Почасовка — ставки и план'!$B$5:$B$24,MATCH(D1974,'Почасовка — ставки и план'!$A$5:$A$24,0)),"Аренда техники / механизмы")</f>
        <v>Сервисный инженер ворот и автоматики</v>
      </c>
      <c r="F1974" s="14">
        <v>2500</v>
      </c>
      <c r="G1974" s="14">
        <v>2875</v>
      </c>
      <c r="H1974" s="15">
        <v>1500</v>
      </c>
      <c r="I1974" s="15">
        <f>IF(OR(H1974="",F1974=""),"",MAX(H1974,MIN(ROUND(H1974*(1+Параметры!$B$5),IF(H1974*(1+Параметры!$B$5)&gt;=1000,-1,0)),ROUND(F1974*Параметры!$B$6,IF(F1974*Параметры!$B$6&gt;=1000,-1,0)))))</f>
        <v>1730</v>
      </c>
      <c r="J1974" s="15">
        <v>1725</v>
      </c>
      <c r="K1974" s="15">
        <f>IF(OR(J1974="",G1974=""),"",MAX(J1974,MIN(ROUND(J1974*(1+Параметры!$B$5),IF(J1974*(1+Параметры!$B$5)&gt;=1000,-1,0)),ROUND(G1974*Параметры!$B$6,IF(G1974*Параметры!$B$6&gt;=1000,-1,0)))))</f>
        <v>1980</v>
      </c>
      <c r="L1974" s="16">
        <v>1</v>
      </c>
      <c r="M1974" s="17">
        <f t="shared" si="146"/>
        <v>1</v>
      </c>
      <c r="N1974" s="17">
        <f>IF(OR(L1974="",L1974=0),"",Параметры!$B$3/L1974)</f>
        <v>8</v>
      </c>
      <c r="O1974" s="15">
        <f>IF(L1974="","",IFERROR(INDEX('Почасовка — ставки и план'!$D$5:$D$24,MATCH($D1974,'Почасовка — ставки и план'!$A$5:$A$24,0)),""))</f>
        <v>1200</v>
      </c>
      <c r="P1974" s="15">
        <f>IF(L1974="","",IFERROR(INDEX('Почасовка — ставки и план'!$E$5:$E$24,MATCH($D1974,'Почасовка — ставки и план'!$A$5:$A$24,0)),""))</f>
        <v>1440</v>
      </c>
      <c r="Q1974" s="15">
        <f t="shared" si="147"/>
        <v>1200</v>
      </c>
      <c r="R1974" s="13" t="str">
        <f>IF(D1974="TEX","аренда техники — сделка/счёт",IF(OR(Q1974="",H1974="",H1974=0),"—",IF(Q1974&lt;H1974*(1-Параметры!$B$7),"почасовка",IF(Q1974&gt;H1974*(1+Параметры!$B$7),"сделка","любой способ"))))</f>
        <v>почасовка</v>
      </c>
      <c r="S1974">
        <v>0</v>
      </c>
      <c r="T1974">
        <v>0</v>
      </c>
    </row>
    <row r="1975" spans="1:20" x14ac:dyDescent="0.25">
      <c r="A1975" s="13" t="s">
        <v>3980</v>
      </c>
      <c r="B1975" s="13" t="s">
        <v>3981</v>
      </c>
      <c r="C1975" s="13" t="s">
        <v>144</v>
      </c>
      <c r="D1975" s="13" t="s">
        <v>545</v>
      </c>
      <c r="E1975" s="13" t="str">
        <f>IFERROR(INDEX('Почасовка — ставки и план'!$B$5:$B$24,MATCH(D1975,'Почасовка — ставки и план'!$A$5:$A$24,0)),"Аренда техники / механизмы")</f>
        <v>Сервисный инженер ворот и автоматики</v>
      </c>
      <c r="F1975" s="14">
        <v>3500</v>
      </c>
      <c r="G1975" s="14">
        <v>4025</v>
      </c>
      <c r="H1975" s="15">
        <v>2100</v>
      </c>
      <c r="I1975" s="15">
        <f>IF(OR(H1975="",F1975=""),"",MAX(H1975,MIN(ROUND(H1975*(1+Параметры!$B$5),IF(H1975*(1+Параметры!$B$5)&gt;=1000,-1,0)),ROUND(F1975*Параметры!$B$6,IF(F1975*Параметры!$B$6&gt;=1000,-1,0)))))</f>
        <v>2420</v>
      </c>
      <c r="J1975" s="15">
        <v>2415</v>
      </c>
      <c r="K1975" s="15">
        <f>IF(OR(J1975="",G1975=""),"",MAX(J1975,MIN(ROUND(J1975*(1+Параметры!$B$5),IF(J1975*(1+Параметры!$B$5)&gt;=1000,-1,0)),ROUND(G1975*Параметры!$B$6,IF(G1975*Параметры!$B$6&gt;=1000,-1,0)))))</f>
        <v>2780</v>
      </c>
      <c r="L1975" s="16">
        <v>2</v>
      </c>
      <c r="M1975" s="17">
        <f t="shared" si="146"/>
        <v>0.5</v>
      </c>
      <c r="N1975" s="17">
        <f>IF(OR(L1975="",L1975=0),"",Параметры!$B$3/L1975)</f>
        <v>4</v>
      </c>
      <c r="O1975" s="15">
        <f>IF(L1975="","",IFERROR(INDEX('Почасовка — ставки и план'!$D$5:$D$24,MATCH($D1975,'Почасовка — ставки и план'!$A$5:$A$24,0)),""))</f>
        <v>1200</v>
      </c>
      <c r="P1975" s="15">
        <f>IF(L1975="","",IFERROR(INDEX('Почасовка — ставки и план'!$E$5:$E$24,MATCH($D1975,'Почасовка — ставки и план'!$A$5:$A$24,0)),""))</f>
        <v>1440</v>
      </c>
      <c r="Q1975" s="15">
        <f t="shared" si="147"/>
        <v>2400</v>
      </c>
      <c r="R1975" s="13" t="str">
        <f>IF(D1975="TEX","аренда техники — сделка/счёт",IF(OR(Q1975="",H1975="",H1975=0),"—",IF(Q1975&lt;H1975*(1-Параметры!$B$7),"почасовка",IF(Q1975&gt;H1975*(1+Параметры!$B$7),"сделка","любой способ"))))</f>
        <v>сделка</v>
      </c>
      <c r="S1975">
        <v>0</v>
      </c>
      <c r="T1975">
        <v>0</v>
      </c>
    </row>
    <row r="1976" spans="1:20" x14ac:dyDescent="0.25">
      <c r="A1976" s="13" t="s">
        <v>3982</v>
      </c>
      <c r="B1976" s="13" t="s">
        <v>3983</v>
      </c>
      <c r="C1976" s="13" t="s">
        <v>144</v>
      </c>
      <c r="D1976" s="13" t="s">
        <v>545</v>
      </c>
      <c r="E1976" s="13" t="str">
        <f>IFERROR(INDEX('Почасовка — ставки и план'!$B$5:$B$24,MATCH(D1976,'Почасовка — ставки и план'!$A$5:$A$24,0)),"Аренда техники / механизмы")</f>
        <v>Сервисный инженер ворот и автоматики</v>
      </c>
      <c r="F1976" s="14">
        <v>3000</v>
      </c>
      <c r="G1976" s="14">
        <v>3450</v>
      </c>
      <c r="H1976" s="15">
        <v>1800</v>
      </c>
      <c r="I1976" s="15">
        <f>IF(OR(H1976="",F1976=""),"",MAX(H1976,MIN(ROUND(H1976*(1+Параметры!$B$5),IF(H1976*(1+Параметры!$B$5)&gt;=1000,-1,0)),ROUND(F1976*Параметры!$B$6,IF(F1976*Параметры!$B$6&gt;=1000,-1,0)))))</f>
        <v>2070</v>
      </c>
      <c r="J1976" s="15">
        <v>2070</v>
      </c>
      <c r="K1976" s="15">
        <f>IF(OR(J1976="",G1976=""),"",MAX(J1976,MIN(ROUND(J1976*(1+Параметры!$B$5),IF(J1976*(1+Параметры!$B$5)&gt;=1000,-1,0)),ROUND(G1976*Параметры!$B$6,IF(G1976*Параметры!$B$6&gt;=1000,-1,0)))))</f>
        <v>2380</v>
      </c>
      <c r="L1976" s="16">
        <v>1.5</v>
      </c>
      <c r="M1976" s="17">
        <f t="shared" si="146"/>
        <v>0.66666666666666663</v>
      </c>
      <c r="N1976" s="17">
        <f>IF(OR(L1976="",L1976=0),"",Параметры!$B$3/L1976)</f>
        <v>5.333333333333333</v>
      </c>
      <c r="O1976" s="15">
        <f>IF(L1976="","",IFERROR(INDEX('Почасовка — ставки и план'!$D$5:$D$24,MATCH($D1976,'Почасовка — ставки и план'!$A$5:$A$24,0)),""))</f>
        <v>1200</v>
      </c>
      <c r="P1976" s="15">
        <f>IF(L1976="","",IFERROR(INDEX('Почасовка — ставки и план'!$E$5:$E$24,MATCH($D1976,'Почасовка — ставки и план'!$A$5:$A$24,0)),""))</f>
        <v>1440</v>
      </c>
      <c r="Q1976" s="15">
        <f t="shared" si="147"/>
        <v>1800</v>
      </c>
      <c r="R1976" s="13" t="str">
        <f>IF(D1976="TEX","аренда техники — сделка/счёт",IF(OR(Q1976="",H1976="",H1976=0),"—",IF(Q1976&lt;H1976*(1-Параметры!$B$7),"почасовка",IF(Q1976&gt;H1976*(1+Параметры!$B$7),"сделка","любой способ"))))</f>
        <v>любой способ</v>
      </c>
      <c r="S1976">
        <v>0</v>
      </c>
      <c r="T1976">
        <v>0</v>
      </c>
    </row>
    <row r="1977" spans="1:20" x14ac:dyDescent="0.25">
      <c r="A1977" s="13" t="s">
        <v>3984</v>
      </c>
      <c r="B1977" s="13" t="s">
        <v>3985</v>
      </c>
      <c r="C1977" s="13" t="s">
        <v>144</v>
      </c>
      <c r="D1977" s="13" t="s">
        <v>545</v>
      </c>
      <c r="E1977" s="13" t="str">
        <f>IFERROR(INDEX('Почасовка — ставки и план'!$B$5:$B$24,MATCH(D1977,'Почасовка — ставки и план'!$A$5:$A$24,0)),"Аренда техники / механизмы")</f>
        <v>Сервисный инженер ворот и автоматики</v>
      </c>
      <c r="F1977" s="14">
        <v>2000</v>
      </c>
      <c r="G1977" s="14">
        <v>2300</v>
      </c>
      <c r="H1977" s="15">
        <v>1200</v>
      </c>
      <c r="I1977" s="15">
        <f>IF(OR(H1977="",F1977=""),"",MAX(H1977,MIN(ROUND(H1977*(1+Параметры!$B$5),IF(H1977*(1+Параметры!$B$5)&gt;=1000,-1,0)),ROUND(F1977*Параметры!$B$6,IF(F1977*Параметры!$B$6&gt;=1000,-1,0)))))</f>
        <v>1380</v>
      </c>
      <c r="J1977" s="15">
        <v>1380</v>
      </c>
      <c r="K1977" s="15">
        <f>IF(OR(J1977="",G1977=""),"",MAX(J1977,MIN(ROUND(J1977*(1+Параметры!$B$5),IF(J1977*(1+Параметры!$B$5)&gt;=1000,-1,0)),ROUND(G1977*Параметры!$B$6,IF(G1977*Параметры!$B$6&gt;=1000,-1,0)))))</f>
        <v>1590</v>
      </c>
      <c r="L1977" s="16">
        <v>1</v>
      </c>
      <c r="M1977" s="17">
        <f t="shared" si="146"/>
        <v>1</v>
      </c>
      <c r="N1977" s="17">
        <f>IF(OR(L1977="",L1977=0),"",Параметры!$B$3/L1977)</f>
        <v>8</v>
      </c>
      <c r="O1977" s="15">
        <f>IF(L1977="","",IFERROR(INDEX('Почасовка — ставки и план'!$D$5:$D$24,MATCH($D1977,'Почасовка — ставки и план'!$A$5:$A$24,0)),""))</f>
        <v>1200</v>
      </c>
      <c r="P1977" s="15">
        <f>IF(L1977="","",IFERROR(INDEX('Почасовка — ставки и план'!$E$5:$E$24,MATCH($D1977,'Почасовка — ставки и план'!$A$5:$A$24,0)),""))</f>
        <v>1440</v>
      </c>
      <c r="Q1977" s="15">
        <f t="shared" si="147"/>
        <v>1200</v>
      </c>
      <c r="R1977" s="13" t="str">
        <f>IF(D1977="TEX","аренда техники — сделка/счёт",IF(OR(Q1977="",H1977="",H1977=0),"—",IF(Q1977&lt;H1977*(1-Параметры!$B$7),"почасовка",IF(Q1977&gt;H1977*(1+Параметры!$B$7),"сделка","любой способ"))))</f>
        <v>любой способ</v>
      </c>
      <c r="S1977">
        <v>0</v>
      </c>
      <c r="T1977">
        <v>0</v>
      </c>
    </row>
    <row r="1978" spans="1:20" x14ac:dyDescent="0.25">
      <c r="A1978" s="13" t="s">
        <v>3986</v>
      </c>
      <c r="B1978" s="13" t="s">
        <v>3987</v>
      </c>
      <c r="C1978" s="13" t="s">
        <v>144</v>
      </c>
      <c r="D1978" s="13" t="s">
        <v>545</v>
      </c>
      <c r="E1978" s="13" t="str">
        <f>IFERROR(INDEX('Почасовка — ставки и план'!$B$5:$B$24,MATCH(D1978,'Почасовка — ставки и план'!$A$5:$A$24,0)),"Аренда техники / механизмы")</f>
        <v>Сервисный инженер ворот и автоматики</v>
      </c>
      <c r="F1978" s="14">
        <v>2500</v>
      </c>
      <c r="G1978" s="14">
        <v>2875</v>
      </c>
      <c r="H1978" s="15">
        <v>1500</v>
      </c>
      <c r="I1978" s="15">
        <f>IF(OR(H1978="",F1978=""),"",MAX(H1978,MIN(ROUND(H1978*(1+Параметры!$B$5),IF(H1978*(1+Параметры!$B$5)&gt;=1000,-1,0)),ROUND(F1978*Параметры!$B$6,IF(F1978*Параметры!$B$6&gt;=1000,-1,0)))))</f>
        <v>1730</v>
      </c>
      <c r="J1978" s="15">
        <v>1725</v>
      </c>
      <c r="K1978" s="15">
        <f>IF(OR(J1978="",G1978=""),"",MAX(J1978,MIN(ROUND(J1978*(1+Параметры!$B$5),IF(J1978*(1+Параметры!$B$5)&gt;=1000,-1,0)),ROUND(G1978*Параметры!$B$6,IF(G1978*Параметры!$B$6&gt;=1000,-1,0)))))</f>
        <v>1980</v>
      </c>
      <c r="L1978" s="16">
        <v>1.2</v>
      </c>
      <c r="M1978" s="17">
        <f t="shared" si="146"/>
        <v>0.83333333333333337</v>
      </c>
      <c r="N1978" s="17">
        <f>IF(OR(L1978="",L1978=0),"",Параметры!$B$3/L1978)</f>
        <v>6.666666666666667</v>
      </c>
      <c r="O1978" s="15">
        <f>IF(L1978="","",IFERROR(INDEX('Почасовка — ставки и план'!$D$5:$D$24,MATCH($D1978,'Почасовка — ставки и план'!$A$5:$A$24,0)),""))</f>
        <v>1200</v>
      </c>
      <c r="P1978" s="15">
        <f>IF(L1978="","",IFERROR(INDEX('Почасовка — ставки и план'!$E$5:$E$24,MATCH($D1978,'Почасовка — ставки и план'!$A$5:$A$24,0)),""))</f>
        <v>1440</v>
      </c>
      <c r="Q1978" s="15">
        <f t="shared" si="147"/>
        <v>1440</v>
      </c>
      <c r="R1978" s="13" t="str">
        <f>IF(D1978="TEX","аренда техники — сделка/счёт",IF(OR(Q1978="",H1978="",H1978=0),"—",IF(Q1978&lt;H1978*(1-Параметры!$B$7),"почасовка",IF(Q1978&gt;H1978*(1+Параметры!$B$7),"сделка","любой способ"))))</f>
        <v>любой способ</v>
      </c>
      <c r="S1978">
        <v>0</v>
      </c>
      <c r="T1978">
        <v>0</v>
      </c>
    </row>
    <row r="1979" spans="1:20" x14ac:dyDescent="0.25">
      <c r="A1979" s="13" t="s">
        <v>3988</v>
      </c>
      <c r="B1979" s="13" t="s">
        <v>3989</v>
      </c>
      <c r="C1979" s="13" t="s">
        <v>144</v>
      </c>
      <c r="D1979" s="13" t="s">
        <v>545</v>
      </c>
      <c r="E1979" s="13" t="str">
        <f>IFERROR(INDEX('Почасовка — ставки и план'!$B$5:$B$24,MATCH(D1979,'Почасовка — ставки и план'!$A$5:$A$24,0)),"Аренда техники / механизмы")</f>
        <v>Сервисный инженер ворот и автоматики</v>
      </c>
      <c r="F1979" s="14">
        <v>3000</v>
      </c>
      <c r="G1979" s="14">
        <v>3450</v>
      </c>
      <c r="H1979" s="15">
        <v>1800</v>
      </c>
      <c r="I1979" s="15">
        <f>IF(OR(H1979="",F1979=""),"",MAX(H1979,MIN(ROUND(H1979*(1+Параметры!$B$5),IF(H1979*(1+Параметры!$B$5)&gt;=1000,-1,0)),ROUND(F1979*Параметры!$B$6,IF(F1979*Параметры!$B$6&gt;=1000,-1,0)))))</f>
        <v>2070</v>
      </c>
      <c r="J1979" s="15">
        <v>2070</v>
      </c>
      <c r="K1979" s="15">
        <f>IF(OR(J1979="",G1979=""),"",MAX(J1979,MIN(ROUND(J1979*(1+Параметры!$B$5),IF(J1979*(1+Параметры!$B$5)&gt;=1000,-1,0)),ROUND(G1979*Параметры!$B$6,IF(G1979*Параметры!$B$6&gt;=1000,-1,0)))))</f>
        <v>2380</v>
      </c>
      <c r="L1979" s="16">
        <v>1.5</v>
      </c>
      <c r="M1979" s="17">
        <f t="shared" si="146"/>
        <v>0.66666666666666663</v>
      </c>
      <c r="N1979" s="17">
        <f>IF(OR(L1979="",L1979=0),"",Параметры!$B$3/L1979)</f>
        <v>5.333333333333333</v>
      </c>
      <c r="O1979" s="15">
        <f>IF(L1979="","",IFERROR(INDEX('Почасовка — ставки и план'!$D$5:$D$24,MATCH($D1979,'Почасовка — ставки и план'!$A$5:$A$24,0)),""))</f>
        <v>1200</v>
      </c>
      <c r="P1979" s="15">
        <f>IF(L1979="","",IFERROR(INDEX('Почасовка — ставки и план'!$E$5:$E$24,MATCH($D1979,'Почасовка — ставки и план'!$A$5:$A$24,0)),""))</f>
        <v>1440</v>
      </c>
      <c r="Q1979" s="15">
        <f t="shared" si="147"/>
        <v>1800</v>
      </c>
      <c r="R1979" s="13" t="str">
        <f>IF(D1979="TEX","аренда техники — сделка/счёт",IF(OR(Q1979="",H1979="",H1979=0),"—",IF(Q1979&lt;H1979*(1-Параметры!$B$7),"почасовка",IF(Q1979&gt;H1979*(1+Параметры!$B$7),"сделка","любой способ"))))</f>
        <v>любой способ</v>
      </c>
      <c r="S1979">
        <v>0</v>
      </c>
      <c r="T1979">
        <v>0</v>
      </c>
    </row>
    <row r="1980" spans="1:20" x14ac:dyDescent="0.25">
      <c r="A1980" s="13" t="s">
        <v>3990</v>
      </c>
      <c r="B1980" s="13" t="s">
        <v>3991</v>
      </c>
      <c r="C1980" s="13" t="s">
        <v>144</v>
      </c>
      <c r="D1980" s="13" t="s">
        <v>545</v>
      </c>
      <c r="E1980" s="13" t="str">
        <f>IFERROR(INDEX('Почасовка — ставки и план'!$B$5:$B$24,MATCH(D1980,'Почасовка — ставки и план'!$A$5:$A$24,0)),"Аренда техники / механизмы")</f>
        <v>Сервисный инженер ворот и автоматики</v>
      </c>
      <c r="F1980" s="14">
        <v>2000</v>
      </c>
      <c r="G1980" s="14">
        <v>2300</v>
      </c>
      <c r="H1980" s="15">
        <v>1200</v>
      </c>
      <c r="I1980" s="15">
        <f>IF(OR(H1980="",F1980=""),"",MAX(H1980,MIN(ROUND(H1980*(1+Параметры!$B$5),IF(H1980*(1+Параметры!$B$5)&gt;=1000,-1,0)),ROUND(F1980*Параметры!$B$6,IF(F1980*Параметры!$B$6&gt;=1000,-1,0)))))</f>
        <v>1380</v>
      </c>
      <c r="J1980" s="15">
        <v>1380</v>
      </c>
      <c r="K1980" s="15">
        <f>IF(OR(J1980="",G1980=""),"",MAX(J1980,MIN(ROUND(J1980*(1+Параметры!$B$5),IF(J1980*(1+Параметры!$B$5)&gt;=1000,-1,0)),ROUND(G1980*Параметры!$B$6,IF(G1980*Параметры!$B$6&gt;=1000,-1,0)))))</f>
        <v>1590</v>
      </c>
      <c r="L1980" s="16">
        <v>1</v>
      </c>
      <c r="M1980" s="17">
        <f t="shared" si="146"/>
        <v>1</v>
      </c>
      <c r="N1980" s="17">
        <f>IF(OR(L1980="",L1980=0),"",Параметры!$B$3/L1980)</f>
        <v>8</v>
      </c>
      <c r="O1980" s="15">
        <f>IF(L1980="","",IFERROR(INDEX('Почасовка — ставки и план'!$D$5:$D$24,MATCH($D1980,'Почасовка — ставки и план'!$A$5:$A$24,0)),""))</f>
        <v>1200</v>
      </c>
      <c r="P1980" s="15">
        <f>IF(L1980="","",IFERROR(INDEX('Почасовка — ставки и план'!$E$5:$E$24,MATCH($D1980,'Почасовка — ставки и план'!$A$5:$A$24,0)),""))</f>
        <v>1440</v>
      </c>
      <c r="Q1980" s="15">
        <f t="shared" si="147"/>
        <v>1200</v>
      </c>
      <c r="R1980" s="13" t="str">
        <f>IF(D1980="TEX","аренда техники — сделка/счёт",IF(OR(Q1980="",H1980="",H1980=0),"—",IF(Q1980&lt;H1980*(1-Параметры!$B$7),"почасовка",IF(Q1980&gt;H1980*(1+Параметры!$B$7),"сделка","любой способ"))))</f>
        <v>любой способ</v>
      </c>
      <c r="S1980">
        <v>0</v>
      </c>
      <c r="T1980">
        <v>0</v>
      </c>
    </row>
    <row r="1981" spans="1:20" x14ac:dyDescent="0.25">
      <c r="A1981" s="13" t="s">
        <v>3992</v>
      </c>
      <c r="B1981" s="13" t="s">
        <v>3993</v>
      </c>
      <c r="C1981" s="13" t="s">
        <v>144</v>
      </c>
      <c r="D1981" s="13" t="s">
        <v>545</v>
      </c>
      <c r="E1981" s="13" t="str">
        <f>IFERROR(INDEX('Почасовка — ставки и план'!$B$5:$B$24,MATCH(D1981,'Почасовка — ставки и план'!$A$5:$A$24,0)),"Аренда техники / механизмы")</f>
        <v>Сервисный инженер ворот и автоматики</v>
      </c>
      <c r="F1981" s="14">
        <v>2500</v>
      </c>
      <c r="G1981" s="14">
        <v>2875</v>
      </c>
      <c r="H1981" s="15">
        <v>1500</v>
      </c>
      <c r="I1981" s="15">
        <f>IF(OR(H1981="",F1981=""),"",MAX(H1981,MIN(ROUND(H1981*(1+Параметры!$B$5),IF(H1981*(1+Параметры!$B$5)&gt;=1000,-1,0)),ROUND(F1981*Параметры!$B$6,IF(F1981*Параметры!$B$6&gt;=1000,-1,0)))))</f>
        <v>1730</v>
      </c>
      <c r="J1981" s="15">
        <v>1725</v>
      </c>
      <c r="K1981" s="15">
        <f>IF(OR(J1981="",G1981=""),"",MAX(J1981,MIN(ROUND(J1981*(1+Параметры!$B$5),IF(J1981*(1+Параметры!$B$5)&gt;=1000,-1,0)),ROUND(G1981*Параметры!$B$6,IF(G1981*Параметры!$B$6&gt;=1000,-1,0)))))</f>
        <v>1980</v>
      </c>
      <c r="L1981" s="16">
        <v>1.2</v>
      </c>
      <c r="M1981" s="17">
        <f t="shared" si="146"/>
        <v>0.83333333333333337</v>
      </c>
      <c r="N1981" s="17">
        <f>IF(OR(L1981="",L1981=0),"",Параметры!$B$3/L1981)</f>
        <v>6.666666666666667</v>
      </c>
      <c r="O1981" s="15">
        <f>IF(L1981="","",IFERROR(INDEX('Почасовка — ставки и план'!$D$5:$D$24,MATCH($D1981,'Почасовка — ставки и план'!$A$5:$A$24,0)),""))</f>
        <v>1200</v>
      </c>
      <c r="P1981" s="15">
        <f>IF(L1981="","",IFERROR(INDEX('Почасовка — ставки и план'!$E$5:$E$24,MATCH($D1981,'Почасовка — ставки и план'!$A$5:$A$24,0)),""))</f>
        <v>1440</v>
      </c>
      <c r="Q1981" s="15">
        <f t="shared" si="147"/>
        <v>1440</v>
      </c>
      <c r="R1981" s="13" t="str">
        <f>IF(D1981="TEX","аренда техники — сделка/счёт",IF(OR(Q1981="",H1981="",H1981=0),"—",IF(Q1981&lt;H1981*(1-Параметры!$B$7),"почасовка",IF(Q1981&gt;H1981*(1+Параметры!$B$7),"сделка","любой способ"))))</f>
        <v>любой способ</v>
      </c>
      <c r="S1981">
        <v>0</v>
      </c>
      <c r="T1981">
        <v>0</v>
      </c>
    </row>
    <row r="1982" spans="1:20" x14ac:dyDescent="0.25">
      <c r="A1982" s="13" t="s">
        <v>3994</v>
      </c>
      <c r="B1982" s="13" t="s">
        <v>3995</v>
      </c>
      <c r="C1982" s="13" t="s">
        <v>144</v>
      </c>
      <c r="D1982" s="13" t="s">
        <v>545</v>
      </c>
      <c r="E1982" s="13" t="str">
        <f>IFERROR(INDEX('Почасовка — ставки и план'!$B$5:$B$24,MATCH(D1982,'Почасовка — ставки и план'!$A$5:$A$24,0)),"Аренда техники / механизмы")</f>
        <v>Сервисный инженер ворот и автоматики</v>
      </c>
      <c r="F1982" s="14">
        <v>3000</v>
      </c>
      <c r="G1982" s="14">
        <v>3450</v>
      </c>
      <c r="H1982" s="15">
        <v>1800</v>
      </c>
      <c r="I1982" s="15">
        <f>IF(OR(H1982="",F1982=""),"",MAX(H1982,MIN(ROUND(H1982*(1+Параметры!$B$5),IF(H1982*(1+Параметры!$B$5)&gt;=1000,-1,0)),ROUND(F1982*Параметры!$B$6,IF(F1982*Параметры!$B$6&gt;=1000,-1,0)))))</f>
        <v>2070</v>
      </c>
      <c r="J1982" s="15">
        <v>2070</v>
      </c>
      <c r="K1982" s="15">
        <f>IF(OR(J1982="",G1982=""),"",MAX(J1982,MIN(ROUND(J1982*(1+Параметры!$B$5),IF(J1982*(1+Параметры!$B$5)&gt;=1000,-1,0)),ROUND(G1982*Параметры!$B$6,IF(G1982*Параметры!$B$6&gt;=1000,-1,0)))))</f>
        <v>2380</v>
      </c>
      <c r="L1982" s="16">
        <v>1.5</v>
      </c>
      <c r="M1982" s="17">
        <f t="shared" si="146"/>
        <v>0.66666666666666663</v>
      </c>
      <c r="N1982" s="17">
        <f>IF(OR(L1982="",L1982=0),"",Параметры!$B$3/L1982)</f>
        <v>5.333333333333333</v>
      </c>
      <c r="O1982" s="15">
        <f>IF(L1982="","",IFERROR(INDEX('Почасовка — ставки и план'!$D$5:$D$24,MATCH($D1982,'Почасовка — ставки и план'!$A$5:$A$24,0)),""))</f>
        <v>1200</v>
      </c>
      <c r="P1982" s="15">
        <f>IF(L1982="","",IFERROR(INDEX('Почасовка — ставки и план'!$E$5:$E$24,MATCH($D1982,'Почасовка — ставки и план'!$A$5:$A$24,0)),""))</f>
        <v>1440</v>
      </c>
      <c r="Q1982" s="15">
        <f t="shared" si="147"/>
        <v>1800</v>
      </c>
      <c r="R1982" s="13" t="str">
        <f>IF(D1982="TEX","аренда техники — сделка/счёт",IF(OR(Q1982="",H1982="",H1982=0),"—",IF(Q1982&lt;H1982*(1-Параметры!$B$7),"почасовка",IF(Q1982&gt;H1982*(1+Параметры!$B$7),"сделка","любой способ"))))</f>
        <v>любой способ</v>
      </c>
      <c r="S1982">
        <v>0</v>
      </c>
      <c r="T1982">
        <v>0</v>
      </c>
    </row>
    <row r="1983" spans="1:20" x14ac:dyDescent="0.25">
      <c r="A1983" s="13" t="s">
        <v>3996</v>
      </c>
      <c r="B1983" s="13" t="s">
        <v>3997</v>
      </c>
      <c r="C1983" s="13" t="s">
        <v>144</v>
      </c>
      <c r="D1983" s="13" t="s">
        <v>545</v>
      </c>
      <c r="E1983" s="13" t="str">
        <f>IFERROR(INDEX('Почасовка — ставки и план'!$B$5:$B$24,MATCH(D1983,'Почасовка — ставки и план'!$A$5:$A$24,0)),"Аренда техники / механизмы")</f>
        <v>Сервисный инженер ворот и автоматики</v>
      </c>
      <c r="F1983" s="14">
        <v>900</v>
      </c>
      <c r="G1983" s="14">
        <v>1035</v>
      </c>
      <c r="H1983" s="15">
        <v>540</v>
      </c>
      <c r="I1983" s="15">
        <f>IF(OR(H1983="",F1983=""),"",MAX(H1983,MIN(ROUND(H1983*(1+Параметры!$B$5),IF(H1983*(1+Параметры!$B$5)&gt;=1000,-1,0)),ROUND(F1983*Параметры!$B$6,IF(F1983*Параметры!$B$6&gt;=1000,-1,0)))))</f>
        <v>621</v>
      </c>
      <c r="J1983" s="15">
        <v>621</v>
      </c>
      <c r="K1983" s="15">
        <f>IF(OR(J1983="",G1983=""),"",MAX(J1983,MIN(ROUND(J1983*(1+Параметры!$B$5),IF(J1983*(1+Параметры!$B$5)&gt;=1000,-1,0)),ROUND(G1983*Параметры!$B$6,IF(G1983*Параметры!$B$6&gt;=1000,-1,0)))))</f>
        <v>714</v>
      </c>
      <c r="L1983" s="16">
        <v>0.5</v>
      </c>
      <c r="M1983" s="17">
        <f t="shared" si="146"/>
        <v>2</v>
      </c>
      <c r="N1983" s="17">
        <f>IF(OR(L1983="",L1983=0),"",Параметры!$B$3/L1983)</f>
        <v>16</v>
      </c>
      <c r="O1983" s="15">
        <f>IF(L1983="","",IFERROR(INDEX('Почасовка — ставки и план'!$D$5:$D$24,MATCH($D1983,'Почасовка — ставки и план'!$A$5:$A$24,0)),""))</f>
        <v>1200</v>
      </c>
      <c r="P1983" s="15">
        <f>IF(L1983="","",IFERROR(INDEX('Почасовка — ставки и план'!$E$5:$E$24,MATCH($D1983,'Почасовка — ставки и план'!$A$5:$A$24,0)),""))</f>
        <v>1440</v>
      </c>
      <c r="Q1983" s="15">
        <f t="shared" si="147"/>
        <v>600</v>
      </c>
      <c r="R1983" s="13" t="str">
        <f>IF(D1983="TEX","аренда техники — сделка/счёт",IF(OR(Q1983="",H1983="",H1983=0),"—",IF(Q1983&lt;H1983*(1-Параметры!$B$7),"почасовка",IF(Q1983&gt;H1983*(1+Параметры!$B$7),"сделка","любой способ"))))</f>
        <v>сделка</v>
      </c>
      <c r="S1983">
        <v>0</v>
      </c>
      <c r="T1983">
        <v>0</v>
      </c>
    </row>
    <row r="1984" spans="1:20" x14ac:dyDescent="0.25">
      <c r="A1984" s="13" t="s">
        <v>3998</v>
      </c>
      <c r="B1984" s="13" t="s">
        <v>3999</v>
      </c>
      <c r="C1984" s="13" t="s">
        <v>144</v>
      </c>
      <c r="D1984" s="13" t="s">
        <v>545</v>
      </c>
      <c r="E1984" s="13" t="str">
        <f>IFERROR(INDEX('Почасовка — ставки и план'!$B$5:$B$24,MATCH(D1984,'Почасовка — ставки и план'!$A$5:$A$24,0)),"Аренда техники / механизмы")</f>
        <v>Сервисный инженер ворот и автоматики</v>
      </c>
      <c r="F1984" s="14">
        <v>4000</v>
      </c>
      <c r="G1984" s="14">
        <v>4600</v>
      </c>
      <c r="H1984" s="15">
        <v>2400</v>
      </c>
      <c r="I1984" s="15">
        <f>IF(OR(H1984="",F1984=""),"",MAX(H1984,MIN(ROUND(H1984*(1+Параметры!$B$5),IF(H1984*(1+Параметры!$B$5)&gt;=1000,-1,0)),ROUND(F1984*Параметры!$B$6,IF(F1984*Параметры!$B$6&gt;=1000,-1,0)))))</f>
        <v>2760</v>
      </c>
      <c r="J1984" s="15">
        <v>2760</v>
      </c>
      <c r="K1984" s="15">
        <f>IF(OR(J1984="",G1984=""),"",MAX(J1984,MIN(ROUND(J1984*(1+Параметры!$B$5),IF(J1984*(1+Параметры!$B$5)&gt;=1000,-1,0)),ROUND(G1984*Параметры!$B$6,IF(G1984*Параметры!$B$6&gt;=1000,-1,0)))))</f>
        <v>3170</v>
      </c>
      <c r="L1984" s="16">
        <v>2</v>
      </c>
      <c r="M1984" s="17">
        <f t="shared" si="146"/>
        <v>0.5</v>
      </c>
      <c r="N1984" s="17">
        <f>IF(OR(L1984="",L1984=0),"",Параметры!$B$3/L1984)</f>
        <v>4</v>
      </c>
      <c r="O1984" s="15">
        <f>IF(L1984="","",IFERROR(INDEX('Почасовка — ставки и план'!$D$5:$D$24,MATCH($D1984,'Почасовка — ставки и план'!$A$5:$A$24,0)),""))</f>
        <v>1200</v>
      </c>
      <c r="P1984" s="15">
        <f>IF(L1984="","",IFERROR(INDEX('Почасовка — ставки и план'!$E$5:$E$24,MATCH($D1984,'Почасовка — ставки и план'!$A$5:$A$24,0)),""))</f>
        <v>1440</v>
      </c>
      <c r="Q1984" s="15">
        <f t="shared" si="147"/>
        <v>2400</v>
      </c>
      <c r="R1984" s="13" t="str">
        <f>IF(D1984="TEX","аренда техники — сделка/счёт",IF(OR(Q1984="",H1984="",H1984=0),"—",IF(Q1984&lt;H1984*(1-Параметры!$B$7),"почасовка",IF(Q1984&gt;H1984*(1+Параметры!$B$7),"сделка","любой способ"))))</f>
        <v>любой способ</v>
      </c>
      <c r="S1984">
        <v>0</v>
      </c>
      <c r="T1984">
        <v>0</v>
      </c>
    </row>
    <row r="1985" spans="1:20" x14ac:dyDescent="0.25">
      <c r="A1985" s="13" t="s">
        <v>4000</v>
      </c>
      <c r="B1985" s="13" t="s">
        <v>4001</v>
      </c>
      <c r="C1985" s="13" t="s">
        <v>144</v>
      </c>
      <c r="D1985" s="13" t="s">
        <v>545</v>
      </c>
      <c r="E1985" s="13" t="str">
        <f>IFERROR(INDEX('Почасовка — ставки и план'!$B$5:$B$24,MATCH(D1985,'Почасовка — ставки и план'!$A$5:$A$24,0)),"Аренда техники / механизмы")</f>
        <v>Сервисный инженер ворот и автоматики</v>
      </c>
      <c r="F1985" s="14">
        <v>6000</v>
      </c>
      <c r="G1985" s="14">
        <v>6900</v>
      </c>
      <c r="H1985" s="15">
        <v>3600</v>
      </c>
      <c r="I1985" s="15">
        <f>IF(OR(H1985="",F1985=""),"",MAX(H1985,MIN(ROUND(H1985*(1+Параметры!$B$5),IF(H1985*(1+Параметры!$B$5)&gt;=1000,-1,0)),ROUND(F1985*Параметры!$B$6,IF(F1985*Параметры!$B$6&gt;=1000,-1,0)))))</f>
        <v>4140</v>
      </c>
      <c r="J1985" s="15">
        <v>4140</v>
      </c>
      <c r="K1985" s="15">
        <f>IF(OR(J1985="",G1985=""),"",MAX(J1985,MIN(ROUND(J1985*(1+Параметры!$B$5),IF(J1985*(1+Параметры!$B$5)&gt;=1000,-1,0)),ROUND(G1985*Параметры!$B$6,IF(G1985*Параметры!$B$6&gt;=1000,-1,0)))))</f>
        <v>4760</v>
      </c>
      <c r="L1985" s="16">
        <v>3</v>
      </c>
      <c r="M1985" s="17">
        <f t="shared" si="146"/>
        <v>0.33333333333333331</v>
      </c>
      <c r="N1985" s="17">
        <f>IF(OR(L1985="",L1985=0),"",Параметры!$B$3/L1985)</f>
        <v>2.6666666666666665</v>
      </c>
      <c r="O1985" s="15">
        <f>IF(L1985="","",IFERROR(INDEX('Почасовка — ставки и план'!$D$5:$D$24,MATCH($D1985,'Почасовка — ставки и план'!$A$5:$A$24,0)),""))</f>
        <v>1200</v>
      </c>
      <c r="P1985" s="15">
        <f>IF(L1985="","",IFERROR(INDEX('Почасовка — ставки и план'!$E$5:$E$24,MATCH($D1985,'Почасовка — ставки и план'!$A$5:$A$24,0)),""))</f>
        <v>1440</v>
      </c>
      <c r="Q1985" s="15">
        <f t="shared" si="147"/>
        <v>3600</v>
      </c>
      <c r="R1985" s="13" t="str">
        <f>IF(D1985="TEX","аренда техники — сделка/счёт",IF(OR(Q1985="",H1985="",H1985=0),"—",IF(Q1985&lt;H1985*(1-Параметры!$B$7),"почасовка",IF(Q1985&gt;H1985*(1+Параметры!$B$7),"сделка","любой способ"))))</f>
        <v>любой способ</v>
      </c>
      <c r="S1985">
        <v>0</v>
      </c>
      <c r="T1985">
        <v>0</v>
      </c>
    </row>
    <row r="1986" spans="1:20" x14ac:dyDescent="0.25">
      <c r="A1986" s="13" t="s">
        <v>4002</v>
      </c>
      <c r="B1986" s="13" t="s">
        <v>4003</v>
      </c>
      <c r="C1986" s="13" t="s">
        <v>144</v>
      </c>
      <c r="D1986" s="13" t="s">
        <v>545</v>
      </c>
      <c r="E1986" s="13" t="str">
        <f>IFERROR(INDEX('Почасовка — ставки и план'!$B$5:$B$24,MATCH(D1986,'Почасовка — ставки и план'!$A$5:$A$24,0)),"Аренда техники / механизмы")</f>
        <v>Сервисный инженер ворот и автоматики</v>
      </c>
      <c r="F1986" s="14">
        <v>700</v>
      </c>
      <c r="G1986" s="14">
        <v>805</v>
      </c>
      <c r="H1986" s="15">
        <v>420</v>
      </c>
      <c r="I1986" s="15">
        <f>IF(OR(H1986="",F1986=""),"",MAX(H1986,MIN(ROUND(H1986*(1+Параметры!$B$5),IF(H1986*(1+Параметры!$B$5)&gt;=1000,-1,0)),ROUND(F1986*Параметры!$B$6,IF(F1986*Параметры!$B$6&gt;=1000,-1,0)))))</f>
        <v>483</v>
      </c>
      <c r="J1986" s="15">
        <v>483</v>
      </c>
      <c r="K1986" s="15">
        <f>IF(OR(J1986="",G1986=""),"",MAX(J1986,MIN(ROUND(J1986*(1+Параметры!$B$5),IF(J1986*(1+Параметры!$B$5)&gt;=1000,-1,0)),ROUND(G1986*Параметры!$B$6,IF(G1986*Параметры!$B$6&gt;=1000,-1,0)))))</f>
        <v>555</v>
      </c>
      <c r="L1986" s="16">
        <v>0.4</v>
      </c>
      <c r="M1986" s="17">
        <f t="shared" si="146"/>
        <v>2.5</v>
      </c>
      <c r="N1986" s="17">
        <f>IF(OR(L1986="",L1986=0),"",Параметры!$B$3/L1986)</f>
        <v>20</v>
      </c>
      <c r="O1986" s="15">
        <f>IF(L1986="","",IFERROR(INDEX('Почасовка — ставки и план'!$D$5:$D$24,MATCH($D1986,'Почасовка — ставки и план'!$A$5:$A$24,0)),""))</f>
        <v>1200</v>
      </c>
      <c r="P1986" s="15">
        <f>IF(L1986="","",IFERROR(INDEX('Почасовка — ставки и план'!$E$5:$E$24,MATCH($D1986,'Почасовка — ставки и план'!$A$5:$A$24,0)),""))</f>
        <v>1440</v>
      </c>
      <c r="Q1986" s="15">
        <f t="shared" si="147"/>
        <v>480</v>
      </c>
      <c r="R1986" s="13" t="str">
        <f>IF(D1986="TEX","аренда техники — сделка/счёт",IF(OR(Q1986="",H1986="",H1986=0),"—",IF(Q1986&lt;H1986*(1-Параметры!$B$7),"почасовка",IF(Q1986&gt;H1986*(1+Параметры!$B$7),"сделка","любой способ"))))</f>
        <v>сделка</v>
      </c>
      <c r="S1986">
        <v>0</v>
      </c>
      <c r="T1986">
        <v>0</v>
      </c>
    </row>
    <row r="1987" spans="1:20" x14ac:dyDescent="0.25">
      <c r="A1987" s="13" t="s">
        <v>4004</v>
      </c>
      <c r="B1987" s="13" t="s">
        <v>4005</v>
      </c>
      <c r="C1987" s="13" t="s">
        <v>144</v>
      </c>
      <c r="D1987" s="13" t="s">
        <v>545</v>
      </c>
      <c r="E1987" s="13" t="str">
        <f>IFERROR(INDEX('Почасовка — ставки и план'!$B$5:$B$24,MATCH(D1987,'Почасовка — ставки и план'!$A$5:$A$24,0)),"Аренда техники / механизмы")</f>
        <v>Сервисный инженер ворот и автоматики</v>
      </c>
      <c r="F1987" s="14">
        <v>1800</v>
      </c>
      <c r="G1987" s="14">
        <v>2070</v>
      </c>
      <c r="H1987" s="15">
        <v>1080</v>
      </c>
      <c r="I1987" s="15">
        <f>IF(OR(H1987="",F1987=""),"",MAX(H1987,MIN(ROUND(H1987*(1+Параметры!$B$5),IF(H1987*(1+Параметры!$B$5)&gt;=1000,-1,0)),ROUND(F1987*Параметры!$B$6,IF(F1987*Параметры!$B$6&gt;=1000,-1,0)))))</f>
        <v>1240</v>
      </c>
      <c r="J1987" s="15">
        <v>1242</v>
      </c>
      <c r="K1987" s="15">
        <f>IF(OR(J1987="",G1987=""),"",MAX(J1987,MIN(ROUND(J1987*(1+Параметры!$B$5),IF(J1987*(1+Параметры!$B$5)&gt;=1000,-1,0)),ROUND(G1987*Параметры!$B$6,IF(G1987*Параметры!$B$6&gt;=1000,-1,0)))))</f>
        <v>1430</v>
      </c>
      <c r="L1987" s="16">
        <v>1</v>
      </c>
      <c r="M1987" s="17">
        <f t="shared" si="146"/>
        <v>1</v>
      </c>
      <c r="N1987" s="17">
        <f>IF(OR(L1987="",L1987=0),"",Параметры!$B$3/L1987)</f>
        <v>8</v>
      </c>
      <c r="O1987" s="15">
        <f>IF(L1987="","",IFERROR(INDEX('Почасовка — ставки и план'!$D$5:$D$24,MATCH($D1987,'Почасовка — ставки и план'!$A$5:$A$24,0)),""))</f>
        <v>1200</v>
      </c>
      <c r="P1987" s="15">
        <f>IF(L1987="","",IFERROR(INDEX('Почасовка — ставки и план'!$E$5:$E$24,MATCH($D1987,'Почасовка — ставки и план'!$A$5:$A$24,0)),""))</f>
        <v>1440</v>
      </c>
      <c r="Q1987" s="15">
        <f t="shared" si="147"/>
        <v>1200</v>
      </c>
      <c r="R1987" s="13" t="str">
        <f>IF(D1987="TEX","аренда техники — сделка/счёт",IF(OR(Q1987="",H1987="",H1987=0),"—",IF(Q1987&lt;H1987*(1-Параметры!$B$7),"почасовка",IF(Q1987&gt;H1987*(1+Параметры!$B$7),"сделка","любой способ"))))</f>
        <v>сделка</v>
      </c>
      <c r="S1987">
        <v>0</v>
      </c>
      <c r="T1987">
        <v>0</v>
      </c>
    </row>
    <row r="1988" spans="1:20" x14ac:dyDescent="0.25">
      <c r="A1988" s="13" t="s">
        <v>4006</v>
      </c>
      <c r="B1988" s="13" t="s">
        <v>4007</v>
      </c>
      <c r="C1988" s="13" t="s">
        <v>144</v>
      </c>
      <c r="D1988" s="13" t="s">
        <v>545</v>
      </c>
      <c r="E1988" s="13" t="str">
        <f>IFERROR(INDEX('Почасовка — ставки и план'!$B$5:$B$24,MATCH(D1988,'Почасовка — ставки и план'!$A$5:$A$24,0)),"Аренда техники / механизмы")</f>
        <v>Сервисный инженер ворот и автоматики</v>
      </c>
      <c r="F1988" s="14">
        <v>2500</v>
      </c>
      <c r="G1988" s="14">
        <v>2880</v>
      </c>
      <c r="H1988" s="15">
        <v>1500</v>
      </c>
      <c r="I1988" s="15">
        <f>IF(OR(H1988="",F1988=""),"",MAX(H1988,MIN(ROUND(H1988*(1+Параметры!$B$5),IF(H1988*(1+Параметры!$B$5)&gt;=1000,-1,0)),ROUND(F1988*Параметры!$B$6,IF(F1988*Параметры!$B$6&gt;=1000,-1,0)))))</f>
        <v>1730</v>
      </c>
      <c r="J1988" s="15">
        <v>1725</v>
      </c>
      <c r="K1988" s="15">
        <f>IF(OR(J1988="",G1988=""),"",MAX(J1988,MIN(ROUND(J1988*(1+Параметры!$B$5),IF(J1988*(1+Параметры!$B$5)&gt;=1000,-1,0)),ROUND(G1988*Параметры!$B$6,IF(G1988*Параметры!$B$6&gt;=1000,-1,0)))))</f>
        <v>1980</v>
      </c>
      <c r="L1988" s="16">
        <v>1.5</v>
      </c>
      <c r="M1988" s="17">
        <f t="shared" si="146"/>
        <v>0.66666666666666663</v>
      </c>
      <c r="N1988" s="17">
        <f>IF(OR(L1988="",L1988=0),"",Параметры!$B$3/L1988)</f>
        <v>5.333333333333333</v>
      </c>
      <c r="O1988" s="15">
        <f>IF(L1988="","",IFERROR(INDEX('Почасовка — ставки и план'!$D$5:$D$24,MATCH($D1988,'Почасовка — ставки и план'!$A$5:$A$24,0)),""))</f>
        <v>1200</v>
      </c>
      <c r="P1988" s="15">
        <f>IF(L1988="","",IFERROR(INDEX('Почасовка — ставки и план'!$E$5:$E$24,MATCH($D1988,'Почасовка — ставки и план'!$A$5:$A$24,0)),""))</f>
        <v>1440</v>
      </c>
      <c r="Q1988" s="15">
        <f t="shared" si="147"/>
        <v>1800</v>
      </c>
      <c r="R1988" s="13" t="str">
        <f>IF(D1988="TEX","аренда техники — сделка/счёт",IF(OR(Q1988="",H1988="",H1988=0),"—",IF(Q1988&lt;H1988*(1-Параметры!$B$7),"почасовка",IF(Q1988&gt;H1988*(1+Параметры!$B$7),"сделка","любой способ"))))</f>
        <v>сделка</v>
      </c>
      <c r="S1988">
        <v>0</v>
      </c>
      <c r="T1988">
        <v>1.739130434782687E-3</v>
      </c>
    </row>
    <row r="1989" spans="1:20" x14ac:dyDescent="0.25">
      <c r="A1989" s="13" t="s">
        <v>4008</v>
      </c>
      <c r="B1989" s="13" t="s">
        <v>4009</v>
      </c>
      <c r="C1989" s="13" t="s">
        <v>144</v>
      </c>
      <c r="D1989" s="13" t="s">
        <v>545</v>
      </c>
      <c r="E1989" s="13" t="str">
        <f>IFERROR(INDEX('Почасовка — ставки и план'!$B$5:$B$24,MATCH(D1989,'Почасовка — ставки и план'!$A$5:$A$24,0)),"Аренда техники / механизмы")</f>
        <v>Сервисный инженер ворот и автоматики</v>
      </c>
      <c r="F1989" s="14">
        <v>3500</v>
      </c>
      <c r="G1989" s="14">
        <v>4025</v>
      </c>
      <c r="H1989" s="15">
        <v>2100</v>
      </c>
      <c r="I1989" s="15">
        <f>IF(OR(H1989="",F1989=""),"",MAX(H1989,MIN(ROUND(H1989*(1+Параметры!$B$5),IF(H1989*(1+Параметры!$B$5)&gt;=1000,-1,0)),ROUND(F1989*Параметры!$B$6,IF(F1989*Параметры!$B$6&gt;=1000,-1,0)))))</f>
        <v>2420</v>
      </c>
      <c r="J1989" s="15">
        <v>2415</v>
      </c>
      <c r="K1989" s="15">
        <f>IF(OR(J1989="",G1989=""),"",MAX(J1989,MIN(ROUND(J1989*(1+Параметры!$B$5),IF(J1989*(1+Параметры!$B$5)&gt;=1000,-1,0)),ROUND(G1989*Параметры!$B$6,IF(G1989*Параметры!$B$6&gt;=1000,-1,0)))))</f>
        <v>2780</v>
      </c>
      <c r="L1989" s="16">
        <v>2</v>
      </c>
      <c r="M1989" s="17">
        <f t="shared" si="146"/>
        <v>0.5</v>
      </c>
      <c r="N1989" s="17">
        <f>IF(OR(L1989="",L1989=0),"",Параметры!$B$3/L1989)</f>
        <v>4</v>
      </c>
      <c r="O1989" s="15">
        <f>IF(L1989="","",IFERROR(INDEX('Почасовка — ставки и план'!$D$5:$D$24,MATCH($D1989,'Почасовка — ставки и план'!$A$5:$A$24,0)),""))</f>
        <v>1200</v>
      </c>
      <c r="P1989" s="15">
        <f>IF(L1989="","",IFERROR(INDEX('Почасовка — ставки и план'!$E$5:$E$24,MATCH($D1989,'Почасовка — ставки и план'!$A$5:$A$24,0)),""))</f>
        <v>1440</v>
      </c>
      <c r="Q1989" s="15">
        <f t="shared" si="147"/>
        <v>2400</v>
      </c>
      <c r="R1989" s="13" t="str">
        <f>IF(D1989="TEX","аренда техники — сделка/счёт",IF(OR(Q1989="",H1989="",H1989=0),"—",IF(Q1989&lt;H1989*(1-Параметры!$B$7),"почасовка",IF(Q1989&gt;H1989*(1+Параметры!$B$7),"сделка","любой способ"))))</f>
        <v>сделка</v>
      </c>
      <c r="S1989">
        <v>0</v>
      </c>
      <c r="T1989">
        <v>0</v>
      </c>
    </row>
    <row r="1990" spans="1:20" x14ac:dyDescent="0.25">
      <c r="A1990" s="13" t="s">
        <v>4010</v>
      </c>
      <c r="B1990" s="13" t="s">
        <v>4011</v>
      </c>
      <c r="C1990" s="13" t="s">
        <v>144</v>
      </c>
      <c r="D1990" s="13" t="s">
        <v>545</v>
      </c>
      <c r="E1990" s="13" t="str">
        <f>IFERROR(INDEX('Почасовка — ставки и план'!$B$5:$B$24,MATCH(D1990,'Почасовка — ставки и план'!$A$5:$A$24,0)),"Аренда техники / механизмы")</f>
        <v>Сервисный инженер ворот и автоматики</v>
      </c>
      <c r="F1990" s="14">
        <v>3500</v>
      </c>
      <c r="G1990" s="14">
        <v>4025</v>
      </c>
      <c r="H1990" s="15">
        <v>2100</v>
      </c>
      <c r="I1990" s="15">
        <f>IF(OR(H1990="",F1990=""),"",MAX(H1990,MIN(ROUND(H1990*(1+Параметры!$B$5),IF(H1990*(1+Параметры!$B$5)&gt;=1000,-1,0)),ROUND(F1990*Параметры!$B$6,IF(F1990*Параметры!$B$6&gt;=1000,-1,0)))))</f>
        <v>2420</v>
      </c>
      <c r="J1990" s="15">
        <v>2415</v>
      </c>
      <c r="K1990" s="15">
        <f>IF(OR(J1990="",G1990=""),"",MAX(J1990,MIN(ROUND(J1990*(1+Параметры!$B$5),IF(J1990*(1+Параметры!$B$5)&gt;=1000,-1,0)),ROUND(G1990*Параметры!$B$6,IF(G1990*Параметры!$B$6&gt;=1000,-1,0)))))</f>
        <v>2780</v>
      </c>
      <c r="L1990" s="16">
        <v>1.5</v>
      </c>
      <c r="M1990" s="17">
        <f t="shared" si="146"/>
        <v>0.66666666666666663</v>
      </c>
      <c r="N1990" s="17">
        <f>IF(OR(L1990="",L1990=0),"",Параметры!$B$3/L1990)</f>
        <v>5.333333333333333</v>
      </c>
      <c r="O1990" s="15">
        <f>IF(L1990="","",IFERROR(INDEX('Почасовка — ставки и план'!$D$5:$D$24,MATCH($D1990,'Почасовка — ставки и план'!$A$5:$A$24,0)),""))</f>
        <v>1200</v>
      </c>
      <c r="P1990" s="15">
        <f>IF(L1990="","",IFERROR(INDEX('Почасовка — ставки и план'!$E$5:$E$24,MATCH($D1990,'Почасовка — ставки и план'!$A$5:$A$24,0)),""))</f>
        <v>1440</v>
      </c>
      <c r="Q1990" s="15">
        <f t="shared" si="147"/>
        <v>1800</v>
      </c>
      <c r="R1990" s="13" t="str">
        <f>IF(D1990="TEX","аренда техники — сделка/счёт",IF(OR(Q1990="",H1990="",H1990=0),"—",IF(Q1990&lt;H1990*(1-Параметры!$B$7),"почасовка",IF(Q1990&gt;H1990*(1+Параметры!$B$7),"сделка","любой способ"))))</f>
        <v>почасовка</v>
      </c>
      <c r="S1990">
        <v>0</v>
      </c>
      <c r="T1990">
        <v>0</v>
      </c>
    </row>
    <row r="1991" spans="1:20" x14ac:dyDescent="0.25">
      <c r="A1991" s="13" t="s">
        <v>4012</v>
      </c>
      <c r="B1991" s="13" t="s">
        <v>4013</v>
      </c>
      <c r="C1991" s="13" t="s">
        <v>144</v>
      </c>
      <c r="D1991" s="13" t="s">
        <v>545</v>
      </c>
      <c r="E1991" s="13" t="str">
        <f>IFERROR(INDEX('Почасовка — ставки и план'!$B$5:$B$24,MATCH(D1991,'Почасовка — ставки и план'!$A$5:$A$24,0)),"Аренда техники / механизмы")</f>
        <v>Сервисный инженер ворот и автоматики</v>
      </c>
      <c r="F1991" s="14">
        <v>240</v>
      </c>
      <c r="G1991" s="14">
        <v>288</v>
      </c>
      <c r="H1991" s="15">
        <v>120</v>
      </c>
      <c r="I1991" s="15">
        <f>IF(OR(H1991="",F1991=""),"",MAX(H1991,MIN(ROUND(H1991*(1+Параметры!$B$5),IF(H1991*(1+Параметры!$B$5)&gt;=1000,-1,0)),ROUND(F1991*Параметры!$B$6,IF(F1991*Параметры!$B$6&gt;=1000,-1,0)))))</f>
        <v>138</v>
      </c>
      <c r="J1991" s="15">
        <v>138</v>
      </c>
      <c r="K1991" s="15">
        <f>IF(OR(J1991="",G1991=""),"",MAX(J1991,MIN(ROUND(J1991*(1+Параметры!$B$5),IF(J1991*(1+Параметры!$B$5)&gt;=1000,-1,0)),ROUND(G1991*Параметры!$B$6,IF(G1991*Параметры!$B$6&gt;=1000,-1,0)))))</f>
        <v>159</v>
      </c>
      <c r="L1991" s="16">
        <v>0.15</v>
      </c>
      <c r="M1991" s="17">
        <f t="shared" si="146"/>
        <v>6.666666666666667</v>
      </c>
      <c r="N1991" s="17">
        <f>IF(OR(L1991="",L1991=0),"",Параметры!$B$3/L1991)</f>
        <v>53.333333333333336</v>
      </c>
      <c r="O1991" s="15">
        <f>IF(L1991="","",IFERROR(INDEX('Почасовка — ставки и план'!$D$5:$D$24,MATCH($D1991,'Почасовка — ставки и план'!$A$5:$A$24,0)),""))</f>
        <v>1200</v>
      </c>
      <c r="P1991" s="15">
        <f>IF(L1991="","",IFERROR(INDEX('Почасовка — ставки и план'!$E$5:$E$24,MATCH($D1991,'Почасовка — ставки и план'!$A$5:$A$24,0)),""))</f>
        <v>1440</v>
      </c>
      <c r="Q1991" s="15">
        <f t="shared" si="147"/>
        <v>180</v>
      </c>
      <c r="R1991" s="13" t="str">
        <f>IF(D1991="TEX","аренда техники — сделка/счёт",IF(OR(Q1991="",H1991="",H1991=0),"—",IF(Q1991&lt;H1991*(1-Параметры!$B$7),"почасовка",IF(Q1991&gt;H1991*(1+Параметры!$B$7),"сделка","любой способ"))))</f>
        <v>сделка</v>
      </c>
      <c r="S1991">
        <v>0.2</v>
      </c>
      <c r="T1991">
        <v>0.25217391304347841</v>
      </c>
    </row>
    <row r="1992" spans="1:20" x14ac:dyDescent="0.25">
      <c r="A1992" s="13" t="s">
        <v>4014</v>
      </c>
      <c r="B1992" s="13" t="s">
        <v>4015</v>
      </c>
      <c r="C1992" s="13" t="s">
        <v>69</v>
      </c>
      <c r="D1992" s="13" t="s">
        <v>545</v>
      </c>
      <c r="E1992" s="13" t="str">
        <f>IFERROR(INDEX('Почасовка — ставки и план'!$B$5:$B$24,MATCH(D1992,'Почасовка — ставки и план'!$A$5:$A$24,0)),"Аренда техники / механизмы")</f>
        <v>Сервисный инженер ворот и автоматики</v>
      </c>
      <c r="F1992" s="14">
        <v>320</v>
      </c>
      <c r="G1992" s="14">
        <v>384</v>
      </c>
      <c r="H1992" s="15">
        <v>150</v>
      </c>
      <c r="I1992" s="15">
        <f>IF(OR(H1992="",F1992=""),"",MAX(H1992,MIN(ROUND(H1992*(1+Параметры!$B$5),IF(H1992*(1+Параметры!$B$5)&gt;=1000,-1,0)),ROUND(F1992*Параметры!$B$6,IF(F1992*Параметры!$B$6&gt;=1000,-1,0)))))</f>
        <v>173</v>
      </c>
      <c r="J1992" s="15">
        <v>172</v>
      </c>
      <c r="K1992" s="15">
        <f>IF(OR(J1992="",G1992=""),"",MAX(J1992,MIN(ROUND(J1992*(1+Параметры!$B$5),IF(J1992*(1+Параметры!$B$5)&gt;=1000,-1,0)),ROUND(G1992*Параметры!$B$6,IF(G1992*Параметры!$B$6&gt;=1000,-1,0)))))</f>
        <v>198</v>
      </c>
      <c r="L1992" s="16">
        <v>0.2</v>
      </c>
      <c r="M1992" s="17">
        <f t="shared" si="146"/>
        <v>5</v>
      </c>
      <c r="N1992" s="17">
        <f>IF(OR(L1992="",L1992=0),"",Параметры!$B$3/L1992)</f>
        <v>40</v>
      </c>
      <c r="O1992" s="15">
        <f>IF(L1992="","",IFERROR(INDEX('Почасовка — ставки и план'!$D$5:$D$24,MATCH($D1992,'Почасовка — ставки и план'!$A$5:$A$24,0)),""))</f>
        <v>1200</v>
      </c>
      <c r="P1992" s="15">
        <f>IF(L1992="","",IFERROR(INDEX('Почасовка — ставки и план'!$E$5:$E$24,MATCH($D1992,'Почасовка — ставки и план'!$A$5:$A$24,0)),""))</f>
        <v>1440</v>
      </c>
      <c r="Q1992" s="15">
        <f t="shared" si="147"/>
        <v>240</v>
      </c>
      <c r="R1992" s="13" t="str">
        <f>IF(D1992="TEX","аренда техники — сделка/счёт",IF(OR(Q1992="",H1992="",H1992=0),"—",IF(Q1992&lt;H1992*(1-Параметры!$B$7),"почасовка",IF(Q1992&gt;H1992*(1+Параметры!$B$7),"сделка","любой способ"))))</f>
        <v>сделка</v>
      </c>
      <c r="S1992">
        <v>0.28000000000000003</v>
      </c>
      <c r="T1992">
        <v>0.33333333333333331</v>
      </c>
    </row>
    <row r="1993" spans="1:20" x14ac:dyDescent="0.25">
      <c r="A1993" s="13" t="s">
        <v>4016</v>
      </c>
      <c r="B1993" s="13" t="s">
        <v>4017</v>
      </c>
      <c r="C1993" s="13" t="s">
        <v>144</v>
      </c>
      <c r="D1993" s="13" t="s">
        <v>545</v>
      </c>
      <c r="E1993" s="13" t="str">
        <f>IFERROR(INDEX('Почасовка — ставки и план'!$B$5:$B$24,MATCH(D1993,'Почасовка — ставки и план'!$A$5:$A$24,0)),"Аренда техники / механизмы")</f>
        <v>Сервисный инженер ворот и автоматики</v>
      </c>
      <c r="F1993" s="14">
        <v>1800</v>
      </c>
      <c r="G1993" s="14">
        <v>2070</v>
      </c>
      <c r="H1993" s="15">
        <v>1080</v>
      </c>
      <c r="I1993" s="15">
        <f>IF(OR(H1993="",F1993=""),"",MAX(H1993,MIN(ROUND(H1993*(1+Параметры!$B$5),IF(H1993*(1+Параметры!$B$5)&gt;=1000,-1,0)),ROUND(F1993*Параметры!$B$6,IF(F1993*Параметры!$B$6&gt;=1000,-1,0)))))</f>
        <v>1240</v>
      </c>
      <c r="J1993" s="15">
        <v>1242</v>
      </c>
      <c r="K1993" s="15">
        <f>IF(OR(J1993="",G1993=""),"",MAX(J1993,MIN(ROUND(J1993*(1+Параметры!$B$5),IF(J1993*(1+Параметры!$B$5)&gt;=1000,-1,0)),ROUND(G1993*Параметры!$B$6,IF(G1993*Параметры!$B$6&gt;=1000,-1,0)))))</f>
        <v>1430</v>
      </c>
      <c r="L1993" s="16">
        <v>1</v>
      </c>
      <c r="M1993" s="17">
        <f t="shared" si="146"/>
        <v>1</v>
      </c>
      <c r="N1993" s="17">
        <f>IF(OR(L1993="",L1993=0),"",Параметры!$B$3/L1993)</f>
        <v>8</v>
      </c>
      <c r="O1993" s="15">
        <f>IF(L1993="","",IFERROR(INDEX('Почасовка — ставки и план'!$D$5:$D$24,MATCH($D1993,'Почасовка — ставки и план'!$A$5:$A$24,0)),""))</f>
        <v>1200</v>
      </c>
      <c r="P1993" s="15">
        <f>IF(L1993="","",IFERROR(INDEX('Почасовка — ставки и план'!$E$5:$E$24,MATCH($D1993,'Почасовка — ставки и план'!$A$5:$A$24,0)),""))</f>
        <v>1440</v>
      </c>
      <c r="Q1993" s="15">
        <f t="shared" si="147"/>
        <v>1200</v>
      </c>
      <c r="R1993" s="13" t="str">
        <f>IF(D1993="TEX","аренда техники — сделка/счёт",IF(OR(Q1993="",H1993="",H1993=0),"—",IF(Q1993&lt;H1993*(1-Параметры!$B$7),"почасовка",IF(Q1993&gt;H1993*(1+Параметры!$B$7),"сделка","любой способ"))))</f>
        <v>сделка</v>
      </c>
      <c r="S1993">
        <v>0</v>
      </c>
      <c r="T1993">
        <v>0</v>
      </c>
    </row>
    <row r="1994" spans="1:20" x14ac:dyDescent="0.25">
      <c r="A1994" s="13" t="s">
        <v>4018</v>
      </c>
      <c r="B1994" s="13" t="s">
        <v>4019</v>
      </c>
      <c r="C1994" s="13" t="s">
        <v>144</v>
      </c>
      <c r="D1994" s="13" t="s">
        <v>545</v>
      </c>
      <c r="E1994" s="13" t="str">
        <f>IFERROR(INDEX('Почасовка — ставки и план'!$B$5:$B$24,MATCH(D1994,'Почасовка — ставки и план'!$A$5:$A$24,0)),"Аренда техники / механизмы")</f>
        <v>Сервисный инженер ворот и автоматики</v>
      </c>
      <c r="F1994" s="14">
        <v>2100</v>
      </c>
      <c r="G1994" s="14">
        <v>2415</v>
      </c>
      <c r="H1994" s="15">
        <v>1260</v>
      </c>
      <c r="I1994" s="15">
        <f>IF(OR(H1994="",F1994=""),"",MAX(H1994,MIN(ROUND(H1994*(1+Параметры!$B$5),IF(H1994*(1+Параметры!$B$5)&gt;=1000,-1,0)),ROUND(F1994*Параметры!$B$6,IF(F1994*Параметры!$B$6&gt;=1000,-1,0)))))</f>
        <v>1450</v>
      </c>
      <c r="J1994" s="15">
        <v>1449</v>
      </c>
      <c r="K1994" s="15">
        <f>IF(OR(J1994="",G1994=""),"",MAX(J1994,MIN(ROUND(J1994*(1+Параметры!$B$5),IF(J1994*(1+Параметры!$B$5)&gt;=1000,-1,0)),ROUND(G1994*Параметры!$B$6,IF(G1994*Параметры!$B$6&gt;=1000,-1,0)))))</f>
        <v>1670</v>
      </c>
      <c r="L1994" s="16">
        <v>1.2</v>
      </c>
      <c r="M1994" s="17">
        <f t="shared" si="146"/>
        <v>0.83333333333333337</v>
      </c>
      <c r="N1994" s="17">
        <f>IF(OR(L1994="",L1994=0),"",Параметры!$B$3/L1994)</f>
        <v>6.666666666666667</v>
      </c>
      <c r="O1994" s="15">
        <f>IF(L1994="","",IFERROR(INDEX('Почасовка — ставки и план'!$D$5:$D$24,MATCH($D1994,'Почасовка — ставки и план'!$A$5:$A$24,0)),""))</f>
        <v>1200</v>
      </c>
      <c r="P1994" s="15">
        <f>IF(L1994="","",IFERROR(INDEX('Почасовка — ставки и план'!$E$5:$E$24,MATCH($D1994,'Почасовка — ставки и план'!$A$5:$A$24,0)),""))</f>
        <v>1440</v>
      </c>
      <c r="Q1994" s="15">
        <f t="shared" si="147"/>
        <v>1440</v>
      </c>
      <c r="R1994" s="13" t="str">
        <f>IF(D1994="TEX","аренда техники — сделка/счёт",IF(OR(Q1994="",H1994="",H1994=0),"—",IF(Q1994&lt;H1994*(1-Параметры!$B$7),"почасовка",IF(Q1994&gt;H1994*(1+Параметры!$B$7),"сделка","любой способ"))))</f>
        <v>сделка</v>
      </c>
      <c r="S1994">
        <v>0</v>
      </c>
      <c r="T1994">
        <v>0</v>
      </c>
    </row>
    <row r="1995" spans="1:20" x14ac:dyDescent="0.25">
      <c r="A1995" s="13" t="s">
        <v>4020</v>
      </c>
      <c r="B1995" s="13" t="s">
        <v>4021</v>
      </c>
      <c r="C1995" s="13" t="s">
        <v>144</v>
      </c>
      <c r="D1995" s="13" t="s">
        <v>545</v>
      </c>
      <c r="E1995" s="13" t="str">
        <f>IFERROR(INDEX('Почасовка — ставки и план'!$B$5:$B$24,MATCH(D1995,'Почасовка — ставки и план'!$A$5:$A$24,0)),"Аренда техники / механизмы")</f>
        <v>Сервисный инженер ворот и автоматики</v>
      </c>
      <c r="F1995" s="14">
        <v>2500</v>
      </c>
      <c r="G1995" s="14">
        <v>2880</v>
      </c>
      <c r="H1995" s="15">
        <v>1500</v>
      </c>
      <c r="I1995" s="15">
        <f>IF(OR(H1995="",F1995=""),"",MAX(H1995,MIN(ROUND(H1995*(1+Параметры!$B$5),IF(H1995*(1+Параметры!$B$5)&gt;=1000,-1,0)),ROUND(F1995*Параметры!$B$6,IF(F1995*Параметры!$B$6&gt;=1000,-1,0)))))</f>
        <v>1730</v>
      </c>
      <c r="J1995" s="15">
        <v>1725</v>
      </c>
      <c r="K1995" s="15">
        <f>IF(OR(J1995="",G1995=""),"",MAX(J1995,MIN(ROUND(J1995*(1+Параметры!$B$5),IF(J1995*(1+Параметры!$B$5)&gt;=1000,-1,0)),ROUND(G1995*Параметры!$B$6,IF(G1995*Параметры!$B$6&gt;=1000,-1,0)))))</f>
        <v>1980</v>
      </c>
      <c r="L1995" s="16">
        <v>1.5</v>
      </c>
      <c r="M1995" s="17">
        <f t="shared" si="146"/>
        <v>0.66666666666666663</v>
      </c>
      <c r="N1995" s="17">
        <f>IF(OR(L1995="",L1995=0),"",Параметры!$B$3/L1995)</f>
        <v>5.333333333333333</v>
      </c>
      <c r="O1995" s="15">
        <f>IF(L1995="","",IFERROR(INDEX('Почасовка — ставки и план'!$D$5:$D$24,MATCH($D1995,'Почасовка — ставки и план'!$A$5:$A$24,0)),""))</f>
        <v>1200</v>
      </c>
      <c r="P1995" s="15">
        <f>IF(L1995="","",IFERROR(INDEX('Почасовка — ставки и план'!$E$5:$E$24,MATCH($D1995,'Почасовка — ставки и план'!$A$5:$A$24,0)),""))</f>
        <v>1440</v>
      </c>
      <c r="Q1995" s="15">
        <f t="shared" si="147"/>
        <v>1800</v>
      </c>
      <c r="R1995" s="13" t="str">
        <f>IF(D1995="TEX","аренда техники — сделка/счёт",IF(OR(Q1995="",H1995="",H1995=0),"—",IF(Q1995&lt;H1995*(1-Параметры!$B$7),"почасовка",IF(Q1995&gt;H1995*(1+Параметры!$B$7),"сделка","любой способ"))))</f>
        <v>сделка</v>
      </c>
      <c r="S1995">
        <v>0</v>
      </c>
      <c r="T1995">
        <v>1.739130434782687E-3</v>
      </c>
    </row>
    <row r="1996" spans="1:20" x14ac:dyDescent="0.25">
      <c r="A1996" s="13" t="s">
        <v>4022</v>
      </c>
      <c r="B1996" s="13" t="s">
        <v>4023</v>
      </c>
      <c r="C1996" s="13" t="s">
        <v>144</v>
      </c>
      <c r="D1996" s="13" t="s">
        <v>545</v>
      </c>
      <c r="E1996" s="13" t="str">
        <f>IFERROR(INDEX('Почасовка — ставки и план'!$B$5:$B$24,MATCH(D1996,'Почасовка — ставки и план'!$A$5:$A$24,0)),"Аренда техники / механизмы")</f>
        <v>Сервисный инженер ворот и автоматики</v>
      </c>
      <c r="F1996" s="14">
        <v>1800</v>
      </c>
      <c r="G1996" s="14">
        <v>2070</v>
      </c>
      <c r="H1996" s="15">
        <v>1080</v>
      </c>
      <c r="I1996" s="15">
        <f>IF(OR(H1996="",F1996=""),"",MAX(H1996,MIN(ROUND(H1996*(1+Параметры!$B$5),IF(H1996*(1+Параметры!$B$5)&gt;=1000,-1,0)),ROUND(F1996*Параметры!$B$6,IF(F1996*Параметры!$B$6&gt;=1000,-1,0)))))</f>
        <v>1240</v>
      </c>
      <c r="J1996" s="15">
        <v>1242</v>
      </c>
      <c r="K1996" s="15">
        <f>IF(OR(J1996="",G1996=""),"",MAX(J1996,MIN(ROUND(J1996*(1+Параметры!$B$5),IF(J1996*(1+Параметры!$B$5)&gt;=1000,-1,0)),ROUND(G1996*Параметры!$B$6,IF(G1996*Параметры!$B$6&gt;=1000,-1,0)))))</f>
        <v>1430</v>
      </c>
      <c r="L1996" s="16">
        <v>1</v>
      </c>
      <c r="M1996" s="17">
        <f t="shared" si="146"/>
        <v>1</v>
      </c>
      <c r="N1996" s="17">
        <f>IF(OR(L1996="",L1996=0),"",Параметры!$B$3/L1996)</f>
        <v>8</v>
      </c>
      <c r="O1996" s="15">
        <f>IF(L1996="","",IFERROR(INDEX('Почасовка — ставки и план'!$D$5:$D$24,MATCH($D1996,'Почасовка — ставки и план'!$A$5:$A$24,0)),""))</f>
        <v>1200</v>
      </c>
      <c r="P1996" s="15">
        <f>IF(L1996="","",IFERROR(INDEX('Почасовка — ставки и план'!$E$5:$E$24,MATCH($D1996,'Почасовка — ставки и план'!$A$5:$A$24,0)),""))</f>
        <v>1440</v>
      </c>
      <c r="Q1996" s="15">
        <f t="shared" si="147"/>
        <v>1200</v>
      </c>
      <c r="R1996" s="13" t="str">
        <f>IF(D1996="TEX","аренда техники — сделка/счёт",IF(OR(Q1996="",H1996="",H1996=0),"—",IF(Q1996&lt;H1996*(1-Параметры!$B$7),"почасовка",IF(Q1996&gt;H1996*(1+Параметры!$B$7),"сделка","любой способ"))))</f>
        <v>сделка</v>
      </c>
      <c r="S1996">
        <v>0</v>
      </c>
      <c r="T1996">
        <v>0</v>
      </c>
    </row>
    <row r="1997" spans="1:20" x14ac:dyDescent="0.25">
      <c r="A1997" s="13" t="s">
        <v>4024</v>
      </c>
      <c r="B1997" s="13" t="s">
        <v>4025</v>
      </c>
      <c r="C1997" s="13" t="s">
        <v>144</v>
      </c>
      <c r="D1997" s="13" t="s">
        <v>545</v>
      </c>
      <c r="E1997" s="13" t="str">
        <f>IFERROR(INDEX('Почасовка — ставки и план'!$B$5:$B$24,MATCH(D1997,'Почасовка — ставки и план'!$A$5:$A$24,0)),"Аренда техники / механизмы")</f>
        <v>Сервисный инженер ворот и автоматики</v>
      </c>
      <c r="F1997" s="14">
        <v>1000</v>
      </c>
      <c r="G1997" s="14">
        <v>1152</v>
      </c>
      <c r="H1997" s="15">
        <v>600</v>
      </c>
      <c r="I1997" s="15">
        <f>IF(OR(H1997="",F1997=""),"",MAX(H1997,MIN(ROUND(H1997*(1+Параметры!$B$5),IF(H1997*(1+Параметры!$B$5)&gt;=1000,-1,0)),ROUND(F1997*Параметры!$B$6,IF(F1997*Параметры!$B$6&gt;=1000,-1,0)))))</f>
        <v>690</v>
      </c>
      <c r="J1997" s="15">
        <v>690</v>
      </c>
      <c r="K1997" s="15">
        <f>IF(OR(J1997="",G1997=""),"",MAX(J1997,MIN(ROUND(J1997*(1+Параметры!$B$5),IF(J1997*(1+Параметры!$B$5)&gt;=1000,-1,0)),ROUND(G1997*Параметры!$B$6,IF(G1997*Параметры!$B$6&gt;=1000,-1,0)))))</f>
        <v>794</v>
      </c>
      <c r="L1997" s="16">
        <v>0.6</v>
      </c>
      <c r="M1997" s="17">
        <f t="shared" si="146"/>
        <v>1.6666666666666667</v>
      </c>
      <c r="N1997" s="17">
        <f>IF(OR(L1997="",L1997=0),"",Параметры!$B$3/L1997)</f>
        <v>13.333333333333334</v>
      </c>
      <c r="O1997" s="15">
        <f>IF(L1997="","",IFERROR(INDEX('Почасовка — ставки и план'!$D$5:$D$24,MATCH($D1997,'Почасовка — ставки и план'!$A$5:$A$24,0)),""))</f>
        <v>1200</v>
      </c>
      <c r="P1997" s="15">
        <f>IF(L1997="","",IFERROR(INDEX('Почасовка — ставки и план'!$E$5:$E$24,MATCH($D1997,'Почасовка — ставки и план'!$A$5:$A$24,0)),""))</f>
        <v>1440</v>
      </c>
      <c r="Q1997" s="15">
        <f t="shared" si="147"/>
        <v>720</v>
      </c>
      <c r="R1997" s="13" t="str">
        <f>IF(D1997="TEX","аренда техники — сделка/счёт",IF(OR(Q1997="",H1997="",H1997=0),"—",IF(Q1997&lt;H1997*(1-Параметры!$B$7),"почасовка",IF(Q1997&gt;H1997*(1+Параметры!$B$7),"сделка","любой способ"))))</f>
        <v>сделка</v>
      </c>
      <c r="S1997">
        <v>0</v>
      </c>
      <c r="T1997">
        <v>1.739130434782687E-3</v>
      </c>
    </row>
    <row r="1998" spans="1:20" x14ac:dyDescent="0.25">
      <c r="A1998" s="13" t="s">
        <v>4026</v>
      </c>
      <c r="B1998" s="13" t="s">
        <v>4027</v>
      </c>
      <c r="C1998" s="13" t="s">
        <v>144</v>
      </c>
      <c r="D1998" s="13" t="s">
        <v>545</v>
      </c>
      <c r="E1998" s="13" t="str">
        <f>IFERROR(INDEX('Почасовка — ставки и план'!$B$5:$B$24,MATCH(D1998,'Почасовка — ставки и план'!$A$5:$A$24,0)),"Аренда техники / механизмы")</f>
        <v>Сервисный инженер ворот и автоматики</v>
      </c>
      <c r="F1998" s="14">
        <v>5500</v>
      </c>
      <c r="G1998" s="14">
        <v>6325</v>
      </c>
      <c r="H1998" s="15">
        <v>3300</v>
      </c>
      <c r="I1998" s="15">
        <f>IF(OR(H1998="",F1998=""),"",MAX(H1998,MIN(ROUND(H1998*(1+Параметры!$B$5),IF(H1998*(1+Параметры!$B$5)&gt;=1000,-1,0)),ROUND(F1998*Параметры!$B$6,IF(F1998*Параметры!$B$6&gt;=1000,-1,0)))))</f>
        <v>3800</v>
      </c>
      <c r="J1998" s="15">
        <v>3795</v>
      </c>
      <c r="K1998" s="15">
        <f>IF(OR(J1998="",G1998=""),"",MAX(J1998,MIN(ROUND(J1998*(1+Параметры!$B$5),IF(J1998*(1+Параметры!$B$5)&gt;=1000,-1,0)),ROUND(G1998*Параметры!$B$6,IF(G1998*Параметры!$B$6&gt;=1000,-1,0)))))</f>
        <v>4360</v>
      </c>
      <c r="L1998" s="16">
        <v>3</v>
      </c>
      <c r="M1998" s="17">
        <f t="shared" si="146"/>
        <v>0.33333333333333331</v>
      </c>
      <c r="N1998" s="17">
        <f>IF(OR(L1998="",L1998=0),"",Параметры!$B$3/L1998)</f>
        <v>2.6666666666666665</v>
      </c>
      <c r="O1998" s="15">
        <f>IF(L1998="","",IFERROR(INDEX('Почасовка — ставки и план'!$D$5:$D$24,MATCH($D1998,'Почасовка — ставки и план'!$A$5:$A$24,0)),""))</f>
        <v>1200</v>
      </c>
      <c r="P1998" s="15">
        <f>IF(L1998="","",IFERROR(INDEX('Почасовка — ставки и план'!$E$5:$E$24,MATCH($D1998,'Почасовка — ставки и план'!$A$5:$A$24,0)),""))</f>
        <v>1440</v>
      </c>
      <c r="Q1998" s="15">
        <f t="shared" si="147"/>
        <v>3600</v>
      </c>
      <c r="R1998" s="13" t="str">
        <f>IF(D1998="TEX","аренда техники — сделка/счёт",IF(OR(Q1998="",H1998="",H1998=0),"—",IF(Q1998&lt;H1998*(1-Параметры!$B$7),"почасовка",IF(Q1998&gt;H1998*(1+Параметры!$B$7),"сделка","любой способ"))))</f>
        <v>любой способ</v>
      </c>
      <c r="S1998">
        <v>0</v>
      </c>
      <c r="T1998">
        <v>0</v>
      </c>
    </row>
    <row r="1999" spans="1:20" x14ac:dyDescent="0.25">
      <c r="A1999" s="13" t="s">
        <v>4028</v>
      </c>
      <c r="B1999" s="13" t="s">
        <v>4029</v>
      </c>
      <c r="C1999" s="13" t="s">
        <v>144</v>
      </c>
      <c r="D1999" s="13" t="s">
        <v>545</v>
      </c>
      <c r="E1999" s="13" t="str">
        <f>IFERROR(INDEX('Почасовка — ставки и план'!$B$5:$B$24,MATCH(D1999,'Почасовка — ставки и план'!$A$5:$A$24,0)),"Аренда техники / механизмы")</f>
        <v>Сервисный инженер ворот и автоматики</v>
      </c>
      <c r="F1999" s="14">
        <v>5500</v>
      </c>
      <c r="G1999" s="14">
        <v>6325</v>
      </c>
      <c r="H1999" s="15">
        <v>3300</v>
      </c>
      <c r="I1999" s="15">
        <f>IF(OR(H1999="",F1999=""),"",MAX(H1999,MIN(ROUND(H1999*(1+Параметры!$B$5),IF(H1999*(1+Параметры!$B$5)&gt;=1000,-1,0)),ROUND(F1999*Параметры!$B$6,IF(F1999*Параметры!$B$6&gt;=1000,-1,0)))))</f>
        <v>3800</v>
      </c>
      <c r="J1999" s="15">
        <v>3795</v>
      </c>
      <c r="K1999" s="15">
        <f>IF(OR(J1999="",G1999=""),"",MAX(J1999,MIN(ROUND(J1999*(1+Параметры!$B$5),IF(J1999*(1+Параметры!$B$5)&gt;=1000,-1,0)),ROUND(G1999*Параметры!$B$6,IF(G1999*Параметры!$B$6&gt;=1000,-1,0)))))</f>
        <v>4360</v>
      </c>
      <c r="L1999" s="16">
        <v>3</v>
      </c>
      <c r="M1999" s="17">
        <f t="shared" si="146"/>
        <v>0.33333333333333331</v>
      </c>
      <c r="N1999" s="17">
        <f>IF(OR(L1999="",L1999=0),"",Параметры!$B$3/L1999)</f>
        <v>2.6666666666666665</v>
      </c>
      <c r="O1999" s="15">
        <f>IF(L1999="","",IFERROR(INDEX('Почасовка — ставки и план'!$D$5:$D$24,MATCH($D1999,'Почасовка — ставки и план'!$A$5:$A$24,0)),""))</f>
        <v>1200</v>
      </c>
      <c r="P1999" s="15">
        <f>IF(L1999="","",IFERROR(INDEX('Почасовка — ставки и план'!$E$5:$E$24,MATCH($D1999,'Почасовка — ставки и план'!$A$5:$A$24,0)),""))</f>
        <v>1440</v>
      </c>
      <c r="Q1999" s="15">
        <f t="shared" si="147"/>
        <v>3600</v>
      </c>
      <c r="R1999" s="13" t="str">
        <f>IF(D1999="TEX","аренда техники — сделка/счёт",IF(OR(Q1999="",H1999="",H1999=0),"—",IF(Q1999&lt;H1999*(1-Параметры!$B$7),"почасовка",IF(Q1999&gt;H1999*(1+Параметры!$B$7),"сделка","любой способ"))))</f>
        <v>любой способ</v>
      </c>
      <c r="S1999">
        <v>0</v>
      </c>
      <c r="T1999">
        <v>0</v>
      </c>
    </row>
    <row r="2000" spans="1:20" x14ac:dyDescent="0.25">
      <c r="A2000" s="13" t="s">
        <v>4030</v>
      </c>
      <c r="B2000" s="13" t="s">
        <v>4031</v>
      </c>
      <c r="C2000" s="13" t="s">
        <v>144</v>
      </c>
      <c r="D2000" s="13" t="s">
        <v>545</v>
      </c>
      <c r="E2000" s="13" t="str">
        <f>IFERROR(INDEX('Почасовка — ставки и план'!$B$5:$B$24,MATCH(D2000,'Почасовка — ставки и план'!$A$5:$A$24,0)),"Аренда техники / механизмы")</f>
        <v>Сервисный инженер ворот и автоматики</v>
      </c>
      <c r="F2000" s="14">
        <v>5500</v>
      </c>
      <c r="G2000" s="14">
        <v>6325</v>
      </c>
      <c r="H2000" s="15">
        <v>3300</v>
      </c>
      <c r="I2000" s="15">
        <f>IF(OR(H2000="",F2000=""),"",MAX(H2000,MIN(ROUND(H2000*(1+Параметры!$B$5),IF(H2000*(1+Параметры!$B$5)&gt;=1000,-1,0)),ROUND(F2000*Параметры!$B$6,IF(F2000*Параметры!$B$6&gt;=1000,-1,0)))))</f>
        <v>3800</v>
      </c>
      <c r="J2000" s="15">
        <v>3795</v>
      </c>
      <c r="K2000" s="15">
        <f>IF(OR(J2000="",G2000=""),"",MAX(J2000,MIN(ROUND(J2000*(1+Параметры!$B$5),IF(J2000*(1+Параметры!$B$5)&gt;=1000,-1,0)),ROUND(G2000*Параметры!$B$6,IF(G2000*Параметры!$B$6&gt;=1000,-1,0)))))</f>
        <v>4360</v>
      </c>
      <c r="L2000" s="16">
        <v>3</v>
      </c>
      <c r="M2000" s="17">
        <f t="shared" si="146"/>
        <v>0.33333333333333331</v>
      </c>
      <c r="N2000" s="17">
        <f>IF(OR(L2000="",L2000=0),"",Параметры!$B$3/L2000)</f>
        <v>2.6666666666666665</v>
      </c>
      <c r="O2000" s="15">
        <f>IF(L2000="","",IFERROR(INDEX('Почасовка — ставки и план'!$D$5:$D$24,MATCH($D2000,'Почасовка — ставки и план'!$A$5:$A$24,0)),""))</f>
        <v>1200</v>
      </c>
      <c r="P2000" s="15">
        <f>IF(L2000="","",IFERROR(INDEX('Почасовка — ставки и план'!$E$5:$E$24,MATCH($D2000,'Почасовка — ставки и план'!$A$5:$A$24,0)),""))</f>
        <v>1440</v>
      </c>
      <c r="Q2000" s="15">
        <f t="shared" si="147"/>
        <v>3600</v>
      </c>
      <c r="R2000" s="13" t="str">
        <f>IF(D2000="TEX","аренда техники — сделка/счёт",IF(OR(Q2000="",H2000="",H2000=0),"—",IF(Q2000&lt;H2000*(1-Параметры!$B$7),"почасовка",IF(Q2000&gt;H2000*(1+Параметры!$B$7),"сделка","любой способ"))))</f>
        <v>любой способ</v>
      </c>
      <c r="S2000">
        <v>0</v>
      </c>
      <c r="T2000">
        <v>0</v>
      </c>
    </row>
    <row r="2001" spans="1:20" x14ac:dyDescent="0.25">
      <c r="A2001" s="13" t="s">
        <v>4032</v>
      </c>
      <c r="B2001" s="13" t="s">
        <v>4033</v>
      </c>
      <c r="C2001" s="13" t="s">
        <v>144</v>
      </c>
      <c r="D2001" s="13" t="s">
        <v>545</v>
      </c>
      <c r="E2001" s="13" t="str">
        <f>IFERROR(INDEX('Почасовка — ставки и план'!$B$5:$B$24,MATCH(D2001,'Почасовка — ставки и план'!$A$5:$A$24,0)),"Аренда техники / механизмы")</f>
        <v>Сервисный инженер ворот и автоматики</v>
      </c>
      <c r="F2001" s="14">
        <v>7000</v>
      </c>
      <c r="G2001" s="14">
        <v>8050</v>
      </c>
      <c r="H2001" s="15">
        <v>4200</v>
      </c>
      <c r="I2001" s="15">
        <f>IF(OR(H2001="",F2001=""),"",MAX(H2001,MIN(ROUND(H2001*(1+Параметры!$B$5),IF(H2001*(1+Параметры!$B$5)&gt;=1000,-1,0)),ROUND(F2001*Параметры!$B$6,IF(F2001*Параметры!$B$6&gt;=1000,-1,0)))))</f>
        <v>4830</v>
      </c>
      <c r="J2001" s="15">
        <v>4830</v>
      </c>
      <c r="K2001" s="15">
        <f>IF(OR(J2001="",G2001=""),"",MAX(J2001,MIN(ROUND(J2001*(1+Параметры!$B$5),IF(J2001*(1+Параметры!$B$5)&gt;=1000,-1,0)),ROUND(G2001*Параметры!$B$6,IF(G2001*Параметры!$B$6&gt;=1000,-1,0)))))</f>
        <v>5550</v>
      </c>
      <c r="L2001" s="16">
        <v>4</v>
      </c>
      <c r="M2001" s="17">
        <f t="shared" si="146"/>
        <v>0.25</v>
      </c>
      <c r="N2001" s="17">
        <f>IF(OR(L2001="",L2001=0),"",Параметры!$B$3/L2001)</f>
        <v>2</v>
      </c>
      <c r="O2001" s="15">
        <f>IF(L2001="","",IFERROR(INDEX('Почасовка — ставки и план'!$D$5:$D$24,MATCH($D2001,'Почасовка — ставки и план'!$A$5:$A$24,0)),""))</f>
        <v>1200</v>
      </c>
      <c r="P2001" s="15">
        <f>IF(L2001="","",IFERROR(INDEX('Почасовка — ставки и план'!$E$5:$E$24,MATCH($D2001,'Почасовка — ставки и план'!$A$5:$A$24,0)),""))</f>
        <v>1440</v>
      </c>
      <c r="Q2001" s="15">
        <f t="shared" si="147"/>
        <v>4800</v>
      </c>
      <c r="R2001" s="13" t="str">
        <f>IF(D2001="TEX","аренда техники — сделка/счёт",IF(OR(Q2001="",H2001="",H2001=0),"—",IF(Q2001&lt;H2001*(1-Параметры!$B$7),"почасовка",IF(Q2001&gt;H2001*(1+Параметры!$B$7),"сделка","любой способ"))))</f>
        <v>сделка</v>
      </c>
      <c r="S2001">
        <v>0</v>
      </c>
      <c r="T2001">
        <v>0</v>
      </c>
    </row>
    <row r="2002" spans="1:20" x14ac:dyDescent="0.25">
      <c r="A2002" s="13" t="s">
        <v>4034</v>
      </c>
      <c r="B2002" s="13" t="s">
        <v>4035</v>
      </c>
      <c r="C2002" s="13" t="s">
        <v>144</v>
      </c>
      <c r="D2002" s="13" t="s">
        <v>545</v>
      </c>
      <c r="E2002" s="13" t="str">
        <f>IFERROR(INDEX('Почасовка — ставки и план'!$B$5:$B$24,MATCH(D2002,'Почасовка — ставки и план'!$A$5:$A$24,0)),"Аренда техники / механизмы")</f>
        <v>Сервисный инженер ворот и автоматики</v>
      </c>
      <c r="F2002" s="14">
        <v>6000</v>
      </c>
      <c r="G2002" s="14">
        <v>6900</v>
      </c>
      <c r="H2002" s="15">
        <v>3600</v>
      </c>
      <c r="I2002" s="15">
        <f>IF(OR(H2002="",F2002=""),"",MAX(H2002,MIN(ROUND(H2002*(1+Параметры!$B$5),IF(H2002*(1+Параметры!$B$5)&gt;=1000,-1,0)),ROUND(F2002*Параметры!$B$6,IF(F2002*Параметры!$B$6&gt;=1000,-1,0)))))</f>
        <v>4140</v>
      </c>
      <c r="J2002" s="15">
        <v>4140</v>
      </c>
      <c r="K2002" s="15">
        <f>IF(OR(J2002="",G2002=""),"",MAX(J2002,MIN(ROUND(J2002*(1+Параметры!$B$5),IF(J2002*(1+Параметры!$B$5)&gt;=1000,-1,0)),ROUND(G2002*Параметры!$B$6,IF(G2002*Параметры!$B$6&gt;=1000,-1,0)))))</f>
        <v>4760</v>
      </c>
      <c r="L2002" s="16">
        <v>3.5</v>
      </c>
      <c r="M2002" s="17">
        <f t="shared" si="146"/>
        <v>0.2857142857142857</v>
      </c>
      <c r="N2002" s="17">
        <f>IF(OR(L2002="",L2002=0),"",Параметры!$B$3/L2002)</f>
        <v>2.2857142857142856</v>
      </c>
      <c r="O2002" s="15">
        <f>IF(L2002="","",IFERROR(INDEX('Почасовка — ставки и план'!$D$5:$D$24,MATCH($D2002,'Почасовка — ставки и план'!$A$5:$A$24,0)),""))</f>
        <v>1200</v>
      </c>
      <c r="P2002" s="15">
        <f>IF(L2002="","",IFERROR(INDEX('Почасовка — ставки и план'!$E$5:$E$24,MATCH($D2002,'Почасовка — ставки и план'!$A$5:$A$24,0)),""))</f>
        <v>1440</v>
      </c>
      <c r="Q2002" s="15">
        <f t="shared" si="147"/>
        <v>4200</v>
      </c>
      <c r="R2002" s="13" t="str">
        <f>IF(D2002="TEX","аренда техники — сделка/счёт",IF(OR(Q2002="",H2002="",H2002=0),"—",IF(Q2002&lt;H2002*(1-Параметры!$B$7),"почасовка",IF(Q2002&gt;H2002*(1+Параметры!$B$7),"сделка","любой способ"))))</f>
        <v>сделка</v>
      </c>
      <c r="S2002">
        <v>0</v>
      </c>
      <c r="T2002">
        <v>0</v>
      </c>
    </row>
    <row r="2003" spans="1:20" x14ac:dyDescent="0.25">
      <c r="A2003" s="13" t="s">
        <v>4036</v>
      </c>
      <c r="B2003" s="13" t="s">
        <v>4037</v>
      </c>
      <c r="C2003" s="13" t="s">
        <v>69</v>
      </c>
      <c r="D2003" s="13" t="s">
        <v>545</v>
      </c>
      <c r="E2003" s="13" t="str">
        <f>IFERROR(INDEX('Почасовка — ставки и план'!$B$5:$B$24,MATCH(D2003,'Почасовка — ставки и план'!$A$5:$A$24,0)),"Аренда техники / механизмы")</f>
        <v>Сервисный инженер ворот и автоматики</v>
      </c>
      <c r="F2003" s="14">
        <v>400</v>
      </c>
      <c r="G2003" s="14">
        <v>480</v>
      </c>
      <c r="H2003" s="15">
        <v>180</v>
      </c>
      <c r="I2003" s="15">
        <f>IF(OR(H2003="",F2003=""),"",MAX(H2003,MIN(ROUND(H2003*(1+Параметры!$B$5),IF(H2003*(1+Параметры!$B$5)&gt;=1000,-1,0)),ROUND(F2003*Параметры!$B$6,IF(F2003*Параметры!$B$6&gt;=1000,-1,0)))))</f>
        <v>207</v>
      </c>
      <c r="J2003" s="15">
        <v>207</v>
      </c>
      <c r="K2003" s="15">
        <f>IF(OR(J2003="",G2003=""),"",MAX(J2003,MIN(ROUND(J2003*(1+Параметры!$B$5),IF(J2003*(1+Параметры!$B$5)&gt;=1000,-1,0)),ROUND(G2003*Параметры!$B$6,IF(G2003*Параметры!$B$6&gt;=1000,-1,0)))))</f>
        <v>238</v>
      </c>
      <c r="L2003" s="16">
        <v>0.25</v>
      </c>
      <c r="M2003" s="17">
        <f t="shared" ref="M2003:M2034" si="148">IF(OR(L2003="",L2003=0),"",1/L2003)</f>
        <v>4</v>
      </c>
      <c r="N2003" s="17">
        <f>IF(OR(L2003="",L2003=0),"",Параметры!$B$3/L2003)</f>
        <v>32</v>
      </c>
      <c r="O2003" s="15">
        <f>IF(L2003="","",IFERROR(INDEX('Почасовка — ставки и план'!$D$5:$D$24,MATCH($D2003,'Почасовка — ставки и план'!$A$5:$A$24,0)),""))</f>
        <v>1200</v>
      </c>
      <c r="P2003" s="15">
        <f>IF(L2003="","",IFERROR(INDEX('Почасовка — ставки и план'!$E$5:$E$24,MATCH($D2003,'Почасовка — ставки и план'!$A$5:$A$24,0)),""))</f>
        <v>1440</v>
      </c>
      <c r="Q2003" s="15">
        <f t="shared" ref="Q2003:Q2034" si="149">IF(OR(L2003="",O2003=""),"",ROUND(L2003*O2003,0))</f>
        <v>300</v>
      </c>
      <c r="R2003" s="13" t="str">
        <f>IF(D2003="TEX","аренда техники — сделка/счёт",IF(OR(Q2003="",H2003="",H2003=0),"—",IF(Q2003&lt;H2003*(1-Параметры!$B$7),"почасовка",IF(Q2003&gt;H2003*(1+Параметры!$B$7),"сделка","любой способ"))))</f>
        <v>сделка</v>
      </c>
      <c r="S2003">
        <v>0.33333333333333331</v>
      </c>
      <c r="T2003">
        <v>0.39130434782608692</v>
      </c>
    </row>
    <row r="2004" spans="1:20" x14ac:dyDescent="0.25">
      <c r="A2004" s="13" t="s">
        <v>4038</v>
      </c>
      <c r="B2004" s="13" t="s">
        <v>4039</v>
      </c>
      <c r="C2004" s="13" t="s">
        <v>69</v>
      </c>
      <c r="D2004" s="13" t="s">
        <v>545</v>
      </c>
      <c r="E2004" s="13" t="str">
        <f>IFERROR(INDEX('Почасовка — ставки и план'!$B$5:$B$24,MATCH(D2004,'Почасовка — ставки и план'!$A$5:$A$24,0)),"Аренда техники / механизмы")</f>
        <v>Сервисный инженер ворот и автоматики</v>
      </c>
      <c r="F2004" s="14">
        <v>400</v>
      </c>
      <c r="G2004" s="14">
        <v>480</v>
      </c>
      <c r="H2004" s="15">
        <v>180</v>
      </c>
      <c r="I2004" s="15">
        <f>IF(OR(H2004="",F2004=""),"",MAX(H2004,MIN(ROUND(H2004*(1+Параметры!$B$5),IF(H2004*(1+Параметры!$B$5)&gt;=1000,-1,0)),ROUND(F2004*Параметры!$B$6,IF(F2004*Параметры!$B$6&gt;=1000,-1,0)))))</f>
        <v>207</v>
      </c>
      <c r="J2004" s="15">
        <v>207</v>
      </c>
      <c r="K2004" s="15">
        <f>IF(OR(J2004="",G2004=""),"",MAX(J2004,MIN(ROUND(J2004*(1+Параметры!$B$5),IF(J2004*(1+Параметры!$B$5)&gt;=1000,-1,0)),ROUND(G2004*Параметры!$B$6,IF(G2004*Параметры!$B$6&gt;=1000,-1,0)))))</f>
        <v>238</v>
      </c>
      <c r="L2004" s="16">
        <v>0.25</v>
      </c>
      <c r="M2004" s="17">
        <f t="shared" si="148"/>
        <v>4</v>
      </c>
      <c r="N2004" s="17">
        <f>IF(OR(L2004="",L2004=0),"",Параметры!$B$3/L2004)</f>
        <v>32</v>
      </c>
      <c r="O2004" s="15">
        <f>IF(L2004="","",IFERROR(INDEX('Почасовка — ставки и план'!$D$5:$D$24,MATCH($D2004,'Почасовка — ставки и план'!$A$5:$A$24,0)),""))</f>
        <v>1200</v>
      </c>
      <c r="P2004" s="15">
        <f>IF(L2004="","",IFERROR(INDEX('Почасовка — ставки и план'!$E$5:$E$24,MATCH($D2004,'Почасовка — ставки и план'!$A$5:$A$24,0)),""))</f>
        <v>1440</v>
      </c>
      <c r="Q2004" s="15">
        <f t="shared" si="149"/>
        <v>300</v>
      </c>
      <c r="R2004" s="13" t="str">
        <f>IF(D2004="TEX","аренда техники — сделка/счёт",IF(OR(Q2004="",H2004="",H2004=0),"—",IF(Q2004&lt;H2004*(1-Параметры!$B$7),"почасовка",IF(Q2004&gt;H2004*(1+Параметры!$B$7),"сделка","любой способ"))))</f>
        <v>сделка</v>
      </c>
      <c r="S2004">
        <v>0.33333333333333331</v>
      </c>
      <c r="T2004">
        <v>0.39130434782608692</v>
      </c>
    </row>
    <row r="2005" spans="1:20" x14ac:dyDescent="0.25">
      <c r="A2005" s="13" t="s">
        <v>4040</v>
      </c>
      <c r="B2005" s="13" t="s">
        <v>4041</v>
      </c>
      <c r="C2005" s="13" t="s">
        <v>69</v>
      </c>
      <c r="D2005" s="13" t="s">
        <v>545</v>
      </c>
      <c r="E2005" s="13" t="str">
        <f>IFERROR(INDEX('Почасовка — ставки и план'!$B$5:$B$24,MATCH(D2005,'Почасовка — ставки и план'!$A$5:$A$24,0)),"Аренда техники / механизмы")</f>
        <v>Сервисный инженер ворот и автоматики</v>
      </c>
      <c r="F2005" s="14">
        <v>400</v>
      </c>
      <c r="G2005" s="14">
        <v>480</v>
      </c>
      <c r="H2005" s="15">
        <v>180</v>
      </c>
      <c r="I2005" s="15">
        <f>IF(OR(H2005="",F2005=""),"",MAX(H2005,MIN(ROUND(H2005*(1+Параметры!$B$5),IF(H2005*(1+Параметры!$B$5)&gt;=1000,-1,0)),ROUND(F2005*Параметры!$B$6,IF(F2005*Параметры!$B$6&gt;=1000,-1,0)))))</f>
        <v>207</v>
      </c>
      <c r="J2005" s="15">
        <v>207</v>
      </c>
      <c r="K2005" s="15">
        <f>IF(OR(J2005="",G2005=""),"",MAX(J2005,MIN(ROUND(J2005*(1+Параметры!$B$5),IF(J2005*(1+Параметры!$B$5)&gt;=1000,-1,0)),ROUND(G2005*Параметры!$B$6,IF(G2005*Параметры!$B$6&gt;=1000,-1,0)))))</f>
        <v>238</v>
      </c>
      <c r="L2005" s="16">
        <v>0.25</v>
      </c>
      <c r="M2005" s="17">
        <f t="shared" si="148"/>
        <v>4</v>
      </c>
      <c r="N2005" s="17">
        <f>IF(OR(L2005="",L2005=0),"",Параметры!$B$3/L2005)</f>
        <v>32</v>
      </c>
      <c r="O2005" s="15">
        <f>IF(L2005="","",IFERROR(INDEX('Почасовка — ставки и план'!$D$5:$D$24,MATCH($D2005,'Почасовка — ставки и план'!$A$5:$A$24,0)),""))</f>
        <v>1200</v>
      </c>
      <c r="P2005" s="15">
        <f>IF(L2005="","",IFERROR(INDEX('Почасовка — ставки и план'!$E$5:$E$24,MATCH($D2005,'Почасовка — ставки и план'!$A$5:$A$24,0)),""))</f>
        <v>1440</v>
      </c>
      <c r="Q2005" s="15">
        <f t="shared" si="149"/>
        <v>300</v>
      </c>
      <c r="R2005" s="13" t="str">
        <f>IF(D2005="TEX","аренда техники — сделка/счёт",IF(OR(Q2005="",H2005="",H2005=0),"—",IF(Q2005&lt;H2005*(1-Параметры!$B$7),"почасовка",IF(Q2005&gt;H2005*(1+Параметры!$B$7),"сделка","любой способ"))))</f>
        <v>сделка</v>
      </c>
      <c r="S2005">
        <v>0.33333333333333331</v>
      </c>
      <c r="T2005">
        <v>0.39130434782608692</v>
      </c>
    </row>
    <row r="2006" spans="1:20" x14ac:dyDescent="0.25">
      <c r="A2006" s="13" t="s">
        <v>4042</v>
      </c>
      <c r="B2006" s="13" t="s">
        <v>4043</v>
      </c>
      <c r="C2006" s="13" t="s">
        <v>72</v>
      </c>
      <c r="D2006" s="13" t="s">
        <v>545</v>
      </c>
      <c r="E2006" s="13" t="str">
        <f>IFERROR(INDEX('Почасовка — ставки и план'!$B$5:$B$24,MATCH(D2006,'Почасовка — ставки и план'!$A$5:$A$24,0)),"Аренда техники / механизмы")</f>
        <v>Сервисный инженер ворот и автоматики</v>
      </c>
      <c r="F2006" s="14">
        <v>2400</v>
      </c>
      <c r="G2006" s="14">
        <v>2880</v>
      </c>
      <c r="H2006" s="15">
        <v>900</v>
      </c>
      <c r="I2006" s="15">
        <f>IF(OR(H2006="",F2006=""),"",MAX(H2006,MIN(ROUND(H2006*(1+Параметры!$B$5),IF(H2006*(1+Параметры!$B$5)&gt;=1000,-1,0)),ROUND(F2006*Параметры!$B$6,IF(F2006*Параметры!$B$6&gt;=1000,-1,0)))))</f>
        <v>1040</v>
      </c>
      <c r="J2006" s="15">
        <v>1035</v>
      </c>
      <c r="K2006" s="15">
        <f>IF(OR(J2006="",G2006=""),"",MAX(J2006,MIN(ROUND(J2006*(1+Параметры!$B$5),IF(J2006*(1+Параметры!$B$5)&gt;=1000,-1,0)),ROUND(G2006*Параметры!$B$6,IF(G2006*Параметры!$B$6&gt;=1000,-1,0)))))</f>
        <v>1190</v>
      </c>
      <c r="L2006" s="16">
        <v>1.5</v>
      </c>
      <c r="M2006" s="17">
        <f t="shared" si="148"/>
        <v>0.66666666666666663</v>
      </c>
      <c r="N2006" s="17">
        <f>IF(OR(L2006="",L2006=0),"",Параметры!$B$3/L2006)</f>
        <v>5.333333333333333</v>
      </c>
      <c r="O2006" s="15">
        <f>IF(L2006="","",IFERROR(INDEX('Почасовка — ставки и план'!$D$5:$D$24,MATCH($D2006,'Почасовка — ставки и план'!$A$5:$A$24,0)),""))</f>
        <v>1200</v>
      </c>
      <c r="P2006" s="15">
        <f>IF(L2006="","",IFERROR(INDEX('Почасовка — ставки и план'!$E$5:$E$24,MATCH($D2006,'Почасовка — ставки и план'!$A$5:$A$24,0)),""))</f>
        <v>1440</v>
      </c>
      <c r="Q2006" s="15">
        <f t="shared" si="149"/>
        <v>1800</v>
      </c>
      <c r="R2006" s="13" t="str">
        <f>IF(D2006="TEX","аренда техники — сделка/счёт",IF(OR(Q2006="",H2006="",H2006=0),"—",IF(Q2006&lt;H2006*(1-Параметры!$B$7),"почасовка",IF(Q2006&gt;H2006*(1+Параметры!$B$7),"сделка","любой способ"))))</f>
        <v>сделка</v>
      </c>
      <c r="S2006">
        <v>0.60000000000000009</v>
      </c>
      <c r="T2006">
        <v>0.66956521739130426</v>
      </c>
    </row>
    <row r="2007" spans="1:20" x14ac:dyDescent="0.25">
      <c r="A2007" s="13" t="s">
        <v>4044</v>
      </c>
      <c r="B2007" s="13" t="s">
        <v>4045</v>
      </c>
      <c r="C2007" s="13" t="s">
        <v>144</v>
      </c>
      <c r="D2007" s="13" t="s">
        <v>545</v>
      </c>
      <c r="E2007" s="13" t="str">
        <f>IFERROR(INDEX('Почасовка — ставки и план'!$B$5:$B$24,MATCH(D2007,'Почасовка — ставки и план'!$A$5:$A$24,0)),"Аренда техники / механизмы")</f>
        <v>Сервисный инженер ворот и автоматики</v>
      </c>
      <c r="F2007" s="14">
        <v>2500</v>
      </c>
      <c r="G2007" s="14">
        <v>2880</v>
      </c>
      <c r="H2007" s="15">
        <v>1500</v>
      </c>
      <c r="I2007" s="15">
        <f>IF(OR(H2007="",F2007=""),"",MAX(H2007,MIN(ROUND(H2007*(1+Параметры!$B$5),IF(H2007*(1+Параметры!$B$5)&gt;=1000,-1,0)),ROUND(F2007*Параметры!$B$6,IF(F2007*Параметры!$B$6&gt;=1000,-1,0)))))</f>
        <v>1730</v>
      </c>
      <c r="J2007" s="15">
        <v>1725</v>
      </c>
      <c r="K2007" s="15">
        <f>IF(OR(J2007="",G2007=""),"",MAX(J2007,MIN(ROUND(J2007*(1+Параметры!$B$5),IF(J2007*(1+Параметры!$B$5)&gt;=1000,-1,0)),ROUND(G2007*Параметры!$B$6,IF(G2007*Параметры!$B$6&gt;=1000,-1,0)))))</f>
        <v>1980</v>
      </c>
      <c r="L2007" s="16">
        <v>1.5</v>
      </c>
      <c r="M2007" s="17">
        <f t="shared" si="148"/>
        <v>0.66666666666666663</v>
      </c>
      <c r="N2007" s="17">
        <f>IF(OR(L2007="",L2007=0),"",Параметры!$B$3/L2007)</f>
        <v>5.333333333333333</v>
      </c>
      <c r="O2007" s="15">
        <f>IF(L2007="","",IFERROR(INDEX('Почасовка — ставки и план'!$D$5:$D$24,MATCH($D2007,'Почасовка — ставки и план'!$A$5:$A$24,0)),""))</f>
        <v>1200</v>
      </c>
      <c r="P2007" s="15">
        <f>IF(L2007="","",IFERROR(INDEX('Почасовка — ставки и план'!$E$5:$E$24,MATCH($D2007,'Почасовка — ставки и план'!$A$5:$A$24,0)),""))</f>
        <v>1440</v>
      </c>
      <c r="Q2007" s="15">
        <f t="shared" si="149"/>
        <v>1800</v>
      </c>
      <c r="R2007" s="13" t="str">
        <f>IF(D2007="TEX","аренда техники — сделка/счёт",IF(OR(Q2007="",H2007="",H2007=0),"—",IF(Q2007&lt;H2007*(1-Параметры!$B$7),"почасовка",IF(Q2007&gt;H2007*(1+Параметры!$B$7),"сделка","любой способ"))))</f>
        <v>сделка</v>
      </c>
      <c r="S2007">
        <v>0</v>
      </c>
      <c r="T2007">
        <v>1.739130434782687E-3</v>
      </c>
    </row>
    <row r="2008" spans="1:20" x14ac:dyDescent="0.25">
      <c r="A2008" s="13" t="s">
        <v>4046</v>
      </c>
      <c r="B2008" s="13" t="s">
        <v>4047</v>
      </c>
      <c r="C2008" s="13" t="s">
        <v>144</v>
      </c>
      <c r="D2008" s="13" t="s">
        <v>545</v>
      </c>
      <c r="E2008" s="13" t="str">
        <f>IFERROR(INDEX('Почасовка — ставки и план'!$B$5:$B$24,MATCH(D2008,'Почасовка — ставки и план'!$A$5:$A$24,0)),"Аренда техники / механизмы")</f>
        <v>Сервисный инженер ворот и автоматики</v>
      </c>
      <c r="F2008" s="14">
        <v>800</v>
      </c>
      <c r="G2008" s="14">
        <v>960</v>
      </c>
      <c r="H2008" s="15">
        <v>480</v>
      </c>
      <c r="I2008" s="15">
        <f>IF(OR(H2008="",F2008=""),"",MAX(H2008,MIN(ROUND(H2008*(1+Параметры!$B$5),IF(H2008*(1+Параметры!$B$5)&gt;=1000,-1,0)),ROUND(F2008*Параметры!$B$6,IF(F2008*Параметры!$B$6&gt;=1000,-1,0)))))</f>
        <v>552</v>
      </c>
      <c r="J2008" s="15">
        <v>552</v>
      </c>
      <c r="K2008" s="15">
        <f>IF(OR(J2008="",G2008=""),"",MAX(J2008,MIN(ROUND(J2008*(1+Параметры!$B$5),IF(J2008*(1+Параметры!$B$5)&gt;=1000,-1,0)),ROUND(G2008*Параметры!$B$6,IF(G2008*Параметры!$B$6&gt;=1000,-1,0)))))</f>
        <v>635</v>
      </c>
      <c r="L2008" s="16">
        <v>0.5</v>
      </c>
      <c r="M2008" s="17">
        <f t="shared" si="148"/>
        <v>2</v>
      </c>
      <c r="N2008" s="17">
        <f>IF(OR(L2008="",L2008=0),"",Параметры!$B$3/L2008)</f>
        <v>16</v>
      </c>
      <c r="O2008" s="15">
        <f>IF(L2008="","",IFERROR(INDEX('Почасовка — ставки и план'!$D$5:$D$24,MATCH($D2008,'Почасовка — ставки и план'!$A$5:$A$24,0)),""))</f>
        <v>1200</v>
      </c>
      <c r="P2008" s="15">
        <f>IF(L2008="","",IFERROR(INDEX('Почасовка — ставки и план'!$E$5:$E$24,MATCH($D2008,'Почасовка — ставки и план'!$A$5:$A$24,0)),""))</f>
        <v>1440</v>
      </c>
      <c r="Q2008" s="15">
        <f t="shared" si="149"/>
        <v>600</v>
      </c>
      <c r="R2008" s="13" t="str">
        <f>IF(D2008="TEX","аренда техники — сделка/счёт",IF(OR(Q2008="",H2008="",H2008=0),"—",IF(Q2008&lt;H2008*(1-Параметры!$B$7),"почасовка",IF(Q2008&gt;H2008*(1+Параметры!$B$7),"сделка","любой способ"))))</f>
        <v>сделка</v>
      </c>
      <c r="S2008">
        <v>0</v>
      </c>
      <c r="T2008">
        <v>4.3478260869565188E-2</v>
      </c>
    </row>
    <row r="2009" spans="1:20" x14ac:dyDescent="0.25">
      <c r="A2009" s="13" t="s">
        <v>4048</v>
      </c>
      <c r="B2009" s="13" t="s">
        <v>4049</v>
      </c>
      <c r="C2009" s="13" t="s">
        <v>144</v>
      </c>
      <c r="D2009" s="13" t="s">
        <v>545</v>
      </c>
      <c r="E2009" s="13" t="str">
        <f>IFERROR(INDEX('Почасовка — ставки и план'!$B$5:$B$24,MATCH(D2009,'Почасовка — ставки и план'!$A$5:$A$24,0)),"Аренда техники / механизмы")</f>
        <v>Сервисный инженер ворот и автоматики</v>
      </c>
      <c r="F2009" s="14">
        <v>500</v>
      </c>
      <c r="G2009" s="14">
        <v>576</v>
      </c>
      <c r="H2009" s="15">
        <v>300</v>
      </c>
      <c r="I2009" s="15">
        <f>IF(OR(H2009="",F2009=""),"",MAX(H2009,MIN(ROUND(H2009*(1+Параметры!$B$5),IF(H2009*(1+Параметры!$B$5)&gt;=1000,-1,0)),ROUND(F2009*Параметры!$B$6,IF(F2009*Параметры!$B$6&gt;=1000,-1,0)))))</f>
        <v>345</v>
      </c>
      <c r="J2009" s="15">
        <v>345</v>
      </c>
      <c r="K2009" s="15">
        <f>IF(OR(J2009="",G2009=""),"",MAX(J2009,MIN(ROUND(J2009*(1+Параметры!$B$5),IF(J2009*(1+Параметры!$B$5)&gt;=1000,-1,0)),ROUND(G2009*Параметры!$B$6,IF(G2009*Параметры!$B$6&gt;=1000,-1,0)))))</f>
        <v>397</v>
      </c>
      <c r="L2009" s="16">
        <v>0.3</v>
      </c>
      <c r="M2009" s="17">
        <f t="shared" si="148"/>
        <v>3.3333333333333335</v>
      </c>
      <c r="N2009" s="17">
        <f>IF(OR(L2009="",L2009=0),"",Параметры!$B$3/L2009)</f>
        <v>26.666666666666668</v>
      </c>
      <c r="O2009" s="15">
        <f>IF(L2009="","",IFERROR(INDEX('Почасовка — ставки и план'!$D$5:$D$24,MATCH($D2009,'Почасовка — ставки и план'!$A$5:$A$24,0)),""))</f>
        <v>1200</v>
      </c>
      <c r="P2009" s="15">
        <f>IF(L2009="","",IFERROR(INDEX('Почасовка — ставки и план'!$E$5:$E$24,MATCH($D2009,'Почасовка — ставки и план'!$A$5:$A$24,0)),""))</f>
        <v>1440</v>
      </c>
      <c r="Q2009" s="15">
        <f t="shared" si="149"/>
        <v>360</v>
      </c>
      <c r="R2009" s="13" t="str">
        <f>IF(D2009="TEX","аренда техники — сделка/счёт",IF(OR(Q2009="",H2009="",H2009=0),"—",IF(Q2009&lt;H2009*(1-Параметры!$B$7),"почасовка",IF(Q2009&gt;H2009*(1+Параметры!$B$7),"сделка","любой способ"))))</f>
        <v>сделка</v>
      </c>
      <c r="S2009">
        <v>0</v>
      </c>
      <c r="T2009">
        <v>1.739130434782687E-3</v>
      </c>
    </row>
    <row r="2010" spans="1:20" x14ac:dyDescent="0.25">
      <c r="A2010" s="13" t="s">
        <v>4050</v>
      </c>
      <c r="B2010" s="13" t="s">
        <v>4051</v>
      </c>
      <c r="C2010" s="13" t="s">
        <v>144</v>
      </c>
      <c r="D2010" s="13" t="s">
        <v>545</v>
      </c>
      <c r="E2010" s="13" t="str">
        <f>IFERROR(INDEX('Почасовка — ставки и план'!$B$5:$B$24,MATCH(D2010,'Почасовка — ставки и план'!$A$5:$A$24,0)),"Аренда техники / механизмы")</f>
        <v>Сервисный инженер ворот и автоматики</v>
      </c>
      <c r="F2010" s="14">
        <v>6000</v>
      </c>
      <c r="G2010" s="14">
        <v>6900</v>
      </c>
      <c r="H2010" s="15">
        <v>3600</v>
      </c>
      <c r="I2010" s="15">
        <f>IF(OR(H2010="",F2010=""),"",MAX(H2010,MIN(ROUND(H2010*(1+Параметры!$B$5),IF(H2010*(1+Параметры!$B$5)&gt;=1000,-1,0)),ROUND(F2010*Параметры!$B$6,IF(F2010*Параметры!$B$6&gt;=1000,-1,0)))))</f>
        <v>4140</v>
      </c>
      <c r="J2010" s="15">
        <v>4140</v>
      </c>
      <c r="K2010" s="15">
        <f>IF(OR(J2010="",G2010=""),"",MAX(J2010,MIN(ROUND(J2010*(1+Параметры!$B$5),IF(J2010*(1+Параметры!$B$5)&gt;=1000,-1,0)),ROUND(G2010*Параметры!$B$6,IF(G2010*Параметры!$B$6&gt;=1000,-1,0)))))</f>
        <v>4760</v>
      </c>
      <c r="L2010" s="16">
        <v>3</v>
      </c>
      <c r="M2010" s="17">
        <f t="shared" si="148"/>
        <v>0.33333333333333331</v>
      </c>
      <c r="N2010" s="17">
        <f>IF(OR(L2010="",L2010=0),"",Параметры!$B$3/L2010)</f>
        <v>2.6666666666666665</v>
      </c>
      <c r="O2010" s="15">
        <f>IF(L2010="","",IFERROR(INDEX('Почасовка — ставки и план'!$D$5:$D$24,MATCH($D2010,'Почасовка — ставки и план'!$A$5:$A$24,0)),""))</f>
        <v>1200</v>
      </c>
      <c r="P2010" s="15">
        <f>IF(L2010="","",IFERROR(INDEX('Почасовка — ставки и план'!$E$5:$E$24,MATCH($D2010,'Почасовка — ставки и план'!$A$5:$A$24,0)),""))</f>
        <v>1440</v>
      </c>
      <c r="Q2010" s="15">
        <f t="shared" si="149"/>
        <v>3600</v>
      </c>
      <c r="R2010" s="13" t="str">
        <f>IF(D2010="TEX","аренда техники — сделка/счёт",IF(OR(Q2010="",H2010="",H2010=0),"—",IF(Q2010&lt;H2010*(1-Параметры!$B$7),"почасовка",IF(Q2010&gt;H2010*(1+Параметры!$B$7),"сделка","любой способ"))))</f>
        <v>любой способ</v>
      </c>
      <c r="S2010">
        <v>0</v>
      </c>
      <c r="T2010">
        <v>0</v>
      </c>
    </row>
    <row r="2011" spans="1:20" x14ac:dyDescent="0.25">
      <c r="A2011" s="13" t="s">
        <v>4052</v>
      </c>
      <c r="B2011" s="13" t="s">
        <v>4053</v>
      </c>
      <c r="C2011" s="13" t="s">
        <v>144</v>
      </c>
      <c r="D2011" s="13" t="s">
        <v>273</v>
      </c>
      <c r="E2011" s="13" t="str">
        <f>IFERROR(INDEX('Почасовка — ставки и план'!$B$5:$B$24,MATCH(D2011,'Почасовка — ставки и план'!$A$5:$A$24,0)),"Аренда техники / механизмы")</f>
        <v>Электромонтажник</v>
      </c>
      <c r="F2011" s="14">
        <v>2000</v>
      </c>
      <c r="G2011" s="14">
        <v>2300</v>
      </c>
      <c r="H2011" s="15">
        <v>1240</v>
      </c>
      <c r="I2011" s="15">
        <f>IF(OR(H2011="",F2011=""),"",MAX(H2011,MIN(ROUND(H2011*(1+Параметры!$B$5),IF(H2011*(1+Параметры!$B$5)&gt;=1000,-1,0)),ROUND(F2011*Параметры!$B$6,IF(F2011*Параметры!$B$6&gt;=1000,-1,0)))))</f>
        <v>1430</v>
      </c>
      <c r="J2011" s="15">
        <v>1426</v>
      </c>
      <c r="K2011" s="15">
        <f>IF(OR(J2011="",G2011=""),"",MAX(J2011,MIN(ROUND(J2011*(1+Параметры!$B$5),IF(J2011*(1+Параметры!$B$5)&gt;=1000,-1,0)),ROUND(G2011*Параметры!$B$6,IF(G2011*Параметры!$B$6&gt;=1000,-1,0)))))</f>
        <v>1640</v>
      </c>
      <c r="L2011" s="16">
        <v>1</v>
      </c>
      <c r="M2011" s="17">
        <f t="shared" si="148"/>
        <v>1</v>
      </c>
      <c r="N2011" s="17">
        <f>IF(OR(L2011="",L2011=0),"",Параметры!$B$3/L2011)</f>
        <v>8</v>
      </c>
      <c r="O2011" s="15">
        <f>IF(L2011="","",IFERROR(INDEX('Почасовка — ставки и план'!$D$5:$D$24,MATCH($D2011,'Почасовка — ставки и план'!$A$5:$A$24,0)),""))</f>
        <v>850</v>
      </c>
      <c r="P2011" s="15">
        <f>IF(L2011="","",IFERROR(INDEX('Почасовка — ставки и план'!$E$5:$E$24,MATCH($D2011,'Почасовка — ставки и план'!$A$5:$A$24,0)),""))</f>
        <v>1020</v>
      </c>
      <c r="Q2011" s="15">
        <f t="shared" si="149"/>
        <v>850</v>
      </c>
      <c r="R2011" s="13" t="str">
        <f>IF(D2011="TEX","аренда техники — сделка/счёт",IF(OR(Q2011="",H2011="",H2011=0),"—",IF(Q2011&lt;H2011*(1-Параметры!$B$7),"почасовка",IF(Q2011&gt;H2011*(1+Параметры!$B$7),"сделка","любой способ"))))</f>
        <v>почасовка</v>
      </c>
      <c r="S2011">
        <v>0</v>
      </c>
      <c r="T2011">
        <v>0</v>
      </c>
    </row>
    <row r="2012" spans="1:20" x14ac:dyDescent="0.25">
      <c r="A2012" s="13" t="s">
        <v>4054</v>
      </c>
      <c r="B2012" s="13" t="s">
        <v>4055</v>
      </c>
      <c r="C2012" s="13" t="s">
        <v>144</v>
      </c>
      <c r="D2012" s="13" t="s">
        <v>545</v>
      </c>
      <c r="E2012" s="13" t="str">
        <f>IFERROR(INDEX('Почасовка — ставки и план'!$B$5:$B$24,MATCH(D2012,'Почасовка — ставки и план'!$A$5:$A$24,0)),"Аренда техники / механизмы")</f>
        <v>Сервисный инженер ворот и автоматики</v>
      </c>
      <c r="F2012" s="14">
        <v>1800</v>
      </c>
      <c r="G2012" s="14">
        <v>2070</v>
      </c>
      <c r="H2012" s="15">
        <v>1080</v>
      </c>
      <c r="I2012" s="15">
        <f>IF(OR(H2012="",F2012=""),"",MAX(H2012,MIN(ROUND(H2012*(1+Параметры!$B$5),IF(H2012*(1+Параметры!$B$5)&gt;=1000,-1,0)),ROUND(F2012*Параметры!$B$6,IF(F2012*Параметры!$B$6&gt;=1000,-1,0)))))</f>
        <v>1240</v>
      </c>
      <c r="J2012" s="15">
        <v>1242</v>
      </c>
      <c r="K2012" s="15">
        <f>IF(OR(J2012="",G2012=""),"",MAX(J2012,MIN(ROUND(J2012*(1+Параметры!$B$5),IF(J2012*(1+Параметры!$B$5)&gt;=1000,-1,0)),ROUND(G2012*Параметры!$B$6,IF(G2012*Параметры!$B$6&gt;=1000,-1,0)))))</f>
        <v>1430</v>
      </c>
      <c r="L2012" s="16">
        <v>1</v>
      </c>
      <c r="M2012" s="17">
        <f t="shared" si="148"/>
        <v>1</v>
      </c>
      <c r="N2012" s="17">
        <f>IF(OR(L2012="",L2012=0),"",Параметры!$B$3/L2012)</f>
        <v>8</v>
      </c>
      <c r="O2012" s="15">
        <f>IF(L2012="","",IFERROR(INDEX('Почасовка — ставки и план'!$D$5:$D$24,MATCH($D2012,'Почасовка — ставки и план'!$A$5:$A$24,0)),""))</f>
        <v>1200</v>
      </c>
      <c r="P2012" s="15">
        <f>IF(L2012="","",IFERROR(INDEX('Почасовка — ставки и план'!$E$5:$E$24,MATCH($D2012,'Почасовка — ставки и план'!$A$5:$A$24,0)),""))</f>
        <v>1440</v>
      </c>
      <c r="Q2012" s="15">
        <f t="shared" si="149"/>
        <v>1200</v>
      </c>
      <c r="R2012" s="13" t="str">
        <f>IF(D2012="TEX","аренда техники — сделка/счёт",IF(OR(Q2012="",H2012="",H2012=0),"—",IF(Q2012&lt;H2012*(1-Параметры!$B$7),"почасовка",IF(Q2012&gt;H2012*(1+Параметры!$B$7),"сделка","любой способ"))))</f>
        <v>сделка</v>
      </c>
      <c r="S2012">
        <v>0</v>
      </c>
      <c r="T2012">
        <v>0</v>
      </c>
    </row>
    <row r="2013" spans="1:20" x14ac:dyDescent="0.25">
      <c r="A2013" s="13" t="s">
        <v>4056</v>
      </c>
      <c r="B2013" s="13" t="s">
        <v>4057</v>
      </c>
      <c r="C2013" s="13" t="s">
        <v>144</v>
      </c>
      <c r="D2013" s="13" t="s">
        <v>545</v>
      </c>
      <c r="E2013" s="13" t="str">
        <f>IFERROR(INDEX('Почасовка — ставки и план'!$B$5:$B$24,MATCH(D2013,'Почасовка — ставки и план'!$A$5:$A$24,0)),"Аренда техники / механизмы")</f>
        <v>Сервисный инженер ворот и автоматики</v>
      </c>
      <c r="F2013" s="14">
        <v>1500</v>
      </c>
      <c r="G2013" s="14">
        <v>1725</v>
      </c>
      <c r="H2013" s="15">
        <v>900</v>
      </c>
      <c r="I2013" s="15">
        <f>IF(OR(H2013="",F2013=""),"",MAX(H2013,MIN(ROUND(H2013*(1+Параметры!$B$5),IF(H2013*(1+Параметры!$B$5)&gt;=1000,-1,0)),ROUND(F2013*Параметры!$B$6,IF(F2013*Параметры!$B$6&gt;=1000,-1,0)))))</f>
        <v>1040</v>
      </c>
      <c r="J2013" s="15">
        <v>1035</v>
      </c>
      <c r="K2013" s="15">
        <f>IF(OR(J2013="",G2013=""),"",MAX(J2013,MIN(ROUND(J2013*(1+Параметры!$B$5),IF(J2013*(1+Параметры!$B$5)&gt;=1000,-1,0)),ROUND(G2013*Параметры!$B$6,IF(G2013*Параметры!$B$6&gt;=1000,-1,0)))))</f>
        <v>1190</v>
      </c>
      <c r="L2013" s="16">
        <v>0.6</v>
      </c>
      <c r="M2013" s="17">
        <f t="shared" si="148"/>
        <v>1.6666666666666667</v>
      </c>
      <c r="N2013" s="17">
        <f>IF(OR(L2013="",L2013=0),"",Параметры!$B$3/L2013)</f>
        <v>13.333333333333334</v>
      </c>
      <c r="O2013" s="15">
        <f>IF(L2013="","",IFERROR(INDEX('Почасовка — ставки и план'!$D$5:$D$24,MATCH($D2013,'Почасовка — ставки и план'!$A$5:$A$24,0)),""))</f>
        <v>1200</v>
      </c>
      <c r="P2013" s="15">
        <f>IF(L2013="","",IFERROR(INDEX('Почасовка — ставки и план'!$E$5:$E$24,MATCH($D2013,'Почасовка — ставки и план'!$A$5:$A$24,0)),""))</f>
        <v>1440</v>
      </c>
      <c r="Q2013" s="15">
        <f t="shared" si="149"/>
        <v>720</v>
      </c>
      <c r="R2013" s="13" t="str">
        <f>IF(D2013="TEX","аренда техники — сделка/счёт",IF(OR(Q2013="",H2013="",H2013=0),"—",IF(Q2013&lt;H2013*(1-Параметры!$B$7),"почасовка",IF(Q2013&gt;H2013*(1+Параметры!$B$7),"сделка","любой способ"))))</f>
        <v>почасовка</v>
      </c>
      <c r="S2013">
        <v>0</v>
      </c>
      <c r="T2013">
        <v>0</v>
      </c>
    </row>
    <row r="2014" spans="1:20" x14ac:dyDescent="0.25">
      <c r="A2014" s="13" t="s">
        <v>4058</v>
      </c>
      <c r="B2014" s="13" t="s">
        <v>4059</v>
      </c>
      <c r="C2014" s="13" t="s">
        <v>144</v>
      </c>
      <c r="D2014" s="13" t="s">
        <v>545</v>
      </c>
      <c r="E2014" s="13" t="str">
        <f>IFERROR(INDEX('Почасовка — ставки и план'!$B$5:$B$24,MATCH(D2014,'Почасовка — ставки и план'!$A$5:$A$24,0)),"Аренда техники / механизмы")</f>
        <v>Сервисный инженер ворот и автоматики</v>
      </c>
      <c r="F2014" s="14">
        <v>2000</v>
      </c>
      <c r="G2014" s="14">
        <v>2300</v>
      </c>
      <c r="H2014" s="15">
        <v>1200</v>
      </c>
      <c r="I2014" s="15">
        <f>IF(OR(H2014="",F2014=""),"",MAX(H2014,MIN(ROUND(H2014*(1+Параметры!$B$5),IF(H2014*(1+Параметры!$B$5)&gt;=1000,-1,0)),ROUND(F2014*Параметры!$B$6,IF(F2014*Параметры!$B$6&gt;=1000,-1,0)))))</f>
        <v>1380</v>
      </c>
      <c r="J2014" s="15">
        <v>1380</v>
      </c>
      <c r="K2014" s="15">
        <f>IF(OR(J2014="",G2014=""),"",MAX(J2014,MIN(ROUND(J2014*(1+Параметры!$B$5),IF(J2014*(1+Параметры!$B$5)&gt;=1000,-1,0)),ROUND(G2014*Параметры!$B$6,IF(G2014*Параметры!$B$6&gt;=1000,-1,0)))))</f>
        <v>1590</v>
      </c>
      <c r="L2014" s="16">
        <v>1</v>
      </c>
      <c r="M2014" s="17">
        <f t="shared" si="148"/>
        <v>1</v>
      </c>
      <c r="N2014" s="17">
        <f>IF(OR(L2014="",L2014=0),"",Параметры!$B$3/L2014)</f>
        <v>8</v>
      </c>
      <c r="O2014" s="15">
        <f>IF(L2014="","",IFERROR(INDEX('Почасовка — ставки и план'!$D$5:$D$24,MATCH($D2014,'Почасовка — ставки и план'!$A$5:$A$24,0)),""))</f>
        <v>1200</v>
      </c>
      <c r="P2014" s="15">
        <f>IF(L2014="","",IFERROR(INDEX('Почасовка — ставки и план'!$E$5:$E$24,MATCH($D2014,'Почасовка — ставки и план'!$A$5:$A$24,0)),""))</f>
        <v>1440</v>
      </c>
      <c r="Q2014" s="15">
        <f t="shared" si="149"/>
        <v>1200</v>
      </c>
      <c r="R2014" s="13" t="str">
        <f>IF(D2014="TEX","аренда техники — сделка/счёт",IF(OR(Q2014="",H2014="",H2014=0),"—",IF(Q2014&lt;H2014*(1-Параметры!$B$7),"почасовка",IF(Q2014&gt;H2014*(1+Параметры!$B$7),"сделка","любой способ"))))</f>
        <v>любой способ</v>
      </c>
      <c r="S2014">
        <v>0</v>
      </c>
      <c r="T2014">
        <v>0</v>
      </c>
    </row>
    <row r="2015" spans="1:20" x14ac:dyDescent="0.25">
      <c r="A2015" s="13" t="s">
        <v>4060</v>
      </c>
      <c r="B2015" s="13" t="s">
        <v>4061</v>
      </c>
      <c r="C2015" s="13" t="s">
        <v>144</v>
      </c>
      <c r="D2015" s="13" t="s">
        <v>64</v>
      </c>
      <c r="E2015" s="13" t="str">
        <f>IFERROR(INDEX('Почасовка — ставки и план'!$B$5:$B$24,MATCH(D2015,'Почасовка — ставки и план'!$A$5:$A$24,0)),"Аренда техники / механизмы")</f>
        <v>Сварщик / монтажник МК</v>
      </c>
      <c r="F2015" s="14">
        <v>2500</v>
      </c>
      <c r="G2015" s="14">
        <v>2875</v>
      </c>
      <c r="H2015" s="15">
        <v>1550</v>
      </c>
      <c r="I2015" s="15">
        <f>IF(OR(H2015="",F2015=""),"",MAX(H2015,MIN(ROUND(H2015*(1+Параметры!$B$5),IF(H2015*(1+Параметры!$B$5)&gt;=1000,-1,0)),ROUND(F2015*Параметры!$B$6,IF(F2015*Параметры!$B$6&gt;=1000,-1,0)))))</f>
        <v>1780</v>
      </c>
      <c r="J2015" s="15">
        <v>1782</v>
      </c>
      <c r="K2015" s="15">
        <f>IF(OR(J2015="",G2015=""),"",MAX(J2015,MIN(ROUND(J2015*(1+Параметры!$B$5),IF(J2015*(1+Параметры!$B$5)&gt;=1000,-1,0)),ROUND(G2015*Параметры!$B$6,IF(G2015*Параметры!$B$6&gt;=1000,-1,0)))))</f>
        <v>2050</v>
      </c>
      <c r="L2015" s="16">
        <v>1.5</v>
      </c>
      <c r="M2015" s="17">
        <f t="shared" si="148"/>
        <v>0.66666666666666663</v>
      </c>
      <c r="N2015" s="17">
        <f>IF(OR(L2015="",L2015=0),"",Параметры!$B$3/L2015)</f>
        <v>5.333333333333333</v>
      </c>
      <c r="O2015" s="15">
        <f>IF(L2015="","",IFERROR(INDEX('Почасовка — ставки и план'!$D$5:$D$24,MATCH($D2015,'Почасовка — ставки и план'!$A$5:$A$24,0)),""))</f>
        <v>900</v>
      </c>
      <c r="P2015" s="15">
        <f>IF(L2015="","",IFERROR(INDEX('Почасовка — ставки и план'!$E$5:$E$24,MATCH($D2015,'Почасовка — ставки и план'!$A$5:$A$24,0)),""))</f>
        <v>1080</v>
      </c>
      <c r="Q2015" s="15">
        <f t="shared" si="149"/>
        <v>1350</v>
      </c>
      <c r="R2015" s="13" t="str">
        <f>IF(D2015="TEX","аренда техники — сделка/счёт",IF(OR(Q2015="",H2015="",H2015=0),"—",IF(Q2015&lt;H2015*(1-Параметры!$B$7),"почасовка",IF(Q2015&gt;H2015*(1+Параметры!$B$7),"сделка","любой способ"))))</f>
        <v>почасовка</v>
      </c>
      <c r="S2015">
        <v>0</v>
      </c>
      <c r="T2015">
        <v>0</v>
      </c>
    </row>
    <row r="2016" spans="1:20" x14ac:dyDescent="0.25">
      <c r="A2016" s="13" t="s">
        <v>4062</v>
      </c>
      <c r="B2016" s="13" t="s">
        <v>4063</v>
      </c>
      <c r="C2016" s="13" t="s">
        <v>144</v>
      </c>
      <c r="D2016" s="13" t="s">
        <v>545</v>
      </c>
      <c r="E2016" s="13" t="str">
        <f>IFERROR(INDEX('Почасовка — ставки и план'!$B$5:$B$24,MATCH(D2016,'Почасовка — ставки и план'!$A$5:$A$24,0)),"Аренда техники / механизмы")</f>
        <v>Сервисный инженер ворот и автоматики</v>
      </c>
      <c r="F2016" s="14">
        <v>3500</v>
      </c>
      <c r="G2016" s="14">
        <v>4025</v>
      </c>
      <c r="H2016" s="15">
        <v>2100</v>
      </c>
      <c r="I2016" s="15">
        <f>IF(OR(H2016="",F2016=""),"",MAX(H2016,MIN(ROUND(H2016*(1+Параметры!$B$5),IF(H2016*(1+Параметры!$B$5)&gt;=1000,-1,0)),ROUND(F2016*Параметры!$B$6,IF(F2016*Параметры!$B$6&gt;=1000,-1,0)))))</f>
        <v>2420</v>
      </c>
      <c r="J2016" s="15">
        <v>2415</v>
      </c>
      <c r="K2016" s="15">
        <f>IF(OR(J2016="",G2016=""),"",MAX(J2016,MIN(ROUND(J2016*(1+Параметры!$B$5),IF(J2016*(1+Параметры!$B$5)&gt;=1000,-1,0)),ROUND(G2016*Параметры!$B$6,IF(G2016*Параметры!$B$6&gt;=1000,-1,0)))))</f>
        <v>2780</v>
      </c>
      <c r="L2016" s="16">
        <v>2</v>
      </c>
      <c r="M2016" s="17">
        <f t="shared" si="148"/>
        <v>0.5</v>
      </c>
      <c r="N2016" s="17">
        <f>IF(OR(L2016="",L2016=0),"",Параметры!$B$3/L2016)</f>
        <v>4</v>
      </c>
      <c r="O2016" s="15">
        <f>IF(L2016="","",IFERROR(INDEX('Почасовка — ставки и план'!$D$5:$D$24,MATCH($D2016,'Почасовка — ставки и план'!$A$5:$A$24,0)),""))</f>
        <v>1200</v>
      </c>
      <c r="P2016" s="15">
        <f>IF(L2016="","",IFERROR(INDEX('Почасовка — ставки и план'!$E$5:$E$24,MATCH($D2016,'Почасовка — ставки и план'!$A$5:$A$24,0)),""))</f>
        <v>1440</v>
      </c>
      <c r="Q2016" s="15">
        <f t="shared" si="149"/>
        <v>2400</v>
      </c>
      <c r="R2016" s="13" t="str">
        <f>IF(D2016="TEX","аренда техники — сделка/счёт",IF(OR(Q2016="",H2016="",H2016=0),"—",IF(Q2016&lt;H2016*(1-Параметры!$B$7),"почасовка",IF(Q2016&gt;H2016*(1+Параметры!$B$7),"сделка","любой способ"))))</f>
        <v>сделка</v>
      </c>
      <c r="S2016">
        <v>0</v>
      </c>
      <c r="T2016">
        <v>0</v>
      </c>
    </row>
    <row r="2017" spans="1:20" x14ac:dyDescent="0.25">
      <c r="A2017" s="13" t="s">
        <v>4064</v>
      </c>
      <c r="B2017" s="13" t="s">
        <v>4065</v>
      </c>
      <c r="C2017" s="13" t="s">
        <v>144</v>
      </c>
      <c r="D2017" s="13" t="s">
        <v>545</v>
      </c>
      <c r="E2017" s="13" t="str">
        <f>IFERROR(INDEX('Почасовка — ставки и план'!$B$5:$B$24,MATCH(D2017,'Почасовка — ставки и план'!$A$5:$A$24,0)),"Аренда техники / механизмы")</f>
        <v>Сервисный инженер ворот и автоматики</v>
      </c>
      <c r="F2017" s="14">
        <v>8000</v>
      </c>
      <c r="G2017" s="14">
        <v>9600</v>
      </c>
      <c r="H2017" s="15">
        <v>4800</v>
      </c>
      <c r="I2017" s="15">
        <f>IF(OR(H2017="",F2017=""),"",MAX(H2017,MIN(ROUND(H2017*(1+Параметры!$B$5),IF(H2017*(1+Параметры!$B$5)&gt;=1000,-1,0)),ROUND(F2017*Параметры!$B$6,IF(F2017*Параметры!$B$6&gt;=1000,-1,0)))))</f>
        <v>5520</v>
      </c>
      <c r="J2017" s="15">
        <v>5520</v>
      </c>
      <c r="K2017" s="15">
        <f>IF(OR(J2017="",G2017=""),"",MAX(J2017,MIN(ROUND(J2017*(1+Параметры!$B$5),IF(J2017*(1+Параметры!$B$5)&gt;=1000,-1,0)),ROUND(G2017*Параметры!$B$6,IF(G2017*Параметры!$B$6&gt;=1000,-1,0)))))</f>
        <v>6350</v>
      </c>
      <c r="L2017" s="16">
        <v>5</v>
      </c>
      <c r="M2017" s="17">
        <f t="shared" si="148"/>
        <v>0.2</v>
      </c>
      <c r="N2017" s="17">
        <f>IF(OR(L2017="",L2017=0),"",Параметры!$B$3/L2017)</f>
        <v>1.6</v>
      </c>
      <c r="O2017" s="15">
        <f>IF(L2017="","",IFERROR(INDEX('Почасовка — ставки и план'!$D$5:$D$24,MATCH($D2017,'Почасовка — ставки и план'!$A$5:$A$24,0)),""))</f>
        <v>1200</v>
      </c>
      <c r="P2017" s="15">
        <f>IF(L2017="","",IFERROR(INDEX('Почасовка — ставки и план'!$E$5:$E$24,MATCH($D2017,'Почасовка — ставки и план'!$A$5:$A$24,0)),""))</f>
        <v>1440</v>
      </c>
      <c r="Q2017" s="15">
        <f t="shared" si="149"/>
        <v>6000</v>
      </c>
      <c r="R2017" s="13" t="str">
        <f>IF(D2017="TEX","аренда техники — сделка/счёт",IF(OR(Q2017="",H2017="",H2017=0),"—",IF(Q2017&lt;H2017*(1-Параметры!$B$7),"почасовка",IF(Q2017&gt;H2017*(1+Параметры!$B$7),"сделка","любой способ"))))</f>
        <v>сделка</v>
      </c>
      <c r="S2017">
        <v>0</v>
      </c>
      <c r="T2017">
        <v>4.3478260869565188E-2</v>
      </c>
    </row>
    <row r="2018" spans="1:20" x14ac:dyDescent="0.25">
      <c r="A2018" s="13" t="s">
        <v>4066</v>
      </c>
      <c r="B2018" s="13" t="s">
        <v>4067</v>
      </c>
      <c r="C2018" s="13" t="s">
        <v>144</v>
      </c>
      <c r="D2018" s="13" t="s">
        <v>545</v>
      </c>
      <c r="E2018" s="13" t="str">
        <f>IFERROR(INDEX('Почасовка — ставки и план'!$B$5:$B$24,MATCH(D2018,'Почасовка — ставки и план'!$A$5:$A$24,0)),"Аренда техники / механизмы")</f>
        <v>Сервисный инженер ворот и автоматики</v>
      </c>
      <c r="F2018" s="14">
        <v>1000</v>
      </c>
      <c r="G2018" s="14">
        <v>1152</v>
      </c>
      <c r="H2018" s="15">
        <v>600</v>
      </c>
      <c r="I2018" s="15">
        <f>IF(OR(H2018="",F2018=""),"",MAX(H2018,MIN(ROUND(H2018*(1+Параметры!$B$5),IF(H2018*(1+Параметры!$B$5)&gt;=1000,-1,0)),ROUND(F2018*Параметры!$B$6,IF(F2018*Параметры!$B$6&gt;=1000,-1,0)))))</f>
        <v>690</v>
      </c>
      <c r="J2018" s="15">
        <v>690</v>
      </c>
      <c r="K2018" s="15">
        <f>IF(OR(J2018="",G2018=""),"",MAX(J2018,MIN(ROUND(J2018*(1+Параметры!$B$5),IF(J2018*(1+Параметры!$B$5)&gt;=1000,-1,0)),ROUND(G2018*Параметры!$B$6,IF(G2018*Параметры!$B$6&gt;=1000,-1,0)))))</f>
        <v>794</v>
      </c>
      <c r="L2018" s="16">
        <v>0.6</v>
      </c>
      <c r="M2018" s="17">
        <f t="shared" si="148"/>
        <v>1.6666666666666667</v>
      </c>
      <c r="N2018" s="17">
        <f>IF(OR(L2018="",L2018=0),"",Параметры!$B$3/L2018)</f>
        <v>13.333333333333334</v>
      </c>
      <c r="O2018" s="15">
        <f>IF(L2018="","",IFERROR(INDEX('Почасовка — ставки и план'!$D$5:$D$24,MATCH($D2018,'Почасовка — ставки и план'!$A$5:$A$24,0)),""))</f>
        <v>1200</v>
      </c>
      <c r="P2018" s="15">
        <f>IF(L2018="","",IFERROR(INDEX('Почасовка — ставки и план'!$E$5:$E$24,MATCH($D2018,'Почасовка — ставки и план'!$A$5:$A$24,0)),""))</f>
        <v>1440</v>
      </c>
      <c r="Q2018" s="15">
        <f t="shared" si="149"/>
        <v>720</v>
      </c>
      <c r="R2018" s="13" t="str">
        <f>IF(D2018="TEX","аренда техники — сделка/счёт",IF(OR(Q2018="",H2018="",H2018=0),"—",IF(Q2018&lt;H2018*(1-Параметры!$B$7),"почасовка",IF(Q2018&gt;H2018*(1+Параметры!$B$7),"сделка","любой способ"))))</f>
        <v>сделка</v>
      </c>
      <c r="S2018">
        <v>0</v>
      </c>
      <c r="T2018">
        <v>1.739130434782687E-3</v>
      </c>
    </row>
    <row r="2019" spans="1:20" x14ac:dyDescent="0.25">
      <c r="A2019" s="13" t="s">
        <v>4068</v>
      </c>
      <c r="B2019" s="13" t="s">
        <v>4069</v>
      </c>
      <c r="C2019" s="13" t="s">
        <v>144</v>
      </c>
      <c r="D2019" s="13" t="s">
        <v>545</v>
      </c>
      <c r="E2019" s="13" t="str">
        <f>IFERROR(INDEX('Почасовка — ставки и план'!$B$5:$B$24,MATCH(D2019,'Почасовка — ставки и план'!$A$5:$A$24,0)),"Аренда техники / механизмы")</f>
        <v>Сервисный инженер ворот и автоматики</v>
      </c>
      <c r="F2019" s="14">
        <v>3000</v>
      </c>
      <c r="G2019" s="14">
        <v>3450</v>
      </c>
      <c r="H2019" s="15">
        <v>1800</v>
      </c>
      <c r="I2019" s="15">
        <f>IF(OR(H2019="",F2019=""),"",MAX(H2019,MIN(ROUND(H2019*(1+Параметры!$B$5),IF(H2019*(1+Параметры!$B$5)&gt;=1000,-1,0)),ROUND(F2019*Параметры!$B$6,IF(F2019*Параметры!$B$6&gt;=1000,-1,0)))))</f>
        <v>2070</v>
      </c>
      <c r="J2019" s="15">
        <v>2070</v>
      </c>
      <c r="K2019" s="15">
        <f>IF(OR(J2019="",G2019=""),"",MAX(J2019,MIN(ROUND(J2019*(1+Параметры!$B$5),IF(J2019*(1+Параметры!$B$5)&gt;=1000,-1,0)),ROUND(G2019*Параметры!$B$6,IF(G2019*Параметры!$B$6&gt;=1000,-1,0)))))</f>
        <v>2380</v>
      </c>
      <c r="L2019" s="16">
        <v>1.5</v>
      </c>
      <c r="M2019" s="17">
        <f t="shared" si="148"/>
        <v>0.66666666666666663</v>
      </c>
      <c r="N2019" s="17">
        <f>IF(OR(L2019="",L2019=0),"",Параметры!$B$3/L2019)</f>
        <v>5.333333333333333</v>
      </c>
      <c r="O2019" s="15">
        <f>IF(L2019="","",IFERROR(INDEX('Почасовка — ставки и план'!$D$5:$D$24,MATCH($D2019,'Почасовка — ставки и план'!$A$5:$A$24,0)),""))</f>
        <v>1200</v>
      </c>
      <c r="P2019" s="15">
        <f>IF(L2019="","",IFERROR(INDEX('Почасовка — ставки и план'!$E$5:$E$24,MATCH($D2019,'Почасовка — ставки и план'!$A$5:$A$24,0)),""))</f>
        <v>1440</v>
      </c>
      <c r="Q2019" s="15">
        <f t="shared" si="149"/>
        <v>1800</v>
      </c>
      <c r="R2019" s="13" t="str">
        <f>IF(D2019="TEX","аренда техники — сделка/счёт",IF(OR(Q2019="",H2019="",H2019=0),"—",IF(Q2019&lt;H2019*(1-Параметры!$B$7),"почасовка",IF(Q2019&gt;H2019*(1+Параметры!$B$7),"сделка","любой способ"))))</f>
        <v>любой способ</v>
      </c>
      <c r="S2019">
        <v>0</v>
      </c>
      <c r="T2019">
        <v>0</v>
      </c>
    </row>
    <row r="2020" spans="1:20" x14ac:dyDescent="0.25">
      <c r="A2020" s="13" t="s">
        <v>4070</v>
      </c>
      <c r="B2020" s="13" t="s">
        <v>4071</v>
      </c>
      <c r="C2020" s="13" t="s">
        <v>144</v>
      </c>
      <c r="D2020" s="13" t="s">
        <v>545</v>
      </c>
      <c r="E2020" s="13" t="str">
        <f>IFERROR(INDEX('Почасовка — ставки и план'!$B$5:$B$24,MATCH(D2020,'Почасовка — ставки и план'!$A$5:$A$24,0)),"Аренда техники / механизмы")</f>
        <v>Сервисный инженер ворот и автоматики</v>
      </c>
      <c r="F2020" s="14">
        <v>3000</v>
      </c>
      <c r="G2020" s="14">
        <v>3450</v>
      </c>
      <c r="H2020" s="15">
        <v>1800</v>
      </c>
      <c r="I2020" s="15">
        <f>IF(OR(H2020="",F2020=""),"",MAX(H2020,MIN(ROUND(H2020*(1+Параметры!$B$5),IF(H2020*(1+Параметры!$B$5)&gt;=1000,-1,0)),ROUND(F2020*Параметры!$B$6,IF(F2020*Параметры!$B$6&gt;=1000,-1,0)))))</f>
        <v>2070</v>
      </c>
      <c r="J2020" s="15">
        <v>2070</v>
      </c>
      <c r="K2020" s="15">
        <f>IF(OR(J2020="",G2020=""),"",MAX(J2020,MIN(ROUND(J2020*(1+Параметры!$B$5),IF(J2020*(1+Параметры!$B$5)&gt;=1000,-1,0)),ROUND(G2020*Параметры!$B$6,IF(G2020*Параметры!$B$6&gt;=1000,-1,0)))))</f>
        <v>2380</v>
      </c>
      <c r="L2020" s="16">
        <v>1.5</v>
      </c>
      <c r="M2020" s="17">
        <f t="shared" si="148"/>
        <v>0.66666666666666663</v>
      </c>
      <c r="N2020" s="17">
        <f>IF(OR(L2020="",L2020=0),"",Параметры!$B$3/L2020)</f>
        <v>5.333333333333333</v>
      </c>
      <c r="O2020" s="15">
        <f>IF(L2020="","",IFERROR(INDEX('Почасовка — ставки и план'!$D$5:$D$24,MATCH($D2020,'Почасовка — ставки и план'!$A$5:$A$24,0)),""))</f>
        <v>1200</v>
      </c>
      <c r="P2020" s="15">
        <f>IF(L2020="","",IFERROR(INDEX('Почасовка — ставки и план'!$E$5:$E$24,MATCH($D2020,'Почасовка — ставки и план'!$A$5:$A$24,0)),""))</f>
        <v>1440</v>
      </c>
      <c r="Q2020" s="15">
        <f t="shared" si="149"/>
        <v>1800</v>
      </c>
      <c r="R2020" s="13" t="str">
        <f>IF(D2020="TEX","аренда техники — сделка/счёт",IF(OR(Q2020="",H2020="",H2020=0),"—",IF(Q2020&lt;H2020*(1-Параметры!$B$7),"почасовка",IF(Q2020&gt;H2020*(1+Параметры!$B$7),"сделка","любой способ"))))</f>
        <v>любой способ</v>
      </c>
      <c r="S2020">
        <v>0</v>
      </c>
      <c r="T2020">
        <v>0</v>
      </c>
    </row>
    <row r="2021" spans="1:20" x14ac:dyDescent="0.25">
      <c r="A2021" s="13" t="s">
        <v>4072</v>
      </c>
      <c r="B2021" s="13" t="s">
        <v>4073</v>
      </c>
      <c r="C2021" s="13" t="s">
        <v>144</v>
      </c>
      <c r="D2021" s="13" t="s">
        <v>545</v>
      </c>
      <c r="E2021" s="13" t="str">
        <f>IFERROR(INDEX('Почасовка — ставки и план'!$B$5:$B$24,MATCH(D2021,'Почасовка — ставки и план'!$A$5:$A$24,0)),"Аренда техники / механизмы")</f>
        <v>Сервисный инженер ворот и автоматики</v>
      </c>
      <c r="F2021" s="14">
        <v>2000</v>
      </c>
      <c r="G2021" s="14">
        <v>2304</v>
      </c>
      <c r="H2021" s="15">
        <v>1200</v>
      </c>
      <c r="I2021" s="15">
        <f>IF(OR(H2021="",F2021=""),"",MAX(H2021,MIN(ROUND(H2021*(1+Параметры!$B$5),IF(H2021*(1+Параметры!$B$5)&gt;=1000,-1,0)),ROUND(F2021*Параметры!$B$6,IF(F2021*Параметры!$B$6&gt;=1000,-1,0)))))</f>
        <v>1380</v>
      </c>
      <c r="J2021" s="15">
        <v>1380</v>
      </c>
      <c r="K2021" s="15">
        <f>IF(OR(J2021="",G2021=""),"",MAX(J2021,MIN(ROUND(J2021*(1+Параметры!$B$5),IF(J2021*(1+Параметры!$B$5)&gt;=1000,-1,0)),ROUND(G2021*Параметры!$B$6,IF(G2021*Параметры!$B$6&gt;=1000,-1,0)))))</f>
        <v>1590</v>
      </c>
      <c r="L2021" s="16">
        <v>1.2</v>
      </c>
      <c r="M2021" s="17">
        <f t="shared" si="148"/>
        <v>0.83333333333333337</v>
      </c>
      <c r="N2021" s="17">
        <f>IF(OR(L2021="",L2021=0),"",Параметры!$B$3/L2021)</f>
        <v>6.666666666666667</v>
      </c>
      <c r="O2021" s="15">
        <f>IF(L2021="","",IFERROR(INDEX('Почасовка — ставки и план'!$D$5:$D$24,MATCH($D2021,'Почасовка — ставки и план'!$A$5:$A$24,0)),""))</f>
        <v>1200</v>
      </c>
      <c r="P2021" s="15">
        <f>IF(L2021="","",IFERROR(INDEX('Почасовка — ставки и план'!$E$5:$E$24,MATCH($D2021,'Почасовка — ставки и план'!$A$5:$A$24,0)),""))</f>
        <v>1440</v>
      </c>
      <c r="Q2021" s="15">
        <f t="shared" si="149"/>
        <v>1440</v>
      </c>
      <c r="R2021" s="13" t="str">
        <f>IF(D2021="TEX","аренда техники — сделка/счёт",IF(OR(Q2021="",H2021="",H2021=0),"—",IF(Q2021&lt;H2021*(1-Параметры!$B$7),"почасовка",IF(Q2021&gt;H2021*(1+Параметры!$B$7),"сделка","любой способ"))))</f>
        <v>сделка</v>
      </c>
      <c r="S2021">
        <v>0</v>
      </c>
      <c r="T2021">
        <v>1.739130434782687E-3</v>
      </c>
    </row>
    <row r="2022" spans="1:20" x14ac:dyDescent="0.25">
      <c r="A2022" s="13" t="s">
        <v>4074</v>
      </c>
      <c r="B2022" s="13" t="s">
        <v>4075</v>
      </c>
      <c r="C2022" s="13" t="s">
        <v>144</v>
      </c>
      <c r="D2022" s="13" t="s">
        <v>545</v>
      </c>
      <c r="E2022" s="13" t="str">
        <f>IFERROR(INDEX('Почасовка — ставки и план'!$B$5:$B$24,MATCH(D2022,'Почасовка — ставки и план'!$A$5:$A$24,0)),"Аренда техники / механизмы")</f>
        <v>Сервисный инженер ворот и автоматики</v>
      </c>
      <c r="F2022" s="14">
        <v>2000</v>
      </c>
      <c r="G2022" s="14">
        <v>2300</v>
      </c>
      <c r="H2022" s="15">
        <v>1200</v>
      </c>
      <c r="I2022" s="15">
        <f>IF(OR(H2022="",F2022=""),"",MAX(H2022,MIN(ROUND(H2022*(1+Параметры!$B$5),IF(H2022*(1+Параметры!$B$5)&gt;=1000,-1,0)),ROUND(F2022*Параметры!$B$6,IF(F2022*Параметры!$B$6&gt;=1000,-1,0)))))</f>
        <v>1380</v>
      </c>
      <c r="J2022" s="15">
        <v>1380</v>
      </c>
      <c r="K2022" s="15">
        <f>IF(OR(J2022="",G2022=""),"",MAX(J2022,MIN(ROUND(J2022*(1+Параметры!$B$5),IF(J2022*(1+Параметры!$B$5)&gt;=1000,-1,0)),ROUND(G2022*Параметры!$B$6,IF(G2022*Параметры!$B$6&gt;=1000,-1,0)))))</f>
        <v>1590</v>
      </c>
      <c r="L2022" s="16">
        <v>1</v>
      </c>
      <c r="M2022" s="17">
        <f t="shared" si="148"/>
        <v>1</v>
      </c>
      <c r="N2022" s="17">
        <f>IF(OR(L2022="",L2022=0),"",Параметры!$B$3/L2022)</f>
        <v>8</v>
      </c>
      <c r="O2022" s="15">
        <f>IF(L2022="","",IFERROR(INDEX('Почасовка — ставки и план'!$D$5:$D$24,MATCH($D2022,'Почасовка — ставки и план'!$A$5:$A$24,0)),""))</f>
        <v>1200</v>
      </c>
      <c r="P2022" s="15">
        <f>IF(L2022="","",IFERROR(INDEX('Почасовка — ставки и план'!$E$5:$E$24,MATCH($D2022,'Почасовка — ставки и план'!$A$5:$A$24,0)),""))</f>
        <v>1440</v>
      </c>
      <c r="Q2022" s="15">
        <f t="shared" si="149"/>
        <v>1200</v>
      </c>
      <c r="R2022" s="13" t="str">
        <f>IF(D2022="TEX","аренда техники — сделка/счёт",IF(OR(Q2022="",H2022="",H2022=0),"—",IF(Q2022&lt;H2022*(1-Параметры!$B$7),"почасовка",IF(Q2022&gt;H2022*(1+Параметры!$B$7),"сделка","любой способ"))))</f>
        <v>любой способ</v>
      </c>
      <c r="S2022">
        <v>0</v>
      </c>
      <c r="T2022">
        <v>0</v>
      </c>
    </row>
    <row r="2023" spans="1:20" x14ac:dyDescent="0.25">
      <c r="A2023" s="13" t="s">
        <v>4076</v>
      </c>
      <c r="B2023" s="13" t="s">
        <v>4077</v>
      </c>
      <c r="C2023" s="13" t="s">
        <v>144</v>
      </c>
      <c r="D2023" s="13" t="s">
        <v>545</v>
      </c>
      <c r="E2023" s="13" t="str">
        <f>IFERROR(INDEX('Почасовка — ставки и план'!$B$5:$B$24,MATCH(D2023,'Почасовка — ставки и план'!$A$5:$A$24,0)),"Аренда техники / механизмы")</f>
        <v>Сервисный инженер ворот и автоматики</v>
      </c>
      <c r="F2023" s="14">
        <v>2000</v>
      </c>
      <c r="G2023" s="14">
        <v>2300</v>
      </c>
      <c r="H2023" s="15">
        <v>1200</v>
      </c>
      <c r="I2023" s="15">
        <f>IF(OR(H2023="",F2023=""),"",MAX(H2023,MIN(ROUND(H2023*(1+Параметры!$B$5),IF(H2023*(1+Параметры!$B$5)&gt;=1000,-1,0)),ROUND(F2023*Параметры!$B$6,IF(F2023*Параметры!$B$6&gt;=1000,-1,0)))))</f>
        <v>1380</v>
      </c>
      <c r="J2023" s="15">
        <v>1380</v>
      </c>
      <c r="K2023" s="15">
        <f>IF(OR(J2023="",G2023=""),"",MAX(J2023,MIN(ROUND(J2023*(1+Параметры!$B$5),IF(J2023*(1+Параметры!$B$5)&gt;=1000,-1,0)),ROUND(G2023*Параметры!$B$6,IF(G2023*Параметры!$B$6&gt;=1000,-1,0)))))</f>
        <v>1590</v>
      </c>
      <c r="L2023" s="16">
        <v>1</v>
      </c>
      <c r="M2023" s="17">
        <f t="shared" si="148"/>
        <v>1</v>
      </c>
      <c r="N2023" s="17">
        <f>IF(OR(L2023="",L2023=0),"",Параметры!$B$3/L2023)</f>
        <v>8</v>
      </c>
      <c r="O2023" s="15">
        <f>IF(L2023="","",IFERROR(INDEX('Почасовка — ставки и план'!$D$5:$D$24,MATCH($D2023,'Почасовка — ставки и план'!$A$5:$A$24,0)),""))</f>
        <v>1200</v>
      </c>
      <c r="P2023" s="15">
        <f>IF(L2023="","",IFERROR(INDEX('Почасовка — ставки и план'!$E$5:$E$24,MATCH($D2023,'Почасовка — ставки и план'!$A$5:$A$24,0)),""))</f>
        <v>1440</v>
      </c>
      <c r="Q2023" s="15">
        <f t="shared" si="149"/>
        <v>1200</v>
      </c>
      <c r="R2023" s="13" t="str">
        <f>IF(D2023="TEX","аренда техники — сделка/счёт",IF(OR(Q2023="",H2023="",H2023=0),"—",IF(Q2023&lt;H2023*(1-Параметры!$B$7),"почасовка",IF(Q2023&gt;H2023*(1+Параметры!$B$7),"сделка","любой способ"))))</f>
        <v>любой способ</v>
      </c>
      <c r="S2023">
        <v>0</v>
      </c>
      <c r="T2023">
        <v>0</v>
      </c>
    </row>
    <row r="2024" spans="1:20" x14ac:dyDescent="0.25">
      <c r="A2024" s="13" t="s">
        <v>4078</v>
      </c>
      <c r="B2024" s="13" t="s">
        <v>4079</v>
      </c>
      <c r="C2024" s="13" t="s">
        <v>144</v>
      </c>
      <c r="D2024" s="13" t="s">
        <v>545</v>
      </c>
      <c r="E2024" s="13" t="str">
        <f>IFERROR(INDEX('Почасовка — ставки и план'!$B$5:$B$24,MATCH(D2024,'Почасовка — ставки и план'!$A$5:$A$24,0)),"Аренда техники / механизмы")</f>
        <v>Сервисный инженер ворот и автоматики</v>
      </c>
      <c r="F2024" s="14">
        <v>1800</v>
      </c>
      <c r="G2024" s="14">
        <v>2070</v>
      </c>
      <c r="H2024" s="15">
        <v>1080</v>
      </c>
      <c r="I2024" s="15">
        <f>IF(OR(H2024="",F2024=""),"",MAX(H2024,MIN(ROUND(H2024*(1+Параметры!$B$5),IF(H2024*(1+Параметры!$B$5)&gt;=1000,-1,0)),ROUND(F2024*Параметры!$B$6,IF(F2024*Параметры!$B$6&gt;=1000,-1,0)))))</f>
        <v>1240</v>
      </c>
      <c r="J2024" s="15">
        <v>1242</v>
      </c>
      <c r="K2024" s="15">
        <f>IF(OR(J2024="",G2024=""),"",MAX(J2024,MIN(ROUND(J2024*(1+Параметры!$B$5),IF(J2024*(1+Параметры!$B$5)&gt;=1000,-1,0)),ROUND(G2024*Параметры!$B$6,IF(G2024*Параметры!$B$6&gt;=1000,-1,0)))))</f>
        <v>1430</v>
      </c>
      <c r="L2024" s="16">
        <v>1</v>
      </c>
      <c r="M2024" s="17">
        <f t="shared" si="148"/>
        <v>1</v>
      </c>
      <c r="N2024" s="17">
        <f>IF(OR(L2024="",L2024=0),"",Параметры!$B$3/L2024)</f>
        <v>8</v>
      </c>
      <c r="O2024" s="15">
        <f>IF(L2024="","",IFERROR(INDEX('Почасовка — ставки и план'!$D$5:$D$24,MATCH($D2024,'Почасовка — ставки и план'!$A$5:$A$24,0)),""))</f>
        <v>1200</v>
      </c>
      <c r="P2024" s="15">
        <f>IF(L2024="","",IFERROR(INDEX('Почасовка — ставки и план'!$E$5:$E$24,MATCH($D2024,'Почасовка — ставки и план'!$A$5:$A$24,0)),""))</f>
        <v>1440</v>
      </c>
      <c r="Q2024" s="15">
        <f t="shared" si="149"/>
        <v>1200</v>
      </c>
      <c r="R2024" s="13" t="str">
        <f>IF(D2024="TEX","аренда техники — сделка/счёт",IF(OR(Q2024="",H2024="",H2024=0),"—",IF(Q2024&lt;H2024*(1-Параметры!$B$7),"почасовка",IF(Q2024&gt;H2024*(1+Параметры!$B$7),"сделка","любой способ"))))</f>
        <v>сделка</v>
      </c>
      <c r="S2024">
        <v>0</v>
      </c>
      <c r="T2024">
        <v>0</v>
      </c>
    </row>
    <row r="2025" spans="1:20" x14ac:dyDescent="0.25">
      <c r="A2025" s="13" t="s">
        <v>4080</v>
      </c>
      <c r="B2025" s="13" t="s">
        <v>4081</v>
      </c>
      <c r="C2025" s="13" t="s">
        <v>144</v>
      </c>
      <c r="D2025" s="13" t="s">
        <v>545</v>
      </c>
      <c r="E2025" s="13" t="str">
        <f>IFERROR(INDEX('Почасовка — ставки и план'!$B$5:$B$24,MATCH(D2025,'Почасовка — ставки и план'!$A$5:$A$24,0)),"Аренда техники / механизмы")</f>
        <v>Сервисный инженер ворот и автоматики</v>
      </c>
      <c r="F2025" s="14">
        <v>1800</v>
      </c>
      <c r="G2025" s="14">
        <v>2070</v>
      </c>
      <c r="H2025" s="15">
        <v>1080</v>
      </c>
      <c r="I2025" s="15">
        <f>IF(OR(H2025="",F2025=""),"",MAX(H2025,MIN(ROUND(H2025*(1+Параметры!$B$5),IF(H2025*(1+Параметры!$B$5)&gt;=1000,-1,0)),ROUND(F2025*Параметры!$B$6,IF(F2025*Параметры!$B$6&gt;=1000,-1,0)))))</f>
        <v>1240</v>
      </c>
      <c r="J2025" s="15">
        <v>1242</v>
      </c>
      <c r="K2025" s="15">
        <f>IF(OR(J2025="",G2025=""),"",MAX(J2025,MIN(ROUND(J2025*(1+Параметры!$B$5),IF(J2025*(1+Параметры!$B$5)&gt;=1000,-1,0)),ROUND(G2025*Параметры!$B$6,IF(G2025*Параметры!$B$6&gt;=1000,-1,0)))))</f>
        <v>1430</v>
      </c>
      <c r="L2025" s="16">
        <v>1</v>
      </c>
      <c r="M2025" s="17">
        <f t="shared" si="148"/>
        <v>1</v>
      </c>
      <c r="N2025" s="17">
        <f>IF(OR(L2025="",L2025=0),"",Параметры!$B$3/L2025)</f>
        <v>8</v>
      </c>
      <c r="O2025" s="15">
        <f>IF(L2025="","",IFERROR(INDEX('Почасовка — ставки и план'!$D$5:$D$24,MATCH($D2025,'Почасовка — ставки и план'!$A$5:$A$24,0)),""))</f>
        <v>1200</v>
      </c>
      <c r="P2025" s="15">
        <f>IF(L2025="","",IFERROR(INDEX('Почасовка — ставки и план'!$E$5:$E$24,MATCH($D2025,'Почасовка — ставки и план'!$A$5:$A$24,0)),""))</f>
        <v>1440</v>
      </c>
      <c r="Q2025" s="15">
        <f t="shared" si="149"/>
        <v>1200</v>
      </c>
      <c r="R2025" s="13" t="str">
        <f>IF(D2025="TEX","аренда техники — сделка/счёт",IF(OR(Q2025="",H2025="",H2025=0),"—",IF(Q2025&lt;H2025*(1-Параметры!$B$7),"почасовка",IF(Q2025&gt;H2025*(1+Параметры!$B$7),"сделка","любой способ"))))</f>
        <v>сделка</v>
      </c>
      <c r="S2025">
        <v>0</v>
      </c>
      <c r="T2025">
        <v>0</v>
      </c>
    </row>
    <row r="2026" spans="1:20" x14ac:dyDescent="0.25">
      <c r="A2026" s="13" t="s">
        <v>4082</v>
      </c>
      <c r="B2026" s="13" t="s">
        <v>4083</v>
      </c>
      <c r="C2026" s="13" t="s">
        <v>144</v>
      </c>
      <c r="D2026" s="13" t="s">
        <v>545</v>
      </c>
      <c r="E2026" s="13" t="str">
        <f>IFERROR(INDEX('Почасовка — ставки и план'!$B$5:$B$24,MATCH(D2026,'Почасовка — ставки и план'!$A$5:$A$24,0)),"Аренда техники / механизмы")</f>
        <v>Сервисный инженер ворот и автоматики</v>
      </c>
      <c r="F2026" s="14">
        <v>4000</v>
      </c>
      <c r="G2026" s="14">
        <v>4600</v>
      </c>
      <c r="H2026" s="15">
        <v>2400</v>
      </c>
      <c r="I2026" s="15">
        <f>IF(OR(H2026="",F2026=""),"",MAX(H2026,MIN(ROUND(H2026*(1+Параметры!$B$5),IF(H2026*(1+Параметры!$B$5)&gt;=1000,-1,0)),ROUND(F2026*Параметры!$B$6,IF(F2026*Параметры!$B$6&gt;=1000,-1,0)))))</f>
        <v>2760</v>
      </c>
      <c r="J2026" s="15">
        <v>2760</v>
      </c>
      <c r="K2026" s="15">
        <f>IF(OR(J2026="",G2026=""),"",MAX(J2026,MIN(ROUND(J2026*(1+Параметры!$B$5),IF(J2026*(1+Параметры!$B$5)&gt;=1000,-1,0)),ROUND(G2026*Параметры!$B$6,IF(G2026*Параметры!$B$6&gt;=1000,-1,0)))))</f>
        <v>3170</v>
      </c>
      <c r="L2026" s="16">
        <v>2</v>
      </c>
      <c r="M2026" s="17">
        <f t="shared" si="148"/>
        <v>0.5</v>
      </c>
      <c r="N2026" s="17">
        <f>IF(OR(L2026="",L2026=0),"",Параметры!$B$3/L2026)</f>
        <v>4</v>
      </c>
      <c r="O2026" s="15">
        <f>IF(L2026="","",IFERROR(INDEX('Почасовка — ставки и план'!$D$5:$D$24,MATCH($D2026,'Почасовка — ставки и план'!$A$5:$A$24,0)),""))</f>
        <v>1200</v>
      </c>
      <c r="P2026" s="15">
        <f>IF(L2026="","",IFERROR(INDEX('Почасовка — ставки и план'!$E$5:$E$24,MATCH($D2026,'Почасовка — ставки и план'!$A$5:$A$24,0)),""))</f>
        <v>1440</v>
      </c>
      <c r="Q2026" s="15">
        <f t="shared" si="149"/>
        <v>2400</v>
      </c>
      <c r="R2026" s="13" t="str">
        <f>IF(D2026="TEX","аренда техники — сделка/счёт",IF(OR(Q2026="",H2026="",H2026=0),"—",IF(Q2026&lt;H2026*(1-Параметры!$B$7),"почасовка",IF(Q2026&gt;H2026*(1+Параметры!$B$7),"сделка","любой способ"))))</f>
        <v>любой способ</v>
      </c>
      <c r="S2026">
        <v>0</v>
      </c>
      <c r="T2026">
        <v>0</v>
      </c>
    </row>
    <row r="2027" spans="1:20" x14ac:dyDescent="0.25">
      <c r="A2027" s="13" t="s">
        <v>4084</v>
      </c>
      <c r="B2027" s="13" t="s">
        <v>4085</v>
      </c>
      <c r="C2027" s="13" t="s">
        <v>144</v>
      </c>
      <c r="D2027" s="13" t="s">
        <v>545</v>
      </c>
      <c r="E2027" s="13" t="str">
        <f>IFERROR(INDEX('Почасовка — ставки и план'!$B$5:$B$24,MATCH(D2027,'Почасовка — ставки и план'!$A$5:$A$24,0)),"Аренда техники / механизмы")</f>
        <v>Сервисный инженер ворот и автоматики</v>
      </c>
      <c r="F2027" s="14">
        <v>700</v>
      </c>
      <c r="G2027" s="14">
        <v>805</v>
      </c>
      <c r="H2027" s="15">
        <v>420</v>
      </c>
      <c r="I2027" s="15">
        <f>IF(OR(H2027="",F2027=""),"",MAX(H2027,MIN(ROUND(H2027*(1+Параметры!$B$5),IF(H2027*(1+Параметры!$B$5)&gt;=1000,-1,0)),ROUND(F2027*Параметры!$B$6,IF(F2027*Параметры!$B$6&gt;=1000,-1,0)))))</f>
        <v>483</v>
      </c>
      <c r="J2027" s="15">
        <v>483</v>
      </c>
      <c r="K2027" s="15">
        <f>IF(OR(J2027="",G2027=""),"",MAX(J2027,MIN(ROUND(J2027*(1+Параметры!$B$5),IF(J2027*(1+Параметры!$B$5)&gt;=1000,-1,0)),ROUND(G2027*Параметры!$B$6,IF(G2027*Параметры!$B$6&gt;=1000,-1,0)))))</f>
        <v>555</v>
      </c>
      <c r="L2027" s="16">
        <v>0.4</v>
      </c>
      <c r="M2027" s="17">
        <f t="shared" si="148"/>
        <v>2.5</v>
      </c>
      <c r="N2027" s="17">
        <f>IF(OR(L2027="",L2027=0),"",Параметры!$B$3/L2027)</f>
        <v>20</v>
      </c>
      <c r="O2027" s="15">
        <f>IF(L2027="","",IFERROR(INDEX('Почасовка — ставки и план'!$D$5:$D$24,MATCH($D2027,'Почасовка — ставки и план'!$A$5:$A$24,0)),""))</f>
        <v>1200</v>
      </c>
      <c r="P2027" s="15">
        <f>IF(L2027="","",IFERROR(INDEX('Почасовка — ставки и план'!$E$5:$E$24,MATCH($D2027,'Почасовка — ставки и план'!$A$5:$A$24,0)),""))</f>
        <v>1440</v>
      </c>
      <c r="Q2027" s="15">
        <f t="shared" si="149"/>
        <v>480</v>
      </c>
      <c r="R2027" s="13" t="str">
        <f>IF(D2027="TEX","аренда техники — сделка/счёт",IF(OR(Q2027="",H2027="",H2027=0),"—",IF(Q2027&lt;H2027*(1-Параметры!$B$7),"почасовка",IF(Q2027&gt;H2027*(1+Параметры!$B$7),"сделка","любой способ"))))</f>
        <v>сделка</v>
      </c>
      <c r="S2027">
        <v>0</v>
      </c>
      <c r="T2027">
        <v>0</v>
      </c>
    </row>
    <row r="2028" spans="1:20" x14ac:dyDescent="0.25">
      <c r="A2028" s="13" t="s">
        <v>4086</v>
      </c>
      <c r="B2028" s="13" t="s">
        <v>4087</v>
      </c>
      <c r="C2028" s="13" t="s">
        <v>69</v>
      </c>
      <c r="D2028" s="13" t="s">
        <v>545</v>
      </c>
      <c r="E2028" s="13" t="str">
        <f>IFERROR(INDEX('Почасовка — ставки и план'!$B$5:$B$24,MATCH(D2028,'Почасовка — ставки и план'!$A$5:$A$24,0)),"Аренда техники / механизмы")</f>
        <v>Сервисный инженер ворот и автоматики</v>
      </c>
      <c r="F2028" s="14">
        <v>800</v>
      </c>
      <c r="G2028" s="14">
        <v>960</v>
      </c>
      <c r="H2028" s="15">
        <v>420</v>
      </c>
      <c r="I2028" s="15">
        <f>IF(OR(H2028="",F2028=""),"",MAX(H2028,MIN(ROUND(H2028*(1+Параметры!$B$5),IF(H2028*(1+Параметры!$B$5)&gt;=1000,-1,0)),ROUND(F2028*Параметры!$B$6,IF(F2028*Параметры!$B$6&gt;=1000,-1,0)))))</f>
        <v>483</v>
      </c>
      <c r="J2028" s="15">
        <v>483</v>
      </c>
      <c r="K2028" s="15">
        <f>IF(OR(J2028="",G2028=""),"",MAX(J2028,MIN(ROUND(J2028*(1+Параметры!$B$5),IF(J2028*(1+Параметры!$B$5)&gt;=1000,-1,0)),ROUND(G2028*Параметры!$B$6,IF(G2028*Параметры!$B$6&gt;=1000,-1,0)))))</f>
        <v>555</v>
      </c>
      <c r="L2028" s="16">
        <v>0.5</v>
      </c>
      <c r="M2028" s="17">
        <f t="shared" si="148"/>
        <v>2</v>
      </c>
      <c r="N2028" s="17">
        <f>IF(OR(L2028="",L2028=0),"",Параметры!$B$3/L2028)</f>
        <v>16</v>
      </c>
      <c r="O2028" s="15">
        <f>IF(L2028="","",IFERROR(INDEX('Почасовка — ставки и план'!$D$5:$D$24,MATCH($D2028,'Почасовка — ставки и план'!$A$5:$A$24,0)),""))</f>
        <v>1200</v>
      </c>
      <c r="P2028" s="15">
        <f>IF(L2028="","",IFERROR(INDEX('Почасовка — ставки и план'!$E$5:$E$24,MATCH($D2028,'Почасовка — ставки и план'!$A$5:$A$24,0)),""))</f>
        <v>1440</v>
      </c>
      <c r="Q2028" s="15">
        <f t="shared" si="149"/>
        <v>600</v>
      </c>
      <c r="R2028" s="13" t="str">
        <f>IF(D2028="TEX","аренда техники — сделка/счёт",IF(OR(Q2028="",H2028="",H2028=0),"—",IF(Q2028&lt;H2028*(1-Параметры!$B$7),"почасовка",IF(Q2028&gt;H2028*(1+Параметры!$B$7),"сделка","любой способ"))))</f>
        <v>сделка</v>
      </c>
      <c r="S2028">
        <v>0.14285714285714279</v>
      </c>
      <c r="T2028">
        <v>0.19254658385093171</v>
      </c>
    </row>
    <row r="2029" spans="1:20" x14ac:dyDescent="0.25">
      <c r="A2029" s="13" t="s">
        <v>4088</v>
      </c>
      <c r="B2029" s="13" t="s">
        <v>4089</v>
      </c>
      <c r="C2029" s="13" t="s">
        <v>144</v>
      </c>
      <c r="D2029" s="13" t="s">
        <v>545</v>
      </c>
      <c r="E2029" s="13" t="str">
        <f>IFERROR(INDEX('Почасовка — ставки и план'!$B$5:$B$24,MATCH(D2029,'Почасовка — ставки и план'!$A$5:$A$24,0)),"Аренда техники / механизмы")</f>
        <v>Сервисный инженер ворот и автоматики</v>
      </c>
      <c r="F2029" s="14">
        <v>2000</v>
      </c>
      <c r="G2029" s="14">
        <v>2300</v>
      </c>
      <c r="H2029" s="15">
        <v>1200</v>
      </c>
      <c r="I2029" s="15">
        <f>IF(OR(H2029="",F2029=""),"",MAX(H2029,MIN(ROUND(H2029*(1+Параметры!$B$5),IF(H2029*(1+Параметры!$B$5)&gt;=1000,-1,0)),ROUND(F2029*Параметры!$B$6,IF(F2029*Параметры!$B$6&gt;=1000,-1,0)))))</f>
        <v>1380</v>
      </c>
      <c r="J2029" s="15">
        <v>1380</v>
      </c>
      <c r="K2029" s="15">
        <f>IF(OR(J2029="",G2029=""),"",MAX(J2029,MIN(ROUND(J2029*(1+Параметры!$B$5),IF(J2029*(1+Параметры!$B$5)&gt;=1000,-1,0)),ROUND(G2029*Параметры!$B$6,IF(G2029*Параметры!$B$6&gt;=1000,-1,0)))))</f>
        <v>1590</v>
      </c>
      <c r="L2029" s="16">
        <v>1</v>
      </c>
      <c r="M2029" s="17">
        <f t="shared" si="148"/>
        <v>1</v>
      </c>
      <c r="N2029" s="17">
        <f>IF(OR(L2029="",L2029=0),"",Параметры!$B$3/L2029)</f>
        <v>8</v>
      </c>
      <c r="O2029" s="15">
        <f>IF(L2029="","",IFERROR(INDEX('Почасовка — ставки и план'!$D$5:$D$24,MATCH($D2029,'Почасовка — ставки и план'!$A$5:$A$24,0)),""))</f>
        <v>1200</v>
      </c>
      <c r="P2029" s="15">
        <f>IF(L2029="","",IFERROR(INDEX('Почасовка — ставки и план'!$E$5:$E$24,MATCH($D2029,'Почасовка — ставки и план'!$A$5:$A$24,0)),""))</f>
        <v>1440</v>
      </c>
      <c r="Q2029" s="15">
        <f t="shared" si="149"/>
        <v>1200</v>
      </c>
      <c r="R2029" s="13" t="str">
        <f>IF(D2029="TEX","аренда техники — сделка/счёт",IF(OR(Q2029="",H2029="",H2029=0),"—",IF(Q2029&lt;H2029*(1-Параметры!$B$7),"почасовка",IF(Q2029&gt;H2029*(1+Параметры!$B$7),"сделка","любой способ"))))</f>
        <v>любой способ</v>
      </c>
      <c r="S2029">
        <v>0</v>
      </c>
      <c r="T2029">
        <v>0</v>
      </c>
    </row>
    <row r="2030" spans="1:20" x14ac:dyDescent="0.25">
      <c r="A2030" s="13" t="s">
        <v>4090</v>
      </c>
      <c r="B2030" s="13" t="s">
        <v>4091</v>
      </c>
      <c r="C2030" s="13" t="s">
        <v>144</v>
      </c>
      <c r="D2030" s="13" t="s">
        <v>545</v>
      </c>
      <c r="E2030" s="13" t="str">
        <f>IFERROR(INDEX('Почасовка — ставки и план'!$B$5:$B$24,MATCH(D2030,'Почасовка — ставки и план'!$A$5:$A$24,0)),"Аренда техники / механизмы")</f>
        <v>Сервисный инженер ворот и автоматики</v>
      </c>
      <c r="F2030" s="14">
        <v>2000</v>
      </c>
      <c r="G2030" s="14">
        <v>2300</v>
      </c>
      <c r="H2030" s="15">
        <v>1200</v>
      </c>
      <c r="I2030" s="15">
        <f>IF(OR(H2030="",F2030=""),"",MAX(H2030,MIN(ROUND(H2030*(1+Параметры!$B$5),IF(H2030*(1+Параметры!$B$5)&gt;=1000,-1,0)),ROUND(F2030*Параметры!$B$6,IF(F2030*Параметры!$B$6&gt;=1000,-1,0)))))</f>
        <v>1380</v>
      </c>
      <c r="J2030" s="15">
        <v>1380</v>
      </c>
      <c r="K2030" s="15">
        <f>IF(OR(J2030="",G2030=""),"",MAX(J2030,MIN(ROUND(J2030*(1+Параметры!$B$5),IF(J2030*(1+Параметры!$B$5)&gt;=1000,-1,0)),ROUND(G2030*Параметры!$B$6,IF(G2030*Параметры!$B$6&gt;=1000,-1,0)))))</f>
        <v>1590</v>
      </c>
      <c r="L2030" s="16">
        <v>1</v>
      </c>
      <c r="M2030" s="17">
        <f t="shared" si="148"/>
        <v>1</v>
      </c>
      <c r="N2030" s="17">
        <f>IF(OR(L2030="",L2030=0),"",Параметры!$B$3/L2030)</f>
        <v>8</v>
      </c>
      <c r="O2030" s="15">
        <f>IF(L2030="","",IFERROR(INDEX('Почасовка — ставки и план'!$D$5:$D$24,MATCH($D2030,'Почасовка — ставки и план'!$A$5:$A$24,0)),""))</f>
        <v>1200</v>
      </c>
      <c r="P2030" s="15">
        <f>IF(L2030="","",IFERROR(INDEX('Почасовка — ставки и план'!$E$5:$E$24,MATCH($D2030,'Почасовка — ставки и план'!$A$5:$A$24,0)),""))</f>
        <v>1440</v>
      </c>
      <c r="Q2030" s="15">
        <f t="shared" si="149"/>
        <v>1200</v>
      </c>
      <c r="R2030" s="13" t="str">
        <f>IF(D2030="TEX","аренда техники — сделка/счёт",IF(OR(Q2030="",H2030="",H2030=0),"—",IF(Q2030&lt;H2030*(1-Параметры!$B$7),"почасовка",IF(Q2030&gt;H2030*(1+Параметры!$B$7),"сделка","любой способ"))))</f>
        <v>любой способ</v>
      </c>
      <c r="S2030">
        <v>0</v>
      </c>
      <c r="T2030">
        <v>0</v>
      </c>
    </row>
    <row r="2031" spans="1:20" x14ac:dyDescent="0.25">
      <c r="A2031" s="13" t="s">
        <v>4092</v>
      </c>
      <c r="B2031" s="13" t="s">
        <v>4093</v>
      </c>
      <c r="C2031" s="13" t="s">
        <v>144</v>
      </c>
      <c r="D2031" s="13" t="s">
        <v>545</v>
      </c>
      <c r="E2031" s="13" t="str">
        <f>IFERROR(INDEX('Почасовка — ставки и план'!$B$5:$B$24,MATCH(D2031,'Почасовка — ставки и план'!$A$5:$A$24,0)),"Аренда техники / механизмы")</f>
        <v>Сервисный инженер ворот и автоматики</v>
      </c>
      <c r="F2031" s="14">
        <v>900</v>
      </c>
      <c r="G2031" s="14">
        <v>1035</v>
      </c>
      <c r="H2031" s="15">
        <v>540</v>
      </c>
      <c r="I2031" s="15">
        <f>IF(OR(H2031="",F2031=""),"",MAX(H2031,MIN(ROUND(H2031*(1+Параметры!$B$5),IF(H2031*(1+Параметры!$B$5)&gt;=1000,-1,0)),ROUND(F2031*Параметры!$B$6,IF(F2031*Параметры!$B$6&gt;=1000,-1,0)))))</f>
        <v>621</v>
      </c>
      <c r="J2031" s="15">
        <v>621</v>
      </c>
      <c r="K2031" s="15">
        <f>IF(OR(J2031="",G2031=""),"",MAX(J2031,MIN(ROUND(J2031*(1+Параметры!$B$5),IF(J2031*(1+Параметры!$B$5)&gt;=1000,-1,0)),ROUND(G2031*Параметры!$B$6,IF(G2031*Параметры!$B$6&gt;=1000,-1,0)))))</f>
        <v>714</v>
      </c>
      <c r="L2031" s="16">
        <v>0.5</v>
      </c>
      <c r="M2031" s="17">
        <f t="shared" si="148"/>
        <v>2</v>
      </c>
      <c r="N2031" s="17">
        <f>IF(OR(L2031="",L2031=0),"",Параметры!$B$3/L2031)</f>
        <v>16</v>
      </c>
      <c r="O2031" s="15">
        <f>IF(L2031="","",IFERROR(INDEX('Почасовка — ставки и план'!$D$5:$D$24,MATCH($D2031,'Почасовка — ставки и план'!$A$5:$A$24,0)),""))</f>
        <v>1200</v>
      </c>
      <c r="P2031" s="15">
        <f>IF(L2031="","",IFERROR(INDEX('Почасовка — ставки и план'!$E$5:$E$24,MATCH($D2031,'Почасовка — ставки и план'!$A$5:$A$24,0)),""))</f>
        <v>1440</v>
      </c>
      <c r="Q2031" s="15">
        <f t="shared" si="149"/>
        <v>600</v>
      </c>
      <c r="R2031" s="13" t="str">
        <f>IF(D2031="TEX","аренда техники — сделка/счёт",IF(OR(Q2031="",H2031="",H2031=0),"—",IF(Q2031&lt;H2031*(1-Параметры!$B$7),"почасовка",IF(Q2031&gt;H2031*(1+Параметры!$B$7),"сделка","любой способ"))))</f>
        <v>сделка</v>
      </c>
      <c r="S2031">
        <v>0</v>
      </c>
      <c r="T2031">
        <v>0</v>
      </c>
    </row>
    <row r="2032" spans="1:20" x14ac:dyDescent="0.25">
      <c r="A2032" s="13" t="s">
        <v>4094</v>
      </c>
      <c r="B2032" s="13" t="s">
        <v>4095</v>
      </c>
      <c r="C2032" s="13" t="s">
        <v>144</v>
      </c>
      <c r="D2032" s="13" t="s">
        <v>545</v>
      </c>
      <c r="E2032" s="13" t="str">
        <f>IFERROR(INDEX('Почасовка — ставки и план'!$B$5:$B$24,MATCH(D2032,'Почасовка — ставки и план'!$A$5:$A$24,0)),"Аренда техники / механизмы")</f>
        <v>Сервисный инженер ворот и автоматики</v>
      </c>
      <c r="F2032" s="14">
        <v>1000</v>
      </c>
      <c r="G2032" s="14">
        <v>1152</v>
      </c>
      <c r="H2032" s="15">
        <v>600</v>
      </c>
      <c r="I2032" s="15">
        <f>IF(OR(H2032="",F2032=""),"",MAX(H2032,MIN(ROUND(H2032*(1+Параметры!$B$5),IF(H2032*(1+Параметры!$B$5)&gt;=1000,-1,0)),ROUND(F2032*Параметры!$B$6,IF(F2032*Параметры!$B$6&gt;=1000,-1,0)))))</f>
        <v>690</v>
      </c>
      <c r="J2032" s="15">
        <v>690</v>
      </c>
      <c r="K2032" s="15">
        <f>IF(OR(J2032="",G2032=""),"",MAX(J2032,MIN(ROUND(J2032*(1+Параметры!$B$5),IF(J2032*(1+Параметры!$B$5)&gt;=1000,-1,0)),ROUND(G2032*Параметры!$B$6,IF(G2032*Параметры!$B$6&gt;=1000,-1,0)))))</f>
        <v>794</v>
      </c>
      <c r="L2032" s="16">
        <v>0.6</v>
      </c>
      <c r="M2032" s="17">
        <f t="shared" si="148"/>
        <v>1.6666666666666667</v>
      </c>
      <c r="N2032" s="17">
        <f>IF(OR(L2032="",L2032=0),"",Параметры!$B$3/L2032)</f>
        <v>13.333333333333334</v>
      </c>
      <c r="O2032" s="15">
        <f>IF(L2032="","",IFERROR(INDEX('Почасовка — ставки и план'!$D$5:$D$24,MATCH($D2032,'Почасовка — ставки и план'!$A$5:$A$24,0)),""))</f>
        <v>1200</v>
      </c>
      <c r="P2032" s="15">
        <f>IF(L2032="","",IFERROR(INDEX('Почасовка — ставки и план'!$E$5:$E$24,MATCH($D2032,'Почасовка — ставки и план'!$A$5:$A$24,0)),""))</f>
        <v>1440</v>
      </c>
      <c r="Q2032" s="15">
        <f t="shared" si="149"/>
        <v>720</v>
      </c>
      <c r="R2032" s="13" t="str">
        <f>IF(D2032="TEX","аренда техники — сделка/счёт",IF(OR(Q2032="",H2032="",H2032=0),"—",IF(Q2032&lt;H2032*(1-Параметры!$B$7),"почасовка",IF(Q2032&gt;H2032*(1+Параметры!$B$7),"сделка","любой способ"))))</f>
        <v>сделка</v>
      </c>
      <c r="S2032">
        <v>0</v>
      </c>
      <c r="T2032">
        <v>1.739130434782687E-3</v>
      </c>
    </row>
    <row r="2033" spans="1:20" x14ac:dyDescent="0.25">
      <c r="A2033" s="13" t="s">
        <v>4096</v>
      </c>
      <c r="B2033" s="13" t="s">
        <v>4097</v>
      </c>
      <c r="C2033" s="13" t="s">
        <v>144</v>
      </c>
      <c r="D2033" s="13" t="s">
        <v>545</v>
      </c>
      <c r="E2033" s="13" t="str">
        <f>IFERROR(INDEX('Почасовка — ставки и план'!$B$5:$B$24,MATCH(D2033,'Почасовка — ставки и план'!$A$5:$A$24,0)),"Аренда техники / механизмы")</f>
        <v>Сервисный инженер ворот и автоматики</v>
      </c>
      <c r="F2033" s="14">
        <v>3500</v>
      </c>
      <c r="G2033" s="14">
        <v>4025</v>
      </c>
      <c r="H2033" s="15">
        <v>2100</v>
      </c>
      <c r="I2033" s="15">
        <f>IF(OR(H2033="",F2033=""),"",MAX(H2033,MIN(ROUND(H2033*(1+Параметры!$B$5),IF(H2033*(1+Параметры!$B$5)&gt;=1000,-1,0)),ROUND(F2033*Параметры!$B$6,IF(F2033*Параметры!$B$6&gt;=1000,-1,0)))))</f>
        <v>2420</v>
      </c>
      <c r="J2033" s="15">
        <v>2415</v>
      </c>
      <c r="K2033" s="15">
        <f>IF(OR(J2033="",G2033=""),"",MAX(J2033,MIN(ROUND(J2033*(1+Параметры!$B$5),IF(J2033*(1+Параметры!$B$5)&gt;=1000,-1,0)),ROUND(G2033*Параметры!$B$6,IF(G2033*Параметры!$B$6&gt;=1000,-1,0)))))</f>
        <v>2780</v>
      </c>
      <c r="L2033" s="16">
        <v>2</v>
      </c>
      <c r="M2033" s="17">
        <f t="shared" si="148"/>
        <v>0.5</v>
      </c>
      <c r="N2033" s="17">
        <f>IF(OR(L2033="",L2033=0),"",Параметры!$B$3/L2033)</f>
        <v>4</v>
      </c>
      <c r="O2033" s="15">
        <f>IF(L2033="","",IFERROR(INDEX('Почасовка — ставки и план'!$D$5:$D$24,MATCH($D2033,'Почасовка — ставки и план'!$A$5:$A$24,0)),""))</f>
        <v>1200</v>
      </c>
      <c r="P2033" s="15">
        <f>IF(L2033="","",IFERROR(INDEX('Почасовка — ставки и план'!$E$5:$E$24,MATCH($D2033,'Почасовка — ставки и план'!$A$5:$A$24,0)),""))</f>
        <v>1440</v>
      </c>
      <c r="Q2033" s="15">
        <f t="shared" si="149"/>
        <v>2400</v>
      </c>
      <c r="R2033" s="13" t="str">
        <f>IF(D2033="TEX","аренда техники — сделка/счёт",IF(OR(Q2033="",H2033="",H2033=0),"—",IF(Q2033&lt;H2033*(1-Параметры!$B$7),"почасовка",IF(Q2033&gt;H2033*(1+Параметры!$B$7),"сделка","любой способ"))))</f>
        <v>сделка</v>
      </c>
      <c r="S2033">
        <v>0</v>
      </c>
      <c r="T2033">
        <v>0</v>
      </c>
    </row>
    <row r="2034" spans="1:20" x14ac:dyDescent="0.25">
      <c r="A2034" s="13" t="s">
        <v>4098</v>
      </c>
      <c r="B2034" s="13" t="s">
        <v>4099</v>
      </c>
      <c r="C2034" s="13" t="s">
        <v>72</v>
      </c>
      <c r="D2034" s="13" t="s">
        <v>64</v>
      </c>
      <c r="E2034" s="13" t="str">
        <f>IFERROR(INDEX('Почасовка — ставки и план'!$B$5:$B$24,MATCH(D2034,'Почасовка — ставки и план'!$A$5:$A$24,0)),"Аренда техники / механизмы")</f>
        <v>Сварщик / монтажник МК</v>
      </c>
      <c r="F2034" s="14">
        <v>600</v>
      </c>
      <c r="G2034" s="14">
        <v>720</v>
      </c>
      <c r="H2034" s="15">
        <v>372</v>
      </c>
      <c r="I2034" s="15">
        <f>IF(OR(H2034="",F2034=""),"",MAX(H2034,MIN(ROUND(H2034*(1+Параметры!$B$5),IF(H2034*(1+Параметры!$B$5)&gt;=1000,-1,0)),ROUND(F2034*Параметры!$B$6,IF(F2034*Параметры!$B$6&gt;=1000,-1,0)))))</f>
        <v>428</v>
      </c>
      <c r="J2034" s="15">
        <v>428</v>
      </c>
      <c r="K2034" s="15">
        <f>IF(OR(J2034="",G2034=""),"",MAX(J2034,MIN(ROUND(J2034*(1+Параметры!$B$5),IF(J2034*(1+Параметры!$B$5)&gt;=1000,-1,0)),ROUND(G2034*Параметры!$B$6,IF(G2034*Параметры!$B$6&gt;=1000,-1,0)))))</f>
        <v>492</v>
      </c>
      <c r="L2034" s="16">
        <v>0.5</v>
      </c>
      <c r="M2034" s="17">
        <f t="shared" si="148"/>
        <v>2</v>
      </c>
      <c r="N2034" s="17">
        <f>IF(OR(L2034="",L2034=0),"",Параметры!$B$3/L2034)</f>
        <v>16</v>
      </c>
      <c r="O2034" s="15">
        <f>IF(L2034="","",IFERROR(INDEX('Почасовка — ставки и план'!$D$5:$D$24,MATCH($D2034,'Почасовка — ставки и план'!$A$5:$A$24,0)),""))</f>
        <v>900</v>
      </c>
      <c r="P2034" s="15">
        <f>IF(L2034="","",IFERROR(INDEX('Почасовка — ставки и план'!$E$5:$E$24,MATCH($D2034,'Почасовка — ставки и план'!$A$5:$A$24,0)),""))</f>
        <v>1080</v>
      </c>
      <c r="Q2034" s="15">
        <f t="shared" si="149"/>
        <v>450</v>
      </c>
      <c r="R2034" s="13" t="str">
        <f>IF(D2034="TEX","аренда техники — сделка/счёт",IF(OR(Q2034="",H2034="",H2034=0),"—",IF(Q2034&lt;H2034*(1-Параметры!$B$7),"почасовка",IF(Q2034&gt;H2034*(1+Параметры!$B$7),"сделка","любой способ"))))</f>
        <v>сделка</v>
      </c>
      <c r="S2034">
        <v>0</v>
      </c>
      <c r="T2034">
        <v>4.3478260869565188E-2</v>
      </c>
    </row>
    <row r="2035" spans="1:20" x14ac:dyDescent="0.25">
      <c r="A2035" s="13" t="s">
        <v>4100</v>
      </c>
      <c r="B2035" s="13" t="s">
        <v>4101</v>
      </c>
      <c r="C2035" s="13" t="s">
        <v>144</v>
      </c>
      <c r="D2035" s="13" t="s">
        <v>545</v>
      </c>
      <c r="E2035" s="13" t="str">
        <f>IFERROR(INDEX('Почасовка — ставки и план'!$B$5:$B$24,MATCH(D2035,'Почасовка — ставки и план'!$A$5:$A$24,0)),"Аренда техники / механизмы")</f>
        <v>Сервисный инженер ворот и автоматики</v>
      </c>
      <c r="F2035" s="14">
        <v>5000</v>
      </c>
      <c r="G2035" s="14">
        <v>5760</v>
      </c>
      <c r="H2035" s="15">
        <v>3000</v>
      </c>
      <c r="I2035" s="15">
        <f>IF(OR(H2035="",F2035=""),"",MAX(H2035,MIN(ROUND(H2035*(1+Параметры!$B$5),IF(H2035*(1+Параметры!$B$5)&gt;=1000,-1,0)),ROUND(F2035*Параметры!$B$6,IF(F2035*Параметры!$B$6&gt;=1000,-1,0)))))</f>
        <v>3450</v>
      </c>
      <c r="J2035" s="15">
        <v>3450</v>
      </c>
      <c r="K2035" s="15">
        <f>IF(OR(J2035="",G2035=""),"",MAX(J2035,MIN(ROUND(J2035*(1+Параметры!$B$5),IF(J2035*(1+Параметры!$B$5)&gt;=1000,-1,0)),ROUND(G2035*Параметры!$B$6,IF(G2035*Параметры!$B$6&gt;=1000,-1,0)))))</f>
        <v>3970</v>
      </c>
      <c r="L2035" s="16">
        <v>3</v>
      </c>
      <c r="M2035" s="17">
        <f t="shared" ref="M2035:M2066" si="150">IF(OR(L2035="",L2035=0),"",1/L2035)</f>
        <v>0.33333333333333331</v>
      </c>
      <c r="N2035" s="17">
        <f>IF(OR(L2035="",L2035=0),"",Параметры!$B$3/L2035)</f>
        <v>2.6666666666666665</v>
      </c>
      <c r="O2035" s="15">
        <f>IF(L2035="","",IFERROR(INDEX('Почасовка — ставки и план'!$D$5:$D$24,MATCH($D2035,'Почасовка — ставки и план'!$A$5:$A$24,0)),""))</f>
        <v>1200</v>
      </c>
      <c r="P2035" s="15">
        <f>IF(L2035="","",IFERROR(INDEX('Почасовка — ставки и план'!$E$5:$E$24,MATCH($D2035,'Почасовка — ставки и план'!$A$5:$A$24,0)),""))</f>
        <v>1440</v>
      </c>
      <c r="Q2035" s="15">
        <f t="shared" ref="Q2035:Q2066" si="151">IF(OR(L2035="",O2035=""),"",ROUND(L2035*O2035,0))</f>
        <v>3600</v>
      </c>
      <c r="R2035" s="13" t="str">
        <f>IF(D2035="TEX","аренда техники — сделка/счёт",IF(OR(Q2035="",H2035="",H2035=0),"—",IF(Q2035&lt;H2035*(1-Параметры!$B$7),"почасовка",IF(Q2035&gt;H2035*(1+Параметры!$B$7),"сделка","любой способ"))))</f>
        <v>сделка</v>
      </c>
      <c r="S2035">
        <v>0</v>
      </c>
      <c r="T2035">
        <v>1.739130434782687E-3</v>
      </c>
    </row>
    <row r="2036" spans="1:20" x14ac:dyDescent="0.25">
      <c r="A2036" s="13" t="s">
        <v>4102</v>
      </c>
      <c r="B2036" s="13" t="s">
        <v>4103</v>
      </c>
      <c r="C2036" s="13" t="s">
        <v>144</v>
      </c>
      <c r="D2036" s="13" t="s">
        <v>545</v>
      </c>
      <c r="E2036" s="13" t="str">
        <f>IFERROR(INDEX('Почасовка — ставки и план'!$B$5:$B$24,MATCH(D2036,'Почасовка — ставки и план'!$A$5:$A$24,0)),"Аренда техники / механизмы")</f>
        <v>Сервисный инженер ворот и автоматики</v>
      </c>
      <c r="F2036" s="14">
        <v>1000</v>
      </c>
      <c r="G2036" s="14">
        <v>1152</v>
      </c>
      <c r="H2036" s="15">
        <v>600</v>
      </c>
      <c r="I2036" s="15">
        <f>IF(OR(H2036="",F2036=""),"",MAX(H2036,MIN(ROUND(H2036*(1+Параметры!$B$5),IF(H2036*(1+Параметры!$B$5)&gt;=1000,-1,0)),ROUND(F2036*Параметры!$B$6,IF(F2036*Параметры!$B$6&gt;=1000,-1,0)))))</f>
        <v>690</v>
      </c>
      <c r="J2036" s="15">
        <v>690</v>
      </c>
      <c r="K2036" s="15">
        <f>IF(OR(J2036="",G2036=""),"",MAX(J2036,MIN(ROUND(J2036*(1+Параметры!$B$5),IF(J2036*(1+Параметры!$B$5)&gt;=1000,-1,0)),ROUND(G2036*Параметры!$B$6,IF(G2036*Параметры!$B$6&gt;=1000,-1,0)))))</f>
        <v>794</v>
      </c>
      <c r="L2036" s="16">
        <v>0.6</v>
      </c>
      <c r="M2036" s="17">
        <f t="shared" si="150"/>
        <v>1.6666666666666667</v>
      </c>
      <c r="N2036" s="17">
        <f>IF(OR(L2036="",L2036=0),"",Параметры!$B$3/L2036)</f>
        <v>13.333333333333334</v>
      </c>
      <c r="O2036" s="15">
        <f>IF(L2036="","",IFERROR(INDEX('Почасовка — ставки и план'!$D$5:$D$24,MATCH($D2036,'Почасовка — ставки и план'!$A$5:$A$24,0)),""))</f>
        <v>1200</v>
      </c>
      <c r="P2036" s="15">
        <f>IF(L2036="","",IFERROR(INDEX('Почасовка — ставки и план'!$E$5:$E$24,MATCH($D2036,'Почасовка — ставки и план'!$A$5:$A$24,0)),""))</f>
        <v>1440</v>
      </c>
      <c r="Q2036" s="15">
        <f t="shared" si="151"/>
        <v>720</v>
      </c>
      <c r="R2036" s="13" t="str">
        <f>IF(D2036="TEX","аренда техники — сделка/счёт",IF(OR(Q2036="",H2036="",H2036=0),"—",IF(Q2036&lt;H2036*(1-Параметры!$B$7),"почасовка",IF(Q2036&gt;H2036*(1+Параметры!$B$7),"сделка","любой способ"))))</f>
        <v>сделка</v>
      </c>
      <c r="S2036">
        <v>0</v>
      </c>
      <c r="T2036">
        <v>1.739130434782687E-3</v>
      </c>
    </row>
    <row r="2037" spans="1:20" x14ac:dyDescent="0.25">
      <c r="A2037" s="13" t="s">
        <v>4104</v>
      </c>
      <c r="B2037" s="13" t="s">
        <v>4105</v>
      </c>
      <c r="C2037" s="13" t="s">
        <v>144</v>
      </c>
      <c r="D2037" s="13" t="s">
        <v>545</v>
      </c>
      <c r="E2037" s="13" t="str">
        <f>IFERROR(INDEX('Почасовка — ставки и план'!$B$5:$B$24,MATCH(D2037,'Почасовка — ставки и план'!$A$5:$A$24,0)),"Аренда техники / механизмы")</f>
        <v>Сервисный инженер ворот и автоматики</v>
      </c>
      <c r="F2037" s="14">
        <v>1300</v>
      </c>
      <c r="G2037" s="14">
        <v>1536</v>
      </c>
      <c r="H2037" s="15">
        <v>780</v>
      </c>
      <c r="I2037" s="15">
        <f>IF(OR(H2037="",F2037=""),"",MAX(H2037,MIN(ROUND(H2037*(1+Параметры!$B$5),IF(H2037*(1+Параметры!$B$5)&gt;=1000,-1,0)),ROUND(F2037*Параметры!$B$6,IF(F2037*Параметры!$B$6&gt;=1000,-1,0)))))</f>
        <v>897</v>
      </c>
      <c r="J2037" s="15">
        <v>897</v>
      </c>
      <c r="K2037" s="15">
        <f>IF(OR(J2037="",G2037=""),"",MAX(J2037,MIN(ROUND(J2037*(1+Параметры!$B$5),IF(J2037*(1+Параметры!$B$5)&gt;=1000,-1,0)),ROUND(G2037*Параметры!$B$6,IF(G2037*Параметры!$B$6&gt;=1000,-1,0)))))</f>
        <v>1030</v>
      </c>
      <c r="L2037" s="16">
        <v>0.8</v>
      </c>
      <c r="M2037" s="17">
        <f t="shared" si="150"/>
        <v>1.25</v>
      </c>
      <c r="N2037" s="17">
        <f>IF(OR(L2037="",L2037=0),"",Параметры!$B$3/L2037)</f>
        <v>10</v>
      </c>
      <c r="O2037" s="15">
        <f>IF(L2037="","",IFERROR(INDEX('Почасовка — ставки и план'!$D$5:$D$24,MATCH($D2037,'Почасовка — ставки и план'!$A$5:$A$24,0)),""))</f>
        <v>1200</v>
      </c>
      <c r="P2037" s="15">
        <f>IF(L2037="","",IFERROR(INDEX('Почасовка — ставки и план'!$E$5:$E$24,MATCH($D2037,'Почасовка — ставки и план'!$A$5:$A$24,0)),""))</f>
        <v>1440</v>
      </c>
      <c r="Q2037" s="15">
        <f t="shared" si="151"/>
        <v>960</v>
      </c>
      <c r="R2037" s="13" t="str">
        <f>IF(D2037="TEX","аренда техники — сделка/счёт",IF(OR(Q2037="",H2037="",H2037=0),"—",IF(Q2037&lt;H2037*(1-Параметры!$B$7),"почасовка",IF(Q2037&gt;H2037*(1+Параметры!$B$7),"сделка","любой способ"))))</f>
        <v>сделка</v>
      </c>
      <c r="S2037">
        <v>0</v>
      </c>
      <c r="T2037">
        <v>2.7424749163879492E-2</v>
      </c>
    </row>
    <row r="2038" spans="1:20" x14ac:dyDescent="0.25">
      <c r="A2038" s="13" t="s">
        <v>4106</v>
      </c>
      <c r="B2038" s="13" t="s">
        <v>4107</v>
      </c>
      <c r="C2038" s="13" t="s">
        <v>144</v>
      </c>
      <c r="D2038" s="13" t="s">
        <v>545</v>
      </c>
      <c r="E2038" s="13" t="str">
        <f>IFERROR(INDEX('Почасовка — ставки и план'!$B$5:$B$24,MATCH(D2038,'Почасовка — ставки и план'!$A$5:$A$24,0)),"Аренда техники / механизмы")</f>
        <v>Сервисный инженер ворот и автоматики</v>
      </c>
      <c r="F2038" s="14">
        <v>2000</v>
      </c>
      <c r="G2038" s="14">
        <v>2300</v>
      </c>
      <c r="H2038" s="15">
        <v>1200</v>
      </c>
      <c r="I2038" s="15">
        <f>IF(OR(H2038="",F2038=""),"",MAX(H2038,MIN(ROUND(H2038*(1+Параметры!$B$5),IF(H2038*(1+Параметры!$B$5)&gt;=1000,-1,0)),ROUND(F2038*Параметры!$B$6,IF(F2038*Параметры!$B$6&gt;=1000,-1,0)))))</f>
        <v>1380</v>
      </c>
      <c r="J2038" s="15">
        <v>1380</v>
      </c>
      <c r="K2038" s="15">
        <f>IF(OR(J2038="",G2038=""),"",MAX(J2038,MIN(ROUND(J2038*(1+Параметры!$B$5),IF(J2038*(1+Параметры!$B$5)&gt;=1000,-1,0)),ROUND(G2038*Параметры!$B$6,IF(G2038*Параметры!$B$6&gt;=1000,-1,0)))))</f>
        <v>1590</v>
      </c>
      <c r="L2038" s="16">
        <v>1</v>
      </c>
      <c r="M2038" s="17">
        <f t="shared" si="150"/>
        <v>1</v>
      </c>
      <c r="N2038" s="17">
        <f>IF(OR(L2038="",L2038=0),"",Параметры!$B$3/L2038)</f>
        <v>8</v>
      </c>
      <c r="O2038" s="15">
        <f>IF(L2038="","",IFERROR(INDEX('Почасовка — ставки и план'!$D$5:$D$24,MATCH($D2038,'Почасовка — ставки и план'!$A$5:$A$24,0)),""))</f>
        <v>1200</v>
      </c>
      <c r="P2038" s="15">
        <f>IF(L2038="","",IFERROR(INDEX('Почасовка — ставки и план'!$E$5:$E$24,MATCH($D2038,'Почасовка — ставки и план'!$A$5:$A$24,0)),""))</f>
        <v>1440</v>
      </c>
      <c r="Q2038" s="15">
        <f t="shared" si="151"/>
        <v>1200</v>
      </c>
      <c r="R2038" s="13" t="str">
        <f>IF(D2038="TEX","аренда техники — сделка/счёт",IF(OR(Q2038="",H2038="",H2038=0),"—",IF(Q2038&lt;H2038*(1-Параметры!$B$7),"почасовка",IF(Q2038&gt;H2038*(1+Параметры!$B$7),"сделка","любой способ"))))</f>
        <v>любой способ</v>
      </c>
      <c r="S2038">
        <v>0</v>
      </c>
      <c r="T2038">
        <v>0</v>
      </c>
    </row>
    <row r="2039" spans="1:20" x14ac:dyDescent="0.25">
      <c r="A2039" s="13" t="s">
        <v>4108</v>
      </c>
      <c r="B2039" s="13" t="s">
        <v>4109</v>
      </c>
      <c r="C2039" s="13" t="s">
        <v>144</v>
      </c>
      <c r="D2039" s="13" t="s">
        <v>545</v>
      </c>
      <c r="E2039" s="13" t="str">
        <f>IFERROR(INDEX('Почасовка — ставки и план'!$B$5:$B$24,MATCH(D2039,'Почасовка — ставки и план'!$A$5:$A$24,0)),"Аренда техники / механизмы")</f>
        <v>Сервисный инженер ворот и автоматики</v>
      </c>
      <c r="F2039" s="14">
        <v>2200</v>
      </c>
      <c r="G2039" s="14">
        <v>2530</v>
      </c>
      <c r="H2039" s="15">
        <v>1320</v>
      </c>
      <c r="I2039" s="15">
        <f>IF(OR(H2039="",F2039=""),"",MAX(H2039,MIN(ROUND(H2039*(1+Параметры!$B$5),IF(H2039*(1+Параметры!$B$5)&gt;=1000,-1,0)),ROUND(F2039*Параметры!$B$6,IF(F2039*Параметры!$B$6&gt;=1000,-1,0)))))</f>
        <v>1520</v>
      </c>
      <c r="J2039" s="15">
        <v>1518</v>
      </c>
      <c r="K2039" s="15">
        <f>IF(OR(J2039="",G2039=""),"",MAX(J2039,MIN(ROUND(J2039*(1+Параметры!$B$5),IF(J2039*(1+Параметры!$B$5)&gt;=1000,-1,0)),ROUND(G2039*Параметры!$B$6,IF(G2039*Параметры!$B$6&gt;=1000,-1,0)))))</f>
        <v>1750</v>
      </c>
      <c r="L2039" s="16">
        <v>1.2</v>
      </c>
      <c r="M2039" s="17">
        <f t="shared" si="150"/>
        <v>0.83333333333333337</v>
      </c>
      <c r="N2039" s="17">
        <f>IF(OR(L2039="",L2039=0),"",Параметры!$B$3/L2039)</f>
        <v>6.666666666666667</v>
      </c>
      <c r="O2039" s="15">
        <f>IF(L2039="","",IFERROR(INDEX('Почасовка — ставки и план'!$D$5:$D$24,MATCH($D2039,'Почасовка — ставки и план'!$A$5:$A$24,0)),""))</f>
        <v>1200</v>
      </c>
      <c r="P2039" s="15">
        <f>IF(L2039="","",IFERROR(INDEX('Почасовка — ставки и план'!$E$5:$E$24,MATCH($D2039,'Почасовка — ставки и план'!$A$5:$A$24,0)),""))</f>
        <v>1440</v>
      </c>
      <c r="Q2039" s="15">
        <f t="shared" si="151"/>
        <v>1440</v>
      </c>
      <c r="R2039" s="13" t="str">
        <f>IF(D2039="TEX","аренда техники — сделка/счёт",IF(OR(Q2039="",H2039="",H2039=0),"—",IF(Q2039&lt;H2039*(1-Параметры!$B$7),"почасовка",IF(Q2039&gt;H2039*(1+Параметры!$B$7),"сделка","любой способ"))))</f>
        <v>любой способ</v>
      </c>
      <c r="S2039">
        <v>0</v>
      </c>
      <c r="T2039">
        <v>0</v>
      </c>
    </row>
    <row r="2040" spans="1:20" x14ac:dyDescent="0.25">
      <c r="A2040" s="13" t="s">
        <v>4110</v>
      </c>
      <c r="B2040" s="13" t="s">
        <v>4111</v>
      </c>
      <c r="C2040" s="13" t="s">
        <v>144</v>
      </c>
      <c r="D2040" s="13" t="s">
        <v>545</v>
      </c>
      <c r="E2040" s="13" t="str">
        <f>IFERROR(INDEX('Почасовка — ставки и план'!$B$5:$B$24,MATCH(D2040,'Почасовка — ставки и план'!$A$5:$A$24,0)),"Аренда техники / механизмы")</f>
        <v>Сервисный инженер ворот и автоматики</v>
      </c>
      <c r="F2040" s="14">
        <v>1300</v>
      </c>
      <c r="G2040" s="14">
        <v>1536</v>
      </c>
      <c r="H2040" s="15">
        <v>780</v>
      </c>
      <c r="I2040" s="15">
        <f>IF(OR(H2040="",F2040=""),"",MAX(H2040,MIN(ROUND(H2040*(1+Параметры!$B$5),IF(H2040*(1+Параметры!$B$5)&gt;=1000,-1,0)),ROUND(F2040*Параметры!$B$6,IF(F2040*Параметры!$B$6&gt;=1000,-1,0)))))</f>
        <v>897</v>
      </c>
      <c r="J2040" s="15">
        <v>897</v>
      </c>
      <c r="K2040" s="15">
        <f>IF(OR(J2040="",G2040=""),"",MAX(J2040,MIN(ROUND(J2040*(1+Параметры!$B$5),IF(J2040*(1+Параметры!$B$5)&gt;=1000,-1,0)),ROUND(G2040*Параметры!$B$6,IF(G2040*Параметры!$B$6&gt;=1000,-1,0)))))</f>
        <v>1030</v>
      </c>
      <c r="L2040" s="16">
        <v>0.8</v>
      </c>
      <c r="M2040" s="17">
        <f t="shared" si="150"/>
        <v>1.25</v>
      </c>
      <c r="N2040" s="17">
        <f>IF(OR(L2040="",L2040=0),"",Параметры!$B$3/L2040)</f>
        <v>10</v>
      </c>
      <c r="O2040" s="15">
        <f>IF(L2040="","",IFERROR(INDEX('Почасовка — ставки и план'!$D$5:$D$24,MATCH($D2040,'Почасовка — ставки и план'!$A$5:$A$24,0)),""))</f>
        <v>1200</v>
      </c>
      <c r="P2040" s="15">
        <f>IF(L2040="","",IFERROR(INDEX('Почасовка — ставки и план'!$E$5:$E$24,MATCH($D2040,'Почасовка — ставки и план'!$A$5:$A$24,0)),""))</f>
        <v>1440</v>
      </c>
      <c r="Q2040" s="15">
        <f t="shared" si="151"/>
        <v>960</v>
      </c>
      <c r="R2040" s="13" t="str">
        <f>IF(D2040="TEX","аренда техники — сделка/счёт",IF(OR(Q2040="",H2040="",H2040=0),"—",IF(Q2040&lt;H2040*(1-Параметры!$B$7),"почасовка",IF(Q2040&gt;H2040*(1+Параметры!$B$7),"сделка","любой способ"))))</f>
        <v>сделка</v>
      </c>
      <c r="S2040">
        <v>0</v>
      </c>
      <c r="T2040">
        <v>2.7424749163879492E-2</v>
      </c>
    </row>
    <row r="2041" spans="1:20" x14ac:dyDescent="0.25">
      <c r="A2041" s="13" t="s">
        <v>4112</v>
      </c>
      <c r="B2041" s="13" t="s">
        <v>4113</v>
      </c>
      <c r="C2041" s="13" t="s">
        <v>144</v>
      </c>
      <c r="D2041" s="13" t="s">
        <v>545</v>
      </c>
      <c r="E2041" s="13" t="str">
        <f>IFERROR(INDEX('Почасовка — ставки и план'!$B$5:$B$24,MATCH(D2041,'Почасовка — ставки и план'!$A$5:$A$24,0)),"Аренда техники / механизмы")</f>
        <v>Сервисный инженер ворот и автоматики</v>
      </c>
      <c r="F2041" s="14">
        <v>6500</v>
      </c>
      <c r="G2041" s="14">
        <v>7475</v>
      </c>
      <c r="H2041" s="15">
        <v>3900</v>
      </c>
      <c r="I2041" s="15">
        <f>IF(OR(H2041="",F2041=""),"",MAX(H2041,MIN(ROUND(H2041*(1+Параметры!$B$5),IF(H2041*(1+Параметры!$B$5)&gt;=1000,-1,0)),ROUND(F2041*Параметры!$B$6,IF(F2041*Параметры!$B$6&gt;=1000,-1,0)))))</f>
        <v>4490</v>
      </c>
      <c r="J2041" s="15">
        <v>4485</v>
      </c>
      <c r="K2041" s="15">
        <f>IF(OR(J2041="",G2041=""),"",MAX(J2041,MIN(ROUND(J2041*(1+Параметры!$B$5),IF(J2041*(1+Параметры!$B$5)&gt;=1000,-1,0)),ROUND(G2041*Параметры!$B$6,IF(G2041*Параметры!$B$6&gt;=1000,-1,0)))))</f>
        <v>5160</v>
      </c>
      <c r="L2041" s="16">
        <v>3</v>
      </c>
      <c r="M2041" s="17">
        <f t="shared" si="150"/>
        <v>0.33333333333333331</v>
      </c>
      <c r="N2041" s="17">
        <f>IF(OR(L2041="",L2041=0),"",Параметры!$B$3/L2041)</f>
        <v>2.6666666666666665</v>
      </c>
      <c r="O2041" s="15">
        <f>IF(L2041="","",IFERROR(INDEX('Почасовка — ставки и план'!$D$5:$D$24,MATCH($D2041,'Почасовка — ставки и план'!$A$5:$A$24,0)),""))</f>
        <v>1200</v>
      </c>
      <c r="P2041" s="15">
        <f>IF(L2041="","",IFERROR(INDEX('Почасовка — ставки и план'!$E$5:$E$24,MATCH($D2041,'Почасовка — ставки и план'!$A$5:$A$24,0)),""))</f>
        <v>1440</v>
      </c>
      <c r="Q2041" s="15">
        <f t="shared" si="151"/>
        <v>3600</v>
      </c>
      <c r="R2041" s="13" t="str">
        <f>IF(D2041="TEX","аренда техники — сделка/счёт",IF(OR(Q2041="",H2041="",H2041=0),"—",IF(Q2041&lt;H2041*(1-Параметры!$B$7),"почасовка",IF(Q2041&gt;H2041*(1+Параметры!$B$7),"сделка","любой способ"))))</f>
        <v>любой способ</v>
      </c>
      <c r="S2041">
        <v>0</v>
      </c>
      <c r="T2041">
        <v>0</v>
      </c>
    </row>
    <row r="2042" spans="1:20" x14ac:dyDescent="0.25">
      <c r="A2042" s="13" t="s">
        <v>4114</v>
      </c>
      <c r="B2042" s="13" t="s">
        <v>4115</v>
      </c>
      <c r="C2042" s="13" t="s">
        <v>144</v>
      </c>
      <c r="D2042" s="13" t="s">
        <v>545</v>
      </c>
      <c r="E2042" s="13" t="str">
        <f>IFERROR(INDEX('Почасовка — ставки и план'!$B$5:$B$24,MATCH(D2042,'Почасовка — ставки и план'!$A$5:$A$24,0)),"Аренда техники / механизмы")</f>
        <v>Сервисный инженер ворот и автоматики</v>
      </c>
      <c r="F2042" s="14">
        <v>1500</v>
      </c>
      <c r="G2042" s="14">
        <v>1725</v>
      </c>
      <c r="H2042" s="15">
        <v>900</v>
      </c>
      <c r="I2042" s="15">
        <f>IF(OR(H2042="",F2042=""),"",MAX(H2042,MIN(ROUND(H2042*(1+Параметры!$B$5),IF(H2042*(1+Параметры!$B$5)&gt;=1000,-1,0)),ROUND(F2042*Параметры!$B$6,IF(F2042*Параметры!$B$6&gt;=1000,-1,0)))))</f>
        <v>1040</v>
      </c>
      <c r="J2042" s="15">
        <v>1035</v>
      </c>
      <c r="K2042" s="15">
        <f>IF(OR(J2042="",G2042=""),"",MAX(J2042,MIN(ROUND(J2042*(1+Параметры!$B$5),IF(J2042*(1+Параметры!$B$5)&gt;=1000,-1,0)),ROUND(G2042*Параметры!$B$6,IF(G2042*Параметры!$B$6&gt;=1000,-1,0)))))</f>
        <v>1190</v>
      </c>
      <c r="L2042" s="16">
        <v>0.8</v>
      </c>
      <c r="M2042" s="17">
        <f t="shared" si="150"/>
        <v>1.25</v>
      </c>
      <c r="N2042" s="17">
        <f>IF(OR(L2042="",L2042=0),"",Параметры!$B$3/L2042)</f>
        <v>10</v>
      </c>
      <c r="O2042" s="15">
        <f>IF(L2042="","",IFERROR(INDEX('Почасовка — ставки и план'!$D$5:$D$24,MATCH($D2042,'Почасовка — ставки и план'!$A$5:$A$24,0)),""))</f>
        <v>1200</v>
      </c>
      <c r="P2042" s="15">
        <f>IF(L2042="","",IFERROR(INDEX('Почасовка — ставки и план'!$E$5:$E$24,MATCH($D2042,'Почасовка — ставки и план'!$A$5:$A$24,0)),""))</f>
        <v>1440</v>
      </c>
      <c r="Q2042" s="15">
        <f t="shared" si="151"/>
        <v>960</v>
      </c>
      <c r="R2042" s="13" t="str">
        <f>IF(D2042="TEX","аренда техники — сделка/счёт",IF(OR(Q2042="",H2042="",H2042=0),"—",IF(Q2042&lt;H2042*(1-Параметры!$B$7),"почасовка",IF(Q2042&gt;H2042*(1+Параметры!$B$7),"сделка","любой способ"))))</f>
        <v>любой способ</v>
      </c>
      <c r="S2042">
        <v>0</v>
      </c>
      <c r="T2042">
        <v>0</v>
      </c>
    </row>
    <row r="2043" spans="1:20" x14ac:dyDescent="0.25">
      <c r="A2043" s="13" t="s">
        <v>4116</v>
      </c>
      <c r="B2043" s="13" t="s">
        <v>4117</v>
      </c>
      <c r="C2043" s="13" t="s">
        <v>144</v>
      </c>
      <c r="D2043" s="13" t="s">
        <v>545</v>
      </c>
      <c r="E2043" s="13" t="str">
        <f>IFERROR(INDEX('Почасовка — ставки и план'!$B$5:$B$24,MATCH(D2043,'Почасовка — ставки и план'!$A$5:$A$24,0)),"Аренда техники / механизмы")</f>
        <v>Сервисный инженер ворот и автоматики</v>
      </c>
      <c r="F2043" s="14">
        <v>500</v>
      </c>
      <c r="G2043" s="14">
        <v>576</v>
      </c>
      <c r="H2043" s="15">
        <v>300</v>
      </c>
      <c r="I2043" s="15">
        <f>IF(OR(H2043="",F2043=""),"",MAX(H2043,MIN(ROUND(H2043*(1+Параметры!$B$5),IF(H2043*(1+Параметры!$B$5)&gt;=1000,-1,0)),ROUND(F2043*Параметры!$B$6,IF(F2043*Параметры!$B$6&gt;=1000,-1,0)))))</f>
        <v>345</v>
      </c>
      <c r="J2043" s="15">
        <v>345</v>
      </c>
      <c r="K2043" s="15">
        <f>IF(OR(J2043="",G2043=""),"",MAX(J2043,MIN(ROUND(J2043*(1+Параметры!$B$5),IF(J2043*(1+Параметры!$B$5)&gt;=1000,-1,0)),ROUND(G2043*Параметры!$B$6,IF(G2043*Параметры!$B$6&gt;=1000,-1,0)))))</f>
        <v>397</v>
      </c>
      <c r="L2043" s="16">
        <v>0.3</v>
      </c>
      <c r="M2043" s="17">
        <f t="shared" si="150"/>
        <v>3.3333333333333335</v>
      </c>
      <c r="N2043" s="17">
        <f>IF(OR(L2043="",L2043=0),"",Параметры!$B$3/L2043)</f>
        <v>26.666666666666668</v>
      </c>
      <c r="O2043" s="15">
        <f>IF(L2043="","",IFERROR(INDEX('Почасовка — ставки и план'!$D$5:$D$24,MATCH($D2043,'Почасовка — ставки и план'!$A$5:$A$24,0)),""))</f>
        <v>1200</v>
      </c>
      <c r="P2043" s="15">
        <f>IF(L2043="","",IFERROR(INDEX('Почасовка — ставки и план'!$E$5:$E$24,MATCH($D2043,'Почасовка — ставки и план'!$A$5:$A$24,0)),""))</f>
        <v>1440</v>
      </c>
      <c r="Q2043" s="15">
        <f t="shared" si="151"/>
        <v>360</v>
      </c>
      <c r="R2043" s="13" t="str">
        <f>IF(D2043="TEX","аренда техники — сделка/счёт",IF(OR(Q2043="",H2043="",H2043=0),"—",IF(Q2043&lt;H2043*(1-Параметры!$B$7),"почасовка",IF(Q2043&gt;H2043*(1+Параметры!$B$7),"сделка","любой способ"))))</f>
        <v>сделка</v>
      </c>
      <c r="S2043">
        <v>0</v>
      </c>
      <c r="T2043">
        <v>1.739130434782687E-3</v>
      </c>
    </row>
    <row r="2044" spans="1:20" x14ac:dyDescent="0.25">
      <c r="A2044" s="13" t="s">
        <v>4118</v>
      </c>
      <c r="B2044" s="13" t="s">
        <v>4119</v>
      </c>
      <c r="C2044" s="13" t="s">
        <v>144</v>
      </c>
      <c r="D2044" s="13" t="s">
        <v>545</v>
      </c>
      <c r="E2044" s="13" t="str">
        <f>IFERROR(INDEX('Почасовка — ставки и план'!$B$5:$B$24,MATCH(D2044,'Почасовка — ставки и план'!$A$5:$A$24,0)),"Аренда техники / механизмы")</f>
        <v>Сервисный инженер ворот и автоматики</v>
      </c>
      <c r="F2044" s="14">
        <v>3500</v>
      </c>
      <c r="G2044" s="14">
        <v>4025</v>
      </c>
      <c r="H2044" s="15">
        <v>2100</v>
      </c>
      <c r="I2044" s="15">
        <f>IF(OR(H2044="",F2044=""),"",MAX(H2044,MIN(ROUND(H2044*(1+Параметры!$B$5),IF(H2044*(1+Параметры!$B$5)&gt;=1000,-1,0)),ROUND(F2044*Параметры!$B$6,IF(F2044*Параметры!$B$6&gt;=1000,-1,0)))))</f>
        <v>2420</v>
      </c>
      <c r="J2044" s="15">
        <v>2415</v>
      </c>
      <c r="K2044" s="15">
        <f>IF(OR(J2044="",G2044=""),"",MAX(J2044,MIN(ROUND(J2044*(1+Параметры!$B$5),IF(J2044*(1+Параметры!$B$5)&gt;=1000,-1,0)),ROUND(G2044*Параметры!$B$6,IF(G2044*Параметры!$B$6&gt;=1000,-1,0)))))</f>
        <v>2780</v>
      </c>
      <c r="L2044" s="16">
        <v>2</v>
      </c>
      <c r="M2044" s="17">
        <f t="shared" si="150"/>
        <v>0.5</v>
      </c>
      <c r="N2044" s="17">
        <f>IF(OR(L2044="",L2044=0),"",Параметры!$B$3/L2044)</f>
        <v>4</v>
      </c>
      <c r="O2044" s="15">
        <f>IF(L2044="","",IFERROR(INDEX('Почасовка — ставки и план'!$D$5:$D$24,MATCH($D2044,'Почасовка — ставки и план'!$A$5:$A$24,0)),""))</f>
        <v>1200</v>
      </c>
      <c r="P2044" s="15">
        <f>IF(L2044="","",IFERROR(INDEX('Почасовка — ставки и план'!$E$5:$E$24,MATCH($D2044,'Почасовка — ставки и план'!$A$5:$A$24,0)),""))</f>
        <v>1440</v>
      </c>
      <c r="Q2044" s="15">
        <f t="shared" si="151"/>
        <v>2400</v>
      </c>
      <c r="R2044" s="13" t="str">
        <f>IF(D2044="TEX","аренда техники — сделка/счёт",IF(OR(Q2044="",H2044="",H2044=0),"—",IF(Q2044&lt;H2044*(1-Параметры!$B$7),"почасовка",IF(Q2044&gt;H2044*(1+Параметры!$B$7),"сделка","любой способ"))))</f>
        <v>сделка</v>
      </c>
      <c r="S2044">
        <v>0</v>
      </c>
      <c r="T2044">
        <v>0</v>
      </c>
    </row>
    <row r="2045" spans="1:20" x14ac:dyDescent="0.25">
      <c r="A2045" s="13" t="s">
        <v>4120</v>
      </c>
      <c r="B2045" s="13" t="s">
        <v>4121</v>
      </c>
      <c r="C2045" s="13" t="s">
        <v>72</v>
      </c>
      <c r="D2045" s="13" t="s">
        <v>276</v>
      </c>
      <c r="E2045" s="13" t="str">
        <f>IFERROR(INDEX('Почасовка — ставки и план'!$B$5:$B$24,MATCH(D2045,'Почасовка — ставки и план'!$A$5:$A$24,0)),"Аренда техники / механизмы")</f>
        <v>Монтажник дверей, окон, перегородок</v>
      </c>
      <c r="F2045" s="14">
        <v>1800</v>
      </c>
      <c r="G2045" s="14">
        <v>2070</v>
      </c>
      <c r="H2045" s="15">
        <v>1116</v>
      </c>
      <c r="I2045" s="15">
        <f>IF(OR(H2045="",F2045=""),"",MAX(H2045,MIN(ROUND(H2045*(1+Параметры!$B$5),IF(H2045*(1+Параметры!$B$5)&gt;=1000,-1,0)),ROUND(F2045*Параметры!$B$6,IF(F2045*Параметры!$B$6&gt;=1000,-1,0)))))</f>
        <v>1280</v>
      </c>
      <c r="J2045" s="15">
        <v>1283</v>
      </c>
      <c r="K2045" s="15">
        <f>IF(OR(J2045="",G2045=""),"",MAX(J2045,MIN(ROUND(J2045*(1+Параметры!$B$5),IF(J2045*(1+Параметры!$B$5)&gt;=1000,-1,0)),ROUND(G2045*Параметры!$B$6,IF(G2045*Параметры!$B$6&gt;=1000,-1,0)))))</f>
        <v>1480</v>
      </c>
      <c r="L2045" s="16">
        <v>1.5</v>
      </c>
      <c r="M2045" s="17">
        <f t="shared" si="150"/>
        <v>0.66666666666666663</v>
      </c>
      <c r="N2045" s="17">
        <f>IF(OR(L2045="",L2045=0),"",Параметры!$B$3/L2045)</f>
        <v>5.333333333333333</v>
      </c>
      <c r="O2045" s="15">
        <f>IF(L2045="","",IFERROR(INDEX('Почасовка — ставки и план'!$D$5:$D$24,MATCH($D2045,'Почасовка — ставки и план'!$A$5:$A$24,0)),""))</f>
        <v>800</v>
      </c>
      <c r="P2045" s="15">
        <f>IF(L2045="","",IFERROR(INDEX('Почасовка — ставки и план'!$E$5:$E$24,MATCH($D2045,'Почасовка — ставки и план'!$A$5:$A$24,0)),""))</f>
        <v>950</v>
      </c>
      <c r="Q2045" s="15">
        <f t="shared" si="151"/>
        <v>1200</v>
      </c>
      <c r="R2045" s="13" t="str">
        <f>IF(D2045="TEX","аренда техники — сделка/счёт",IF(OR(Q2045="",H2045="",H2045=0),"—",IF(Q2045&lt;H2045*(1-Параметры!$B$7),"почасовка",IF(Q2045&gt;H2045*(1+Параметры!$B$7),"сделка","любой способ"))))</f>
        <v>любой способ</v>
      </c>
      <c r="S2045">
        <v>0</v>
      </c>
      <c r="T2045">
        <v>0</v>
      </c>
    </row>
    <row r="2046" spans="1:20" x14ac:dyDescent="0.25">
      <c r="A2046" s="13" t="s">
        <v>4122</v>
      </c>
      <c r="B2046" s="13" t="s">
        <v>4123</v>
      </c>
      <c r="C2046" s="13" t="s">
        <v>144</v>
      </c>
      <c r="D2046" s="13" t="s">
        <v>545</v>
      </c>
      <c r="E2046" s="13" t="str">
        <f>IFERROR(INDEX('Почасовка — ставки и план'!$B$5:$B$24,MATCH(D2046,'Почасовка — ставки и план'!$A$5:$A$24,0)),"Аренда техники / механизмы")</f>
        <v>Сервисный инженер ворот и автоматики</v>
      </c>
      <c r="F2046" s="14">
        <v>4500</v>
      </c>
      <c r="G2046" s="14">
        <v>5175</v>
      </c>
      <c r="H2046" s="15">
        <v>2700</v>
      </c>
      <c r="I2046" s="15">
        <f>IF(OR(H2046="",F2046=""),"",MAX(H2046,MIN(ROUND(H2046*(1+Параметры!$B$5),IF(H2046*(1+Параметры!$B$5)&gt;=1000,-1,0)),ROUND(F2046*Параметры!$B$6,IF(F2046*Параметры!$B$6&gt;=1000,-1,0)))))</f>
        <v>3110</v>
      </c>
      <c r="J2046" s="15">
        <v>3105</v>
      </c>
      <c r="K2046" s="15">
        <f>IF(OR(J2046="",G2046=""),"",MAX(J2046,MIN(ROUND(J2046*(1+Параметры!$B$5),IF(J2046*(1+Параметры!$B$5)&gt;=1000,-1,0)),ROUND(G2046*Параметры!$B$6,IF(G2046*Параметры!$B$6&gt;=1000,-1,0)))))</f>
        <v>3570</v>
      </c>
      <c r="L2046" s="16">
        <v>2</v>
      </c>
      <c r="M2046" s="17">
        <f t="shared" si="150"/>
        <v>0.5</v>
      </c>
      <c r="N2046" s="17">
        <f>IF(OR(L2046="",L2046=0),"",Параметры!$B$3/L2046)</f>
        <v>4</v>
      </c>
      <c r="O2046" s="15">
        <f>IF(L2046="","",IFERROR(INDEX('Почасовка — ставки и план'!$D$5:$D$24,MATCH($D2046,'Почасовка — ставки и план'!$A$5:$A$24,0)),""))</f>
        <v>1200</v>
      </c>
      <c r="P2046" s="15">
        <f>IF(L2046="","",IFERROR(INDEX('Почасовка — ставки и план'!$E$5:$E$24,MATCH($D2046,'Почасовка — ставки и план'!$A$5:$A$24,0)),""))</f>
        <v>1440</v>
      </c>
      <c r="Q2046" s="15">
        <f t="shared" si="151"/>
        <v>2400</v>
      </c>
      <c r="R2046" s="13" t="str">
        <f>IF(D2046="TEX","аренда техники — сделка/счёт",IF(OR(Q2046="",H2046="",H2046=0),"—",IF(Q2046&lt;H2046*(1-Параметры!$B$7),"почасовка",IF(Q2046&gt;H2046*(1+Параметры!$B$7),"сделка","любой способ"))))</f>
        <v>почасовка</v>
      </c>
      <c r="S2046">
        <v>0</v>
      </c>
      <c r="T2046">
        <v>0</v>
      </c>
    </row>
    <row r="2047" spans="1:20" x14ac:dyDescent="0.25">
      <c r="A2047" s="13" t="s">
        <v>4124</v>
      </c>
      <c r="B2047" s="13" t="s">
        <v>4125</v>
      </c>
      <c r="C2047" s="13" t="s">
        <v>144</v>
      </c>
      <c r="D2047" s="13" t="s">
        <v>545</v>
      </c>
      <c r="E2047" s="13" t="str">
        <f>IFERROR(INDEX('Почасовка — ставки и план'!$B$5:$B$24,MATCH(D2047,'Почасовка — ставки и план'!$A$5:$A$24,0)),"Аренда техники / механизмы")</f>
        <v>Сервисный инженер ворот и автоматики</v>
      </c>
      <c r="F2047" s="14">
        <v>2500</v>
      </c>
      <c r="G2047" s="14">
        <v>2875</v>
      </c>
      <c r="H2047" s="15">
        <v>1500</v>
      </c>
      <c r="I2047" s="15">
        <f>IF(OR(H2047="",F2047=""),"",MAX(H2047,MIN(ROUND(H2047*(1+Параметры!$B$5),IF(H2047*(1+Параметры!$B$5)&gt;=1000,-1,0)),ROUND(F2047*Параметры!$B$6,IF(F2047*Параметры!$B$6&gt;=1000,-1,0)))))</f>
        <v>1730</v>
      </c>
      <c r="J2047" s="15">
        <v>1725</v>
      </c>
      <c r="K2047" s="15">
        <f>IF(OR(J2047="",G2047=""),"",MAX(J2047,MIN(ROUND(J2047*(1+Параметры!$B$5),IF(J2047*(1+Параметры!$B$5)&gt;=1000,-1,0)),ROUND(G2047*Параметры!$B$6,IF(G2047*Параметры!$B$6&gt;=1000,-1,0)))))</f>
        <v>1980</v>
      </c>
      <c r="L2047" s="16">
        <v>1.2</v>
      </c>
      <c r="M2047" s="17">
        <f t="shared" si="150"/>
        <v>0.83333333333333337</v>
      </c>
      <c r="N2047" s="17">
        <f>IF(OR(L2047="",L2047=0),"",Параметры!$B$3/L2047)</f>
        <v>6.666666666666667</v>
      </c>
      <c r="O2047" s="15">
        <f>IF(L2047="","",IFERROR(INDEX('Почасовка — ставки и план'!$D$5:$D$24,MATCH($D2047,'Почасовка — ставки и план'!$A$5:$A$24,0)),""))</f>
        <v>1200</v>
      </c>
      <c r="P2047" s="15">
        <f>IF(L2047="","",IFERROR(INDEX('Почасовка — ставки и план'!$E$5:$E$24,MATCH($D2047,'Почасовка — ставки и план'!$A$5:$A$24,0)),""))</f>
        <v>1440</v>
      </c>
      <c r="Q2047" s="15">
        <f t="shared" si="151"/>
        <v>1440</v>
      </c>
      <c r="R2047" s="13" t="str">
        <f>IF(D2047="TEX","аренда техники — сделка/счёт",IF(OR(Q2047="",H2047="",H2047=0),"—",IF(Q2047&lt;H2047*(1-Параметры!$B$7),"почасовка",IF(Q2047&gt;H2047*(1+Параметры!$B$7),"сделка","любой способ"))))</f>
        <v>любой способ</v>
      </c>
      <c r="S2047">
        <v>0</v>
      </c>
      <c r="T2047">
        <v>0</v>
      </c>
    </row>
    <row r="2048" spans="1:20" x14ac:dyDescent="0.25">
      <c r="A2048" s="13" t="s">
        <v>4126</v>
      </c>
      <c r="B2048" s="13" t="s">
        <v>4127</v>
      </c>
      <c r="C2048" s="13" t="s">
        <v>144</v>
      </c>
      <c r="D2048" s="13" t="s">
        <v>545</v>
      </c>
      <c r="E2048" s="13" t="str">
        <f>IFERROR(INDEX('Почасовка — ставки и план'!$B$5:$B$24,MATCH(D2048,'Почасовка — ставки и план'!$A$5:$A$24,0)),"Аренда техники / механизмы")</f>
        <v>Сервисный инженер ворот и автоматики</v>
      </c>
      <c r="F2048" s="14">
        <v>2500</v>
      </c>
      <c r="G2048" s="14">
        <v>2875</v>
      </c>
      <c r="H2048" s="15">
        <v>1500</v>
      </c>
      <c r="I2048" s="15">
        <f>IF(OR(H2048="",F2048=""),"",MAX(H2048,MIN(ROUND(H2048*(1+Параметры!$B$5),IF(H2048*(1+Параметры!$B$5)&gt;=1000,-1,0)),ROUND(F2048*Параметры!$B$6,IF(F2048*Параметры!$B$6&gt;=1000,-1,0)))))</f>
        <v>1730</v>
      </c>
      <c r="J2048" s="15">
        <v>1725</v>
      </c>
      <c r="K2048" s="15">
        <f>IF(OR(J2048="",G2048=""),"",MAX(J2048,MIN(ROUND(J2048*(1+Параметры!$B$5),IF(J2048*(1+Параметры!$B$5)&gt;=1000,-1,0)),ROUND(G2048*Параметры!$B$6,IF(G2048*Параметры!$B$6&gt;=1000,-1,0)))))</f>
        <v>1980</v>
      </c>
      <c r="L2048" s="16">
        <v>1.2</v>
      </c>
      <c r="M2048" s="17">
        <f t="shared" si="150"/>
        <v>0.83333333333333337</v>
      </c>
      <c r="N2048" s="17">
        <f>IF(OR(L2048="",L2048=0),"",Параметры!$B$3/L2048)</f>
        <v>6.666666666666667</v>
      </c>
      <c r="O2048" s="15">
        <f>IF(L2048="","",IFERROR(INDEX('Почасовка — ставки и план'!$D$5:$D$24,MATCH($D2048,'Почасовка — ставки и план'!$A$5:$A$24,0)),""))</f>
        <v>1200</v>
      </c>
      <c r="P2048" s="15">
        <f>IF(L2048="","",IFERROR(INDEX('Почасовка — ставки и план'!$E$5:$E$24,MATCH($D2048,'Почасовка — ставки и план'!$A$5:$A$24,0)),""))</f>
        <v>1440</v>
      </c>
      <c r="Q2048" s="15">
        <f t="shared" si="151"/>
        <v>1440</v>
      </c>
      <c r="R2048" s="13" t="str">
        <f>IF(D2048="TEX","аренда техники — сделка/счёт",IF(OR(Q2048="",H2048="",H2048=0),"—",IF(Q2048&lt;H2048*(1-Параметры!$B$7),"почасовка",IF(Q2048&gt;H2048*(1+Параметры!$B$7),"сделка","любой способ"))))</f>
        <v>любой способ</v>
      </c>
      <c r="S2048">
        <v>0</v>
      </c>
      <c r="T2048">
        <v>0</v>
      </c>
    </row>
    <row r="2049" spans="1:20" x14ac:dyDescent="0.25">
      <c r="A2049" s="13" t="s">
        <v>4128</v>
      </c>
      <c r="B2049" s="13" t="s">
        <v>4129</v>
      </c>
      <c r="C2049" s="13" t="s">
        <v>144</v>
      </c>
      <c r="D2049" s="13" t="s">
        <v>545</v>
      </c>
      <c r="E2049" s="13" t="str">
        <f>IFERROR(INDEX('Почасовка — ставки и план'!$B$5:$B$24,MATCH(D2049,'Почасовка — ставки и план'!$A$5:$A$24,0)),"Аренда техники / механизмы")</f>
        <v>Сервисный инженер ворот и автоматики</v>
      </c>
      <c r="F2049" s="14">
        <v>500</v>
      </c>
      <c r="G2049" s="14">
        <v>576</v>
      </c>
      <c r="H2049" s="15">
        <v>300</v>
      </c>
      <c r="I2049" s="15">
        <f>IF(OR(H2049="",F2049=""),"",MAX(H2049,MIN(ROUND(H2049*(1+Параметры!$B$5),IF(H2049*(1+Параметры!$B$5)&gt;=1000,-1,0)),ROUND(F2049*Параметры!$B$6,IF(F2049*Параметры!$B$6&gt;=1000,-1,0)))))</f>
        <v>345</v>
      </c>
      <c r="J2049" s="15">
        <v>345</v>
      </c>
      <c r="K2049" s="15">
        <f>IF(OR(J2049="",G2049=""),"",MAX(J2049,MIN(ROUND(J2049*(1+Параметры!$B$5),IF(J2049*(1+Параметры!$B$5)&gt;=1000,-1,0)),ROUND(G2049*Параметры!$B$6,IF(G2049*Параметры!$B$6&gt;=1000,-1,0)))))</f>
        <v>397</v>
      </c>
      <c r="L2049" s="16">
        <v>0.3</v>
      </c>
      <c r="M2049" s="17">
        <f t="shared" si="150"/>
        <v>3.3333333333333335</v>
      </c>
      <c r="N2049" s="17">
        <f>IF(OR(L2049="",L2049=0),"",Параметры!$B$3/L2049)</f>
        <v>26.666666666666668</v>
      </c>
      <c r="O2049" s="15">
        <f>IF(L2049="","",IFERROR(INDEX('Почасовка — ставки и план'!$D$5:$D$24,MATCH($D2049,'Почасовка — ставки и план'!$A$5:$A$24,0)),""))</f>
        <v>1200</v>
      </c>
      <c r="P2049" s="15">
        <f>IF(L2049="","",IFERROR(INDEX('Почасовка — ставки и план'!$E$5:$E$24,MATCH($D2049,'Почасовка — ставки и план'!$A$5:$A$24,0)),""))</f>
        <v>1440</v>
      </c>
      <c r="Q2049" s="15">
        <f t="shared" si="151"/>
        <v>360</v>
      </c>
      <c r="R2049" s="13" t="str">
        <f>IF(D2049="TEX","аренда техники — сделка/счёт",IF(OR(Q2049="",H2049="",H2049=0),"—",IF(Q2049&lt;H2049*(1-Параметры!$B$7),"почасовка",IF(Q2049&gt;H2049*(1+Параметры!$B$7),"сделка","любой способ"))))</f>
        <v>сделка</v>
      </c>
      <c r="S2049">
        <v>0</v>
      </c>
      <c r="T2049">
        <v>1.739130434782687E-3</v>
      </c>
    </row>
    <row r="2050" spans="1:20" x14ac:dyDescent="0.25">
      <c r="A2050" s="13" t="s">
        <v>4130</v>
      </c>
      <c r="B2050" s="13" t="s">
        <v>4131</v>
      </c>
      <c r="C2050" s="13" t="s">
        <v>72</v>
      </c>
      <c r="D2050" s="13" t="s">
        <v>545</v>
      </c>
      <c r="E2050" s="13" t="str">
        <f>IFERROR(INDEX('Почасовка — ставки и план'!$B$5:$B$24,MATCH(D2050,'Почасовка — ставки и план'!$A$5:$A$24,0)),"Аренда техники / механизмы")</f>
        <v>Сервисный инженер ворот и автоматики</v>
      </c>
      <c r="F2050" s="14">
        <v>2400</v>
      </c>
      <c r="G2050" s="14">
        <v>2880</v>
      </c>
      <c r="H2050" s="15">
        <v>960</v>
      </c>
      <c r="I2050" s="15">
        <f>IF(OR(H2050="",F2050=""),"",MAX(H2050,MIN(ROUND(H2050*(1+Параметры!$B$5),IF(H2050*(1+Параметры!$B$5)&gt;=1000,-1,0)),ROUND(F2050*Параметры!$B$6,IF(F2050*Параметры!$B$6&gt;=1000,-1,0)))))</f>
        <v>1100</v>
      </c>
      <c r="J2050" s="15">
        <v>1104</v>
      </c>
      <c r="K2050" s="15">
        <f>IF(OR(J2050="",G2050=""),"",MAX(J2050,MIN(ROUND(J2050*(1+Параметры!$B$5),IF(J2050*(1+Параметры!$B$5)&gt;=1000,-1,0)),ROUND(G2050*Параметры!$B$6,IF(G2050*Параметры!$B$6&gt;=1000,-1,0)))))</f>
        <v>1270</v>
      </c>
      <c r="L2050" s="16">
        <v>1.5</v>
      </c>
      <c r="M2050" s="17">
        <f t="shared" si="150"/>
        <v>0.66666666666666663</v>
      </c>
      <c r="N2050" s="17">
        <f>IF(OR(L2050="",L2050=0),"",Параметры!$B$3/L2050)</f>
        <v>5.333333333333333</v>
      </c>
      <c r="O2050" s="15">
        <f>IF(L2050="","",IFERROR(INDEX('Почасовка — ставки и план'!$D$5:$D$24,MATCH($D2050,'Почасовка — ставки и план'!$A$5:$A$24,0)),""))</f>
        <v>1200</v>
      </c>
      <c r="P2050" s="15">
        <f>IF(L2050="","",IFERROR(INDEX('Почасовка — ставки и план'!$E$5:$E$24,MATCH($D2050,'Почасовка — ставки и план'!$A$5:$A$24,0)),""))</f>
        <v>1440</v>
      </c>
      <c r="Q2050" s="15">
        <f t="shared" si="151"/>
        <v>1800</v>
      </c>
      <c r="R2050" s="13" t="str">
        <f>IF(D2050="TEX","аренда техники — сделка/счёт",IF(OR(Q2050="",H2050="",H2050=0),"—",IF(Q2050&lt;H2050*(1-Параметры!$B$7),"почасовка",IF(Q2050&gt;H2050*(1+Параметры!$B$7),"сделка","любой способ"))))</f>
        <v>сделка</v>
      </c>
      <c r="S2050">
        <v>0.5</v>
      </c>
      <c r="T2050">
        <v>0.56521739130434789</v>
      </c>
    </row>
    <row r="2051" spans="1:20" x14ac:dyDescent="0.25">
      <c r="A2051" s="13" t="s">
        <v>4132</v>
      </c>
      <c r="B2051" s="13" t="s">
        <v>4133</v>
      </c>
      <c r="C2051" s="13" t="s">
        <v>144</v>
      </c>
      <c r="D2051" s="13" t="s">
        <v>545</v>
      </c>
      <c r="E2051" s="13" t="str">
        <f>IFERROR(INDEX('Почасовка — ставки и план'!$B$5:$B$24,MATCH(D2051,'Почасовка — ставки и план'!$A$5:$A$24,0)),"Аренда техники / механизмы")</f>
        <v>Сервисный инженер ворот и автоматики</v>
      </c>
      <c r="F2051" s="14">
        <v>600</v>
      </c>
      <c r="G2051" s="14">
        <v>690</v>
      </c>
      <c r="H2051" s="15">
        <v>360</v>
      </c>
      <c r="I2051" s="15">
        <f>IF(OR(H2051="",F2051=""),"",MAX(H2051,MIN(ROUND(H2051*(1+Параметры!$B$5),IF(H2051*(1+Параметры!$B$5)&gt;=1000,-1,0)),ROUND(F2051*Параметры!$B$6,IF(F2051*Параметры!$B$6&gt;=1000,-1,0)))))</f>
        <v>414</v>
      </c>
      <c r="J2051" s="15">
        <v>414</v>
      </c>
      <c r="K2051" s="15">
        <f>IF(OR(J2051="",G2051=""),"",MAX(J2051,MIN(ROUND(J2051*(1+Параметры!$B$5),IF(J2051*(1+Параметры!$B$5)&gt;=1000,-1,0)),ROUND(G2051*Параметры!$B$6,IF(G2051*Параметры!$B$6&gt;=1000,-1,0)))))</f>
        <v>476</v>
      </c>
      <c r="L2051" s="16">
        <v>0.3</v>
      </c>
      <c r="M2051" s="17">
        <f t="shared" si="150"/>
        <v>3.3333333333333335</v>
      </c>
      <c r="N2051" s="17">
        <f>IF(OR(L2051="",L2051=0),"",Параметры!$B$3/L2051)</f>
        <v>26.666666666666668</v>
      </c>
      <c r="O2051" s="15">
        <f>IF(L2051="","",IFERROR(INDEX('Почасовка — ставки и план'!$D$5:$D$24,MATCH($D2051,'Почасовка — ставки и план'!$A$5:$A$24,0)),""))</f>
        <v>1200</v>
      </c>
      <c r="P2051" s="15">
        <f>IF(L2051="","",IFERROR(INDEX('Почасовка — ставки и план'!$E$5:$E$24,MATCH($D2051,'Почасовка — ставки и план'!$A$5:$A$24,0)),""))</f>
        <v>1440</v>
      </c>
      <c r="Q2051" s="15">
        <f t="shared" si="151"/>
        <v>360</v>
      </c>
      <c r="R2051" s="13" t="str">
        <f>IF(D2051="TEX","аренда техники — сделка/счёт",IF(OR(Q2051="",H2051="",H2051=0),"—",IF(Q2051&lt;H2051*(1-Параметры!$B$7),"почасовка",IF(Q2051&gt;H2051*(1+Параметры!$B$7),"сделка","любой способ"))))</f>
        <v>любой способ</v>
      </c>
      <c r="S2051">
        <v>0</v>
      </c>
      <c r="T2051">
        <v>0</v>
      </c>
    </row>
    <row r="2052" spans="1:20" x14ac:dyDescent="0.25">
      <c r="A2052" s="13" t="s">
        <v>4134</v>
      </c>
      <c r="B2052" s="13" t="s">
        <v>4135</v>
      </c>
      <c r="C2052" s="13" t="s">
        <v>144</v>
      </c>
      <c r="D2052" s="13" t="s">
        <v>545</v>
      </c>
      <c r="E2052" s="13" t="str">
        <f>IFERROR(INDEX('Почасовка — ставки и план'!$B$5:$B$24,MATCH(D2052,'Почасовка — ставки и план'!$A$5:$A$24,0)),"Аренда техники / механизмы")</f>
        <v>Сервисный инженер ворот и автоматики</v>
      </c>
      <c r="F2052" s="14">
        <v>700</v>
      </c>
      <c r="G2052" s="14">
        <v>805</v>
      </c>
      <c r="H2052" s="15">
        <v>420</v>
      </c>
      <c r="I2052" s="15">
        <f>IF(OR(H2052="",F2052=""),"",MAX(H2052,MIN(ROUND(H2052*(1+Параметры!$B$5),IF(H2052*(1+Параметры!$B$5)&gt;=1000,-1,0)),ROUND(F2052*Параметры!$B$6,IF(F2052*Параметры!$B$6&gt;=1000,-1,0)))))</f>
        <v>483</v>
      </c>
      <c r="J2052" s="15">
        <v>483</v>
      </c>
      <c r="K2052" s="15">
        <f>IF(OR(J2052="",G2052=""),"",MAX(J2052,MIN(ROUND(J2052*(1+Параметры!$B$5),IF(J2052*(1+Параметры!$B$5)&gt;=1000,-1,0)),ROUND(G2052*Параметры!$B$6,IF(G2052*Параметры!$B$6&gt;=1000,-1,0)))))</f>
        <v>555</v>
      </c>
      <c r="L2052" s="16">
        <v>0.4</v>
      </c>
      <c r="M2052" s="17">
        <f t="shared" si="150"/>
        <v>2.5</v>
      </c>
      <c r="N2052" s="17">
        <f>IF(OR(L2052="",L2052=0),"",Параметры!$B$3/L2052)</f>
        <v>20</v>
      </c>
      <c r="O2052" s="15">
        <f>IF(L2052="","",IFERROR(INDEX('Почасовка — ставки и план'!$D$5:$D$24,MATCH($D2052,'Почасовка — ставки и план'!$A$5:$A$24,0)),""))</f>
        <v>1200</v>
      </c>
      <c r="P2052" s="15">
        <f>IF(L2052="","",IFERROR(INDEX('Почасовка — ставки и план'!$E$5:$E$24,MATCH($D2052,'Почасовка — ставки и план'!$A$5:$A$24,0)),""))</f>
        <v>1440</v>
      </c>
      <c r="Q2052" s="15">
        <f t="shared" si="151"/>
        <v>480</v>
      </c>
      <c r="R2052" s="13" t="str">
        <f>IF(D2052="TEX","аренда техники — сделка/счёт",IF(OR(Q2052="",H2052="",H2052=0),"—",IF(Q2052&lt;H2052*(1-Параметры!$B$7),"почасовка",IF(Q2052&gt;H2052*(1+Параметры!$B$7),"сделка","любой способ"))))</f>
        <v>сделка</v>
      </c>
      <c r="S2052">
        <v>0</v>
      </c>
      <c r="T2052">
        <v>0</v>
      </c>
    </row>
    <row r="2053" spans="1:20" x14ac:dyDescent="0.25">
      <c r="A2053" s="13" t="s">
        <v>4136</v>
      </c>
      <c r="B2053" s="13" t="s">
        <v>4137</v>
      </c>
      <c r="C2053" s="13" t="s">
        <v>144</v>
      </c>
      <c r="D2053" s="13" t="s">
        <v>545</v>
      </c>
      <c r="E2053" s="13" t="str">
        <f>IFERROR(INDEX('Почасовка — ставки и план'!$B$5:$B$24,MATCH(D2053,'Почасовка — ставки и план'!$A$5:$A$24,0)),"Аренда техники / механизмы")</f>
        <v>Сервисный инженер ворот и автоматики</v>
      </c>
      <c r="F2053" s="14">
        <v>600</v>
      </c>
      <c r="G2053" s="14">
        <v>690</v>
      </c>
      <c r="H2053" s="15">
        <v>360</v>
      </c>
      <c r="I2053" s="15">
        <f>IF(OR(H2053="",F2053=""),"",MAX(H2053,MIN(ROUND(H2053*(1+Параметры!$B$5),IF(H2053*(1+Параметры!$B$5)&gt;=1000,-1,0)),ROUND(F2053*Параметры!$B$6,IF(F2053*Параметры!$B$6&gt;=1000,-1,0)))))</f>
        <v>414</v>
      </c>
      <c r="J2053" s="15">
        <v>414</v>
      </c>
      <c r="K2053" s="15">
        <f>IF(OR(J2053="",G2053=""),"",MAX(J2053,MIN(ROUND(J2053*(1+Параметры!$B$5),IF(J2053*(1+Параметры!$B$5)&gt;=1000,-1,0)),ROUND(G2053*Параметры!$B$6,IF(G2053*Параметры!$B$6&gt;=1000,-1,0)))))</f>
        <v>476</v>
      </c>
      <c r="L2053" s="16">
        <v>0.3</v>
      </c>
      <c r="M2053" s="17">
        <f t="shared" si="150"/>
        <v>3.3333333333333335</v>
      </c>
      <c r="N2053" s="17">
        <f>IF(OR(L2053="",L2053=0),"",Параметры!$B$3/L2053)</f>
        <v>26.666666666666668</v>
      </c>
      <c r="O2053" s="15">
        <f>IF(L2053="","",IFERROR(INDEX('Почасовка — ставки и план'!$D$5:$D$24,MATCH($D2053,'Почасовка — ставки и план'!$A$5:$A$24,0)),""))</f>
        <v>1200</v>
      </c>
      <c r="P2053" s="15">
        <f>IF(L2053="","",IFERROR(INDEX('Почасовка — ставки и план'!$E$5:$E$24,MATCH($D2053,'Почасовка — ставки и план'!$A$5:$A$24,0)),""))</f>
        <v>1440</v>
      </c>
      <c r="Q2053" s="15">
        <f t="shared" si="151"/>
        <v>360</v>
      </c>
      <c r="R2053" s="13" t="str">
        <f>IF(D2053="TEX","аренда техники — сделка/счёт",IF(OR(Q2053="",H2053="",H2053=0),"—",IF(Q2053&lt;H2053*(1-Параметры!$B$7),"почасовка",IF(Q2053&gt;H2053*(1+Параметры!$B$7),"сделка","любой способ"))))</f>
        <v>любой способ</v>
      </c>
      <c r="S2053">
        <v>0</v>
      </c>
      <c r="T2053">
        <v>0</v>
      </c>
    </row>
    <row r="2054" spans="1:20" x14ac:dyDescent="0.25">
      <c r="A2054" s="13" t="s">
        <v>4138</v>
      </c>
      <c r="B2054" s="13" t="s">
        <v>4139</v>
      </c>
      <c r="C2054" s="13" t="s">
        <v>144</v>
      </c>
      <c r="D2054" s="13" t="s">
        <v>545</v>
      </c>
      <c r="E2054" s="13" t="str">
        <f>IFERROR(INDEX('Почасовка — ставки и план'!$B$5:$B$24,MATCH(D2054,'Почасовка — ставки и план'!$A$5:$A$24,0)),"Аренда техники / механизмы")</f>
        <v>Сервисный инженер ворот и автоматики</v>
      </c>
      <c r="F2054" s="14">
        <v>4000</v>
      </c>
      <c r="G2054" s="14">
        <v>4600</v>
      </c>
      <c r="H2054" s="15">
        <v>2400</v>
      </c>
      <c r="I2054" s="15">
        <f>IF(OR(H2054="",F2054=""),"",MAX(H2054,MIN(ROUND(H2054*(1+Параметры!$B$5),IF(H2054*(1+Параметры!$B$5)&gt;=1000,-1,0)),ROUND(F2054*Параметры!$B$6,IF(F2054*Параметры!$B$6&gt;=1000,-1,0)))))</f>
        <v>2760</v>
      </c>
      <c r="J2054" s="15">
        <v>2760</v>
      </c>
      <c r="K2054" s="15">
        <f>IF(OR(J2054="",G2054=""),"",MAX(J2054,MIN(ROUND(J2054*(1+Параметры!$B$5),IF(J2054*(1+Параметры!$B$5)&gt;=1000,-1,0)),ROUND(G2054*Параметры!$B$6,IF(G2054*Параметры!$B$6&gt;=1000,-1,0)))))</f>
        <v>3170</v>
      </c>
      <c r="L2054" s="16">
        <v>2</v>
      </c>
      <c r="M2054" s="17">
        <f t="shared" si="150"/>
        <v>0.5</v>
      </c>
      <c r="N2054" s="17">
        <f>IF(OR(L2054="",L2054=0),"",Параметры!$B$3/L2054)</f>
        <v>4</v>
      </c>
      <c r="O2054" s="15">
        <f>IF(L2054="","",IFERROR(INDEX('Почасовка — ставки и план'!$D$5:$D$24,MATCH($D2054,'Почасовка — ставки и план'!$A$5:$A$24,0)),""))</f>
        <v>1200</v>
      </c>
      <c r="P2054" s="15">
        <f>IF(L2054="","",IFERROR(INDEX('Почасовка — ставки и план'!$E$5:$E$24,MATCH($D2054,'Почасовка — ставки и план'!$A$5:$A$24,0)),""))</f>
        <v>1440</v>
      </c>
      <c r="Q2054" s="15">
        <f t="shared" si="151"/>
        <v>2400</v>
      </c>
      <c r="R2054" s="13" t="str">
        <f>IF(D2054="TEX","аренда техники — сделка/счёт",IF(OR(Q2054="",H2054="",H2054=0),"—",IF(Q2054&lt;H2054*(1-Параметры!$B$7),"почасовка",IF(Q2054&gt;H2054*(1+Параметры!$B$7),"сделка","любой способ"))))</f>
        <v>любой способ</v>
      </c>
      <c r="S2054">
        <v>0</v>
      </c>
      <c r="T2054">
        <v>0</v>
      </c>
    </row>
    <row r="2055" spans="1:20" x14ac:dyDescent="0.25">
      <c r="A2055" s="13" t="s">
        <v>4140</v>
      </c>
      <c r="B2055" s="13" t="s">
        <v>4141</v>
      </c>
      <c r="C2055" s="13" t="s">
        <v>144</v>
      </c>
      <c r="D2055" s="13" t="s">
        <v>545</v>
      </c>
      <c r="E2055" s="13" t="str">
        <f>IFERROR(INDEX('Почасовка — ставки и план'!$B$5:$B$24,MATCH(D2055,'Почасовка — ставки и план'!$A$5:$A$24,0)),"Аренда техники / механизмы")</f>
        <v>Сервисный инженер ворот и автоматики</v>
      </c>
      <c r="F2055" s="14">
        <v>1800</v>
      </c>
      <c r="G2055" s="14">
        <v>2070</v>
      </c>
      <c r="H2055" s="15">
        <v>1080</v>
      </c>
      <c r="I2055" s="15">
        <f>IF(OR(H2055="",F2055=""),"",MAX(H2055,MIN(ROUND(H2055*(1+Параметры!$B$5),IF(H2055*(1+Параметры!$B$5)&gt;=1000,-1,0)),ROUND(F2055*Параметры!$B$6,IF(F2055*Параметры!$B$6&gt;=1000,-1,0)))))</f>
        <v>1240</v>
      </c>
      <c r="J2055" s="15">
        <v>1242</v>
      </c>
      <c r="K2055" s="15">
        <f>IF(OR(J2055="",G2055=""),"",MAX(J2055,MIN(ROUND(J2055*(1+Параметры!$B$5),IF(J2055*(1+Параметры!$B$5)&gt;=1000,-1,0)),ROUND(G2055*Параметры!$B$6,IF(G2055*Параметры!$B$6&gt;=1000,-1,0)))))</f>
        <v>1430</v>
      </c>
      <c r="L2055" s="16">
        <v>1</v>
      </c>
      <c r="M2055" s="17">
        <f t="shared" si="150"/>
        <v>1</v>
      </c>
      <c r="N2055" s="17">
        <f>IF(OR(L2055="",L2055=0),"",Параметры!$B$3/L2055)</f>
        <v>8</v>
      </c>
      <c r="O2055" s="15">
        <f>IF(L2055="","",IFERROR(INDEX('Почасовка — ставки и план'!$D$5:$D$24,MATCH($D2055,'Почасовка — ставки и план'!$A$5:$A$24,0)),""))</f>
        <v>1200</v>
      </c>
      <c r="P2055" s="15">
        <f>IF(L2055="","",IFERROR(INDEX('Почасовка — ставки и план'!$E$5:$E$24,MATCH($D2055,'Почасовка — ставки и план'!$A$5:$A$24,0)),""))</f>
        <v>1440</v>
      </c>
      <c r="Q2055" s="15">
        <f t="shared" si="151"/>
        <v>1200</v>
      </c>
      <c r="R2055" s="13" t="str">
        <f>IF(D2055="TEX","аренда техники — сделка/счёт",IF(OR(Q2055="",H2055="",H2055=0),"—",IF(Q2055&lt;H2055*(1-Параметры!$B$7),"почасовка",IF(Q2055&gt;H2055*(1+Параметры!$B$7),"сделка","любой способ"))))</f>
        <v>сделка</v>
      </c>
      <c r="S2055">
        <v>0</v>
      </c>
      <c r="T2055">
        <v>0</v>
      </c>
    </row>
    <row r="2056" spans="1:20" x14ac:dyDescent="0.25">
      <c r="A2056" s="13" t="s">
        <v>4142</v>
      </c>
      <c r="B2056" s="13" t="s">
        <v>4143</v>
      </c>
      <c r="C2056" s="13" t="s">
        <v>144</v>
      </c>
      <c r="D2056" s="13" t="s">
        <v>64</v>
      </c>
      <c r="E2056" s="13" t="str">
        <f>IFERROR(INDEX('Почасовка — ставки и план'!$B$5:$B$24,MATCH(D2056,'Почасовка — ставки и план'!$A$5:$A$24,0)),"Аренда техники / механизмы")</f>
        <v>Сварщик / монтажник МК</v>
      </c>
      <c r="F2056" s="14">
        <v>2000</v>
      </c>
      <c r="G2056" s="14">
        <v>2300</v>
      </c>
      <c r="H2056" s="15">
        <v>1240</v>
      </c>
      <c r="I2056" s="15">
        <f>IF(OR(H2056="",F2056=""),"",MAX(H2056,MIN(ROUND(H2056*(1+Параметры!$B$5),IF(H2056*(1+Параметры!$B$5)&gt;=1000,-1,0)),ROUND(F2056*Параметры!$B$6,IF(F2056*Параметры!$B$6&gt;=1000,-1,0)))))</f>
        <v>1430</v>
      </c>
      <c r="J2056" s="15">
        <v>1426</v>
      </c>
      <c r="K2056" s="15">
        <f>IF(OR(J2056="",G2056=""),"",MAX(J2056,MIN(ROUND(J2056*(1+Параметры!$B$5),IF(J2056*(1+Параметры!$B$5)&gt;=1000,-1,0)),ROUND(G2056*Параметры!$B$6,IF(G2056*Параметры!$B$6&gt;=1000,-1,0)))))</f>
        <v>1640</v>
      </c>
      <c r="L2056" s="16">
        <v>1.5</v>
      </c>
      <c r="M2056" s="17">
        <f t="shared" si="150"/>
        <v>0.66666666666666663</v>
      </c>
      <c r="N2056" s="17">
        <f>IF(OR(L2056="",L2056=0),"",Параметры!$B$3/L2056)</f>
        <v>5.333333333333333</v>
      </c>
      <c r="O2056" s="15">
        <f>IF(L2056="","",IFERROR(INDEX('Почасовка — ставки и план'!$D$5:$D$24,MATCH($D2056,'Почасовка — ставки и план'!$A$5:$A$24,0)),""))</f>
        <v>900</v>
      </c>
      <c r="P2056" s="15">
        <f>IF(L2056="","",IFERROR(INDEX('Почасовка — ставки и план'!$E$5:$E$24,MATCH($D2056,'Почасовка — ставки и план'!$A$5:$A$24,0)),""))</f>
        <v>1080</v>
      </c>
      <c r="Q2056" s="15">
        <f t="shared" si="151"/>
        <v>1350</v>
      </c>
      <c r="R2056" s="13" t="str">
        <f>IF(D2056="TEX","аренда техники — сделка/счёт",IF(OR(Q2056="",H2056="",H2056=0),"—",IF(Q2056&lt;H2056*(1-Параметры!$B$7),"почасовка",IF(Q2056&gt;H2056*(1+Параметры!$B$7),"сделка","любой способ"))))</f>
        <v>любой способ</v>
      </c>
      <c r="S2056">
        <v>0</v>
      </c>
      <c r="T2056">
        <v>0</v>
      </c>
    </row>
    <row r="2057" spans="1:20" x14ac:dyDescent="0.25">
      <c r="A2057" s="13" t="s">
        <v>4144</v>
      </c>
      <c r="B2057" s="13" t="s">
        <v>4145</v>
      </c>
      <c r="C2057" s="13" t="s">
        <v>144</v>
      </c>
      <c r="D2057" s="13" t="s">
        <v>545</v>
      </c>
      <c r="E2057" s="13" t="str">
        <f>IFERROR(INDEX('Почасовка — ставки и план'!$B$5:$B$24,MATCH(D2057,'Почасовка — ставки и план'!$A$5:$A$24,0)),"Аренда техники / механизмы")</f>
        <v>Сервисный инженер ворот и автоматики</v>
      </c>
      <c r="F2057" s="14">
        <v>500</v>
      </c>
      <c r="G2057" s="14">
        <v>576</v>
      </c>
      <c r="H2057" s="15">
        <v>300</v>
      </c>
      <c r="I2057" s="15">
        <f>IF(OR(H2057="",F2057=""),"",MAX(H2057,MIN(ROUND(H2057*(1+Параметры!$B$5),IF(H2057*(1+Параметры!$B$5)&gt;=1000,-1,0)),ROUND(F2057*Параметры!$B$6,IF(F2057*Параметры!$B$6&gt;=1000,-1,0)))))</f>
        <v>345</v>
      </c>
      <c r="J2057" s="15">
        <v>345</v>
      </c>
      <c r="K2057" s="15">
        <f>IF(OR(J2057="",G2057=""),"",MAX(J2057,MIN(ROUND(J2057*(1+Параметры!$B$5),IF(J2057*(1+Параметры!$B$5)&gt;=1000,-1,0)),ROUND(G2057*Параметры!$B$6,IF(G2057*Параметры!$B$6&gt;=1000,-1,0)))))</f>
        <v>397</v>
      </c>
      <c r="L2057" s="16">
        <v>0.3</v>
      </c>
      <c r="M2057" s="17">
        <f t="shared" si="150"/>
        <v>3.3333333333333335</v>
      </c>
      <c r="N2057" s="17">
        <f>IF(OR(L2057="",L2057=0),"",Параметры!$B$3/L2057)</f>
        <v>26.666666666666668</v>
      </c>
      <c r="O2057" s="15">
        <f>IF(L2057="","",IFERROR(INDEX('Почасовка — ставки и план'!$D$5:$D$24,MATCH($D2057,'Почасовка — ставки и план'!$A$5:$A$24,0)),""))</f>
        <v>1200</v>
      </c>
      <c r="P2057" s="15">
        <f>IF(L2057="","",IFERROR(INDEX('Почасовка — ставки и план'!$E$5:$E$24,MATCH($D2057,'Почасовка — ставки и план'!$A$5:$A$24,0)),""))</f>
        <v>1440</v>
      </c>
      <c r="Q2057" s="15">
        <f t="shared" si="151"/>
        <v>360</v>
      </c>
      <c r="R2057" s="13" t="str">
        <f>IF(D2057="TEX","аренда техники — сделка/счёт",IF(OR(Q2057="",H2057="",H2057=0),"—",IF(Q2057&lt;H2057*(1-Параметры!$B$7),"почасовка",IF(Q2057&gt;H2057*(1+Параметры!$B$7),"сделка","любой способ"))))</f>
        <v>сделка</v>
      </c>
      <c r="S2057">
        <v>0</v>
      </c>
      <c r="T2057">
        <v>1.739130434782687E-3</v>
      </c>
    </row>
    <row r="2058" spans="1:20" x14ac:dyDescent="0.25">
      <c r="A2058" s="13" t="s">
        <v>4146</v>
      </c>
      <c r="B2058" s="13" t="s">
        <v>4147</v>
      </c>
      <c r="C2058" s="13" t="s">
        <v>144</v>
      </c>
      <c r="D2058" s="13" t="s">
        <v>545</v>
      </c>
      <c r="E2058" s="13" t="str">
        <f>IFERROR(INDEX('Почасовка — ставки и план'!$B$5:$B$24,MATCH(D2058,'Почасовка — ставки и план'!$A$5:$A$24,0)),"Аренда техники / механизмы")</f>
        <v>Сервисный инженер ворот и автоматики</v>
      </c>
      <c r="F2058" s="14">
        <v>2200</v>
      </c>
      <c r="G2058" s="14">
        <v>2530</v>
      </c>
      <c r="H2058" s="15">
        <v>1320</v>
      </c>
      <c r="I2058" s="15">
        <f>IF(OR(H2058="",F2058=""),"",MAX(H2058,MIN(ROUND(H2058*(1+Параметры!$B$5),IF(H2058*(1+Параметры!$B$5)&gt;=1000,-1,0)),ROUND(F2058*Параметры!$B$6,IF(F2058*Параметры!$B$6&gt;=1000,-1,0)))))</f>
        <v>1520</v>
      </c>
      <c r="J2058" s="15">
        <v>1518</v>
      </c>
      <c r="K2058" s="15">
        <f>IF(OR(J2058="",G2058=""),"",MAX(J2058,MIN(ROUND(J2058*(1+Параметры!$B$5),IF(J2058*(1+Параметры!$B$5)&gt;=1000,-1,0)),ROUND(G2058*Параметры!$B$6,IF(G2058*Параметры!$B$6&gt;=1000,-1,0)))))</f>
        <v>1750</v>
      </c>
      <c r="L2058" s="16">
        <v>1.2</v>
      </c>
      <c r="M2058" s="17">
        <f t="shared" si="150"/>
        <v>0.83333333333333337</v>
      </c>
      <c r="N2058" s="17">
        <f>IF(OR(L2058="",L2058=0),"",Параметры!$B$3/L2058)</f>
        <v>6.666666666666667</v>
      </c>
      <c r="O2058" s="15">
        <f>IF(L2058="","",IFERROR(INDEX('Почасовка — ставки и план'!$D$5:$D$24,MATCH($D2058,'Почасовка — ставки и план'!$A$5:$A$24,0)),""))</f>
        <v>1200</v>
      </c>
      <c r="P2058" s="15">
        <f>IF(L2058="","",IFERROR(INDEX('Почасовка — ставки и план'!$E$5:$E$24,MATCH($D2058,'Почасовка — ставки и план'!$A$5:$A$24,0)),""))</f>
        <v>1440</v>
      </c>
      <c r="Q2058" s="15">
        <f t="shared" si="151"/>
        <v>1440</v>
      </c>
      <c r="R2058" s="13" t="str">
        <f>IF(D2058="TEX","аренда техники — сделка/счёт",IF(OR(Q2058="",H2058="",H2058=0),"—",IF(Q2058&lt;H2058*(1-Параметры!$B$7),"почасовка",IF(Q2058&gt;H2058*(1+Параметры!$B$7),"сделка","любой способ"))))</f>
        <v>любой способ</v>
      </c>
      <c r="S2058">
        <v>0</v>
      </c>
      <c r="T2058">
        <v>0</v>
      </c>
    </row>
    <row r="2059" spans="1:20" x14ac:dyDescent="0.25">
      <c r="A2059" s="13" t="s">
        <v>4148</v>
      </c>
      <c r="B2059" s="13" t="s">
        <v>4149</v>
      </c>
      <c r="C2059" s="13" t="s">
        <v>144</v>
      </c>
      <c r="D2059" s="13" t="s">
        <v>545</v>
      </c>
      <c r="E2059" s="13" t="str">
        <f>IFERROR(INDEX('Почасовка — ставки и план'!$B$5:$B$24,MATCH(D2059,'Почасовка — ставки и план'!$A$5:$A$24,0)),"Аренда техники / механизмы")</f>
        <v>Сервисный инженер ворот и автоматики</v>
      </c>
      <c r="F2059" s="14">
        <v>3000</v>
      </c>
      <c r="G2059" s="14">
        <v>3450</v>
      </c>
      <c r="H2059" s="15">
        <v>1800</v>
      </c>
      <c r="I2059" s="15">
        <f>IF(OR(H2059="",F2059=""),"",MAX(H2059,MIN(ROUND(H2059*(1+Параметры!$B$5),IF(H2059*(1+Параметры!$B$5)&gt;=1000,-1,0)),ROUND(F2059*Параметры!$B$6,IF(F2059*Параметры!$B$6&gt;=1000,-1,0)))))</f>
        <v>2070</v>
      </c>
      <c r="J2059" s="15">
        <v>2070</v>
      </c>
      <c r="K2059" s="15">
        <f>IF(OR(J2059="",G2059=""),"",MAX(J2059,MIN(ROUND(J2059*(1+Параметры!$B$5),IF(J2059*(1+Параметры!$B$5)&gt;=1000,-1,0)),ROUND(G2059*Параметры!$B$6,IF(G2059*Параметры!$B$6&gt;=1000,-1,0)))))</f>
        <v>2380</v>
      </c>
      <c r="L2059" s="16">
        <v>1.5</v>
      </c>
      <c r="M2059" s="17">
        <f t="shared" si="150"/>
        <v>0.66666666666666663</v>
      </c>
      <c r="N2059" s="17">
        <f>IF(OR(L2059="",L2059=0),"",Параметры!$B$3/L2059)</f>
        <v>5.333333333333333</v>
      </c>
      <c r="O2059" s="15">
        <f>IF(L2059="","",IFERROR(INDEX('Почасовка — ставки и план'!$D$5:$D$24,MATCH($D2059,'Почасовка — ставки и план'!$A$5:$A$24,0)),""))</f>
        <v>1200</v>
      </c>
      <c r="P2059" s="15">
        <f>IF(L2059="","",IFERROR(INDEX('Почасовка — ставки и план'!$E$5:$E$24,MATCH($D2059,'Почасовка — ставки и план'!$A$5:$A$24,0)),""))</f>
        <v>1440</v>
      </c>
      <c r="Q2059" s="15">
        <f t="shared" si="151"/>
        <v>1800</v>
      </c>
      <c r="R2059" s="13" t="str">
        <f>IF(D2059="TEX","аренда техники — сделка/счёт",IF(OR(Q2059="",H2059="",H2059=0),"—",IF(Q2059&lt;H2059*(1-Параметры!$B$7),"почасовка",IF(Q2059&gt;H2059*(1+Параметры!$B$7),"сделка","любой способ"))))</f>
        <v>любой способ</v>
      </c>
      <c r="S2059">
        <v>0</v>
      </c>
      <c r="T2059">
        <v>0</v>
      </c>
    </row>
    <row r="2060" spans="1:20" x14ac:dyDescent="0.25">
      <c r="A2060" s="13" t="s">
        <v>4150</v>
      </c>
      <c r="B2060" s="13" t="s">
        <v>4151</v>
      </c>
      <c r="C2060" s="13" t="s">
        <v>144</v>
      </c>
      <c r="D2060" s="13" t="s">
        <v>545</v>
      </c>
      <c r="E2060" s="13" t="str">
        <f>IFERROR(INDEX('Почасовка — ставки и план'!$B$5:$B$24,MATCH(D2060,'Почасовка — ставки и план'!$A$5:$A$24,0)),"Аренда техники / механизмы")</f>
        <v>Сервисный инженер ворот и автоматики</v>
      </c>
      <c r="F2060" s="14">
        <v>1000</v>
      </c>
      <c r="G2060" s="14">
        <v>1152</v>
      </c>
      <c r="H2060" s="15">
        <v>600</v>
      </c>
      <c r="I2060" s="15">
        <f>IF(OR(H2060="",F2060=""),"",MAX(H2060,MIN(ROUND(H2060*(1+Параметры!$B$5),IF(H2060*(1+Параметры!$B$5)&gt;=1000,-1,0)),ROUND(F2060*Параметры!$B$6,IF(F2060*Параметры!$B$6&gt;=1000,-1,0)))))</f>
        <v>690</v>
      </c>
      <c r="J2060" s="15">
        <v>690</v>
      </c>
      <c r="K2060" s="15">
        <f>IF(OR(J2060="",G2060=""),"",MAX(J2060,MIN(ROUND(J2060*(1+Параметры!$B$5),IF(J2060*(1+Параметры!$B$5)&gt;=1000,-1,0)),ROUND(G2060*Параметры!$B$6,IF(G2060*Параметры!$B$6&gt;=1000,-1,0)))))</f>
        <v>794</v>
      </c>
      <c r="L2060" s="16">
        <v>0.6</v>
      </c>
      <c r="M2060" s="17">
        <f t="shared" si="150"/>
        <v>1.6666666666666667</v>
      </c>
      <c r="N2060" s="17">
        <f>IF(OR(L2060="",L2060=0),"",Параметры!$B$3/L2060)</f>
        <v>13.333333333333334</v>
      </c>
      <c r="O2060" s="15">
        <f>IF(L2060="","",IFERROR(INDEX('Почасовка — ставки и план'!$D$5:$D$24,MATCH($D2060,'Почасовка — ставки и план'!$A$5:$A$24,0)),""))</f>
        <v>1200</v>
      </c>
      <c r="P2060" s="15">
        <f>IF(L2060="","",IFERROR(INDEX('Почасовка — ставки и план'!$E$5:$E$24,MATCH($D2060,'Почасовка — ставки и план'!$A$5:$A$24,0)),""))</f>
        <v>1440</v>
      </c>
      <c r="Q2060" s="15">
        <f t="shared" si="151"/>
        <v>720</v>
      </c>
      <c r="R2060" s="13" t="str">
        <f>IF(D2060="TEX","аренда техники — сделка/счёт",IF(OR(Q2060="",H2060="",H2060=0),"—",IF(Q2060&lt;H2060*(1-Параметры!$B$7),"почасовка",IF(Q2060&gt;H2060*(1+Параметры!$B$7),"сделка","любой способ"))))</f>
        <v>сделка</v>
      </c>
      <c r="S2060">
        <v>0</v>
      </c>
      <c r="T2060">
        <v>1.739130434782687E-3</v>
      </c>
    </row>
    <row r="2061" spans="1:20" x14ac:dyDescent="0.25">
      <c r="A2061" s="13" t="s">
        <v>4152</v>
      </c>
      <c r="B2061" s="13" t="s">
        <v>4153</v>
      </c>
      <c r="C2061" s="13" t="s">
        <v>69</v>
      </c>
      <c r="D2061" s="13" t="s">
        <v>545</v>
      </c>
      <c r="E2061" s="13" t="str">
        <f>IFERROR(INDEX('Почасовка — ставки и план'!$B$5:$B$24,MATCH(D2061,'Почасовка — ставки и план'!$A$5:$A$24,0)),"Аренда техники / механизмы")</f>
        <v>Сервисный инженер ворот и автоматики</v>
      </c>
      <c r="F2061" s="14">
        <v>250</v>
      </c>
      <c r="G2061" s="14">
        <v>288</v>
      </c>
      <c r="H2061" s="15">
        <v>150</v>
      </c>
      <c r="I2061" s="15">
        <f>IF(OR(H2061="",F2061=""),"",MAX(H2061,MIN(ROUND(H2061*(1+Параметры!$B$5),IF(H2061*(1+Параметры!$B$5)&gt;=1000,-1,0)),ROUND(F2061*Параметры!$B$6,IF(F2061*Параметры!$B$6&gt;=1000,-1,0)))))</f>
        <v>173</v>
      </c>
      <c r="J2061" s="15">
        <v>172</v>
      </c>
      <c r="K2061" s="15">
        <f>IF(OR(J2061="",G2061=""),"",MAX(J2061,MIN(ROUND(J2061*(1+Параметры!$B$5),IF(J2061*(1+Параметры!$B$5)&gt;=1000,-1,0)),ROUND(G2061*Параметры!$B$6,IF(G2061*Параметры!$B$6&gt;=1000,-1,0)))))</f>
        <v>198</v>
      </c>
      <c r="L2061" s="16">
        <v>0.15</v>
      </c>
      <c r="M2061" s="17">
        <f t="shared" si="150"/>
        <v>6.666666666666667</v>
      </c>
      <c r="N2061" s="17">
        <f>IF(OR(L2061="",L2061=0),"",Параметры!$B$3/L2061)</f>
        <v>53.333333333333336</v>
      </c>
      <c r="O2061" s="15">
        <f>IF(L2061="","",IFERROR(INDEX('Почасовка — ставки и план'!$D$5:$D$24,MATCH($D2061,'Почасовка — ставки и план'!$A$5:$A$24,0)),""))</f>
        <v>1200</v>
      </c>
      <c r="P2061" s="15">
        <f>IF(L2061="","",IFERROR(INDEX('Почасовка — ставки и план'!$E$5:$E$24,MATCH($D2061,'Почасовка — ставки и план'!$A$5:$A$24,0)),""))</f>
        <v>1440</v>
      </c>
      <c r="Q2061" s="15">
        <f t="shared" si="151"/>
        <v>180</v>
      </c>
      <c r="R2061" s="13" t="str">
        <f>IF(D2061="TEX","аренда техники — сделка/счёт",IF(OR(Q2061="",H2061="",H2061=0),"—",IF(Q2061&lt;H2061*(1-Параметры!$B$7),"почасовка",IF(Q2061&gt;H2061*(1+Параметры!$B$7),"сделка","любой способ"))))</f>
        <v>сделка</v>
      </c>
      <c r="S2061">
        <v>0</v>
      </c>
      <c r="T2061">
        <v>0</v>
      </c>
    </row>
    <row r="2062" spans="1:20" x14ac:dyDescent="0.25">
      <c r="A2062" s="13" t="s">
        <v>4154</v>
      </c>
      <c r="B2062" s="13" t="s">
        <v>4155</v>
      </c>
      <c r="C2062" s="13" t="s">
        <v>69</v>
      </c>
      <c r="D2062" s="13" t="s">
        <v>545</v>
      </c>
      <c r="E2062" s="13" t="str">
        <f>IFERROR(INDEX('Почасовка — ставки и план'!$B$5:$B$24,MATCH(D2062,'Почасовка — ставки и план'!$A$5:$A$24,0)),"Аренда техники / механизмы")</f>
        <v>Сервисный инженер ворот и автоматики</v>
      </c>
      <c r="F2062" s="14">
        <v>250</v>
      </c>
      <c r="G2062" s="14">
        <v>288</v>
      </c>
      <c r="H2062" s="15">
        <v>150</v>
      </c>
      <c r="I2062" s="15">
        <f>IF(OR(H2062="",F2062=""),"",MAX(H2062,MIN(ROUND(H2062*(1+Параметры!$B$5),IF(H2062*(1+Параметры!$B$5)&gt;=1000,-1,0)),ROUND(F2062*Параметры!$B$6,IF(F2062*Параметры!$B$6&gt;=1000,-1,0)))))</f>
        <v>173</v>
      </c>
      <c r="J2062" s="15">
        <v>172</v>
      </c>
      <c r="K2062" s="15">
        <f>IF(OR(J2062="",G2062=""),"",MAX(J2062,MIN(ROUND(J2062*(1+Параметры!$B$5),IF(J2062*(1+Параметры!$B$5)&gt;=1000,-1,0)),ROUND(G2062*Параметры!$B$6,IF(G2062*Параметры!$B$6&gt;=1000,-1,0)))))</f>
        <v>198</v>
      </c>
      <c r="L2062" s="16">
        <v>0.15</v>
      </c>
      <c r="M2062" s="17">
        <f t="shared" si="150"/>
        <v>6.666666666666667</v>
      </c>
      <c r="N2062" s="17">
        <f>IF(OR(L2062="",L2062=0),"",Параметры!$B$3/L2062)</f>
        <v>53.333333333333336</v>
      </c>
      <c r="O2062" s="15">
        <f>IF(L2062="","",IFERROR(INDEX('Почасовка — ставки и план'!$D$5:$D$24,MATCH($D2062,'Почасовка — ставки и план'!$A$5:$A$24,0)),""))</f>
        <v>1200</v>
      </c>
      <c r="P2062" s="15">
        <f>IF(L2062="","",IFERROR(INDEX('Почасовка — ставки и план'!$E$5:$E$24,MATCH($D2062,'Почасовка — ставки и план'!$A$5:$A$24,0)),""))</f>
        <v>1440</v>
      </c>
      <c r="Q2062" s="15">
        <f t="shared" si="151"/>
        <v>180</v>
      </c>
      <c r="R2062" s="13" t="str">
        <f>IF(D2062="TEX","аренда техники — сделка/счёт",IF(OR(Q2062="",H2062="",H2062=0),"—",IF(Q2062&lt;H2062*(1-Параметры!$B$7),"почасовка",IF(Q2062&gt;H2062*(1+Параметры!$B$7),"сделка","любой способ"))))</f>
        <v>сделка</v>
      </c>
      <c r="S2062">
        <v>0</v>
      </c>
      <c r="T2062">
        <v>0</v>
      </c>
    </row>
    <row r="2063" spans="1:20" x14ac:dyDescent="0.25">
      <c r="A2063" s="13" t="s">
        <v>4156</v>
      </c>
      <c r="B2063" s="13" t="s">
        <v>4157</v>
      </c>
      <c r="C2063" s="13" t="s">
        <v>144</v>
      </c>
      <c r="D2063" s="13" t="s">
        <v>545</v>
      </c>
      <c r="E2063" s="13" t="str">
        <f>IFERROR(INDEX('Почасовка — ставки и план'!$B$5:$B$24,MATCH(D2063,'Почасовка — ставки и план'!$A$5:$A$24,0)),"Аренда техники / механизмы")</f>
        <v>Сервисный инженер ворот и автоматики</v>
      </c>
      <c r="F2063" s="14">
        <v>5000</v>
      </c>
      <c r="G2063" s="14">
        <v>5750</v>
      </c>
      <c r="H2063" s="15">
        <v>3000</v>
      </c>
      <c r="I2063" s="15">
        <f>IF(OR(H2063="",F2063=""),"",MAX(H2063,MIN(ROUND(H2063*(1+Параметры!$B$5),IF(H2063*(1+Параметры!$B$5)&gt;=1000,-1,0)),ROUND(F2063*Параметры!$B$6,IF(F2063*Параметры!$B$6&gt;=1000,-1,0)))))</f>
        <v>3450</v>
      </c>
      <c r="J2063" s="15">
        <v>3450</v>
      </c>
      <c r="K2063" s="15">
        <f>IF(OR(J2063="",G2063=""),"",MAX(J2063,MIN(ROUND(J2063*(1+Параметры!$B$5),IF(J2063*(1+Параметры!$B$5)&gt;=1000,-1,0)),ROUND(G2063*Параметры!$B$6,IF(G2063*Параметры!$B$6&gt;=1000,-1,0)))))</f>
        <v>3970</v>
      </c>
      <c r="L2063" s="16">
        <v>2.5</v>
      </c>
      <c r="M2063" s="17">
        <f t="shared" si="150"/>
        <v>0.4</v>
      </c>
      <c r="N2063" s="17">
        <f>IF(OR(L2063="",L2063=0),"",Параметры!$B$3/L2063)</f>
        <v>3.2</v>
      </c>
      <c r="O2063" s="15">
        <f>IF(L2063="","",IFERROR(INDEX('Почасовка — ставки и план'!$D$5:$D$24,MATCH($D2063,'Почасовка — ставки и план'!$A$5:$A$24,0)),""))</f>
        <v>1200</v>
      </c>
      <c r="P2063" s="15">
        <f>IF(L2063="","",IFERROR(INDEX('Почасовка — ставки и план'!$E$5:$E$24,MATCH($D2063,'Почасовка — ставки и план'!$A$5:$A$24,0)),""))</f>
        <v>1440</v>
      </c>
      <c r="Q2063" s="15">
        <f t="shared" si="151"/>
        <v>3000</v>
      </c>
      <c r="R2063" s="13" t="str">
        <f>IF(D2063="TEX","аренда техники — сделка/счёт",IF(OR(Q2063="",H2063="",H2063=0),"—",IF(Q2063&lt;H2063*(1-Параметры!$B$7),"почасовка",IF(Q2063&gt;H2063*(1+Параметры!$B$7),"сделка","любой способ"))))</f>
        <v>любой способ</v>
      </c>
      <c r="S2063">
        <v>0</v>
      </c>
      <c r="T2063">
        <v>0</v>
      </c>
    </row>
    <row r="2064" spans="1:20" x14ac:dyDescent="0.25">
      <c r="A2064" s="13" t="s">
        <v>4158</v>
      </c>
      <c r="B2064" s="13" t="s">
        <v>4159</v>
      </c>
      <c r="C2064" s="13" t="s">
        <v>144</v>
      </c>
      <c r="D2064" s="13" t="s">
        <v>545</v>
      </c>
      <c r="E2064" s="13" t="str">
        <f>IFERROR(INDEX('Почасовка — ставки и план'!$B$5:$B$24,MATCH(D2064,'Почасовка — ставки и план'!$A$5:$A$24,0)),"Аренда техники / механизмы")</f>
        <v>Сервисный инженер ворот и автоматики</v>
      </c>
      <c r="F2064" s="14">
        <v>4500</v>
      </c>
      <c r="G2064" s="14">
        <v>5175</v>
      </c>
      <c r="H2064" s="15">
        <v>2700</v>
      </c>
      <c r="I2064" s="15">
        <f>IF(OR(H2064="",F2064=""),"",MAX(H2064,MIN(ROUND(H2064*(1+Параметры!$B$5),IF(H2064*(1+Параметры!$B$5)&gt;=1000,-1,0)),ROUND(F2064*Параметры!$B$6,IF(F2064*Параметры!$B$6&gt;=1000,-1,0)))))</f>
        <v>3110</v>
      </c>
      <c r="J2064" s="15">
        <v>3105</v>
      </c>
      <c r="K2064" s="15">
        <f>IF(OR(J2064="",G2064=""),"",MAX(J2064,MIN(ROUND(J2064*(1+Параметры!$B$5),IF(J2064*(1+Параметры!$B$5)&gt;=1000,-1,0)),ROUND(G2064*Параметры!$B$6,IF(G2064*Параметры!$B$6&gt;=1000,-1,0)))))</f>
        <v>3570</v>
      </c>
      <c r="L2064" s="16">
        <v>2</v>
      </c>
      <c r="M2064" s="17">
        <f t="shared" si="150"/>
        <v>0.5</v>
      </c>
      <c r="N2064" s="17">
        <f>IF(OR(L2064="",L2064=0),"",Параметры!$B$3/L2064)</f>
        <v>4</v>
      </c>
      <c r="O2064" s="15">
        <f>IF(L2064="","",IFERROR(INDEX('Почасовка — ставки и план'!$D$5:$D$24,MATCH($D2064,'Почасовка — ставки и план'!$A$5:$A$24,0)),""))</f>
        <v>1200</v>
      </c>
      <c r="P2064" s="15">
        <f>IF(L2064="","",IFERROR(INDEX('Почасовка — ставки и план'!$E$5:$E$24,MATCH($D2064,'Почасовка — ставки и план'!$A$5:$A$24,0)),""))</f>
        <v>1440</v>
      </c>
      <c r="Q2064" s="15">
        <f t="shared" si="151"/>
        <v>2400</v>
      </c>
      <c r="R2064" s="13" t="str">
        <f>IF(D2064="TEX","аренда техники — сделка/счёт",IF(OR(Q2064="",H2064="",H2064=0),"—",IF(Q2064&lt;H2064*(1-Параметры!$B$7),"почасовка",IF(Q2064&gt;H2064*(1+Параметры!$B$7),"сделка","любой способ"))))</f>
        <v>почасовка</v>
      </c>
      <c r="S2064">
        <v>0</v>
      </c>
      <c r="T2064">
        <v>0</v>
      </c>
    </row>
    <row r="2065" spans="1:20" x14ac:dyDescent="0.25">
      <c r="A2065" s="13" t="s">
        <v>4160</v>
      </c>
      <c r="B2065" s="13" t="s">
        <v>4161</v>
      </c>
      <c r="C2065" s="13" t="s">
        <v>144</v>
      </c>
      <c r="D2065" s="13" t="s">
        <v>545</v>
      </c>
      <c r="E2065" s="13" t="str">
        <f>IFERROR(INDEX('Почасовка — ставки и план'!$B$5:$B$24,MATCH(D2065,'Почасовка — ставки и план'!$A$5:$A$24,0)),"Аренда техники / механизмы")</f>
        <v>Сервисный инженер ворот и автоматики</v>
      </c>
      <c r="F2065" s="14">
        <v>3500</v>
      </c>
      <c r="G2065" s="14">
        <v>4025</v>
      </c>
      <c r="H2065" s="15">
        <v>2100</v>
      </c>
      <c r="I2065" s="15">
        <f>IF(OR(H2065="",F2065=""),"",MAX(H2065,MIN(ROUND(H2065*(1+Параметры!$B$5),IF(H2065*(1+Параметры!$B$5)&gt;=1000,-1,0)),ROUND(F2065*Параметры!$B$6,IF(F2065*Параметры!$B$6&gt;=1000,-1,0)))))</f>
        <v>2420</v>
      </c>
      <c r="J2065" s="15">
        <v>2415</v>
      </c>
      <c r="K2065" s="15">
        <f>IF(OR(J2065="",G2065=""),"",MAX(J2065,MIN(ROUND(J2065*(1+Параметры!$B$5),IF(J2065*(1+Параметры!$B$5)&gt;=1000,-1,0)),ROUND(G2065*Параметры!$B$6,IF(G2065*Параметры!$B$6&gt;=1000,-1,0)))))</f>
        <v>2780</v>
      </c>
      <c r="L2065" s="16">
        <v>2</v>
      </c>
      <c r="M2065" s="17">
        <f t="shared" si="150"/>
        <v>0.5</v>
      </c>
      <c r="N2065" s="17">
        <f>IF(OR(L2065="",L2065=0),"",Параметры!$B$3/L2065)</f>
        <v>4</v>
      </c>
      <c r="O2065" s="15">
        <f>IF(L2065="","",IFERROR(INDEX('Почасовка — ставки и план'!$D$5:$D$24,MATCH($D2065,'Почасовка — ставки и план'!$A$5:$A$24,0)),""))</f>
        <v>1200</v>
      </c>
      <c r="P2065" s="15">
        <f>IF(L2065="","",IFERROR(INDEX('Почасовка — ставки и план'!$E$5:$E$24,MATCH($D2065,'Почасовка — ставки и план'!$A$5:$A$24,0)),""))</f>
        <v>1440</v>
      </c>
      <c r="Q2065" s="15">
        <f t="shared" si="151"/>
        <v>2400</v>
      </c>
      <c r="R2065" s="13" t="str">
        <f>IF(D2065="TEX","аренда техники — сделка/счёт",IF(OR(Q2065="",H2065="",H2065=0),"—",IF(Q2065&lt;H2065*(1-Параметры!$B$7),"почасовка",IF(Q2065&gt;H2065*(1+Параметры!$B$7),"сделка","любой способ"))))</f>
        <v>сделка</v>
      </c>
      <c r="S2065">
        <v>0</v>
      </c>
      <c r="T2065">
        <v>0</v>
      </c>
    </row>
    <row r="2066" spans="1:20" x14ac:dyDescent="0.25">
      <c r="A2066" s="13" t="s">
        <v>4162</v>
      </c>
      <c r="B2066" s="13" t="s">
        <v>4163</v>
      </c>
      <c r="C2066" s="13" t="s">
        <v>144</v>
      </c>
      <c r="D2066" s="13" t="s">
        <v>545</v>
      </c>
      <c r="E2066" s="13" t="str">
        <f>IFERROR(INDEX('Почасовка — ставки и план'!$B$5:$B$24,MATCH(D2066,'Почасовка — ставки и план'!$A$5:$A$24,0)),"Аренда техники / механизмы")</f>
        <v>Сервисный инженер ворот и автоматики</v>
      </c>
      <c r="F2066" s="14">
        <v>6400</v>
      </c>
      <c r="G2066" s="14">
        <v>7680</v>
      </c>
      <c r="H2066" s="15">
        <v>3600</v>
      </c>
      <c r="I2066" s="15">
        <f>IF(OR(H2066="",F2066=""),"",MAX(H2066,MIN(ROUND(H2066*(1+Параметры!$B$5),IF(H2066*(1+Параметры!$B$5)&gt;=1000,-1,0)),ROUND(F2066*Параметры!$B$6,IF(F2066*Параметры!$B$6&gt;=1000,-1,0)))))</f>
        <v>4140</v>
      </c>
      <c r="J2066" s="15">
        <v>4140</v>
      </c>
      <c r="K2066" s="15">
        <f>IF(OR(J2066="",G2066=""),"",MAX(J2066,MIN(ROUND(J2066*(1+Параметры!$B$5),IF(J2066*(1+Параметры!$B$5)&gt;=1000,-1,0)),ROUND(G2066*Параметры!$B$6,IF(G2066*Параметры!$B$6&gt;=1000,-1,0)))))</f>
        <v>4760</v>
      </c>
      <c r="L2066" s="16">
        <v>4</v>
      </c>
      <c r="M2066" s="17">
        <f t="shared" si="150"/>
        <v>0.25</v>
      </c>
      <c r="N2066" s="17">
        <f>IF(OR(L2066="",L2066=0),"",Параметры!$B$3/L2066)</f>
        <v>2</v>
      </c>
      <c r="O2066" s="15">
        <f>IF(L2066="","",IFERROR(INDEX('Почасовка — ставки и план'!$D$5:$D$24,MATCH($D2066,'Почасовка — ставки и план'!$A$5:$A$24,0)),""))</f>
        <v>1200</v>
      </c>
      <c r="P2066" s="15">
        <f>IF(L2066="","",IFERROR(INDEX('Почасовка — ставки и план'!$E$5:$E$24,MATCH($D2066,'Почасовка — ставки и план'!$A$5:$A$24,0)),""))</f>
        <v>1440</v>
      </c>
      <c r="Q2066" s="15">
        <f t="shared" si="151"/>
        <v>4800</v>
      </c>
      <c r="R2066" s="13" t="str">
        <f>IF(D2066="TEX","аренда техники — сделка/счёт",IF(OR(Q2066="",H2066="",H2066=0),"—",IF(Q2066&lt;H2066*(1-Параметры!$B$7),"почасовка",IF(Q2066&gt;H2066*(1+Параметры!$B$7),"сделка","любой способ"))))</f>
        <v>сделка</v>
      </c>
      <c r="S2066">
        <v>6.6666666666666652E-2</v>
      </c>
      <c r="T2066">
        <v>0.11304347826086961</v>
      </c>
    </row>
    <row r="2067" spans="1:20" x14ac:dyDescent="0.25">
      <c r="A2067" s="13" t="s">
        <v>4164</v>
      </c>
      <c r="B2067" s="13" t="s">
        <v>4165</v>
      </c>
      <c r="C2067" s="13" t="s">
        <v>144</v>
      </c>
      <c r="D2067" s="13" t="s">
        <v>545</v>
      </c>
      <c r="E2067" s="13" t="str">
        <f>IFERROR(INDEX('Почасовка — ставки и план'!$B$5:$B$24,MATCH(D2067,'Почасовка — ставки и план'!$A$5:$A$24,0)),"Аренда техники / механизмы")</f>
        <v>Сервисный инженер ворот и автоматики</v>
      </c>
      <c r="F2067" s="14">
        <v>8000</v>
      </c>
      <c r="G2067" s="14">
        <v>9600</v>
      </c>
      <c r="H2067" s="15">
        <v>4500</v>
      </c>
      <c r="I2067" s="15">
        <f>IF(OR(H2067="",F2067=""),"",MAX(H2067,MIN(ROUND(H2067*(1+Параметры!$B$5),IF(H2067*(1+Параметры!$B$5)&gt;=1000,-1,0)),ROUND(F2067*Параметры!$B$6,IF(F2067*Параметры!$B$6&gt;=1000,-1,0)))))</f>
        <v>5180</v>
      </c>
      <c r="J2067" s="15">
        <v>5175</v>
      </c>
      <c r="K2067" s="15">
        <f>IF(OR(J2067="",G2067=""),"",MAX(J2067,MIN(ROUND(J2067*(1+Параметры!$B$5),IF(J2067*(1+Параметры!$B$5)&gt;=1000,-1,0)),ROUND(G2067*Параметры!$B$6,IF(G2067*Параметры!$B$6&gt;=1000,-1,0)))))</f>
        <v>5950</v>
      </c>
      <c r="L2067" s="16">
        <v>5</v>
      </c>
      <c r="M2067" s="17">
        <f t="shared" ref="M2067:M2098" si="152">IF(OR(L2067="",L2067=0),"",1/L2067)</f>
        <v>0.2</v>
      </c>
      <c r="N2067" s="17">
        <f>IF(OR(L2067="",L2067=0),"",Параметры!$B$3/L2067)</f>
        <v>1.6</v>
      </c>
      <c r="O2067" s="15">
        <f>IF(L2067="","",IFERROR(INDEX('Почасовка — ставки и план'!$D$5:$D$24,MATCH($D2067,'Почасовка — ставки и план'!$A$5:$A$24,0)),""))</f>
        <v>1200</v>
      </c>
      <c r="P2067" s="15">
        <f>IF(L2067="","",IFERROR(INDEX('Почасовка — ставки и план'!$E$5:$E$24,MATCH($D2067,'Почасовка — ставки и план'!$A$5:$A$24,0)),""))</f>
        <v>1440</v>
      </c>
      <c r="Q2067" s="15">
        <f t="shared" ref="Q2067:Q2085" si="153">IF(OR(L2067="",O2067=""),"",ROUND(L2067*O2067,0))</f>
        <v>6000</v>
      </c>
      <c r="R2067" s="13" t="str">
        <f>IF(D2067="TEX","аренда техники — сделка/счёт",IF(OR(Q2067="",H2067="",H2067=0),"—",IF(Q2067&lt;H2067*(1-Параметры!$B$7),"почасовка",IF(Q2067&gt;H2067*(1+Параметры!$B$7),"сделка","любой способ"))))</f>
        <v>сделка</v>
      </c>
      <c r="S2067">
        <v>6.6666666666666652E-2</v>
      </c>
      <c r="T2067">
        <v>0.11304347826086961</v>
      </c>
    </row>
    <row r="2068" spans="1:20" x14ac:dyDescent="0.25">
      <c r="A2068" s="13" t="s">
        <v>4166</v>
      </c>
      <c r="B2068" s="13" t="s">
        <v>4167</v>
      </c>
      <c r="C2068" s="13" t="s">
        <v>144</v>
      </c>
      <c r="D2068" s="13" t="s">
        <v>545</v>
      </c>
      <c r="E2068" s="13" t="str">
        <f>IFERROR(INDEX('Почасовка — ставки и план'!$B$5:$B$24,MATCH(D2068,'Почасовка — ставки и план'!$A$5:$A$24,0)),"Аренда техники / механизмы")</f>
        <v>Сервисный инженер ворот и автоматики</v>
      </c>
      <c r="F2068" s="14">
        <v>4800</v>
      </c>
      <c r="G2068" s="14">
        <v>5760</v>
      </c>
      <c r="H2068" s="15">
        <v>2700</v>
      </c>
      <c r="I2068" s="15">
        <f>IF(OR(H2068="",F2068=""),"",MAX(H2068,MIN(ROUND(H2068*(1+Параметры!$B$5),IF(H2068*(1+Параметры!$B$5)&gt;=1000,-1,0)),ROUND(F2068*Параметры!$B$6,IF(F2068*Параметры!$B$6&gt;=1000,-1,0)))))</f>
        <v>3110</v>
      </c>
      <c r="J2068" s="15">
        <v>3105</v>
      </c>
      <c r="K2068" s="15">
        <f>IF(OR(J2068="",G2068=""),"",MAX(J2068,MIN(ROUND(J2068*(1+Параметры!$B$5),IF(J2068*(1+Параметры!$B$5)&gt;=1000,-1,0)),ROUND(G2068*Параметры!$B$6,IF(G2068*Параметры!$B$6&gt;=1000,-1,0)))))</f>
        <v>3570</v>
      </c>
      <c r="L2068" s="16">
        <v>3</v>
      </c>
      <c r="M2068" s="17">
        <f t="shared" si="152"/>
        <v>0.33333333333333331</v>
      </c>
      <c r="N2068" s="17">
        <f>IF(OR(L2068="",L2068=0),"",Параметры!$B$3/L2068)</f>
        <v>2.6666666666666665</v>
      </c>
      <c r="O2068" s="15">
        <f>IF(L2068="","",IFERROR(INDEX('Почасовка — ставки и план'!$D$5:$D$24,MATCH($D2068,'Почасовка — ставки и план'!$A$5:$A$24,0)),""))</f>
        <v>1200</v>
      </c>
      <c r="P2068" s="15">
        <f>IF(L2068="","",IFERROR(INDEX('Почасовка — ставки и план'!$E$5:$E$24,MATCH($D2068,'Почасовка — ставки и план'!$A$5:$A$24,0)),""))</f>
        <v>1440</v>
      </c>
      <c r="Q2068" s="15">
        <f t="shared" si="153"/>
        <v>3600</v>
      </c>
      <c r="R2068" s="13" t="str">
        <f>IF(D2068="TEX","аренда техники — сделка/счёт",IF(OR(Q2068="",H2068="",H2068=0),"—",IF(Q2068&lt;H2068*(1-Параметры!$B$7),"почасовка",IF(Q2068&gt;H2068*(1+Параметры!$B$7),"сделка","любой способ"))))</f>
        <v>сделка</v>
      </c>
      <c r="S2068">
        <v>6.6666666666666652E-2</v>
      </c>
      <c r="T2068">
        <v>0.11304347826086961</v>
      </c>
    </row>
    <row r="2069" spans="1:20" x14ac:dyDescent="0.25">
      <c r="A2069" s="13" t="s">
        <v>4168</v>
      </c>
      <c r="B2069" s="13" t="s">
        <v>4169</v>
      </c>
      <c r="C2069" s="13" t="s">
        <v>144</v>
      </c>
      <c r="D2069" s="13" t="s">
        <v>545</v>
      </c>
      <c r="E2069" s="13" t="str">
        <f>IFERROR(INDEX('Почасовка — ставки и план'!$B$5:$B$24,MATCH(D2069,'Почасовка — ставки и план'!$A$5:$A$24,0)),"Аренда техники / механизмы")</f>
        <v>Сервисный инженер ворот и автоматики</v>
      </c>
      <c r="F2069" s="14">
        <v>9600</v>
      </c>
      <c r="G2069" s="14">
        <v>11520</v>
      </c>
      <c r="H2069" s="15">
        <v>5400</v>
      </c>
      <c r="I2069" s="15">
        <f>IF(OR(H2069="",F2069=""),"",MAX(H2069,MIN(ROUND(H2069*(1+Параметры!$B$5),IF(H2069*(1+Параметры!$B$5)&gt;=1000,-1,0)),ROUND(F2069*Параметры!$B$6,IF(F2069*Параметры!$B$6&gt;=1000,-1,0)))))</f>
        <v>6210</v>
      </c>
      <c r="J2069" s="15">
        <v>6210</v>
      </c>
      <c r="K2069" s="15">
        <f>IF(OR(J2069="",G2069=""),"",MAX(J2069,MIN(ROUND(J2069*(1+Параметры!$B$5),IF(J2069*(1+Параметры!$B$5)&gt;=1000,-1,0)),ROUND(G2069*Параметры!$B$6,IF(G2069*Параметры!$B$6&gt;=1000,-1,0)))))</f>
        <v>7140</v>
      </c>
      <c r="L2069" s="16">
        <v>6</v>
      </c>
      <c r="M2069" s="17">
        <f t="shared" si="152"/>
        <v>0.16666666666666666</v>
      </c>
      <c r="N2069" s="17">
        <f>IF(OR(L2069="",L2069=0),"",Параметры!$B$3/L2069)</f>
        <v>1.3333333333333333</v>
      </c>
      <c r="O2069" s="15">
        <f>IF(L2069="","",IFERROR(INDEX('Почасовка — ставки и план'!$D$5:$D$24,MATCH($D2069,'Почасовка — ставки и план'!$A$5:$A$24,0)),""))</f>
        <v>1200</v>
      </c>
      <c r="P2069" s="15">
        <f>IF(L2069="","",IFERROR(INDEX('Почасовка — ставки и план'!$E$5:$E$24,MATCH($D2069,'Почасовка — ставки и план'!$A$5:$A$24,0)),""))</f>
        <v>1440</v>
      </c>
      <c r="Q2069" s="15">
        <f t="shared" si="153"/>
        <v>7200</v>
      </c>
      <c r="R2069" s="13" t="str">
        <f>IF(D2069="TEX","аренда техники — сделка/счёт",IF(OR(Q2069="",H2069="",H2069=0),"—",IF(Q2069&lt;H2069*(1-Параметры!$B$7),"почасовка",IF(Q2069&gt;H2069*(1+Параметры!$B$7),"сделка","любой способ"))))</f>
        <v>сделка</v>
      </c>
      <c r="S2069">
        <v>6.6666666666666652E-2</v>
      </c>
      <c r="T2069">
        <v>0.11304347826086961</v>
      </c>
    </row>
    <row r="2070" spans="1:20" x14ac:dyDescent="0.25">
      <c r="A2070" s="13" t="s">
        <v>4170</v>
      </c>
      <c r="B2070" s="13" t="s">
        <v>4171</v>
      </c>
      <c r="C2070" s="13" t="s">
        <v>144</v>
      </c>
      <c r="D2070" s="13" t="s">
        <v>276</v>
      </c>
      <c r="E2070" s="13" t="str">
        <f>IFERROR(INDEX('Почасовка — ставки и план'!$B$5:$B$24,MATCH(D2070,'Почасовка — ставки и план'!$A$5:$A$24,0)),"Аренда техники / механизмы")</f>
        <v>Монтажник дверей, окон, перегородок</v>
      </c>
      <c r="F2070" s="14">
        <v>900</v>
      </c>
      <c r="G2070" s="14">
        <v>1035</v>
      </c>
      <c r="H2070" s="15">
        <v>558</v>
      </c>
      <c r="I2070" s="15">
        <f>IF(OR(H2070="",F2070=""),"",MAX(H2070,MIN(ROUND(H2070*(1+Параметры!$B$5),IF(H2070*(1+Параметры!$B$5)&gt;=1000,-1,0)),ROUND(F2070*Параметры!$B$6,IF(F2070*Параметры!$B$6&gt;=1000,-1,0)))))</f>
        <v>642</v>
      </c>
      <c r="J2070" s="15">
        <v>642</v>
      </c>
      <c r="K2070" s="15">
        <f>IF(OR(J2070="",G2070=""),"",MAX(J2070,MIN(ROUND(J2070*(1+Параметры!$B$5),IF(J2070*(1+Параметры!$B$5)&gt;=1000,-1,0)),ROUND(G2070*Параметры!$B$6,IF(G2070*Параметры!$B$6&gt;=1000,-1,0)))))</f>
        <v>738</v>
      </c>
      <c r="L2070" s="16">
        <v>0.5</v>
      </c>
      <c r="M2070" s="17">
        <f t="shared" si="152"/>
        <v>2</v>
      </c>
      <c r="N2070" s="17">
        <f>IF(OR(L2070="",L2070=0),"",Параметры!$B$3/L2070)</f>
        <v>16</v>
      </c>
      <c r="O2070" s="15">
        <f>IF(L2070="","",IFERROR(INDEX('Почасовка — ставки и план'!$D$5:$D$24,MATCH($D2070,'Почасовка — ставки и план'!$A$5:$A$24,0)),""))</f>
        <v>800</v>
      </c>
      <c r="P2070" s="15">
        <f>IF(L2070="","",IFERROR(INDEX('Почасовка — ставки и план'!$E$5:$E$24,MATCH($D2070,'Почасовка — ставки и план'!$A$5:$A$24,0)),""))</f>
        <v>950</v>
      </c>
      <c r="Q2070" s="15">
        <f t="shared" si="153"/>
        <v>400</v>
      </c>
      <c r="R2070" s="13" t="str">
        <f>IF(D2070="TEX","аренда техники — сделка/счёт",IF(OR(Q2070="",H2070="",H2070=0),"—",IF(Q2070&lt;H2070*(1-Параметры!$B$7),"почасовка",IF(Q2070&gt;H2070*(1+Параметры!$B$7),"сделка","любой способ"))))</f>
        <v>почасовка</v>
      </c>
      <c r="S2070">
        <v>0</v>
      </c>
      <c r="T2070">
        <v>0</v>
      </c>
    </row>
    <row r="2071" spans="1:20" x14ac:dyDescent="0.25">
      <c r="A2071" s="13" t="s">
        <v>4172</v>
      </c>
      <c r="B2071" s="13" t="s">
        <v>4173</v>
      </c>
      <c r="C2071" s="13" t="s">
        <v>144</v>
      </c>
      <c r="D2071" s="13" t="s">
        <v>545</v>
      </c>
      <c r="E2071" s="13" t="str">
        <f>IFERROR(INDEX('Почасовка — ставки и план'!$B$5:$B$24,MATCH(D2071,'Почасовка — ставки и план'!$A$5:$A$24,0)),"Аренда техники / механизмы")</f>
        <v>Сервисный инженер ворот и автоматики</v>
      </c>
      <c r="F2071" s="14">
        <v>1000</v>
      </c>
      <c r="G2071" s="14">
        <v>1152</v>
      </c>
      <c r="H2071" s="15">
        <v>600</v>
      </c>
      <c r="I2071" s="15">
        <f>IF(OR(H2071="",F2071=""),"",MAX(H2071,MIN(ROUND(H2071*(1+Параметры!$B$5),IF(H2071*(1+Параметры!$B$5)&gt;=1000,-1,0)),ROUND(F2071*Параметры!$B$6,IF(F2071*Параметры!$B$6&gt;=1000,-1,0)))))</f>
        <v>690</v>
      </c>
      <c r="J2071" s="15">
        <v>690</v>
      </c>
      <c r="K2071" s="15">
        <f>IF(OR(J2071="",G2071=""),"",MAX(J2071,MIN(ROUND(J2071*(1+Параметры!$B$5),IF(J2071*(1+Параметры!$B$5)&gt;=1000,-1,0)),ROUND(G2071*Параметры!$B$6,IF(G2071*Параметры!$B$6&gt;=1000,-1,0)))))</f>
        <v>794</v>
      </c>
      <c r="L2071" s="16">
        <v>0.6</v>
      </c>
      <c r="M2071" s="17">
        <f t="shared" si="152"/>
        <v>1.6666666666666667</v>
      </c>
      <c r="N2071" s="17">
        <f>IF(OR(L2071="",L2071=0),"",Параметры!$B$3/L2071)</f>
        <v>13.333333333333334</v>
      </c>
      <c r="O2071" s="15">
        <f>IF(L2071="","",IFERROR(INDEX('Почасовка — ставки и план'!$D$5:$D$24,MATCH($D2071,'Почасовка — ставки и план'!$A$5:$A$24,0)),""))</f>
        <v>1200</v>
      </c>
      <c r="P2071" s="15">
        <f>IF(L2071="","",IFERROR(INDEX('Почасовка — ставки и план'!$E$5:$E$24,MATCH($D2071,'Почасовка — ставки и план'!$A$5:$A$24,0)),""))</f>
        <v>1440</v>
      </c>
      <c r="Q2071" s="15">
        <f t="shared" si="153"/>
        <v>720</v>
      </c>
      <c r="R2071" s="13" t="str">
        <f>IF(D2071="TEX","аренда техники — сделка/счёт",IF(OR(Q2071="",H2071="",H2071=0),"—",IF(Q2071&lt;H2071*(1-Параметры!$B$7),"почасовка",IF(Q2071&gt;H2071*(1+Параметры!$B$7),"сделка","любой способ"))))</f>
        <v>сделка</v>
      </c>
      <c r="S2071">
        <v>0</v>
      </c>
      <c r="T2071">
        <v>1.739130434782687E-3</v>
      </c>
    </row>
    <row r="2072" spans="1:20" x14ac:dyDescent="0.25">
      <c r="A2072" s="13" t="s">
        <v>4174</v>
      </c>
      <c r="B2072" s="13" t="s">
        <v>4175</v>
      </c>
      <c r="C2072" s="13" t="s">
        <v>144</v>
      </c>
      <c r="D2072" s="13" t="s">
        <v>545</v>
      </c>
      <c r="E2072" s="13" t="str">
        <f>IFERROR(INDEX('Почасовка — ставки и план'!$B$5:$B$24,MATCH(D2072,'Почасовка — ставки и план'!$A$5:$A$24,0)),"Аренда техники / механизмы")</f>
        <v>Сервисный инженер ворот и автоматики</v>
      </c>
      <c r="F2072" s="14">
        <v>5000</v>
      </c>
      <c r="G2072" s="14">
        <v>5750</v>
      </c>
      <c r="H2072" s="15">
        <v>3000</v>
      </c>
      <c r="I2072" s="15">
        <f>IF(OR(H2072="",F2072=""),"",MAX(H2072,MIN(ROUND(H2072*(1+Параметры!$B$5),IF(H2072*(1+Параметры!$B$5)&gt;=1000,-1,0)),ROUND(F2072*Параметры!$B$6,IF(F2072*Параметры!$B$6&gt;=1000,-1,0)))))</f>
        <v>3450</v>
      </c>
      <c r="J2072" s="15">
        <v>3450</v>
      </c>
      <c r="K2072" s="15">
        <f>IF(OR(J2072="",G2072=""),"",MAX(J2072,MIN(ROUND(J2072*(1+Параметры!$B$5),IF(J2072*(1+Параметры!$B$5)&gt;=1000,-1,0)),ROUND(G2072*Параметры!$B$6,IF(G2072*Параметры!$B$6&gt;=1000,-1,0)))))</f>
        <v>3970</v>
      </c>
      <c r="L2072" s="16">
        <v>2.5</v>
      </c>
      <c r="M2072" s="17">
        <f t="shared" si="152"/>
        <v>0.4</v>
      </c>
      <c r="N2072" s="17">
        <f>IF(OR(L2072="",L2072=0),"",Параметры!$B$3/L2072)</f>
        <v>3.2</v>
      </c>
      <c r="O2072" s="15">
        <f>IF(L2072="","",IFERROR(INDEX('Почасовка — ставки и план'!$D$5:$D$24,MATCH($D2072,'Почасовка — ставки и план'!$A$5:$A$24,0)),""))</f>
        <v>1200</v>
      </c>
      <c r="P2072" s="15">
        <f>IF(L2072="","",IFERROR(INDEX('Почасовка — ставки и план'!$E$5:$E$24,MATCH($D2072,'Почасовка — ставки и план'!$A$5:$A$24,0)),""))</f>
        <v>1440</v>
      </c>
      <c r="Q2072" s="15">
        <f t="shared" si="153"/>
        <v>3000</v>
      </c>
      <c r="R2072" s="13" t="str">
        <f>IF(D2072="TEX","аренда техники — сделка/счёт",IF(OR(Q2072="",H2072="",H2072=0),"—",IF(Q2072&lt;H2072*(1-Параметры!$B$7),"почасовка",IF(Q2072&gt;H2072*(1+Параметры!$B$7),"сделка","любой способ"))))</f>
        <v>любой способ</v>
      </c>
      <c r="S2072">
        <v>0</v>
      </c>
      <c r="T2072">
        <v>0</v>
      </c>
    </row>
    <row r="2073" spans="1:20" x14ac:dyDescent="0.25">
      <c r="A2073" s="13" t="s">
        <v>4176</v>
      </c>
      <c r="B2073" s="13" t="s">
        <v>4173</v>
      </c>
      <c r="C2073" s="13" t="s">
        <v>144</v>
      </c>
      <c r="D2073" s="13" t="s">
        <v>545</v>
      </c>
      <c r="E2073" s="13" t="str">
        <f>IFERROR(INDEX('Почасовка — ставки и план'!$B$5:$B$24,MATCH(D2073,'Почасовка — ставки и план'!$A$5:$A$24,0)),"Аренда техники / механизмы")</f>
        <v>Сервисный инженер ворот и автоматики</v>
      </c>
      <c r="F2073" s="14">
        <v>1000</v>
      </c>
      <c r="G2073" s="14">
        <v>1152</v>
      </c>
      <c r="H2073" s="15">
        <v>600</v>
      </c>
      <c r="I2073" s="15">
        <f>IF(OR(H2073="",F2073=""),"",MAX(H2073,MIN(ROUND(H2073*(1+Параметры!$B$5),IF(H2073*(1+Параметры!$B$5)&gt;=1000,-1,0)),ROUND(F2073*Параметры!$B$6,IF(F2073*Параметры!$B$6&gt;=1000,-1,0)))))</f>
        <v>690</v>
      </c>
      <c r="J2073" s="15">
        <v>690</v>
      </c>
      <c r="K2073" s="15">
        <f>IF(OR(J2073="",G2073=""),"",MAX(J2073,MIN(ROUND(J2073*(1+Параметры!$B$5),IF(J2073*(1+Параметры!$B$5)&gt;=1000,-1,0)),ROUND(G2073*Параметры!$B$6,IF(G2073*Параметры!$B$6&gt;=1000,-1,0)))))</f>
        <v>794</v>
      </c>
      <c r="L2073" s="16">
        <v>0.6</v>
      </c>
      <c r="M2073" s="17">
        <f t="shared" si="152"/>
        <v>1.6666666666666667</v>
      </c>
      <c r="N2073" s="17">
        <f>IF(OR(L2073="",L2073=0),"",Параметры!$B$3/L2073)</f>
        <v>13.333333333333334</v>
      </c>
      <c r="O2073" s="15">
        <f>IF(L2073="","",IFERROR(INDEX('Почасовка — ставки и план'!$D$5:$D$24,MATCH($D2073,'Почасовка — ставки и план'!$A$5:$A$24,0)),""))</f>
        <v>1200</v>
      </c>
      <c r="P2073" s="15">
        <f>IF(L2073="","",IFERROR(INDEX('Почасовка — ставки и план'!$E$5:$E$24,MATCH($D2073,'Почасовка — ставки и план'!$A$5:$A$24,0)),""))</f>
        <v>1440</v>
      </c>
      <c r="Q2073" s="15">
        <f t="shared" si="153"/>
        <v>720</v>
      </c>
      <c r="R2073" s="13" t="str">
        <f>IF(D2073="TEX","аренда техники — сделка/счёт",IF(OR(Q2073="",H2073="",H2073=0),"—",IF(Q2073&lt;H2073*(1-Параметры!$B$7),"почасовка",IF(Q2073&gt;H2073*(1+Параметры!$B$7),"сделка","любой способ"))))</f>
        <v>сделка</v>
      </c>
      <c r="S2073">
        <v>0</v>
      </c>
      <c r="T2073">
        <v>1.739130434782687E-3</v>
      </c>
    </row>
    <row r="2074" spans="1:20" x14ac:dyDescent="0.25">
      <c r="A2074" s="13" t="s">
        <v>4177</v>
      </c>
      <c r="B2074" s="13" t="s">
        <v>4178</v>
      </c>
      <c r="C2074" s="13" t="s">
        <v>144</v>
      </c>
      <c r="D2074" s="13" t="s">
        <v>545</v>
      </c>
      <c r="E2074" s="13" t="str">
        <f>IFERROR(INDEX('Почасовка — ставки и план'!$B$5:$B$24,MATCH(D2074,'Почасовка — ставки и план'!$A$5:$A$24,0)),"Аренда техники / механизмы")</f>
        <v>Сервисный инженер ворот и автоматики</v>
      </c>
      <c r="F2074" s="14">
        <v>18000</v>
      </c>
      <c r="G2074" s="14">
        <v>20700</v>
      </c>
      <c r="H2074" s="15">
        <v>10800</v>
      </c>
      <c r="I2074" s="15">
        <f>IF(OR(H2074="",F2074=""),"",MAX(H2074,MIN(ROUND(H2074*(1+Параметры!$B$5),IF(H2074*(1+Параметры!$B$5)&gt;=1000,-1,0)),ROUND(F2074*Параметры!$B$6,IF(F2074*Параметры!$B$6&gt;=1000,-1,0)))))</f>
        <v>12420</v>
      </c>
      <c r="J2074" s="15">
        <v>12420</v>
      </c>
      <c r="K2074" s="15">
        <f>IF(OR(J2074="",G2074=""),"",MAX(J2074,MIN(ROUND(J2074*(1+Параметры!$B$5),IF(J2074*(1+Параметры!$B$5)&gt;=1000,-1,0)),ROUND(G2074*Параметры!$B$6,IF(G2074*Параметры!$B$6&gt;=1000,-1,0)))))</f>
        <v>14280</v>
      </c>
      <c r="L2074" s="16">
        <v>8</v>
      </c>
      <c r="M2074" s="17">
        <f t="shared" si="152"/>
        <v>0.125</v>
      </c>
      <c r="N2074" s="17">
        <f>IF(OR(L2074="",L2074=0),"",Параметры!$B$3/L2074)</f>
        <v>1</v>
      </c>
      <c r="O2074" s="15">
        <f>IF(L2074="","",IFERROR(INDEX('Почасовка — ставки и план'!$D$5:$D$24,MATCH($D2074,'Почасовка — ставки и план'!$A$5:$A$24,0)),""))</f>
        <v>1200</v>
      </c>
      <c r="P2074" s="15">
        <f>IF(L2074="","",IFERROR(INDEX('Почасовка — ставки и план'!$E$5:$E$24,MATCH($D2074,'Почасовка — ставки и план'!$A$5:$A$24,0)),""))</f>
        <v>1440</v>
      </c>
      <c r="Q2074" s="15">
        <f t="shared" si="153"/>
        <v>9600</v>
      </c>
      <c r="R2074" s="13" t="str">
        <f>IF(D2074="TEX","аренда техники — сделка/счёт",IF(OR(Q2074="",H2074="",H2074=0),"—",IF(Q2074&lt;H2074*(1-Параметры!$B$7),"почасовка",IF(Q2074&gt;H2074*(1+Параметры!$B$7),"сделка","любой способ"))))</f>
        <v>почасовка</v>
      </c>
      <c r="S2074">
        <v>0</v>
      </c>
      <c r="T2074">
        <v>0</v>
      </c>
    </row>
    <row r="2075" spans="1:20" x14ac:dyDescent="0.25">
      <c r="A2075" s="13" t="s">
        <v>4179</v>
      </c>
      <c r="B2075" s="13" t="s">
        <v>4180</v>
      </c>
      <c r="C2075" s="13" t="s">
        <v>144</v>
      </c>
      <c r="D2075" s="13" t="s">
        <v>545</v>
      </c>
      <c r="E2075" s="13" t="str">
        <f>IFERROR(INDEX('Почасовка — ставки и план'!$B$5:$B$24,MATCH(D2075,'Почасовка — ставки и план'!$A$5:$A$24,0)),"Аренда техники / механизмы")</f>
        <v>Сервисный инженер ворот и автоматики</v>
      </c>
      <c r="F2075" s="14">
        <v>18000</v>
      </c>
      <c r="G2075" s="14">
        <v>20700</v>
      </c>
      <c r="H2075" s="15">
        <v>10800</v>
      </c>
      <c r="I2075" s="15">
        <f>IF(OR(H2075="",F2075=""),"",MAX(H2075,MIN(ROUND(H2075*(1+Параметры!$B$5),IF(H2075*(1+Параметры!$B$5)&gt;=1000,-1,0)),ROUND(F2075*Параметры!$B$6,IF(F2075*Параметры!$B$6&gt;=1000,-1,0)))))</f>
        <v>12420</v>
      </c>
      <c r="J2075" s="15">
        <v>12420</v>
      </c>
      <c r="K2075" s="15">
        <f>IF(OR(J2075="",G2075=""),"",MAX(J2075,MIN(ROUND(J2075*(1+Параметры!$B$5),IF(J2075*(1+Параметры!$B$5)&gt;=1000,-1,0)),ROUND(G2075*Параметры!$B$6,IF(G2075*Параметры!$B$6&gt;=1000,-1,0)))))</f>
        <v>14280</v>
      </c>
      <c r="L2075" s="16">
        <v>10</v>
      </c>
      <c r="M2075" s="17">
        <f t="shared" si="152"/>
        <v>0.1</v>
      </c>
      <c r="N2075" s="17">
        <f>IF(OR(L2075="",L2075=0),"",Параметры!$B$3/L2075)</f>
        <v>0.8</v>
      </c>
      <c r="O2075" s="15">
        <f>IF(L2075="","",IFERROR(INDEX('Почасовка — ставки и план'!$D$5:$D$24,MATCH($D2075,'Почасовка — ставки и план'!$A$5:$A$24,0)),""))</f>
        <v>1200</v>
      </c>
      <c r="P2075" s="15">
        <f>IF(L2075="","",IFERROR(INDEX('Почасовка — ставки и план'!$E$5:$E$24,MATCH($D2075,'Почасовка — ставки и план'!$A$5:$A$24,0)),""))</f>
        <v>1440</v>
      </c>
      <c r="Q2075" s="15">
        <f t="shared" si="153"/>
        <v>12000</v>
      </c>
      <c r="R2075" s="13" t="str">
        <f>IF(D2075="TEX","аренда техники — сделка/счёт",IF(OR(Q2075="",H2075="",H2075=0),"—",IF(Q2075&lt;H2075*(1-Параметры!$B$7),"почасовка",IF(Q2075&gt;H2075*(1+Параметры!$B$7),"сделка","любой способ"))))</f>
        <v>сделка</v>
      </c>
      <c r="S2075">
        <v>0</v>
      </c>
      <c r="T2075">
        <v>0</v>
      </c>
    </row>
    <row r="2076" spans="1:20" x14ac:dyDescent="0.25">
      <c r="A2076" s="18" t="s">
        <v>4181</v>
      </c>
      <c r="B2076" s="13" t="s">
        <v>4182</v>
      </c>
      <c r="C2076" s="13" t="s">
        <v>865</v>
      </c>
      <c r="D2076" s="13" t="s">
        <v>545</v>
      </c>
      <c r="E2076" s="13" t="str">
        <f>IFERROR(INDEX('Почасовка — ставки и план'!$B$5:$B$24,MATCH(D2076,'Почасовка — ставки и план'!$A$5:$A$24,0)),"Аренда техники / механизмы")</f>
        <v>Сервисный инженер ворот и автоматики</v>
      </c>
      <c r="F2076" s="14">
        <v>5000</v>
      </c>
      <c r="G2076" s="14">
        <v>5750</v>
      </c>
      <c r="H2076" s="15">
        <v>3000</v>
      </c>
      <c r="I2076" s="15">
        <f>IF(OR(H2076="",F2076=""),"",MAX(H2076,MIN(ROUND(H2076*(1+Параметры!$B$5),IF(H2076*(1+Параметры!$B$5)&gt;=1000,-1,0)),ROUND(F2076*Параметры!$B$6,IF(F2076*Параметры!$B$6&gt;=1000,-1,0)))))</f>
        <v>3450</v>
      </c>
      <c r="J2076" s="15">
        <v>3450</v>
      </c>
      <c r="K2076" s="15">
        <f>IF(OR(J2076="",G2076=""),"",MAX(J2076,MIN(ROUND(J2076*(1+Параметры!$B$5),IF(J2076*(1+Параметры!$B$5)&gt;=1000,-1,0)),ROUND(G2076*Параметры!$B$6,IF(G2076*Параметры!$B$6&gt;=1000,-1,0)))))</f>
        <v>3970</v>
      </c>
      <c r="L2076" s="16">
        <v>2.5</v>
      </c>
      <c r="M2076" s="17">
        <f t="shared" si="152"/>
        <v>0.4</v>
      </c>
      <c r="N2076" s="17">
        <f>IF(OR(L2076="",L2076=0),"",Параметры!$B$3/L2076)</f>
        <v>3.2</v>
      </c>
      <c r="O2076" s="15">
        <f>IF(L2076="","",IFERROR(INDEX('Почасовка — ставки и план'!$D$5:$D$24,MATCH($D2076,'Почасовка — ставки и план'!$A$5:$A$24,0)),""))</f>
        <v>1200</v>
      </c>
      <c r="P2076" s="15">
        <f>IF(L2076="","",IFERROR(INDEX('Почасовка — ставки и план'!$E$5:$E$24,MATCH($D2076,'Почасовка — ставки и план'!$A$5:$A$24,0)),""))</f>
        <v>1440</v>
      </c>
      <c r="Q2076" s="15">
        <f t="shared" si="153"/>
        <v>3000</v>
      </c>
      <c r="R2076" s="13" t="str">
        <f>IF(D2076="TEX","аренда техники — сделка/счёт",IF(OR(Q2076="",H2076="",H2076=0),"—",IF(Q2076&lt;H2076*(1-Параметры!$B$7),"почасовка",IF(Q2076&gt;H2076*(1+Параметры!$B$7),"сделка","любой способ"))))</f>
        <v>любой способ</v>
      </c>
      <c r="S2076">
        <v>0</v>
      </c>
      <c r="T2076">
        <v>0</v>
      </c>
    </row>
    <row r="2077" spans="1:20" x14ac:dyDescent="0.25">
      <c r="A2077" s="18" t="s">
        <v>4183</v>
      </c>
      <c r="B2077" s="13" t="s">
        <v>4184</v>
      </c>
      <c r="C2077" s="13" t="s">
        <v>865</v>
      </c>
      <c r="D2077" s="13" t="s">
        <v>545</v>
      </c>
      <c r="E2077" s="13" t="str">
        <f>IFERROR(INDEX('Почасовка — ставки и план'!$B$5:$B$24,MATCH(D2077,'Почасовка — ставки и план'!$A$5:$A$24,0)),"Аренда техники / механизмы")</f>
        <v>Сервисный инженер ворот и автоматики</v>
      </c>
      <c r="F2077" s="14">
        <v>4000</v>
      </c>
      <c r="G2077" s="14">
        <v>4600</v>
      </c>
      <c r="H2077" s="15">
        <v>2400</v>
      </c>
      <c r="I2077" s="15">
        <f>IF(OR(H2077="",F2077=""),"",MAX(H2077,MIN(ROUND(H2077*(1+Параметры!$B$5),IF(H2077*(1+Параметры!$B$5)&gt;=1000,-1,0)),ROUND(F2077*Параметры!$B$6,IF(F2077*Параметры!$B$6&gt;=1000,-1,0)))))</f>
        <v>2760</v>
      </c>
      <c r="J2077" s="15">
        <v>2760</v>
      </c>
      <c r="K2077" s="15">
        <f>IF(OR(J2077="",G2077=""),"",MAX(J2077,MIN(ROUND(J2077*(1+Параметры!$B$5),IF(J2077*(1+Параметры!$B$5)&gt;=1000,-1,0)),ROUND(G2077*Параметры!$B$6,IF(G2077*Параметры!$B$6&gt;=1000,-1,0)))))</f>
        <v>3170</v>
      </c>
      <c r="L2077" s="16">
        <v>2</v>
      </c>
      <c r="M2077" s="17">
        <f t="shared" si="152"/>
        <v>0.5</v>
      </c>
      <c r="N2077" s="17">
        <f>IF(OR(L2077="",L2077=0),"",Параметры!$B$3/L2077)</f>
        <v>4</v>
      </c>
      <c r="O2077" s="15">
        <f>IF(L2077="","",IFERROR(INDEX('Почасовка — ставки и план'!$D$5:$D$24,MATCH($D2077,'Почасовка — ставки и план'!$A$5:$A$24,0)),""))</f>
        <v>1200</v>
      </c>
      <c r="P2077" s="15">
        <f>IF(L2077="","",IFERROR(INDEX('Почасовка — ставки и план'!$E$5:$E$24,MATCH($D2077,'Почасовка — ставки и план'!$A$5:$A$24,0)),""))</f>
        <v>1440</v>
      </c>
      <c r="Q2077" s="15">
        <f t="shared" si="153"/>
        <v>2400</v>
      </c>
      <c r="R2077" s="13" t="str">
        <f>IF(D2077="TEX","аренда техники — сделка/счёт",IF(OR(Q2077="",H2077="",H2077=0),"—",IF(Q2077&lt;H2077*(1-Параметры!$B$7),"почасовка",IF(Q2077&gt;H2077*(1+Параметры!$B$7),"сделка","любой способ"))))</f>
        <v>любой способ</v>
      </c>
      <c r="S2077">
        <v>0</v>
      </c>
      <c r="T2077">
        <v>0</v>
      </c>
    </row>
    <row r="2078" spans="1:20" x14ac:dyDescent="0.25">
      <c r="A2078" s="18" t="s">
        <v>4185</v>
      </c>
      <c r="B2078" s="13" t="s">
        <v>4186</v>
      </c>
      <c r="C2078" s="13" t="s">
        <v>144</v>
      </c>
      <c r="D2078" s="13" t="s">
        <v>545</v>
      </c>
      <c r="E2078" s="13" t="str">
        <f>IFERROR(INDEX('Почасовка — ставки и план'!$B$5:$B$24,MATCH(D2078,'Почасовка — ставки и план'!$A$5:$A$24,0)),"Аренда техники / механизмы")</f>
        <v>Сервисный инженер ворот и автоматики</v>
      </c>
      <c r="F2078" s="14">
        <v>9600</v>
      </c>
      <c r="G2078" s="14">
        <v>11520</v>
      </c>
      <c r="H2078" s="15">
        <v>3000</v>
      </c>
      <c r="I2078" s="15">
        <f>IF(OR(H2078="",F2078=""),"",MAX(H2078,MIN(ROUND(H2078*(1+Параметры!$B$5),IF(H2078*(1+Параметры!$B$5)&gt;=1000,-1,0)),ROUND(F2078*Параметры!$B$6,IF(F2078*Параметры!$B$6&gt;=1000,-1,0)))))</f>
        <v>3450</v>
      </c>
      <c r="J2078" s="15">
        <v>3450</v>
      </c>
      <c r="K2078" s="15">
        <f>IF(OR(J2078="",G2078=""),"",MAX(J2078,MIN(ROUND(J2078*(1+Параметры!$B$5),IF(J2078*(1+Параметры!$B$5)&gt;=1000,-1,0)),ROUND(G2078*Параметры!$B$6,IF(G2078*Параметры!$B$6&gt;=1000,-1,0)))))</f>
        <v>3970</v>
      </c>
      <c r="L2078" s="16">
        <v>6</v>
      </c>
      <c r="M2078" s="17">
        <f t="shared" si="152"/>
        <v>0.16666666666666666</v>
      </c>
      <c r="N2078" s="17">
        <f>IF(OR(L2078="",L2078=0),"",Параметры!$B$3/L2078)</f>
        <v>1.3333333333333333</v>
      </c>
      <c r="O2078" s="15">
        <f>IF(L2078="","",IFERROR(INDEX('Почасовка — ставки и план'!$D$5:$D$24,MATCH($D2078,'Почасовка — ставки и план'!$A$5:$A$24,0)),""))</f>
        <v>1200</v>
      </c>
      <c r="P2078" s="15">
        <f>IF(L2078="","",IFERROR(INDEX('Почасовка — ставки и план'!$E$5:$E$24,MATCH($D2078,'Почасовка — ставки и план'!$A$5:$A$24,0)),""))</f>
        <v>1440</v>
      </c>
      <c r="Q2078" s="15">
        <f t="shared" si="153"/>
        <v>7200</v>
      </c>
      <c r="R2078" s="13" t="str">
        <f>IF(D2078="TEX","аренда техники — сделка/счёт",IF(OR(Q2078="",H2078="",H2078=0),"—",IF(Q2078&lt;H2078*(1-Параметры!$B$7),"почасовка",IF(Q2078&gt;H2078*(1+Параметры!$B$7),"сделка","любой способ"))))</f>
        <v>сделка</v>
      </c>
      <c r="S2078">
        <v>0.91999999999999993</v>
      </c>
      <c r="T2078">
        <v>1.0034782608695649</v>
      </c>
    </row>
    <row r="2079" spans="1:20" x14ac:dyDescent="0.25">
      <c r="A2079" s="18" t="s">
        <v>4187</v>
      </c>
      <c r="B2079" s="13" t="s">
        <v>4188</v>
      </c>
      <c r="C2079" s="13" t="s">
        <v>144</v>
      </c>
      <c r="D2079" s="13" t="s">
        <v>545</v>
      </c>
      <c r="E2079" s="13" t="str">
        <f>IFERROR(INDEX('Почасовка — ставки и план'!$B$5:$B$24,MATCH(D2079,'Почасовка — ставки и план'!$A$5:$A$24,0)),"Аренда техники / механизмы")</f>
        <v>Сервисный инженер ворот и автоматики</v>
      </c>
      <c r="F2079" s="14">
        <v>3000</v>
      </c>
      <c r="G2079" s="14">
        <v>3450</v>
      </c>
      <c r="H2079" s="15">
        <v>1800</v>
      </c>
      <c r="I2079" s="15">
        <f>IF(OR(H2079="",F2079=""),"",MAX(H2079,MIN(ROUND(H2079*(1+Параметры!$B$5),IF(H2079*(1+Параметры!$B$5)&gt;=1000,-1,0)),ROUND(F2079*Параметры!$B$6,IF(F2079*Параметры!$B$6&gt;=1000,-1,0)))))</f>
        <v>2070</v>
      </c>
      <c r="J2079" s="15">
        <v>2070</v>
      </c>
      <c r="K2079" s="15">
        <f>IF(OR(J2079="",G2079=""),"",MAX(J2079,MIN(ROUND(J2079*(1+Параметры!$B$5),IF(J2079*(1+Параметры!$B$5)&gt;=1000,-1,0)),ROUND(G2079*Параметры!$B$6,IF(G2079*Параметры!$B$6&gt;=1000,-1,0)))))</f>
        <v>2380</v>
      </c>
      <c r="L2079" s="16">
        <v>1.5</v>
      </c>
      <c r="M2079" s="17">
        <f t="shared" si="152"/>
        <v>0.66666666666666663</v>
      </c>
      <c r="N2079" s="17">
        <f>IF(OR(L2079="",L2079=0),"",Параметры!$B$3/L2079)</f>
        <v>5.333333333333333</v>
      </c>
      <c r="O2079" s="15">
        <f>IF(L2079="","",IFERROR(INDEX('Почасовка — ставки и план'!$D$5:$D$24,MATCH($D2079,'Почасовка — ставки и план'!$A$5:$A$24,0)),""))</f>
        <v>1200</v>
      </c>
      <c r="P2079" s="15">
        <f>IF(L2079="","",IFERROR(INDEX('Почасовка — ставки и план'!$E$5:$E$24,MATCH($D2079,'Почасовка — ставки и план'!$A$5:$A$24,0)),""))</f>
        <v>1440</v>
      </c>
      <c r="Q2079" s="15">
        <f t="shared" si="153"/>
        <v>1800</v>
      </c>
      <c r="R2079" s="13" t="str">
        <f>IF(D2079="TEX","аренда техники — сделка/счёт",IF(OR(Q2079="",H2079="",H2079=0),"—",IF(Q2079&lt;H2079*(1-Параметры!$B$7),"почасовка",IF(Q2079&gt;H2079*(1+Параметры!$B$7),"сделка","любой способ"))))</f>
        <v>любой способ</v>
      </c>
      <c r="S2079">
        <v>0</v>
      </c>
      <c r="T2079">
        <v>0</v>
      </c>
    </row>
    <row r="2080" spans="1:20" x14ac:dyDescent="0.25">
      <c r="A2080" s="18" t="s">
        <v>4189</v>
      </c>
      <c r="B2080" s="13" t="s">
        <v>4190</v>
      </c>
      <c r="C2080" s="13" t="s">
        <v>144</v>
      </c>
      <c r="D2080" s="13" t="s">
        <v>545</v>
      </c>
      <c r="E2080" s="13" t="str">
        <f>IFERROR(INDEX('Почасовка — ставки и план'!$B$5:$B$24,MATCH(D2080,'Почасовка — ставки и план'!$A$5:$A$24,0)),"Аренда техники / механизмы")</f>
        <v>Сервисный инженер ворот и автоматики</v>
      </c>
      <c r="F2080" s="14">
        <v>3500</v>
      </c>
      <c r="G2080" s="14">
        <v>4025</v>
      </c>
      <c r="H2080" s="15">
        <v>2100</v>
      </c>
      <c r="I2080" s="15">
        <f>IF(OR(H2080="",F2080=""),"",MAX(H2080,MIN(ROUND(H2080*(1+Параметры!$B$5),IF(H2080*(1+Параметры!$B$5)&gt;=1000,-1,0)),ROUND(F2080*Параметры!$B$6,IF(F2080*Параметры!$B$6&gt;=1000,-1,0)))))</f>
        <v>2420</v>
      </c>
      <c r="J2080" s="15">
        <v>2415</v>
      </c>
      <c r="K2080" s="15">
        <f>IF(OR(J2080="",G2080=""),"",MAX(J2080,MIN(ROUND(J2080*(1+Параметры!$B$5),IF(J2080*(1+Параметры!$B$5)&gt;=1000,-1,0)),ROUND(G2080*Параметры!$B$6,IF(G2080*Параметры!$B$6&gt;=1000,-1,0)))))</f>
        <v>2780</v>
      </c>
      <c r="L2080" s="16">
        <v>1.5</v>
      </c>
      <c r="M2080" s="17">
        <f t="shared" si="152"/>
        <v>0.66666666666666663</v>
      </c>
      <c r="N2080" s="17">
        <f>IF(OR(L2080="",L2080=0),"",Параметры!$B$3/L2080)</f>
        <v>5.333333333333333</v>
      </c>
      <c r="O2080" s="15">
        <f>IF(L2080="","",IFERROR(INDEX('Почасовка — ставки и план'!$D$5:$D$24,MATCH($D2080,'Почасовка — ставки и план'!$A$5:$A$24,0)),""))</f>
        <v>1200</v>
      </c>
      <c r="P2080" s="15">
        <f>IF(L2080="","",IFERROR(INDEX('Почасовка — ставки и план'!$E$5:$E$24,MATCH($D2080,'Почасовка — ставки и план'!$A$5:$A$24,0)),""))</f>
        <v>1440</v>
      </c>
      <c r="Q2080" s="15">
        <f t="shared" si="153"/>
        <v>1800</v>
      </c>
      <c r="R2080" s="13" t="str">
        <f>IF(D2080="TEX","аренда техники — сделка/счёт",IF(OR(Q2080="",H2080="",H2080=0),"—",IF(Q2080&lt;H2080*(1-Параметры!$B$7),"почасовка",IF(Q2080&gt;H2080*(1+Параметры!$B$7),"сделка","любой способ"))))</f>
        <v>почасовка</v>
      </c>
      <c r="S2080">
        <v>0</v>
      </c>
      <c r="T2080">
        <v>0</v>
      </c>
    </row>
    <row r="2081" spans="1:20" x14ac:dyDescent="0.25">
      <c r="A2081" s="18" t="s">
        <v>4191</v>
      </c>
      <c r="B2081" s="13" t="s">
        <v>4192</v>
      </c>
      <c r="C2081" s="13" t="s">
        <v>865</v>
      </c>
      <c r="D2081" s="13" t="s">
        <v>545</v>
      </c>
      <c r="E2081" s="13" t="str">
        <f>IFERROR(INDEX('Почасовка — ставки и план'!$B$5:$B$24,MATCH(D2081,'Почасовка — ставки и план'!$A$5:$A$24,0)),"Аренда техники / механизмы")</f>
        <v>Сервисный инженер ворот и автоматики</v>
      </c>
      <c r="F2081" s="14">
        <v>3500</v>
      </c>
      <c r="G2081" s="14">
        <v>4025</v>
      </c>
      <c r="H2081" s="15">
        <v>2100</v>
      </c>
      <c r="I2081" s="15">
        <f>IF(OR(H2081="",F2081=""),"",MAX(H2081,MIN(ROUND(H2081*(1+Параметры!$B$5),IF(H2081*(1+Параметры!$B$5)&gt;=1000,-1,0)),ROUND(F2081*Параметры!$B$6,IF(F2081*Параметры!$B$6&gt;=1000,-1,0)))))</f>
        <v>2420</v>
      </c>
      <c r="J2081" s="15">
        <v>2415</v>
      </c>
      <c r="K2081" s="15">
        <f>IF(OR(J2081="",G2081=""),"",MAX(J2081,MIN(ROUND(J2081*(1+Параметры!$B$5),IF(J2081*(1+Параметры!$B$5)&gt;=1000,-1,0)),ROUND(G2081*Параметры!$B$6,IF(G2081*Параметры!$B$6&gt;=1000,-1,0)))))</f>
        <v>2780</v>
      </c>
      <c r="L2081" s="16">
        <v>1.5</v>
      </c>
      <c r="M2081" s="17">
        <f t="shared" si="152"/>
        <v>0.66666666666666663</v>
      </c>
      <c r="N2081" s="17">
        <f>IF(OR(L2081="",L2081=0),"",Параметры!$B$3/L2081)</f>
        <v>5.333333333333333</v>
      </c>
      <c r="O2081" s="15">
        <f>IF(L2081="","",IFERROR(INDEX('Почасовка — ставки и план'!$D$5:$D$24,MATCH($D2081,'Почасовка — ставки и план'!$A$5:$A$24,0)),""))</f>
        <v>1200</v>
      </c>
      <c r="P2081" s="15">
        <f>IF(L2081="","",IFERROR(INDEX('Почасовка — ставки и план'!$E$5:$E$24,MATCH($D2081,'Почасовка — ставки и план'!$A$5:$A$24,0)),""))</f>
        <v>1440</v>
      </c>
      <c r="Q2081" s="15">
        <f t="shared" si="153"/>
        <v>1800</v>
      </c>
      <c r="R2081" s="13" t="str">
        <f>IF(D2081="TEX","аренда техники — сделка/счёт",IF(OR(Q2081="",H2081="",H2081=0),"—",IF(Q2081&lt;H2081*(1-Параметры!$B$7),"почасовка",IF(Q2081&gt;H2081*(1+Параметры!$B$7),"сделка","любой способ"))))</f>
        <v>почасовка</v>
      </c>
      <c r="S2081">
        <v>0</v>
      </c>
      <c r="T2081">
        <v>0</v>
      </c>
    </row>
    <row r="2082" spans="1:20" x14ac:dyDescent="0.25">
      <c r="A2082" s="18" t="s">
        <v>4193</v>
      </c>
      <c r="B2082" s="13" t="s">
        <v>4194</v>
      </c>
      <c r="C2082" s="13" t="s">
        <v>144</v>
      </c>
      <c r="D2082" s="13" t="s">
        <v>545</v>
      </c>
      <c r="E2082" s="13" t="str">
        <f>IFERROR(INDEX('Почасовка — ставки и план'!$B$5:$B$24,MATCH(D2082,'Почасовка — ставки и план'!$A$5:$A$24,0)),"Аренда техники / механизмы")</f>
        <v>Сервисный инженер ворот и автоматики</v>
      </c>
      <c r="F2082" s="14">
        <v>3200</v>
      </c>
      <c r="G2082" s="14">
        <v>3840</v>
      </c>
      <c r="H2082" s="15">
        <v>1800</v>
      </c>
      <c r="I2082" s="15">
        <f>IF(OR(H2082="",F2082=""),"",MAX(H2082,MIN(ROUND(H2082*(1+Параметры!$B$5),IF(H2082*(1+Параметры!$B$5)&gt;=1000,-1,0)),ROUND(F2082*Параметры!$B$6,IF(F2082*Параметры!$B$6&gt;=1000,-1,0)))))</f>
        <v>2070</v>
      </c>
      <c r="J2082" s="15">
        <v>2070</v>
      </c>
      <c r="K2082" s="15">
        <f>IF(OR(J2082="",G2082=""),"",MAX(J2082,MIN(ROUND(J2082*(1+Параметры!$B$5),IF(J2082*(1+Параметры!$B$5)&gt;=1000,-1,0)),ROUND(G2082*Параметры!$B$6,IF(G2082*Параметры!$B$6&gt;=1000,-1,0)))))</f>
        <v>2380</v>
      </c>
      <c r="L2082" s="16">
        <v>2</v>
      </c>
      <c r="M2082" s="17">
        <f t="shared" si="152"/>
        <v>0.5</v>
      </c>
      <c r="N2082" s="17">
        <f>IF(OR(L2082="",L2082=0),"",Параметры!$B$3/L2082)</f>
        <v>4</v>
      </c>
      <c r="O2082" s="15">
        <f>IF(L2082="","",IFERROR(INDEX('Почасовка — ставки и план'!$D$5:$D$24,MATCH($D2082,'Почасовка — ставки и план'!$A$5:$A$24,0)),""))</f>
        <v>1200</v>
      </c>
      <c r="P2082" s="15">
        <f>IF(L2082="","",IFERROR(INDEX('Почасовка — ставки и план'!$E$5:$E$24,MATCH($D2082,'Почасовка — ставки и план'!$A$5:$A$24,0)),""))</f>
        <v>1440</v>
      </c>
      <c r="Q2082" s="15">
        <f t="shared" si="153"/>
        <v>2400</v>
      </c>
      <c r="R2082" s="13" t="str">
        <f>IF(D2082="TEX","аренда техники — сделка/счёт",IF(OR(Q2082="",H2082="",H2082=0),"—",IF(Q2082&lt;H2082*(1-Параметры!$B$7),"почасовка",IF(Q2082&gt;H2082*(1+Параметры!$B$7),"сделка","любой способ"))))</f>
        <v>сделка</v>
      </c>
      <c r="S2082">
        <v>6.6666666666666652E-2</v>
      </c>
      <c r="T2082">
        <v>0.11304347826086961</v>
      </c>
    </row>
    <row r="2083" spans="1:20" x14ac:dyDescent="0.25">
      <c r="A2083" s="18" t="s">
        <v>4195</v>
      </c>
      <c r="B2083" s="13" t="s">
        <v>4196</v>
      </c>
      <c r="C2083" s="13" t="s">
        <v>144</v>
      </c>
      <c r="D2083" s="13" t="s">
        <v>545</v>
      </c>
      <c r="E2083" s="13" t="str">
        <f>IFERROR(INDEX('Почасовка — ставки и план'!$B$5:$B$24,MATCH(D2083,'Почасовка — ставки и план'!$A$5:$A$24,0)),"Аренда техники / механизмы")</f>
        <v>Сервисный инженер ворот и автоматики</v>
      </c>
      <c r="F2083" s="14">
        <v>1500</v>
      </c>
      <c r="G2083" s="14">
        <v>1725</v>
      </c>
      <c r="H2083" s="15">
        <v>900</v>
      </c>
      <c r="I2083" s="15">
        <f>IF(OR(H2083="",F2083=""),"",MAX(H2083,MIN(ROUND(H2083*(1+Параметры!$B$5),IF(H2083*(1+Параметры!$B$5)&gt;=1000,-1,0)),ROUND(F2083*Параметры!$B$6,IF(F2083*Параметры!$B$6&gt;=1000,-1,0)))))</f>
        <v>1040</v>
      </c>
      <c r="J2083" s="15">
        <v>1035</v>
      </c>
      <c r="K2083" s="15">
        <f>IF(OR(J2083="",G2083=""),"",MAX(J2083,MIN(ROUND(J2083*(1+Параметры!$B$5),IF(J2083*(1+Параметры!$B$5)&gt;=1000,-1,0)),ROUND(G2083*Параметры!$B$6,IF(G2083*Параметры!$B$6&gt;=1000,-1,0)))))</f>
        <v>1190</v>
      </c>
      <c r="L2083" s="16">
        <v>0.8</v>
      </c>
      <c r="M2083" s="17">
        <f t="shared" si="152"/>
        <v>1.25</v>
      </c>
      <c r="N2083" s="17">
        <f>IF(OR(L2083="",L2083=0),"",Параметры!$B$3/L2083)</f>
        <v>10</v>
      </c>
      <c r="O2083" s="15">
        <f>IF(L2083="","",IFERROR(INDEX('Почасовка — ставки и план'!$D$5:$D$24,MATCH($D2083,'Почасовка — ставки и план'!$A$5:$A$24,0)),""))</f>
        <v>1200</v>
      </c>
      <c r="P2083" s="15">
        <f>IF(L2083="","",IFERROR(INDEX('Почасовка — ставки и план'!$E$5:$E$24,MATCH($D2083,'Почасовка — ставки и план'!$A$5:$A$24,0)),""))</f>
        <v>1440</v>
      </c>
      <c r="Q2083" s="15">
        <f t="shared" si="153"/>
        <v>960</v>
      </c>
      <c r="R2083" s="13" t="str">
        <f>IF(D2083="TEX","аренда техники — сделка/счёт",IF(OR(Q2083="",H2083="",H2083=0),"—",IF(Q2083&lt;H2083*(1-Параметры!$B$7),"почасовка",IF(Q2083&gt;H2083*(1+Параметры!$B$7),"сделка","любой способ"))))</f>
        <v>любой способ</v>
      </c>
      <c r="S2083">
        <v>0</v>
      </c>
      <c r="T2083">
        <v>0</v>
      </c>
    </row>
    <row r="2084" spans="1:20" x14ac:dyDescent="0.25">
      <c r="A2084" s="18" t="s">
        <v>4197</v>
      </c>
      <c r="B2084" s="13" t="s">
        <v>4198</v>
      </c>
      <c r="C2084" s="13" t="s">
        <v>144</v>
      </c>
      <c r="D2084" s="13" t="s">
        <v>545</v>
      </c>
      <c r="E2084" s="13" t="str">
        <f>IFERROR(INDEX('Почасовка — ставки и план'!$B$5:$B$24,MATCH(D2084,'Почасовка — ставки и план'!$A$5:$A$24,0)),"Аренда техники / механизмы")</f>
        <v>Сервисный инженер ворот и автоматики</v>
      </c>
      <c r="F2084" s="14">
        <v>30000</v>
      </c>
      <c r="G2084" s="14">
        <v>34500</v>
      </c>
      <c r="H2084" s="15">
        <v>18000</v>
      </c>
      <c r="I2084" s="15">
        <f>IF(OR(H2084="",F2084=""),"",MAX(H2084,MIN(ROUND(H2084*(1+Параметры!$B$5),IF(H2084*(1+Параметры!$B$5)&gt;=1000,-1,0)),ROUND(F2084*Параметры!$B$6,IF(F2084*Параметры!$B$6&gt;=1000,-1,0)))))</f>
        <v>20700</v>
      </c>
      <c r="J2084" s="15">
        <v>20700</v>
      </c>
      <c r="K2084" s="15">
        <f>IF(OR(J2084="",G2084=""),"",MAX(J2084,MIN(ROUND(J2084*(1+Параметры!$B$5),IF(J2084*(1+Параметры!$B$5)&gt;=1000,-1,0)),ROUND(G2084*Параметры!$B$6,IF(G2084*Параметры!$B$6&gt;=1000,-1,0)))))</f>
        <v>23810</v>
      </c>
      <c r="L2084" s="16">
        <v>16</v>
      </c>
      <c r="M2084" s="17">
        <f t="shared" si="152"/>
        <v>6.25E-2</v>
      </c>
      <c r="N2084" s="17">
        <f>IF(OR(L2084="",L2084=0),"",Параметры!$B$3/L2084)</f>
        <v>0.5</v>
      </c>
      <c r="O2084" s="15">
        <f>IF(L2084="","",IFERROR(INDEX('Почасовка — ставки и план'!$D$5:$D$24,MATCH($D2084,'Почасовка — ставки и план'!$A$5:$A$24,0)),""))</f>
        <v>1200</v>
      </c>
      <c r="P2084" s="15">
        <f>IF(L2084="","",IFERROR(INDEX('Почасовка — ставки и план'!$E$5:$E$24,MATCH($D2084,'Почасовка — ставки и план'!$A$5:$A$24,0)),""))</f>
        <v>1440</v>
      </c>
      <c r="Q2084" s="15">
        <f t="shared" si="153"/>
        <v>19200</v>
      </c>
      <c r="R2084" s="13" t="str">
        <f>IF(D2084="TEX","аренда техники — сделка/счёт",IF(OR(Q2084="",H2084="",H2084=0),"—",IF(Q2084&lt;H2084*(1-Параметры!$B$7),"почасовка",IF(Q2084&gt;H2084*(1+Параметры!$B$7),"сделка","любой способ"))))</f>
        <v>любой способ</v>
      </c>
      <c r="S2084">
        <v>0</v>
      </c>
      <c r="T2084">
        <v>0</v>
      </c>
    </row>
    <row r="2085" spans="1:20" x14ac:dyDescent="0.25">
      <c r="A2085" s="18" t="s">
        <v>4199</v>
      </c>
      <c r="B2085" s="13" t="s">
        <v>4200</v>
      </c>
      <c r="C2085" s="13" t="s">
        <v>144</v>
      </c>
      <c r="D2085" s="13" t="s">
        <v>545</v>
      </c>
      <c r="E2085" s="13" t="str">
        <f>IFERROR(INDEX('Почасовка — ставки и план'!$B$5:$B$24,MATCH(D2085,'Почасовка — ставки и план'!$A$5:$A$24,0)),"Аренда техники / механизмы")</f>
        <v>Сервисный инженер ворот и автоматики</v>
      </c>
      <c r="F2085" s="14">
        <v>1500</v>
      </c>
      <c r="G2085" s="14">
        <v>1725</v>
      </c>
      <c r="H2085" s="15">
        <v>900</v>
      </c>
      <c r="I2085" s="15">
        <f>IF(OR(H2085="",F2085=""),"",MAX(H2085,MIN(ROUND(H2085*(1+Параметры!$B$5),IF(H2085*(1+Параметры!$B$5)&gt;=1000,-1,0)),ROUND(F2085*Параметры!$B$6,IF(F2085*Параметры!$B$6&gt;=1000,-1,0)))))</f>
        <v>1040</v>
      </c>
      <c r="J2085" s="15">
        <v>1035</v>
      </c>
      <c r="K2085" s="15">
        <f>IF(OR(J2085="",G2085=""),"",MAX(J2085,MIN(ROUND(J2085*(1+Параметры!$B$5),IF(J2085*(1+Параметры!$B$5)&gt;=1000,-1,0)),ROUND(G2085*Параметры!$B$6,IF(G2085*Параметры!$B$6&gt;=1000,-1,0)))))</f>
        <v>1190</v>
      </c>
      <c r="L2085" s="16">
        <v>0.8</v>
      </c>
      <c r="M2085" s="17">
        <f t="shared" si="152"/>
        <v>1.25</v>
      </c>
      <c r="N2085" s="17">
        <f>IF(OR(L2085="",L2085=0),"",Параметры!$B$3/L2085)</f>
        <v>10</v>
      </c>
      <c r="O2085" s="15">
        <f>IF(L2085="","",IFERROR(INDEX('Почасовка — ставки и план'!$D$5:$D$24,MATCH($D2085,'Почасовка — ставки и план'!$A$5:$A$24,0)),""))</f>
        <v>1200</v>
      </c>
      <c r="P2085" s="15">
        <f>IF(L2085="","",IFERROR(INDEX('Почасовка — ставки и план'!$E$5:$E$24,MATCH($D2085,'Почасовка — ставки и план'!$A$5:$A$24,0)),""))</f>
        <v>1440</v>
      </c>
      <c r="Q2085" s="15">
        <f t="shared" si="153"/>
        <v>960</v>
      </c>
      <c r="R2085" s="13" t="str">
        <f>IF(D2085="TEX","аренда техники — сделка/счёт",IF(OR(Q2085="",H2085="",H2085=0),"—",IF(Q2085&lt;H2085*(1-Параметры!$B$7),"почасовка",IF(Q2085&gt;H2085*(1+Параметры!$B$7),"сделка","любой способ"))))</f>
        <v>любой способ</v>
      </c>
      <c r="S2085">
        <v>0</v>
      </c>
      <c r="T2085">
        <v>0</v>
      </c>
    </row>
    <row r="2086" spans="1:20" x14ac:dyDescent="0.25">
      <c r="A2086" s="11" t="s">
        <v>4201</v>
      </c>
      <c r="B2086" s="12"/>
      <c r="C2086" s="12"/>
      <c r="D2086" s="12"/>
      <c r="E2086" s="12"/>
      <c r="F2086" s="12"/>
      <c r="G2086" s="12"/>
      <c r="H2086" s="12"/>
      <c r="I2086" s="12"/>
      <c r="J2086" s="12"/>
      <c r="K2086" s="12"/>
      <c r="L2086" s="12"/>
      <c r="M2086" s="12"/>
      <c r="N2086" s="12"/>
      <c r="O2086" s="12"/>
      <c r="P2086" s="12"/>
      <c r="Q2086" s="12"/>
      <c r="R2086" s="12"/>
    </row>
    <row r="2087" spans="1:20" x14ac:dyDescent="0.25">
      <c r="A2087" s="13" t="s">
        <v>4202</v>
      </c>
      <c r="B2087" s="13" t="s">
        <v>4203</v>
      </c>
      <c r="C2087" s="13" t="s">
        <v>144</v>
      </c>
      <c r="D2087" s="13" t="s">
        <v>545</v>
      </c>
      <c r="E2087" s="13" t="str">
        <f>IFERROR(INDEX('Почасовка — ставки и план'!$B$5:$B$24,MATCH(D2087,'Почасовка — ставки и план'!$A$5:$A$24,0)),"Аренда техники / механизмы")</f>
        <v>Сервисный инженер ворот и автоматики</v>
      </c>
      <c r="F2087" s="14">
        <v>500</v>
      </c>
      <c r="G2087" s="14">
        <v>576</v>
      </c>
      <c r="H2087" s="15">
        <v>300</v>
      </c>
      <c r="I2087" s="15">
        <f>IF(OR(H2087="",F2087=""),"",MAX(H2087,MIN(ROUND(H2087*(1+Параметры!$B$5),IF(H2087*(1+Параметры!$B$5)&gt;=1000,-1,0)),ROUND(F2087*Параметры!$B$6,IF(F2087*Параметры!$B$6&gt;=1000,-1,0)))))</f>
        <v>345</v>
      </c>
      <c r="J2087" s="15">
        <v>345</v>
      </c>
      <c r="K2087" s="15">
        <f>IF(OR(J2087="",G2087=""),"",MAX(J2087,MIN(ROUND(J2087*(1+Параметры!$B$5),IF(J2087*(1+Параметры!$B$5)&gt;=1000,-1,0)),ROUND(G2087*Параметры!$B$6,IF(G2087*Параметры!$B$6&gt;=1000,-1,0)))))</f>
        <v>397</v>
      </c>
      <c r="L2087" s="16">
        <v>0.3</v>
      </c>
      <c r="M2087" s="17">
        <f t="shared" ref="M2087:M2110" si="154">IF(OR(L2087="",L2087=0),"",1/L2087)</f>
        <v>3.3333333333333335</v>
      </c>
      <c r="N2087" s="17">
        <f>IF(OR(L2087="",L2087=0),"",Параметры!$B$3/L2087)</f>
        <v>26.666666666666668</v>
      </c>
      <c r="O2087" s="15">
        <f>IF(L2087="","",IFERROR(INDEX('Почасовка — ставки и план'!$D$5:$D$24,MATCH($D2087,'Почасовка — ставки и план'!$A$5:$A$24,0)),""))</f>
        <v>1200</v>
      </c>
      <c r="P2087" s="15">
        <f>IF(L2087="","",IFERROR(INDEX('Почасовка — ставки и план'!$E$5:$E$24,MATCH($D2087,'Почасовка — ставки и план'!$A$5:$A$24,0)),""))</f>
        <v>1440</v>
      </c>
      <c r="Q2087" s="15">
        <f t="shared" ref="Q2087:Q2110" si="155">IF(OR(L2087="",O2087=""),"",ROUND(L2087*O2087,0))</f>
        <v>360</v>
      </c>
      <c r="R2087" s="13" t="str">
        <f>IF(D2087="TEX","аренда техники — сделка/счёт",IF(OR(Q2087="",H2087="",H2087=0),"—",IF(Q2087&lt;H2087*(1-Параметры!$B$7),"почасовка",IF(Q2087&gt;H2087*(1+Параметры!$B$7),"сделка","любой способ"))))</f>
        <v>сделка</v>
      </c>
      <c r="S2087">
        <v>0</v>
      </c>
      <c r="T2087">
        <v>1.739130434782687E-3</v>
      </c>
    </row>
    <row r="2088" spans="1:20" x14ac:dyDescent="0.25">
      <c r="A2088" s="13" t="s">
        <v>4204</v>
      </c>
      <c r="B2088" s="13" t="s">
        <v>4205</v>
      </c>
      <c r="C2088" s="13" t="s">
        <v>144</v>
      </c>
      <c r="D2088" s="13" t="s">
        <v>545</v>
      </c>
      <c r="E2088" s="13" t="str">
        <f>IFERROR(INDEX('Почасовка — ставки и план'!$B$5:$B$24,MATCH(D2088,'Почасовка — ставки и план'!$A$5:$A$24,0)),"Аренда техники / механизмы")</f>
        <v>Сервисный инженер ворот и автоматики</v>
      </c>
      <c r="F2088" s="14">
        <v>400</v>
      </c>
      <c r="G2088" s="14">
        <v>460</v>
      </c>
      <c r="H2088" s="15">
        <v>240</v>
      </c>
      <c r="I2088" s="15">
        <f>IF(OR(H2088="",F2088=""),"",MAX(H2088,MIN(ROUND(H2088*(1+Параметры!$B$5),IF(H2088*(1+Параметры!$B$5)&gt;=1000,-1,0)),ROUND(F2088*Параметры!$B$6,IF(F2088*Параметры!$B$6&gt;=1000,-1,0)))))</f>
        <v>276</v>
      </c>
      <c r="J2088" s="15">
        <v>276</v>
      </c>
      <c r="K2088" s="15">
        <f>IF(OR(J2088="",G2088=""),"",MAX(J2088,MIN(ROUND(J2088*(1+Параметры!$B$5),IF(J2088*(1+Параметры!$B$5)&gt;=1000,-1,0)),ROUND(G2088*Параметры!$B$6,IF(G2088*Параметры!$B$6&gt;=1000,-1,0)))))</f>
        <v>317</v>
      </c>
      <c r="L2088" s="16">
        <v>0.2</v>
      </c>
      <c r="M2088" s="17">
        <f t="shared" si="154"/>
        <v>5</v>
      </c>
      <c r="N2088" s="17">
        <f>IF(OR(L2088="",L2088=0),"",Параметры!$B$3/L2088)</f>
        <v>40</v>
      </c>
      <c r="O2088" s="15">
        <f>IF(L2088="","",IFERROR(INDEX('Почасовка — ставки и план'!$D$5:$D$24,MATCH($D2088,'Почасовка — ставки и план'!$A$5:$A$24,0)),""))</f>
        <v>1200</v>
      </c>
      <c r="P2088" s="15">
        <f>IF(L2088="","",IFERROR(INDEX('Почасовка — ставки и план'!$E$5:$E$24,MATCH($D2088,'Почасовка — ставки и план'!$A$5:$A$24,0)),""))</f>
        <v>1440</v>
      </c>
      <c r="Q2088" s="15">
        <f t="shared" si="155"/>
        <v>240</v>
      </c>
      <c r="R2088" s="13" t="str">
        <f>IF(D2088="TEX","аренда техники — сделка/счёт",IF(OR(Q2088="",H2088="",H2088=0),"—",IF(Q2088&lt;H2088*(1-Параметры!$B$7),"почасовка",IF(Q2088&gt;H2088*(1+Параметры!$B$7),"сделка","любой способ"))))</f>
        <v>любой способ</v>
      </c>
      <c r="S2088">
        <v>0</v>
      </c>
      <c r="T2088">
        <v>0</v>
      </c>
    </row>
    <row r="2089" spans="1:20" x14ac:dyDescent="0.25">
      <c r="A2089" s="13" t="s">
        <v>4206</v>
      </c>
      <c r="B2089" s="13" t="s">
        <v>4207</v>
      </c>
      <c r="C2089" s="13" t="s">
        <v>144</v>
      </c>
      <c r="D2089" s="13" t="s">
        <v>545</v>
      </c>
      <c r="E2089" s="13" t="str">
        <f>IFERROR(INDEX('Почасовка — ставки и план'!$B$5:$B$24,MATCH(D2089,'Почасовка — ставки и план'!$A$5:$A$24,0)),"Аренда техники / механизмы")</f>
        <v>Сервисный инженер ворот и автоматики</v>
      </c>
      <c r="F2089" s="14">
        <v>1800</v>
      </c>
      <c r="G2089" s="14">
        <v>2070</v>
      </c>
      <c r="H2089" s="15">
        <v>1080</v>
      </c>
      <c r="I2089" s="15">
        <f>IF(OR(H2089="",F2089=""),"",MAX(H2089,MIN(ROUND(H2089*(1+Параметры!$B$5),IF(H2089*(1+Параметры!$B$5)&gt;=1000,-1,0)),ROUND(F2089*Параметры!$B$6,IF(F2089*Параметры!$B$6&gt;=1000,-1,0)))))</f>
        <v>1240</v>
      </c>
      <c r="J2089" s="15">
        <v>1242</v>
      </c>
      <c r="K2089" s="15">
        <f>IF(OR(J2089="",G2089=""),"",MAX(J2089,MIN(ROUND(J2089*(1+Параметры!$B$5),IF(J2089*(1+Параметры!$B$5)&gt;=1000,-1,0)),ROUND(G2089*Параметры!$B$6,IF(G2089*Параметры!$B$6&gt;=1000,-1,0)))))</f>
        <v>1430</v>
      </c>
      <c r="L2089" s="16">
        <v>1</v>
      </c>
      <c r="M2089" s="17">
        <f t="shared" si="154"/>
        <v>1</v>
      </c>
      <c r="N2089" s="17">
        <f>IF(OR(L2089="",L2089=0),"",Параметры!$B$3/L2089)</f>
        <v>8</v>
      </c>
      <c r="O2089" s="15">
        <f>IF(L2089="","",IFERROR(INDEX('Почасовка — ставки и план'!$D$5:$D$24,MATCH($D2089,'Почасовка — ставки и план'!$A$5:$A$24,0)),""))</f>
        <v>1200</v>
      </c>
      <c r="P2089" s="15">
        <f>IF(L2089="","",IFERROR(INDEX('Почасовка — ставки и план'!$E$5:$E$24,MATCH($D2089,'Почасовка — ставки и план'!$A$5:$A$24,0)),""))</f>
        <v>1440</v>
      </c>
      <c r="Q2089" s="15">
        <f t="shared" si="155"/>
        <v>1200</v>
      </c>
      <c r="R2089" s="13" t="str">
        <f>IF(D2089="TEX","аренда техники — сделка/счёт",IF(OR(Q2089="",H2089="",H2089=0),"—",IF(Q2089&lt;H2089*(1-Параметры!$B$7),"почасовка",IF(Q2089&gt;H2089*(1+Параметры!$B$7),"сделка","любой способ"))))</f>
        <v>сделка</v>
      </c>
      <c r="S2089">
        <v>0</v>
      </c>
      <c r="T2089">
        <v>0</v>
      </c>
    </row>
    <row r="2090" spans="1:20" x14ac:dyDescent="0.25">
      <c r="A2090" s="13" t="s">
        <v>4208</v>
      </c>
      <c r="B2090" s="13" t="s">
        <v>4209</v>
      </c>
      <c r="C2090" s="13" t="s">
        <v>144</v>
      </c>
      <c r="D2090" s="13" t="s">
        <v>545</v>
      </c>
      <c r="E2090" s="13" t="str">
        <f>IFERROR(INDEX('Почасовка — ставки и план'!$B$5:$B$24,MATCH(D2090,'Почасовка — ставки и план'!$A$5:$A$24,0)),"Аренда техники / механизмы")</f>
        <v>Сервисный инженер ворот и автоматики</v>
      </c>
      <c r="F2090" s="14">
        <v>1800</v>
      </c>
      <c r="G2090" s="14">
        <v>2070</v>
      </c>
      <c r="H2090" s="15">
        <v>1080</v>
      </c>
      <c r="I2090" s="15">
        <f>IF(OR(H2090="",F2090=""),"",MAX(H2090,MIN(ROUND(H2090*(1+Параметры!$B$5),IF(H2090*(1+Параметры!$B$5)&gt;=1000,-1,0)),ROUND(F2090*Параметры!$B$6,IF(F2090*Параметры!$B$6&gt;=1000,-1,0)))))</f>
        <v>1240</v>
      </c>
      <c r="J2090" s="15">
        <v>1242</v>
      </c>
      <c r="K2090" s="15">
        <f>IF(OR(J2090="",G2090=""),"",MAX(J2090,MIN(ROUND(J2090*(1+Параметры!$B$5),IF(J2090*(1+Параметры!$B$5)&gt;=1000,-1,0)),ROUND(G2090*Параметры!$B$6,IF(G2090*Параметры!$B$6&gt;=1000,-1,0)))))</f>
        <v>1430</v>
      </c>
      <c r="L2090" s="16">
        <v>1</v>
      </c>
      <c r="M2090" s="17">
        <f t="shared" si="154"/>
        <v>1</v>
      </c>
      <c r="N2090" s="17">
        <f>IF(OR(L2090="",L2090=0),"",Параметры!$B$3/L2090)</f>
        <v>8</v>
      </c>
      <c r="O2090" s="15">
        <f>IF(L2090="","",IFERROR(INDEX('Почасовка — ставки и план'!$D$5:$D$24,MATCH($D2090,'Почасовка — ставки и план'!$A$5:$A$24,0)),""))</f>
        <v>1200</v>
      </c>
      <c r="P2090" s="15">
        <f>IF(L2090="","",IFERROR(INDEX('Почасовка — ставки и план'!$E$5:$E$24,MATCH($D2090,'Почасовка — ставки и план'!$A$5:$A$24,0)),""))</f>
        <v>1440</v>
      </c>
      <c r="Q2090" s="15">
        <f t="shared" si="155"/>
        <v>1200</v>
      </c>
      <c r="R2090" s="13" t="str">
        <f>IF(D2090="TEX","аренда техники — сделка/счёт",IF(OR(Q2090="",H2090="",H2090=0),"—",IF(Q2090&lt;H2090*(1-Параметры!$B$7),"почасовка",IF(Q2090&gt;H2090*(1+Параметры!$B$7),"сделка","любой способ"))))</f>
        <v>сделка</v>
      </c>
      <c r="S2090">
        <v>0</v>
      </c>
      <c r="T2090">
        <v>0</v>
      </c>
    </row>
    <row r="2091" spans="1:20" x14ac:dyDescent="0.25">
      <c r="A2091" s="13" t="s">
        <v>4210</v>
      </c>
      <c r="B2091" s="13" t="s">
        <v>4211</v>
      </c>
      <c r="C2091" s="13" t="s">
        <v>144</v>
      </c>
      <c r="D2091" s="13" t="s">
        <v>545</v>
      </c>
      <c r="E2091" s="13" t="str">
        <f>IFERROR(INDEX('Почасовка — ставки и план'!$B$5:$B$24,MATCH(D2091,'Почасовка — ставки и план'!$A$5:$A$24,0)),"Аренда техники / механизмы")</f>
        <v>Сервисный инженер ворот и автоматики</v>
      </c>
      <c r="F2091" s="14">
        <v>250</v>
      </c>
      <c r="G2091" s="14">
        <v>288</v>
      </c>
      <c r="H2091" s="15">
        <v>150</v>
      </c>
      <c r="I2091" s="15">
        <f>IF(OR(H2091="",F2091=""),"",MAX(H2091,MIN(ROUND(H2091*(1+Параметры!$B$5),IF(H2091*(1+Параметры!$B$5)&gt;=1000,-1,0)),ROUND(F2091*Параметры!$B$6,IF(F2091*Параметры!$B$6&gt;=1000,-1,0)))))</f>
        <v>173</v>
      </c>
      <c r="J2091" s="15">
        <v>172</v>
      </c>
      <c r="K2091" s="15">
        <f>IF(OR(J2091="",G2091=""),"",MAX(J2091,MIN(ROUND(J2091*(1+Параметры!$B$5),IF(J2091*(1+Параметры!$B$5)&gt;=1000,-1,0)),ROUND(G2091*Параметры!$B$6,IF(G2091*Параметры!$B$6&gt;=1000,-1,0)))))</f>
        <v>198</v>
      </c>
      <c r="L2091" s="16">
        <v>0.15</v>
      </c>
      <c r="M2091" s="17">
        <f t="shared" si="154"/>
        <v>6.666666666666667</v>
      </c>
      <c r="N2091" s="17">
        <f>IF(OR(L2091="",L2091=0),"",Параметры!$B$3/L2091)</f>
        <v>53.333333333333336</v>
      </c>
      <c r="O2091" s="15">
        <f>IF(L2091="","",IFERROR(INDEX('Почасовка — ставки и план'!$D$5:$D$24,MATCH($D2091,'Почасовка — ставки и план'!$A$5:$A$24,0)),""))</f>
        <v>1200</v>
      </c>
      <c r="P2091" s="15">
        <f>IF(L2091="","",IFERROR(INDEX('Почасовка — ставки и план'!$E$5:$E$24,MATCH($D2091,'Почасовка — ставки и план'!$A$5:$A$24,0)),""))</f>
        <v>1440</v>
      </c>
      <c r="Q2091" s="15">
        <f t="shared" si="155"/>
        <v>180</v>
      </c>
      <c r="R2091" s="13" t="str">
        <f>IF(D2091="TEX","аренда техники — сделка/счёт",IF(OR(Q2091="",H2091="",H2091=0),"—",IF(Q2091&lt;H2091*(1-Параметры!$B$7),"почасовка",IF(Q2091&gt;H2091*(1+Параметры!$B$7),"сделка","любой способ"))))</f>
        <v>сделка</v>
      </c>
      <c r="S2091">
        <v>0</v>
      </c>
      <c r="T2091">
        <v>0</v>
      </c>
    </row>
    <row r="2092" spans="1:20" x14ac:dyDescent="0.25">
      <c r="A2092" s="13" t="s">
        <v>4212</v>
      </c>
      <c r="B2092" s="13" t="s">
        <v>4213</v>
      </c>
      <c r="C2092" s="13" t="s">
        <v>144</v>
      </c>
      <c r="D2092" s="13" t="s">
        <v>545</v>
      </c>
      <c r="E2092" s="13" t="str">
        <f>IFERROR(INDEX('Почасовка — ставки и план'!$B$5:$B$24,MATCH(D2092,'Почасовка — ставки и план'!$A$5:$A$24,0)),"Аренда техники / механизмы")</f>
        <v>Сервисный инженер ворот и автоматики</v>
      </c>
      <c r="F2092" s="14">
        <v>350</v>
      </c>
      <c r="G2092" s="14">
        <v>402</v>
      </c>
      <c r="H2092" s="15">
        <v>210</v>
      </c>
      <c r="I2092" s="15">
        <f>IF(OR(H2092="",F2092=""),"",MAX(H2092,MIN(ROUND(H2092*(1+Параметры!$B$5),IF(H2092*(1+Параметры!$B$5)&gt;=1000,-1,0)),ROUND(F2092*Параметры!$B$6,IF(F2092*Параметры!$B$6&gt;=1000,-1,0)))))</f>
        <v>242</v>
      </c>
      <c r="J2092" s="15">
        <v>241</v>
      </c>
      <c r="K2092" s="15">
        <f>IF(OR(J2092="",G2092=""),"",MAX(J2092,MIN(ROUND(J2092*(1+Параметры!$B$5),IF(J2092*(1+Параметры!$B$5)&gt;=1000,-1,0)),ROUND(G2092*Параметры!$B$6,IF(G2092*Параметры!$B$6&gt;=1000,-1,0)))))</f>
        <v>277</v>
      </c>
      <c r="L2092" s="16">
        <v>0.2</v>
      </c>
      <c r="M2092" s="17">
        <f t="shared" si="154"/>
        <v>5</v>
      </c>
      <c r="N2092" s="17">
        <f>IF(OR(L2092="",L2092=0),"",Параметры!$B$3/L2092)</f>
        <v>40</v>
      </c>
      <c r="O2092" s="15">
        <f>IF(L2092="","",IFERROR(INDEX('Почасовка — ставки и план'!$D$5:$D$24,MATCH($D2092,'Почасовка — ставки и план'!$A$5:$A$24,0)),""))</f>
        <v>1200</v>
      </c>
      <c r="P2092" s="15">
        <f>IF(L2092="","",IFERROR(INDEX('Почасовка — ставки и план'!$E$5:$E$24,MATCH($D2092,'Почасовка — ставки и план'!$A$5:$A$24,0)),""))</f>
        <v>1440</v>
      </c>
      <c r="Q2092" s="15">
        <f t="shared" si="155"/>
        <v>240</v>
      </c>
      <c r="R2092" s="13" t="str">
        <f>IF(D2092="TEX","аренда техники — сделка/счёт",IF(OR(Q2092="",H2092="",H2092=0),"—",IF(Q2092&lt;H2092*(1-Параметры!$B$7),"почасовка",IF(Q2092&gt;H2092*(1+Параметры!$B$7),"сделка","любой способ"))))</f>
        <v>сделка</v>
      </c>
      <c r="S2092">
        <v>0</v>
      </c>
      <c r="T2092">
        <v>0</v>
      </c>
    </row>
    <row r="2093" spans="1:20" x14ac:dyDescent="0.25">
      <c r="A2093" s="13" t="s">
        <v>4214</v>
      </c>
      <c r="B2093" s="13" t="s">
        <v>4215</v>
      </c>
      <c r="C2093" s="13" t="s">
        <v>144</v>
      </c>
      <c r="D2093" s="13" t="s">
        <v>545</v>
      </c>
      <c r="E2093" s="13" t="str">
        <f>IFERROR(INDEX('Почасовка — ставки и план'!$B$5:$B$24,MATCH(D2093,'Почасовка — ставки и план'!$A$5:$A$24,0)),"Аренда техники / механизмы")</f>
        <v>Сервисный инженер ворот и автоматики</v>
      </c>
      <c r="F2093" s="14">
        <v>5000</v>
      </c>
      <c r="G2093" s="14">
        <v>5760</v>
      </c>
      <c r="H2093" s="15">
        <v>3000</v>
      </c>
      <c r="I2093" s="15">
        <f>IF(OR(H2093="",F2093=""),"",MAX(H2093,MIN(ROUND(H2093*(1+Параметры!$B$5),IF(H2093*(1+Параметры!$B$5)&gt;=1000,-1,0)),ROUND(F2093*Параметры!$B$6,IF(F2093*Параметры!$B$6&gt;=1000,-1,0)))))</f>
        <v>3450</v>
      </c>
      <c r="J2093" s="15">
        <v>3450</v>
      </c>
      <c r="K2093" s="15">
        <f>IF(OR(J2093="",G2093=""),"",MAX(J2093,MIN(ROUND(J2093*(1+Параметры!$B$5),IF(J2093*(1+Параметры!$B$5)&gt;=1000,-1,0)),ROUND(G2093*Параметры!$B$6,IF(G2093*Параметры!$B$6&gt;=1000,-1,0)))))</f>
        <v>3970</v>
      </c>
      <c r="L2093" s="16">
        <v>3</v>
      </c>
      <c r="M2093" s="17">
        <f t="shared" si="154"/>
        <v>0.33333333333333331</v>
      </c>
      <c r="N2093" s="17">
        <f>IF(OR(L2093="",L2093=0),"",Параметры!$B$3/L2093)</f>
        <v>2.6666666666666665</v>
      </c>
      <c r="O2093" s="15">
        <f>IF(L2093="","",IFERROR(INDEX('Почасовка — ставки и план'!$D$5:$D$24,MATCH($D2093,'Почасовка — ставки и план'!$A$5:$A$24,0)),""))</f>
        <v>1200</v>
      </c>
      <c r="P2093" s="15">
        <f>IF(L2093="","",IFERROR(INDEX('Почасовка — ставки и план'!$E$5:$E$24,MATCH($D2093,'Почасовка — ставки и план'!$A$5:$A$24,0)),""))</f>
        <v>1440</v>
      </c>
      <c r="Q2093" s="15">
        <f t="shared" si="155"/>
        <v>3600</v>
      </c>
      <c r="R2093" s="13" t="str">
        <f>IF(D2093="TEX","аренда техники — сделка/счёт",IF(OR(Q2093="",H2093="",H2093=0),"—",IF(Q2093&lt;H2093*(1-Параметры!$B$7),"почасовка",IF(Q2093&gt;H2093*(1+Параметры!$B$7),"сделка","любой способ"))))</f>
        <v>сделка</v>
      </c>
      <c r="S2093">
        <v>0</v>
      </c>
      <c r="T2093">
        <v>1.739130434782687E-3</v>
      </c>
    </row>
    <row r="2094" spans="1:20" x14ac:dyDescent="0.25">
      <c r="A2094" s="13" t="s">
        <v>4216</v>
      </c>
      <c r="B2094" s="13" t="s">
        <v>4217</v>
      </c>
      <c r="C2094" s="13" t="s">
        <v>144</v>
      </c>
      <c r="D2094" s="13" t="s">
        <v>545</v>
      </c>
      <c r="E2094" s="13" t="str">
        <f>IFERROR(INDEX('Почасовка — ставки и план'!$B$5:$B$24,MATCH(D2094,'Почасовка — ставки и план'!$A$5:$A$24,0)),"Аренда техники / механизмы")</f>
        <v>Сервисный инженер ворот и автоматики</v>
      </c>
      <c r="F2094" s="14">
        <v>2500</v>
      </c>
      <c r="G2094" s="14">
        <v>2880</v>
      </c>
      <c r="H2094" s="15">
        <v>1500</v>
      </c>
      <c r="I2094" s="15">
        <f>IF(OR(H2094="",F2094=""),"",MAX(H2094,MIN(ROUND(H2094*(1+Параметры!$B$5),IF(H2094*(1+Параметры!$B$5)&gt;=1000,-1,0)),ROUND(F2094*Параметры!$B$6,IF(F2094*Параметры!$B$6&gt;=1000,-1,0)))))</f>
        <v>1730</v>
      </c>
      <c r="J2094" s="15">
        <v>1725</v>
      </c>
      <c r="K2094" s="15">
        <f>IF(OR(J2094="",G2094=""),"",MAX(J2094,MIN(ROUND(J2094*(1+Параметры!$B$5),IF(J2094*(1+Параметры!$B$5)&gt;=1000,-1,0)),ROUND(G2094*Параметры!$B$6,IF(G2094*Параметры!$B$6&gt;=1000,-1,0)))))</f>
        <v>1980</v>
      </c>
      <c r="L2094" s="16">
        <v>1.5</v>
      </c>
      <c r="M2094" s="17">
        <f t="shared" si="154"/>
        <v>0.66666666666666663</v>
      </c>
      <c r="N2094" s="17">
        <f>IF(OR(L2094="",L2094=0),"",Параметры!$B$3/L2094)</f>
        <v>5.333333333333333</v>
      </c>
      <c r="O2094" s="15">
        <f>IF(L2094="","",IFERROR(INDEX('Почасовка — ставки и план'!$D$5:$D$24,MATCH($D2094,'Почасовка — ставки и план'!$A$5:$A$24,0)),""))</f>
        <v>1200</v>
      </c>
      <c r="P2094" s="15">
        <f>IF(L2094="","",IFERROR(INDEX('Почасовка — ставки и план'!$E$5:$E$24,MATCH($D2094,'Почасовка — ставки и план'!$A$5:$A$24,0)),""))</f>
        <v>1440</v>
      </c>
      <c r="Q2094" s="15">
        <f t="shared" si="155"/>
        <v>1800</v>
      </c>
      <c r="R2094" s="13" t="str">
        <f>IF(D2094="TEX","аренда техники — сделка/счёт",IF(OR(Q2094="",H2094="",H2094=0),"—",IF(Q2094&lt;H2094*(1-Параметры!$B$7),"почасовка",IF(Q2094&gt;H2094*(1+Параметры!$B$7),"сделка","любой способ"))))</f>
        <v>сделка</v>
      </c>
      <c r="S2094">
        <v>0</v>
      </c>
      <c r="T2094">
        <v>1.739130434782687E-3</v>
      </c>
    </row>
    <row r="2095" spans="1:20" x14ac:dyDescent="0.25">
      <c r="A2095" s="13" t="s">
        <v>4218</v>
      </c>
      <c r="B2095" s="13" t="s">
        <v>4219</v>
      </c>
      <c r="C2095" s="13" t="s">
        <v>144</v>
      </c>
      <c r="D2095" s="13" t="s">
        <v>545</v>
      </c>
      <c r="E2095" s="13" t="str">
        <f>IFERROR(INDEX('Почасовка — ставки и план'!$B$5:$B$24,MATCH(D2095,'Почасовка — ставки и план'!$A$5:$A$24,0)),"Аренда техники / механизмы")</f>
        <v>Сервисный инженер ворот и автоматики</v>
      </c>
      <c r="F2095" s="14">
        <v>2500</v>
      </c>
      <c r="G2095" s="14">
        <v>2880</v>
      </c>
      <c r="H2095" s="15">
        <v>1500</v>
      </c>
      <c r="I2095" s="15">
        <f>IF(OR(H2095="",F2095=""),"",MAX(H2095,MIN(ROUND(H2095*(1+Параметры!$B$5),IF(H2095*(1+Параметры!$B$5)&gt;=1000,-1,0)),ROUND(F2095*Параметры!$B$6,IF(F2095*Параметры!$B$6&gt;=1000,-1,0)))))</f>
        <v>1730</v>
      </c>
      <c r="J2095" s="15">
        <v>1725</v>
      </c>
      <c r="K2095" s="15">
        <f>IF(OR(J2095="",G2095=""),"",MAX(J2095,MIN(ROUND(J2095*(1+Параметры!$B$5),IF(J2095*(1+Параметры!$B$5)&gt;=1000,-1,0)),ROUND(G2095*Параметры!$B$6,IF(G2095*Параметры!$B$6&gt;=1000,-1,0)))))</f>
        <v>1980</v>
      </c>
      <c r="L2095" s="16">
        <v>1.5</v>
      </c>
      <c r="M2095" s="17">
        <f t="shared" si="154"/>
        <v>0.66666666666666663</v>
      </c>
      <c r="N2095" s="17">
        <f>IF(OR(L2095="",L2095=0),"",Параметры!$B$3/L2095)</f>
        <v>5.333333333333333</v>
      </c>
      <c r="O2095" s="15">
        <f>IF(L2095="","",IFERROR(INDEX('Почасовка — ставки и план'!$D$5:$D$24,MATCH($D2095,'Почасовка — ставки и план'!$A$5:$A$24,0)),""))</f>
        <v>1200</v>
      </c>
      <c r="P2095" s="15">
        <f>IF(L2095="","",IFERROR(INDEX('Почасовка — ставки и план'!$E$5:$E$24,MATCH($D2095,'Почасовка — ставки и план'!$A$5:$A$24,0)),""))</f>
        <v>1440</v>
      </c>
      <c r="Q2095" s="15">
        <f t="shared" si="155"/>
        <v>1800</v>
      </c>
      <c r="R2095" s="13" t="str">
        <f>IF(D2095="TEX","аренда техники — сделка/счёт",IF(OR(Q2095="",H2095="",H2095=0),"—",IF(Q2095&lt;H2095*(1-Параметры!$B$7),"почасовка",IF(Q2095&gt;H2095*(1+Параметры!$B$7),"сделка","любой способ"))))</f>
        <v>сделка</v>
      </c>
      <c r="S2095">
        <v>0</v>
      </c>
      <c r="T2095">
        <v>1.739130434782687E-3</v>
      </c>
    </row>
    <row r="2096" spans="1:20" x14ac:dyDescent="0.25">
      <c r="A2096" s="13" t="s">
        <v>4220</v>
      </c>
      <c r="B2096" s="13" t="s">
        <v>4221</v>
      </c>
      <c r="C2096" s="13" t="s">
        <v>144</v>
      </c>
      <c r="D2096" s="13" t="s">
        <v>545</v>
      </c>
      <c r="E2096" s="13" t="str">
        <f>IFERROR(INDEX('Почасовка — ставки и план'!$B$5:$B$24,MATCH(D2096,'Почасовка — ставки и план'!$A$5:$A$24,0)),"Аренда техники / механизмы")</f>
        <v>Сервисный инженер ворот и автоматики</v>
      </c>
      <c r="F2096" s="14">
        <v>1800</v>
      </c>
      <c r="G2096" s="14">
        <v>2070</v>
      </c>
      <c r="H2096" s="15">
        <v>1080</v>
      </c>
      <c r="I2096" s="15">
        <f>IF(OR(H2096="",F2096=""),"",MAX(H2096,MIN(ROUND(H2096*(1+Параметры!$B$5),IF(H2096*(1+Параметры!$B$5)&gt;=1000,-1,0)),ROUND(F2096*Параметры!$B$6,IF(F2096*Параметры!$B$6&gt;=1000,-1,0)))))</f>
        <v>1240</v>
      </c>
      <c r="J2096" s="15">
        <v>1242</v>
      </c>
      <c r="K2096" s="15">
        <f>IF(OR(J2096="",G2096=""),"",MAX(J2096,MIN(ROUND(J2096*(1+Параметры!$B$5),IF(J2096*(1+Параметры!$B$5)&gt;=1000,-1,0)),ROUND(G2096*Параметры!$B$6,IF(G2096*Параметры!$B$6&gt;=1000,-1,0)))))</f>
        <v>1430</v>
      </c>
      <c r="L2096" s="16">
        <v>1</v>
      </c>
      <c r="M2096" s="17">
        <f t="shared" si="154"/>
        <v>1</v>
      </c>
      <c r="N2096" s="17">
        <f>IF(OR(L2096="",L2096=0),"",Параметры!$B$3/L2096)</f>
        <v>8</v>
      </c>
      <c r="O2096" s="15">
        <f>IF(L2096="","",IFERROR(INDEX('Почасовка — ставки и план'!$D$5:$D$24,MATCH($D2096,'Почасовка — ставки и план'!$A$5:$A$24,0)),""))</f>
        <v>1200</v>
      </c>
      <c r="P2096" s="15">
        <f>IF(L2096="","",IFERROR(INDEX('Почасовка — ставки и план'!$E$5:$E$24,MATCH($D2096,'Почасовка — ставки и план'!$A$5:$A$24,0)),""))</f>
        <v>1440</v>
      </c>
      <c r="Q2096" s="15">
        <f t="shared" si="155"/>
        <v>1200</v>
      </c>
      <c r="R2096" s="13" t="str">
        <f>IF(D2096="TEX","аренда техники — сделка/счёт",IF(OR(Q2096="",H2096="",H2096=0),"—",IF(Q2096&lt;H2096*(1-Параметры!$B$7),"почасовка",IF(Q2096&gt;H2096*(1+Параметры!$B$7),"сделка","любой способ"))))</f>
        <v>сделка</v>
      </c>
      <c r="S2096">
        <v>0</v>
      </c>
      <c r="T2096">
        <v>0</v>
      </c>
    </row>
    <row r="2097" spans="1:20" x14ac:dyDescent="0.25">
      <c r="A2097" s="13" t="s">
        <v>4222</v>
      </c>
      <c r="B2097" s="13" t="s">
        <v>4223</v>
      </c>
      <c r="C2097" s="13" t="s">
        <v>144</v>
      </c>
      <c r="D2097" s="13" t="s">
        <v>545</v>
      </c>
      <c r="E2097" s="13" t="str">
        <f>IFERROR(INDEX('Почасовка — ставки и план'!$B$5:$B$24,MATCH(D2097,'Почасовка — ставки и план'!$A$5:$A$24,0)),"Аренда техники / механизмы")</f>
        <v>Сервисный инженер ворот и автоматики</v>
      </c>
      <c r="F2097" s="14">
        <v>1600</v>
      </c>
      <c r="G2097" s="14">
        <v>1920</v>
      </c>
      <c r="H2097" s="15">
        <v>960</v>
      </c>
      <c r="I2097" s="15">
        <f>IF(OR(H2097="",F2097=""),"",MAX(H2097,MIN(ROUND(H2097*(1+Параметры!$B$5),IF(H2097*(1+Параметры!$B$5)&gt;=1000,-1,0)),ROUND(F2097*Параметры!$B$6,IF(F2097*Параметры!$B$6&gt;=1000,-1,0)))))</f>
        <v>1100</v>
      </c>
      <c r="J2097" s="15">
        <v>1104</v>
      </c>
      <c r="K2097" s="15">
        <f>IF(OR(J2097="",G2097=""),"",MAX(J2097,MIN(ROUND(J2097*(1+Параметры!$B$5),IF(J2097*(1+Параметры!$B$5)&gt;=1000,-1,0)),ROUND(G2097*Параметры!$B$6,IF(G2097*Параметры!$B$6&gt;=1000,-1,0)))))</f>
        <v>1270</v>
      </c>
      <c r="L2097" s="16">
        <v>1</v>
      </c>
      <c r="M2097" s="17">
        <f t="shared" si="154"/>
        <v>1</v>
      </c>
      <c r="N2097" s="17">
        <f>IF(OR(L2097="",L2097=0),"",Параметры!$B$3/L2097)</f>
        <v>8</v>
      </c>
      <c r="O2097" s="15">
        <f>IF(L2097="","",IFERROR(INDEX('Почасовка — ставки и план'!$D$5:$D$24,MATCH($D2097,'Почасовка — ставки и план'!$A$5:$A$24,0)),""))</f>
        <v>1200</v>
      </c>
      <c r="P2097" s="15">
        <f>IF(L2097="","",IFERROR(INDEX('Почасовка — ставки и план'!$E$5:$E$24,MATCH($D2097,'Почасовка — ставки и план'!$A$5:$A$24,0)),""))</f>
        <v>1440</v>
      </c>
      <c r="Q2097" s="15">
        <f t="shared" si="155"/>
        <v>1200</v>
      </c>
      <c r="R2097" s="13" t="str">
        <f>IF(D2097="TEX","аренда техники — сделка/счёт",IF(OR(Q2097="",H2097="",H2097=0),"—",IF(Q2097&lt;H2097*(1-Параметры!$B$7),"почасовка",IF(Q2097&gt;H2097*(1+Параметры!$B$7),"сделка","любой способ"))))</f>
        <v>сделка</v>
      </c>
      <c r="S2097">
        <v>0</v>
      </c>
      <c r="T2097">
        <v>4.3478260869565188E-2</v>
      </c>
    </row>
    <row r="2098" spans="1:20" x14ac:dyDescent="0.25">
      <c r="A2098" s="13" t="s">
        <v>4224</v>
      </c>
      <c r="B2098" s="13" t="s">
        <v>4225</v>
      </c>
      <c r="C2098" s="13" t="s">
        <v>144</v>
      </c>
      <c r="D2098" s="13" t="s">
        <v>545</v>
      </c>
      <c r="E2098" s="13" t="str">
        <f>IFERROR(INDEX('Почасовка — ставки и план'!$B$5:$B$24,MATCH(D2098,'Почасовка — ставки и план'!$A$5:$A$24,0)),"Аренда техники / механизмы")</f>
        <v>Сервисный инженер ворот и автоматики</v>
      </c>
      <c r="F2098" s="14">
        <v>500</v>
      </c>
      <c r="G2098" s="14">
        <v>576</v>
      </c>
      <c r="H2098" s="15">
        <v>300</v>
      </c>
      <c r="I2098" s="15">
        <f>IF(OR(H2098="",F2098=""),"",MAX(H2098,MIN(ROUND(H2098*(1+Параметры!$B$5),IF(H2098*(1+Параметры!$B$5)&gt;=1000,-1,0)),ROUND(F2098*Параметры!$B$6,IF(F2098*Параметры!$B$6&gt;=1000,-1,0)))))</f>
        <v>345</v>
      </c>
      <c r="J2098" s="15">
        <v>345</v>
      </c>
      <c r="K2098" s="15">
        <f>IF(OR(J2098="",G2098=""),"",MAX(J2098,MIN(ROUND(J2098*(1+Параметры!$B$5),IF(J2098*(1+Параметры!$B$5)&gt;=1000,-1,0)),ROUND(G2098*Параметры!$B$6,IF(G2098*Параметры!$B$6&gt;=1000,-1,0)))))</f>
        <v>397</v>
      </c>
      <c r="L2098" s="16">
        <v>0.3</v>
      </c>
      <c r="M2098" s="17">
        <f t="shared" si="154"/>
        <v>3.3333333333333335</v>
      </c>
      <c r="N2098" s="17">
        <f>IF(OR(L2098="",L2098=0),"",Параметры!$B$3/L2098)</f>
        <v>26.666666666666668</v>
      </c>
      <c r="O2098" s="15">
        <f>IF(L2098="","",IFERROR(INDEX('Почасовка — ставки и план'!$D$5:$D$24,MATCH($D2098,'Почасовка — ставки и план'!$A$5:$A$24,0)),""))</f>
        <v>1200</v>
      </c>
      <c r="P2098" s="15">
        <f>IF(L2098="","",IFERROR(INDEX('Почасовка — ставки и план'!$E$5:$E$24,MATCH($D2098,'Почасовка — ставки и план'!$A$5:$A$24,0)),""))</f>
        <v>1440</v>
      </c>
      <c r="Q2098" s="15">
        <f t="shared" si="155"/>
        <v>360</v>
      </c>
      <c r="R2098" s="13" t="str">
        <f>IF(D2098="TEX","аренда техники — сделка/счёт",IF(OR(Q2098="",H2098="",H2098=0),"—",IF(Q2098&lt;H2098*(1-Параметры!$B$7),"почасовка",IF(Q2098&gt;H2098*(1+Параметры!$B$7),"сделка","любой способ"))))</f>
        <v>сделка</v>
      </c>
      <c r="S2098">
        <v>0</v>
      </c>
      <c r="T2098">
        <v>1.739130434782687E-3</v>
      </c>
    </row>
    <row r="2099" spans="1:20" x14ac:dyDescent="0.25">
      <c r="A2099" s="13" t="s">
        <v>4226</v>
      </c>
      <c r="B2099" s="13" t="s">
        <v>4227</v>
      </c>
      <c r="C2099" s="13" t="s">
        <v>144</v>
      </c>
      <c r="D2099" s="13" t="s">
        <v>545</v>
      </c>
      <c r="E2099" s="13" t="str">
        <f>IFERROR(INDEX('Почасовка — ставки и план'!$B$5:$B$24,MATCH(D2099,'Почасовка — ставки и план'!$A$5:$A$24,0)),"Аренда техники / механизмы")</f>
        <v>Сервисный инженер ворот и автоматики</v>
      </c>
      <c r="F2099" s="14">
        <v>900</v>
      </c>
      <c r="G2099" s="14">
        <v>1035</v>
      </c>
      <c r="H2099" s="15">
        <v>540</v>
      </c>
      <c r="I2099" s="15">
        <f>IF(OR(H2099="",F2099=""),"",MAX(H2099,MIN(ROUND(H2099*(1+Параметры!$B$5),IF(H2099*(1+Параметры!$B$5)&gt;=1000,-1,0)),ROUND(F2099*Параметры!$B$6,IF(F2099*Параметры!$B$6&gt;=1000,-1,0)))))</f>
        <v>621</v>
      </c>
      <c r="J2099" s="15">
        <v>621</v>
      </c>
      <c r="K2099" s="15">
        <f>IF(OR(J2099="",G2099=""),"",MAX(J2099,MIN(ROUND(J2099*(1+Параметры!$B$5),IF(J2099*(1+Параметры!$B$5)&gt;=1000,-1,0)),ROUND(G2099*Параметры!$B$6,IF(G2099*Параметры!$B$6&gt;=1000,-1,0)))))</f>
        <v>714</v>
      </c>
      <c r="L2099" s="16">
        <v>0.5</v>
      </c>
      <c r="M2099" s="17">
        <f t="shared" si="154"/>
        <v>2</v>
      </c>
      <c r="N2099" s="17">
        <f>IF(OR(L2099="",L2099=0),"",Параметры!$B$3/L2099)</f>
        <v>16</v>
      </c>
      <c r="O2099" s="15">
        <f>IF(L2099="","",IFERROR(INDEX('Почасовка — ставки и план'!$D$5:$D$24,MATCH($D2099,'Почасовка — ставки и план'!$A$5:$A$24,0)),""))</f>
        <v>1200</v>
      </c>
      <c r="P2099" s="15">
        <f>IF(L2099="","",IFERROR(INDEX('Почасовка — ставки и план'!$E$5:$E$24,MATCH($D2099,'Почасовка — ставки и план'!$A$5:$A$24,0)),""))</f>
        <v>1440</v>
      </c>
      <c r="Q2099" s="15">
        <f t="shared" si="155"/>
        <v>600</v>
      </c>
      <c r="R2099" s="13" t="str">
        <f>IF(D2099="TEX","аренда техники — сделка/счёт",IF(OR(Q2099="",H2099="",H2099=0),"—",IF(Q2099&lt;H2099*(1-Параметры!$B$7),"почасовка",IF(Q2099&gt;H2099*(1+Параметры!$B$7),"сделка","любой способ"))))</f>
        <v>сделка</v>
      </c>
      <c r="S2099">
        <v>0</v>
      </c>
      <c r="T2099">
        <v>0</v>
      </c>
    </row>
    <row r="2100" spans="1:20" x14ac:dyDescent="0.25">
      <c r="A2100" s="13" t="s">
        <v>4228</v>
      </c>
      <c r="B2100" s="13" t="s">
        <v>4229</v>
      </c>
      <c r="C2100" s="13" t="s">
        <v>144</v>
      </c>
      <c r="D2100" s="13" t="s">
        <v>545</v>
      </c>
      <c r="E2100" s="13" t="str">
        <f>IFERROR(INDEX('Почасовка — ставки и план'!$B$5:$B$24,MATCH(D2100,'Почасовка — ставки и план'!$A$5:$A$24,0)),"Аренда техники / механизмы")</f>
        <v>Сервисный инженер ворот и автоматики</v>
      </c>
      <c r="F2100" s="14">
        <v>1000</v>
      </c>
      <c r="G2100" s="14">
        <v>1152</v>
      </c>
      <c r="H2100" s="15">
        <v>600</v>
      </c>
      <c r="I2100" s="15">
        <f>IF(OR(H2100="",F2100=""),"",MAX(H2100,MIN(ROUND(H2100*(1+Параметры!$B$5),IF(H2100*(1+Параметры!$B$5)&gt;=1000,-1,0)),ROUND(F2100*Параметры!$B$6,IF(F2100*Параметры!$B$6&gt;=1000,-1,0)))))</f>
        <v>690</v>
      </c>
      <c r="J2100" s="15">
        <v>690</v>
      </c>
      <c r="K2100" s="15">
        <f>IF(OR(J2100="",G2100=""),"",MAX(J2100,MIN(ROUND(J2100*(1+Параметры!$B$5),IF(J2100*(1+Параметры!$B$5)&gt;=1000,-1,0)),ROUND(G2100*Параметры!$B$6,IF(G2100*Параметры!$B$6&gt;=1000,-1,0)))))</f>
        <v>794</v>
      </c>
      <c r="L2100" s="16">
        <v>0.6</v>
      </c>
      <c r="M2100" s="17">
        <f t="shared" si="154"/>
        <v>1.6666666666666667</v>
      </c>
      <c r="N2100" s="17">
        <f>IF(OR(L2100="",L2100=0),"",Параметры!$B$3/L2100)</f>
        <v>13.333333333333334</v>
      </c>
      <c r="O2100" s="15">
        <f>IF(L2100="","",IFERROR(INDEX('Почасовка — ставки и план'!$D$5:$D$24,MATCH($D2100,'Почасовка — ставки и план'!$A$5:$A$24,0)),""))</f>
        <v>1200</v>
      </c>
      <c r="P2100" s="15">
        <f>IF(L2100="","",IFERROR(INDEX('Почасовка — ставки и план'!$E$5:$E$24,MATCH($D2100,'Почасовка — ставки и план'!$A$5:$A$24,0)),""))</f>
        <v>1440</v>
      </c>
      <c r="Q2100" s="15">
        <f t="shared" si="155"/>
        <v>720</v>
      </c>
      <c r="R2100" s="13" t="str">
        <f>IF(D2100="TEX","аренда техники — сделка/счёт",IF(OR(Q2100="",H2100="",H2100=0),"—",IF(Q2100&lt;H2100*(1-Параметры!$B$7),"почасовка",IF(Q2100&gt;H2100*(1+Параметры!$B$7),"сделка","любой способ"))))</f>
        <v>сделка</v>
      </c>
      <c r="S2100">
        <v>0</v>
      </c>
      <c r="T2100">
        <v>1.739130434782687E-3</v>
      </c>
    </row>
    <row r="2101" spans="1:20" x14ac:dyDescent="0.25">
      <c r="A2101" s="13" t="s">
        <v>4230</v>
      </c>
      <c r="B2101" s="13" t="s">
        <v>4231</v>
      </c>
      <c r="C2101" s="13" t="s">
        <v>144</v>
      </c>
      <c r="D2101" s="13" t="s">
        <v>545</v>
      </c>
      <c r="E2101" s="13" t="str">
        <f>IFERROR(INDEX('Почасовка — ставки и план'!$B$5:$B$24,MATCH(D2101,'Почасовка — ставки и план'!$A$5:$A$24,0)),"Аренда техники / механизмы")</f>
        <v>Сервисный инженер ворот и автоматики</v>
      </c>
      <c r="F2101" s="14">
        <v>1600</v>
      </c>
      <c r="G2101" s="14">
        <v>1920</v>
      </c>
      <c r="H2101" s="15">
        <v>900</v>
      </c>
      <c r="I2101" s="15">
        <f>IF(OR(H2101="",F2101=""),"",MAX(H2101,MIN(ROUND(H2101*(1+Параметры!$B$5),IF(H2101*(1+Параметры!$B$5)&gt;=1000,-1,0)),ROUND(F2101*Параметры!$B$6,IF(F2101*Параметры!$B$6&gt;=1000,-1,0)))))</f>
        <v>1040</v>
      </c>
      <c r="J2101" s="15">
        <v>1035</v>
      </c>
      <c r="K2101" s="15">
        <f>IF(OR(J2101="",G2101=""),"",MAX(J2101,MIN(ROUND(J2101*(1+Параметры!$B$5),IF(J2101*(1+Параметры!$B$5)&gt;=1000,-1,0)),ROUND(G2101*Параметры!$B$6,IF(G2101*Параметры!$B$6&gt;=1000,-1,0)))))</f>
        <v>1190</v>
      </c>
      <c r="L2101" s="16">
        <v>1</v>
      </c>
      <c r="M2101" s="17">
        <f t="shared" si="154"/>
        <v>1</v>
      </c>
      <c r="N2101" s="17">
        <f>IF(OR(L2101="",L2101=0),"",Параметры!$B$3/L2101)</f>
        <v>8</v>
      </c>
      <c r="O2101" s="15">
        <f>IF(L2101="","",IFERROR(INDEX('Почасовка — ставки и план'!$D$5:$D$24,MATCH($D2101,'Почасовка — ставки и план'!$A$5:$A$24,0)),""))</f>
        <v>1200</v>
      </c>
      <c r="P2101" s="15">
        <f>IF(L2101="","",IFERROR(INDEX('Почасовка — ставки и план'!$E$5:$E$24,MATCH($D2101,'Почасовка — ставки и план'!$A$5:$A$24,0)),""))</f>
        <v>1440</v>
      </c>
      <c r="Q2101" s="15">
        <f t="shared" si="155"/>
        <v>1200</v>
      </c>
      <c r="R2101" s="13" t="str">
        <f>IF(D2101="TEX","аренда техники — сделка/счёт",IF(OR(Q2101="",H2101="",H2101=0),"—",IF(Q2101&lt;H2101*(1-Параметры!$B$7),"почасовка",IF(Q2101&gt;H2101*(1+Параметры!$B$7),"сделка","любой способ"))))</f>
        <v>сделка</v>
      </c>
      <c r="S2101">
        <v>6.6666666666666652E-2</v>
      </c>
      <c r="T2101">
        <v>0.11304347826086961</v>
      </c>
    </row>
    <row r="2102" spans="1:20" x14ac:dyDescent="0.25">
      <c r="A2102" s="13" t="s">
        <v>4232</v>
      </c>
      <c r="B2102" s="13" t="s">
        <v>4233</v>
      </c>
      <c r="C2102" s="13" t="s">
        <v>144</v>
      </c>
      <c r="D2102" s="13" t="s">
        <v>545</v>
      </c>
      <c r="E2102" s="13" t="str">
        <f>IFERROR(INDEX('Почасовка — ставки и план'!$B$5:$B$24,MATCH(D2102,'Почасовка — ставки и план'!$A$5:$A$24,0)),"Аренда техники / механизмы")</f>
        <v>Сервисный инженер ворот и автоматики</v>
      </c>
      <c r="F2102" s="14">
        <v>500</v>
      </c>
      <c r="G2102" s="14">
        <v>576</v>
      </c>
      <c r="H2102" s="15">
        <v>300</v>
      </c>
      <c r="I2102" s="15">
        <f>IF(OR(H2102="",F2102=""),"",MAX(H2102,MIN(ROUND(H2102*(1+Параметры!$B$5),IF(H2102*(1+Параметры!$B$5)&gt;=1000,-1,0)),ROUND(F2102*Параметры!$B$6,IF(F2102*Параметры!$B$6&gt;=1000,-1,0)))))</f>
        <v>345</v>
      </c>
      <c r="J2102" s="15">
        <v>345</v>
      </c>
      <c r="K2102" s="15">
        <f>IF(OR(J2102="",G2102=""),"",MAX(J2102,MIN(ROUND(J2102*(1+Параметры!$B$5),IF(J2102*(1+Параметры!$B$5)&gt;=1000,-1,0)),ROUND(G2102*Параметры!$B$6,IF(G2102*Параметры!$B$6&gt;=1000,-1,0)))))</f>
        <v>397</v>
      </c>
      <c r="L2102" s="16">
        <v>0.3</v>
      </c>
      <c r="M2102" s="17">
        <f t="shared" si="154"/>
        <v>3.3333333333333335</v>
      </c>
      <c r="N2102" s="17">
        <f>IF(OR(L2102="",L2102=0),"",Параметры!$B$3/L2102)</f>
        <v>26.666666666666668</v>
      </c>
      <c r="O2102" s="15">
        <f>IF(L2102="","",IFERROR(INDEX('Почасовка — ставки и план'!$D$5:$D$24,MATCH($D2102,'Почасовка — ставки и план'!$A$5:$A$24,0)),""))</f>
        <v>1200</v>
      </c>
      <c r="P2102" s="15">
        <f>IF(L2102="","",IFERROR(INDEX('Почасовка — ставки и план'!$E$5:$E$24,MATCH($D2102,'Почасовка — ставки и план'!$A$5:$A$24,0)),""))</f>
        <v>1440</v>
      </c>
      <c r="Q2102" s="15">
        <f t="shared" si="155"/>
        <v>360</v>
      </c>
      <c r="R2102" s="13" t="str">
        <f>IF(D2102="TEX","аренда техники — сделка/счёт",IF(OR(Q2102="",H2102="",H2102=0),"—",IF(Q2102&lt;H2102*(1-Параметры!$B$7),"почасовка",IF(Q2102&gt;H2102*(1+Параметры!$B$7),"сделка","любой способ"))))</f>
        <v>сделка</v>
      </c>
      <c r="S2102">
        <v>0</v>
      </c>
      <c r="T2102">
        <v>1.739130434782687E-3</v>
      </c>
    </row>
    <row r="2103" spans="1:20" x14ac:dyDescent="0.25">
      <c r="A2103" s="13" t="s">
        <v>4234</v>
      </c>
      <c r="B2103" s="13" t="s">
        <v>4235</v>
      </c>
      <c r="C2103" s="13" t="s">
        <v>144</v>
      </c>
      <c r="D2103" s="13" t="s">
        <v>545</v>
      </c>
      <c r="E2103" s="13" t="str">
        <f>IFERROR(INDEX('Почасовка — ставки и план'!$B$5:$B$24,MATCH(D2103,'Почасовка — ставки и план'!$A$5:$A$24,0)),"Аренда техники / механизмы")</f>
        <v>Сервисный инженер ворот и автоматики</v>
      </c>
      <c r="F2103" s="14">
        <v>1600</v>
      </c>
      <c r="G2103" s="14">
        <v>1920</v>
      </c>
      <c r="H2103" s="15">
        <v>900</v>
      </c>
      <c r="I2103" s="15">
        <f>IF(OR(H2103="",F2103=""),"",MAX(H2103,MIN(ROUND(H2103*(1+Параметры!$B$5),IF(H2103*(1+Параметры!$B$5)&gt;=1000,-1,0)),ROUND(F2103*Параметры!$B$6,IF(F2103*Параметры!$B$6&gt;=1000,-1,0)))))</f>
        <v>1040</v>
      </c>
      <c r="J2103" s="15">
        <v>1035</v>
      </c>
      <c r="K2103" s="15">
        <f>IF(OR(J2103="",G2103=""),"",MAX(J2103,MIN(ROUND(J2103*(1+Параметры!$B$5),IF(J2103*(1+Параметры!$B$5)&gt;=1000,-1,0)),ROUND(G2103*Параметры!$B$6,IF(G2103*Параметры!$B$6&gt;=1000,-1,0)))))</f>
        <v>1190</v>
      </c>
      <c r="L2103" s="16">
        <v>1</v>
      </c>
      <c r="M2103" s="17">
        <f t="shared" si="154"/>
        <v>1</v>
      </c>
      <c r="N2103" s="17">
        <f>IF(OR(L2103="",L2103=0),"",Параметры!$B$3/L2103)</f>
        <v>8</v>
      </c>
      <c r="O2103" s="15">
        <f>IF(L2103="","",IFERROR(INDEX('Почасовка — ставки и план'!$D$5:$D$24,MATCH($D2103,'Почасовка — ставки и план'!$A$5:$A$24,0)),""))</f>
        <v>1200</v>
      </c>
      <c r="P2103" s="15">
        <f>IF(L2103="","",IFERROR(INDEX('Почасовка — ставки и план'!$E$5:$E$24,MATCH($D2103,'Почасовка — ставки и план'!$A$5:$A$24,0)),""))</f>
        <v>1440</v>
      </c>
      <c r="Q2103" s="15">
        <f t="shared" si="155"/>
        <v>1200</v>
      </c>
      <c r="R2103" s="13" t="str">
        <f>IF(D2103="TEX","аренда техники — сделка/счёт",IF(OR(Q2103="",H2103="",H2103=0),"—",IF(Q2103&lt;H2103*(1-Параметры!$B$7),"почасовка",IF(Q2103&gt;H2103*(1+Параметры!$B$7),"сделка","любой способ"))))</f>
        <v>сделка</v>
      </c>
      <c r="S2103">
        <v>6.6666666666666652E-2</v>
      </c>
      <c r="T2103">
        <v>0.11304347826086961</v>
      </c>
    </row>
    <row r="2104" spans="1:20" x14ac:dyDescent="0.25">
      <c r="A2104" s="13" t="s">
        <v>4236</v>
      </c>
      <c r="B2104" s="13" t="s">
        <v>4237</v>
      </c>
      <c r="C2104" s="13" t="s">
        <v>144</v>
      </c>
      <c r="D2104" s="13" t="s">
        <v>545</v>
      </c>
      <c r="E2104" s="13" t="str">
        <f>IFERROR(INDEX('Почасовка — ставки и план'!$B$5:$B$24,MATCH(D2104,'Почасовка — ставки и план'!$A$5:$A$24,0)),"Аренда техники / механизмы")</f>
        <v>Сервисный инженер ворот и автоматики</v>
      </c>
      <c r="F2104" s="14">
        <v>700</v>
      </c>
      <c r="G2104" s="14">
        <v>805</v>
      </c>
      <c r="H2104" s="15">
        <v>420</v>
      </c>
      <c r="I2104" s="15">
        <f>IF(OR(H2104="",F2104=""),"",MAX(H2104,MIN(ROUND(H2104*(1+Параметры!$B$5),IF(H2104*(1+Параметры!$B$5)&gt;=1000,-1,0)),ROUND(F2104*Параметры!$B$6,IF(F2104*Параметры!$B$6&gt;=1000,-1,0)))))</f>
        <v>483</v>
      </c>
      <c r="J2104" s="15">
        <v>483</v>
      </c>
      <c r="K2104" s="15">
        <f>IF(OR(J2104="",G2104=""),"",MAX(J2104,MIN(ROUND(J2104*(1+Параметры!$B$5),IF(J2104*(1+Параметры!$B$5)&gt;=1000,-1,0)),ROUND(G2104*Параметры!$B$6,IF(G2104*Параметры!$B$6&gt;=1000,-1,0)))))</f>
        <v>555</v>
      </c>
      <c r="L2104" s="16">
        <v>0.4</v>
      </c>
      <c r="M2104" s="17">
        <f t="shared" si="154"/>
        <v>2.5</v>
      </c>
      <c r="N2104" s="17">
        <f>IF(OR(L2104="",L2104=0),"",Параметры!$B$3/L2104)</f>
        <v>20</v>
      </c>
      <c r="O2104" s="15">
        <f>IF(L2104="","",IFERROR(INDEX('Почасовка — ставки и план'!$D$5:$D$24,MATCH($D2104,'Почасовка — ставки и план'!$A$5:$A$24,0)),""))</f>
        <v>1200</v>
      </c>
      <c r="P2104" s="15">
        <f>IF(L2104="","",IFERROR(INDEX('Почасовка — ставки и план'!$E$5:$E$24,MATCH($D2104,'Почасовка — ставки и план'!$A$5:$A$24,0)),""))</f>
        <v>1440</v>
      </c>
      <c r="Q2104" s="15">
        <f t="shared" si="155"/>
        <v>480</v>
      </c>
      <c r="R2104" s="13" t="str">
        <f>IF(D2104="TEX","аренда техники — сделка/счёт",IF(OR(Q2104="",H2104="",H2104=0),"—",IF(Q2104&lt;H2104*(1-Параметры!$B$7),"почасовка",IF(Q2104&gt;H2104*(1+Параметры!$B$7),"сделка","любой способ"))))</f>
        <v>сделка</v>
      </c>
      <c r="S2104">
        <v>0</v>
      </c>
      <c r="T2104">
        <v>0</v>
      </c>
    </row>
    <row r="2105" spans="1:20" x14ac:dyDescent="0.25">
      <c r="A2105" s="13" t="s">
        <v>4238</v>
      </c>
      <c r="B2105" s="13" t="s">
        <v>4239</v>
      </c>
      <c r="C2105" s="13" t="s">
        <v>144</v>
      </c>
      <c r="D2105" s="13" t="s">
        <v>545</v>
      </c>
      <c r="E2105" s="13" t="str">
        <f>IFERROR(INDEX('Почасовка — ставки и план'!$B$5:$B$24,MATCH(D2105,'Почасовка — ставки и план'!$A$5:$A$24,0)),"Аренда техники / механизмы")</f>
        <v>Сервисный инженер ворот и автоматики</v>
      </c>
      <c r="F2105" s="14">
        <v>2500</v>
      </c>
      <c r="G2105" s="14">
        <v>2880</v>
      </c>
      <c r="H2105" s="15">
        <v>1500</v>
      </c>
      <c r="I2105" s="15">
        <f>IF(OR(H2105="",F2105=""),"",MAX(H2105,MIN(ROUND(H2105*(1+Параметры!$B$5),IF(H2105*(1+Параметры!$B$5)&gt;=1000,-1,0)),ROUND(F2105*Параметры!$B$6,IF(F2105*Параметры!$B$6&gt;=1000,-1,0)))))</f>
        <v>1730</v>
      </c>
      <c r="J2105" s="15">
        <v>1725</v>
      </c>
      <c r="K2105" s="15">
        <f>IF(OR(J2105="",G2105=""),"",MAX(J2105,MIN(ROUND(J2105*(1+Параметры!$B$5),IF(J2105*(1+Параметры!$B$5)&gt;=1000,-1,0)),ROUND(G2105*Параметры!$B$6,IF(G2105*Параметры!$B$6&gt;=1000,-1,0)))))</f>
        <v>1980</v>
      </c>
      <c r="L2105" s="16">
        <v>1.5</v>
      </c>
      <c r="M2105" s="17">
        <f t="shared" si="154"/>
        <v>0.66666666666666663</v>
      </c>
      <c r="N2105" s="17">
        <f>IF(OR(L2105="",L2105=0),"",Параметры!$B$3/L2105)</f>
        <v>5.333333333333333</v>
      </c>
      <c r="O2105" s="15">
        <f>IF(L2105="","",IFERROR(INDEX('Почасовка — ставки и план'!$D$5:$D$24,MATCH($D2105,'Почасовка — ставки и план'!$A$5:$A$24,0)),""))</f>
        <v>1200</v>
      </c>
      <c r="P2105" s="15">
        <f>IF(L2105="","",IFERROR(INDEX('Почасовка — ставки и план'!$E$5:$E$24,MATCH($D2105,'Почасовка — ставки и план'!$A$5:$A$24,0)),""))</f>
        <v>1440</v>
      </c>
      <c r="Q2105" s="15">
        <f t="shared" si="155"/>
        <v>1800</v>
      </c>
      <c r="R2105" s="13" t="str">
        <f>IF(D2105="TEX","аренда техники — сделка/счёт",IF(OR(Q2105="",H2105="",H2105=0),"—",IF(Q2105&lt;H2105*(1-Параметры!$B$7),"почасовка",IF(Q2105&gt;H2105*(1+Параметры!$B$7),"сделка","любой способ"))))</f>
        <v>сделка</v>
      </c>
      <c r="S2105">
        <v>0</v>
      </c>
      <c r="T2105">
        <v>1.739130434782687E-3</v>
      </c>
    </row>
    <row r="2106" spans="1:20" x14ac:dyDescent="0.25">
      <c r="A2106" s="13" t="s">
        <v>4240</v>
      </c>
      <c r="B2106" s="13" t="s">
        <v>4241</v>
      </c>
      <c r="C2106" s="13" t="s">
        <v>144</v>
      </c>
      <c r="D2106" s="13" t="s">
        <v>545</v>
      </c>
      <c r="E2106" s="13" t="str">
        <f>IFERROR(INDEX('Почасовка — ставки и план'!$B$5:$B$24,MATCH(D2106,'Почасовка — ставки и план'!$A$5:$A$24,0)),"Аренда техники / механизмы")</f>
        <v>Сервисный инженер ворот и автоматики</v>
      </c>
      <c r="F2106" s="14">
        <v>800</v>
      </c>
      <c r="G2106" s="14">
        <v>960</v>
      </c>
      <c r="H2106" s="15">
        <v>480</v>
      </c>
      <c r="I2106" s="15">
        <f>IF(OR(H2106="",F2106=""),"",MAX(H2106,MIN(ROUND(H2106*(1+Параметры!$B$5),IF(H2106*(1+Параметры!$B$5)&gt;=1000,-1,0)),ROUND(F2106*Параметры!$B$6,IF(F2106*Параметры!$B$6&gt;=1000,-1,0)))))</f>
        <v>552</v>
      </c>
      <c r="J2106" s="15">
        <v>552</v>
      </c>
      <c r="K2106" s="15">
        <f>IF(OR(J2106="",G2106=""),"",MAX(J2106,MIN(ROUND(J2106*(1+Параметры!$B$5),IF(J2106*(1+Параметры!$B$5)&gt;=1000,-1,0)),ROUND(G2106*Параметры!$B$6,IF(G2106*Параметры!$B$6&gt;=1000,-1,0)))))</f>
        <v>635</v>
      </c>
      <c r="L2106" s="16">
        <v>0.5</v>
      </c>
      <c r="M2106" s="17">
        <f t="shared" si="154"/>
        <v>2</v>
      </c>
      <c r="N2106" s="17">
        <f>IF(OR(L2106="",L2106=0),"",Параметры!$B$3/L2106)</f>
        <v>16</v>
      </c>
      <c r="O2106" s="15">
        <f>IF(L2106="","",IFERROR(INDEX('Почасовка — ставки и план'!$D$5:$D$24,MATCH($D2106,'Почасовка — ставки и план'!$A$5:$A$24,0)),""))</f>
        <v>1200</v>
      </c>
      <c r="P2106" s="15">
        <f>IF(L2106="","",IFERROR(INDEX('Почасовка — ставки и план'!$E$5:$E$24,MATCH($D2106,'Почасовка — ставки и план'!$A$5:$A$24,0)),""))</f>
        <v>1440</v>
      </c>
      <c r="Q2106" s="15">
        <f t="shared" si="155"/>
        <v>600</v>
      </c>
      <c r="R2106" s="13" t="str">
        <f>IF(D2106="TEX","аренда техники — сделка/счёт",IF(OR(Q2106="",H2106="",H2106=0),"—",IF(Q2106&lt;H2106*(1-Параметры!$B$7),"почасовка",IF(Q2106&gt;H2106*(1+Параметры!$B$7),"сделка","любой способ"))))</f>
        <v>сделка</v>
      </c>
      <c r="S2106">
        <v>0</v>
      </c>
      <c r="T2106">
        <v>4.3478260869565188E-2</v>
      </c>
    </row>
    <row r="2107" spans="1:20" x14ac:dyDescent="0.25">
      <c r="A2107" s="13" t="s">
        <v>4242</v>
      </c>
      <c r="B2107" s="13" t="s">
        <v>4243</v>
      </c>
      <c r="C2107" s="13" t="s">
        <v>144</v>
      </c>
      <c r="D2107" s="13" t="s">
        <v>545</v>
      </c>
      <c r="E2107" s="13" t="str">
        <f>IFERROR(INDEX('Почасовка — ставки и план'!$B$5:$B$24,MATCH(D2107,'Почасовка — ставки и план'!$A$5:$A$24,0)),"Аренда техники / механизмы")</f>
        <v>Сервисный инженер ворот и автоматики</v>
      </c>
      <c r="F2107" s="14">
        <v>800</v>
      </c>
      <c r="G2107" s="14">
        <v>960</v>
      </c>
      <c r="H2107" s="15">
        <v>480</v>
      </c>
      <c r="I2107" s="15">
        <f>IF(OR(H2107="",F2107=""),"",MAX(H2107,MIN(ROUND(H2107*(1+Параметры!$B$5),IF(H2107*(1+Параметры!$B$5)&gt;=1000,-1,0)),ROUND(F2107*Параметры!$B$6,IF(F2107*Параметры!$B$6&gt;=1000,-1,0)))))</f>
        <v>552</v>
      </c>
      <c r="J2107" s="15">
        <v>552</v>
      </c>
      <c r="K2107" s="15">
        <f>IF(OR(J2107="",G2107=""),"",MAX(J2107,MIN(ROUND(J2107*(1+Параметры!$B$5),IF(J2107*(1+Параметры!$B$5)&gt;=1000,-1,0)),ROUND(G2107*Параметры!$B$6,IF(G2107*Параметры!$B$6&gt;=1000,-1,0)))))</f>
        <v>635</v>
      </c>
      <c r="L2107" s="16">
        <v>0.5</v>
      </c>
      <c r="M2107" s="17">
        <f t="shared" si="154"/>
        <v>2</v>
      </c>
      <c r="N2107" s="17">
        <f>IF(OR(L2107="",L2107=0),"",Параметры!$B$3/L2107)</f>
        <v>16</v>
      </c>
      <c r="O2107" s="15">
        <f>IF(L2107="","",IFERROR(INDEX('Почасовка — ставки и план'!$D$5:$D$24,MATCH($D2107,'Почасовка — ставки и план'!$A$5:$A$24,0)),""))</f>
        <v>1200</v>
      </c>
      <c r="P2107" s="15">
        <f>IF(L2107="","",IFERROR(INDEX('Почасовка — ставки и план'!$E$5:$E$24,MATCH($D2107,'Почасовка — ставки и план'!$A$5:$A$24,0)),""))</f>
        <v>1440</v>
      </c>
      <c r="Q2107" s="15">
        <f t="shared" si="155"/>
        <v>600</v>
      </c>
      <c r="R2107" s="13" t="str">
        <f>IF(D2107="TEX","аренда техники — сделка/счёт",IF(OR(Q2107="",H2107="",H2107=0),"—",IF(Q2107&lt;H2107*(1-Параметры!$B$7),"почасовка",IF(Q2107&gt;H2107*(1+Параметры!$B$7),"сделка","любой способ"))))</f>
        <v>сделка</v>
      </c>
      <c r="S2107">
        <v>0</v>
      </c>
      <c r="T2107">
        <v>4.3478260869565188E-2</v>
      </c>
    </row>
    <row r="2108" spans="1:20" x14ac:dyDescent="0.25">
      <c r="A2108" s="13" t="s">
        <v>4244</v>
      </c>
      <c r="B2108" s="13" t="s">
        <v>4245</v>
      </c>
      <c r="C2108" s="13" t="s">
        <v>144</v>
      </c>
      <c r="D2108" s="13" t="s">
        <v>545</v>
      </c>
      <c r="E2108" s="13" t="str">
        <f>IFERROR(INDEX('Почасовка — ставки и план'!$B$5:$B$24,MATCH(D2108,'Почасовка — ставки и план'!$A$5:$A$24,0)),"Аренда техники / механизмы")</f>
        <v>Сервисный инженер ворот и автоматики</v>
      </c>
      <c r="F2108" s="14">
        <v>2500</v>
      </c>
      <c r="G2108" s="14">
        <v>2880</v>
      </c>
      <c r="H2108" s="15">
        <v>1500</v>
      </c>
      <c r="I2108" s="15">
        <f>IF(OR(H2108="",F2108=""),"",MAX(H2108,MIN(ROUND(H2108*(1+Параметры!$B$5),IF(H2108*(1+Параметры!$B$5)&gt;=1000,-1,0)),ROUND(F2108*Параметры!$B$6,IF(F2108*Параметры!$B$6&gt;=1000,-1,0)))))</f>
        <v>1730</v>
      </c>
      <c r="J2108" s="15">
        <v>1725</v>
      </c>
      <c r="K2108" s="15">
        <f>IF(OR(J2108="",G2108=""),"",MAX(J2108,MIN(ROUND(J2108*(1+Параметры!$B$5),IF(J2108*(1+Параметры!$B$5)&gt;=1000,-1,0)),ROUND(G2108*Параметры!$B$6,IF(G2108*Параметры!$B$6&gt;=1000,-1,0)))))</f>
        <v>1980</v>
      </c>
      <c r="L2108" s="16">
        <v>1.5</v>
      </c>
      <c r="M2108" s="17">
        <f t="shared" si="154"/>
        <v>0.66666666666666663</v>
      </c>
      <c r="N2108" s="17">
        <f>IF(OR(L2108="",L2108=0),"",Параметры!$B$3/L2108)</f>
        <v>5.333333333333333</v>
      </c>
      <c r="O2108" s="15">
        <f>IF(L2108="","",IFERROR(INDEX('Почасовка — ставки и план'!$D$5:$D$24,MATCH($D2108,'Почасовка — ставки и план'!$A$5:$A$24,0)),""))</f>
        <v>1200</v>
      </c>
      <c r="P2108" s="15">
        <f>IF(L2108="","",IFERROR(INDEX('Почасовка — ставки и план'!$E$5:$E$24,MATCH($D2108,'Почасовка — ставки и план'!$A$5:$A$24,0)),""))</f>
        <v>1440</v>
      </c>
      <c r="Q2108" s="15">
        <f t="shared" si="155"/>
        <v>1800</v>
      </c>
      <c r="R2108" s="13" t="str">
        <f>IF(D2108="TEX","аренда техники — сделка/счёт",IF(OR(Q2108="",H2108="",H2108=0),"—",IF(Q2108&lt;H2108*(1-Параметры!$B$7),"почасовка",IF(Q2108&gt;H2108*(1+Параметры!$B$7),"сделка","любой способ"))))</f>
        <v>сделка</v>
      </c>
      <c r="S2108">
        <v>0</v>
      </c>
      <c r="T2108">
        <v>1.739130434782687E-3</v>
      </c>
    </row>
    <row r="2109" spans="1:20" x14ac:dyDescent="0.25">
      <c r="A2109" s="18" t="s">
        <v>4246</v>
      </c>
      <c r="B2109" s="13" t="s">
        <v>4247</v>
      </c>
      <c r="C2109" s="13" t="s">
        <v>72</v>
      </c>
      <c r="D2109" s="13" t="s">
        <v>545</v>
      </c>
      <c r="E2109" s="13" t="str">
        <f>IFERROR(INDEX('Почасовка — ставки и план'!$B$5:$B$24,MATCH(D2109,'Почасовка — ставки и план'!$A$5:$A$24,0)),"Аренда техники / механизмы")</f>
        <v>Сервисный инженер ворот и автоматики</v>
      </c>
      <c r="F2109" s="14">
        <v>1280</v>
      </c>
      <c r="G2109" s="14">
        <v>1536</v>
      </c>
      <c r="H2109" s="15">
        <v>480</v>
      </c>
      <c r="I2109" s="15">
        <f>IF(OR(H2109="",F2109=""),"",MAX(H2109,MIN(ROUND(H2109*(1+Параметры!$B$5),IF(H2109*(1+Параметры!$B$5)&gt;=1000,-1,0)),ROUND(F2109*Параметры!$B$6,IF(F2109*Параметры!$B$6&gt;=1000,-1,0)))))</f>
        <v>552</v>
      </c>
      <c r="J2109" s="15">
        <v>552</v>
      </c>
      <c r="K2109" s="15">
        <f>IF(OR(J2109="",G2109=""),"",MAX(J2109,MIN(ROUND(J2109*(1+Параметры!$B$5),IF(J2109*(1+Параметры!$B$5)&gt;=1000,-1,0)),ROUND(G2109*Параметры!$B$6,IF(G2109*Параметры!$B$6&gt;=1000,-1,0)))))</f>
        <v>635</v>
      </c>
      <c r="L2109" s="16">
        <v>0.8</v>
      </c>
      <c r="M2109" s="17">
        <f t="shared" si="154"/>
        <v>1.25</v>
      </c>
      <c r="N2109" s="17">
        <f>IF(OR(L2109="",L2109=0),"",Параметры!$B$3/L2109)</f>
        <v>10</v>
      </c>
      <c r="O2109" s="15">
        <f>IF(L2109="","",IFERROR(INDEX('Почасовка — ставки и план'!$D$5:$D$24,MATCH($D2109,'Почасовка — ставки и план'!$A$5:$A$24,0)),""))</f>
        <v>1200</v>
      </c>
      <c r="P2109" s="15">
        <f>IF(L2109="","",IFERROR(INDEX('Почасовка — ставки и план'!$E$5:$E$24,MATCH($D2109,'Почасовка — ставки и план'!$A$5:$A$24,0)),""))</f>
        <v>1440</v>
      </c>
      <c r="Q2109" s="15">
        <f t="shared" si="155"/>
        <v>960</v>
      </c>
      <c r="R2109" s="13" t="str">
        <f>IF(D2109="TEX","аренда техники — сделка/счёт",IF(OR(Q2109="",H2109="",H2109=0),"—",IF(Q2109&lt;H2109*(1-Параметры!$B$7),"почасовка",IF(Q2109&gt;H2109*(1+Параметры!$B$7),"сделка","любой способ"))))</f>
        <v>сделка</v>
      </c>
      <c r="S2109">
        <v>0.60000000000000009</v>
      </c>
      <c r="T2109">
        <v>0.66956521739130426</v>
      </c>
    </row>
    <row r="2110" spans="1:20" x14ac:dyDescent="0.25">
      <c r="A2110" s="18" t="s">
        <v>4248</v>
      </c>
      <c r="B2110" s="13" t="s">
        <v>4249</v>
      </c>
      <c r="C2110" s="13" t="s">
        <v>72</v>
      </c>
      <c r="D2110" s="13" t="s">
        <v>60</v>
      </c>
      <c r="E2110" s="13" t="str">
        <f>IFERROR(INDEX('Почасовка — ставки и план'!$B$5:$B$24,MATCH(D2110,'Почасовка — ставки и план'!$A$5:$A$24,0)),"Аренда техники / механизмы")</f>
        <v>Разнорабочий / демонтажник</v>
      </c>
      <c r="F2110" s="14">
        <v>250</v>
      </c>
      <c r="G2110" s="14">
        <v>288</v>
      </c>
      <c r="H2110" s="15">
        <v>162</v>
      </c>
      <c r="I2110" s="15">
        <f>IF(OR(H2110="",F2110=""),"",MAX(H2110,MIN(ROUND(H2110*(1+Параметры!$B$5),IF(H2110*(1+Параметры!$B$5)&gt;=1000,-1,0)),ROUND(F2110*Параметры!$B$6,IF(F2110*Параметры!$B$6&gt;=1000,-1,0)))))</f>
        <v>186</v>
      </c>
      <c r="J2110" s="15">
        <v>187</v>
      </c>
      <c r="K2110" s="15">
        <f>IF(OR(J2110="",G2110=""),"",MAX(J2110,MIN(ROUND(J2110*(1+Параметры!$B$5),IF(J2110*(1+Параметры!$B$5)&gt;=1000,-1,0)),ROUND(G2110*Параметры!$B$6,IF(G2110*Параметры!$B$6&gt;=1000,-1,0)))))</f>
        <v>215</v>
      </c>
      <c r="L2110" s="16">
        <v>0.2</v>
      </c>
      <c r="M2110" s="17">
        <f t="shared" si="154"/>
        <v>5</v>
      </c>
      <c r="N2110" s="17">
        <f>IF(OR(L2110="",L2110=0),"",Параметры!$B$3/L2110)</f>
        <v>40</v>
      </c>
      <c r="O2110" s="15">
        <f>IF(L2110="","",IFERROR(INDEX('Почасовка — ставки и план'!$D$5:$D$24,MATCH($D2110,'Почасовка — ставки и план'!$A$5:$A$24,0)),""))</f>
        <v>550</v>
      </c>
      <c r="P2110" s="15">
        <f>IF(L2110="","",IFERROR(INDEX('Почасовка — ставки и план'!$E$5:$E$24,MATCH($D2110,'Почасовка — ставки и план'!$A$5:$A$24,0)),""))</f>
        <v>660</v>
      </c>
      <c r="Q2110" s="15">
        <f t="shared" si="155"/>
        <v>110</v>
      </c>
      <c r="R2110" s="13" t="str">
        <f>IF(D2110="TEX","аренда техники — сделка/счёт",IF(OR(Q2110="",H2110="",H2110=0),"—",IF(Q2110&lt;H2110*(1-Параметры!$B$7),"почасовка",IF(Q2110&gt;H2110*(1+Параметры!$B$7),"сделка","любой способ"))))</f>
        <v>почасовка</v>
      </c>
      <c r="S2110">
        <v>0</v>
      </c>
      <c r="T2110">
        <v>0</v>
      </c>
    </row>
    <row r="2111" spans="1:20" x14ac:dyDescent="0.25">
      <c r="A2111" s="11" t="s">
        <v>4250</v>
      </c>
      <c r="B2111" s="12"/>
      <c r="C2111" s="12"/>
      <c r="D2111" s="12"/>
      <c r="E2111" s="12"/>
      <c r="F2111" s="12"/>
      <c r="G2111" s="12"/>
      <c r="H2111" s="12"/>
      <c r="I2111" s="12"/>
      <c r="J2111" s="12"/>
      <c r="K2111" s="12"/>
      <c r="L2111" s="12"/>
      <c r="M2111" s="12"/>
      <c r="N2111" s="12"/>
      <c r="O2111" s="12"/>
      <c r="P2111" s="12"/>
      <c r="Q2111" s="12"/>
      <c r="R2111" s="12"/>
    </row>
    <row r="2112" spans="1:20" x14ac:dyDescent="0.25">
      <c r="A2112" s="13" t="s">
        <v>4251</v>
      </c>
      <c r="B2112" s="13" t="s">
        <v>4252</v>
      </c>
      <c r="C2112" s="13" t="s">
        <v>144</v>
      </c>
      <c r="D2112" s="13" t="s">
        <v>276</v>
      </c>
      <c r="E2112" s="13" t="str">
        <f>IFERROR(INDEX('Почасовка — ставки и план'!$B$5:$B$24,MATCH(D2112,'Почасовка — ставки и план'!$A$5:$A$24,0)),"Аренда техники / механизмы")</f>
        <v>Монтажник дверей, окон, перегородок</v>
      </c>
      <c r="F2112" s="14">
        <v>1200</v>
      </c>
      <c r="G2112" s="14">
        <v>1380</v>
      </c>
      <c r="H2112" s="15">
        <v>744</v>
      </c>
      <c r="I2112" s="15">
        <f>IF(OR(H2112="",F2112=""),"",MAX(H2112,MIN(ROUND(H2112*(1+Параметры!$B$5),IF(H2112*(1+Параметры!$B$5)&gt;=1000,-1,0)),ROUND(F2112*Параметры!$B$6,IF(F2112*Параметры!$B$6&gt;=1000,-1,0)))))</f>
        <v>856</v>
      </c>
      <c r="J2112" s="15">
        <v>856</v>
      </c>
      <c r="K2112" s="15">
        <f>IF(OR(J2112="",G2112=""),"",MAX(J2112,MIN(ROUND(J2112*(1+Параметры!$B$5),IF(J2112*(1+Параметры!$B$5)&gt;=1000,-1,0)),ROUND(G2112*Параметры!$B$6,IF(G2112*Параметры!$B$6&gt;=1000,-1,0)))))</f>
        <v>984</v>
      </c>
      <c r="L2112" s="16">
        <v>0.8</v>
      </c>
      <c r="M2112" s="17">
        <f t="shared" ref="M2112:M2136" si="156">IF(OR(L2112="",L2112=0),"",1/L2112)</f>
        <v>1.25</v>
      </c>
      <c r="N2112" s="17">
        <f>IF(OR(L2112="",L2112=0),"",Параметры!$B$3/L2112)</f>
        <v>10</v>
      </c>
      <c r="O2112" s="15">
        <f>IF(L2112="","",IFERROR(INDEX('Почасовка — ставки и план'!$D$5:$D$24,MATCH($D2112,'Почасовка — ставки и план'!$A$5:$A$24,0)),""))</f>
        <v>800</v>
      </c>
      <c r="P2112" s="15">
        <f>IF(L2112="","",IFERROR(INDEX('Почасовка — ставки и план'!$E$5:$E$24,MATCH($D2112,'Почасовка — ставки и план'!$A$5:$A$24,0)),""))</f>
        <v>950</v>
      </c>
      <c r="Q2112" s="15">
        <f t="shared" ref="Q2112:Q2136" si="157">IF(OR(L2112="",O2112=""),"",ROUND(L2112*O2112,0))</f>
        <v>640</v>
      </c>
      <c r="R2112" s="13" t="str">
        <f>IF(D2112="TEX","аренда техники — сделка/счёт",IF(OR(Q2112="",H2112="",H2112=0),"—",IF(Q2112&lt;H2112*(1-Параметры!$B$7),"почасовка",IF(Q2112&gt;H2112*(1+Параметры!$B$7),"сделка","любой способ"))))</f>
        <v>почасовка</v>
      </c>
      <c r="S2112">
        <v>0</v>
      </c>
      <c r="T2112">
        <v>0</v>
      </c>
    </row>
    <row r="2113" spans="1:20" x14ac:dyDescent="0.25">
      <c r="A2113" s="13" t="s">
        <v>4253</v>
      </c>
      <c r="B2113" s="13" t="s">
        <v>4254</v>
      </c>
      <c r="C2113" s="13" t="s">
        <v>144</v>
      </c>
      <c r="D2113" s="13" t="s">
        <v>276</v>
      </c>
      <c r="E2113" s="13" t="str">
        <f>IFERROR(INDEX('Почасовка — ставки и план'!$B$5:$B$24,MATCH(D2113,'Почасовка — ставки и план'!$A$5:$A$24,0)),"Аренда техники / механизмы")</f>
        <v>Монтажник дверей, окон, перегородок</v>
      </c>
      <c r="F2113" s="14">
        <v>400</v>
      </c>
      <c r="G2113" s="14">
        <v>460</v>
      </c>
      <c r="H2113" s="15">
        <v>248</v>
      </c>
      <c r="I2113" s="15">
        <f>IF(OR(H2113="",F2113=""),"",MAX(H2113,MIN(ROUND(H2113*(1+Параметры!$B$5),IF(H2113*(1+Параметры!$B$5)&gt;=1000,-1,0)),ROUND(F2113*Параметры!$B$6,IF(F2113*Параметры!$B$6&gt;=1000,-1,0)))))</f>
        <v>285</v>
      </c>
      <c r="J2113" s="15">
        <v>285</v>
      </c>
      <c r="K2113" s="15">
        <f>IF(OR(J2113="",G2113=""),"",MAX(J2113,MIN(ROUND(J2113*(1+Параметры!$B$5),IF(J2113*(1+Параметры!$B$5)&gt;=1000,-1,0)),ROUND(G2113*Параметры!$B$6,IF(G2113*Параметры!$B$6&gt;=1000,-1,0)))))</f>
        <v>328</v>
      </c>
      <c r="L2113" s="16">
        <v>0.25</v>
      </c>
      <c r="M2113" s="17">
        <f t="shared" si="156"/>
        <v>4</v>
      </c>
      <c r="N2113" s="17">
        <f>IF(OR(L2113="",L2113=0),"",Параметры!$B$3/L2113)</f>
        <v>32</v>
      </c>
      <c r="O2113" s="15">
        <f>IF(L2113="","",IFERROR(INDEX('Почасовка — ставки и план'!$D$5:$D$24,MATCH($D2113,'Почасовка — ставки и план'!$A$5:$A$24,0)),""))</f>
        <v>800</v>
      </c>
      <c r="P2113" s="15">
        <f>IF(L2113="","",IFERROR(INDEX('Почасовка — ставки и план'!$E$5:$E$24,MATCH($D2113,'Почасовка — ставки и план'!$A$5:$A$24,0)),""))</f>
        <v>950</v>
      </c>
      <c r="Q2113" s="15">
        <f t="shared" si="157"/>
        <v>200</v>
      </c>
      <c r="R2113" s="13" t="str">
        <f>IF(D2113="TEX","аренда техники — сделка/счёт",IF(OR(Q2113="",H2113="",H2113=0),"—",IF(Q2113&lt;H2113*(1-Параметры!$B$7),"почасовка",IF(Q2113&gt;H2113*(1+Параметры!$B$7),"сделка","любой способ"))))</f>
        <v>почасовка</v>
      </c>
      <c r="S2113">
        <v>0</v>
      </c>
      <c r="T2113">
        <v>0</v>
      </c>
    </row>
    <row r="2114" spans="1:20" x14ac:dyDescent="0.25">
      <c r="A2114" s="13" t="s">
        <v>4255</v>
      </c>
      <c r="B2114" s="13" t="s">
        <v>4256</v>
      </c>
      <c r="C2114" s="13" t="s">
        <v>144</v>
      </c>
      <c r="D2114" s="13" t="s">
        <v>276</v>
      </c>
      <c r="E2114" s="13" t="str">
        <f>IFERROR(INDEX('Почасовка — ставки и план'!$B$5:$B$24,MATCH(D2114,'Почасовка — ставки и план'!$A$5:$A$24,0)),"Аренда техники / механизмы")</f>
        <v>Монтажник дверей, окон, перегородок</v>
      </c>
      <c r="F2114" s="14">
        <v>400</v>
      </c>
      <c r="G2114" s="14">
        <v>460</v>
      </c>
      <c r="H2114" s="15">
        <v>248</v>
      </c>
      <c r="I2114" s="15">
        <f>IF(OR(H2114="",F2114=""),"",MAX(H2114,MIN(ROUND(H2114*(1+Параметры!$B$5),IF(H2114*(1+Параметры!$B$5)&gt;=1000,-1,0)),ROUND(F2114*Параметры!$B$6,IF(F2114*Параметры!$B$6&gt;=1000,-1,0)))))</f>
        <v>285</v>
      </c>
      <c r="J2114" s="15">
        <v>285</v>
      </c>
      <c r="K2114" s="15">
        <f>IF(OR(J2114="",G2114=""),"",MAX(J2114,MIN(ROUND(J2114*(1+Параметры!$B$5),IF(J2114*(1+Параметры!$B$5)&gt;=1000,-1,0)),ROUND(G2114*Параметры!$B$6,IF(G2114*Параметры!$B$6&gt;=1000,-1,0)))))</f>
        <v>328</v>
      </c>
      <c r="L2114" s="16">
        <v>0.2</v>
      </c>
      <c r="M2114" s="17">
        <f t="shared" si="156"/>
        <v>5</v>
      </c>
      <c r="N2114" s="17">
        <f>IF(OR(L2114="",L2114=0),"",Параметры!$B$3/L2114)</f>
        <v>40</v>
      </c>
      <c r="O2114" s="15">
        <f>IF(L2114="","",IFERROR(INDEX('Почасовка — ставки и план'!$D$5:$D$24,MATCH($D2114,'Почасовка — ставки и план'!$A$5:$A$24,0)),""))</f>
        <v>800</v>
      </c>
      <c r="P2114" s="15">
        <f>IF(L2114="","",IFERROR(INDEX('Почасовка — ставки и план'!$E$5:$E$24,MATCH($D2114,'Почасовка — ставки и план'!$A$5:$A$24,0)),""))</f>
        <v>950</v>
      </c>
      <c r="Q2114" s="15">
        <f t="shared" si="157"/>
        <v>160</v>
      </c>
      <c r="R2114" s="13" t="str">
        <f>IF(D2114="TEX","аренда техники — сделка/счёт",IF(OR(Q2114="",H2114="",H2114=0),"—",IF(Q2114&lt;H2114*(1-Параметры!$B$7),"почасовка",IF(Q2114&gt;H2114*(1+Параметры!$B$7),"сделка","любой способ"))))</f>
        <v>почасовка</v>
      </c>
      <c r="S2114">
        <v>0</v>
      </c>
      <c r="T2114">
        <v>0</v>
      </c>
    </row>
    <row r="2115" spans="1:20" x14ac:dyDescent="0.25">
      <c r="A2115" s="13" t="s">
        <v>4257</v>
      </c>
      <c r="B2115" s="13" t="s">
        <v>4258</v>
      </c>
      <c r="C2115" s="13" t="s">
        <v>144</v>
      </c>
      <c r="D2115" s="13" t="s">
        <v>276</v>
      </c>
      <c r="E2115" s="13" t="str">
        <f>IFERROR(INDEX('Почасовка — ставки и план'!$B$5:$B$24,MATCH(D2115,'Почасовка — ставки и план'!$A$5:$A$24,0)),"Аренда техники / механизмы")</f>
        <v>Монтажник дверей, окон, перегородок</v>
      </c>
      <c r="F2115" s="14">
        <v>600</v>
      </c>
      <c r="G2115" s="14">
        <v>690</v>
      </c>
      <c r="H2115" s="15">
        <v>372</v>
      </c>
      <c r="I2115" s="15">
        <f>IF(OR(H2115="",F2115=""),"",MAX(H2115,MIN(ROUND(H2115*(1+Параметры!$B$5),IF(H2115*(1+Параметры!$B$5)&gt;=1000,-1,0)),ROUND(F2115*Параметры!$B$6,IF(F2115*Параметры!$B$6&gt;=1000,-1,0)))))</f>
        <v>428</v>
      </c>
      <c r="J2115" s="15">
        <v>428</v>
      </c>
      <c r="K2115" s="15">
        <f>IF(OR(J2115="",G2115=""),"",MAX(J2115,MIN(ROUND(J2115*(1+Параметры!$B$5),IF(J2115*(1+Параметры!$B$5)&gt;=1000,-1,0)),ROUND(G2115*Параметры!$B$6,IF(G2115*Параметры!$B$6&gt;=1000,-1,0)))))</f>
        <v>492</v>
      </c>
      <c r="L2115" s="16">
        <v>0.4</v>
      </c>
      <c r="M2115" s="17">
        <f t="shared" si="156"/>
        <v>2.5</v>
      </c>
      <c r="N2115" s="17">
        <f>IF(OR(L2115="",L2115=0),"",Параметры!$B$3/L2115)</f>
        <v>20</v>
      </c>
      <c r="O2115" s="15">
        <f>IF(L2115="","",IFERROR(INDEX('Почасовка — ставки и план'!$D$5:$D$24,MATCH($D2115,'Почасовка — ставки и план'!$A$5:$A$24,0)),""))</f>
        <v>800</v>
      </c>
      <c r="P2115" s="15">
        <f>IF(L2115="","",IFERROR(INDEX('Почасовка — ставки и план'!$E$5:$E$24,MATCH($D2115,'Почасовка — ставки и план'!$A$5:$A$24,0)),""))</f>
        <v>950</v>
      </c>
      <c r="Q2115" s="15">
        <f t="shared" si="157"/>
        <v>320</v>
      </c>
      <c r="R2115" s="13" t="str">
        <f>IF(D2115="TEX","аренда техники — сделка/счёт",IF(OR(Q2115="",H2115="",H2115=0),"—",IF(Q2115&lt;H2115*(1-Параметры!$B$7),"почасовка",IF(Q2115&gt;H2115*(1+Параметры!$B$7),"сделка","любой способ"))))</f>
        <v>почасовка</v>
      </c>
      <c r="S2115">
        <v>0</v>
      </c>
      <c r="T2115">
        <v>0</v>
      </c>
    </row>
    <row r="2116" spans="1:20" x14ac:dyDescent="0.25">
      <c r="A2116" s="13" t="s">
        <v>4259</v>
      </c>
      <c r="B2116" s="13" t="s">
        <v>4260</v>
      </c>
      <c r="C2116" s="13" t="s">
        <v>144</v>
      </c>
      <c r="D2116" s="13" t="s">
        <v>276</v>
      </c>
      <c r="E2116" s="13" t="str">
        <f>IFERROR(INDEX('Почасовка — ставки и план'!$B$5:$B$24,MATCH(D2116,'Почасовка — ставки и план'!$A$5:$A$24,0)),"Аренда техники / механизмы")</f>
        <v>Монтажник дверей, окон, перегородок</v>
      </c>
      <c r="F2116" s="14">
        <v>600</v>
      </c>
      <c r="G2116" s="14">
        <v>690</v>
      </c>
      <c r="H2116" s="15">
        <v>372</v>
      </c>
      <c r="I2116" s="15">
        <f>IF(OR(H2116="",F2116=""),"",MAX(H2116,MIN(ROUND(H2116*(1+Параметры!$B$5),IF(H2116*(1+Параметры!$B$5)&gt;=1000,-1,0)),ROUND(F2116*Параметры!$B$6,IF(F2116*Параметры!$B$6&gt;=1000,-1,0)))))</f>
        <v>428</v>
      </c>
      <c r="J2116" s="15">
        <v>428</v>
      </c>
      <c r="K2116" s="15">
        <f>IF(OR(J2116="",G2116=""),"",MAX(J2116,MIN(ROUND(J2116*(1+Параметры!$B$5),IF(J2116*(1+Параметры!$B$5)&gt;=1000,-1,0)),ROUND(G2116*Параметры!$B$6,IF(G2116*Параметры!$B$6&gt;=1000,-1,0)))))</f>
        <v>492</v>
      </c>
      <c r="L2116" s="16">
        <v>0.4</v>
      </c>
      <c r="M2116" s="17">
        <f t="shared" si="156"/>
        <v>2.5</v>
      </c>
      <c r="N2116" s="17">
        <f>IF(OR(L2116="",L2116=0),"",Параметры!$B$3/L2116)</f>
        <v>20</v>
      </c>
      <c r="O2116" s="15">
        <f>IF(L2116="","",IFERROR(INDEX('Почасовка — ставки и план'!$D$5:$D$24,MATCH($D2116,'Почасовка — ставки и план'!$A$5:$A$24,0)),""))</f>
        <v>800</v>
      </c>
      <c r="P2116" s="15">
        <f>IF(L2116="","",IFERROR(INDEX('Почасовка — ставки и план'!$E$5:$E$24,MATCH($D2116,'Почасовка — ставки и план'!$A$5:$A$24,0)),""))</f>
        <v>950</v>
      </c>
      <c r="Q2116" s="15">
        <f t="shared" si="157"/>
        <v>320</v>
      </c>
      <c r="R2116" s="13" t="str">
        <f>IF(D2116="TEX","аренда техники — сделка/счёт",IF(OR(Q2116="",H2116="",H2116=0),"—",IF(Q2116&lt;H2116*(1-Параметры!$B$7),"почасовка",IF(Q2116&gt;H2116*(1+Параметры!$B$7),"сделка","любой способ"))))</f>
        <v>почасовка</v>
      </c>
      <c r="S2116">
        <v>0</v>
      </c>
      <c r="T2116">
        <v>0</v>
      </c>
    </row>
    <row r="2117" spans="1:20" x14ac:dyDescent="0.25">
      <c r="A2117" s="13" t="s">
        <v>4261</v>
      </c>
      <c r="B2117" s="13" t="s">
        <v>4262</v>
      </c>
      <c r="C2117" s="13" t="s">
        <v>144</v>
      </c>
      <c r="D2117" s="13" t="s">
        <v>276</v>
      </c>
      <c r="E2117" s="13" t="str">
        <f>IFERROR(INDEX('Почасовка — ставки и план'!$B$5:$B$24,MATCH(D2117,'Почасовка — ставки и план'!$A$5:$A$24,0)),"Аренда техники / механизмы")</f>
        <v>Монтажник дверей, окон, перегородок</v>
      </c>
      <c r="F2117" s="14">
        <v>600</v>
      </c>
      <c r="G2117" s="14">
        <v>690</v>
      </c>
      <c r="H2117" s="15">
        <v>372</v>
      </c>
      <c r="I2117" s="15">
        <f>IF(OR(H2117="",F2117=""),"",MAX(H2117,MIN(ROUND(H2117*(1+Параметры!$B$5),IF(H2117*(1+Параметры!$B$5)&gt;=1000,-1,0)),ROUND(F2117*Параметры!$B$6,IF(F2117*Параметры!$B$6&gt;=1000,-1,0)))))</f>
        <v>428</v>
      </c>
      <c r="J2117" s="15">
        <v>428</v>
      </c>
      <c r="K2117" s="15">
        <f>IF(OR(J2117="",G2117=""),"",MAX(J2117,MIN(ROUND(J2117*(1+Параметры!$B$5),IF(J2117*(1+Параметры!$B$5)&gt;=1000,-1,0)),ROUND(G2117*Параметры!$B$6,IF(G2117*Параметры!$B$6&gt;=1000,-1,0)))))</f>
        <v>492</v>
      </c>
      <c r="L2117" s="16">
        <v>0.4</v>
      </c>
      <c r="M2117" s="17">
        <f t="shared" si="156"/>
        <v>2.5</v>
      </c>
      <c r="N2117" s="17">
        <f>IF(OR(L2117="",L2117=0),"",Параметры!$B$3/L2117)</f>
        <v>20</v>
      </c>
      <c r="O2117" s="15">
        <f>IF(L2117="","",IFERROR(INDEX('Почасовка — ставки и план'!$D$5:$D$24,MATCH($D2117,'Почасовка — ставки и план'!$A$5:$A$24,0)),""))</f>
        <v>800</v>
      </c>
      <c r="P2117" s="15">
        <f>IF(L2117="","",IFERROR(INDEX('Почасовка — ставки и план'!$E$5:$E$24,MATCH($D2117,'Почасовка — ставки и план'!$A$5:$A$24,0)),""))</f>
        <v>950</v>
      </c>
      <c r="Q2117" s="15">
        <f t="shared" si="157"/>
        <v>320</v>
      </c>
      <c r="R2117" s="13" t="str">
        <f>IF(D2117="TEX","аренда техники — сделка/счёт",IF(OR(Q2117="",H2117="",H2117=0),"—",IF(Q2117&lt;H2117*(1-Параметры!$B$7),"почасовка",IF(Q2117&gt;H2117*(1+Параметры!$B$7),"сделка","любой способ"))))</f>
        <v>почасовка</v>
      </c>
      <c r="S2117">
        <v>0</v>
      </c>
      <c r="T2117">
        <v>0</v>
      </c>
    </row>
    <row r="2118" spans="1:20" x14ac:dyDescent="0.25">
      <c r="A2118" s="13" t="s">
        <v>4263</v>
      </c>
      <c r="B2118" s="13" t="s">
        <v>4264</v>
      </c>
      <c r="C2118" s="13" t="s">
        <v>144</v>
      </c>
      <c r="D2118" s="13" t="s">
        <v>276</v>
      </c>
      <c r="E2118" s="13" t="str">
        <f>IFERROR(INDEX('Почасовка — ставки и план'!$B$5:$B$24,MATCH(D2118,'Почасовка — ставки и план'!$A$5:$A$24,0)),"Аренда техники / механизмы")</f>
        <v>Монтажник дверей, окон, перегородок</v>
      </c>
      <c r="F2118" s="14">
        <v>900</v>
      </c>
      <c r="G2118" s="14">
        <v>1035</v>
      </c>
      <c r="H2118" s="15">
        <v>558</v>
      </c>
      <c r="I2118" s="15">
        <f>IF(OR(H2118="",F2118=""),"",MAX(H2118,MIN(ROUND(H2118*(1+Параметры!$B$5),IF(H2118*(1+Параметры!$B$5)&gt;=1000,-1,0)),ROUND(F2118*Параметры!$B$6,IF(F2118*Параметры!$B$6&gt;=1000,-1,0)))))</f>
        <v>642</v>
      </c>
      <c r="J2118" s="15">
        <v>642</v>
      </c>
      <c r="K2118" s="15">
        <f>IF(OR(J2118="",G2118=""),"",MAX(J2118,MIN(ROUND(J2118*(1+Параметры!$B$5),IF(J2118*(1+Параметры!$B$5)&gt;=1000,-1,0)),ROUND(G2118*Параметры!$B$6,IF(G2118*Параметры!$B$6&gt;=1000,-1,0)))))</f>
        <v>738</v>
      </c>
      <c r="L2118" s="16">
        <v>0.6</v>
      </c>
      <c r="M2118" s="17">
        <f t="shared" si="156"/>
        <v>1.6666666666666667</v>
      </c>
      <c r="N2118" s="17">
        <f>IF(OR(L2118="",L2118=0),"",Параметры!$B$3/L2118)</f>
        <v>13.333333333333334</v>
      </c>
      <c r="O2118" s="15">
        <f>IF(L2118="","",IFERROR(INDEX('Почасовка — ставки и план'!$D$5:$D$24,MATCH($D2118,'Почасовка — ставки и план'!$A$5:$A$24,0)),""))</f>
        <v>800</v>
      </c>
      <c r="P2118" s="15">
        <f>IF(L2118="","",IFERROR(INDEX('Почасовка — ставки и план'!$E$5:$E$24,MATCH($D2118,'Почасовка — ставки и план'!$A$5:$A$24,0)),""))</f>
        <v>950</v>
      </c>
      <c r="Q2118" s="15">
        <f t="shared" si="157"/>
        <v>480</v>
      </c>
      <c r="R2118" s="13" t="str">
        <f>IF(D2118="TEX","аренда техники — сделка/счёт",IF(OR(Q2118="",H2118="",H2118=0),"—",IF(Q2118&lt;H2118*(1-Параметры!$B$7),"почасовка",IF(Q2118&gt;H2118*(1+Параметры!$B$7),"сделка","любой способ"))))</f>
        <v>почасовка</v>
      </c>
      <c r="S2118">
        <v>0</v>
      </c>
      <c r="T2118">
        <v>0</v>
      </c>
    </row>
    <row r="2119" spans="1:20" x14ac:dyDescent="0.25">
      <c r="A2119" s="13" t="s">
        <v>4265</v>
      </c>
      <c r="B2119" s="13" t="s">
        <v>4266</v>
      </c>
      <c r="C2119" s="13" t="s">
        <v>72</v>
      </c>
      <c r="D2119" s="13" t="s">
        <v>276</v>
      </c>
      <c r="E2119" s="13" t="str">
        <f>IFERROR(INDEX('Почасовка — ставки и план'!$B$5:$B$24,MATCH(D2119,'Почасовка — ставки и план'!$A$5:$A$24,0)),"Аренда техники / механизмы")</f>
        <v>Монтажник дверей, окон, перегородок</v>
      </c>
      <c r="F2119" s="14">
        <v>1300</v>
      </c>
      <c r="G2119" s="14">
        <v>1520</v>
      </c>
      <c r="H2119" s="15">
        <v>806</v>
      </c>
      <c r="I2119" s="15">
        <f>IF(OR(H2119="",F2119=""),"",MAX(H2119,MIN(ROUND(H2119*(1+Параметры!$B$5),IF(H2119*(1+Параметры!$B$5)&gt;=1000,-1,0)),ROUND(F2119*Параметры!$B$6,IF(F2119*Параметры!$B$6&gt;=1000,-1,0)))))</f>
        <v>927</v>
      </c>
      <c r="J2119" s="15">
        <v>927</v>
      </c>
      <c r="K2119" s="15">
        <f>IF(OR(J2119="",G2119=""),"",MAX(J2119,MIN(ROUND(J2119*(1+Параметры!$B$5),IF(J2119*(1+Параметры!$B$5)&gt;=1000,-1,0)),ROUND(G2119*Параметры!$B$6,IF(G2119*Параметры!$B$6&gt;=1000,-1,0)))))</f>
        <v>1070</v>
      </c>
      <c r="L2119" s="16">
        <v>1.2</v>
      </c>
      <c r="M2119" s="17">
        <f t="shared" si="156"/>
        <v>0.83333333333333337</v>
      </c>
      <c r="N2119" s="17">
        <f>IF(OR(L2119="",L2119=0),"",Параметры!$B$3/L2119)</f>
        <v>6.666666666666667</v>
      </c>
      <c r="O2119" s="15">
        <f>IF(L2119="","",IFERROR(INDEX('Почасовка — ставки и план'!$D$5:$D$24,MATCH($D2119,'Почасовка — ставки и план'!$A$5:$A$24,0)),""))</f>
        <v>800</v>
      </c>
      <c r="P2119" s="15">
        <f>IF(L2119="","",IFERROR(INDEX('Почасовка — ставки и план'!$E$5:$E$24,MATCH($D2119,'Почасовка — ставки и план'!$A$5:$A$24,0)),""))</f>
        <v>950</v>
      </c>
      <c r="Q2119" s="15">
        <f t="shared" si="157"/>
        <v>960</v>
      </c>
      <c r="R2119" s="13" t="str">
        <f>IF(D2119="TEX","аренда техники — сделка/счёт",IF(OR(Q2119="",H2119="",H2119=0),"—",IF(Q2119&lt;H2119*(1-Параметры!$B$7),"почасовка",IF(Q2119&gt;H2119*(1+Параметры!$B$7),"сделка","любой способ"))))</f>
        <v>сделка</v>
      </c>
      <c r="S2119">
        <v>0</v>
      </c>
      <c r="T2119">
        <v>1.6722408026755842E-2</v>
      </c>
    </row>
    <row r="2120" spans="1:20" x14ac:dyDescent="0.25">
      <c r="A2120" s="13" t="s">
        <v>4267</v>
      </c>
      <c r="B2120" s="13" t="s">
        <v>4268</v>
      </c>
      <c r="C2120" s="13" t="s">
        <v>72</v>
      </c>
      <c r="D2120" s="13" t="s">
        <v>276</v>
      </c>
      <c r="E2120" s="13" t="str">
        <f>IFERROR(INDEX('Почасовка — ставки и план'!$B$5:$B$24,MATCH(D2120,'Почасовка — ставки и план'!$A$5:$A$24,0)),"Аренда техники / механизмы")</f>
        <v>Монтажник дверей, окон, перегородок</v>
      </c>
      <c r="F2120" s="14">
        <v>2000</v>
      </c>
      <c r="G2120" s="14">
        <v>2300</v>
      </c>
      <c r="H2120" s="15">
        <v>1240</v>
      </c>
      <c r="I2120" s="15">
        <f>IF(OR(H2120="",F2120=""),"",MAX(H2120,MIN(ROUND(H2120*(1+Параметры!$B$5),IF(H2120*(1+Параметры!$B$5)&gt;=1000,-1,0)),ROUND(F2120*Параметры!$B$6,IF(F2120*Параметры!$B$6&gt;=1000,-1,0)))))</f>
        <v>1430</v>
      </c>
      <c r="J2120" s="15">
        <v>1426</v>
      </c>
      <c r="K2120" s="15">
        <f>IF(OR(J2120="",G2120=""),"",MAX(J2120,MIN(ROUND(J2120*(1+Параметры!$B$5),IF(J2120*(1+Параметры!$B$5)&gt;=1000,-1,0)),ROUND(G2120*Параметры!$B$6,IF(G2120*Параметры!$B$6&gt;=1000,-1,0)))))</f>
        <v>1640</v>
      </c>
      <c r="L2120" s="16">
        <v>1.6</v>
      </c>
      <c r="M2120" s="17">
        <f t="shared" si="156"/>
        <v>0.625</v>
      </c>
      <c r="N2120" s="17">
        <f>IF(OR(L2120="",L2120=0),"",Параметры!$B$3/L2120)</f>
        <v>5</v>
      </c>
      <c r="O2120" s="15">
        <f>IF(L2120="","",IFERROR(INDEX('Почасовка — ставки и план'!$D$5:$D$24,MATCH($D2120,'Почасовка — ставки и план'!$A$5:$A$24,0)),""))</f>
        <v>800</v>
      </c>
      <c r="P2120" s="15">
        <f>IF(L2120="","",IFERROR(INDEX('Почасовка — ставки и план'!$E$5:$E$24,MATCH($D2120,'Почасовка — ставки и план'!$A$5:$A$24,0)),""))</f>
        <v>950</v>
      </c>
      <c r="Q2120" s="15">
        <f t="shared" si="157"/>
        <v>1280</v>
      </c>
      <c r="R2120" s="13" t="str">
        <f>IF(D2120="TEX","аренда техники — сделка/счёт",IF(OR(Q2120="",H2120="",H2120=0),"—",IF(Q2120&lt;H2120*(1-Параметры!$B$7),"почасовка",IF(Q2120&gt;H2120*(1+Параметры!$B$7),"сделка","любой способ"))))</f>
        <v>любой способ</v>
      </c>
      <c r="S2120">
        <v>0</v>
      </c>
      <c r="T2120">
        <v>0</v>
      </c>
    </row>
    <row r="2121" spans="1:20" x14ac:dyDescent="0.25">
      <c r="A2121" s="13" t="s">
        <v>4269</v>
      </c>
      <c r="B2121" s="13" t="s">
        <v>4270</v>
      </c>
      <c r="C2121" s="13" t="s">
        <v>72</v>
      </c>
      <c r="D2121" s="13" t="s">
        <v>276</v>
      </c>
      <c r="E2121" s="13" t="str">
        <f>IFERROR(INDEX('Почасовка — ставки и план'!$B$5:$B$24,MATCH(D2121,'Почасовка — ставки и план'!$A$5:$A$24,0)),"Аренда техники / механизмы")</f>
        <v>Монтажник дверей, окон, перегородок</v>
      </c>
      <c r="F2121" s="14">
        <v>1900</v>
      </c>
      <c r="G2121" s="14">
        <v>2185</v>
      </c>
      <c r="H2121" s="15">
        <v>1178</v>
      </c>
      <c r="I2121" s="15">
        <f>IF(OR(H2121="",F2121=""),"",MAX(H2121,MIN(ROUND(H2121*(1+Параметры!$B$5),IF(H2121*(1+Параметры!$B$5)&gt;=1000,-1,0)),ROUND(F2121*Параметры!$B$6,IF(F2121*Параметры!$B$6&gt;=1000,-1,0)))))</f>
        <v>1350</v>
      </c>
      <c r="J2121" s="15">
        <v>1355</v>
      </c>
      <c r="K2121" s="15">
        <f>IF(OR(J2121="",G2121=""),"",MAX(J2121,MIN(ROUND(J2121*(1+Параметры!$B$5),IF(J2121*(1+Параметры!$B$5)&gt;=1000,-1,0)),ROUND(G2121*Параметры!$B$6,IF(G2121*Параметры!$B$6&gt;=1000,-1,0)))))</f>
        <v>1560</v>
      </c>
      <c r="L2121" s="16">
        <v>1.5</v>
      </c>
      <c r="M2121" s="17">
        <f t="shared" si="156"/>
        <v>0.66666666666666663</v>
      </c>
      <c r="N2121" s="17">
        <f>IF(OR(L2121="",L2121=0),"",Параметры!$B$3/L2121)</f>
        <v>5.333333333333333</v>
      </c>
      <c r="O2121" s="15">
        <f>IF(L2121="","",IFERROR(INDEX('Почасовка — ставки и план'!$D$5:$D$24,MATCH($D2121,'Почасовка — ставки и план'!$A$5:$A$24,0)),""))</f>
        <v>800</v>
      </c>
      <c r="P2121" s="15">
        <f>IF(L2121="","",IFERROR(INDEX('Почасовка — ставки и план'!$E$5:$E$24,MATCH($D2121,'Почасовка — ставки и план'!$A$5:$A$24,0)),""))</f>
        <v>950</v>
      </c>
      <c r="Q2121" s="15">
        <f t="shared" si="157"/>
        <v>1200</v>
      </c>
      <c r="R2121" s="13" t="str">
        <f>IF(D2121="TEX","аренда техники — сделка/счёт",IF(OR(Q2121="",H2121="",H2121=0),"—",IF(Q2121&lt;H2121*(1-Параметры!$B$7),"почасовка",IF(Q2121&gt;H2121*(1+Параметры!$B$7),"сделка","любой способ"))))</f>
        <v>любой способ</v>
      </c>
      <c r="S2121">
        <v>0</v>
      </c>
      <c r="T2121">
        <v>0</v>
      </c>
    </row>
    <row r="2122" spans="1:20" x14ac:dyDescent="0.25">
      <c r="A2122" s="13" t="s">
        <v>4271</v>
      </c>
      <c r="B2122" s="13" t="s">
        <v>4272</v>
      </c>
      <c r="C2122" s="13" t="s">
        <v>72</v>
      </c>
      <c r="D2122" s="13" t="s">
        <v>276</v>
      </c>
      <c r="E2122" s="13" t="str">
        <f>IFERROR(INDEX('Почасовка — ставки и план'!$B$5:$B$24,MATCH(D2122,'Почасовка — ставки и план'!$A$5:$A$24,0)),"Аренда техники / механизмы")</f>
        <v>Монтажник дверей, окон, перегородок</v>
      </c>
      <c r="F2122" s="14">
        <v>1200</v>
      </c>
      <c r="G2122" s="14">
        <v>1394</v>
      </c>
      <c r="H2122" s="15">
        <v>744</v>
      </c>
      <c r="I2122" s="15">
        <f>IF(OR(H2122="",F2122=""),"",MAX(H2122,MIN(ROUND(H2122*(1+Параметры!$B$5),IF(H2122*(1+Параметры!$B$5)&gt;=1000,-1,0)),ROUND(F2122*Параметры!$B$6,IF(F2122*Параметры!$B$6&gt;=1000,-1,0)))))</f>
        <v>856</v>
      </c>
      <c r="J2122" s="15">
        <v>856</v>
      </c>
      <c r="K2122" s="15">
        <f>IF(OR(J2122="",G2122=""),"",MAX(J2122,MIN(ROUND(J2122*(1+Параметры!$B$5),IF(J2122*(1+Параметры!$B$5)&gt;=1000,-1,0)),ROUND(G2122*Параметры!$B$6,IF(G2122*Параметры!$B$6&gt;=1000,-1,0)))))</f>
        <v>984</v>
      </c>
      <c r="L2122" s="16">
        <v>1.1000000000000001</v>
      </c>
      <c r="M2122" s="17">
        <f t="shared" si="156"/>
        <v>0.90909090909090906</v>
      </c>
      <c r="N2122" s="17">
        <f>IF(OR(L2122="",L2122=0),"",Параметры!$B$3/L2122)</f>
        <v>7.2727272727272725</v>
      </c>
      <c r="O2122" s="15">
        <f>IF(L2122="","",IFERROR(INDEX('Почасовка — ставки и план'!$D$5:$D$24,MATCH($D2122,'Почасовка — ставки и план'!$A$5:$A$24,0)),""))</f>
        <v>800</v>
      </c>
      <c r="P2122" s="15">
        <f>IF(L2122="","",IFERROR(INDEX('Почасовка — ставки и план'!$E$5:$E$24,MATCH($D2122,'Почасовка — ставки и план'!$A$5:$A$24,0)),""))</f>
        <v>950</v>
      </c>
      <c r="Q2122" s="15">
        <f t="shared" si="157"/>
        <v>880</v>
      </c>
      <c r="R2122" s="13" t="str">
        <f>IF(D2122="TEX","аренда техники — сделка/счёт",IF(OR(Q2122="",H2122="",H2122=0),"—",IF(Q2122&lt;H2122*(1-Параметры!$B$7),"почасовка",IF(Q2122&gt;H2122*(1+Параметры!$B$7),"сделка","любой способ"))))</f>
        <v>сделка</v>
      </c>
      <c r="S2122">
        <v>0</v>
      </c>
      <c r="T2122">
        <v>1.014492753623197E-2</v>
      </c>
    </row>
    <row r="2123" spans="1:20" x14ac:dyDescent="0.25">
      <c r="A2123" s="13" t="s">
        <v>4273</v>
      </c>
      <c r="B2123" s="13" t="s">
        <v>4274</v>
      </c>
      <c r="C2123" s="13" t="s">
        <v>72</v>
      </c>
      <c r="D2123" s="13" t="s">
        <v>276</v>
      </c>
      <c r="E2123" s="13" t="str">
        <f>IFERROR(INDEX('Почасовка — ставки и план'!$B$5:$B$24,MATCH(D2123,'Почасовка — ставки и план'!$A$5:$A$24,0)),"Аренда техники / механизмы")</f>
        <v>Монтажник дверей, окон, перегородок</v>
      </c>
      <c r="F2123" s="14">
        <v>1300</v>
      </c>
      <c r="G2123" s="14">
        <v>1520</v>
      </c>
      <c r="H2123" s="15">
        <v>806</v>
      </c>
      <c r="I2123" s="15">
        <f>IF(OR(H2123="",F2123=""),"",MAX(H2123,MIN(ROUND(H2123*(1+Параметры!$B$5),IF(H2123*(1+Параметры!$B$5)&gt;=1000,-1,0)),ROUND(F2123*Параметры!$B$6,IF(F2123*Параметры!$B$6&gt;=1000,-1,0)))))</f>
        <v>927</v>
      </c>
      <c r="J2123" s="15">
        <v>927</v>
      </c>
      <c r="K2123" s="15">
        <f>IF(OR(J2123="",G2123=""),"",MAX(J2123,MIN(ROUND(J2123*(1+Параметры!$B$5),IF(J2123*(1+Параметры!$B$5)&gt;=1000,-1,0)),ROUND(G2123*Параметры!$B$6,IF(G2123*Параметры!$B$6&gt;=1000,-1,0)))))</f>
        <v>1070</v>
      </c>
      <c r="L2123" s="16">
        <v>1.2</v>
      </c>
      <c r="M2123" s="17">
        <f t="shared" si="156"/>
        <v>0.83333333333333337</v>
      </c>
      <c r="N2123" s="17">
        <f>IF(OR(L2123="",L2123=0),"",Параметры!$B$3/L2123)</f>
        <v>6.666666666666667</v>
      </c>
      <c r="O2123" s="15">
        <f>IF(L2123="","",IFERROR(INDEX('Почасовка — ставки и план'!$D$5:$D$24,MATCH($D2123,'Почасовка — ставки и план'!$A$5:$A$24,0)),""))</f>
        <v>800</v>
      </c>
      <c r="P2123" s="15">
        <f>IF(L2123="","",IFERROR(INDEX('Почасовка — ставки и план'!$E$5:$E$24,MATCH($D2123,'Почасовка — ставки и план'!$A$5:$A$24,0)),""))</f>
        <v>950</v>
      </c>
      <c r="Q2123" s="15">
        <f t="shared" si="157"/>
        <v>960</v>
      </c>
      <c r="R2123" s="13" t="str">
        <f>IF(D2123="TEX","аренда техники — сделка/счёт",IF(OR(Q2123="",H2123="",H2123=0),"—",IF(Q2123&lt;H2123*(1-Параметры!$B$7),"почасовка",IF(Q2123&gt;H2123*(1+Параметры!$B$7),"сделка","любой способ"))))</f>
        <v>сделка</v>
      </c>
      <c r="S2123">
        <v>0</v>
      </c>
      <c r="T2123">
        <v>1.6722408026755842E-2</v>
      </c>
    </row>
    <row r="2124" spans="1:20" x14ac:dyDescent="0.25">
      <c r="A2124" s="13" t="s">
        <v>4275</v>
      </c>
      <c r="B2124" s="13" t="s">
        <v>4276</v>
      </c>
      <c r="C2124" s="13" t="s">
        <v>72</v>
      </c>
      <c r="D2124" s="13" t="s">
        <v>276</v>
      </c>
      <c r="E2124" s="13" t="str">
        <f>IFERROR(INDEX('Почасовка — ставки и план'!$B$5:$B$24,MATCH(D2124,'Почасовка — ставки и план'!$A$5:$A$24,0)),"Аренда техники / механизмы")</f>
        <v>Монтажник дверей, окон, перегородок</v>
      </c>
      <c r="F2124" s="14">
        <v>2000</v>
      </c>
      <c r="G2124" s="14">
        <v>2300</v>
      </c>
      <c r="H2124" s="15">
        <v>1240</v>
      </c>
      <c r="I2124" s="15">
        <f>IF(OR(H2124="",F2124=""),"",MAX(H2124,MIN(ROUND(H2124*(1+Параметры!$B$5),IF(H2124*(1+Параметры!$B$5)&gt;=1000,-1,0)),ROUND(F2124*Параметры!$B$6,IF(F2124*Параметры!$B$6&gt;=1000,-1,0)))))</f>
        <v>1430</v>
      </c>
      <c r="J2124" s="15">
        <v>1426</v>
      </c>
      <c r="K2124" s="15">
        <f>IF(OR(J2124="",G2124=""),"",MAX(J2124,MIN(ROUND(J2124*(1+Параметры!$B$5),IF(J2124*(1+Параметры!$B$5)&gt;=1000,-1,0)),ROUND(G2124*Параметры!$B$6,IF(G2124*Параметры!$B$6&gt;=1000,-1,0)))))</f>
        <v>1640</v>
      </c>
      <c r="L2124" s="16">
        <v>1.5</v>
      </c>
      <c r="M2124" s="17">
        <f t="shared" si="156"/>
        <v>0.66666666666666663</v>
      </c>
      <c r="N2124" s="17">
        <f>IF(OR(L2124="",L2124=0),"",Параметры!$B$3/L2124)</f>
        <v>5.333333333333333</v>
      </c>
      <c r="O2124" s="15">
        <f>IF(L2124="","",IFERROR(INDEX('Почасовка — ставки и план'!$D$5:$D$24,MATCH($D2124,'Почасовка — ставки и план'!$A$5:$A$24,0)),""))</f>
        <v>800</v>
      </c>
      <c r="P2124" s="15">
        <f>IF(L2124="","",IFERROR(INDEX('Почасовка — ставки и план'!$E$5:$E$24,MATCH($D2124,'Почасовка — ставки и план'!$A$5:$A$24,0)),""))</f>
        <v>950</v>
      </c>
      <c r="Q2124" s="15">
        <f t="shared" si="157"/>
        <v>1200</v>
      </c>
      <c r="R2124" s="13" t="str">
        <f>IF(D2124="TEX","аренда техники — сделка/счёт",IF(OR(Q2124="",H2124="",H2124=0),"—",IF(Q2124&lt;H2124*(1-Параметры!$B$7),"почасовка",IF(Q2124&gt;H2124*(1+Параметры!$B$7),"сделка","любой способ"))))</f>
        <v>любой способ</v>
      </c>
      <c r="S2124">
        <v>0</v>
      </c>
      <c r="T2124">
        <v>0</v>
      </c>
    </row>
    <row r="2125" spans="1:20" x14ac:dyDescent="0.25">
      <c r="A2125" s="13" t="s">
        <v>4277</v>
      </c>
      <c r="B2125" s="13" t="s">
        <v>4278</v>
      </c>
      <c r="C2125" s="13" t="s">
        <v>72</v>
      </c>
      <c r="D2125" s="13" t="s">
        <v>276</v>
      </c>
      <c r="E2125" s="13" t="str">
        <f>IFERROR(INDEX('Почасовка — ставки и план'!$B$5:$B$24,MATCH(D2125,'Почасовка — ставки и план'!$A$5:$A$24,0)),"Аренда техники / механизмы")</f>
        <v>Монтажник дверей, окон, перегородок</v>
      </c>
      <c r="F2125" s="14">
        <v>1200</v>
      </c>
      <c r="G2125" s="14">
        <v>1394</v>
      </c>
      <c r="H2125" s="15">
        <v>744</v>
      </c>
      <c r="I2125" s="15">
        <f>IF(OR(H2125="",F2125=""),"",MAX(H2125,MIN(ROUND(H2125*(1+Параметры!$B$5),IF(H2125*(1+Параметры!$B$5)&gt;=1000,-1,0)),ROUND(F2125*Параметры!$B$6,IF(F2125*Параметры!$B$6&gt;=1000,-1,0)))))</f>
        <v>856</v>
      </c>
      <c r="J2125" s="15">
        <v>856</v>
      </c>
      <c r="K2125" s="15">
        <f>IF(OR(J2125="",G2125=""),"",MAX(J2125,MIN(ROUND(J2125*(1+Параметры!$B$5),IF(J2125*(1+Параметры!$B$5)&gt;=1000,-1,0)),ROUND(G2125*Параметры!$B$6,IF(G2125*Параметры!$B$6&gt;=1000,-1,0)))))</f>
        <v>984</v>
      </c>
      <c r="L2125" s="16">
        <v>1.1000000000000001</v>
      </c>
      <c r="M2125" s="17">
        <f t="shared" si="156"/>
        <v>0.90909090909090906</v>
      </c>
      <c r="N2125" s="17">
        <f>IF(OR(L2125="",L2125=0),"",Параметры!$B$3/L2125)</f>
        <v>7.2727272727272725</v>
      </c>
      <c r="O2125" s="15">
        <f>IF(L2125="","",IFERROR(INDEX('Почасовка — ставки и план'!$D$5:$D$24,MATCH($D2125,'Почасовка — ставки и план'!$A$5:$A$24,0)),""))</f>
        <v>800</v>
      </c>
      <c r="P2125" s="15">
        <f>IF(L2125="","",IFERROR(INDEX('Почасовка — ставки и план'!$E$5:$E$24,MATCH($D2125,'Почасовка — ставки и план'!$A$5:$A$24,0)),""))</f>
        <v>950</v>
      </c>
      <c r="Q2125" s="15">
        <f t="shared" si="157"/>
        <v>880</v>
      </c>
      <c r="R2125" s="13" t="str">
        <f>IF(D2125="TEX","аренда техники — сделка/счёт",IF(OR(Q2125="",H2125="",H2125=0),"—",IF(Q2125&lt;H2125*(1-Параметры!$B$7),"почасовка",IF(Q2125&gt;H2125*(1+Параметры!$B$7),"сделка","любой способ"))))</f>
        <v>сделка</v>
      </c>
      <c r="S2125">
        <v>0</v>
      </c>
      <c r="T2125">
        <v>1.014492753623197E-2</v>
      </c>
    </row>
    <row r="2126" spans="1:20" x14ac:dyDescent="0.25">
      <c r="A2126" s="13" t="s">
        <v>4279</v>
      </c>
      <c r="B2126" s="13" t="s">
        <v>4280</v>
      </c>
      <c r="C2126" s="13" t="s">
        <v>72</v>
      </c>
      <c r="D2126" s="13" t="s">
        <v>276</v>
      </c>
      <c r="E2126" s="13" t="str">
        <f>IFERROR(INDEX('Почасовка — ставки и план'!$B$5:$B$24,MATCH(D2126,'Почасовка — ставки и план'!$A$5:$A$24,0)),"Аренда техники / механизмы")</f>
        <v>Монтажник дверей, окон, перегородок</v>
      </c>
      <c r="F2126" s="14">
        <v>1900</v>
      </c>
      <c r="G2126" s="14">
        <v>2185</v>
      </c>
      <c r="H2126" s="15">
        <v>1178</v>
      </c>
      <c r="I2126" s="15">
        <f>IF(OR(H2126="",F2126=""),"",MAX(H2126,MIN(ROUND(H2126*(1+Параметры!$B$5),IF(H2126*(1+Параметры!$B$5)&gt;=1000,-1,0)),ROUND(F2126*Параметры!$B$6,IF(F2126*Параметры!$B$6&gt;=1000,-1,0)))))</f>
        <v>1350</v>
      </c>
      <c r="J2126" s="15">
        <v>1355</v>
      </c>
      <c r="K2126" s="15">
        <f>IF(OR(J2126="",G2126=""),"",MAX(J2126,MIN(ROUND(J2126*(1+Параметры!$B$5),IF(J2126*(1+Параметры!$B$5)&gt;=1000,-1,0)),ROUND(G2126*Параметры!$B$6,IF(G2126*Параметры!$B$6&gt;=1000,-1,0)))))</f>
        <v>1560</v>
      </c>
      <c r="L2126" s="16">
        <v>1.4</v>
      </c>
      <c r="M2126" s="17">
        <f t="shared" si="156"/>
        <v>0.7142857142857143</v>
      </c>
      <c r="N2126" s="17">
        <f>IF(OR(L2126="",L2126=0),"",Параметры!$B$3/L2126)</f>
        <v>5.7142857142857144</v>
      </c>
      <c r="O2126" s="15">
        <f>IF(L2126="","",IFERROR(INDEX('Почасовка — ставки и план'!$D$5:$D$24,MATCH($D2126,'Почасовка — ставки и план'!$A$5:$A$24,0)),""))</f>
        <v>800</v>
      </c>
      <c r="P2126" s="15">
        <f>IF(L2126="","",IFERROR(INDEX('Почасовка — ставки и план'!$E$5:$E$24,MATCH($D2126,'Почасовка — ставки и план'!$A$5:$A$24,0)),""))</f>
        <v>950</v>
      </c>
      <c r="Q2126" s="15">
        <f t="shared" si="157"/>
        <v>1120</v>
      </c>
      <c r="R2126" s="13" t="str">
        <f>IF(D2126="TEX","аренда техники — сделка/счёт",IF(OR(Q2126="",H2126="",H2126=0),"—",IF(Q2126&lt;H2126*(1-Параметры!$B$7),"почасовка",IF(Q2126&gt;H2126*(1+Параметры!$B$7),"сделка","любой способ"))))</f>
        <v>любой способ</v>
      </c>
      <c r="S2126">
        <v>0</v>
      </c>
      <c r="T2126">
        <v>0</v>
      </c>
    </row>
    <row r="2127" spans="1:20" x14ac:dyDescent="0.25">
      <c r="A2127" s="13" t="s">
        <v>4281</v>
      </c>
      <c r="B2127" s="13" t="s">
        <v>4282</v>
      </c>
      <c r="C2127" s="13" t="s">
        <v>69</v>
      </c>
      <c r="D2127" s="13" t="s">
        <v>276</v>
      </c>
      <c r="E2127" s="13" t="str">
        <f>IFERROR(INDEX('Почасовка — ставки и план'!$B$5:$B$24,MATCH(D2127,'Почасовка — ставки и план'!$A$5:$A$24,0)),"Аренда техники / механизмы")</f>
        <v>Монтажник дверей, окон, перегородок</v>
      </c>
      <c r="F2127" s="14">
        <v>150</v>
      </c>
      <c r="G2127" s="14">
        <v>172</v>
      </c>
      <c r="H2127" s="15">
        <v>93</v>
      </c>
      <c r="I2127" s="15">
        <f>IF(OR(H2127="",F2127=""),"",MAX(H2127,MIN(ROUND(H2127*(1+Параметры!$B$5),IF(H2127*(1+Параметры!$B$5)&gt;=1000,-1,0)),ROUND(F2127*Параметры!$B$6,IF(F2127*Параметры!$B$6&gt;=1000,-1,0)))))</f>
        <v>107</v>
      </c>
      <c r="J2127" s="15">
        <v>107</v>
      </c>
      <c r="K2127" s="15">
        <f>IF(OR(J2127="",G2127=""),"",MAX(J2127,MIN(ROUND(J2127*(1+Параметры!$B$5),IF(J2127*(1+Параметры!$B$5)&gt;=1000,-1,0)),ROUND(G2127*Параметры!$B$6,IF(G2127*Параметры!$B$6&gt;=1000,-1,0)))))</f>
        <v>123</v>
      </c>
      <c r="L2127" s="16">
        <v>0.12</v>
      </c>
      <c r="M2127" s="17">
        <f t="shared" si="156"/>
        <v>8.3333333333333339</v>
      </c>
      <c r="N2127" s="17">
        <f>IF(OR(L2127="",L2127=0),"",Параметры!$B$3/L2127)</f>
        <v>66.666666666666671</v>
      </c>
      <c r="O2127" s="15">
        <f>IF(L2127="","",IFERROR(INDEX('Почасовка — ставки и план'!$D$5:$D$24,MATCH($D2127,'Почасовка — ставки и план'!$A$5:$A$24,0)),""))</f>
        <v>800</v>
      </c>
      <c r="P2127" s="15">
        <f>IF(L2127="","",IFERROR(INDEX('Почасовка — ставки и план'!$E$5:$E$24,MATCH($D2127,'Почасовка — ставки и план'!$A$5:$A$24,0)),""))</f>
        <v>950</v>
      </c>
      <c r="Q2127" s="15">
        <f t="shared" si="157"/>
        <v>96</v>
      </c>
      <c r="R2127" s="13" t="str">
        <f>IF(D2127="TEX","аренда техники — сделка/счёт",IF(OR(Q2127="",H2127="",H2127=0),"—",IF(Q2127&lt;H2127*(1-Параметры!$B$7),"почасовка",IF(Q2127&gt;H2127*(1+Параметры!$B$7),"сделка","любой способ"))))</f>
        <v>любой способ</v>
      </c>
      <c r="S2127">
        <v>0</v>
      </c>
      <c r="T2127">
        <v>0</v>
      </c>
    </row>
    <row r="2128" spans="1:20" x14ac:dyDescent="0.25">
      <c r="A2128" s="13" t="s">
        <v>4283</v>
      </c>
      <c r="B2128" s="13" t="s">
        <v>4284</v>
      </c>
      <c r="C2128" s="13" t="s">
        <v>144</v>
      </c>
      <c r="D2128" s="13" t="s">
        <v>276</v>
      </c>
      <c r="E2128" s="13" t="str">
        <f>IFERROR(INDEX('Почасовка — ставки и план'!$B$5:$B$24,MATCH(D2128,'Почасовка — ставки и план'!$A$5:$A$24,0)),"Аренда техники / механизмы")</f>
        <v>Монтажник дверей, окон, перегородок</v>
      </c>
      <c r="F2128" s="14">
        <v>350</v>
      </c>
      <c r="G2128" s="14">
        <v>402</v>
      </c>
      <c r="H2128" s="15">
        <v>217</v>
      </c>
      <c r="I2128" s="15">
        <f>IF(OR(H2128="",F2128=""),"",MAX(H2128,MIN(ROUND(H2128*(1+Параметры!$B$5),IF(H2128*(1+Параметры!$B$5)&gt;=1000,-1,0)),ROUND(F2128*Параметры!$B$6,IF(F2128*Параметры!$B$6&gt;=1000,-1,0)))))</f>
        <v>250</v>
      </c>
      <c r="J2128" s="15">
        <v>250</v>
      </c>
      <c r="K2128" s="15">
        <f>IF(OR(J2128="",G2128=""),"",MAX(J2128,MIN(ROUND(J2128*(1+Параметры!$B$5),IF(J2128*(1+Параметры!$B$5)&gt;=1000,-1,0)),ROUND(G2128*Параметры!$B$6,IF(G2128*Параметры!$B$6&gt;=1000,-1,0)))))</f>
        <v>288</v>
      </c>
      <c r="L2128" s="16">
        <v>0.3</v>
      </c>
      <c r="M2128" s="17">
        <f t="shared" si="156"/>
        <v>3.3333333333333335</v>
      </c>
      <c r="N2128" s="17">
        <f>IF(OR(L2128="",L2128=0),"",Параметры!$B$3/L2128)</f>
        <v>26.666666666666668</v>
      </c>
      <c r="O2128" s="15">
        <f>IF(L2128="","",IFERROR(INDEX('Почасовка — ставки и план'!$D$5:$D$24,MATCH($D2128,'Почасовка — ставки и план'!$A$5:$A$24,0)),""))</f>
        <v>800</v>
      </c>
      <c r="P2128" s="15">
        <f>IF(L2128="","",IFERROR(INDEX('Почасовка — ставки и план'!$E$5:$E$24,MATCH($D2128,'Почасовка — ставки и план'!$A$5:$A$24,0)),""))</f>
        <v>950</v>
      </c>
      <c r="Q2128" s="15">
        <f t="shared" si="157"/>
        <v>240</v>
      </c>
      <c r="R2128" s="13" t="str">
        <f>IF(D2128="TEX","аренда техники — сделка/счёт",IF(OR(Q2128="",H2128="",H2128=0),"—",IF(Q2128&lt;H2128*(1-Параметры!$B$7),"почасовка",IF(Q2128&gt;H2128*(1+Параметры!$B$7),"сделка","любой способ"))))</f>
        <v>сделка</v>
      </c>
      <c r="S2128">
        <v>0</v>
      </c>
      <c r="T2128">
        <v>0</v>
      </c>
    </row>
    <row r="2129" spans="1:20" x14ac:dyDescent="0.25">
      <c r="A2129" s="13" t="s">
        <v>4285</v>
      </c>
      <c r="B2129" s="13" t="s">
        <v>4286</v>
      </c>
      <c r="C2129" s="13" t="s">
        <v>144</v>
      </c>
      <c r="D2129" s="13" t="s">
        <v>276</v>
      </c>
      <c r="E2129" s="13" t="str">
        <f>IFERROR(INDEX('Почасовка — ставки и план'!$B$5:$B$24,MATCH(D2129,'Почасовка — ставки и план'!$A$5:$A$24,0)),"Аренда техники / механизмы")</f>
        <v>Монтажник дверей, окон, перегородок</v>
      </c>
      <c r="F2129" s="14">
        <v>600</v>
      </c>
      <c r="G2129" s="14">
        <v>690</v>
      </c>
      <c r="H2129" s="15">
        <v>372</v>
      </c>
      <c r="I2129" s="15">
        <f>IF(OR(H2129="",F2129=""),"",MAX(H2129,MIN(ROUND(H2129*(1+Параметры!$B$5),IF(H2129*(1+Параметры!$B$5)&gt;=1000,-1,0)),ROUND(F2129*Параметры!$B$6,IF(F2129*Параметры!$B$6&gt;=1000,-1,0)))))</f>
        <v>428</v>
      </c>
      <c r="J2129" s="15">
        <v>428</v>
      </c>
      <c r="K2129" s="15">
        <f>IF(OR(J2129="",G2129=""),"",MAX(J2129,MIN(ROUND(J2129*(1+Параметры!$B$5),IF(J2129*(1+Параметры!$B$5)&gt;=1000,-1,0)),ROUND(G2129*Параметры!$B$6,IF(G2129*Параметры!$B$6&gt;=1000,-1,0)))))</f>
        <v>492</v>
      </c>
      <c r="L2129" s="16">
        <v>0.4</v>
      </c>
      <c r="M2129" s="17">
        <f t="shared" si="156"/>
        <v>2.5</v>
      </c>
      <c r="N2129" s="17">
        <f>IF(OR(L2129="",L2129=0),"",Параметры!$B$3/L2129)</f>
        <v>20</v>
      </c>
      <c r="O2129" s="15">
        <f>IF(L2129="","",IFERROR(INDEX('Почасовка — ставки и план'!$D$5:$D$24,MATCH($D2129,'Почасовка — ставки и план'!$A$5:$A$24,0)),""))</f>
        <v>800</v>
      </c>
      <c r="P2129" s="15">
        <f>IF(L2129="","",IFERROR(INDEX('Почасовка — ставки и план'!$E$5:$E$24,MATCH($D2129,'Почасовка — ставки и план'!$A$5:$A$24,0)),""))</f>
        <v>950</v>
      </c>
      <c r="Q2129" s="15">
        <f t="shared" si="157"/>
        <v>320</v>
      </c>
      <c r="R2129" s="13" t="str">
        <f>IF(D2129="TEX","аренда техники — сделка/счёт",IF(OR(Q2129="",H2129="",H2129=0),"—",IF(Q2129&lt;H2129*(1-Параметры!$B$7),"почасовка",IF(Q2129&gt;H2129*(1+Параметры!$B$7),"сделка","любой способ"))))</f>
        <v>почасовка</v>
      </c>
      <c r="S2129">
        <v>0</v>
      </c>
      <c r="T2129">
        <v>0</v>
      </c>
    </row>
    <row r="2130" spans="1:20" x14ac:dyDescent="0.25">
      <c r="A2130" s="13" t="s">
        <v>4287</v>
      </c>
      <c r="B2130" s="13" t="s">
        <v>4288</v>
      </c>
      <c r="C2130" s="13" t="s">
        <v>144</v>
      </c>
      <c r="D2130" s="13" t="s">
        <v>276</v>
      </c>
      <c r="E2130" s="13" t="str">
        <f>IFERROR(INDEX('Почасовка — ставки и план'!$B$5:$B$24,MATCH(D2130,'Почасовка — ставки и план'!$A$5:$A$24,0)),"Аренда техники / механизмы")</f>
        <v>Монтажник дверей, окон, перегородок</v>
      </c>
      <c r="F2130" s="14">
        <v>1200</v>
      </c>
      <c r="G2130" s="14">
        <v>1380</v>
      </c>
      <c r="H2130" s="15">
        <v>744</v>
      </c>
      <c r="I2130" s="15">
        <f>IF(OR(H2130="",F2130=""),"",MAX(H2130,MIN(ROUND(H2130*(1+Параметры!$B$5),IF(H2130*(1+Параметры!$B$5)&gt;=1000,-1,0)),ROUND(F2130*Параметры!$B$6,IF(F2130*Параметры!$B$6&gt;=1000,-1,0)))))</f>
        <v>856</v>
      </c>
      <c r="J2130" s="15">
        <v>856</v>
      </c>
      <c r="K2130" s="15">
        <f>IF(OR(J2130="",G2130=""),"",MAX(J2130,MIN(ROUND(J2130*(1+Параметры!$B$5),IF(J2130*(1+Параметры!$B$5)&gt;=1000,-1,0)),ROUND(G2130*Параметры!$B$6,IF(G2130*Параметры!$B$6&gt;=1000,-1,0)))))</f>
        <v>984</v>
      </c>
      <c r="L2130" s="16">
        <v>0.8</v>
      </c>
      <c r="M2130" s="17">
        <f t="shared" si="156"/>
        <v>1.25</v>
      </c>
      <c r="N2130" s="17">
        <f>IF(OR(L2130="",L2130=0),"",Параметры!$B$3/L2130)</f>
        <v>10</v>
      </c>
      <c r="O2130" s="15">
        <f>IF(L2130="","",IFERROR(INDEX('Почасовка — ставки и план'!$D$5:$D$24,MATCH($D2130,'Почасовка — ставки и план'!$A$5:$A$24,0)),""))</f>
        <v>800</v>
      </c>
      <c r="P2130" s="15">
        <f>IF(L2130="","",IFERROR(INDEX('Почасовка — ставки и план'!$E$5:$E$24,MATCH($D2130,'Почасовка — ставки и план'!$A$5:$A$24,0)),""))</f>
        <v>950</v>
      </c>
      <c r="Q2130" s="15">
        <f t="shared" si="157"/>
        <v>640</v>
      </c>
      <c r="R2130" s="13" t="str">
        <f>IF(D2130="TEX","аренда техники — сделка/счёт",IF(OR(Q2130="",H2130="",H2130=0),"—",IF(Q2130&lt;H2130*(1-Параметры!$B$7),"почасовка",IF(Q2130&gt;H2130*(1+Параметры!$B$7),"сделка","любой способ"))))</f>
        <v>почасовка</v>
      </c>
      <c r="S2130">
        <v>0</v>
      </c>
      <c r="T2130">
        <v>0</v>
      </c>
    </row>
    <row r="2131" spans="1:20" x14ac:dyDescent="0.25">
      <c r="A2131" s="13" t="s">
        <v>4289</v>
      </c>
      <c r="B2131" s="13" t="s">
        <v>4290</v>
      </c>
      <c r="C2131" s="13" t="s">
        <v>144</v>
      </c>
      <c r="D2131" s="13" t="s">
        <v>276</v>
      </c>
      <c r="E2131" s="13" t="str">
        <f>IFERROR(INDEX('Почасовка — ставки и план'!$B$5:$B$24,MATCH(D2131,'Почасовка — ставки и план'!$A$5:$A$24,0)),"Аренда техники / механизмы")</f>
        <v>Монтажник дверей, окон, перегородок</v>
      </c>
      <c r="F2131" s="14">
        <v>1500</v>
      </c>
      <c r="G2131" s="14">
        <v>1725</v>
      </c>
      <c r="H2131" s="15">
        <v>930</v>
      </c>
      <c r="I2131" s="15">
        <f>IF(OR(H2131="",F2131=""),"",MAX(H2131,MIN(ROUND(H2131*(1+Параметры!$B$5),IF(H2131*(1+Параметры!$B$5)&gt;=1000,-1,0)),ROUND(F2131*Параметры!$B$6,IF(F2131*Параметры!$B$6&gt;=1000,-1,0)))))</f>
        <v>1070</v>
      </c>
      <c r="J2131" s="15">
        <v>1069</v>
      </c>
      <c r="K2131" s="15">
        <f>IF(OR(J2131="",G2131=""),"",MAX(J2131,MIN(ROUND(J2131*(1+Параметры!$B$5),IF(J2131*(1+Параметры!$B$5)&gt;=1000,-1,0)),ROUND(G2131*Параметры!$B$6,IF(G2131*Параметры!$B$6&gt;=1000,-1,0)))))</f>
        <v>1230</v>
      </c>
      <c r="L2131" s="16">
        <v>1</v>
      </c>
      <c r="M2131" s="17">
        <f t="shared" si="156"/>
        <v>1</v>
      </c>
      <c r="N2131" s="17">
        <f>IF(OR(L2131="",L2131=0),"",Параметры!$B$3/L2131)</f>
        <v>8</v>
      </c>
      <c r="O2131" s="15">
        <f>IF(L2131="","",IFERROR(INDEX('Почасовка — ставки и план'!$D$5:$D$24,MATCH($D2131,'Почасовка — ставки и план'!$A$5:$A$24,0)),""))</f>
        <v>800</v>
      </c>
      <c r="P2131" s="15">
        <f>IF(L2131="","",IFERROR(INDEX('Почасовка — ставки и план'!$E$5:$E$24,MATCH($D2131,'Почасовка — ставки и план'!$A$5:$A$24,0)),""))</f>
        <v>950</v>
      </c>
      <c r="Q2131" s="15">
        <f t="shared" si="157"/>
        <v>800</v>
      </c>
      <c r="R2131" s="13" t="str">
        <f>IF(D2131="TEX","аренда техники — сделка/счёт",IF(OR(Q2131="",H2131="",H2131=0),"—",IF(Q2131&lt;H2131*(1-Параметры!$B$7),"почасовка",IF(Q2131&gt;H2131*(1+Параметры!$B$7),"сделка","любой способ"))))</f>
        <v>почасовка</v>
      </c>
      <c r="S2131">
        <v>0</v>
      </c>
      <c r="T2131">
        <v>0</v>
      </c>
    </row>
    <row r="2132" spans="1:20" x14ac:dyDescent="0.25">
      <c r="A2132" s="18" t="s">
        <v>4291</v>
      </c>
      <c r="B2132" s="13" t="s">
        <v>4292</v>
      </c>
      <c r="C2132" s="13" t="s">
        <v>144</v>
      </c>
      <c r="D2132" s="13" t="s">
        <v>60</v>
      </c>
      <c r="E2132" s="13" t="str">
        <f>IFERROR(INDEX('Почасовка — ставки и план'!$B$5:$B$24,MATCH(D2132,'Почасовка — ставки и план'!$A$5:$A$24,0)),"Аренда техники / механизмы")</f>
        <v>Разнорабочий / демонтажник</v>
      </c>
      <c r="F2132" s="14">
        <v>1000</v>
      </c>
      <c r="G2132" s="14">
        <v>1150</v>
      </c>
      <c r="H2132" s="15">
        <v>650</v>
      </c>
      <c r="I2132" s="15">
        <f>IF(OR(H2132="",F2132=""),"",MAX(H2132,MIN(ROUND(H2132*(1+Параметры!$B$5),IF(H2132*(1+Параметры!$B$5)&gt;=1000,-1,0)),ROUND(F2132*Параметры!$B$6,IF(F2132*Параметры!$B$6&gt;=1000,-1,0)))))</f>
        <v>748</v>
      </c>
      <c r="J2132" s="15">
        <v>748</v>
      </c>
      <c r="K2132" s="15">
        <f>IF(OR(J2132="",G2132=""),"",MAX(J2132,MIN(ROUND(J2132*(1+Параметры!$B$5),IF(J2132*(1+Параметры!$B$5)&gt;=1000,-1,0)),ROUND(G2132*Параметры!$B$6,IF(G2132*Параметры!$B$6&gt;=1000,-1,0)))))</f>
        <v>860</v>
      </c>
      <c r="L2132" s="16">
        <v>0.8</v>
      </c>
      <c r="M2132" s="17">
        <f t="shared" si="156"/>
        <v>1.25</v>
      </c>
      <c r="N2132" s="17">
        <f>IF(OR(L2132="",L2132=0),"",Параметры!$B$3/L2132)</f>
        <v>10</v>
      </c>
      <c r="O2132" s="15">
        <f>IF(L2132="","",IFERROR(INDEX('Почасовка — ставки и план'!$D$5:$D$24,MATCH($D2132,'Почасовка — ставки и план'!$A$5:$A$24,0)),""))</f>
        <v>550</v>
      </c>
      <c r="P2132" s="15">
        <f>IF(L2132="","",IFERROR(INDEX('Почасовка — ставки и план'!$E$5:$E$24,MATCH($D2132,'Почасовка — ставки и план'!$A$5:$A$24,0)),""))</f>
        <v>660</v>
      </c>
      <c r="Q2132" s="15">
        <f t="shared" si="157"/>
        <v>440</v>
      </c>
      <c r="R2132" s="13" t="str">
        <f>IF(D2132="TEX","аренда техники — сделка/счёт",IF(OR(Q2132="",H2132="",H2132=0),"—",IF(Q2132&lt;H2132*(1-Параметры!$B$7),"почасовка",IF(Q2132&gt;H2132*(1+Параметры!$B$7),"сделка","любой способ"))))</f>
        <v>почасовка</v>
      </c>
      <c r="S2132">
        <v>0</v>
      </c>
      <c r="T2132">
        <v>0</v>
      </c>
    </row>
    <row r="2133" spans="1:20" x14ac:dyDescent="0.25">
      <c r="A2133" s="18" t="s">
        <v>4293</v>
      </c>
      <c r="B2133" s="13" t="s">
        <v>4294</v>
      </c>
      <c r="C2133" s="13" t="s">
        <v>144</v>
      </c>
      <c r="D2133" s="13" t="s">
        <v>276</v>
      </c>
      <c r="E2133" s="13" t="str">
        <f>IFERROR(INDEX('Почасовка — ставки и план'!$B$5:$B$24,MATCH(D2133,'Почасовка — ставки и план'!$A$5:$A$24,0)),"Аренда техники / механизмы")</f>
        <v>Монтажник дверей, окон, перегородок</v>
      </c>
      <c r="F2133" s="14">
        <v>1000</v>
      </c>
      <c r="G2133" s="14">
        <v>1150</v>
      </c>
      <c r="H2133" s="15">
        <v>620</v>
      </c>
      <c r="I2133" s="15">
        <f>IF(OR(H2133="",F2133=""),"",MAX(H2133,MIN(ROUND(H2133*(1+Параметры!$B$5),IF(H2133*(1+Параметры!$B$5)&gt;=1000,-1,0)),ROUND(F2133*Параметры!$B$6,IF(F2133*Параметры!$B$6&gt;=1000,-1,0)))))</f>
        <v>713</v>
      </c>
      <c r="J2133" s="15">
        <v>713</v>
      </c>
      <c r="K2133" s="15">
        <f>IF(OR(J2133="",G2133=""),"",MAX(J2133,MIN(ROUND(J2133*(1+Параметры!$B$5),IF(J2133*(1+Параметры!$B$5)&gt;=1000,-1,0)),ROUND(G2133*Параметры!$B$6,IF(G2133*Параметры!$B$6&gt;=1000,-1,0)))))</f>
        <v>820</v>
      </c>
      <c r="L2133" s="16">
        <v>0.6</v>
      </c>
      <c r="M2133" s="17">
        <f t="shared" si="156"/>
        <v>1.6666666666666667</v>
      </c>
      <c r="N2133" s="17">
        <f>IF(OR(L2133="",L2133=0),"",Параметры!$B$3/L2133)</f>
        <v>13.333333333333334</v>
      </c>
      <c r="O2133" s="15">
        <f>IF(L2133="","",IFERROR(INDEX('Почасовка — ставки и план'!$D$5:$D$24,MATCH($D2133,'Почасовка — ставки и план'!$A$5:$A$24,0)),""))</f>
        <v>800</v>
      </c>
      <c r="P2133" s="15">
        <f>IF(L2133="","",IFERROR(INDEX('Почасовка — ставки и план'!$E$5:$E$24,MATCH($D2133,'Почасовка — ставки и план'!$A$5:$A$24,0)),""))</f>
        <v>950</v>
      </c>
      <c r="Q2133" s="15">
        <f t="shared" si="157"/>
        <v>480</v>
      </c>
      <c r="R2133" s="13" t="str">
        <f>IF(D2133="TEX","аренда техники — сделка/счёт",IF(OR(Q2133="",H2133="",H2133=0),"—",IF(Q2133&lt;H2133*(1-Параметры!$B$7),"почасовка",IF(Q2133&gt;H2133*(1+Параметры!$B$7),"сделка","любой способ"))))</f>
        <v>почасовка</v>
      </c>
      <c r="S2133">
        <v>0</v>
      </c>
      <c r="T2133">
        <v>0</v>
      </c>
    </row>
    <row r="2134" spans="1:20" x14ac:dyDescent="0.25">
      <c r="A2134" s="18" t="s">
        <v>4295</v>
      </c>
      <c r="B2134" s="13" t="s">
        <v>4296</v>
      </c>
      <c r="C2134" s="13" t="s">
        <v>144</v>
      </c>
      <c r="D2134" s="13" t="s">
        <v>276</v>
      </c>
      <c r="E2134" s="13" t="str">
        <f>IFERROR(INDEX('Почасовка — ставки и план'!$B$5:$B$24,MATCH(D2134,'Почасовка — ставки и план'!$A$5:$A$24,0)),"Аренда техники / механизмы")</f>
        <v>Монтажник дверей, окон, перегородок</v>
      </c>
      <c r="F2134" s="14">
        <v>5000</v>
      </c>
      <c r="G2134" s="14">
        <v>5750</v>
      </c>
      <c r="H2134" s="15">
        <v>3100</v>
      </c>
      <c r="I2134" s="15">
        <f>IF(OR(H2134="",F2134=""),"",MAX(H2134,MIN(ROUND(H2134*(1+Параметры!$B$5),IF(H2134*(1+Параметры!$B$5)&gt;=1000,-1,0)),ROUND(F2134*Параметры!$B$6,IF(F2134*Параметры!$B$6&gt;=1000,-1,0)))))</f>
        <v>3570</v>
      </c>
      <c r="J2134" s="15">
        <v>3565</v>
      </c>
      <c r="K2134" s="15">
        <f>IF(OR(J2134="",G2134=""),"",MAX(J2134,MIN(ROUND(J2134*(1+Параметры!$B$5),IF(J2134*(1+Параметры!$B$5)&gt;=1000,-1,0)),ROUND(G2134*Параметры!$B$6,IF(G2134*Параметры!$B$6&gt;=1000,-1,0)))))</f>
        <v>4100</v>
      </c>
      <c r="L2134" s="16">
        <v>3.5</v>
      </c>
      <c r="M2134" s="17">
        <f t="shared" si="156"/>
        <v>0.2857142857142857</v>
      </c>
      <c r="N2134" s="17">
        <f>IF(OR(L2134="",L2134=0),"",Параметры!$B$3/L2134)</f>
        <v>2.2857142857142856</v>
      </c>
      <c r="O2134" s="15">
        <f>IF(L2134="","",IFERROR(INDEX('Почасовка — ставки и план'!$D$5:$D$24,MATCH($D2134,'Почасовка — ставки и план'!$A$5:$A$24,0)),""))</f>
        <v>800</v>
      </c>
      <c r="P2134" s="15">
        <f>IF(L2134="","",IFERROR(INDEX('Почасовка — ставки и план'!$E$5:$E$24,MATCH($D2134,'Почасовка — ставки и план'!$A$5:$A$24,0)),""))</f>
        <v>950</v>
      </c>
      <c r="Q2134" s="15">
        <f t="shared" si="157"/>
        <v>2800</v>
      </c>
      <c r="R2134" s="13" t="str">
        <f>IF(D2134="TEX","аренда техники — сделка/счёт",IF(OR(Q2134="",H2134="",H2134=0),"—",IF(Q2134&lt;H2134*(1-Параметры!$B$7),"почасовка",IF(Q2134&gt;H2134*(1+Параметры!$B$7),"сделка","любой способ"))))</f>
        <v>любой способ</v>
      </c>
      <c r="S2134">
        <v>0</v>
      </c>
      <c r="T2134">
        <v>0</v>
      </c>
    </row>
    <row r="2135" spans="1:20" x14ac:dyDescent="0.25">
      <c r="A2135" s="18" t="s">
        <v>4297</v>
      </c>
      <c r="B2135" s="13" t="s">
        <v>4298</v>
      </c>
      <c r="C2135" s="13" t="s">
        <v>144</v>
      </c>
      <c r="D2135" s="13" t="s">
        <v>276</v>
      </c>
      <c r="E2135" s="13" t="str">
        <f>IFERROR(INDEX('Почасовка — ставки и план'!$B$5:$B$24,MATCH(D2135,'Почасовка — ставки и план'!$A$5:$A$24,0)),"Аренда техники / механизмы")</f>
        <v>Монтажник дверей, окон, перегородок</v>
      </c>
      <c r="F2135" s="14">
        <v>700</v>
      </c>
      <c r="G2135" s="14">
        <v>805</v>
      </c>
      <c r="H2135" s="15">
        <v>434</v>
      </c>
      <c r="I2135" s="15">
        <f>IF(OR(H2135="",F2135=""),"",MAX(H2135,MIN(ROUND(H2135*(1+Параметры!$B$5),IF(H2135*(1+Параметры!$B$5)&gt;=1000,-1,0)),ROUND(F2135*Параметры!$B$6,IF(F2135*Параметры!$B$6&gt;=1000,-1,0)))))</f>
        <v>499</v>
      </c>
      <c r="J2135" s="15">
        <v>499</v>
      </c>
      <c r="K2135" s="15">
        <f>IF(OR(J2135="",G2135=""),"",MAX(J2135,MIN(ROUND(J2135*(1+Параметры!$B$5),IF(J2135*(1+Параметры!$B$5)&gt;=1000,-1,0)),ROUND(G2135*Параметры!$B$6,IF(G2135*Параметры!$B$6&gt;=1000,-1,0)))))</f>
        <v>574</v>
      </c>
      <c r="L2135" s="16">
        <v>0.5</v>
      </c>
      <c r="M2135" s="17">
        <f t="shared" si="156"/>
        <v>2</v>
      </c>
      <c r="N2135" s="17">
        <f>IF(OR(L2135="",L2135=0),"",Параметры!$B$3/L2135)</f>
        <v>16</v>
      </c>
      <c r="O2135" s="15">
        <f>IF(L2135="","",IFERROR(INDEX('Почасовка — ставки и план'!$D$5:$D$24,MATCH($D2135,'Почасовка — ставки и план'!$A$5:$A$24,0)),""))</f>
        <v>800</v>
      </c>
      <c r="P2135" s="15">
        <f>IF(L2135="","",IFERROR(INDEX('Почасовка — ставки и план'!$E$5:$E$24,MATCH($D2135,'Почасовка — ставки и план'!$A$5:$A$24,0)),""))</f>
        <v>950</v>
      </c>
      <c r="Q2135" s="15">
        <f t="shared" si="157"/>
        <v>400</v>
      </c>
      <c r="R2135" s="13" t="str">
        <f>IF(D2135="TEX","аренда техники — сделка/счёт",IF(OR(Q2135="",H2135="",H2135=0),"—",IF(Q2135&lt;H2135*(1-Параметры!$B$7),"почасовка",IF(Q2135&gt;H2135*(1+Параметры!$B$7),"сделка","любой способ"))))</f>
        <v>любой способ</v>
      </c>
      <c r="S2135">
        <v>0</v>
      </c>
      <c r="T2135">
        <v>0</v>
      </c>
    </row>
    <row r="2136" spans="1:20" x14ac:dyDescent="0.25">
      <c r="A2136" s="18" t="s">
        <v>4299</v>
      </c>
      <c r="B2136" s="13" t="s">
        <v>4300</v>
      </c>
      <c r="C2136" s="13" t="s">
        <v>144</v>
      </c>
      <c r="D2136" s="13" t="s">
        <v>276</v>
      </c>
      <c r="E2136" s="13" t="str">
        <f>IFERROR(INDEX('Почасовка — ставки и план'!$B$5:$B$24,MATCH(D2136,'Почасовка — ставки и план'!$A$5:$A$24,0)),"Аренда техники / механизмы")</f>
        <v>Монтажник дверей, окон, перегородок</v>
      </c>
      <c r="F2136" s="14">
        <v>300</v>
      </c>
      <c r="G2136" s="14">
        <v>345</v>
      </c>
      <c r="H2136" s="15">
        <v>186</v>
      </c>
      <c r="I2136" s="15">
        <f>IF(OR(H2136="",F2136=""),"",MAX(H2136,MIN(ROUND(H2136*(1+Параметры!$B$5),IF(H2136*(1+Параметры!$B$5)&gt;=1000,-1,0)),ROUND(F2136*Параметры!$B$6,IF(F2136*Параметры!$B$6&gt;=1000,-1,0)))))</f>
        <v>214</v>
      </c>
      <c r="J2136" s="15">
        <v>214</v>
      </c>
      <c r="K2136" s="15">
        <f>IF(OR(J2136="",G2136=""),"",MAX(J2136,MIN(ROUND(J2136*(1+Параметры!$B$5),IF(J2136*(1+Параметры!$B$5)&gt;=1000,-1,0)),ROUND(G2136*Параметры!$B$6,IF(G2136*Параметры!$B$6&gt;=1000,-1,0)))))</f>
        <v>246</v>
      </c>
      <c r="L2136" s="16">
        <v>0.2</v>
      </c>
      <c r="M2136" s="17">
        <f t="shared" si="156"/>
        <v>5</v>
      </c>
      <c r="N2136" s="17">
        <f>IF(OR(L2136="",L2136=0),"",Параметры!$B$3/L2136)</f>
        <v>40</v>
      </c>
      <c r="O2136" s="15">
        <f>IF(L2136="","",IFERROR(INDEX('Почасовка — ставки и план'!$D$5:$D$24,MATCH($D2136,'Почасовка — ставки и план'!$A$5:$A$24,0)),""))</f>
        <v>800</v>
      </c>
      <c r="P2136" s="15">
        <f>IF(L2136="","",IFERROR(INDEX('Почасовка — ставки и план'!$E$5:$E$24,MATCH($D2136,'Почасовка — ставки и план'!$A$5:$A$24,0)),""))</f>
        <v>950</v>
      </c>
      <c r="Q2136" s="15">
        <f t="shared" si="157"/>
        <v>160</v>
      </c>
      <c r="R2136" s="13" t="str">
        <f>IF(D2136="TEX","аренда техники — сделка/счёт",IF(OR(Q2136="",H2136="",H2136=0),"—",IF(Q2136&lt;H2136*(1-Параметры!$B$7),"почасовка",IF(Q2136&gt;H2136*(1+Параметры!$B$7),"сделка","любой способ"))))</f>
        <v>почасовка</v>
      </c>
      <c r="S2136">
        <v>0</v>
      </c>
      <c r="T2136">
        <v>0</v>
      </c>
    </row>
    <row r="2137" spans="1:20" x14ac:dyDescent="0.25">
      <c r="A2137" s="11" t="s">
        <v>4301</v>
      </c>
      <c r="B2137" s="12"/>
      <c r="C2137" s="12"/>
      <c r="D2137" s="12"/>
      <c r="E2137" s="12"/>
      <c r="F2137" s="12"/>
      <c r="G2137" s="12"/>
      <c r="H2137" s="12"/>
      <c r="I2137" s="12"/>
      <c r="J2137" s="12"/>
      <c r="K2137" s="12"/>
      <c r="L2137" s="12"/>
      <c r="M2137" s="12"/>
      <c r="N2137" s="12"/>
      <c r="O2137" s="12"/>
      <c r="P2137" s="12"/>
      <c r="Q2137" s="12"/>
      <c r="R2137" s="12"/>
    </row>
    <row r="2138" spans="1:20" x14ac:dyDescent="0.25">
      <c r="A2138" s="13" t="s">
        <v>4302</v>
      </c>
      <c r="B2138" s="13" t="s">
        <v>4303</v>
      </c>
      <c r="C2138" s="13" t="s">
        <v>3633</v>
      </c>
      <c r="D2138" s="13" t="s">
        <v>747</v>
      </c>
      <c r="E2138" s="13" t="str">
        <f>IFERROR(INDEX('Почасовка — ставки и план'!$B$5:$B$24,MATCH(D2138,'Почасовка — ставки и план'!$A$5:$A$24,0)),"Аренда техники / механизмы")</f>
        <v>Механик ПС / подъёмников / прессов / доков</v>
      </c>
      <c r="F2138" s="14">
        <v>5000</v>
      </c>
      <c r="G2138" s="14">
        <v>6000</v>
      </c>
      <c r="H2138" s="15">
        <v>3000</v>
      </c>
      <c r="I2138" s="15">
        <f>IF(OR(H2138="",F2138=""),"",MAX(H2138,MIN(ROUND(H2138*(1+Параметры!$B$5),IF(H2138*(1+Параметры!$B$5)&gt;=1000,-1,0)),ROUND(F2138*Параметры!$B$6,IF(F2138*Параметры!$B$6&gt;=1000,-1,0)))))</f>
        <v>3450</v>
      </c>
      <c r="J2138" s="15">
        <v>3600</v>
      </c>
      <c r="K2138" s="15">
        <f>IF(OR(J2138="",G2138=""),"",MAX(J2138,MIN(ROUND(J2138*(1+Параметры!$B$5),IF(J2138*(1+Параметры!$B$5)&gt;=1000,-1,0)),ROUND(G2138*Параметры!$B$6,IF(G2138*Параметры!$B$6&gt;=1000,-1,0)))))</f>
        <v>4140</v>
      </c>
      <c r="L2138" s="16">
        <v>1.5</v>
      </c>
      <c r="M2138" s="17">
        <f t="shared" ref="M2138:M2169" si="158">IF(OR(L2138="",L2138=0),"",1/L2138)</f>
        <v>0.66666666666666663</v>
      </c>
      <c r="N2138" s="17">
        <f>IF(OR(L2138="",L2138=0),"",Параметры!$B$3/L2138)</f>
        <v>5.333333333333333</v>
      </c>
      <c r="O2138" s="15">
        <f>IF(L2138="","",IFERROR(INDEX('Почасовка — ставки и план'!$D$5:$D$24,MATCH($D2138,'Почасовка — ставки и план'!$A$5:$A$24,0)),""))</f>
        <v>1500</v>
      </c>
      <c r="P2138" s="15">
        <f>IF(L2138="","",IFERROR(INDEX('Почасовка — ставки и план'!$E$5:$E$24,MATCH($D2138,'Почасовка — ставки и план'!$A$5:$A$24,0)),""))</f>
        <v>1800</v>
      </c>
      <c r="Q2138" s="15">
        <f t="shared" ref="Q2138:Q2169" si="159">IF(OR(L2138="",O2138=""),"",ROUND(L2138*O2138,0))</f>
        <v>2250</v>
      </c>
      <c r="R2138" s="13" t="str">
        <f>IF(D2138="TEX","аренда техники — сделка/счёт",IF(OR(Q2138="",H2138="",H2138=0),"—",IF(Q2138&lt;H2138*(1-Параметры!$B$7),"почасовка",IF(Q2138&gt;H2138*(1+Параметры!$B$7),"сделка","любой способ"))))</f>
        <v>почасовка</v>
      </c>
      <c r="S2138">
        <v>0</v>
      </c>
      <c r="T2138">
        <v>0</v>
      </c>
    </row>
    <row r="2139" spans="1:20" x14ac:dyDescent="0.25">
      <c r="A2139" s="13" t="s">
        <v>4304</v>
      </c>
      <c r="B2139" s="13" t="s">
        <v>4305</v>
      </c>
      <c r="C2139" s="13" t="s">
        <v>3633</v>
      </c>
      <c r="D2139" s="13" t="s">
        <v>747</v>
      </c>
      <c r="E2139" s="13" t="str">
        <f>IFERROR(INDEX('Почасовка — ставки и план'!$B$5:$B$24,MATCH(D2139,'Почасовка — ставки и план'!$A$5:$A$24,0)),"Аренда техники / механизмы")</f>
        <v>Механик ПС / подъёмников / прессов / доков</v>
      </c>
      <c r="F2139" s="14">
        <v>6500</v>
      </c>
      <c r="G2139" s="14">
        <v>7500</v>
      </c>
      <c r="H2139" s="15">
        <v>3850</v>
      </c>
      <c r="I2139" s="15">
        <f>IF(OR(H2139="",F2139=""),"",MAX(H2139,MIN(ROUND(H2139*(1+Параметры!$B$5),IF(H2139*(1+Параметры!$B$5)&gt;=1000,-1,0)),ROUND(F2139*Параметры!$B$6,IF(F2139*Параметры!$B$6&gt;=1000,-1,0)))))</f>
        <v>4430</v>
      </c>
      <c r="J2139" s="15">
        <v>4450</v>
      </c>
      <c r="K2139" s="15">
        <f>IF(OR(J2139="",G2139=""),"",MAX(J2139,MIN(ROUND(J2139*(1+Параметры!$B$5),IF(J2139*(1+Параметры!$B$5)&gt;=1000,-1,0)),ROUND(G2139*Параметры!$B$6,IF(G2139*Параметры!$B$6&gt;=1000,-1,0)))))</f>
        <v>5120</v>
      </c>
      <c r="L2139" s="16">
        <v>2.5</v>
      </c>
      <c r="M2139" s="17">
        <f t="shared" si="158"/>
        <v>0.4</v>
      </c>
      <c r="N2139" s="17">
        <f>IF(OR(L2139="",L2139=0),"",Параметры!$B$3/L2139)</f>
        <v>3.2</v>
      </c>
      <c r="O2139" s="15">
        <f>IF(L2139="","",IFERROR(INDEX('Почасовка — ставки и план'!$D$5:$D$24,MATCH($D2139,'Почасовка — ставки и план'!$A$5:$A$24,0)),""))</f>
        <v>1500</v>
      </c>
      <c r="P2139" s="15">
        <f>IF(L2139="","",IFERROR(INDEX('Почасовка — ставки и план'!$E$5:$E$24,MATCH($D2139,'Почасовка — ставки и план'!$A$5:$A$24,0)),""))</f>
        <v>1800</v>
      </c>
      <c r="Q2139" s="15">
        <f t="shared" si="159"/>
        <v>3750</v>
      </c>
      <c r="R2139" s="13" t="str">
        <f>IF(D2139="TEX","аренда техники — сделка/счёт",IF(OR(Q2139="",H2139="",H2139=0),"—",IF(Q2139&lt;H2139*(1-Параметры!$B$7),"почасовка",IF(Q2139&gt;H2139*(1+Параметры!$B$7),"сделка","любой способ"))))</f>
        <v>любой способ</v>
      </c>
      <c r="S2139">
        <v>0</v>
      </c>
      <c r="T2139">
        <v>0</v>
      </c>
    </row>
    <row r="2140" spans="1:20" x14ac:dyDescent="0.25">
      <c r="A2140" s="13" t="s">
        <v>4306</v>
      </c>
      <c r="B2140" s="13" t="s">
        <v>4307</v>
      </c>
      <c r="C2140" s="13" t="s">
        <v>3633</v>
      </c>
      <c r="D2140" s="13" t="s">
        <v>747</v>
      </c>
      <c r="E2140" s="13" t="str">
        <f>IFERROR(INDEX('Почасовка — ставки и план'!$B$5:$B$24,MATCH(D2140,'Почасовка — ставки и план'!$A$5:$A$24,0)),"Аренда техники / механизмы")</f>
        <v>Механик ПС / подъёмников / прессов / доков</v>
      </c>
      <c r="F2140" s="14">
        <v>3000</v>
      </c>
      <c r="G2140" s="14">
        <v>3500</v>
      </c>
      <c r="H2140" s="15">
        <v>1800</v>
      </c>
      <c r="I2140" s="15">
        <f>IF(OR(H2140="",F2140=""),"",MAX(H2140,MIN(ROUND(H2140*(1+Параметры!$B$5),IF(H2140*(1+Параметры!$B$5)&gt;=1000,-1,0)),ROUND(F2140*Параметры!$B$6,IF(F2140*Параметры!$B$6&gt;=1000,-1,0)))))</f>
        <v>2070</v>
      </c>
      <c r="J2140" s="15">
        <v>2050</v>
      </c>
      <c r="K2140" s="15">
        <f>IF(OR(J2140="",G2140=""),"",MAX(J2140,MIN(ROUND(J2140*(1+Параметры!$B$5),IF(J2140*(1+Параметры!$B$5)&gt;=1000,-1,0)),ROUND(G2140*Параметры!$B$6,IF(G2140*Параметры!$B$6&gt;=1000,-1,0)))))</f>
        <v>2360</v>
      </c>
      <c r="L2140" s="16">
        <v>1</v>
      </c>
      <c r="M2140" s="17">
        <f t="shared" si="158"/>
        <v>1</v>
      </c>
      <c r="N2140" s="17">
        <f>IF(OR(L2140="",L2140=0),"",Параметры!$B$3/L2140)</f>
        <v>8</v>
      </c>
      <c r="O2140" s="15">
        <f>IF(L2140="","",IFERROR(INDEX('Почасовка — ставки и план'!$D$5:$D$24,MATCH($D2140,'Почасовка — ставки и план'!$A$5:$A$24,0)),""))</f>
        <v>1500</v>
      </c>
      <c r="P2140" s="15">
        <f>IF(L2140="","",IFERROR(INDEX('Почасовка — ставки и план'!$E$5:$E$24,MATCH($D2140,'Почасовка — ставки и план'!$A$5:$A$24,0)),""))</f>
        <v>1800</v>
      </c>
      <c r="Q2140" s="15">
        <f t="shared" si="159"/>
        <v>1500</v>
      </c>
      <c r="R2140" s="13" t="str">
        <f>IF(D2140="TEX","аренда техники — сделка/счёт",IF(OR(Q2140="",H2140="",H2140=0),"—",IF(Q2140&lt;H2140*(1-Параметры!$B$7),"почасовка",IF(Q2140&gt;H2140*(1+Параметры!$B$7),"сделка","любой способ"))))</f>
        <v>почасовка</v>
      </c>
      <c r="S2140">
        <v>0</v>
      </c>
      <c r="T2140">
        <v>0</v>
      </c>
    </row>
    <row r="2141" spans="1:20" x14ac:dyDescent="0.25">
      <c r="A2141" s="13" t="s">
        <v>4308</v>
      </c>
      <c r="B2141" s="13" t="s">
        <v>4309</v>
      </c>
      <c r="C2141" s="13" t="s">
        <v>3633</v>
      </c>
      <c r="D2141" s="13" t="s">
        <v>747</v>
      </c>
      <c r="E2141" s="13" t="str">
        <f>IFERROR(INDEX('Почасовка — ставки и план'!$B$5:$B$24,MATCH(D2141,'Почасовка — ставки и план'!$A$5:$A$24,0)),"Аренда техники / механизмы")</f>
        <v>Механик ПС / подъёмников / прессов / доков</v>
      </c>
      <c r="F2141" s="14">
        <v>40</v>
      </c>
      <c r="G2141" s="14">
        <v>48</v>
      </c>
      <c r="H2141" s="15">
        <v>30</v>
      </c>
      <c r="I2141" s="15">
        <f>IF(OR(H2141="",F2141=""),"",MAX(H2141,MIN(ROUND(H2141*(1+Параметры!$B$5),IF(H2141*(1+Параметры!$B$5)&gt;=1000,-1,0)),ROUND(F2141*Параметры!$B$6,IF(F2141*Параметры!$B$6&gt;=1000,-1,0)))))</f>
        <v>30</v>
      </c>
      <c r="J2141" s="15">
        <v>30</v>
      </c>
      <c r="K2141" s="15">
        <f>IF(OR(J2141="",G2141=""),"",MAX(J2141,MIN(ROUND(J2141*(1+Параметры!$B$5),IF(J2141*(1+Параметры!$B$5)&gt;=1000,-1,0)),ROUND(G2141*Параметры!$B$6,IF(G2141*Параметры!$B$6&gt;=1000,-1,0)))))</f>
        <v>35</v>
      </c>
      <c r="L2141" s="16">
        <v>0.02</v>
      </c>
      <c r="M2141" s="17">
        <f t="shared" si="158"/>
        <v>50</v>
      </c>
      <c r="N2141" s="17">
        <f>IF(OR(L2141="",L2141=0),"",Параметры!$B$3/L2141)</f>
        <v>400</v>
      </c>
      <c r="O2141" s="15">
        <f>IF(L2141="","",IFERROR(INDEX('Почасовка — ставки и план'!$D$5:$D$24,MATCH($D2141,'Почасовка — ставки и план'!$A$5:$A$24,0)),""))</f>
        <v>1500</v>
      </c>
      <c r="P2141" s="15">
        <f>IF(L2141="","",IFERROR(INDEX('Почасовка — ставки и план'!$E$5:$E$24,MATCH($D2141,'Почасовка — ставки и план'!$A$5:$A$24,0)),""))</f>
        <v>1800</v>
      </c>
      <c r="Q2141" s="15">
        <f t="shared" si="159"/>
        <v>30</v>
      </c>
      <c r="R2141" s="13" t="str">
        <f>IF(D2141="TEX","аренда техники — сделка/счёт",IF(OR(Q2141="",H2141="",H2141=0),"—",IF(Q2141&lt;H2141*(1-Параметры!$B$7),"почасовка",IF(Q2141&gt;H2141*(1+Параметры!$B$7),"сделка","любой способ"))))</f>
        <v>любой способ</v>
      </c>
      <c r="S2141">
        <v>0</v>
      </c>
      <c r="T2141">
        <v>6.6666666666666652E-2</v>
      </c>
    </row>
    <row r="2142" spans="1:20" x14ac:dyDescent="0.25">
      <c r="A2142" s="13" t="s">
        <v>4310</v>
      </c>
      <c r="B2142" s="13" t="s">
        <v>4311</v>
      </c>
      <c r="C2142" s="13" t="s">
        <v>144</v>
      </c>
      <c r="D2142" s="13" t="s">
        <v>747</v>
      </c>
      <c r="E2142" s="13" t="str">
        <f>IFERROR(INDEX('Почасовка — ставки и план'!$B$5:$B$24,MATCH(D2142,'Почасовка — ставки и план'!$A$5:$A$24,0)),"Аренда техники / механизмы")</f>
        <v>Механик ПС / подъёмников / прессов / доков</v>
      </c>
      <c r="F2142" s="14">
        <v>3000</v>
      </c>
      <c r="G2142" s="14">
        <v>3500</v>
      </c>
      <c r="H2142" s="15">
        <v>1800</v>
      </c>
      <c r="I2142" s="15">
        <f>IF(OR(H2142="",F2142=""),"",MAX(H2142,MIN(ROUND(H2142*(1+Параметры!$B$5),IF(H2142*(1+Параметры!$B$5)&gt;=1000,-1,0)),ROUND(F2142*Параметры!$B$6,IF(F2142*Параметры!$B$6&gt;=1000,-1,0)))))</f>
        <v>2070</v>
      </c>
      <c r="J2142" s="15">
        <v>2050</v>
      </c>
      <c r="K2142" s="15">
        <f>IF(OR(J2142="",G2142=""),"",MAX(J2142,MIN(ROUND(J2142*(1+Параметры!$B$5),IF(J2142*(1+Параметры!$B$5)&gt;=1000,-1,0)),ROUND(G2142*Параметры!$B$6,IF(G2142*Параметры!$B$6&gt;=1000,-1,0)))))</f>
        <v>2360</v>
      </c>
      <c r="L2142" s="16">
        <v>1</v>
      </c>
      <c r="M2142" s="17">
        <f t="shared" si="158"/>
        <v>1</v>
      </c>
      <c r="N2142" s="17">
        <f>IF(OR(L2142="",L2142=0),"",Параметры!$B$3/L2142)</f>
        <v>8</v>
      </c>
      <c r="O2142" s="15">
        <f>IF(L2142="","",IFERROR(INDEX('Почасовка — ставки и план'!$D$5:$D$24,MATCH($D2142,'Почасовка — ставки и план'!$A$5:$A$24,0)),""))</f>
        <v>1500</v>
      </c>
      <c r="P2142" s="15">
        <f>IF(L2142="","",IFERROR(INDEX('Почасовка — ставки и план'!$E$5:$E$24,MATCH($D2142,'Почасовка — ставки и план'!$A$5:$A$24,0)),""))</f>
        <v>1800</v>
      </c>
      <c r="Q2142" s="15">
        <f t="shared" si="159"/>
        <v>1500</v>
      </c>
      <c r="R2142" s="13" t="str">
        <f>IF(D2142="TEX","аренда техники — сделка/счёт",IF(OR(Q2142="",H2142="",H2142=0),"—",IF(Q2142&lt;H2142*(1-Параметры!$B$7),"почасовка",IF(Q2142&gt;H2142*(1+Параметры!$B$7),"сделка","любой способ"))))</f>
        <v>почасовка</v>
      </c>
      <c r="S2142">
        <v>0</v>
      </c>
      <c r="T2142">
        <v>0</v>
      </c>
    </row>
    <row r="2143" spans="1:20" x14ac:dyDescent="0.25">
      <c r="A2143" s="13" t="s">
        <v>4312</v>
      </c>
      <c r="B2143" s="13" t="s">
        <v>4313</v>
      </c>
      <c r="C2143" s="13" t="s">
        <v>55</v>
      </c>
      <c r="D2143" s="13" t="s">
        <v>60</v>
      </c>
      <c r="E2143" s="13" t="str">
        <f>IFERROR(INDEX('Почасовка — ставки и план'!$B$5:$B$24,MATCH(D2143,'Почасовка — ставки и план'!$A$5:$A$24,0)),"Аренда техники / механизмы")</f>
        <v>Разнорабочий / демонтажник</v>
      </c>
      <c r="F2143" s="14">
        <v>9000</v>
      </c>
      <c r="G2143" s="14">
        <v>10500</v>
      </c>
      <c r="H2143" s="15">
        <v>6000</v>
      </c>
      <c r="I2143" s="15">
        <f>IF(OR(H2143="",F2143=""),"",MAX(H2143,MIN(ROUND(H2143*(1+Параметры!$B$5),IF(H2143*(1+Параметры!$B$5)&gt;=1000,-1,0)),ROUND(F2143*Параметры!$B$6,IF(F2143*Параметры!$B$6&gt;=1000,-1,0)))))</f>
        <v>6750</v>
      </c>
      <c r="J2143" s="15">
        <v>6950</v>
      </c>
      <c r="K2143" s="15">
        <f>IF(OR(J2143="",G2143=""),"",MAX(J2143,MIN(ROUND(J2143*(1+Параметры!$B$5),IF(J2143*(1+Параметры!$B$5)&gt;=1000,-1,0)),ROUND(G2143*Параметры!$B$6,IF(G2143*Параметры!$B$6&gt;=1000,-1,0)))))</f>
        <v>7880</v>
      </c>
      <c r="L2143" s="16">
        <v>5</v>
      </c>
      <c r="M2143" s="17">
        <f t="shared" si="158"/>
        <v>0.2</v>
      </c>
      <c r="N2143" s="17">
        <f>IF(OR(L2143="",L2143=0),"",Параметры!$B$3/L2143)</f>
        <v>1.6</v>
      </c>
      <c r="O2143" s="15">
        <f>IF(L2143="","",IFERROR(INDEX('Почасовка — ставки и план'!$D$5:$D$24,MATCH($D2143,'Почасовка — ставки и план'!$A$5:$A$24,0)),""))</f>
        <v>550</v>
      </c>
      <c r="P2143" s="15">
        <f>IF(L2143="","",IFERROR(INDEX('Почасовка — ставки и план'!$E$5:$E$24,MATCH($D2143,'Почасовка — ставки и план'!$A$5:$A$24,0)),""))</f>
        <v>660</v>
      </c>
      <c r="Q2143" s="15">
        <f t="shared" si="159"/>
        <v>2750</v>
      </c>
      <c r="R2143" s="13" t="str">
        <f>IF(D2143="TEX","аренда техники — сделка/счёт",IF(OR(Q2143="",H2143="",H2143=0),"—",IF(Q2143&lt;H2143*(1-Параметры!$B$7),"почасовка",IF(Q2143&gt;H2143*(1+Параметры!$B$7),"сделка","любой способ"))))</f>
        <v>почасовка</v>
      </c>
      <c r="S2143">
        <v>0</v>
      </c>
      <c r="T2143">
        <v>0</v>
      </c>
    </row>
    <row r="2144" spans="1:20" x14ac:dyDescent="0.25">
      <c r="A2144" s="13" t="s">
        <v>4314</v>
      </c>
      <c r="B2144" s="13" t="s">
        <v>4315</v>
      </c>
      <c r="C2144" s="13" t="s">
        <v>72</v>
      </c>
      <c r="D2144" s="13" t="s">
        <v>2686</v>
      </c>
      <c r="E2144" s="13" t="str">
        <f>IFERROR(INDEX('Почасовка — ставки и план'!$B$5:$B$24,MATCH(D2144,'Почасовка — ставки и план'!$A$5:$A$24,0)),"Аренда техники / механизмы")</f>
        <v>Дезинфектор (ОЗДС)</v>
      </c>
      <c r="F2144" s="14">
        <v>60</v>
      </c>
      <c r="G2144" s="14">
        <v>70</v>
      </c>
      <c r="H2144" s="15">
        <v>36</v>
      </c>
      <c r="I2144" s="15">
        <f>IF(OR(H2144="",F2144=""),"",MAX(H2144,MIN(ROUND(H2144*(1+Параметры!$B$5),IF(H2144*(1+Параметры!$B$5)&gt;=1000,-1,0)),ROUND(F2144*Параметры!$B$6,IF(F2144*Параметры!$B$6&gt;=1000,-1,0)))))</f>
        <v>41</v>
      </c>
      <c r="J2144" s="15">
        <v>42</v>
      </c>
      <c r="K2144" s="15">
        <f>IF(OR(J2144="",G2144=""),"",MAX(J2144,MIN(ROUND(J2144*(1+Параметры!$B$5),IF(J2144*(1+Параметры!$B$5)&gt;=1000,-1,0)),ROUND(G2144*Параметры!$B$6,IF(G2144*Параметры!$B$6&gt;=1000,-1,0)))))</f>
        <v>48</v>
      </c>
      <c r="L2144" s="16">
        <v>0.03</v>
      </c>
      <c r="M2144" s="17">
        <f t="shared" si="158"/>
        <v>33.333333333333336</v>
      </c>
      <c r="N2144" s="17">
        <f>IF(OR(L2144="",L2144=0),"",Параметры!$B$3/L2144)</f>
        <v>266.66666666666669</v>
      </c>
      <c r="O2144" s="15">
        <f>IF(L2144="","",IFERROR(INDEX('Почасовка — ставки и план'!$D$5:$D$24,MATCH($D2144,'Почасовка — ставки и план'!$A$5:$A$24,0)),""))</f>
        <v>850</v>
      </c>
      <c r="P2144" s="15">
        <f>IF(L2144="","",IFERROR(INDEX('Почасовка — ставки и план'!$E$5:$E$24,MATCH($D2144,'Почасовка — ставки и план'!$A$5:$A$24,0)),""))</f>
        <v>1020</v>
      </c>
      <c r="Q2144" s="15">
        <f t="shared" si="159"/>
        <v>26</v>
      </c>
      <c r="R2144" s="13" t="str">
        <f>IF(D2144="TEX","аренда техники — сделка/счёт",IF(OR(Q2144="",H2144="",H2144=0),"—",IF(Q2144&lt;H2144*(1-Параметры!$B$7),"почасовка",IF(Q2144&gt;H2144*(1+Параметры!$B$7),"сделка","любой способ"))))</f>
        <v>почасовка</v>
      </c>
      <c r="S2144">
        <v>0</v>
      </c>
      <c r="T2144">
        <v>0</v>
      </c>
    </row>
    <row r="2145" spans="1:20" x14ac:dyDescent="0.25">
      <c r="A2145" s="13" t="s">
        <v>4316</v>
      </c>
      <c r="B2145" s="13" t="s">
        <v>4317</v>
      </c>
      <c r="C2145" s="13" t="s">
        <v>55</v>
      </c>
      <c r="D2145" s="13" t="s">
        <v>60</v>
      </c>
      <c r="E2145" s="13" t="str">
        <f>IFERROR(INDEX('Почасовка — ставки и план'!$B$5:$B$24,MATCH(D2145,'Почасовка — ставки и план'!$A$5:$A$24,0)),"Аренда техники / механизмы")</f>
        <v>Разнорабочий / демонтажник</v>
      </c>
      <c r="F2145" s="14">
        <v>800</v>
      </c>
      <c r="G2145" s="14">
        <v>950</v>
      </c>
      <c r="H2145" s="15">
        <v>540</v>
      </c>
      <c r="I2145" s="15">
        <f>IF(OR(H2145="",F2145=""),"",MAX(H2145,MIN(ROUND(H2145*(1+Параметры!$B$5),IF(H2145*(1+Параметры!$B$5)&gt;=1000,-1,0)),ROUND(F2145*Параметры!$B$6,IF(F2145*Параметры!$B$6&gt;=1000,-1,0)))))</f>
        <v>600</v>
      </c>
      <c r="J2145" s="15">
        <v>600</v>
      </c>
      <c r="K2145" s="15">
        <f>IF(OR(J2145="",G2145=""),"",MAX(J2145,MIN(ROUND(J2145*(1+Параметры!$B$5),IF(J2145*(1+Параметры!$B$5)&gt;=1000,-1,0)),ROUND(G2145*Параметры!$B$6,IF(G2145*Параметры!$B$6&gt;=1000,-1,0)))))</f>
        <v>690</v>
      </c>
      <c r="L2145" s="16">
        <v>0.3</v>
      </c>
      <c r="M2145" s="17">
        <f t="shared" si="158"/>
        <v>3.3333333333333335</v>
      </c>
      <c r="N2145" s="17">
        <f>IF(OR(L2145="",L2145=0),"",Параметры!$B$3/L2145)</f>
        <v>26.666666666666668</v>
      </c>
      <c r="O2145" s="15">
        <f>IF(L2145="","",IFERROR(INDEX('Почасовка — ставки и план'!$D$5:$D$24,MATCH($D2145,'Почасовка — ставки и план'!$A$5:$A$24,0)),""))</f>
        <v>550</v>
      </c>
      <c r="P2145" s="15">
        <f>IF(L2145="","",IFERROR(INDEX('Почасовка — ставки и план'!$E$5:$E$24,MATCH($D2145,'Почасовка — ставки и план'!$A$5:$A$24,0)),""))</f>
        <v>660</v>
      </c>
      <c r="Q2145" s="15">
        <f t="shared" si="159"/>
        <v>165</v>
      </c>
      <c r="R2145" s="13" t="str">
        <f>IF(D2145="TEX","аренда техники — сделка/счёт",IF(OR(Q2145="",H2145="",H2145=0),"—",IF(Q2145&lt;H2145*(1-Параметры!$B$7),"почасовка",IF(Q2145&gt;H2145*(1+Параметры!$B$7),"сделка","любой способ"))))</f>
        <v>почасовка</v>
      </c>
      <c r="S2145">
        <v>0</v>
      </c>
      <c r="T2145">
        <v>0</v>
      </c>
    </row>
    <row r="2146" spans="1:20" x14ac:dyDescent="0.25">
      <c r="A2146" s="13" t="s">
        <v>4318</v>
      </c>
      <c r="B2146" s="13" t="s">
        <v>4319</v>
      </c>
      <c r="C2146" s="13" t="s">
        <v>144</v>
      </c>
      <c r="D2146" s="13" t="s">
        <v>747</v>
      </c>
      <c r="E2146" s="13" t="str">
        <f>IFERROR(INDEX('Почасовка — ставки и план'!$B$5:$B$24,MATCH(D2146,'Почасовка — ставки и план'!$A$5:$A$24,0)),"Аренда техники / механизмы")</f>
        <v>Механик ПС / подъёмников / прессов / доков</v>
      </c>
      <c r="F2146" s="14">
        <v>4500</v>
      </c>
      <c r="G2146" s="14">
        <v>5200</v>
      </c>
      <c r="H2146" s="15">
        <v>2500</v>
      </c>
      <c r="I2146" s="15">
        <f>IF(OR(H2146="",F2146=""),"",MAX(H2146,MIN(ROUND(H2146*(1+Параметры!$B$5),IF(H2146*(1+Параметры!$B$5)&gt;=1000,-1,0)),ROUND(F2146*Параметры!$B$6,IF(F2146*Параметры!$B$6&gt;=1000,-1,0)))))</f>
        <v>2880</v>
      </c>
      <c r="J2146" s="15">
        <v>2900</v>
      </c>
      <c r="K2146" s="15">
        <f>IF(OR(J2146="",G2146=""),"",MAX(J2146,MIN(ROUND(J2146*(1+Параметры!$B$5),IF(J2146*(1+Параметры!$B$5)&gt;=1000,-1,0)),ROUND(G2146*Параметры!$B$6,IF(G2146*Параметры!$B$6&gt;=1000,-1,0)))))</f>
        <v>3340</v>
      </c>
      <c r="L2146" s="16">
        <v>1.5</v>
      </c>
      <c r="M2146" s="17">
        <f t="shared" si="158"/>
        <v>0.66666666666666663</v>
      </c>
      <c r="N2146" s="17">
        <f>IF(OR(L2146="",L2146=0),"",Параметры!$B$3/L2146)</f>
        <v>5.333333333333333</v>
      </c>
      <c r="O2146" s="15">
        <f>IF(L2146="","",IFERROR(INDEX('Почасовка — ставки и план'!$D$5:$D$24,MATCH($D2146,'Почасовка — ставки и план'!$A$5:$A$24,0)),""))</f>
        <v>1500</v>
      </c>
      <c r="P2146" s="15">
        <f>IF(L2146="","",IFERROR(INDEX('Почасовка — ставки и план'!$E$5:$E$24,MATCH($D2146,'Почасовка — ставки и план'!$A$5:$A$24,0)),""))</f>
        <v>1800</v>
      </c>
      <c r="Q2146" s="15">
        <f t="shared" si="159"/>
        <v>2250</v>
      </c>
      <c r="R2146" s="13" t="str">
        <f>IF(D2146="TEX","аренда техники — сделка/счёт",IF(OR(Q2146="",H2146="",H2146=0),"—",IF(Q2146&lt;H2146*(1-Параметры!$B$7),"почасовка",IF(Q2146&gt;H2146*(1+Параметры!$B$7),"сделка","любой способ"))))</f>
        <v>любой способ</v>
      </c>
      <c r="S2146">
        <v>0</v>
      </c>
      <c r="T2146">
        <v>0</v>
      </c>
    </row>
    <row r="2147" spans="1:20" x14ac:dyDescent="0.25">
      <c r="A2147" s="13" t="s">
        <v>4320</v>
      </c>
      <c r="B2147" s="13" t="s">
        <v>4321</v>
      </c>
      <c r="C2147" s="13" t="s">
        <v>144</v>
      </c>
      <c r="D2147" s="13" t="s">
        <v>60</v>
      </c>
      <c r="E2147" s="13" t="str">
        <f>IFERROR(INDEX('Почасовка — ставки и план'!$B$5:$B$24,MATCH(D2147,'Почасовка — ставки и план'!$A$5:$A$24,0)),"Аренда техники / механизмы")</f>
        <v>Разнорабочий / демонтажник</v>
      </c>
      <c r="F2147" s="14">
        <v>1800</v>
      </c>
      <c r="G2147" s="14">
        <v>2000</v>
      </c>
      <c r="H2147" s="15">
        <v>1300</v>
      </c>
      <c r="I2147" s="15">
        <f>IF(OR(H2147="",F2147=""),"",MAX(H2147,MIN(ROUND(H2147*(1+Параметры!$B$5),IF(H2147*(1+Параметры!$B$5)&gt;=1000,-1,0)),ROUND(F2147*Параметры!$B$6,IF(F2147*Параметры!$B$6&gt;=1000,-1,0)))))</f>
        <v>1350</v>
      </c>
      <c r="J2147" s="15">
        <v>1500</v>
      </c>
      <c r="K2147" s="15">
        <f>IF(OR(J2147="",G2147=""),"",MAX(J2147,MIN(ROUND(J2147*(1+Параметры!$B$5),IF(J2147*(1+Параметры!$B$5)&gt;=1000,-1,0)),ROUND(G2147*Параметры!$B$6,IF(G2147*Параметры!$B$6&gt;=1000,-1,0)))))</f>
        <v>1500</v>
      </c>
      <c r="L2147" s="16">
        <v>0.5</v>
      </c>
      <c r="M2147" s="17">
        <f t="shared" si="158"/>
        <v>2</v>
      </c>
      <c r="N2147" s="17">
        <f>IF(OR(L2147="",L2147=0),"",Параметры!$B$3/L2147)</f>
        <v>16</v>
      </c>
      <c r="O2147" s="15">
        <f>IF(L2147="","",IFERROR(INDEX('Почасовка — ставки и план'!$D$5:$D$24,MATCH($D2147,'Почасовка — ставки и план'!$A$5:$A$24,0)),""))</f>
        <v>550</v>
      </c>
      <c r="P2147" s="15">
        <f>IF(L2147="","",IFERROR(INDEX('Почасовка — ставки и план'!$E$5:$E$24,MATCH($D2147,'Почасовка — ставки и план'!$A$5:$A$24,0)),""))</f>
        <v>660</v>
      </c>
      <c r="Q2147" s="15">
        <f t="shared" si="159"/>
        <v>275</v>
      </c>
      <c r="R2147" s="13" t="str">
        <f>IF(D2147="TEX","аренда техники — сделка/счёт",IF(OR(Q2147="",H2147="",H2147=0),"—",IF(Q2147&lt;H2147*(1-Параметры!$B$7),"почасовка",IF(Q2147&gt;H2147*(1+Параметры!$B$7),"сделка","любой способ"))))</f>
        <v>почасовка</v>
      </c>
      <c r="S2147">
        <v>0</v>
      </c>
      <c r="T2147">
        <v>0</v>
      </c>
    </row>
    <row r="2148" spans="1:20" x14ac:dyDescent="0.25">
      <c r="A2148" s="13" t="s">
        <v>4322</v>
      </c>
      <c r="B2148" s="13" t="s">
        <v>4323</v>
      </c>
      <c r="C2148" s="13" t="s">
        <v>144</v>
      </c>
      <c r="D2148" s="13" t="s">
        <v>747</v>
      </c>
      <c r="E2148" s="13" t="str">
        <f>IFERROR(INDEX('Почасовка — ставки и план'!$B$5:$B$24,MATCH(D2148,'Почасовка — ставки и план'!$A$5:$A$24,0)),"Аренда техники / механизмы")</f>
        <v>Механик ПС / подъёмников / прессов / доков</v>
      </c>
      <c r="F2148" s="14">
        <v>1500</v>
      </c>
      <c r="G2148" s="14">
        <v>1750</v>
      </c>
      <c r="H2148" s="15">
        <v>840</v>
      </c>
      <c r="I2148" s="15">
        <f>IF(OR(H2148="",F2148=""),"",MAX(H2148,MIN(ROUND(H2148*(1+Параметры!$B$5),IF(H2148*(1+Параметры!$B$5)&gt;=1000,-1,0)),ROUND(F2148*Параметры!$B$6,IF(F2148*Параметры!$B$6&gt;=1000,-1,0)))))</f>
        <v>966</v>
      </c>
      <c r="J2148" s="15">
        <v>960</v>
      </c>
      <c r="K2148" s="15">
        <f>IF(OR(J2148="",G2148=""),"",MAX(J2148,MIN(ROUND(J2148*(1+Параметры!$B$5),IF(J2148*(1+Параметры!$B$5)&gt;=1000,-1,0)),ROUND(G2148*Параметры!$B$6,IF(G2148*Параметры!$B$6&gt;=1000,-1,0)))))</f>
        <v>1100</v>
      </c>
      <c r="L2148" s="16">
        <v>0.5</v>
      </c>
      <c r="M2148" s="17">
        <f t="shared" si="158"/>
        <v>2</v>
      </c>
      <c r="N2148" s="17">
        <f>IF(OR(L2148="",L2148=0),"",Параметры!$B$3/L2148)</f>
        <v>16</v>
      </c>
      <c r="O2148" s="15">
        <f>IF(L2148="","",IFERROR(INDEX('Почасовка — ставки и план'!$D$5:$D$24,MATCH($D2148,'Почасовка — ставки и план'!$A$5:$A$24,0)),""))</f>
        <v>1500</v>
      </c>
      <c r="P2148" s="15">
        <f>IF(L2148="","",IFERROR(INDEX('Почасовка — ставки и план'!$E$5:$E$24,MATCH($D2148,'Почасовка — ставки и план'!$A$5:$A$24,0)),""))</f>
        <v>1800</v>
      </c>
      <c r="Q2148" s="15">
        <f t="shared" si="159"/>
        <v>750</v>
      </c>
      <c r="R2148" s="13" t="str">
        <f>IF(D2148="TEX","аренда техники — сделка/счёт",IF(OR(Q2148="",H2148="",H2148=0),"—",IF(Q2148&lt;H2148*(1-Параметры!$B$7),"почасовка",IF(Q2148&gt;H2148*(1+Параметры!$B$7),"сделка","любой способ"))))</f>
        <v>почасовка</v>
      </c>
      <c r="S2148">
        <v>0</v>
      </c>
      <c r="T2148">
        <v>0</v>
      </c>
    </row>
    <row r="2149" spans="1:20" x14ac:dyDescent="0.25">
      <c r="A2149" s="13" t="s">
        <v>4324</v>
      </c>
      <c r="B2149" s="13" t="s">
        <v>4325</v>
      </c>
      <c r="C2149" s="13" t="s">
        <v>144</v>
      </c>
      <c r="D2149" s="13" t="s">
        <v>747</v>
      </c>
      <c r="E2149" s="13" t="str">
        <f>IFERROR(INDEX('Почасовка — ставки и план'!$B$5:$B$24,MATCH(D2149,'Почасовка — ставки и план'!$A$5:$A$24,0)),"Аренда техники / механизмы")</f>
        <v>Механик ПС / подъёмников / прессов / доков</v>
      </c>
      <c r="F2149" s="14">
        <v>2200</v>
      </c>
      <c r="G2149" s="14">
        <v>2600</v>
      </c>
      <c r="H2149" s="15">
        <v>1250</v>
      </c>
      <c r="I2149" s="15">
        <f>IF(OR(H2149="",F2149=""),"",MAX(H2149,MIN(ROUND(H2149*(1+Параметры!$B$5),IF(H2149*(1+Параметры!$B$5)&gt;=1000,-1,0)),ROUND(F2149*Параметры!$B$6,IF(F2149*Параметры!$B$6&gt;=1000,-1,0)))))</f>
        <v>1440</v>
      </c>
      <c r="J2149" s="15">
        <v>1450</v>
      </c>
      <c r="K2149" s="15">
        <f>IF(OR(J2149="",G2149=""),"",MAX(J2149,MIN(ROUND(J2149*(1+Параметры!$B$5),IF(J2149*(1+Параметры!$B$5)&gt;=1000,-1,0)),ROUND(G2149*Параметры!$B$6,IF(G2149*Параметры!$B$6&gt;=1000,-1,0)))))</f>
        <v>1670</v>
      </c>
      <c r="L2149" s="16">
        <v>0.75</v>
      </c>
      <c r="M2149" s="17">
        <f t="shared" si="158"/>
        <v>1.3333333333333333</v>
      </c>
      <c r="N2149" s="17">
        <f>IF(OR(L2149="",L2149=0),"",Параметры!$B$3/L2149)</f>
        <v>10.666666666666666</v>
      </c>
      <c r="O2149" s="15">
        <f>IF(L2149="","",IFERROR(INDEX('Почасовка — ставки и план'!$D$5:$D$24,MATCH($D2149,'Почасовка — ставки и план'!$A$5:$A$24,0)),""))</f>
        <v>1500</v>
      </c>
      <c r="P2149" s="15">
        <f>IF(L2149="","",IFERROR(INDEX('Почасовка — ставки и план'!$E$5:$E$24,MATCH($D2149,'Почасовка — ставки и план'!$A$5:$A$24,0)),""))</f>
        <v>1800</v>
      </c>
      <c r="Q2149" s="15">
        <f t="shared" si="159"/>
        <v>1125</v>
      </c>
      <c r="R2149" s="13" t="str">
        <f>IF(D2149="TEX","аренда техники — сделка/счёт",IF(OR(Q2149="",H2149="",H2149=0),"—",IF(Q2149&lt;H2149*(1-Параметры!$B$7),"почасовка",IF(Q2149&gt;H2149*(1+Параметры!$B$7),"сделка","любой способ"))))</f>
        <v>любой способ</v>
      </c>
      <c r="S2149">
        <v>0</v>
      </c>
      <c r="T2149">
        <v>0</v>
      </c>
    </row>
    <row r="2150" spans="1:20" x14ac:dyDescent="0.25">
      <c r="A2150" s="13" t="s">
        <v>4326</v>
      </c>
      <c r="B2150" s="13" t="s">
        <v>4327</v>
      </c>
      <c r="C2150" s="13" t="s">
        <v>144</v>
      </c>
      <c r="D2150" s="13" t="s">
        <v>747</v>
      </c>
      <c r="E2150" s="13" t="str">
        <f>IFERROR(INDEX('Почасовка — ставки и план'!$B$5:$B$24,MATCH(D2150,'Почасовка — ставки и план'!$A$5:$A$24,0)),"Аренда техники / механизмы")</f>
        <v>Механик ПС / подъёмников / прессов / доков</v>
      </c>
      <c r="F2150" s="14">
        <v>2800</v>
      </c>
      <c r="G2150" s="14">
        <v>3300</v>
      </c>
      <c r="H2150" s="15">
        <v>1700</v>
      </c>
      <c r="I2150" s="15">
        <f>IF(OR(H2150="",F2150=""),"",MAX(H2150,MIN(ROUND(H2150*(1+Параметры!$B$5),IF(H2150*(1+Параметры!$B$5)&gt;=1000,-1,0)),ROUND(F2150*Параметры!$B$6,IF(F2150*Параметры!$B$6&gt;=1000,-1,0)))))</f>
        <v>1960</v>
      </c>
      <c r="J2150" s="15">
        <v>1900</v>
      </c>
      <c r="K2150" s="15">
        <f>IF(OR(J2150="",G2150=""),"",MAX(J2150,MIN(ROUND(J2150*(1+Параметры!$B$5),IF(J2150*(1+Параметры!$B$5)&gt;=1000,-1,0)),ROUND(G2150*Параметры!$B$6,IF(G2150*Параметры!$B$6&gt;=1000,-1,0)))))</f>
        <v>2190</v>
      </c>
      <c r="L2150" s="16">
        <v>1</v>
      </c>
      <c r="M2150" s="17">
        <f t="shared" si="158"/>
        <v>1</v>
      </c>
      <c r="N2150" s="17">
        <f>IF(OR(L2150="",L2150=0),"",Параметры!$B$3/L2150)</f>
        <v>8</v>
      </c>
      <c r="O2150" s="15">
        <f>IF(L2150="","",IFERROR(INDEX('Почасовка — ставки и план'!$D$5:$D$24,MATCH($D2150,'Почасовка — ставки и план'!$A$5:$A$24,0)),""))</f>
        <v>1500</v>
      </c>
      <c r="P2150" s="15">
        <f>IF(L2150="","",IFERROR(INDEX('Почасовка — ставки и план'!$E$5:$E$24,MATCH($D2150,'Почасовка — ставки и план'!$A$5:$A$24,0)),""))</f>
        <v>1800</v>
      </c>
      <c r="Q2150" s="15">
        <f t="shared" si="159"/>
        <v>1500</v>
      </c>
      <c r="R2150" s="13" t="str">
        <f>IF(D2150="TEX","аренда техники — сделка/счёт",IF(OR(Q2150="",H2150="",H2150=0),"—",IF(Q2150&lt;H2150*(1-Параметры!$B$7),"почасовка",IF(Q2150&gt;H2150*(1+Параметры!$B$7),"сделка","любой способ"))))</f>
        <v>почасовка</v>
      </c>
      <c r="S2150">
        <v>0</v>
      </c>
      <c r="T2150">
        <v>0</v>
      </c>
    </row>
    <row r="2151" spans="1:20" x14ac:dyDescent="0.25">
      <c r="A2151" s="13" t="s">
        <v>4328</v>
      </c>
      <c r="B2151" s="13" t="s">
        <v>4329</v>
      </c>
      <c r="C2151" s="13" t="s">
        <v>144</v>
      </c>
      <c r="D2151" s="13" t="s">
        <v>747</v>
      </c>
      <c r="E2151" s="13" t="str">
        <f>IFERROR(INDEX('Почасовка — ставки и план'!$B$5:$B$24,MATCH(D2151,'Почасовка — ставки и план'!$A$5:$A$24,0)),"Аренда техники / механизмы")</f>
        <v>Механик ПС / подъёмников / прессов / доков</v>
      </c>
      <c r="F2151" s="14">
        <v>2800</v>
      </c>
      <c r="G2151" s="14">
        <v>3300</v>
      </c>
      <c r="H2151" s="15">
        <v>1700</v>
      </c>
      <c r="I2151" s="15">
        <f>IF(OR(H2151="",F2151=""),"",MAX(H2151,MIN(ROUND(H2151*(1+Параметры!$B$5),IF(H2151*(1+Параметры!$B$5)&gt;=1000,-1,0)),ROUND(F2151*Параметры!$B$6,IF(F2151*Параметры!$B$6&gt;=1000,-1,0)))))</f>
        <v>1960</v>
      </c>
      <c r="J2151" s="15">
        <v>1900</v>
      </c>
      <c r="K2151" s="15">
        <f>IF(OR(J2151="",G2151=""),"",MAX(J2151,MIN(ROUND(J2151*(1+Параметры!$B$5),IF(J2151*(1+Параметры!$B$5)&gt;=1000,-1,0)),ROUND(G2151*Параметры!$B$6,IF(G2151*Параметры!$B$6&gt;=1000,-1,0)))))</f>
        <v>2190</v>
      </c>
      <c r="L2151" s="16">
        <v>1</v>
      </c>
      <c r="M2151" s="17">
        <f t="shared" si="158"/>
        <v>1</v>
      </c>
      <c r="N2151" s="17">
        <f>IF(OR(L2151="",L2151=0),"",Параметры!$B$3/L2151)</f>
        <v>8</v>
      </c>
      <c r="O2151" s="15">
        <f>IF(L2151="","",IFERROR(INDEX('Почасовка — ставки и план'!$D$5:$D$24,MATCH($D2151,'Почасовка — ставки и план'!$A$5:$A$24,0)),""))</f>
        <v>1500</v>
      </c>
      <c r="P2151" s="15">
        <f>IF(L2151="","",IFERROR(INDEX('Почасовка — ставки и план'!$E$5:$E$24,MATCH($D2151,'Почасовка — ставки и план'!$A$5:$A$24,0)),""))</f>
        <v>1800</v>
      </c>
      <c r="Q2151" s="15">
        <f t="shared" si="159"/>
        <v>1500</v>
      </c>
      <c r="R2151" s="13" t="str">
        <f>IF(D2151="TEX","аренда техники — сделка/счёт",IF(OR(Q2151="",H2151="",H2151=0),"—",IF(Q2151&lt;H2151*(1-Параметры!$B$7),"почасовка",IF(Q2151&gt;H2151*(1+Параметры!$B$7),"сделка","любой способ"))))</f>
        <v>почасовка</v>
      </c>
      <c r="S2151">
        <v>0</v>
      </c>
      <c r="T2151">
        <v>0</v>
      </c>
    </row>
    <row r="2152" spans="1:20" x14ac:dyDescent="0.25">
      <c r="A2152" s="13" t="s">
        <v>4330</v>
      </c>
      <c r="B2152" s="13" t="s">
        <v>4331</v>
      </c>
      <c r="C2152" s="13" t="s">
        <v>144</v>
      </c>
      <c r="D2152" s="13" t="s">
        <v>747</v>
      </c>
      <c r="E2152" s="13" t="str">
        <f>IFERROR(INDEX('Почасовка — ставки и план'!$B$5:$B$24,MATCH(D2152,'Почасовка — ставки и план'!$A$5:$A$24,0)),"Аренда техники / механизмы")</f>
        <v>Механик ПС / подъёмников / прессов / доков</v>
      </c>
      <c r="F2152" s="14">
        <v>2200</v>
      </c>
      <c r="G2152" s="14">
        <v>2600</v>
      </c>
      <c r="H2152" s="15">
        <v>1250</v>
      </c>
      <c r="I2152" s="15">
        <f>IF(OR(H2152="",F2152=""),"",MAX(H2152,MIN(ROUND(H2152*(1+Параметры!$B$5),IF(H2152*(1+Параметры!$B$5)&gt;=1000,-1,0)),ROUND(F2152*Параметры!$B$6,IF(F2152*Параметры!$B$6&gt;=1000,-1,0)))))</f>
        <v>1440</v>
      </c>
      <c r="J2152" s="15">
        <v>1450</v>
      </c>
      <c r="K2152" s="15">
        <f>IF(OR(J2152="",G2152=""),"",MAX(J2152,MIN(ROUND(J2152*(1+Параметры!$B$5),IF(J2152*(1+Параметры!$B$5)&gt;=1000,-1,0)),ROUND(G2152*Параметры!$B$6,IF(G2152*Параметры!$B$6&gt;=1000,-1,0)))))</f>
        <v>1670</v>
      </c>
      <c r="L2152" s="16">
        <v>0.75</v>
      </c>
      <c r="M2152" s="17">
        <f t="shared" si="158"/>
        <v>1.3333333333333333</v>
      </c>
      <c r="N2152" s="17">
        <f>IF(OR(L2152="",L2152=0),"",Параметры!$B$3/L2152)</f>
        <v>10.666666666666666</v>
      </c>
      <c r="O2152" s="15">
        <f>IF(L2152="","",IFERROR(INDEX('Почасовка — ставки и план'!$D$5:$D$24,MATCH($D2152,'Почасовка — ставки и план'!$A$5:$A$24,0)),""))</f>
        <v>1500</v>
      </c>
      <c r="P2152" s="15">
        <f>IF(L2152="","",IFERROR(INDEX('Почасовка — ставки и план'!$E$5:$E$24,MATCH($D2152,'Почасовка — ставки и план'!$A$5:$A$24,0)),""))</f>
        <v>1800</v>
      </c>
      <c r="Q2152" s="15">
        <f t="shared" si="159"/>
        <v>1125</v>
      </c>
      <c r="R2152" s="13" t="str">
        <f>IF(D2152="TEX","аренда техники — сделка/счёт",IF(OR(Q2152="",H2152="",H2152=0),"—",IF(Q2152&lt;H2152*(1-Параметры!$B$7),"почасовка",IF(Q2152&gt;H2152*(1+Параметры!$B$7),"сделка","любой способ"))))</f>
        <v>любой способ</v>
      </c>
      <c r="S2152">
        <v>0</v>
      </c>
      <c r="T2152">
        <v>0</v>
      </c>
    </row>
    <row r="2153" spans="1:20" x14ac:dyDescent="0.25">
      <c r="A2153" s="13" t="s">
        <v>4332</v>
      </c>
      <c r="B2153" s="13" t="s">
        <v>4333</v>
      </c>
      <c r="C2153" s="13" t="s">
        <v>144</v>
      </c>
      <c r="D2153" s="13" t="s">
        <v>747</v>
      </c>
      <c r="E2153" s="13" t="str">
        <f>IFERROR(INDEX('Почасовка — ставки и план'!$B$5:$B$24,MATCH(D2153,'Почасовка — ставки и план'!$A$5:$A$24,0)),"Аренда техники / механизмы")</f>
        <v>Механик ПС / подъёмников / прессов / доков</v>
      </c>
      <c r="F2153" s="14">
        <v>2200</v>
      </c>
      <c r="G2153" s="14">
        <v>2600</v>
      </c>
      <c r="H2153" s="15">
        <v>1250</v>
      </c>
      <c r="I2153" s="15">
        <f>IF(OR(H2153="",F2153=""),"",MAX(H2153,MIN(ROUND(H2153*(1+Параметры!$B$5),IF(H2153*(1+Параметры!$B$5)&gt;=1000,-1,0)),ROUND(F2153*Параметры!$B$6,IF(F2153*Параметры!$B$6&gt;=1000,-1,0)))))</f>
        <v>1440</v>
      </c>
      <c r="J2153" s="15">
        <v>1450</v>
      </c>
      <c r="K2153" s="15">
        <f>IF(OR(J2153="",G2153=""),"",MAX(J2153,MIN(ROUND(J2153*(1+Параметры!$B$5),IF(J2153*(1+Параметры!$B$5)&gt;=1000,-1,0)),ROUND(G2153*Параметры!$B$6,IF(G2153*Параметры!$B$6&gt;=1000,-1,0)))))</f>
        <v>1670</v>
      </c>
      <c r="L2153" s="16">
        <v>0.75</v>
      </c>
      <c r="M2153" s="17">
        <f t="shared" si="158"/>
        <v>1.3333333333333333</v>
      </c>
      <c r="N2153" s="17">
        <f>IF(OR(L2153="",L2153=0),"",Параметры!$B$3/L2153)</f>
        <v>10.666666666666666</v>
      </c>
      <c r="O2153" s="15">
        <f>IF(L2153="","",IFERROR(INDEX('Почасовка — ставки и план'!$D$5:$D$24,MATCH($D2153,'Почасовка — ставки и план'!$A$5:$A$24,0)),""))</f>
        <v>1500</v>
      </c>
      <c r="P2153" s="15">
        <f>IF(L2153="","",IFERROR(INDEX('Почасовка — ставки и план'!$E$5:$E$24,MATCH($D2153,'Почасовка — ставки и план'!$A$5:$A$24,0)),""))</f>
        <v>1800</v>
      </c>
      <c r="Q2153" s="15">
        <f t="shared" si="159"/>
        <v>1125</v>
      </c>
      <c r="R2153" s="13" t="str">
        <f>IF(D2153="TEX","аренда техники — сделка/счёт",IF(OR(Q2153="",H2153="",H2153=0),"—",IF(Q2153&lt;H2153*(1-Параметры!$B$7),"почасовка",IF(Q2153&gt;H2153*(1+Параметры!$B$7),"сделка","любой способ"))))</f>
        <v>любой способ</v>
      </c>
      <c r="S2153">
        <v>0</v>
      </c>
      <c r="T2153">
        <v>0</v>
      </c>
    </row>
    <row r="2154" spans="1:20" x14ac:dyDescent="0.25">
      <c r="A2154" s="13" t="s">
        <v>4334</v>
      </c>
      <c r="B2154" s="13" t="s">
        <v>4335</v>
      </c>
      <c r="C2154" s="13" t="s">
        <v>144</v>
      </c>
      <c r="D2154" s="13" t="s">
        <v>747</v>
      </c>
      <c r="E2154" s="13" t="str">
        <f>IFERROR(INDEX('Почасовка — ставки и план'!$B$5:$B$24,MATCH(D2154,'Почасовка — ставки и план'!$A$5:$A$24,0)),"Аренда техники / механизмы")</f>
        <v>Механик ПС / подъёмников / прессов / доков</v>
      </c>
      <c r="F2154" s="14">
        <v>1500</v>
      </c>
      <c r="G2154" s="14">
        <v>1750</v>
      </c>
      <c r="H2154" s="15">
        <v>840</v>
      </c>
      <c r="I2154" s="15">
        <f>IF(OR(H2154="",F2154=""),"",MAX(H2154,MIN(ROUND(H2154*(1+Параметры!$B$5),IF(H2154*(1+Параметры!$B$5)&gt;=1000,-1,0)),ROUND(F2154*Параметры!$B$6,IF(F2154*Параметры!$B$6&gt;=1000,-1,0)))))</f>
        <v>966</v>
      </c>
      <c r="J2154" s="15">
        <v>960</v>
      </c>
      <c r="K2154" s="15">
        <f>IF(OR(J2154="",G2154=""),"",MAX(J2154,MIN(ROUND(J2154*(1+Параметры!$B$5),IF(J2154*(1+Параметры!$B$5)&gt;=1000,-1,0)),ROUND(G2154*Параметры!$B$6,IF(G2154*Параметры!$B$6&gt;=1000,-1,0)))))</f>
        <v>1100</v>
      </c>
      <c r="L2154" s="16">
        <v>0.5</v>
      </c>
      <c r="M2154" s="17">
        <f t="shared" si="158"/>
        <v>2</v>
      </c>
      <c r="N2154" s="17">
        <f>IF(OR(L2154="",L2154=0),"",Параметры!$B$3/L2154)</f>
        <v>16</v>
      </c>
      <c r="O2154" s="15">
        <f>IF(L2154="","",IFERROR(INDEX('Почасовка — ставки и план'!$D$5:$D$24,MATCH($D2154,'Почасовка — ставки и план'!$A$5:$A$24,0)),""))</f>
        <v>1500</v>
      </c>
      <c r="P2154" s="15">
        <f>IF(L2154="","",IFERROR(INDEX('Почасовка — ставки и план'!$E$5:$E$24,MATCH($D2154,'Почасовка — ставки и план'!$A$5:$A$24,0)),""))</f>
        <v>1800</v>
      </c>
      <c r="Q2154" s="15">
        <f t="shared" si="159"/>
        <v>750</v>
      </c>
      <c r="R2154" s="13" t="str">
        <f>IF(D2154="TEX","аренда техники — сделка/счёт",IF(OR(Q2154="",H2154="",H2154=0),"—",IF(Q2154&lt;H2154*(1-Параметры!$B$7),"почасовка",IF(Q2154&gt;H2154*(1+Параметры!$B$7),"сделка","любой способ"))))</f>
        <v>почасовка</v>
      </c>
      <c r="S2154">
        <v>0</v>
      </c>
      <c r="T2154">
        <v>0</v>
      </c>
    </row>
    <row r="2155" spans="1:20" x14ac:dyDescent="0.25">
      <c r="A2155" s="13" t="s">
        <v>4336</v>
      </c>
      <c r="B2155" s="13" t="s">
        <v>4337</v>
      </c>
      <c r="C2155" s="13" t="s">
        <v>144</v>
      </c>
      <c r="D2155" s="13" t="s">
        <v>747</v>
      </c>
      <c r="E2155" s="13" t="str">
        <f>IFERROR(INDEX('Почасовка — ставки и план'!$B$5:$B$24,MATCH(D2155,'Почасовка — ставки и план'!$A$5:$A$24,0)),"Аренда техники / механизмы")</f>
        <v>Механик ПС / подъёмников / прессов / доков</v>
      </c>
      <c r="F2155" s="14">
        <v>900</v>
      </c>
      <c r="G2155" s="14">
        <v>1050</v>
      </c>
      <c r="H2155" s="15">
        <v>500</v>
      </c>
      <c r="I2155" s="15">
        <f>IF(OR(H2155="",F2155=""),"",MAX(H2155,MIN(ROUND(H2155*(1+Параметры!$B$5),IF(H2155*(1+Параметры!$B$5)&gt;=1000,-1,0)),ROUND(F2155*Параметры!$B$6,IF(F2155*Параметры!$B$6&gt;=1000,-1,0)))))</f>
        <v>575</v>
      </c>
      <c r="J2155" s="15">
        <v>580</v>
      </c>
      <c r="K2155" s="15">
        <f>IF(OR(J2155="",G2155=""),"",MAX(J2155,MIN(ROUND(J2155*(1+Параметры!$B$5),IF(J2155*(1+Параметры!$B$5)&gt;=1000,-1,0)),ROUND(G2155*Параметры!$B$6,IF(G2155*Параметры!$B$6&gt;=1000,-1,0)))))</f>
        <v>667</v>
      </c>
      <c r="L2155" s="16">
        <v>0.3</v>
      </c>
      <c r="M2155" s="17">
        <f t="shared" si="158"/>
        <v>3.3333333333333335</v>
      </c>
      <c r="N2155" s="17">
        <f>IF(OR(L2155="",L2155=0),"",Параметры!$B$3/L2155)</f>
        <v>26.666666666666668</v>
      </c>
      <c r="O2155" s="15">
        <f>IF(L2155="","",IFERROR(INDEX('Почасовка — ставки и план'!$D$5:$D$24,MATCH($D2155,'Почасовка — ставки и план'!$A$5:$A$24,0)),""))</f>
        <v>1500</v>
      </c>
      <c r="P2155" s="15">
        <f>IF(L2155="","",IFERROR(INDEX('Почасовка — ставки и план'!$E$5:$E$24,MATCH($D2155,'Почасовка — ставки и план'!$A$5:$A$24,0)),""))</f>
        <v>1800</v>
      </c>
      <c r="Q2155" s="15">
        <f t="shared" si="159"/>
        <v>450</v>
      </c>
      <c r="R2155" s="13" t="str">
        <f>IF(D2155="TEX","аренда техники — сделка/счёт",IF(OR(Q2155="",H2155="",H2155=0),"—",IF(Q2155&lt;H2155*(1-Параметры!$B$7),"почасовка",IF(Q2155&gt;H2155*(1+Параметры!$B$7),"сделка","любой способ"))))</f>
        <v>любой способ</v>
      </c>
      <c r="S2155">
        <v>0</v>
      </c>
      <c r="T2155">
        <v>0</v>
      </c>
    </row>
    <row r="2156" spans="1:20" x14ac:dyDescent="0.25">
      <c r="A2156" s="13" t="s">
        <v>4338</v>
      </c>
      <c r="B2156" s="13" t="s">
        <v>4339</v>
      </c>
      <c r="C2156" s="13" t="s">
        <v>144</v>
      </c>
      <c r="D2156" s="13" t="s">
        <v>747</v>
      </c>
      <c r="E2156" s="13" t="str">
        <f>IFERROR(INDEX('Почасовка — ставки и план'!$B$5:$B$24,MATCH(D2156,'Почасовка — ставки и план'!$A$5:$A$24,0)),"Аренда техники / механизмы")</f>
        <v>Механик ПС / подъёмников / прессов / доков</v>
      </c>
      <c r="F2156" s="14">
        <v>1200</v>
      </c>
      <c r="G2156" s="14">
        <v>1400</v>
      </c>
      <c r="H2156" s="15">
        <v>670</v>
      </c>
      <c r="I2156" s="15">
        <f>IF(OR(H2156="",F2156=""),"",MAX(H2156,MIN(ROUND(H2156*(1+Параметры!$B$5),IF(H2156*(1+Параметры!$B$5)&gt;=1000,-1,0)),ROUND(F2156*Параметры!$B$6,IF(F2156*Параметры!$B$6&gt;=1000,-1,0)))))</f>
        <v>771</v>
      </c>
      <c r="J2156" s="15">
        <v>780</v>
      </c>
      <c r="K2156" s="15">
        <f>IF(OR(J2156="",G2156=""),"",MAX(J2156,MIN(ROUND(J2156*(1+Параметры!$B$5),IF(J2156*(1+Параметры!$B$5)&gt;=1000,-1,0)),ROUND(G2156*Параметры!$B$6,IF(G2156*Параметры!$B$6&gt;=1000,-1,0)))))</f>
        <v>897</v>
      </c>
      <c r="L2156" s="16">
        <v>0.4</v>
      </c>
      <c r="M2156" s="17">
        <f t="shared" si="158"/>
        <v>2.5</v>
      </c>
      <c r="N2156" s="17">
        <f>IF(OR(L2156="",L2156=0),"",Параметры!$B$3/L2156)</f>
        <v>20</v>
      </c>
      <c r="O2156" s="15">
        <f>IF(L2156="","",IFERROR(INDEX('Почасовка — ставки и план'!$D$5:$D$24,MATCH($D2156,'Почасовка — ставки и план'!$A$5:$A$24,0)),""))</f>
        <v>1500</v>
      </c>
      <c r="P2156" s="15">
        <f>IF(L2156="","",IFERROR(INDEX('Почасовка — ставки и план'!$E$5:$E$24,MATCH($D2156,'Почасовка — ставки и план'!$A$5:$A$24,0)),""))</f>
        <v>1800</v>
      </c>
      <c r="Q2156" s="15">
        <f t="shared" si="159"/>
        <v>600</v>
      </c>
      <c r="R2156" s="13" t="str">
        <f>IF(D2156="TEX","аренда техники — сделка/счёт",IF(OR(Q2156="",H2156="",H2156=0),"—",IF(Q2156&lt;H2156*(1-Параметры!$B$7),"почасовка",IF(Q2156&gt;H2156*(1+Параметры!$B$7),"сделка","любой способ"))))</f>
        <v>почасовка</v>
      </c>
      <c r="S2156">
        <v>0</v>
      </c>
      <c r="T2156">
        <v>0</v>
      </c>
    </row>
    <row r="2157" spans="1:20" x14ac:dyDescent="0.25">
      <c r="A2157" s="13" t="s">
        <v>4340</v>
      </c>
      <c r="B2157" s="13" t="s">
        <v>4341</v>
      </c>
      <c r="C2157" s="13" t="s">
        <v>144</v>
      </c>
      <c r="D2157" s="13" t="s">
        <v>747</v>
      </c>
      <c r="E2157" s="13" t="str">
        <f>IFERROR(INDEX('Почасовка — ставки и план'!$B$5:$B$24,MATCH(D2157,'Почасовка — ставки и план'!$A$5:$A$24,0)),"Аренда техники / механизмы")</f>
        <v>Механик ПС / подъёмников / прессов / доков</v>
      </c>
      <c r="F2157" s="14">
        <v>1700</v>
      </c>
      <c r="G2157" s="14">
        <v>2000</v>
      </c>
      <c r="H2157" s="15">
        <v>1000</v>
      </c>
      <c r="I2157" s="15">
        <f>IF(OR(H2157="",F2157=""),"",MAX(H2157,MIN(ROUND(H2157*(1+Параметры!$B$5),IF(H2157*(1+Параметры!$B$5)&gt;=1000,-1,0)),ROUND(F2157*Параметры!$B$6,IF(F2157*Параметры!$B$6&gt;=1000,-1,0)))))</f>
        <v>1150</v>
      </c>
      <c r="J2157" s="15">
        <v>1150</v>
      </c>
      <c r="K2157" s="15">
        <f>IF(OR(J2157="",G2157=""),"",MAX(J2157,MIN(ROUND(J2157*(1+Параметры!$B$5),IF(J2157*(1+Параметры!$B$5)&gt;=1000,-1,0)),ROUND(G2157*Параметры!$B$6,IF(G2157*Параметры!$B$6&gt;=1000,-1,0)))))</f>
        <v>1320</v>
      </c>
      <c r="L2157" s="16">
        <v>0.6</v>
      </c>
      <c r="M2157" s="17">
        <f t="shared" si="158"/>
        <v>1.6666666666666667</v>
      </c>
      <c r="N2157" s="17">
        <f>IF(OR(L2157="",L2157=0),"",Параметры!$B$3/L2157)</f>
        <v>13.333333333333334</v>
      </c>
      <c r="O2157" s="15">
        <f>IF(L2157="","",IFERROR(INDEX('Почасовка — ставки и план'!$D$5:$D$24,MATCH($D2157,'Почасовка — ставки и план'!$A$5:$A$24,0)),""))</f>
        <v>1500</v>
      </c>
      <c r="P2157" s="15">
        <f>IF(L2157="","",IFERROR(INDEX('Почасовка — ставки и план'!$E$5:$E$24,MATCH($D2157,'Почасовка — ставки и план'!$A$5:$A$24,0)),""))</f>
        <v>1800</v>
      </c>
      <c r="Q2157" s="15">
        <f t="shared" si="159"/>
        <v>900</v>
      </c>
      <c r="R2157" s="13" t="str">
        <f>IF(D2157="TEX","аренда техники — сделка/счёт",IF(OR(Q2157="",H2157="",H2157=0),"—",IF(Q2157&lt;H2157*(1-Параметры!$B$7),"почасовка",IF(Q2157&gt;H2157*(1+Параметры!$B$7),"сделка","любой способ"))))</f>
        <v>любой способ</v>
      </c>
      <c r="S2157">
        <v>0</v>
      </c>
      <c r="T2157">
        <v>0</v>
      </c>
    </row>
    <row r="2158" spans="1:20" x14ac:dyDescent="0.25">
      <c r="A2158" s="13" t="s">
        <v>4342</v>
      </c>
      <c r="B2158" s="13" t="s">
        <v>4343</v>
      </c>
      <c r="C2158" s="13" t="s">
        <v>144</v>
      </c>
      <c r="D2158" s="13" t="s">
        <v>747</v>
      </c>
      <c r="E2158" s="13" t="str">
        <f>IFERROR(INDEX('Почасовка — ставки и план'!$B$5:$B$24,MATCH(D2158,'Почасовка — ставки и план'!$A$5:$A$24,0)),"Аренда техники / механизмы")</f>
        <v>Механик ПС / подъёмников / прессов / доков</v>
      </c>
      <c r="F2158" s="14">
        <v>2300</v>
      </c>
      <c r="G2158" s="14">
        <v>2700</v>
      </c>
      <c r="H2158" s="15">
        <v>1300</v>
      </c>
      <c r="I2158" s="15">
        <f>IF(OR(H2158="",F2158=""),"",MAX(H2158,MIN(ROUND(H2158*(1+Параметры!$B$5),IF(H2158*(1+Параметры!$B$5)&gt;=1000,-1,0)),ROUND(F2158*Параметры!$B$6,IF(F2158*Параметры!$B$6&gt;=1000,-1,0)))))</f>
        <v>1500</v>
      </c>
      <c r="J2158" s="15">
        <v>1550</v>
      </c>
      <c r="K2158" s="15">
        <f>IF(OR(J2158="",G2158=""),"",MAX(J2158,MIN(ROUND(J2158*(1+Параметры!$B$5),IF(J2158*(1+Параметры!$B$5)&gt;=1000,-1,0)),ROUND(G2158*Параметры!$B$6,IF(G2158*Параметры!$B$6&gt;=1000,-1,0)))))</f>
        <v>1780</v>
      </c>
      <c r="L2158" s="16">
        <v>0.8</v>
      </c>
      <c r="M2158" s="17">
        <f t="shared" si="158"/>
        <v>1.25</v>
      </c>
      <c r="N2158" s="17">
        <f>IF(OR(L2158="",L2158=0),"",Параметры!$B$3/L2158)</f>
        <v>10</v>
      </c>
      <c r="O2158" s="15">
        <f>IF(L2158="","",IFERROR(INDEX('Почасовка — ставки и план'!$D$5:$D$24,MATCH($D2158,'Почасовка — ставки и план'!$A$5:$A$24,0)),""))</f>
        <v>1500</v>
      </c>
      <c r="P2158" s="15">
        <f>IF(L2158="","",IFERROR(INDEX('Почасовка — ставки и план'!$E$5:$E$24,MATCH($D2158,'Почасовка — ставки и план'!$A$5:$A$24,0)),""))</f>
        <v>1800</v>
      </c>
      <c r="Q2158" s="15">
        <f t="shared" si="159"/>
        <v>1200</v>
      </c>
      <c r="R2158" s="13" t="str">
        <f>IF(D2158="TEX","аренда техники — сделка/счёт",IF(OR(Q2158="",H2158="",H2158=0),"—",IF(Q2158&lt;H2158*(1-Параметры!$B$7),"почасовка",IF(Q2158&gt;H2158*(1+Параметры!$B$7),"сделка","любой способ"))))</f>
        <v>любой способ</v>
      </c>
      <c r="S2158">
        <v>0</v>
      </c>
      <c r="T2158">
        <v>0</v>
      </c>
    </row>
    <row r="2159" spans="1:20" x14ac:dyDescent="0.25">
      <c r="A2159" s="13" t="s">
        <v>4344</v>
      </c>
      <c r="B2159" s="13" t="s">
        <v>4345</v>
      </c>
      <c r="C2159" s="13" t="s">
        <v>144</v>
      </c>
      <c r="D2159" s="13" t="s">
        <v>747</v>
      </c>
      <c r="E2159" s="13" t="str">
        <f>IFERROR(INDEX('Почасовка — ставки и план'!$B$5:$B$24,MATCH(D2159,'Почасовка — ставки и план'!$A$5:$A$24,0)),"Аренда техники / механизмы")</f>
        <v>Механик ПС / подъёмников / прессов / доков</v>
      </c>
      <c r="F2159" s="14">
        <v>4500</v>
      </c>
      <c r="G2159" s="14">
        <v>5200</v>
      </c>
      <c r="H2159" s="15">
        <v>2650</v>
      </c>
      <c r="I2159" s="15">
        <f>IF(OR(H2159="",F2159=""),"",MAX(H2159,MIN(ROUND(H2159*(1+Параметры!$B$5),IF(H2159*(1+Параметры!$B$5)&gt;=1000,-1,0)),ROUND(F2159*Параметры!$B$6,IF(F2159*Параметры!$B$6&gt;=1000,-1,0)))))</f>
        <v>3050</v>
      </c>
      <c r="J2159" s="15">
        <v>3000</v>
      </c>
      <c r="K2159" s="15">
        <f>IF(OR(J2159="",G2159=""),"",MAX(J2159,MIN(ROUND(J2159*(1+Параметры!$B$5),IF(J2159*(1+Параметры!$B$5)&gt;=1000,-1,0)),ROUND(G2159*Параметры!$B$6,IF(G2159*Параметры!$B$6&gt;=1000,-1,0)))))</f>
        <v>3450</v>
      </c>
      <c r="L2159" s="16">
        <v>1.5</v>
      </c>
      <c r="M2159" s="17">
        <f t="shared" si="158"/>
        <v>0.66666666666666663</v>
      </c>
      <c r="N2159" s="17">
        <f>IF(OR(L2159="",L2159=0),"",Параметры!$B$3/L2159)</f>
        <v>5.333333333333333</v>
      </c>
      <c r="O2159" s="15">
        <f>IF(L2159="","",IFERROR(INDEX('Почасовка — ставки и план'!$D$5:$D$24,MATCH($D2159,'Почасовка — ставки и план'!$A$5:$A$24,0)),""))</f>
        <v>1500</v>
      </c>
      <c r="P2159" s="15">
        <f>IF(L2159="","",IFERROR(INDEX('Почасовка — ставки и план'!$E$5:$E$24,MATCH($D2159,'Почасовка — ставки и план'!$A$5:$A$24,0)),""))</f>
        <v>1800</v>
      </c>
      <c r="Q2159" s="15">
        <f t="shared" si="159"/>
        <v>2250</v>
      </c>
      <c r="R2159" s="13" t="str">
        <f>IF(D2159="TEX","аренда техники — сделка/счёт",IF(OR(Q2159="",H2159="",H2159=0),"—",IF(Q2159&lt;H2159*(1-Параметры!$B$7),"почасовка",IF(Q2159&gt;H2159*(1+Параметры!$B$7),"сделка","любой способ"))))</f>
        <v>почасовка</v>
      </c>
      <c r="S2159">
        <v>0</v>
      </c>
      <c r="T2159">
        <v>0</v>
      </c>
    </row>
    <row r="2160" spans="1:20" x14ac:dyDescent="0.25">
      <c r="A2160" s="13" t="s">
        <v>4346</v>
      </c>
      <c r="B2160" s="13" t="s">
        <v>4347</v>
      </c>
      <c r="C2160" s="13" t="s">
        <v>144</v>
      </c>
      <c r="D2160" s="13" t="s">
        <v>747</v>
      </c>
      <c r="E2160" s="13" t="str">
        <f>IFERROR(INDEX('Почасовка — ставки и план'!$B$5:$B$24,MATCH(D2160,'Почасовка — ставки и план'!$A$5:$A$24,0)),"Аренда техники / механизмы")</f>
        <v>Механик ПС / подъёмников / прессов / доков</v>
      </c>
      <c r="F2160" s="14">
        <v>3600</v>
      </c>
      <c r="G2160" s="14">
        <v>4200</v>
      </c>
      <c r="H2160" s="15">
        <v>2050</v>
      </c>
      <c r="I2160" s="15">
        <f>IF(OR(H2160="",F2160=""),"",MAX(H2160,MIN(ROUND(H2160*(1+Параметры!$B$5),IF(H2160*(1+Параметры!$B$5)&gt;=1000,-1,0)),ROUND(F2160*Параметры!$B$6,IF(F2160*Параметры!$B$6&gt;=1000,-1,0)))))</f>
        <v>2360</v>
      </c>
      <c r="J2160" s="15">
        <v>2400</v>
      </c>
      <c r="K2160" s="15">
        <f>IF(OR(J2160="",G2160=""),"",MAX(J2160,MIN(ROUND(J2160*(1+Параметры!$B$5),IF(J2160*(1+Параметры!$B$5)&gt;=1000,-1,0)),ROUND(G2160*Параметры!$B$6,IF(G2160*Параметры!$B$6&gt;=1000,-1,0)))))</f>
        <v>2760</v>
      </c>
      <c r="L2160" s="16">
        <v>1.2</v>
      </c>
      <c r="M2160" s="17">
        <f t="shared" si="158"/>
        <v>0.83333333333333337</v>
      </c>
      <c r="N2160" s="17">
        <f>IF(OR(L2160="",L2160=0),"",Параметры!$B$3/L2160)</f>
        <v>6.666666666666667</v>
      </c>
      <c r="O2160" s="15">
        <f>IF(L2160="","",IFERROR(INDEX('Почасовка — ставки и план'!$D$5:$D$24,MATCH($D2160,'Почасовка — ставки и план'!$A$5:$A$24,0)),""))</f>
        <v>1500</v>
      </c>
      <c r="P2160" s="15">
        <f>IF(L2160="","",IFERROR(INDEX('Почасовка — ставки и план'!$E$5:$E$24,MATCH($D2160,'Почасовка — ставки и план'!$A$5:$A$24,0)),""))</f>
        <v>1800</v>
      </c>
      <c r="Q2160" s="15">
        <f t="shared" si="159"/>
        <v>1800</v>
      </c>
      <c r="R2160" s="13" t="str">
        <f>IF(D2160="TEX","аренда техники — сделка/счёт",IF(OR(Q2160="",H2160="",H2160=0),"—",IF(Q2160&lt;H2160*(1-Параметры!$B$7),"почасовка",IF(Q2160&gt;H2160*(1+Параметры!$B$7),"сделка","любой способ"))))</f>
        <v>почасовка</v>
      </c>
      <c r="S2160">
        <v>0</v>
      </c>
      <c r="T2160">
        <v>0</v>
      </c>
    </row>
    <row r="2161" spans="1:20" x14ac:dyDescent="0.25">
      <c r="A2161" s="13" t="s">
        <v>4348</v>
      </c>
      <c r="B2161" s="13" t="s">
        <v>4349</v>
      </c>
      <c r="C2161" s="13" t="s">
        <v>144</v>
      </c>
      <c r="D2161" s="13" t="s">
        <v>747</v>
      </c>
      <c r="E2161" s="13" t="str">
        <f>IFERROR(INDEX('Почасовка — ставки и план'!$B$5:$B$24,MATCH(D2161,'Почасовка — ставки и план'!$A$5:$A$24,0)),"Аренда техники / механизмы")</f>
        <v>Механик ПС / подъёмников / прессов / доков</v>
      </c>
      <c r="F2161" s="14">
        <v>4500</v>
      </c>
      <c r="G2161" s="14">
        <v>5200</v>
      </c>
      <c r="H2161" s="15">
        <v>2650</v>
      </c>
      <c r="I2161" s="15">
        <f>IF(OR(H2161="",F2161=""),"",MAX(H2161,MIN(ROUND(H2161*(1+Параметры!$B$5),IF(H2161*(1+Параметры!$B$5)&gt;=1000,-1,0)),ROUND(F2161*Параметры!$B$6,IF(F2161*Параметры!$B$6&gt;=1000,-1,0)))))</f>
        <v>3050</v>
      </c>
      <c r="J2161" s="15">
        <v>3000</v>
      </c>
      <c r="K2161" s="15">
        <f>IF(OR(J2161="",G2161=""),"",MAX(J2161,MIN(ROUND(J2161*(1+Параметры!$B$5),IF(J2161*(1+Параметры!$B$5)&gt;=1000,-1,0)),ROUND(G2161*Параметры!$B$6,IF(G2161*Параметры!$B$6&gt;=1000,-1,0)))))</f>
        <v>3450</v>
      </c>
      <c r="L2161" s="16">
        <v>1.5</v>
      </c>
      <c r="M2161" s="17">
        <f t="shared" si="158"/>
        <v>0.66666666666666663</v>
      </c>
      <c r="N2161" s="17">
        <f>IF(OR(L2161="",L2161=0),"",Параметры!$B$3/L2161)</f>
        <v>5.333333333333333</v>
      </c>
      <c r="O2161" s="15">
        <f>IF(L2161="","",IFERROR(INDEX('Почасовка — ставки и план'!$D$5:$D$24,MATCH($D2161,'Почасовка — ставки и план'!$A$5:$A$24,0)),""))</f>
        <v>1500</v>
      </c>
      <c r="P2161" s="15">
        <f>IF(L2161="","",IFERROR(INDEX('Почасовка — ставки и план'!$E$5:$E$24,MATCH($D2161,'Почасовка — ставки и план'!$A$5:$A$24,0)),""))</f>
        <v>1800</v>
      </c>
      <c r="Q2161" s="15">
        <f t="shared" si="159"/>
        <v>2250</v>
      </c>
      <c r="R2161" s="13" t="str">
        <f>IF(D2161="TEX","аренда техники — сделка/счёт",IF(OR(Q2161="",H2161="",H2161=0),"—",IF(Q2161&lt;H2161*(1-Параметры!$B$7),"почасовка",IF(Q2161&gt;H2161*(1+Параметры!$B$7),"сделка","любой способ"))))</f>
        <v>почасовка</v>
      </c>
      <c r="S2161">
        <v>0</v>
      </c>
      <c r="T2161">
        <v>0</v>
      </c>
    </row>
    <row r="2162" spans="1:20" x14ac:dyDescent="0.25">
      <c r="A2162" s="13" t="s">
        <v>4350</v>
      </c>
      <c r="B2162" s="13" t="s">
        <v>4351</v>
      </c>
      <c r="C2162" s="13" t="s">
        <v>144</v>
      </c>
      <c r="D2162" s="13" t="s">
        <v>747</v>
      </c>
      <c r="E2162" s="13" t="str">
        <f>IFERROR(INDEX('Почасовка — ставки и план'!$B$5:$B$24,MATCH(D2162,'Почасовка — ставки и план'!$A$5:$A$24,0)),"Аренда техники / механизмы")</f>
        <v>Механик ПС / подъёмников / прессов / доков</v>
      </c>
      <c r="F2162" s="14">
        <v>1800</v>
      </c>
      <c r="G2162" s="14">
        <v>2100</v>
      </c>
      <c r="H2162" s="15">
        <v>1000</v>
      </c>
      <c r="I2162" s="15">
        <f>IF(OR(H2162="",F2162=""),"",MAX(H2162,MIN(ROUND(H2162*(1+Параметры!$B$5),IF(H2162*(1+Параметры!$B$5)&gt;=1000,-1,0)),ROUND(F2162*Параметры!$B$6,IF(F2162*Параметры!$B$6&gt;=1000,-1,0)))))</f>
        <v>1150</v>
      </c>
      <c r="J2162" s="15">
        <v>1200</v>
      </c>
      <c r="K2162" s="15">
        <f>IF(OR(J2162="",G2162=""),"",MAX(J2162,MIN(ROUND(J2162*(1+Параметры!$B$5),IF(J2162*(1+Параметры!$B$5)&gt;=1000,-1,0)),ROUND(G2162*Параметры!$B$6,IF(G2162*Параметры!$B$6&gt;=1000,-1,0)))))</f>
        <v>1380</v>
      </c>
      <c r="L2162" s="16">
        <v>0.6</v>
      </c>
      <c r="M2162" s="17">
        <f t="shared" si="158"/>
        <v>1.6666666666666667</v>
      </c>
      <c r="N2162" s="17">
        <f>IF(OR(L2162="",L2162=0),"",Параметры!$B$3/L2162)</f>
        <v>13.333333333333334</v>
      </c>
      <c r="O2162" s="15">
        <f>IF(L2162="","",IFERROR(INDEX('Почасовка — ставки и план'!$D$5:$D$24,MATCH($D2162,'Почасовка — ставки и план'!$A$5:$A$24,0)),""))</f>
        <v>1500</v>
      </c>
      <c r="P2162" s="15">
        <f>IF(L2162="","",IFERROR(INDEX('Почасовка — ставки и план'!$E$5:$E$24,MATCH($D2162,'Почасовка — ставки и план'!$A$5:$A$24,0)),""))</f>
        <v>1800</v>
      </c>
      <c r="Q2162" s="15">
        <f t="shared" si="159"/>
        <v>900</v>
      </c>
      <c r="R2162" s="13" t="str">
        <f>IF(D2162="TEX","аренда техники — сделка/счёт",IF(OR(Q2162="",H2162="",H2162=0),"—",IF(Q2162&lt;H2162*(1-Параметры!$B$7),"почасовка",IF(Q2162&gt;H2162*(1+Параметры!$B$7),"сделка","любой способ"))))</f>
        <v>любой способ</v>
      </c>
      <c r="S2162">
        <v>0</v>
      </c>
      <c r="T2162">
        <v>0</v>
      </c>
    </row>
    <row r="2163" spans="1:20" x14ac:dyDescent="0.25">
      <c r="A2163" s="13" t="s">
        <v>4352</v>
      </c>
      <c r="B2163" s="13" t="s">
        <v>4353</v>
      </c>
      <c r="C2163" s="13" t="s">
        <v>144</v>
      </c>
      <c r="D2163" s="13" t="s">
        <v>747</v>
      </c>
      <c r="E2163" s="13" t="str">
        <f>IFERROR(INDEX('Почасовка — ставки и план'!$B$5:$B$24,MATCH(D2163,'Почасовка — ставки и план'!$A$5:$A$24,0)),"Аренда техники / механизмы")</f>
        <v>Механик ПС / подъёмников / прессов / доков</v>
      </c>
      <c r="F2163" s="14">
        <v>4500</v>
      </c>
      <c r="G2163" s="14">
        <v>5200</v>
      </c>
      <c r="H2163" s="15">
        <v>2650</v>
      </c>
      <c r="I2163" s="15">
        <f>IF(OR(H2163="",F2163=""),"",MAX(H2163,MIN(ROUND(H2163*(1+Параметры!$B$5),IF(H2163*(1+Параметры!$B$5)&gt;=1000,-1,0)),ROUND(F2163*Параметры!$B$6,IF(F2163*Параметры!$B$6&gt;=1000,-1,0)))))</f>
        <v>3050</v>
      </c>
      <c r="J2163" s="15">
        <v>3000</v>
      </c>
      <c r="K2163" s="15">
        <f>IF(OR(J2163="",G2163=""),"",MAX(J2163,MIN(ROUND(J2163*(1+Параметры!$B$5),IF(J2163*(1+Параметры!$B$5)&gt;=1000,-1,0)),ROUND(G2163*Параметры!$B$6,IF(G2163*Параметры!$B$6&gt;=1000,-1,0)))))</f>
        <v>3450</v>
      </c>
      <c r="L2163" s="16">
        <v>1.5</v>
      </c>
      <c r="M2163" s="17">
        <f t="shared" si="158"/>
        <v>0.66666666666666663</v>
      </c>
      <c r="N2163" s="17">
        <f>IF(OR(L2163="",L2163=0),"",Параметры!$B$3/L2163)</f>
        <v>5.333333333333333</v>
      </c>
      <c r="O2163" s="15">
        <f>IF(L2163="","",IFERROR(INDEX('Почасовка — ставки и план'!$D$5:$D$24,MATCH($D2163,'Почасовка — ставки и план'!$A$5:$A$24,0)),""))</f>
        <v>1500</v>
      </c>
      <c r="P2163" s="15">
        <f>IF(L2163="","",IFERROR(INDEX('Почасовка — ставки и план'!$E$5:$E$24,MATCH($D2163,'Почасовка — ставки и план'!$A$5:$A$24,0)),""))</f>
        <v>1800</v>
      </c>
      <c r="Q2163" s="15">
        <f t="shared" si="159"/>
        <v>2250</v>
      </c>
      <c r="R2163" s="13" t="str">
        <f>IF(D2163="TEX","аренда техники — сделка/счёт",IF(OR(Q2163="",H2163="",H2163=0),"—",IF(Q2163&lt;H2163*(1-Параметры!$B$7),"почасовка",IF(Q2163&gt;H2163*(1+Параметры!$B$7),"сделка","любой способ"))))</f>
        <v>почасовка</v>
      </c>
      <c r="S2163">
        <v>0</v>
      </c>
      <c r="T2163">
        <v>0</v>
      </c>
    </row>
    <row r="2164" spans="1:20" x14ac:dyDescent="0.25">
      <c r="A2164" s="13" t="s">
        <v>4354</v>
      </c>
      <c r="B2164" s="13" t="s">
        <v>4355</v>
      </c>
      <c r="C2164" s="13" t="s">
        <v>144</v>
      </c>
      <c r="D2164" s="13" t="s">
        <v>747</v>
      </c>
      <c r="E2164" s="13" t="str">
        <f>IFERROR(INDEX('Почасовка — ставки и план'!$B$5:$B$24,MATCH(D2164,'Почасовка — ставки и план'!$A$5:$A$24,0)),"Аренда техники / механизмы")</f>
        <v>Механик ПС / подъёмников / прессов / доков</v>
      </c>
      <c r="F2164" s="14">
        <v>4500</v>
      </c>
      <c r="G2164" s="14">
        <v>5200</v>
      </c>
      <c r="H2164" s="15">
        <v>2650</v>
      </c>
      <c r="I2164" s="15">
        <f>IF(OR(H2164="",F2164=""),"",MAX(H2164,MIN(ROUND(H2164*(1+Параметры!$B$5),IF(H2164*(1+Параметры!$B$5)&gt;=1000,-1,0)),ROUND(F2164*Параметры!$B$6,IF(F2164*Параметры!$B$6&gt;=1000,-1,0)))))</f>
        <v>3050</v>
      </c>
      <c r="J2164" s="15">
        <v>3000</v>
      </c>
      <c r="K2164" s="15">
        <f>IF(OR(J2164="",G2164=""),"",MAX(J2164,MIN(ROUND(J2164*(1+Параметры!$B$5),IF(J2164*(1+Параметры!$B$5)&gt;=1000,-1,0)),ROUND(G2164*Параметры!$B$6,IF(G2164*Параметры!$B$6&gt;=1000,-1,0)))))</f>
        <v>3450</v>
      </c>
      <c r="L2164" s="16">
        <v>1.5</v>
      </c>
      <c r="M2164" s="17">
        <f t="shared" si="158"/>
        <v>0.66666666666666663</v>
      </c>
      <c r="N2164" s="17">
        <f>IF(OR(L2164="",L2164=0),"",Параметры!$B$3/L2164)</f>
        <v>5.333333333333333</v>
      </c>
      <c r="O2164" s="15">
        <f>IF(L2164="","",IFERROR(INDEX('Почасовка — ставки и план'!$D$5:$D$24,MATCH($D2164,'Почасовка — ставки и план'!$A$5:$A$24,0)),""))</f>
        <v>1500</v>
      </c>
      <c r="P2164" s="15">
        <f>IF(L2164="","",IFERROR(INDEX('Почасовка — ставки и план'!$E$5:$E$24,MATCH($D2164,'Почасовка — ставки и план'!$A$5:$A$24,0)),""))</f>
        <v>1800</v>
      </c>
      <c r="Q2164" s="15">
        <f t="shared" si="159"/>
        <v>2250</v>
      </c>
      <c r="R2164" s="13" t="str">
        <f>IF(D2164="TEX","аренда техники — сделка/счёт",IF(OR(Q2164="",H2164="",H2164=0),"—",IF(Q2164&lt;H2164*(1-Параметры!$B$7),"почасовка",IF(Q2164&gt;H2164*(1+Параметры!$B$7),"сделка","любой способ"))))</f>
        <v>почасовка</v>
      </c>
      <c r="S2164">
        <v>0</v>
      </c>
      <c r="T2164">
        <v>0</v>
      </c>
    </row>
    <row r="2165" spans="1:20" x14ac:dyDescent="0.25">
      <c r="A2165" s="13" t="s">
        <v>4356</v>
      </c>
      <c r="B2165" s="13" t="s">
        <v>4357</v>
      </c>
      <c r="C2165" s="13" t="s">
        <v>144</v>
      </c>
      <c r="D2165" s="13" t="s">
        <v>747</v>
      </c>
      <c r="E2165" s="13" t="str">
        <f>IFERROR(INDEX('Почасовка — ставки и план'!$B$5:$B$24,MATCH(D2165,'Почасовка — ставки и план'!$A$5:$A$24,0)),"Аренда техники / механизмы")</f>
        <v>Механик ПС / подъёмников / прессов / доков</v>
      </c>
      <c r="F2165" s="14">
        <v>2200</v>
      </c>
      <c r="G2165" s="14">
        <v>2600</v>
      </c>
      <c r="H2165" s="15">
        <v>1250</v>
      </c>
      <c r="I2165" s="15">
        <f>IF(OR(H2165="",F2165=""),"",MAX(H2165,MIN(ROUND(H2165*(1+Параметры!$B$5),IF(H2165*(1+Параметры!$B$5)&gt;=1000,-1,0)),ROUND(F2165*Параметры!$B$6,IF(F2165*Параметры!$B$6&gt;=1000,-1,0)))))</f>
        <v>1440</v>
      </c>
      <c r="J2165" s="15">
        <v>1450</v>
      </c>
      <c r="K2165" s="15">
        <f>IF(OR(J2165="",G2165=""),"",MAX(J2165,MIN(ROUND(J2165*(1+Параметры!$B$5),IF(J2165*(1+Параметры!$B$5)&gt;=1000,-1,0)),ROUND(G2165*Параметры!$B$6,IF(G2165*Параметры!$B$6&gt;=1000,-1,0)))))</f>
        <v>1670</v>
      </c>
      <c r="L2165" s="16">
        <v>0.75</v>
      </c>
      <c r="M2165" s="17">
        <f t="shared" si="158"/>
        <v>1.3333333333333333</v>
      </c>
      <c r="N2165" s="17">
        <f>IF(OR(L2165="",L2165=0),"",Параметры!$B$3/L2165)</f>
        <v>10.666666666666666</v>
      </c>
      <c r="O2165" s="15">
        <f>IF(L2165="","",IFERROR(INDEX('Почасовка — ставки и план'!$D$5:$D$24,MATCH($D2165,'Почасовка — ставки и план'!$A$5:$A$24,0)),""))</f>
        <v>1500</v>
      </c>
      <c r="P2165" s="15">
        <f>IF(L2165="","",IFERROR(INDEX('Почасовка — ставки и план'!$E$5:$E$24,MATCH($D2165,'Почасовка — ставки и план'!$A$5:$A$24,0)),""))</f>
        <v>1800</v>
      </c>
      <c r="Q2165" s="15">
        <f t="shared" si="159"/>
        <v>1125</v>
      </c>
      <c r="R2165" s="13" t="str">
        <f>IF(D2165="TEX","аренда техники — сделка/счёт",IF(OR(Q2165="",H2165="",H2165=0),"—",IF(Q2165&lt;H2165*(1-Параметры!$B$7),"почасовка",IF(Q2165&gt;H2165*(1+Параметры!$B$7),"сделка","любой способ"))))</f>
        <v>любой способ</v>
      </c>
      <c r="S2165">
        <v>0</v>
      </c>
      <c r="T2165">
        <v>0</v>
      </c>
    </row>
    <row r="2166" spans="1:20" x14ac:dyDescent="0.25">
      <c r="A2166" s="13" t="s">
        <v>4358</v>
      </c>
      <c r="B2166" s="13" t="s">
        <v>4359</v>
      </c>
      <c r="C2166" s="13" t="s">
        <v>144</v>
      </c>
      <c r="D2166" s="13" t="s">
        <v>747</v>
      </c>
      <c r="E2166" s="13" t="str">
        <f>IFERROR(INDEX('Почасовка — ставки и план'!$B$5:$B$24,MATCH(D2166,'Почасовка — ставки и план'!$A$5:$A$24,0)),"Аренда техники / механизмы")</f>
        <v>Механик ПС / подъёмников / прессов / доков</v>
      </c>
      <c r="F2166" s="14">
        <v>2200</v>
      </c>
      <c r="G2166" s="14">
        <v>2600</v>
      </c>
      <c r="H2166" s="15">
        <v>1250</v>
      </c>
      <c r="I2166" s="15">
        <f>IF(OR(H2166="",F2166=""),"",MAX(H2166,MIN(ROUND(H2166*(1+Параметры!$B$5),IF(H2166*(1+Параметры!$B$5)&gt;=1000,-1,0)),ROUND(F2166*Параметры!$B$6,IF(F2166*Параметры!$B$6&gt;=1000,-1,0)))))</f>
        <v>1440</v>
      </c>
      <c r="J2166" s="15">
        <v>1450</v>
      </c>
      <c r="K2166" s="15">
        <f>IF(OR(J2166="",G2166=""),"",MAX(J2166,MIN(ROUND(J2166*(1+Параметры!$B$5),IF(J2166*(1+Параметры!$B$5)&gt;=1000,-1,0)),ROUND(G2166*Параметры!$B$6,IF(G2166*Параметры!$B$6&gt;=1000,-1,0)))))</f>
        <v>1670</v>
      </c>
      <c r="L2166" s="16">
        <v>0.75</v>
      </c>
      <c r="M2166" s="17">
        <f t="shared" si="158"/>
        <v>1.3333333333333333</v>
      </c>
      <c r="N2166" s="17">
        <f>IF(OR(L2166="",L2166=0),"",Параметры!$B$3/L2166)</f>
        <v>10.666666666666666</v>
      </c>
      <c r="O2166" s="15">
        <f>IF(L2166="","",IFERROR(INDEX('Почасовка — ставки и план'!$D$5:$D$24,MATCH($D2166,'Почасовка — ставки и план'!$A$5:$A$24,0)),""))</f>
        <v>1500</v>
      </c>
      <c r="P2166" s="15">
        <f>IF(L2166="","",IFERROR(INDEX('Почасовка — ставки и план'!$E$5:$E$24,MATCH($D2166,'Почасовка — ставки и план'!$A$5:$A$24,0)),""))</f>
        <v>1800</v>
      </c>
      <c r="Q2166" s="15">
        <f t="shared" si="159"/>
        <v>1125</v>
      </c>
      <c r="R2166" s="13" t="str">
        <f>IF(D2166="TEX","аренда техники — сделка/счёт",IF(OR(Q2166="",H2166="",H2166=0),"—",IF(Q2166&lt;H2166*(1-Параметры!$B$7),"почасовка",IF(Q2166&gt;H2166*(1+Параметры!$B$7),"сделка","любой способ"))))</f>
        <v>любой способ</v>
      </c>
      <c r="S2166">
        <v>0</v>
      </c>
      <c r="T2166">
        <v>0</v>
      </c>
    </row>
    <row r="2167" spans="1:20" x14ac:dyDescent="0.25">
      <c r="A2167" s="13" t="s">
        <v>4360</v>
      </c>
      <c r="B2167" s="13" t="s">
        <v>4361</v>
      </c>
      <c r="C2167" s="13" t="s">
        <v>144</v>
      </c>
      <c r="D2167" s="13" t="s">
        <v>747</v>
      </c>
      <c r="E2167" s="13" t="str">
        <f>IFERROR(INDEX('Почасовка — ставки и план'!$B$5:$B$24,MATCH(D2167,'Почасовка — ставки и план'!$A$5:$A$24,0)),"Аренда техники / механизмы")</f>
        <v>Механик ПС / подъёмников / прессов / доков</v>
      </c>
      <c r="F2167" s="14">
        <v>1800</v>
      </c>
      <c r="G2167" s="14">
        <v>2100</v>
      </c>
      <c r="H2167" s="15">
        <v>1000</v>
      </c>
      <c r="I2167" s="15">
        <f>IF(OR(H2167="",F2167=""),"",MAX(H2167,MIN(ROUND(H2167*(1+Параметры!$B$5),IF(H2167*(1+Параметры!$B$5)&gt;=1000,-1,0)),ROUND(F2167*Параметры!$B$6,IF(F2167*Параметры!$B$6&gt;=1000,-1,0)))))</f>
        <v>1150</v>
      </c>
      <c r="J2167" s="15">
        <v>1200</v>
      </c>
      <c r="K2167" s="15">
        <f>IF(OR(J2167="",G2167=""),"",MAX(J2167,MIN(ROUND(J2167*(1+Параметры!$B$5),IF(J2167*(1+Параметры!$B$5)&gt;=1000,-1,0)),ROUND(G2167*Параметры!$B$6,IF(G2167*Параметры!$B$6&gt;=1000,-1,0)))))</f>
        <v>1380</v>
      </c>
      <c r="L2167" s="16">
        <v>0.6</v>
      </c>
      <c r="M2167" s="17">
        <f t="shared" si="158"/>
        <v>1.6666666666666667</v>
      </c>
      <c r="N2167" s="17">
        <f>IF(OR(L2167="",L2167=0),"",Параметры!$B$3/L2167)</f>
        <v>13.333333333333334</v>
      </c>
      <c r="O2167" s="15">
        <f>IF(L2167="","",IFERROR(INDEX('Почасовка — ставки и план'!$D$5:$D$24,MATCH($D2167,'Почасовка — ставки и план'!$A$5:$A$24,0)),""))</f>
        <v>1500</v>
      </c>
      <c r="P2167" s="15">
        <f>IF(L2167="","",IFERROR(INDEX('Почасовка — ставки и план'!$E$5:$E$24,MATCH($D2167,'Почасовка — ставки и план'!$A$5:$A$24,0)),""))</f>
        <v>1800</v>
      </c>
      <c r="Q2167" s="15">
        <f t="shared" si="159"/>
        <v>900</v>
      </c>
      <c r="R2167" s="13" t="str">
        <f>IF(D2167="TEX","аренда техники — сделка/счёт",IF(OR(Q2167="",H2167="",H2167=0),"—",IF(Q2167&lt;H2167*(1-Параметры!$B$7),"почасовка",IF(Q2167&gt;H2167*(1+Параметры!$B$7),"сделка","любой способ"))))</f>
        <v>любой способ</v>
      </c>
      <c r="S2167">
        <v>0</v>
      </c>
      <c r="T2167">
        <v>0</v>
      </c>
    </row>
    <row r="2168" spans="1:20" x14ac:dyDescent="0.25">
      <c r="A2168" s="13" t="s">
        <v>4362</v>
      </c>
      <c r="B2168" s="13" t="s">
        <v>4363</v>
      </c>
      <c r="C2168" s="13" t="s">
        <v>144</v>
      </c>
      <c r="D2168" s="13" t="s">
        <v>747</v>
      </c>
      <c r="E2168" s="13" t="str">
        <f>IFERROR(INDEX('Почасовка — ставки и план'!$B$5:$B$24,MATCH(D2168,'Почасовка — ставки и план'!$A$5:$A$24,0)),"Аренда техники / механизмы")</f>
        <v>Механик ПС / подъёмников / прессов / доков</v>
      </c>
      <c r="F2168" s="14">
        <v>1800</v>
      </c>
      <c r="G2168" s="14">
        <v>2100</v>
      </c>
      <c r="H2168" s="15">
        <v>1000</v>
      </c>
      <c r="I2168" s="15">
        <f>IF(OR(H2168="",F2168=""),"",MAX(H2168,MIN(ROUND(H2168*(1+Параметры!$B$5),IF(H2168*(1+Параметры!$B$5)&gt;=1000,-1,0)),ROUND(F2168*Параметры!$B$6,IF(F2168*Параметры!$B$6&gt;=1000,-1,0)))))</f>
        <v>1150</v>
      </c>
      <c r="J2168" s="15">
        <v>1200</v>
      </c>
      <c r="K2168" s="15">
        <f>IF(OR(J2168="",G2168=""),"",MAX(J2168,MIN(ROUND(J2168*(1+Параметры!$B$5),IF(J2168*(1+Параметры!$B$5)&gt;=1000,-1,0)),ROUND(G2168*Параметры!$B$6,IF(G2168*Параметры!$B$6&gt;=1000,-1,0)))))</f>
        <v>1380</v>
      </c>
      <c r="L2168" s="16">
        <v>0.6</v>
      </c>
      <c r="M2168" s="17">
        <f t="shared" si="158"/>
        <v>1.6666666666666667</v>
      </c>
      <c r="N2168" s="17">
        <f>IF(OR(L2168="",L2168=0),"",Параметры!$B$3/L2168)</f>
        <v>13.333333333333334</v>
      </c>
      <c r="O2168" s="15">
        <f>IF(L2168="","",IFERROR(INDEX('Почасовка — ставки и план'!$D$5:$D$24,MATCH($D2168,'Почасовка — ставки и план'!$A$5:$A$24,0)),""))</f>
        <v>1500</v>
      </c>
      <c r="P2168" s="15">
        <f>IF(L2168="","",IFERROR(INDEX('Почасовка — ставки и план'!$E$5:$E$24,MATCH($D2168,'Почасовка — ставки и план'!$A$5:$A$24,0)),""))</f>
        <v>1800</v>
      </c>
      <c r="Q2168" s="15">
        <f t="shared" si="159"/>
        <v>900</v>
      </c>
      <c r="R2168" s="13" t="str">
        <f>IF(D2168="TEX","аренда техники — сделка/счёт",IF(OR(Q2168="",H2168="",H2168=0),"—",IF(Q2168&lt;H2168*(1-Параметры!$B$7),"почасовка",IF(Q2168&gt;H2168*(1+Параметры!$B$7),"сделка","любой способ"))))</f>
        <v>любой способ</v>
      </c>
      <c r="S2168">
        <v>0</v>
      </c>
      <c r="T2168">
        <v>0</v>
      </c>
    </row>
    <row r="2169" spans="1:20" x14ac:dyDescent="0.25">
      <c r="A2169" s="13" t="s">
        <v>4364</v>
      </c>
      <c r="B2169" s="13" t="s">
        <v>4365</v>
      </c>
      <c r="C2169" s="13" t="s">
        <v>144</v>
      </c>
      <c r="D2169" s="13" t="s">
        <v>747</v>
      </c>
      <c r="E2169" s="13" t="str">
        <f>IFERROR(INDEX('Почасовка — ставки и план'!$B$5:$B$24,MATCH(D2169,'Почасовка — ставки и план'!$A$5:$A$24,0)),"Аренда техники / механизмы")</f>
        <v>Механик ПС / подъёмников / прессов / доков</v>
      </c>
      <c r="F2169" s="14">
        <v>16000</v>
      </c>
      <c r="G2169" s="14">
        <v>18500</v>
      </c>
      <c r="H2169" s="15">
        <v>9600</v>
      </c>
      <c r="I2169" s="15">
        <f>IF(OR(H2169="",F2169=""),"",MAX(H2169,MIN(ROUND(H2169*(1+Параметры!$B$5),IF(H2169*(1+Параметры!$B$5)&gt;=1000,-1,0)),ROUND(F2169*Параметры!$B$6,IF(F2169*Параметры!$B$6&gt;=1000,-1,0)))))</f>
        <v>11040</v>
      </c>
      <c r="J2169" s="15">
        <v>11050</v>
      </c>
      <c r="K2169" s="15">
        <f>IF(OR(J2169="",G2169=""),"",MAX(J2169,MIN(ROUND(J2169*(1+Параметры!$B$5),IF(J2169*(1+Параметры!$B$5)&gt;=1000,-1,0)),ROUND(G2169*Параметры!$B$6,IF(G2169*Параметры!$B$6&gt;=1000,-1,0)))))</f>
        <v>12710</v>
      </c>
      <c r="L2169" s="16">
        <v>6</v>
      </c>
      <c r="M2169" s="17">
        <f t="shared" si="158"/>
        <v>0.16666666666666666</v>
      </c>
      <c r="N2169" s="17">
        <f>IF(OR(L2169="",L2169=0),"",Параметры!$B$3/L2169)</f>
        <v>1.3333333333333333</v>
      </c>
      <c r="O2169" s="15">
        <f>IF(L2169="","",IFERROR(INDEX('Почасовка — ставки и план'!$D$5:$D$24,MATCH($D2169,'Почасовка — ставки и план'!$A$5:$A$24,0)),""))</f>
        <v>1500</v>
      </c>
      <c r="P2169" s="15">
        <f>IF(L2169="","",IFERROR(INDEX('Почасовка — ставки и план'!$E$5:$E$24,MATCH($D2169,'Почасовка — ставки и план'!$A$5:$A$24,0)),""))</f>
        <v>1800</v>
      </c>
      <c r="Q2169" s="15">
        <f t="shared" si="159"/>
        <v>9000</v>
      </c>
      <c r="R2169" s="13" t="str">
        <f>IF(D2169="TEX","аренда техники — сделка/счёт",IF(OR(Q2169="",H2169="",H2169=0),"—",IF(Q2169&lt;H2169*(1-Параметры!$B$7),"почасовка",IF(Q2169&gt;H2169*(1+Параметры!$B$7),"сделка","любой способ"))))</f>
        <v>любой способ</v>
      </c>
      <c r="S2169">
        <v>0</v>
      </c>
      <c r="T2169">
        <v>0</v>
      </c>
    </row>
    <row r="2170" spans="1:20" x14ac:dyDescent="0.25">
      <c r="A2170" s="13" t="s">
        <v>4366</v>
      </c>
      <c r="B2170" s="13" t="s">
        <v>4367</v>
      </c>
      <c r="C2170" s="13" t="s">
        <v>144</v>
      </c>
      <c r="D2170" s="13" t="s">
        <v>747</v>
      </c>
      <c r="E2170" s="13" t="str">
        <f>IFERROR(INDEX('Почасовка — ставки и план'!$B$5:$B$24,MATCH(D2170,'Почасовка — ставки и план'!$A$5:$A$24,0)),"Аренда техники / механизмы")</f>
        <v>Механик ПС / подъёмников / прессов / доков</v>
      </c>
      <c r="F2170" s="14">
        <v>14000</v>
      </c>
      <c r="G2170" s="14">
        <v>16000</v>
      </c>
      <c r="H2170" s="15">
        <v>8400</v>
      </c>
      <c r="I2170" s="15">
        <f>IF(OR(H2170="",F2170=""),"",MAX(H2170,MIN(ROUND(H2170*(1+Параметры!$B$5),IF(H2170*(1+Параметры!$B$5)&gt;=1000,-1,0)),ROUND(F2170*Параметры!$B$6,IF(F2170*Параметры!$B$6&gt;=1000,-1,0)))))</f>
        <v>9660</v>
      </c>
      <c r="J2170" s="15">
        <v>9600</v>
      </c>
      <c r="K2170" s="15">
        <f>IF(OR(J2170="",G2170=""),"",MAX(J2170,MIN(ROUND(J2170*(1+Параметры!$B$5),IF(J2170*(1+Параметры!$B$5)&gt;=1000,-1,0)),ROUND(G2170*Параметры!$B$6,IF(G2170*Параметры!$B$6&gt;=1000,-1,0)))))</f>
        <v>11040</v>
      </c>
      <c r="L2170" s="16">
        <v>5</v>
      </c>
      <c r="M2170" s="17">
        <f t="shared" ref="M2170:M2201" si="160">IF(OR(L2170="",L2170=0),"",1/L2170)</f>
        <v>0.2</v>
      </c>
      <c r="N2170" s="17">
        <f>IF(OR(L2170="",L2170=0),"",Параметры!$B$3/L2170)</f>
        <v>1.6</v>
      </c>
      <c r="O2170" s="15">
        <f>IF(L2170="","",IFERROR(INDEX('Почасовка — ставки и план'!$D$5:$D$24,MATCH($D2170,'Почасовка — ставки и план'!$A$5:$A$24,0)),""))</f>
        <v>1500</v>
      </c>
      <c r="P2170" s="15">
        <f>IF(L2170="","",IFERROR(INDEX('Почасовка — ставки и план'!$E$5:$E$24,MATCH($D2170,'Почасовка — ставки и план'!$A$5:$A$24,0)),""))</f>
        <v>1800</v>
      </c>
      <c r="Q2170" s="15">
        <f t="shared" ref="Q2170:Q2201" si="161">IF(OR(L2170="",O2170=""),"",ROUND(L2170*O2170,0))</f>
        <v>7500</v>
      </c>
      <c r="R2170" s="13" t="str">
        <f>IF(D2170="TEX","аренда техники — сделка/счёт",IF(OR(Q2170="",H2170="",H2170=0),"—",IF(Q2170&lt;H2170*(1-Параметры!$B$7),"почасовка",IF(Q2170&gt;H2170*(1+Параметры!$B$7),"сделка","любой способ"))))</f>
        <v>почасовка</v>
      </c>
      <c r="S2170">
        <v>0</v>
      </c>
      <c r="T2170">
        <v>0</v>
      </c>
    </row>
    <row r="2171" spans="1:20" x14ac:dyDescent="0.25">
      <c r="A2171" s="13" t="s">
        <v>4368</v>
      </c>
      <c r="B2171" s="13" t="s">
        <v>4369</v>
      </c>
      <c r="C2171" s="13" t="s">
        <v>144</v>
      </c>
      <c r="D2171" s="13" t="s">
        <v>747</v>
      </c>
      <c r="E2171" s="13" t="str">
        <f>IFERROR(INDEX('Почасовка — ставки и план'!$B$5:$B$24,MATCH(D2171,'Почасовка — ставки и план'!$A$5:$A$24,0)),"Аренда техники / механизмы")</f>
        <v>Механик ПС / подъёмников / прессов / доков</v>
      </c>
      <c r="F2171" s="14">
        <v>2500</v>
      </c>
      <c r="G2171" s="14">
        <v>2900</v>
      </c>
      <c r="H2171" s="15">
        <v>1300</v>
      </c>
      <c r="I2171" s="15">
        <f>IF(OR(H2171="",F2171=""),"",MAX(H2171,MIN(ROUND(H2171*(1+Параметры!$B$5),IF(H2171*(1+Параметры!$B$5)&gt;=1000,-1,0)),ROUND(F2171*Параметры!$B$6,IF(F2171*Параметры!$B$6&gt;=1000,-1,0)))))</f>
        <v>1500</v>
      </c>
      <c r="J2171" s="15">
        <v>1500</v>
      </c>
      <c r="K2171" s="15">
        <f>IF(OR(J2171="",G2171=""),"",MAX(J2171,MIN(ROUND(J2171*(1+Параметры!$B$5),IF(J2171*(1+Параметры!$B$5)&gt;=1000,-1,0)),ROUND(G2171*Параметры!$B$6,IF(G2171*Параметры!$B$6&gt;=1000,-1,0)))))</f>
        <v>1730</v>
      </c>
      <c r="L2171" s="16">
        <v>0.75</v>
      </c>
      <c r="M2171" s="17">
        <f t="shared" si="160"/>
        <v>1.3333333333333333</v>
      </c>
      <c r="N2171" s="17">
        <f>IF(OR(L2171="",L2171=0),"",Параметры!$B$3/L2171)</f>
        <v>10.666666666666666</v>
      </c>
      <c r="O2171" s="15">
        <f>IF(L2171="","",IFERROR(INDEX('Почасовка — ставки и план'!$D$5:$D$24,MATCH($D2171,'Почасовка — ставки и план'!$A$5:$A$24,0)),""))</f>
        <v>1500</v>
      </c>
      <c r="P2171" s="15">
        <f>IF(L2171="","",IFERROR(INDEX('Почасовка — ставки и план'!$E$5:$E$24,MATCH($D2171,'Почасовка — ставки и план'!$A$5:$A$24,0)),""))</f>
        <v>1800</v>
      </c>
      <c r="Q2171" s="15">
        <f t="shared" si="161"/>
        <v>1125</v>
      </c>
      <c r="R2171" s="13" t="str">
        <f>IF(D2171="TEX","аренда техники — сделка/счёт",IF(OR(Q2171="",H2171="",H2171=0),"—",IF(Q2171&lt;H2171*(1-Параметры!$B$7),"почасовка",IF(Q2171&gt;H2171*(1+Параметры!$B$7),"сделка","любой способ"))))</f>
        <v>почасовка</v>
      </c>
      <c r="S2171">
        <v>0</v>
      </c>
      <c r="T2171">
        <v>0</v>
      </c>
    </row>
    <row r="2172" spans="1:20" x14ac:dyDescent="0.25">
      <c r="A2172" s="13" t="s">
        <v>4370</v>
      </c>
      <c r="B2172" s="13" t="s">
        <v>4371</v>
      </c>
      <c r="C2172" s="13" t="s">
        <v>144</v>
      </c>
      <c r="D2172" s="13" t="s">
        <v>747</v>
      </c>
      <c r="E2172" s="13" t="str">
        <f>IFERROR(INDEX('Почасовка — ставки и план'!$B$5:$B$24,MATCH(D2172,'Почасовка — ставки и план'!$A$5:$A$24,0)),"Аренда техники / механизмы")</f>
        <v>Механик ПС / подъёмников / прессов / доков</v>
      </c>
      <c r="F2172" s="14">
        <v>3000</v>
      </c>
      <c r="G2172" s="14">
        <v>3500</v>
      </c>
      <c r="H2172" s="15">
        <v>1700</v>
      </c>
      <c r="I2172" s="15">
        <f>IF(OR(H2172="",F2172=""),"",MAX(H2172,MIN(ROUND(H2172*(1+Параметры!$B$5),IF(H2172*(1+Параметры!$B$5)&gt;=1000,-1,0)),ROUND(F2172*Параметры!$B$6,IF(F2172*Параметры!$B$6&gt;=1000,-1,0)))))</f>
        <v>1960</v>
      </c>
      <c r="J2172" s="15">
        <v>1900</v>
      </c>
      <c r="K2172" s="15">
        <f>IF(OR(J2172="",G2172=""),"",MAX(J2172,MIN(ROUND(J2172*(1+Параметры!$B$5),IF(J2172*(1+Параметры!$B$5)&gt;=1000,-1,0)),ROUND(G2172*Параметры!$B$6,IF(G2172*Параметры!$B$6&gt;=1000,-1,0)))))</f>
        <v>2190</v>
      </c>
      <c r="L2172" s="16">
        <v>1</v>
      </c>
      <c r="M2172" s="17">
        <f t="shared" si="160"/>
        <v>1</v>
      </c>
      <c r="N2172" s="17">
        <f>IF(OR(L2172="",L2172=0),"",Параметры!$B$3/L2172)</f>
        <v>8</v>
      </c>
      <c r="O2172" s="15">
        <f>IF(L2172="","",IFERROR(INDEX('Почасовка — ставки и план'!$D$5:$D$24,MATCH($D2172,'Почасовка — ставки и план'!$A$5:$A$24,0)),""))</f>
        <v>1500</v>
      </c>
      <c r="P2172" s="15">
        <f>IF(L2172="","",IFERROR(INDEX('Почасовка — ставки и план'!$E$5:$E$24,MATCH($D2172,'Почасовка — ставки и план'!$A$5:$A$24,0)),""))</f>
        <v>1800</v>
      </c>
      <c r="Q2172" s="15">
        <f t="shared" si="161"/>
        <v>1500</v>
      </c>
      <c r="R2172" s="13" t="str">
        <f>IF(D2172="TEX","аренда техники — сделка/счёт",IF(OR(Q2172="",H2172="",H2172=0),"—",IF(Q2172&lt;H2172*(1-Параметры!$B$7),"почасовка",IF(Q2172&gt;H2172*(1+Параметры!$B$7),"сделка","любой способ"))))</f>
        <v>почасовка</v>
      </c>
      <c r="S2172">
        <v>0</v>
      </c>
      <c r="T2172">
        <v>0</v>
      </c>
    </row>
    <row r="2173" spans="1:20" x14ac:dyDescent="0.25">
      <c r="A2173" s="13" t="s">
        <v>4372</v>
      </c>
      <c r="B2173" s="13" t="s">
        <v>4373</v>
      </c>
      <c r="C2173" s="13" t="s">
        <v>144</v>
      </c>
      <c r="D2173" s="13" t="s">
        <v>747</v>
      </c>
      <c r="E2173" s="13" t="str">
        <f>IFERROR(INDEX('Почасовка — ставки и план'!$B$5:$B$24,MATCH(D2173,'Почасовка — ставки и план'!$A$5:$A$24,0)),"Аренда техники / механизмы")</f>
        <v>Механик ПС / подъёмников / прессов / доков</v>
      </c>
      <c r="F2173" s="14">
        <v>1000</v>
      </c>
      <c r="G2173" s="14">
        <v>1150</v>
      </c>
      <c r="H2173" s="15">
        <v>540</v>
      </c>
      <c r="I2173" s="15">
        <f>IF(OR(H2173="",F2173=""),"",MAX(H2173,MIN(ROUND(H2173*(1+Параметры!$B$5),IF(H2173*(1+Параметры!$B$5)&gt;=1000,-1,0)),ROUND(F2173*Параметры!$B$6,IF(F2173*Параметры!$B$6&gt;=1000,-1,0)))))</f>
        <v>621</v>
      </c>
      <c r="J2173" s="15">
        <v>600</v>
      </c>
      <c r="K2173" s="15">
        <f>IF(OR(J2173="",G2173=""),"",MAX(J2173,MIN(ROUND(J2173*(1+Параметры!$B$5),IF(J2173*(1+Параметры!$B$5)&gt;=1000,-1,0)),ROUND(G2173*Параметры!$B$6,IF(G2173*Параметры!$B$6&gt;=1000,-1,0)))))</f>
        <v>690</v>
      </c>
      <c r="L2173" s="16">
        <v>0.3</v>
      </c>
      <c r="M2173" s="17">
        <f t="shared" si="160"/>
        <v>3.3333333333333335</v>
      </c>
      <c r="N2173" s="17">
        <f>IF(OR(L2173="",L2173=0),"",Параметры!$B$3/L2173)</f>
        <v>26.666666666666668</v>
      </c>
      <c r="O2173" s="15">
        <f>IF(L2173="","",IFERROR(INDEX('Почасовка — ставки и план'!$D$5:$D$24,MATCH($D2173,'Почасовка — ставки и план'!$A$5:$A$24,0)),""))</f>
        <v>1500</v>
      </c>
      <c r="P2173" s="15">
        <f>IF(L2173="","",IFERROR(INDEX('Почасовка — ставки и план'!$E$5:$E$24,MATCH($D2173,'Почасовка — ставки и план'!$A$5:$A$24,0)),""))</f>
        <v>1800</v>
      </c>
      <c r="Q2173" s="15">
        <f t="shared" si="161"/>
        <v>450</v>
      </c>
      <c r="R2173" s="13" t="str">
        <f>IF(D2173="TEX","аренда техники — сделка/счёт",IF(OR(Q2173="",H2173="",H2173=0),"—",IF(Q2173&lt;H2173*(1-Параметры!$B$7),"почасовка",IF(Q2173&gt;H2173*(1+Параметры!$B$7),"сделка","любой способ"))))</f>
        <v>почасовка</v>
      </c>
      <c r="S2173">
        <v>0</v>
      </c>
      <c r="T2173">
        <v>0</v>
      </c>
    </row>
    <row r="2174" spans="1:20" x14ac:dyDescent="0.25">
      <c r="A2174" s="13" t="s">
        <v>4374</v>
      </c>
      <c r="B2174" s="13" t="s">
        <v>4375</v>
      </c>
      <c r="C2174" s="13" t="s">
        <v>144</v>
      </c>
      <c r="D2174" s="13" t="s">
        <v>747</v>
      </c>
      <c r="E2174" s="13" t="str">
        <f>IFERROR(INDEX('Почасовка — ставки и план'!$B$5:$B$24,MATCH(D2174,'Почасовка — ставки и план'!$A$5:$A$24,0)),"Аренда техники / механизмы")</f>
        <v>Механик ПС / подъёмников / прессов / доков</v>
      </c>
      <c r="F2174" s="14">
        <v>4000</v>
      </c>
      <c r="G2174" s="14">
        <v>4600</v>
      </c>
      <c r="H2174" s="15">
        <v>2400</v>
      </c>
      <c r="I2174" s="15">
        <f>IF(OR(H2174="",F2174=""),"",MAX(H2174,MIN(ROUND(H2174*(1+Параметры!$B$5),IF(H2174*(1+Параметры!$B$5)&gt;=1000,-1,0)),ROUND(F2174*Параметры!$B$6,IF(F2174*Параметры!$B$6&gt;=1000,-1,0)))))</f>
        <v>2760</v>
      </c>
      <c r="J2174" s="15">
        <v>2750</v>
      </c>
      <c r="K2174" s="15">
        <f>IF(OR(J2174="",G2174=""),"",MAX(J2174,MIN(ROUND(J2174*(1+Параметры!$B$5),IF(J2174*(1+Параметры!$B$5)&gt;=1000,-1,0)),ROUND(G2174*Параметры!$B$6,IF(G2174*Параметры!$B$6&gt;=1000,-1,0)))))</f>
        <v>3160</v>
      </c>
      <c r="L2174" s="16">
        <v>1.5</v>
      </c>
      <c r="M2174" s="17">
        <f t="shared" si="160"/>
        <v>0.66666666666666663</v>
      </c>
      <c r="N2174" s="17">
        <f>IF(OR(L2174="",L2174=0),"",Параметры!$B$3/L2174)</f>
        <v>5.333333333333333</v>
      </c>
      <c r="O2174" s="15">
        <f>IF(L2174="","",IFERROR(INDEX('Почасовка — ставки и план'!$D$5:$D$24,MATCH($D2174,'Почасовка — ставки и план'!$A$5:$A$24,0)),""))</f>
        <v>1500</v>
      </c>
      <c r="P2174" s="15">
        <f>IF(L2174="","",IFERROR(INDEX('Почасовка — ставки и план'!$E$5:$E$24,MATCH($D2174,'Почасовка — ставки и план'!$A$5:$A$24,0)),""))</f>
        <v>1800</v>
      </c>
      <c r="Q2174" s="15">
        <f t="shared" si="161"/>
        <v>2250</v>
      </c>
      <c r="R2174" s="13" t="str">
        <f>IF(D2174="TEX","аренда техники — сделка/счёт",IF(OR(Q2174="",H2174="",H2174=0),"—",IF(Q2174&lt;H2174*(1-Параметры!$B$7),"почасовка",IF(Q2174&gt;H2174*(1+Параметры!$B$7),"сделка","любой способ"))))</f>
        <v>любой способ</v>
      </c>
      <c r="S2174">
        <v>0</v>
      </c>
      <c r="T2174">
        <v>0</v>
      </c>
    </row>
    <row r="2175" spans="1:20" x14ac:dyDescent="0.25">
      <c r="A2175" s="13" t="s">
        <v>4376</v>
      </c>
      <c r="B2175" s="13" t="s">
        <v>4377</v>
      </c>
      <c r="C2175" s="13" t="s">
        <v>144</v>
      </c>
      <c r="D2175" s="13" t="s">
        <v>747</v>
      </c>
      <c r="E2175" s="13" t="str">
        <f>IFERROR(INDEX('Почасовка — ставки и план'!$B$5:$B$24,MATCH(D2175,'Почасовка — ставки и план'!$A$5:$A$24,0)),"Аренда техники / механизмы")</f>
        <v>Механик ПС / подъёмников / прессов / доков</v>
      </c>
      <c r="F2175" s="14">
        <v>8000</v>
      </c>
      <c r="G2175" s="14">
        <v>9200</v>
      </c>
      <c r="H2175" s="15">
        <v>4800</v>
      </c>
      <c r="I2175" s="15">
        <f>IF(OR(H2175="",F2175=""),"",MAX(H2175,MIN(ROUND(H2175*(1+Параметры!$B$5),IF(H2175*(1+Параметры!$B$5)&gt;=1000,-1,0)),ROUND(F2175*Параметры!$B$6,IF(F2175*Параметры!$B$6&gt;=1000,-1,0)))))</f>
        <v>5520</v>
      </c>
      <c r="J2175" s="15">
        <v>5500</v>
      </c>
      <c r="K2175" s="15">
        <f>IF(OR(J2175="",G2175=""),"",MAX(J2175,MIN(ROUND(J2175*(1+Параметры!$B$5),IF(J2175*(1+Параметры!$B$5)&gt;=1000,-1,0)),ROUND(G2175*Параметры!$B$6,IF(G2175*Параметры!$B$6&gt;=1000,-1,0)))))</f>
        <v>6330</v>
      </c>
      <c r="L2175" s="16">
        <v>3</v>
      </c>
      <c r="M2175" s="17">
        <f t="shared" si="160"/>
        <v>0.33333333333333331</v>
      </c>
      <c r="N2175" s="17">
        <f>IF(OR(L2175="",L2175=0),"",Параметры!$B$3/L2175)</f>
        <v>2.6666666666666665</v>
      </c>
      <c r="O2175" s="15">
        <f>IF(L2175="","",IFERROR(INDEX('Почасовка — ставки и план'!$D$5:$D$24,MATCH($D2175,'Почасовка — ставки и план'!$A$5:$A$24,0)),""))</f>
        <v>1500</v>
      </c>
      <c r="P2175" s="15">
        <f>IF(L2175="","",IFERROR(INDEX('Почасовка — ставки и план'!$E$5:$E$24,MATCH($D2175,'Почасовка — ставки и план'!$A$5:$A$24,0)),""))</f>
        <v>1800</v>
      </c>
      <c r="Q2175" s="15">
        <f t="shared" si="161"/>
        <v>4500</v>
      </c>
      <c r="R2175" s="13" t="str">
        <f>IF(D2175="TEX","аренда техники — сделка/счёт",IF(OR(Q2175="",H2175="",H2175=0),"—",IF(Q2175&lt;H2175*(1-Параметры!$B$7),"почасовка",IF(Q2175&gt;H2175*(1+Параметры!$B$7),"сделка","любой способ"))))</f>
        <v>любой способ</v>
      </c>
      <c r="S2175">
        <v>0</v>
      </c>
      <c r="T2175">
        <v>0</v>
      </c>
    </row>
    <row r="2176" spans="1:20" x14ac:dyDescent="0.25">
      <c r="A2176" s="13" t="s">
        <v>4378</v>
      </c>
      <c r="B2176" s="13" t="s">
        <v>4379</v>
      </c>
      <c r="C2176" s="13" t="s">
        <v>144</v>
      </c>
      <c r="D2176" s="13" t="s">
        <v>747</v>
      </c>
      <c r="E2176" s="13" t="str">
        <f>IFERROR(INDEX('Почасовка — ставки и план'!$B$5:$B$24,MATCH(D2176,'Почасовка — ставки и план'!$A$5:$A$24,0)),"Аренда техники / механизмы")</f>
        <v>Механик ПС / подъёмников / прессов / доков</v>
      </c>
      <c r="F2176" s="14">
        <v>7000</v>
      </c>
      <c r="G2176" s="14">
        <v>8000</v>
      </c>
      <c r="H2176" s="15">
        <v>4200</v>
      </c>
      <c r="I2176" s="15">
        <f>IF(OR(H2176="",F2176=""),"",MAX(H2176,MIN(ROUND(H2176*(1+Параметры!$B$5),IF(H2176*(1+Параметры!$B$5)&gt;=1000,-1,0)),ROUND(F2176*Параметры!$B$6,IF(F2176*Параметры!$B$6&gt;=1000,-1,0)))))</f>
        <v>4830</v>
      </c>
      <c r="J2176" s="15">
        <v>4800</v>
      </c>
      <c r="K2176" s="15">
        <f>IF(OR(J2176="",G2176=""),"",MAX(J2176,MIN(ROUND(J2176*(1+Параметры!$B$5),IF(J2176*(1+Параметры!$B$5)&gt;=1000,-1,0)),ROUND(G2176*Параметры!$B$6,IF(G2176*Параметры!$B$6&gt;=1000,-1,0)))))</f>
        <v>5520</v>
      </c>
      <c r="L2176" s="16">
        <v>2.5</v>
      </c>
      <c r="M2176" s="17">
        <f t="shared" si="160"/>
        <v>0.4</v>
      </c>
      <c r="N2176" s="17">
        <f>IF(OR(L2176="",L2176=0),"",Параметры!$B$3/L2176)</f>
        <v>3.2</v>
      </c>
      <c r="O2176" s="15">
        <f>IF(L2176="","",IFERROR(INDEX('Почасовка — ставки и план'!$D$5:$D$24,MATCH($D2176,'Почасовка — ставки и план'!$A$5:$A$24,0)),""))</f>
        <v>1500</v>
      </c>
      <c r="P2176" s="15">
        <f>IF(L2176="","",IFERROR(INDEX('Почасовка — ставки и план'!$E$5:$E$24,MATCH($D2176,'Почасовка — ставки и план'!$A$5:$A$24,0)),""))</f>
        <v>1800</v>
      </c>
      <c r="Q2176" s="15">
        <f t="shared" si="161"/>
        <v>3750</v>
      </c>
      <c r="R2176" s="13" t="str">
        <f>IF(D2176="TEX","аренда техники — сделка/счёт",IF(OR(Q2176="",H2176="",H2176=0),"—",IF(Q2176&lt;H2176*(1-Параметры!$B$7),"почасовка",IF(Q2176&gt;H2176*(1+Параметры!$B$7),"сделка","любой способ"))))</f>
        <v>почасовка</v>
      </c>
      <c r="S2176">
        <v>0</v>
      </c>
      <c r="T2176">
        <v>0</v>
      </c>
    </row>
    <row r="2177" spans="1:20" x14ac:dyDescent="0.25">
      <c r="A2177" s="13" t="s">
        <v>4380</v>
      </c>
      <c r="B2177" s="13" t="s">
        <v>4381</v>
      </c>
      <c r="C2177" s="13" t="s">
        <v>144</v>
      </c>
      <c r="D2177" s="13" t="s">
        <v>747</v>
      </c>
      <c r="E2177" s="13" t="str">
        <f>IFERROR(INDEX('Почасовка — ставки и план'!$B$5:$B$24,MATCH(D2177,'Почасовка — ставки и план'!$A$5:$A$24,0)),"Аренда техники / механизмы")</f>
        <v>Механик ПС / подъёмников / прессов / доков</v>
      </c>
      <c r="F2177" s="14">
        <v>2200</v>
      </c>
      <c r="G2177" s="14">
        <v>2600</v>
      </c>
      <c r="H2177" s="15">
        <v>1250</v>
      </c>
      <c r="I2177" s="15">
        <f>IF(OR(H2177="",F2177=""),"",MAX(H2177,MIN(ROUND(H2177*(1+Параметры!$B$5),IF(H2177*(1+Параметры!$B$5)&gt;=1000,-1,0)),ROUND(F2177*Параметры!$B$6,IF(F2177*Параметры!$B$6&gt;=1000,-1,0)))))</f>
        <v>1440</v>
      </c>
      <c r="J2177" s="15">
        <v>1450</v>
      </c>
      <c r="K2177" s="15">
        <f>IF(OR(J2177="",G2177=""),"",MAX(J2177,MIN(ROUND(J2177*(1+Параметры!$B$5),IF(J2177*(1+Параметры!$B$5)&gt;=1000,-1,0)),ROUND(G2177*Параметры!$B$6,IF(G2177*Параметры!$B$6&gt;=1000,-1,0)))))</f>
        <v>1670</v>
      </c>
      <c r="L2177" s="16">
        <v>0.75</v>
      </c>
      <c r="M2177" s="17">
        <f t="shared" si="160"/>
        <v>1.3333333333333333</v>
      </c>
      <c r="N2177" s="17">
        <f>IF(OR(L2177="",L2177=0),"",Параметры!$B$3/L2177)</f>
        <v>10.666666666666666</v>
      </c>
      <c r="O2177" s="15">
        <f>IF(L2177="","",IFERROR(INDEX('Почасовка — ставки и план'!$D$5:$D$24,MATCH($D2177,'Почасовка — ставки и план'!$A$5:$A$24,0)),""))</f>
        <v>1500</v>
      </c>
      <c r="P2177" s="15">
        <f>IF(L2177="","",IFERROR(INDEX('Почасовка — ставки и план'!$E$5:$E$24,MATCH($D2177,'Почасовка — ставки и план'!$A$5:$A$24,0)),""))</f>
        <v>1800</v>
      </c>
      <c r="Q2177" s="15">
        <f t="shared" si="161"/>
        <v>1125</v>
      </c>
      <c r="R2177" s="13" t="str">
        <f>IF(D2177="TEX","аренда техники — сделка/счёт",IF(OR(Q2177="",H2177="",H2177=0),"—",IF(Q2177&lt;H2177*(1-Параметры!$B$7),"почасовка",IF(Q2177&gt;H2177*(1+Параметры!$B$7),"сделка","любой способ"))))</f>
        <v>любой способ</v>
      </c>
      <c r="S2177">
        <v>0</v>
      </c>
      <c r="T2177">
        <v>0</v>
      </c>
    </row>
    <row r="2178" spans="1:20" x14ac:dyDescent="0.25">
      <c r="A2178" s="13" t="s">
        <v>4382</v>
      </c>
      <c r="B2178" s="13" t="s">
        <v>4383</v>
      </c>
      <c r="C2178" s="13" t="s">
        <v>144</v>
      </c>
      <c r="D2178" s="13" t="s">
        <v>747</v>
      </c>
      <c r="E2178" s="13" t="str">
        <f>IFERROR(INDEX('Почасовка — ставки и план'!$B$5:$B$24,MATCH(D2178,'Почасовка — ставки и план'!$A$5:$A$24,0)),"Аренда техники / механизмы")</f>
        <v>Механик ПС / подъёмников / прессов / доков</v>
      </c>
      <c r="F2178" s="14">
        <v>2200</v>
      </c>
      <c r="G2178" s="14">
        <v>2600</v>
      </c>
      <c r="H2178" s="15">
        <v>1250</v>
      </c>
      <c r="I2178" s="15">
        <f>IF(OR(H2178="",F2178=""),"",MAX(H2178,MIN(ROUND(H2178*(1+Параметры!$B$5),IF(H2178*(1+Параметры!$B$5)&gt;=1000,-1,0)),ROUND(F2178*Параметры!$B$6,IF(F2178*Параметры!$B$6&gt;=1000,-1,0)))))</f>
        <v>1440</v>
      </c>
      <c r="J2178" s="15">
        <v>1450</v>
      </c>
      <c r="K2178" s="15">
        <f>IF(OR(J2178="",G2178=""),"",MAX(J2178,MIN(ROUND(J2178*(1+Параметры!$B$5),IF(J2178*(1+Параметры!$B$5)&gt;=1000,-1,0)),ROUND(G2178*Параметры!$B$6,IF(G2178*Параметры!$B$6&gt;=1000,-1,0)))))</f>
        <v>1670</v>
      </c>
      <c r="L2178" s="16">
        <v>0.75</v>
      </c>
      <c r="M2178" s="17">
        <f t="shared" si="160"/>
        <v>1.3333333333333333</v>
      </c>
      <c r="N2178" s="17">
        <f>IF(OR(L2178="",L2178=0),"",Параметры!$B$3/L2178)</f>
        <v>10.666666666666666</v>
      </c>
      <c r="O2178" s="15">
        <f>IF(L2178="","",IFERROR(INDEX('Почасовка — ставки и план'!$D$5:$D$24,MATCH($D2178,'Почасовка — ставки и план'!$A$5:$A$24,0)),""))</f>
        <v>1500</v>
      </c>
      <c r="P2178" s="15">
        <f>IF(L2178="","",IFERROR(INDEX('Почасовка — ставки и план'!$E$5:$E$24,MATCH($D2178,'Почасовка — ставки и план'!$A$5:$A$24,0)),""))</f>
        <v>1800</v>
      </c>
      <c r="Q2178" s="15">
        <f t="shared" si="161"/>
        <v>1125</v>
      </c>
      <c r="R2178" s="13" t="str">
        <f>IF(D2178="TEX","аренда техники — сделка/счёт",IF(OR(Q2178="",H2178="",H2178=0),"—",IF(Q2178&lt;H2178*(1-Параметры!$B$7),"почасовка",IF(Q2178&gt;H2178*(1+Параметры!$B$7),"сделка","любой способ"))))</f>
        <v>любой способ</v>
      </c>
      <c r="S2178">
        <v>0</v>
      </c>
      <c r="T2178">
        <v>0</v>
      </c>
    </row>
    <row r="2179" spans="1:20" x14ac:dyDescent="0.25">
      <c r="A2179" s="13" t="s">
        <v>4384</v>
      </c>
      <c r="B2179" s="13" t="s">
        <v>4385</v>
      </c>
      <c r="C2179" s="13" t="s">
        <v>144</v>
      </c>
      <c r="D2179" s="13" t="s">
        <v>747</v>
      </c>
      <c r="E2179" s="13" t="str">
        <f>IFERROR(INDEX('Почасовка — ставки и план'!$B$5:$B$24,MATCH(D2179,'Почасовка — ставки и план'!$A$5:$A$24,0)),"Аренда техники / механизмы")</f>
        <v>Механик ПС / подъёмников / прессов / доков</v>
      </c>
      <c r="F2179" s="14">
        <v>5500</v>
      </c>
      <c r="G2179" s="14">
        <v>6300</v>
      </c>
      <c r="H2179" s="15">
        <v>3350</v>
      </c>
      <c r="I2179" s="15">
        <f>IF(OR(H2179="",F2179=""),"",MAX(H2179,MIN(ROUND(H2179*(1+Параметры!$B$5),IF(H2179*(1+Параметры!$B$5)&gt;=1000,-1,0)),ROUND(F2179*Параметры!$B$6,IF(F2179*Параметры!$B$6&gt;=1000,-1,0)))))</f>
        <v>3850</v>
      </c>
      <c r="J2179" s="15">
        <v>3850</v>
      </c>
      <c r="K2179" s="15">
        <f>IF(OR(J2179="",G2179=""),"",MAX(J2179,MIN(ROUND(J2179*(1+Параметры!$B$5),IF(J2179*(1+Параметры!$B$5)&gt;=1000,-1,0)),ROUND(G2179*Параметры!$B$6,IF(G2179*Параметры!$B$6&gt;=1000,-1,0)))))</f>
        <v>4430</v>
      </c>
      <c r="L2179" s="16">
        <v>2</v>
      </c>
      <c r="M2179" s="17">
        <f t="shared" si="160"/>
        <v>0.5</v>
      </c>
      <c r="N2179" s="17">
        <f>IF(OR(L2179="",L2179=0),"",Параметры!$B$3/L2179)</f>
        <v>4</v>
      </c>
      <c r="O2179" s="15">
        <f>IF(L2179="","",IFERROR(INDEX('Почасовка — ставки и план'!$D$5:$D$24,MATCH($D2179,'Почасовка — ставки и план'!$A$5:$A$24,0)),""))</f>
        <v>1500</v>
      </c>
      <c r="P2179" s="15">
        <f>IF(L2179="","",IFERROR(INDEX('Почасовка — ставки и план'!$E$5:$E$24,MATCH($D2179,'Почасовка — ставки и план'!$A$5:$A$24,0)),""))</f>
        <v>1800</v>
      </c>
      <c r="Q2179" s="15">
        <f t="shared" si="161"/>
        <v>3000</v>
      </c>
      <c r="R2179" s="13" t="str">
        <f>IF(D2179="TEX","аренда техники — сделка/счёт",IF(OR(Q2179="",H2179="",H2179=0),"—",IF(Q2179&lt;H2179*(1-Параметры!$B$7),"почасовка",IF(Q2179&gt;H2179*(1+Параметры!$B$7),"сделка","любой способ"))))</f>
        <v>почасовка</v>
      </c>
      <c r="S2179">
        <v>0</v>
      </c>
      <c r="T2179">
        <v>0</v>
      </c>
    </row>
    <row r="2180" spans="1:20" x14ac:dyDescent="0.25">
      <c r="A2180" s="13" t="s">
        <v>4386</v>
      </c>
      <c r="B2180" s="13" t="s">
        <v>4387</v>
      </c>
      <c r="C2180" s="13" t="s">
        <v>144</v>
      </c>
      <c r="D2180" s="13" t="s">
        <v>747</v>
      </c>
      <c r="E2180" s="13" t="str">
        <f>IFERROR(INDEX('Почасовка — ставки и план'!$B$5:$B$24,MATCH(D2180,'Почасовка — ставки и план'!$A$5:$A$24,0)),"Аренда техники / механизмы")</f>
        <v>Механик ПС / подъёмников / прессов / доков</v>
      </c>
      <c r="F2180" s="14">
        <v>13000</v>
      </c>
      <c r="G2180" s="14">
        <v>15000</v>
      </c>
      <c r="H2180" s="15">
        <v>7800</v>
      </c>
      <c r="I2180" s="15">
        <f>IF(OR(H2180="",F2180=""),"",MAX(H2180,MIN(ROUND(H2180*(1+Параметры!$B$5),IF(H2180*(1+Параметры!$B$5)&gt;=1000,-1,0)),ROUND(F2180*Параметры!$B$6,IF(F2180*Параметры!$B$6&gt;=1000,-1,0)))))</f>
        <v>8970</v>
      </c>
      <c r="J2180" s="15">
        <v>9000</v>
      </c>
      <c r="K2180" s="15">
        <f>IF(OR(J2180="",G2180=""),"",MAX(J2180,MIN(ROUND(J2180*(1+Параметры!$B$5),IF(J2180*(1+Параметры!$B$5)&gt;=1000,-1,0)),ROUND(G2180*Параметры!$B$6,IF(G2180*Параметры!$B$6&gt;=1000,-1,0)))))</f>
        <v>10350</v>
      </c>
      <c r="L2180" s="16">
        <v>5</v>
      </c>
      <c r="M2180" s="17">
        <f t="shared" si="160"/>
        <v>0.2</v>
      </c>
      <c r="N2180" s="17">
        <f>IF(OR(L2180="",L2180=0),"",Параметры!$B$3/L2180)</f>
        <v>1.6</v>
      </c>
      <c r="O2180" s="15">
        <f>IF(L2180="","",IFERROR(INDEX('Почасовка — ставки и план'!$D$5:$D$24,MATCH($D2180,'Почасовка — ставки и план'!$A$5:$A$24,0)),""))</f>
        <v>1500</v>
      </c>
      <c r="P2180" s="15">
        <f>IF(L2180="","",IFERROR(INDEX('Почасовка — ставки и план'!$E$5:$E$24,MATCH($D2180,'Почасовка — ставки и план'!$A$5:$A$24,0)),""))</f>
        <v>1800</v>
      </c>
      <c r="Q2180" s="15">
        <f t="shared" si="161"/>
        <v>7500</v>
      </c>
      <c r="R2180" s="13" t="str">
        <f>IF(D2180="TEX","аренда техники — сделка/счёт",IF(OR(Q2180="",H2180="",H2180=0),"—",IF(Q2180&lt;H2180*(1-Параметры!$B$7),"почасовка",IF(Q2180&gt;H2180*(1+Параметры!$B$7),"сделка","любой способ"))))</f>
        <v>любой способ</v>
      </c>
      <c r="S2180">
        <v>0</v>
      </c>
      <c r="T2180">
        <v>0</v>
      </c>
    </row>
    <row r="2181" spans="1:20" x14ac:dyDescent="0.25">
      <c r="A2181" s="13" t="s">
        <v>4388</v>
      </c>
      <c r="B2181" s="13" t="s">
        <v>4389</v>
      </c>
      <c r="C2181" s="13" t="s">
        <v>144</v>
      </c>
      <c r="D2181" s="13" t="s">
        <v>747</v>
      </c>
      <c r="E2181" s="13" t="str">
        <f>IFERROR(INDEX('Почасовка — ставки и план'!$B$5:$B$24,MATCH(D2181,'Почасовка — ставки и план'!$A$5:$A$24,0)),"Аренда техники / механизмы")</f>
        <v>Механик ПС / подъёмников / прессов / доков</v>
      </c>
      <c r="F2181" s="14">
        <v>15000</v>
      </c>
      <c r="G2181" s="14">
        <v>17500</v>
      </c>
      <c r="H2181" s="15">
        <v>9000</v>
      </c>
      <c r="I2181" s="15">
        <f>IF(OR(H2181="",F2181=""),"",MAX(H2181,MIN(ROUND(H2181*(1+Параметры!$B$5),IF(H2181*(1+Параметры!$B$5)&gt;=1000,-1,0)),ROUND(F2181*Параметры!$B$6,IF(F2181*Параметры!$B$6&gt;=1000,-1,0)))))</f>
        <v>10350</v>
      </c>
      <c r="J2181" s="15">
        <v>10450</v>
      </c>
      <c r="K2181" s="15">
        <f>IF(OR(J2181="",G2181=""),"",MAX(J2181,MIN(ROUND(J2181*(1+Параметры!$B$5),IF(J2181*(1+Параметры!$B$5)&gt;=1000,-1,0)),ROUND(G2181*Параметры!$B$6,IF(G2181*Параметры!$B$6&gt;=1000,-1,0)))))</f>
        <v>12020</v>
      </c>
      <c r="L2181" s="16">
        <v>6</v>
      </c>
      <c r="M2181" s="17">
        <f t="shared" si="160"/>
        <v>0.16666666666666666</v>
      </c>
      <c r="N2181" s="17">
        <f>IF(OR(L2181="",L2181=0),"",Параметры!$B$3/L2181)</f>
        <v>1.3333333333333333</v>
      </c>
      <c r="O2181" s="15">
        <f>IF(L2181="","",IFERROR(INDEX('Почасовка — ставки и план'!$D$5:$D$24,MATCH($D2181,'Почасовка — ставки и план'!$A$5:$A$24,0)),""))</f>
        <v>1500</v>
      </c>
      <c r="P2181" s="15">
        <f>IF(L2181="","",IFERROR(INDEX('Почасовка — ставки и план'!$E$5:$E$24,MATCH($D2181,'Почасовка — ставки и план'!$A$5:$A$24,0)),""))</f>
        <v>1800</v>
      </c>
      <c r="Q2181" s="15">
        <f t="shared" si="161"/>
        <v>9000</v>
      </c>
      <c r="R2181" s="13" t="str">
        <f>IF(D2181="TEX","аренда техники — сделка/счёт",IF(OR(Q2181="",H2181="",H2181=0),"—",IF(Q2181&lt;H2181*(1-Параметры!$B$7),"почасовка",IF(Q2181&gt;H2181*(1+Параметры!$B$7),"сделка","любой способ"))))</f>
        <v>любой способ</v>
      </c>
      <c r="S2181">
        <v>0</v>
      </c>
      <c r="T2181">
        <v>0</v>
      </c>
    </row>
    <row r="2182" spans="1:20" x14ac:dyDescent="0.25">
      <c r="A2182" s="13" t="s">
        <v>4390</v>
      </c>
      <c r="B2182" s="13" t="s">
        <v>4391</v>
      </c>
      <c r="C2182" s="13" t="s">
        <v>144</v>
      </c>
      <c r="D2182" s="13" t="s">
        <v>747</v>
      </c>
      <c r="E2182" s="13" t="str">
        <f>IFERROR(INDEX('Почасовка — ставки и план'!$B$5:$B$24,MATCH(D2182,'Почасовка — ставки и план'!$A$5:$A$24,0)),"Аренда техники / механизмы")</f>
        <v>Механик ПС / подъёмников / прессов / доков</v>
      </c>
      <c r="F2182" s="14">
        <v>15000</v>
      </c>
      <c r="G2182" s="14">
        <v>17500</v>
      </c>
      <c r="H2182" s="15">
        <v>9000</v>
      </c>
      <c r="I2182" s="15">
        <f>IF(OR(H2182="",F2182=""),"",MAX(H2182,MIN(ROUND(H2182*(1+Параметры!$B$5),IF(H2182*(1+Параметры!$B$5)&gt;=1000,-1,0)),ROUND(F2182*Параметры!$B$6,IF(F2182*Параметры!$B$6&gt;=1000,-1,0)))))</f>
        <v>10350</v>
      </c>
      <c r="J2182" s="15">
        <v>10450</v>
      </c>
      <c r="K2182" s="15">
        <f>IF(OR(J2182="",G2182=""),"",MAX(J2182,MIN(ROUND(J2182*(1+Параметры!$B$5),IF(J2182*(1+Параметры!$B$5)&gt;=1000,-1,0)),ROUND(G2182*Параметры!$B$6,IF(G2182*Параметры!$B$6&gt;=1000,-1,0)))))</f>
        <v>12020</v>
      </c>
      <c r="L2182" s="16">
        <v>6</v>
      </c>
      <c r="M2182" s="17">
        <f t="shared" si="160"/>
        <v>0.16666666666666666</v>
      </c>
      <c r="N2182" s="17">
        <f>IF(OR(L2182="",L2182=0),"",Параметры!$B$3/L2182)</f>
        <v>1.3333333333333333</v>
      </c>
      <c r="O2182" s="15">
        <f>IF(L2182="","",IFERROR(INDEX('Почасовка — ставки и план'!$D$5:$D$24,MATCH($D2182,'Почасовка — ставки и план'!$A$5:$A$24,0)),""))</f>
        <v>1500</v>
      </c>
      <c r="P2182" s="15">
        <f>IF(L2182="","",IFERROR(INDEX('Почасовка — ставки и план'!$E$5:$E$24,MATCH($D2182,'Почасовка — ставки и план'!$A$5:$A$24,0)),""))</f>
        <v>1800</v>
      </c>
      <c r="Q2182" s="15">
        <f t="shared" si="161"/>
        <v>9000</v>
      </c>
      <c r="R2182" s="13" t="str">
        <f>IF(D2182="TEX","аренда техники — сделка/счёт",IF(OR(Q2182="",H2182="",H2182=0),"—",IF(Q2182&lt;H2182*(1-Параметры!$B$7),"почасовка",IF(Q2182&gt;H2182*(1+Параметры!$B$7),"сделка","любой способ"))))</f>
        <v>любой способ</v>
      </c>
      <c r="S2182">
        <v>0</v>
      </c>
      <c r="T2182">
        <v>0</v>
      </c>
    </row>
    <row r="2183" spans="1:20" x14ac:dyDescent="0.25">
      <c r="A2183" s="13" t="s">
        <v>4392</v>
      </c>
      <c r="B2183" s="13" t="s">
        <v>4393</v>
      </c>
      <c r="C2183" s="13" t="s">
        <v>144</v>
      </c>
      <c r="D2183" s="13" t="s">
        <v>747</v>
      </c>
      <c r="E2183" s="13" t="str">
        <f>IFERROR(INDEX('Почасовка — ставки и план'!$B$5:$B$24,MATCH(D2183,'Почасовка — ставки и план'!$A$5:$A$24,0)),"Аренда техники / механизмы")</f>
        <v>Механик ПС / подъёмников / прессов / доков</v>
      </c>
      <c r="F2183" s="14">
        <v>17500</v>
      </c>
      <c r="G2183" s="14">
        <v>20000</v>
      </c>
      <c r="H2183" s="15">
        <v>10450</v>
      </c>
      <c r="I2183" s="15">
        <f>IF(OR(H2183="",F2183=""),"",MAX(H2183,MIN(ROUND(H2183*(1+Параметры!$B$5),IF(H2183*(1+Параметры!$B$5)&gt;=1000,-1,0)),ROUND(F2183*Параметры!$B$6,IF(F2183*Параметры!$B$6&gt;=1000,-1,0)))))</f>
        <v>12020</v>
      </c>
      <c r="J2183" s="15">
        <v>12000</v>
      </c>
      <c r="K2183" s="15">
        <f>IF(OR(J2183="",G2183=""),"",MAX(J2183,MIN(ROUND(J2183*(1+Параметры!$B$5),IF(J2183*(1+Параметры!$B$5)&gt;=1000,-1,0)),ROUND(G2183*Параметры!$B$6,IF(G2183*Параметры!$B$6&gt;=1000,-1,0)))))</f>
        <v>13800</v>
      </c>
      <c r="L2183" s="16">
        <v>7</v>
      </c>
      <c r="M2183" s="17">
        <f t="shared" si="160"/>
        <v>0.14285714285714285</v>
      </c>
      <c r="N2183" s="17">
        <f>IF(OR(L2183="",L2183=0),"",Параметры!$B$3/L2183)</f>
        <v>1.1428571428571428</v>
      </c>
      <c r="O2183" s="15">
        <f>IF(L2183="","",IFERROR(INDEX('Почасовка — ставки и план'!$D$5:$D$24,MATCH($D2183,'Почасовка — ставки и план'!$A$5:$A$24,0)),""))</f>
        <v>1500</v>
      </c>
      <c r="P2183" s="15">
        <f>IF(L2183="","",IFERROR(INDEX('Почасовка — ставки и план'!$E$5:$E$24,MATCH($D2183,'Почасовка — ставки и план'!$A$5:$A$24,0)),""))</f>
        <v>1800</v>
      </c>
      <c r="Q2183" s="15">
        <f t="shared" si="161"/>
        <v>10500</v>
      </c>
      <c r="R2183" s="13" t="str">
        <f>IF(D2183="TEX","аренда техники — сделка/счёт",IF(OR(Q2183="",H2183="",H2183=0),"—",IF(Q2183&lt;H2183*(1-Параметры!$B$7),"почасовка",IF(Q2183&gt;H2183*(1+Параметры!$B$7),"сделка","любой способ"))))</f>
        <v>любой способ</v>
      </c>
      <c r="S2183">
        <v>0</v>
      </c>
      <c r="T2183">
        <v>0</v>
      </c>
    </row>
    <row r="2184" spans="1:20" x14ac:dyDescent="0.25">
      <c r="A2184" s="13" t="s">
        <v>4394</v>
      </c>
      <c r="B2184" s="13" t="s">
        <v>4395</v>
      </c>
      <c r="C2184" s="13" t="s">
        <v>144</v>
      </c>
      <c r="D2184" s="13" t="s">
        <v>747</v>
      </c>
      <c r="E2184" s="13" t="str">
        <f>IFERROR(INDEX('Почасовка — ставки и план'!$B$5:$B$24,MATCH(D2184,'Почасовка — ставки и план'!$A$5:$A$24,0)),"Аренда техники / механизмы")</f>
        <v>Механик ПС / подъёмников / прессов / доков</v>
      </c>
      <c r="F2184" s="14">
        <v>20000</v>
      </c>
      <c r="G2184" s="14">
        <v>23000</v>
      </c>
      <c r="H2184" s="15">
        <v>12000</v>
      </c>
      <c r="I2184" s="15">
        <f>IF(OR(H2184="",F2184=""),"",MAX(H2184,MIN(ROUND(H2184*(1+Параметры!$B$5),IF(H2184*(1+Параметры!$B$5)&gt;=1000,-1,0)),ROUND(F2184*Параметры!$B$6,IF(F2184*Параметры!$B$6&gt;=1000,-1,0)))))</f>
        <v>13800</v>
      </c>
      <c r="J2184" s="15">
        <v>13800</v>
      </c>
      <c r="K2184" s="15">
        <f>IF(OR(J2184="",G2184=""),"",MAX(J2184,MIN(ROUND(J2184*(1+Параметры!$B$5),IF(J2184*(1+Параметры!$B$5)&gt;=1000,-1,0)),ROUND(G2184*Параметры!$B$6,IF(G2184*Параметры!$B$6&gt;=1000,-1,0)))))</f>
        <v>15870</v>
      </c>
      <c r="L2184" s="16">
        <v>8</v>
      </c>
      <c r="M2184" s="17">
        <f t="shared" si="160"/>
        <v>0.125</v>
      </c>
      <c r="N2184" s="17">
        <f>IF(OR(L2184="",L2184=0),"",Параметры!$B$3/L2184)</f>
        <v>1</v>
      </c>
      <c r="O2184" s="15">
        <f>IF(L2184="","",IFERROR(INDEX('Почасовка — ставки и план'!$D$5:$D$24,MATCH($D2184,'Почасовка — ставки и план'!$A$5:$A$24,0)),""))</f>
        <v>1500</v>
      </c>
      <c r="P2184" s="15">
        <f>IF(L2184="","",IFERROR(INDEX('Почасовка — ставки и план'!$E$5:$E$24,MATCH($D2184,'Почасовка — ставки и план'!$A$5:$A$24,0)),""))</f>
        <v>1800</v>
      </c>
      <c r="Q2184" s="15">
        <f t="shared" si="161"/>
        <v>12000</v>
      </c>
      <c r="R2184" s="13" t="str">
        <f>IF(D2184="TEX","аренда техники — сделка/счёт",IF(OR(Q2184="",H2184="",H2184=0),"—",IF(Q2184&lt;H2184*(1-Параметры!$B$7),"почасовка",IF(Q2184&gt;H2184*(1+Параметры!$B$7),"сделка","любой способ"))))</f>
        <v>любой способ</v>
      </c>
      <c r="S2184">
        <v>0</v>
      </c>
      <c r="T2184">
        <v>0</v>
      </c>
    </row>
    <row r="2185" spans="1:20" x14ac:dyDescent="0.25">
      <c r="A2185" s="13" t="s">
        <v>4396</v>
      </c>
      <c r="B2185" s="13" t="s">
        <v>4397</v>
      </c>
      <c r="C2185" s="13" t="s">
        <v>144</v>
      </c>
      <c r="D2185" s="13" t="s">
        <v>747</v>
      </c>
      <c r="E2185" s="13" t="str">
        <f>IFERROR(INDEX('Почасовка — ставки и план'!$B$5:$B$24,MATCH(D2185,'Почасовка — ставки и план'!$A$5:$A$24,0)),"Аренда техники / механизмы")</f>
        <v>Механик ПС / подъёмников / прессов / доков</v>
      </c>
      <c r="F2185" s="14">
        <v>23000</v>
      </c>
      <c r="G2185" s="14">
        <v>26500</v>
      </c>
      <c r="H2185" s="15">
        <v>13800</v>
      </c>
      <c r="I2185" s="15">
        <f>IF(OR(H2185="",F2185=""),"",MAX(H2185,MIN(ROUND(H2185*(1+Параметры!$B$5),IF(H2185*(1+Параметры!$B$5)&gt;=1000,-1,0)),ROUND(F2185*Параметры!$B$6,IF(F2185*Параметры!$B$6&gt;=1000,-1,0)))))</f>
        <v>15870</v>
      </c>
      <c r="J2185" s="15">
        <v>15850</v>
      </c>
      <c r="K2185" s="15">
        <f>IF(OR(J2185="",G2185=""),"",MAX(J2185,MIN(ROUND(J2185*(1+Параметры!$B$5),IF(J2185*(1+Параметры!$B$5)&gt;=1000,-1,0)),ROUND(G2185*Параметры!$B$6,IF(G2185*Параметры!$B$6&gt;=1000,-1,0)))))</f>
        <v>18230</v>
      </c>
      <c r="L2185" s="16">
        <v>9</v>
      </c>
      <c r="M2185" s="17">
        <f t="shared" si="160"/>
        <v>0.1111111111111111</v>
      </c>
      <c r="N2185" s="17">
        <f>IF(OR(L2185="",L2185=0),"",Параметры!$B$3/L2185)</f>
        <v>0.88888888888888884</v>
      </c>
      <c r="O2185" s="15">
        <f>IF(L2185="","",IFERROR(INDEX('Почасовка — ставки и план'!$D$5:$D$24,MATCH($D2185,'Почасовка — ставки и план'!$A$5:$A$24,0)),""))</f>
        <v>1500</v>
      </c>
      <c r="P2185" s="15">
        <f>IF(L2185="","",IFERROR(INDEX('Почасовка — ставки и план'!$E$5:$E$24,MATCH($D2185,'Почасовка — ставки и план'!$A$5:$A$24,0)),""))</f>
        <v>1800</v>
      </c>
      <c r="Q2185" s="15">
        <f t="shared" si="161"/>
        <v>13500</v>
      </c>
      <c r="R2185" s="13" t="str">
        <f>IF(D2185="TEX","аренда техники — сделка/счёт",IF(OR(Q2185="",H2185="",H2185=0),"—",IF(Q2185&lt;H2185*(1-Параметры!$B$7),"почасовка",IF(Q2185&gt;H2185*(1+Параметры!$B$7),"сделка","любой способ"))))</f>
        <v>любой способ</v>
      </c>
      <c r="S2185">
        <v>0</v>
      </c>
      <c r="T2185">
        <v>0</v>
      </c>
    </row>
    <row r="2186" spans="1:20" x14ac:dyDescent="0.25">
      <c r="A2186" s="13" t="s">
        <v>4398</v>
      </c>
      <c r="B2186" s="13" t="s">
        <v>4399</v>
      </c>
      <c r="C2186" s="13" t="s">
        <v>144</v>
      </c>
      <c r="D2186" s="13" t="s">
        <v>747</v>
      </c>
      <c r="E2186" s="13" t="str">
        <f>IFERROR(INDEX('Почасовка — ставки и план'!$B$5:$B$24,MATCH(D2186,'Почасовка — ставки и план'!$A$5:$A$24,0)),"Аренда техники / механизмы")</f>
        <v>Механик ПС / подъёмников / прессов / доков</v>
      </c>
      <c r="F2186" s="14">
        <v>3500</v>
      </c>
      <c r="G2186" s="14">
        <v>4500</v>
      </c>
      <c r="H2186" s="15">
        <v>1800</v>
      </c>
      <c r="I2186" s="15">
        <f>IF(OR(H2186="",F2186=""),"",MAX(H2186,MIN(ROUND(H2186*(1+Параметры!$B$5),IF(H2186*(1+Параметры!$B$5)&gt;=1000,-1,0)),ROUND(F2186*Параметры!$B$6,IF(F2186*Параметры!$B$6&gt;=1000,-1,0)))))</f>
        <v>2070</v>
      </c>
      <c r="J2186" s="15">
        <v>2150</v>
      </c>
      <c r="K2186" s="15">
        <f>IF(OR(J2186="",G2186=""),"",MAX(J2186,MIN(ROUND(J2186*(1+Параметры!$B$5),IF(J2186*(1+Параметры!$B$5)&gt;=1000,-1,0)),ROUND(G2186*Параметры!$B$6,IF(G2186*Параметры!$B$6&gt;=1000,-1,0)))))</f>
        <v>2470</v>
      </c>
      <c r="L2186" s="16">
        <v>1</v>
      </c>
      <c r="M2186" s="17">
        <f t="shared" si="160"/>
        <v>1</v>
      </c>
      <c r="N2186" s="17">
        <f>IF(OR(L2186="",L2186=0),"",Параметры!$B$3/L2186)</f>
        <v>8</v>
      </c>
      <c r="O2186" s="15">
        <f>IF(L2186="","",IFERROR(INDEX('Почасовка — ставки и план'!$D$5:$D$24,MATCH($D2186,'Почасовка — ставки и план'!$A$5:$A$24,0)),""))</f>
        <v>1500</v>
      </c>
      <c r="P2186" s="15">
        <f>IF(L2186="","",IFERROR(INDEX('Почасовка — ставки и план'!$E$5:$E$24,MATCH($D2186,'Почасовка — ставки и план'!$A$5:$A$24,0)),""))</f>
        <v>1800</v>
      </c>
      <c r="Q2186" s="15">
        <f t="shared" si="161"/>
        <v>1500</v>
      </c>
      <c r="R2186" s="13" t="str">
        <f>IF(D2186="TEX","аренда техники — сделка/счёт",IF(OR(Q2186="",H2186="",H2186=0),"—",IF(Q2186&lt;H2186*(1-Параметры!$B$7),"почасовка",IF(Q2186&gt;H2186*(1+Параметры!$B$7),"сделка","любой способ"))))</f>
        <v>почасовка</v>
      </c>
      <c r="S2186">
        <v>0</v>
      </c>
      <c r="T2186">
        <v>0</v>
      </c>
    </row>
    <row r="2187" spans="1:20" x14ac:dyDescent="0.25">
      <c r="A2187" s="13" t="s">
        <v>4400</v>
      </c>
      <c r="B2187" s="13" t="s">
        <v>4401</v>
      </c>
      <c r="C2187" s="13" t="s">
        <v>144</v>
      </c>
      <c r="D2187" s="13" t="s">
        <v>747</v>
      </c>
      <c r="E2187" s="13" t="str">
        <f>IFERROR(INDEX('Почасовка — ставки и план'!$B$5:$B$24,MATCH(D2187,'Почасовка — ставки и план'!$A$5:$A$24,0)),"Аренда техники / механизмы")</f>
        <v>Механик ПС / подъёмников / прессов / доков</v>
      </c>
      <c r="F2187" s="14">
        <v>4500</v>
      </c>
      <c r="G2187" s="14">
        <v>5200</v>
      </c>
      <c r="H2187" s="15">
        <v>2500</v>
      </c>
      <c r="I2187" s="15">
        <f>IF(OR(H2187="",F2187=""),"",MAX(H2187,MIN(ROUND(H2187*(1+Параметры!$B$5),IF(H2187*(1+Параметры!$B$5)&gt;=1000,-1,0)),ROUND(F2187*Параметры!$B$6,IF(F2187*Параметры!$B$6&gt;=1000,-1,0)))))</f>
        <v>2880</v>
      </c>
      <c r="J2187" s="15">
        <v>2900</v>
      </c>
      <c r="K2187" s="15">
        <f>IF(OR(J2187="",G2187=""),"",MAX(J2187,MIN(ROUND(J2187*(1+Параметры!$B$5),IF(J2187*(1+Параметры!$B$5)&gt;=1000,-1,0)),ROUND(G2187*Параметры!$B$6,IF(G2187*Параметры!$B$6&gt;=1000,-1,0)))))</f>
        <v>3340</v>
      </c>
      <c r="L2187" s="16">
        <v>1.5</v>
      </c>
      <c r="M2187" s="17">
        <f t="shared" si="160"/>
        <v>0.66666666666666663</v>
      </c>
      <c r="N2187" s="17">
        <f>IF(OR(L2187="",L2187=0),"",Параметры!$B$3/L2187)</f>
        <v>5.333333333333333</v>
      </c>
      <c r="O2187" s="15">
        <f>IF(L2187="","",IFERROR(INDEX('Почасовка — ставки и план'!$D$5:$D$24,MATCH($D2187,'Почасовка — ставки и план'!$A$5:$A$24,0)),""))</f>
        <v>1500</v>
      </c>
      <c r="P2187" s="15">
        <f>IF(L2187="","",IFERROR(INDEX('Почасовка — ставки и план'!$E$5:$E$24,MATCH($D2187,'Почасовка — ставки и план'!$A$5:$A$24,0)),""))</f>
        <v>1800</v>
      </c>
      <c r="Q2187" s="15">
        <f t="shared" si="161"/>
        <v>2250</v>
      </c>
      <c r="R2187" s="13" t="str">
        <f>IF(D2187="TEX","аренда техники — сделка/счёт",IF(OR(Q2187="",H2187="",H2187=0),"—",IF(Q2187&lt;H2187*(1-Параметры!$B$7),"почасовка",IF(Q2187&gt;H2187*(1+Параметры!$B$7),"сделка","любой способ"))))</f>
        <v>любой способ</v>
      </c>
      <c r="S2187">
        <v>0</v>
      </c>
      <c r="T2187">
        <v>0</v>
      </c>
    </row>
    <row r="2188" spans="1:20" x14ac:dyDescent="0.25">
      <c r="A2188" s="13" t="s">
        <v>4402</v>
      </c>
      <c r="B2188" s="13" t="s">
        <v>4403</v>
      </c>
      <c r="C2188" s="13" t="s">
        <v>144</v>
      </c>
      <c r="D2188" s="13" t="s">
        <v>747</v>
      </c>
      <c r="E2188" s="13" t="str">
        <f>IFERROR(INDEX('Почасовка — ставки и план'!$B$5:$B$24,MATCH(D2188,'Почасовка — ставки и план'!$A$5:$A$24,0)),"Аренда техники / механизмы")</f>
        <v>Механик ПС / подъёмников / прессов / доков</v>
      </c>
      <c r="F2188" s="14">
        <v>3000</v>
      </c>
      <c r="G2188" s="14">
        <v>3500</v>
      </c>
      <c r="H2188" s="15">
        <v>1700</v>
      </c>
      <c r="I2188" s="15">
        <f>IF(OR(H2188="",F2188=""),"",MAX(H2188,MIN(ROUND(H2188*(1+Параметры!$B$5),IF(H2188*(1+Параметры!$B$5)&gt;=1000,-1,0)),ROUND(F2188*Параметры!$B$6,IF(F2188*Параметры!$B$6&gt;=1000,-1,0)))))</f>
        <v>1960</v>
      </c>
      <c r="J2188" s="15">
        <v>1900</v>
      </c>
      <c r="K2188" s="15">
        <f>IF(OR(J2188="",G2188=""),"",MAX(J2188,MIN(ROUND(J2188*(1+Параметры!$B$5),IF(J2188*(1+Параметры!$B$5)&gt;=1000,-1,0)),ROUND(G2188*Параметры!$B$6,IF(G2188*Параметры!$B$6&gt;=1000,-1,0)))))</f>
        <v>2190</v>
      </c>
      <c r="L2188" s="16">
        <v>1</v>
      </c>
      <c r="M2188" s="17">
        <f t="shared" si="160"/>
        <v>1</v>
      </c>
      <c r="N2188" s="17">
        <f>IF(OR(L2188="",L2188=0),"",Параметры!$B$3/L2188)</f>
        <v>8</v>
      </c>
      <c r="O2188" s="15">
        <f>IF(L2188="","",IFERROR(INDEX('Почасовка — ставки и план'!$D$5:$D$24,MATCH($D2188,'Почасовка — ставки и план'!$A$5:$A$24,0)),""))</f>
        <v>1500</v>
      </c>
      <c r="P2188" s="15">
        <f>IF(L2188="","",IFERROR(INDEX('Почасовка — ставки и план'!$E$5:$E$24,MATCH($D2188,'Почасовка — ставки и план'!$A$5:$A$24,0)),""))</f>
        <v>1800</v>
      </c>
      <c r="Q2188" s="15">
        <f t="shared" si="161"/>
        <v>1500</v>
      </c>
      <c r="R2188" s="13" t="str">
        <f>IF(D2188="TEX","аренда техники — сделка/счёт",IF(OR(Q2188="",H2188="",H2188=0),"—",IF(Q2188&lt;H2188*(1-Параметры!$B$7),"почасовка",IF(Q2188&gt;H2188*(1+Параметры!$B$7),"сделка","любой способ"))))</f>
        <v>почасовка</v>
      </c>
      <c r="S2188">
        <v>0</v>
      </c>
      <c r="T2188">
        <v>0</v>
      </c>
    </row>
    <row r="2189" spans="1:20" x14ac:dyDescent="0.25">
      <c r="A2189" s="13" t="s">
        <v>4404</v>
      </c>
      <c r="B2189" s="13" t="s">
        <v>4405</v>
      </c>
      <c r="C2189" s="13" t="s">
        <v>144</v>
      </c>
      <c r="D2189" s="13" t="s">
        <v>747</v>
      </c>
      <c r="E2189" s="13" t="str">
        <f>IFERROR(INDEX('Почасовка — ставки и план'!$B$5:$B$24,MATCH(D2189,'Почасовка — ставки и план'!$A$5:$A$24,0)),"Аренда техники / механизмы")</f>
        <v>Механик ПС / подъёмников / прессов / доков</v>
      </c>
      <c r="F2189" s="14">
        <v>8000</v>
      </c>
      <c r="G2189" s="14">
        <v>10000</v>
      </c>
      <c r="H2189" s="15">
        <v>4800</v>
      </c>
      <c r="I2189" s="15">
        <f>IF(OR(H2189="",F2189=""),"",MAX(H2189,MIN(ROUND(H2189*(1+Параметры!$B$5),IF(H2189*(1+Параметры!$B$5)&gt;=1000,-1,0)),ROUND(F2189*Параметры!$B$6,IF(F2189*Параметры!$B$6&gt;=1000,-1,0)))))</f>
        <v>5520</v>
      </c>
      <c r="J2189" s="15">
        <v>5750</v>
      </c>
      <c r="K2189" s="15">
        <f>IF(OR(J2189="",G2189=""),"",MAX(J2189,MIN(ROUND(J2189*(1+Параметры!$B$5),IF(J2189*(1+Параметры!$B$5)&gt;=1000,-1,0)),ROUND(G2189*Параметры!$B$6,IF(G2189*Параметры!$B$6&gt;=1000,-1,0)))))</f>
        <v>6610</v>
      </c>
      <c r="L2189" s="16">
        <v>3</v>
      </c>
      <c r="M2189" s="17">
        <f t="shared" si="160"/>
        <v>0.33333333333333331</v>
      </c>
      <c r="N2189" s="17">
        <f>IF(OR(L2189="",L2189=0),"",Параметры!$B$3/L2189)</f>
        <v>2.6666666666666665</v>
      </c>
      <c r="O2189" s="15">
        <f>IF(L2189="","",IFERROR(INDEX('Почасовка — ставки и план'!$D$5:$D$24,MATCH($D2189,'Почасовка — ставки и план'!$A$5:$A$24,0)),""))</f>
        <v>1500</v>
      </c>
      <c r="P2189" s="15">
        <f>IF(L2189="","",IFERROR(INDEX('Почасовка — ставки и план'!$E$5:$E$24,MATCH($D2189,'Почасовка — ставки и план'!$A$5:$A$24,0)),""))</f>
        <v>1800</v>
      </c>
      <c r="Q2189" s="15">
        <f t="shared" si="161"/>
        <v>4500</v>
      </c>
      <c r="R2189" s="13" t="str">
        <f>IF(D2189="TEX","аренда техники — сделка/счёт",IF(OR(Q2189="",H2189="",H2189=0),"—",IF(Q2189&lt;H2189*(1-Параметры!$B$7),"почасовка",IF(Q2189&gt;H2189*(1+Параметры!$B$7),"сделка","любой способ"))))</f>
        <v>любой способ</v>
      </c>
      <c r="S2189">
        <v>0</v>
      </c>
      <c r="T2189">
        <v>0</v>
      </c>
    </row>
    <row r="2190" spans="1:20" x14ac:dyDescent="0.25">
      <c r="A2190" s="13" t="s">
        <v>4406</v>
      </c>
      <c r="B2190" s="13" t="s">
        <v>4407</v>
      </c>
      <c r="C2190" s="13" t="s">
        <v>144</v>
      </c>
      <c r="D2190" s="13" t="s">
        <v>747</v>
      </c>
      <c r="E2190" s="13" t="str">
        <f>IFERROR(INDEX('Почасовка — ставки и план'!$B$5:$B$24,MATCH(D2190,'Почасовка — ставки и план'!$A$5:$A$24,0)),"Аренда техники / механизмы")</f>
        <v>Механик ПС / подъёмников / прессов / доков</v>
      </c>
      <c r="F2190" s="14">
        <v>5500</v>
      </c>
      <c r="G2190" s="14">
        <v>6500</v>
      </c>
      <c r="H2190" s="15">
        <v>3350</v>
      </c>
      <c r="I2190" s="15">
        <f>IF(OR(H2190="",F2190=""),"",MAX(H2190,MIN(ROUND(H2190*(1+Параметры!$B$5),IF(H2190*(1+Параметры!$B$5)&gt;=1000,-1,0)),ROUND(F2190*Параметры!$B$6,IF(F2190*Параметры!$B$6&gt;=1000,-1,0)))))</f>
        <v>3850</v>
      </c>
      <c r="J2190" s="15">
        <v>3850</v>
      </c>
      <c r="K2190" s="15">
        <f>IF(OR(J2190="",G2190=""),"",MAX(J2190,MIN(ROUND(J2190*(1+Параметры!$B$5),IF(J2190*(1+Параметры!$B$5)&gt;=1000,-1,0)),ROUND(G2190*Параметры!$B$6,IF(G2190*Параметры!$B$6&gt;=1000,-1,0)))))</f>
        <v>4430</v>
      </c>
      <c r="L2190" s="16">
        <v>2</v>
      </c>
      <c r="M2190" s="17">
        <f t="shared" si="160"/>
        <v>0.5</v>
      </c>
      <c r="N2190" s="17">
        <f>IF(OR(L2190="",L2190=0),"",Параметры!$B$3/L2190)</f>
        <v>4</v>
      </c>
      <c r="O2190" s="15">
        <f>IF(L2190="","",IFERROR(INDEX('Почасовка — ставки и план'!$D$5:$D$24,MATCH($D2190,'Почасовка — ставки и план'!$A$5:$A$24,0)),""))</f>
        <v>1500</v>
      </c>
      <c r="P2190" s="15">
        <f>IF(L2190="","",IFERROR(INDEX('Почасовка — ставки и план'!$E$5:$E$24,MATCH($D2190,'Почасовка — ставки и план'!$A$5:$A$24,0)),""))</f>
        <v>1800</v>
      </c>
      <c r="Q2190" s="15">
        <f t="shared" si="161"/>
        <v>3000</v>
      </c>
      <c r="R2190" s="13" t="str">
        <f>IF(D2190="TEX","аренда техники — сделка/счёт",IF(OR(Q2190="",H2190="",H2190=0),"—",IF(Q2190&lt;H2190*(1-Параметры!$B$7),"почасовка",IF(Q2190&gt;H2190*(1+Параметры!$B$7),"сделка","любой способ"))))</f>
        <v>почасовка</v>
      </c>
      <c r="S2190">
        <v>0</v>
      </c>
      <c r="T2190">
        <v>0</v>
      </c>
    </row>
    <row r="2191" spans="1:20" x14ac:dyDescent="0.25">
      <c r="A2191" s="13" t="s">
        <v>4408</v>
      </c>
      <c r="B2191" s="13" t="s">
        <v>4409</v>
      </c>
      <c r="C2191" s="13" t="s">
        <v>144</v>
      </c>
      <c r="D2191" s="13" t="s">
        <v>747</v>
      </c>
      <c r="E2191" s="13" t="str">
        <f>IFERROR(INDEX('Почасовка — ставки и план'!$B$5:$B$24,MATCH(D2191,'Почасовка — ставки и план'!$A$5:$A$24,0)),"Аренда техники / механизмы")</f>
        <v>Механик ПС / подъёмников / прессов / доков</v>
      </c>
      <c r="F2191" s="14">
        <v>8000</v>
      </c>
      <c r="G2191" s="14">
        <v>9500</v>
      </c>
      <c r="H2191" s="15">
        <v>4800</v>
      </c>
      <c r="I2191" s="15">
        <f>IF(OR(H2191="",F2191=""),"",MAX(H2191,MIN(ROUND(H2191*(1+Параметры!$B$5),IF(H2191*(1+Параметры!$B$5)&gt;=1000,-1,0)),ROUND(F2191*Параметры!$B$6,IF(F2191*Параметры!$B$6&gt;=1000,-1,0)))))</f>
        <v>5520</v>
      </c>
      <c r="J2191" s="15">
        <v>5500</v>
      </c>
      <c r="K2191" s="15">
        <f>IF(OR(J2191="",G2191=""),"",MAX(J2191,MIN(ROUND(J2191*(1+Параметры!$B$5),IF(J2191*(1+Параметры!$B$5)&gt;=1000,-1,0)),ROUND(G2191*Параметры!$B$6,IF(G2191*Параметры!$B$6&gt;=1000,-1,0)))))</f>
        <v>6330</v>
      </c>
      <c r="L2191" s="16">
        <v>3</v>
      </c>
      <c r="M2191" s="17">
        <f t="shared" si="160"/>
        <v>0.33333333333333331</v>
      </c>
      <c r="N2191" s="17">
        <f>IF(OR(L2191="",L2191=0),"",Параметры!$B$3/L2191)</f>
        <v>2.6666666666666665</v>
      </c>
      <c r="O2191" s="15">
        <f>IF(L2191="","",IFERROR(INDEX('Почасовка — ставки и план'!$D$5:$D$24,MATCH($D2191,'Почасовка — ставки и план'!$A$5:$A$24,0)),""))</f>
        <v>1500</v>
      </c>
      <c r="P2191" s="15">
        <f>IF(L2191="","",IFERROR(INDEX('Почасовка — ставки и план'!$E$5:$E$24,MATCH($D2191,'Почасовка — ставки и план'!$A$5:$A$24,0)),""))</f>
        <v>1800</v>
      </c>
      <c r="Q2191" s="15">
        <f t="shared" si="161"/>
        <v>4500</v>
      </c>
      <c r="R2191" s="13" t="str">
        <f>IF(D2191="TEX","аренда техники — сделка/счёт",IF(OR(Q2191="",H2191="",H2191=0),"—",IF(Q2191&lt;H2191*(1-Параметры!$B$7),"почасовка",IF(Q2191&gt;H2191*(1+Параметры!$B$7),"сделка","любой способ"))))</f>
        <v>любой способ</v>
      </c>
      <c r="S2191">
        <v>0</v>
      </c>
      <c r="T2191">
        <v>0</v>
      </c>
    </row>
    <row r="2192" spans="1:20" x14ac:dyDescent="0.25">
      <c r="A2192" s="13" t="s">
        <v>4410</v>
      </c>
      <c r="B2192" s="13" t="s">
        <v>4411</v>
      </c>
      <c r="C2192" s="13" t="s">
        <v>144</v>
      </c>
      <c r="D2192" s="13" t="s">
        <v>747</v>
      </c>
      <c r="E2192" s="13" t="str">
        <f>IFERROR(INDEX('Почасовка — ставки и план'!$B$5:$B$24,MATCH(D2192,'Почасовка — ставки и план'!$A$5:$A$24,0)),"Аренда техники / механизмы")</f>
        <v>Механик ПС / подъёмников / прессов / доков</v>
      </c>
      <c r="F2192" s="14">
        <v>22000</v>
      </c>
      <c r="G2192" s="14">
        <v>27000</v>
      </c>
      <c r="H2192" s="15">
        <v>13200</v>
      </c>
      <c r="I2192" s="15">
        <f>IF(OR(H2192="",F2192=""),"",MAX(H2192,MIN(ROUND(H2192*(1+Параметры!$B$5),IF(H2192*(1+Параметры!$B$5)&gt;=1000,-1,0)),ROUND(F2192*Параметры!$B$6,IF(F2192*Параметры!$B$6&gt;=1000,-1,0)))))</f>
        <v>15180</v>
      </c>
      <c r="J2192" s="15">
        <v>15600</v>
      </c>
      <c r="K2192" s="15">
        <f>IF(OR(J2192="",G2192=""),"",MAX(J2192,MIN(ROUND(J2192*(1+Параметры!$B$5),IF(J2192*(1+Параметры!$B$5)&gt;=1000,-1,0)),ROUND(G2192*Параметры!$B$6,IF(G2192*Параметры!$B$6&gt;=1000,-1,0)))))</f>
        <v>17940</v>
      </c>
      <c r="L2192" s="16">
        <v>8</v>
      </c>
      <c r="M2192" s="17">
        <f t="shared" si="160"/>
        <v>0.125</v>
      </c>
      <c r="N2192" s="17">
        <f>IF(OR(L2192="",L2192=0),"",Параметры!$B$3/L2192)</f>
        <v>1</v>
      </c>
      <c r="O2192" s="15">
        <f>IF(L2192="","",IFERROR(INDEX('Почасовка — ставки и план'!$D$5:$D$24,MATCH($D2192,'Почасовка — ставки и план'!$A$5:$A$24,0)),""))</f>
        <v>1500</v>
      </c>
      <c r="P2192" s="15">
        <f>IF(L2192="","",IFERROR(INDEX('Почасовка — ставки и план'!$E$5:$E$24,MATCH($D2192,'Почасовка — ставки и план'!$A$5:$A$24,0)),""))</f>
        <v>1800</v>
      </c>
      <c r="Q2192" s="15">
        <f t="shared" si="161"/>
        <v>12000</v>
      </c>
      <c r="R2192" s="13" t="str">
        <f>IF(D2192="TEX","аренда техники — сделка/счёт",IF(OR(Q2192="",H2192="",H2192=0),"—",IF(Q2192&lt;H2192*(1-Параметры!$B$7),"почасовка",IF(Q2192&gt;H2192*(1+Параметры!$B$7),"сделка","любой способ"))))</f>
        <v>любой способ</v>
      </c>
      <c r="S2192">
        <v>0</v>
      </c>
      <c r="T2192">
        <v>0</v>
      </c>
    </row>
    <row r="2193" spans="1:20" x14ac:dyDescent="0.25">
      <c r="A2193" s="13" t="s">
        <v>4412</v>
      </c>
      <c r="B2193" s="13" t="s">
        <v>4413</v>
      </c>
      <c r="C2193" s="13" t="s">
        <v>144</v>
      </c>
      <c r="D2193" s="13" t="s">
        <v>747</v>
      </c>
      <c r="E2193" s="13" t="str">
        <f>IFERROR(INDEX('Почасовка — ставки и план'!$B$5:$B$24,MATCH(D2193,'Почасовка — ставки и план'!$A$5:$A$24,0)),"Аренда техники / механизмы")</f>
        <v>Механик ПС / подъёмников / прессов / доков</v>
      </c>
      <c r="F2193" s="14">
        <v>3000</v>
      </c>
      <c r="G2193" s="14">
        <v>3500</v>
      </c>
      <c r="H2193" s="15">
        <v>1700</v>
      </c>
      <c r="I2193" s="15">
        <f>IF(OR(H2193="",F2193=""),"",MAX(H2193,MIN(ROUND(H2193*(1+Параметры!$B$5),IF(H2193*(1+Параметры!$B$5)&gt;=1000,-1,0)),ROUND(F2193*Параметры!$B$6,IF(F2193*Параметры!$B$6&gt;=1000,-1,0)))))</f>
        <v>1960</v>
      </c>
      <c r="J2193" s="15">
        <v>1900</v>
      </c>
      <c r="K2193" s="15">
        <f>IF(OR(J2193="",G2193=""),"",MAX(J2193,MIN(ROUND(J2193*(1+Параметры!$B$5),IF(J2193*(1+Параметры!$B$5)&gt;=1000,-1,0)),ROUND(G2193*Параметры!$B$6,IF(G2193*Параметры!$B$6&gt;=1000,-1,0)))))</f>
        <v>2190</v>
      </c>
      <c r="L2193" s="16">
        <v>1</v>
      </c>
      <c r="M2193" s="17">
        <f t="shared" si="160"/>
        <v>1</v>
      </c>
      <c r="N2193" s="17">
        <f>IF(OR(L2193="",L2193=0),"",Параметры!$B$3/L2193)</f>
        <v>8</v>
      </c>
      <c r="O2193" s="15">
        <f>IF(L2193="","",IFERROR(INDEX('Почасовка — ставки и план'!$D$5:$D$24,MATCH($D2193,'Почасовка — ставки и план'!$A$5:$A$24,0)),""))</f>
        <v>1500</v>
      </c>
      <c r="P2193" s="15">
        <f>IF(L2193="","",IFERROR(INDEX('Почасовка — ставки и план'!$E$5:$E$24,MATCH($D2193,'Почасовка — ставки и план'!$A$5:$A$24,0)),""))</f>
        <v>1800</v>
      </c>
      <c r="Q2193" s="15">
        <f t="shared" si="161"/>
        <v>1500</v>
      </c>
      <c r="R2193" s="13" t="str">
        <f>IF(D2193="TEX","аренда техники — сделка/счёт",IF(OR(Q2193="",H2193="",H2193=0),"—",IF(Q2193&lt;H2193*(1-Параметры!$B$7),"почасовка",IF(Q2193&gt;H2193*(1+Параметры!$B$7),"сделка","любой способ"))))</f>
        <v>почасовка</v>
      </c>
      <c r="S2193">
        <v>0</v>
      </c>
      <c r="T2193">
        <v>0</v>
      </c>
    </row>
    <row r="2194" spans="1:20" x14ac:dyDescent="0.25">
      <c r="A2194" s="13" t="s">
        <v>4414</v>
      </c>
      <c r="B2194" s="13" t="s">
        <v>4415</v>
      </c>
      <c r="C2194" s="13" t="s">
        <v>144</v>
      </c>
      <c r="D2194" s="13" t="s">
        <v>747</v>
      </c>
      <c r="E2194" s="13" t="str">
        <f>IFERROR(INDEX('Почасовка — ставки и план'!$B$5:$B$24,MATCH(D2194,'Почасовка — ставки и план'!$A$5:$A$24,0)),"Аренда техники / механизмы")</f>
        <v>Механик ПС / подъёмников / прессов / доков</v>
      </c>
      <c r="F2194" s="14">
        <v>3000</v>
      </c>
      <c r="G2194" s="14">
        <v>3500</v>
      </c>
      <c r="H2194" s="15">
        <v>1700</v>
      </c>
      <c r="I2194" s="15">
        <f>IF(OR(H2194="",F2194=""),"",MAX(H2194,MIN(ROUND(H2194*(1+Параметры!$B$5),IF(H2194*(1+Параметры!$B$5)&gt;=1000,-1,0)),ROUND(F2194*Параметры!$B$6,IF(F2194*Параметры!$B$6&gt;=1000,-1,0)))))</f>
        <v>1960</v>
      </c>
      <c r="J2194" s="15">
        <v>1900</v>
      </c>
      <c r="K2194" s="15">
        <f>IF(OR(J2194="",G2194=""),"",MAX(J2194,MIN(ROUND(J2194*(1+Параметры!$B$5),IF(J2194*(1+Параметры!$B$5)&gt;=1000,-1,0)),ROUND(G2194*Параметры!$B$6,IF(G2194*Параметры!$B$6&gt;=1000,-1,0)))))</f>
        <v>2190</v>
      </c>
      <c r="L2194" s="16">
        <v>1</v>
      </c>
      <c r="M2194" s="17">
        <f t="shared" si="160"/>
        <v>1</v>
      </c>
      <c r="N2194" s="17">
        <f>IF(OR(L2194="",L2194=0),"",Параметры!$B$3/L2194)</f>
        <v>8</v>
      </c>
      <c r="O2194" s="15">
        <f>IF(L2194="","",IFERROR(INDEX('Почасовка — ставки и план'!$D$5:$D$24,MATCH($D2194,'Почасовка — ставки и план'!$A$5:$A$24,0)),""))</f>
        <v>1500</v>
      </c>
      <c r="P2194" s="15">
        <f>IF(L2194="","",IFERROR(INDEX('Почасовка — ставки и план'!$E$5:$E$24,MATCH($D2194,'Почасовка — ставки и план'!$A$5:$A$24,0)),""))</f>
        <v>1800</v>
      </c>
      <c r="Q2194" s="15">
        <f t="shared" si="161"/>
        <v>1500</v>
      </c>
      <c r="R2194" s="13" t="str">
        <f>IF(D2194="TEX","аренда техники — сделка/счёт",IF(OR(Q2194="",H2194="",H2194=0),"—",IF(Q2194&lt;H2194*(1-Параметры!$B$7),"почасовка",IF(Q2194&gt;H2194*(1+Параметры!$B$7),"сделка","любой способ"))))</f>
        <v>почасовка</v>
      </c>
      <c r="S2194">
        <v>0</v>
      </c>
      <c r="T2194">
        <v>0</v>
      </c>
    </row>
    <row r="2195" spans="1:20" x14ac:dyDescent="0.25">
      <c r="A2195" s="13" t="s">
        <v>4416</v>
      </c>
      <c r="B2195" s="13" t="s">
        <v>4417</v>
      </c>
      <c r="C2195" s="13" t="s">
        <v>144</v>
      </c>
      <c r="D2195" s="13" t="s">
        <v>747</v>
      </c>
      <c r="E2195" s="13" t="str">
        <f>IFERROR(INDEX('Почасовка — ставки и план'!$B$5:$B$24,MATCH(D2195,'Почасовка — ставки и план'!$A$5:$A$24,0)),"Аренда техники / механизмы")</f>
        <v>Механик ПС / подъёмников / прессов / доков</v>
      </c>
      <c r="F2195" s="14">
        <v>4000</v>
      </c>
      <c r="G2195" s="14">
        <v>4600</v>
      </c>
      <c r="H2195" s="15">
        <v>2400</v>
      </c>
      <c r="I2195" s="15">
        <f>IF(OR(H2195="",F2195=""),"",MAX(H2195,MIN(ROUND(H2195*(1+Параметры!$B$5),IF(H2195*(1+Параметры!$B$5)&gt;=1000,-1,0)),ROUND(F2195*Параметры!$B$6,IF(F2195*Параметры!$B$6&gt;=1000,-1,0)))))</f>
        <v>2760</v>
      </c>
      <c r="J2195" s="15">
        <v>2750</v>
      </c>
      <c r="K2195" s="15">
        <f>IF(OR(J2195="",G2195=""),"",MAX(J2195,MIN(ROUND(J2195*(1+Параметры!$B$5),IF(J2195*(1+Параметры!$B$5)&gt;=1000,-1,0)),ROUND(G2195*Параметры!$B$6,IF(G2195*Параметры!$B$6&gt;=1000,-1,0)))))</f>
        <v>3160</v>
      </c>
      <c r="L2195" s="16">
        <v>1.5</v>
      </c>
      <c r="M2195" s="17">
        <f t="shared" si="160"/>
        <v>0.66666666666666663</v>
      </c>
      <c r="N2195" s="17">
        <f>IF(OR(L2195="",L2195=0),"",Параметры!$B$3/L2195)</f>
        <v>5.333333333333333</v>
      </c>
      <c r="O2195" s="15">
        <f>IF(L2195="","",IFERROR(INDEX('Почасовка — ставки и план'!$D$5:$D$24,MATCH($D2195,'Почасовка — ставки и план'!$A$5:$A$24,0)),""))</f>
        <v>1500</v>
      </c>
      <c r="P2195" s="15">
        <f>IF(L2195="","",IFERROR(INDEX('Почасовка — ставки и план'!$E$5:$E$24,MATCH($D2195,'Почасовка — ставки и план'!$A$5:$A$24,0)),""))</f>
        <v>1800</v>
      </c>
      <c r="Q2195" s="15">
        <f t="shared" si="161"/>
        <v>2250</v>
      </c>
      <c r="R2195" s="13" t="str">
        <f>IF(D2195="TEX","аренда техники — сделка/счёт",IF(OR(Q2195="",H2195="",H2195=0),"—",IF(Q2195&lt;H2195*(1-Параметры!$B$7),"почасовка",IF(Q2195&gt;H2195*(1+Параметры!$B$7),"сделка","любой способ"))))</f>
        <v>любой способ</v>
      </c>
      <c r="S2195">
        <v>0</v>
      </c>
      <c r="T2195">
        <v>0</v>
      </c>
    </row>
    <row r="2196" spans="1:20" x14ac:dyDescent="0.25">
      <c r="A2196" s="13" t="s">
        <v>4418</v>
      </c>
      <c r="B2196" s="13" t="s">
        <v>4419</v>
      </c>
      <c r="C2196" s="13" t="s">
        <v>144</v>
      </c>
      <c r="D2196" s="13" t="s">
        <v>747</v>
      </c>
      <c r="E2196" s="13" t="str">
        <f>IFERROR(INDEX('Почасовка — ставки и план'!$B$5:$B$24,MATCH(D2196,'Почасовка — ставки и план'!$A$5:$A$24,0)),"Аренда техники / механизмы")</f>
        <v>Механик ПС / подъёмников / прессов / доков</v>
      </c>
      <c r="F2196" s="14">
        <v>4500</v>
      </c>
      <c r="G2196" s="14">
        <v>5400</v>
      </c>
      <c r="H2196" s="15">
        <v>2500</v>
      </c>
      <c r="I2196" s="15">
        <f>IF(OR(H2196="",F2196=""),"",MAX(H2196,MIN(ROUND(H2196*(1+Параметры!$B$5),IF(H2196*(1+Параметры!$B$5)&gt;=1000,-1,0)),ROUND(F2196*Параметры!$B$6,IF(F2196*Параметры!$B$6&gt;=1000,-1,0)))))</f>
        <v>2880</v>
      </c>
      <c r="J2196" s="15">
        <v>3000</v>
      </c>
      <c r="K2196" s="15">
        <f>IF(OR(J2196="",G2196=""),"",MAX(J2196,MIN(ROUND(J2196*(1+Параметры!$B$5),IF(J2196*(1+Параметры!$B$5)&gt;=1000,-1,0)),ROUND(G2196*Параметры!$B$6,IF(G2196*Параметры!$B$6&gt;=1000,-1,0)))))</f>
        <v>3450</v>
      </c>
      <c r="L2196" s="16">
        <v>1.5</v>
      </c>
      <c r="M2196" s="17">
        <f t="shared" si="160"/>
        <v>0.66666666666666663</v>
      </c>
      <c r="N2196" s="17">
        <f>IF(OR(L2196="",L2196=0),"",Параметры!$B$3/L2196)</f>
        <v>5.333333333333333</v>
      </c>
      <c r="O2196" s="15">
        <f>IF(L2196="","",IFERROR(INDEX('Почасовка — ставки и план'!$D$5:$D$24,MATCH($D2196,'Почасовка — ставки и план'!$A$5:$A$24,0)),""))</f>
        <v>1500</v>
      </c>
      <c r="P2196" s="15">
        <f>IF(L2196="","",IFERROR(INDEX('Почасовка — ставки и план'!$E$5:$E$24,MATCH($D2196,'Почасовка — ставки и план'!$A$5:$A$24,0)),""))</f>
        <v>1800</v>
      </c>
      <c r="Q2196" s="15">
        <f t="shared" si="161"/>
        <v>2250</v>
      </c>
      <c r="R2196" s="13" t="str">
        <f>IF(D2196="TEX","аренда техники — сделка/счёт",IF(OR(Q2196="",H2196="",H2196=0),"—",IF(Q2196&lt;H2196*(1-Параметры!$B$7),"почасовка",IF(Q2196&gt;H2196*(1+Параметры!$B$7),"сделка","любой способ"))))</f>
        <v>любой способ</v>
      </c>
      <c r="S2196">
        <v>0</v>
      </c>
      <c r="T2196">
        <v>0</v>
      </c>
    </row>
    <row r="2197" spans="1:20" x14ac:dyDescent="0.25">
      <c r="A2197" s="13" t="s">
        <v>4420</v>
      </c>
      <c r="B2197" s="13" t="s">
        <v>4421</v>
      </c>
      <c r="C2197" s="13" t="s">
        <v>144</v>
      </c>
      <c r="D2197" s="13" t="s">
        <v>747</v>
      </c>
      <c r="E2197" s="13" t="str">
        <f>IFERROR(INDEX('Почасовка — ставки и план'!$B$5:$B$24,MATCH(D2197,'Почасовка — ставки и план'!$A$5:$A$24,0)),"Аренда техники / механизмы")</f>
        <v>Механик ПС / подъёмников / прессов / доков</v>
      </c>
      <c r="F2197" s="14">
        <v>5500</v>
      </c>
      <c r="G2197" s="14">
        <v>6500</v>
      </c>
      <c r="H2197" s="15">
        <v>3350</v>
      </c>
      <c r="I2197" s="15">
        <f>IF(OR(H2197="",F2197=""),"",MAX(H2197,MIN(ROUND(H2197*(1+Параметры!$B$5),IF(H2197*(1+Параметры!$B$5)&gt;=1000,-1,0)),ROUND(F2197*Параметры!$B$6,IF(F2197*Параметры!$B$6&gt;=1000,-1,0)))))</f>
        <v>3850</v>
      </c>
      <c r="J2197" s="15">
        <v>3850</v>
      </c>
      <c r="K2197" s="15">
        <f>IF(OR(J2197="",G2197=""),"",MAX(J2197,MIN(ROUND(J2197*(1+Параметры!$B$5),IF(J2197*(1+Параметры!$B$5)&gt;=1000,-1,0)),ROUND(G2197*Параметры!$B$6,IF(G2197*Параметры!$B$6&gt;=1000,-1,0)))))</f>
        <v>4430</v>
      </c>
      <c r="L2197" s="16">
        <v>2</v>
      </c>
      <c r="M2197" s="17">
        <f t="shared" si="160"/>
        <v>0.5</v>
      </c>
      <c r="N2197" s="17">
        <f>IF(OR(L2197="",L2197=0),"",Параметры!$B$3/L2197)</f>
        <v>4</v>
      </c>
      <c r="O2197" s="15">
        <f>IF(L2197="","",IFERROR(INDEX('Почасовка — ставки и план'!$D$5:$D$24,MATCH($D2197,'Почасовка — ставки и план'!$A$5:$A$24,0)),""))</f>
        <v>1500</v>
      </c>
      <c r="P2197" s="15">
        <f>IF(L2197="","",IFERROR(INDEX('Почасовка — ставки и план'!$E$5:$E$24,MATCH($D2197,'Почасовка — ставки и план'!$A$5:$A$24,0)),""))</f>
        <v>1800</v>
      </c>
      <c r="Q2197" s="15">
        <f t="shared" si="161"/>
        <v>3000</v>
      </c>
      <c r="R2197" s="13" t="str">
        <f>IF(D2197="TEX","аренда техники — сделка/счёт",IF(OR(Q2197="",H2197="",H2197=0),"—",IF(Q2197&lt;H2197*(1-Параметры!$B$7),"почасовка",IF(Q2197&gt;H2197*(1+Параметры!$B$7),"сделка","любой способ"))))</f>
        <v>почасовка</v>
      </c>
      <c r="S2197">
        <v>0</v>
      </c>
      <c r="T2197">
        <v>0</v>
      </c>
    </row>
    <row r="2198" spans="1:20" x14ac:dyDescent="0.25">
      <c r="A2198" s="13" t="s">
        <v>4422</v>
      </c>
      <c r="B2198" s="13" t="s">
        <v>4423</v>
      </c>
      <c r="C2198" s="13" t="s">
        <v>144</v>
      </c>
      <c r="D2198" s="13" t="s">
        <v>747</v>
      </c>
      <c r="E2198" s="13" t="str">
        <f>IFERROR(INDEX('Почасовка — ставки и план'!$B$5:$B$24,MATCH(D2198,'Почасовка — ставки и план'!$A$5:$A$24,0)),"Аренда техники / механизмы")</f>
        <v>Механик ПС / подъёмников / прессов / доков</v>
      </c>
      <c r="F2198" s="14">
        <v>1200</v>
      </c>
      <c r="G2198" s="14">
        <v>1400</v>
      </c>
      <c r="H2198" s="15">
        <v>670</v>
      </c>
      <c r="I2198" s="15">
        <f>IF(OR(H2198="",F2198=""),"",MAX(H2198,MIN(ROUND(H2198*(1+Параметры!$B$5),IF(H2198*(1+Параметры!$B$5)&gt;=1000,-1,0)),ROUND(F2198*Параметры!$B$6,IF(F2198*Параметры!$B$6&gt;=1000,-1,0)))))</f>
        <v>771</v>
      </c>
      <c r="J2198" s="15">
        <v>780</v>
      </c>
      <c r="K2198" s="15">
        <f>IF(OR(J2198="",G2198=""),"",MAX(J2198,MIN(ROUND(J2198*(1+Параметры!$B$5),IF(J2198*(1+Параметры!$B$5)&gt;=1000,-1,0)),ROUND(G2198*Параметры!$B$6,IF(G2198*Параметры!$B$6&gt;=1000,-1,0)))))</f>
        <v>897</v>
      </c>
      <c r="L2198" s="16">
        <v>0.4</v>
      </c>
      <c r="M2198" s="17">
        <f t="shared" si="160"/>
        <v>2.5</v>
      </c>
      <c r="N2198" s="17">
        <f>IF(OR(L2198="",L2198=0),"",Параметры!$B$3/L2198)</f>
        <v>20</v>
      </c>
      <c r="O2198" s="15">
        <f>IF(L2198="","",IFERROR(INDEX('Почасовка — ставки и план'!$D$5:$D$24,MATCH($D2198,'Почасовка — ставки и план'!$A$5:$A$24,0)),""))</f>
        <v>1500</v>
      </c>
      <c r="P2198" s="15">
        <f>IF(L2198="","",IFERROR(INDEX('Почасовка — ставки и план'!$E$5:$E$24,MATCH($D2198,'Почасовка — ставки и план'!$A$5:$A$24,0)),""))</f>
        <v>1800</v>
      </c>
      <c r="Q2198" s="15">
        <f t="shared" si="161"/>
        <v>600</v>
      </c>
      <c r="R2198" s="13" t="str">
        <f>IF(D2198="TEX","аренда техники — сделка/счёт",IF(OR(Q2198="",H2198="",H2198=0),"—",IF(Q2198&lt;H2198*(1-Параметры!$B$7),"почасовка",IF(Q2198&gt;H2198*(1+Параметры!$B$7),"сделка","любой способ"))))</f>
        <v>почасовка</v>
      </c>
      <c r="S2198">
        <v>0</v>
      </c>
      <c r="T2198">
        <v>0</v>
      </c>
    </row>
    <row r="2199" spans="1:20" x14ac:dyDescent="0.25">
      <c r="A2199" s="13" t="s">
        <v>4424</v>
      </c>
      <c r="B2199" s="13" t="s">
        <v>4425</v>
      </c>
      <c r="C2199" s="13" t="s">
        <v>144</v>
      </c>
      <c r="D2199" s="13" t="s">
        <v>747</v>
      </c>
      <c r="E2199" s="13" t="str">
        <f>IFERROR(INDEX('Почасовка — ставки и план'!$B$5:$B$24,MATCH(D2199,'Почасовка — ставки и план'!$A$5:$A$24,0)),"Аренда техники / механизмы")</f>
        <v>Механик ПС / подъёмников / прессов / доков</v>
      </c>
      <c r="F2199" s="14">
        <v>11000</v>
      </c>
      <c r="G2199" s="14">
        <v>12500</v>
      </c>
      <c r="H2199" s="15">
        <v>6600</v>
      </c>
      <c r="I2199" s="15">
        <f>IF(OR(H2199="",F2199=""),"",MAX(H2199,MIN(ROUND(H2199*(1+Параметры!$B$5),IF(H2199*(1+Параметры!$B$5)&gt;=1000,-1,0)),ROUND(F2199*Параметры!$B$6,IF(F2199*Параметры!$B$6&gt;=1000,-1,0)))))</f>
        <v>7590</v>
      </c>
      <c r="J2199" s="15">
        <v>7550</v>
      </c>
      <c r="K2199" s="15">
        <f>IF(OR(J2199="",G2199=""),"",MAX(J2199,MIN(ROUND(J2199*(1+Параметры!$B$5),IF(J2199*(1+Параметры!$B$5)&gt;=1000,-1,0)),ROUND(G2199*Параметры!$B$6,IF(G2199*Параметры!$B$6&gt;=1000,-1,0)))))</f>
        <v>8680</v>
      </c>
      <c r="L2199" s="16">
        <v>4</v>
      </c>
      <c r="M2199" s="17">
        <f t="shared" si="160"/>
        <v>0.25</v>
      </c>
      <c r="N2199" s="17">
        <f>IF(OR(L2199="",L2199=0),"",Параметры!$B$3/L2199)</f>
        <v>2</v>
      </c>
      <c r="O2199" s="15">
        <f>IF(L2199="","",IFERROR(INDEX('Почасовка — ставки и план'!$D$5:$D$24,MATCH($D2199,'Почасовка — ставки и план'!$A$5:$A$24,0)),""))</f>
        <v>1500</v>
      </c>
      <c r="P2199" s="15">
        <f>IF(L2199="","",IFERROR(INDEX('Почасовка — ставки и план'!$E$5:$E$24,MATCH($D2199,'Почасовка — ставки и план'!$A$5:$A$24,0)),""))</f>
        <v>1800</v>
      </c>
      <c r="Q2199" s="15">
        <f t="shared" si="161"/>
        <v>6000</v>
      </c>
      <c r="R2199" s="13" t="str">
        <f>IF(D2199="TEX","аренда техники — сделка/счёт",IF(OR(Q2199="",H2199="",H2199=0),"—",IF(Q2199&lt;H2199*(1-Параметры!$B$7),"почасовка",IF(Q2199&gt;H2199*(1+Параметры!$B$7),"сделка","любой способ"))))</f>
        <v>любой способ</v>
      </c>
      <c r="S2199">
        <v>0</v>
      </c>
      <c r="T2199">
        <v>0</v>
      </c>
    </row>
    <row r="2200" spans="1:20" x14ac:dyDescent="0.25">
      <c r="A2200" s="13" t="s">
        <v>4426</v>
      </c>
      <c r="B2200" s="13" t="s">
        <v>4427</v>
      </c>
      <c r="C2200" s="13" t="s">
        <v>144</v>
      </c>
      <c r="D2200" s="13" t="s">
        <v>747</v>
      </c>
      <c r="E2200" s="13" t="str">
        <f>IFERROR(INDEX('Почасовка — ставки и план'!$B$5:$B$24,MATCH(D2200,'Почасовка — ставки и план'!$A$5:$A$24,0)),"Аренда техники / механизмы")</f>
        <v>Механик ПС / подъёмников / прессов / доков</v>
      </c>
      <c r="F2200" s="14">
        <v>3000</v>
      </c>
      <c r="G2200" s="14">
        <v>3500</v>
      </c>
      <c r="H2200" s="15">
        <v>1700</v>
      </c>
      <c r="I2200" s="15">
        <f>IF(OR(H2200="",F2200=""),"",MAX(H2200,MIN(ROUND(H2200*(1+Параметры!$B$5),IF(H2200*(1+Параметры!$B$5)&gt;=1000,-1,0)),ROUND(F2200*Параметры!$B$6,IF(F2200*Параметры!$B$6&gt;=1000,-1,0)))))</f>
        <v>1960</v>
      </c>
      <c r="J2200" s="15">
        <v>1900</v>
      </c>
      <c r="K2200" s="15">
        <f>IF(OR(J2200="",G2200=""),"",MAX(J2200,MIN(ROUND(J2200*(1+Параметры!$B$5),IF(J2200*(1+Параметры!$B$5)&gt;=1000,-1,0)),ROUND(G2200*Параметры!$B$6,IF(G2200*Параметры!$B$6&gt;=1000,-1,0)))))</f>
        <v>2190</v>
      </c>
      <c r="L2200" s="16">
        <v>1</v>
      </c>
      <c r="M2200" s="17">
        <f t="shared" si="160"/>
        <v>1</v>
      </c>
      <c r="N2200" s="17">
        <f>IF(OR(L2200="",L2200=0),"",Параметры!$B$3/L2200)</f>
        <v>8</v>
      </c>
      <c r="O2200" s="15">
        <f>IF(L2200="","",IFERROR(INDEX('Почасовка — ставки и план'!$D$5:$D$24,MATCH($D2200,'Почасовка — ставки и план'!$A$5:$A$24,0)),""))</f>
        <v>1500</v>
      </c>
      <c r="P2200" s="15">
        <f>IF(L2200="","",IFERROR(INDEX('Почасовка — ставки и план'!$E$5:$E$24,MATCH($D2200,'Почасовка — ставки и план'!$A$5:$A$24,0)),""))</f>
        <v>1800</v>
      </c>
      <c r="Q2200" s="15">
        <f t="shared" si="161"/>
        <v>1500</v>
      </c>
      <c r="R2200" s="13" t="str">
        <f>IF(D2200="TEX","аренда техники — сделка/счёт",IF(OR(Q2200="",H2200="",H2200=0),"—",IF(Q2200&lt;H2200*(1-Параметры!$B$7),"почасовка",IF(Q2200&gt;H2200*(1+Параметры!$B$7),"сделка","любой способ"))))</f>
        <v>почасовка</v>
      </c>
      <c r="S2200">
        <v>0</v>
      </c>
      <c r="T2200">
        <v>0</v>
      </c>
    </row>
    <row r="2201" spans="1:20" x14ac:dyDescent="0.25">
      <c r="A2201" s="13" t="s">
        <v>4428</v>
      </c>
      <c r="B2201" s="13" t="s">
        <v>4429</v>
      </c>
      <c r="C2201" s="13" t="s">
        <v>144</v>
      </c>
      <c r="D2201" s="13" t="s">
        <v>747</v>
      </c>
      <c r="E2201" s="13" t="str">
        <f>IFERROR(INDEX('Почасовка — ставки и план'!$B$5:$B$24,MATCH(D2201,'Почасовка — ставки и план'!$A$5:$A$24,0)),"Аренда техники / механизмы")</f>
        <v>Механик ПС / подъёмников / прессов / доков</v>
      </c>
      <c r="F2201" s="14">
        <v>3000</v>
      </c>
      <c r="G2201" s="14">
        <v>3500</v>
      </c>
      <c r="H2201" s="15">
        <v>1700</v>
      </c>
      <c r="I2201" s="15">
        <f>IF(OR(H2201="",F2201=""),"",MAX(H2201,MIN(ROUND(H2201*(1+Параметры!$B$5),IF(H2201*(1+Параметры!$B$5)&gt;=1000,-1,0)),ROUND(F2201*Параметры!$B$6,IF(F2201*Параметры!$B$6&gt;=1000,-1,0)))))</f>
        <v>1960</v>
      </c>
      <c r="J2201" s="15">
        <v>1900</v>
      </c>
      <c r="K2201" s="15">
        <f>IF(OR(J2201="",G2201=""),"",MAX(J2201,MIN(ROUND(J2201*(1+Параметры!$B$5),IF(J2201*(1+Параметры!$B$5)&gt;=1000,-1,0)),ROUND(G2201*Параметры!$B$6,IF(G2201*Параметры!$B$6&gt;=1000,-1,0)))))</f>
        <v>2190</v>
      </c>
      <c r="L2201" s="16">
        <v>1</v>
      </c>
      <c r="M2201" s="17">
        <f t="shared" si="160"/>
        <v>1</v>
      </c>
      <c r="N2201" s="17">
        <f>IF(OR(L2201="",L2201=0),"",Параметры!$B$3/L2201)</f>
        <v>8</v>
      </c>
      <c r="O2201" s="15">
        <f>IF(L2201="","",IFERROR(INDEX('Почасовка — ставки и план'!$D$5:$D$24,MATCH($D2201,'Почасовка — ставки и план'!$A$5:$A$24,0)),""))</f>
        <v>1500</v>
      </c>
      <c r="P2201" s="15">
        <f>IF(L2201="","",IFERROR(INDEX('Почасовка — ставки и план'!$E$5:$E$24,MATCH($D2201,'Почасовка — ставки и план'!$A$5:$A$24,0)),""))</f>
        <v>1800</v>
      </c>
      <c r="Q2201" s="15">
        <f t="shared" si="161"/>
        <v>1500</v>
      </c>
      <c r="R2201" s="13" t="str">
        <f>IF(D2201="TEX","аренда техники — сделка/счёт",IF(OR(Q2201="",H2201="",H2201=0),"—",IF(Q2201&lt;H2201*(1-Параметры!$B$7),"почасовка",IF(Q2201&gt;H2201*(1+Параметры!$B$7),"сделка","любой способ"))))</f>
        <v>почасовка</v>
      </c>
      <c r="S2201">
        <v>0</v>
      </c>
      <c r="T2201">
        <v>0</v>
      </c>
    </row>
    <row r="2202" spans="1:20" x14ac:dyDescent="0.25">
      <c r="A2202" s="13" t="s">
        <v>4430</v>
      </c>
      <c r="B2202" s="13" t="s">
        <v>4431</v>
      </c>
      <c r="C2202" s="13" t="s">
        <v>144</v>
      </c>
      <c r="D2202" s="13" t="s">
        <v>747</v>
      </c>
      <c r="E2202" s="13" t="str">
        <f>IFERROR(INDEX('Почасовка — ставки и план'!$B$5:$B$24,MATCH(D2202,'Почасовка — ставки и план'!$A$5:$A$24,0)),"Аренда техники / механизмы")</f>
        <v>Механик ПС / подъёмников / прессов / доков</v>
      </c>
      <c r="F2202" s="14">
        <v>40000</v>
      </c>
      <c r="G2202" s="14">
        <v>46000</v>
      </c>
      <c r="H2202" s="15">
        <v>24000</v>
      </c>
      <c r="I2202" s="15">
        <f>IF(OR(H2202="",F2202=""),"",MAX(H2202,MIN(ROUND(H2202*(1+Параметры!$B$5),IF(H2202*(1+Параметры!$B$5)&gt;=1000,-1,0)),ROUND(F2202*Параметры!$B$6,IF(F2202*Параметры!$B$6&gt;=1000,-1,0)))))</f>
        <v>27600</v>
      </c>
      <c r="J2202" s="15">
        <v>27600</v>
      </c>
      <c r="K2202" s="15">
        <f>IF(OR(J2202="",G2202=""),"",MAX(J2202,MIN(ROUND(J2202*(1+Параметры!$B$5),IF(J2202*(1+Параметры!$B$5)&gt;=1000,-1,0)),ROUND(G2202*Параметры!$B$6,IF(G2202*Параметры!$B$6&gt;=1000,-1,0)))))</f>
        <v>31740</v>
      </c>
      <c r="L2202" s="16">
        <v>16</v>
      </c>
      <c r="M2202" s="17">
        <f t="shared" ref="M2202:M2233" si="162">IF(OR(L2202="",L2202=0),"",1/L2202)</f>
        <v>6.25E-2</v>
      </c>
      <c r="N2202" s="17">
        <f>IF(OR(L2202="",L2202=0),"",Параметры!$B$3/L2202)</f>
        <v>0.5</v>
      </c>
      <c r="O2202" s="15">
        <f>IF(L2202="","",IFERROR(INDEX('Почасовка — ставки и план'!$D$5:$D$24,MATCH($D2202,'Почасовка — ставки и план'!$A$5:$A$24,0)),""))</f>
        <v>1500</v>
      </c>
      <c r="P2202" s="15">
        <f>IF(L2202="","",IFERROR(INDEX('Почасовка — ставки и план'!$E$5:$E$24,MATCH($D2202,'Почасовка — ставки и план'!$A$5:$A$24,0)),""))</f>
        <v>1800</v>
      </c>
      <c r="Q2202" s="15">
        <f t="shared" ref="Q2202:Q2233" si="163">IF(OR(L2202="",O2202=""),"",ROUND(L2202*O2202,0))</f>
        <v>24000</v>
      </c>
      <c r="R2202" s="13" t="str">
        <f>IF(D2202="TEX","аренда техники — сделка/счёт",IF(OR(Q2202="",H2202="",H2202=0),"—",IF(Q2202&lt;H2202*(1-Параметры!$B$7),"почасовка",IF(Q2202&gt;H2202*(1+Параметры!$B$7),"сделка","любой способ"))))</f>
        <v>любой способ</v>
      </c>
      <c r="S2202">
        <v>0</v>
      </c>
      <c r="T2202">
        <v>0</v>
      </c>
    </row>
    <row r="2203" spans="1:20" x14ac:dyDescent="0.25">
      <c r="A2203" s="13" t="s">
        <v>4432</v>
      </c>
      <c r="B2203" s="13" t="s">
        <v>4433</v>
      </c>
      <c r="C2203" s="13" t="s">
        <v>144</v>
      </c>
      <c r="D2203" s="13" t="s">
        <v>747</v>
      </c>
      <c r="E2203" s="13" t="str">
        <f>IFERROR(INDEX('Почасовка — ставки и план'!$B$5:$B$24,MATCH(D2203,'Почасовка — ставки и план'!$A$5:$A$24,0)),"Аренда техники / механизмы")</f>
        <v>Механик ПС / подъёмников / прессов / доков</v>
      </c>
      <c r="F2203" s="14">
        <v>8500</v>
      </c>
      <c r="G2203" s="14">
        <v>9800</v>
      </c>
      <c r="H2203" s="15">
        <v>5050</v>
      </c>
      <c r="I2203" s="15">
        <f>IF(OR(H2203="",F2203=""),"",MAX(H2203,MIN(ROUND(H2203*(1+Параметры!$B$5),IF(H2203*(1+Параметры!$B$5)&gt;=1000,-1,0)),ROUND(F2203*Параметры!$B$6,IF(F2203*Параметры!$B$6&gt;=1000,-1,0)))))</f>
        <v>5810</v>
      </c>
      <c r="J2203" s="15">
        <v>5750</v>
      </c>
      <c r="K2203" s="15">
        <f>IF(OR(J2203="",G2203=""),"",MAX(J2203,MIN(ROUND(J2203*(1+Параметры!$B$5),IF(J2203*(1+Параметры!$B$5)&gt;=1000,-1,0)),ROUND(G2203*Параметры!$B$6,IF(G2203*Параметры!$B$6&gt;=1000,-1,0)))))</f>
        <v>6610</v>
      </c>
      <c r="L2203" s="16">
        <v>3</v>
      </c>
      <c r="M2203" s="17">
        <f t="shared" si="162"/>
        <v>0.33333333333333331</v>
      </c>
      <c r="N2203" s="17">
        <f>IF(OR(L2203="",L2203=0),"",Параметры!$B$3/L2203)</f>
        <v>2.6666666666666665</v>
      </c>
      <c r="O2203" s="15">
        <f>IF(L2203="","",IFERROR(INDEX('Почасовка — ставки и план'!$D$5:$D$24,MATCH($D2203,'Почасовка — ставки и план'!$A$5:$A$24,0)),""))</f>
        <v>1500</v>
      </c>
      <c r="P2203" s="15">
        <f>IF(L2203="","",IFERROR(INDEX('Почасовка — ставки и план'!$E$5:$E$24,MATCH($D2203,'Почасовка — ставки и план'!$A$5:$A$24,0)),""))</f>
        <v>1800</v>
      </c>
      <c r="Q2203" s="15">
        <f t="shared" si="163"/>
        <v>4500</v>
      </c>
      <c r="R2203" s="13" t="str">
        <f>IF(D2203="TEX","аренда техники — сделка/счёт",IF(OR(Q2203="",H2203="",H2203=0),"—",IF(Q2203&lt;H2203*(1-Параметры!$B$7),"почасовка",IF(Q2203&gt;H2203*(1+Параметры!$B$7),"сделка","любой способ"))))</f>
        <v>почасовка</v>
      </c>
      <c r="S2203">
        <v>0</v>
      </c>
      <c r="T2203">
        <v>0</v>
      </c>
    </row>
    <row r="2204" spans="1:20" x14ac:dyDescent="0.25">
      <c r="A2204" s="13" t="s">
        <v>4434</v>
      </c>
      <c r="B2204" s="13" t="s">
        <v>4435</v>
      </c>
      <c r="C2204" s="13" t="s">
        <v>144</v>
      </c>
      <c r="D2204" s="13" t="s">
        <v>747</v>
      </c>
      <c r="E2204" s="13" t="str">
        <f>IFERROR(INDEX('Почасовка — ставки и план'!$B$5:$B$24,MATCH(D2204,'Почасовка — ставки и план'!$A$5:$A$24,0)),"Аренда техники / механизмы")</f>
        <v>Механик ПС / подъёмников / прессов / доков</v>
      </c>
      <c r="F2204" s="14">
        <v>8500</v>
      </c>
      <c r="G2204" s="14">
        <v>10500</v>
      </c>
      <c r="H2204" s="15">
        <v>4200</v>
      </c>
      <c r="I2204" s="15">
        <f>IF(OR(H2204="",F2204=""),"",MAX(H2204,MIN(ROUND(H2204*(1+Параметры!$B$5),IF(H2204*(1+Параметры!$B$5)&gt;=1000,-1,0)),ROUND(F2204*Параметры!$B$6,IF(F2204*Параметры!$B$6&gt;=1000,-1,0)))))</f>
        <v>4830</v>
      </c>
      <c r="J2204" s="15">
        <v>5050</v>
      </c>
      <c r="K2204" s="15">
        <f>IF(OR(J2204="",G2204=""),"",MAX(J2204,MIN(ROUND(J2204*(1+Параметры!$B$5),IF(J2204*(1+Параметры!$B$5)&gt;=1000,-1,0)),ROUND(G2204*Параметры!$B$6,IF(G2204*Параметры!$B$6&gt;=1000,-1,0)))))</f>
        <v>5810</v>
      </c>
      <c r="L2204" s="16">
        <v>2.5</v>
      </c>
      <c r="M2204" s="17">
        <f t="shared" si="162"/>
        <v>0.4</v>
      </c>
      <c r="N2204" s="17">
        <f>IF(OR(L2204="",L2204=0),"",Параметры!$B$3/L2204)</f>
        <v>3.2</v>
      </c>
      <c r="O2204" s="15">
        <f>IF(L2204="","",IFERROR(INDEX('Почасовка — ставки и план'!$D$5:$D$24,MATCH($D2204,'Почасовка — ставки и план'!$A$5:$A$24,0)),""))</f>
        <v>1500</v>
      </c>
      <c r="P2204" s="15">
        <f>IF(L2204="","",IFERROR(INDEX('Почасовка — ставки и план'!$E$5:$E$24,MATCH($D2204,'Почасовка — ставки и план'!$A$5:$A$24,0)),""))</f>
        <v>1800</v>
      </c>
      <c r="Q2204" s="15">
        <f t="shared" si="163"/>
        <v>3750</v>
      </c>
      <c r="R2204" s="13" t="str">
        <f>IF(D2204="TEX","аренда техники — сделка/счёт",IF(OR(Q2204="",H2204="",H2204=0),"—",IF(Q2204&lt;H2204*(1-Параметры!$B$7),"почасовка",IF(Q2204&gt;H2204*(1+Параметры!$B$7),"сделка","любой способ"))))</f>
        <v>почасовка</v>
      </c>
      <c r="S2204">
        <v>0</v>
      </c>
      <c r="T2204">
        <v>0</v>
      </c>
    </row>
    <row r="2205" spans="1:20" x14ac:dyDescent="0.25">
      <c r="A2205" s="13" t="s">
        <v>4436</v>
      </c>
      <c r="B2205" s="13" t="s">
        <v>4437</v>
      </c>
      <c r="C2205" s="13" t="s">
        <v>144</v>
      </c>
      <c r="D2205" s="13" t="s">
        <v>747</v>
      </c>
      <c r="E2205" s="13" t="str">
        <f>IFERROR(INDEX('Почасовка — ставки и план'!$B$5:$B$24,MATCH(D2205,'Почасовка — ставки и план'!$A$5:$A$24,0)),"Аренда техники / механизмы")</f>
        <v>Механик ПС / подъёмников / прессов / доков</v>
      </c>
      <c r="F2205" s="14">
        <v>4000</v>
      </c>
      <c r="G2205" s="14">
        <v>4600</v>
      </c>
      <c r="H2205" s="15">
        <v>2400</v>
      </c>
      <c r="I2205" s="15">
        <f>IF(OR(H2205="",F2205=""),"",MAX(H2205,MIN(ROUND(H2205*(1+Параметры!$B$5),IF(H2205*(1+Параметры!$B$5)&gt;=1000,-1,0)),ROUND(F2205*Параметры!$B$6,IF(F2205*Параметры!$B$6&gt;=1000,-1,0)))))</f>
        <v>2760</v>
      </c>
      <c r="J2205" s="15">
        <v>2750</v>
      </c>
      <c r="K2205" s="15">
        <f>IF(OR(J2205="",G2205=""),"",MAX(J2205,MIN(ROUND(J2205*(1+Параметры!$B$5),IF(J2205*(1+Параметры!$B$5)&gt;=1000,-1,0)),ROUND(G2205*Параметры!$B$6,IF(G2205*Параметры!$B$6&gt;=1000,-1,0)))))</f>
        <v>3160</v>
      </c>
      <c r="L2205" s="16">
        <v>1.5</v>
      </c>
      <c r="M2205" s="17">
        <f t="shared" si="162"/>
        <v>0.66666666666666663</v>
      </c>
      <c r="N2205" s="17">
        <f>IF(OR(L2205="",L2205=0),"",Параметры!$B$3/L2205)</f>
        <v>5.333333333333333</v>
      </c>
      <c r="O2205" s="15">
        <f>IF(L2205="","",IFERROR(INDEX('Почасовка — ставки и план'!$D$5:$D$24,MATCH($D2205,'Почасовка — ставки и план'!$A$5:$A$24,0)),""))</f>
        <v>1500</v>
      </c>
      <c r="P2205" s="15">
        <f>IF(L2205="","",IFERROR(INDEX('Почасовка — ставки и план'!$E$5:$E$24,MATCH($D2205,'Почасовка — ставки и план'!$A$5:$A$24,0)),""))</f>
        <v>1800</v>
      </c>
      <c r="Q2205" s="15">
        <f t="shared" si="163"/>
        <v>2250</v>
      </c>
      <c r="R2205" s="13" t="str">
        <f>IF(D2205="TEX","аренда техники — сделка/счёт",IF(OR(Q2205="",H2205="",H2205=0),"—",IF(Q2205&lt;H2205*(1-Параметры!$B$7),"почасовка",IF(Q2205&gt;H2205*(1+Параметры!$B$7),"сделка","любой способ"))))</f>
        <v>любой способ</v>
      </c>
      <c r="S2205">
        <v>0</v>
      </c>
      <c r="T2205">
        <v>0</v>
      </c>
    </row>
    <row r="2206" spans="1:20" x14ac:dyDescent="0.25">
      <c r="A2206" s="13" t="s">
        <v>4438</v>
      </c>
      <c r="B2206" s="13" t="s">
        <v>4439</v>
      </c>
      <c r="C2206" s="13" t="s">
        <v>144</v>
      </c>
      <c r="D2206" s="13" t="s">
        <v>747</v>
      </c>
      <c r="E2206" s="13" t="str">
        <f>IFERROR(INDEX('Почасовка — ставки и план'!$B$5:$B$24,MATCH(D2206,'Почасовка — ставки и план'!$A$5:$A$24,0)),"Аренда техники / механизмы")</f>
        <v>Механик ПС / подъёмников / прессов / доков</v>
      </c>
      <c r="F2206" s="14">
        <v>3000</v>
      </c>
      <c r="G2206" s="14">
        <v>3500</v>
      </c>
      <c r="H2206" s="15">
        <v>1700</v>
      </c>
      <c r="I2206" s="15">
        <f>IF(OR(H2206="",F2206=""),"",MAX(H2206,MIN(ROUND(H2206*(1+Параметры!$B$5),IF(H2206*(1+Параметры!$B$5)&gt;=1000,-1,0)),ROUND(F2206*Параметры!$B$6,IF(F2206*Параметры!$B$6&gt;=1000,-1,0)))))</f>
        <v>1960</v>
      </c>
      <c r="J2206" s="15">
        <v>1900</v>
      </c>
      <c r="K2206" s="15">
        <f>IF(OR(J2206="",G2206=""),"",MAX(J2206,MIN(ROUND(J2206*(1+Параметры!$B$5),IF(J2206*(1+Параметры!$B$5)&gt;=1000,-1,0)),ROUND(G2206*Параметры!$B$6,IF(G2206*Параметры!$B$6&gt;=1000,-1,0)))))</f>
        <v>2190</v>
      </c>
      <c r="L2206" s="16">
        <v>1</v>
      </c>
      <c r="M2206" s="17">
        <f t="shared" si="162"/>
        <v>1</v>
      </c>
      <c r="N2206" s="17">
        <f>IF(OR(L2206="",L2206=0),"",Параметры!$B$3/L2206)</f>
        <v>8</v>
      </c>
      <c r="O2206" s="15">
        <f>IF(L2206="","",IFERROR(INDEX('Почасовка — ставки и план'!$D$5:$D$24,MATCH($D2206,'Почасовка — ставки и план'!$A$5:$A$24,0)),""))</f>
        <v>1500</v>
      </c>
      <c r="P2206" s="15">
        <f>IF(L2206="","",IFERROR(INDEX('Почасовка — ставки и план'!$E$5:$E$24,MATCH($D2206,'Почасовка — ставки и план'!$A$5:$A$24,0)),""))</f>
        <v>1800</v>
      </c>
      <c r="Q2206" s="15">
        <f t="shared" si="163"/>
        <v>1500</v>
      </c>
      <c r="R2206" s="13" t="str">
        <f>IF(D2206="TEX","аренда техники — сделка/счёт",IF(OR(Q2206="",H2206="",H2206=0),"—",IF(Q2206&lt;H2206*(1-Параметры!$B$7),"почасовка",IF(Q2206&gt;H2206*(1+Параметры!$B$7),"сделка","любой способ"))))</f>
        <v>почасовка</v>
      </c>
      <c r="S2206">
        <v>0</v>
      </c>
      <c r="T2206">
        <v>0</v>
      </c>
    </row>
    <row r="2207" spans="1:20" x14ac:dyDescent="0.25">
      <c r="A2207" s="13" t="s">
        <v>4440</v>
      </c>
      <c r="B2207" s="13" t="s">
        <v>4441</v>
      </c>
      <c r="C2207" s="13" t="s">
        <v>144</v>
      </c>
      <c r="D2207" s="13" t="s">
        <v>747</v>
      </c>
      <c r="E2207" s="13" t="str">
        <f>IFERROR(INDEX('Почасовка — ставки и план'!$B$5:$B$24,MATCH(D2207,'Почасовка — ставки и план'!$A$5:$A$24,0)),"Аренда техники / механизмы")</f>
        <v>Механик ПС / подъёмников / прессов / доков</v>
      </c>
      <c r="F2207" s="14">
        <v>300</v>
      </c>
      <c r="G2207" s="14">
        <v>350</v>
      </c>
      <c r="H2207" s="15">
        <v>180</v>
      </c>
      <c r="I2207" s="15">
        <f>IF(OR(H2207="",F2207=""),"",MAX(H2207,MIN(ROUND(H2207*(1+Параметры!$B$5),IF(H2207*(1+Параметры!$B$5)&gt;=1000,-1,0)),ROUND(F2207*Параметры!$B$6,IF(F2207*Параметры!$B$6&gt;=1000,-1,0)))))</f>
        <v>207</v>
      </c>
      <c r="J2207" s="15">
        <v>200</v>
      </c>
      <c r="K2207" s="15">
        <f>IF(OR(J2207="",G2207=""),"",MAX(J2207,MIN(ROUND(J2207*(1+Параметры!$B$5),IF(J2207*(1+Параметры!$B$5)&gt;=1000,-1,0)),ROUND(G2207*Параметры!$B$6,IF(G2207*Параметры!$B$6&gt;=1000,-1,0)))))</f>
        <v>230</v>
      </c>
      <c r="L2207" s="16">
        <v>0.1</v>
      </c>
      <c r="M2207" s="17">
        <f t="shared" si="162"/>
        <v>10</v>
      </c>
      <c r="N2207" s="17">
        <f>IF(OR(L2207="",L2207=0),"",Параметры!$B$3/L2207)</f>
        <v>80</v>
      </c>
      <c r="O2207" s="15">
        <f>IF(L2207="","",IFERROR(INDEX('Почасовка — ставки и план'!$D$5:$D$24,MATCH($D2207,'Почасовка — ставки и план'!$A$5:$A$24,0)),""))</f>
        <v>1500</v>
      </c>
      <c r="P2207" s="15">
        <f>IF(L2207="","",IFERROR(INDEX('Почасовка — ставки и план'!$E$5:$E$24,MATCH($D2207,'Почасовка — ставки и план'!$A$5:$A$24,0)),""))</f>
        <v>1800</v>
      </c>
      <c r="Q2207" s="15">
        <f t="shared" si="163"/>
        <v>150</v>
      </c>
      <c r="R2207" s="13" t="str">
        <f>IF(D2207="TEX","аренда техники — сделка/счёт",IF(OR(Q2207="",H2207="",H2207=0),"—",IF(Q2207&lt;H2207*(1-Параметры!$B$7),"почасовка",IF(Q2207&gt;H2207*(1+Параметры!$B$7),"сделка","любой способ"))))</f>
        <v>почасовка</v>
      </c>
      <c r="S2207">
        <v>0</v>
      </c>
      <c r="T2207">
        <v>0</v>
      </c>
    </row>
    <row r="2208" spans="1:20" x14ac:dyDescent="0.25">
      <c r="A2208" s="13" t="s">
        <v>4442</v>
      </c>
      <c r="B2208" s="13" t="s">
        <v>4443</v>
      </c>
      <c r="C2208" s="13" t="s">
        <v>144</v>
      </c>
      <c r="D2208" s="13" t="s">
        <v>747</v>
      </c>
      <c r="E2208" s="13" t="str">
        <f>IFERROR(INDEX('Почасовка — ставки и план'!$B$5:$B$24,MATCH(D2208,'Почасовка — ставки и план'!$A$5:$A$24,0)),"Аренда техники / механизмы")</f>
        <v>Механик ПС / подъёмников / прессов / доков</v>
      </c>
      <c r="F2208" s="14">
        <v>8500</v>
      </c>
      <c r="G2208" s="14">
        <v>10000</v>
      </c>
      <c r="H2208" s="15">
        <v>5050</v>
      </c>
      <c r="I2208" s="15">
        <f>IF(OR(H2208="",F2208=""),"",MAX(H2208,MIN(ROUND(H2208*(1+Параметры!$B$5),IF(H2208*(1+Параметры!$B$5)&gt;=1000,-1,0)),ROUND(F2208*Параметры!$B$6,IF(F2208*Параметры!$B$6&gt;=1000,-1,0)))))</f>
        <v>5810</v>
      </c>
      <c r="J2208" s="15">
        <v>5750</v>
      </c>
      <c r="K2208" s="15">
        <f>IF(OR(J2208="",G2208=""),"",MAX(J2208,MIN(ROUND(J2208*(1+Параметры!$B$5),IF(J2208*(1+Параметры!$B$5)&gt;=1000,-1,0)),ROUND(G2208*Параметры!$B$6,IF(G2208*Параметры!$B$6&gt;=1000,-1,0)))))</f>
        <v>6610</v>
      </c>
      <c r="L2208" s="16">
        <v>3</v>
      </c>
      <c r="M2208" s="17">
        <f t="shared" si="162"/>
        <v>0.33333333333333331</v>
      </c>
      <c r="N2208" s="17">
        <f>IF(OR(L2208="",L2208=0),"",Параметры!$B$3/L2208)</f>
        <v>2.6666666666666665</v>
      </c>
      <c r="O2208" s="15">
        <f>IF(L2208="","",IFERROR(INDEX('Почасовка — ставки и план'!$D$5:$D$24,MATCH($D2208,'Почасовка — ставки и план'!$A$5:$A$24,0)),""))</f>
        <v>1500</v>
      </c>
      <c r="P2208" s="15">
        <f>IF(L2208="","",IFERROR(INDEX('Почасовка — ставки и план'!$E$5:$E$24,MATCH($D2208,'Почасовка — ставки и план'!$A$5:$A$24,0)),""))</f>
        <v>1800</v>
      </c>
      <c r="Q2208" s="15">
        <f t="shared" si="163"/>
        <v>4500</v>
      </c>
      <c r="R2208" s="13" t="str">
        <f>IF(D2208="TEX","аренда техники — сделка/счёт",IF(OR(Q2208="",H2208="",H2208=0),"—",IF(Q2208&lt;H2208*(1-Параметры!$B$7),"почасовка",IF(Q2208&gt;H2208*(1+Параметры!$B$7),"сделка","любой способ"))))</f>
        <v>почасовка</v>
      </c>
      <c r="S2208">
        <v>0</v>
      </c>
      <c r="T2208">
        <v>0</v>
      </c>
    </row>
    <row r="2209" spans="1:20" x14ac:dyDescent="0.25">
      <c r="A2209" s="13" t="s">
        <v>4444</v>
      </c>
      <c r="B2209" s="13" t="s">
        <v>4445</v>
      </c>
      <c r="C2209" s="13" t="s">
        <v>144</v>
      </c>
      <c r="D2209" s="13" t="s">
        <v>747</v>
      </c>
      <c r="E2209" s="13" t="str">
        <f>IFERROR(INDEX('Почасовка — ставки и план'!$B$5:$B$24,MATCH(D2209,'Почасовка — ставки и план'!$A$5:$A$24,0)),"Аренда техники / механизмы")</f>
        <v>Механик ПС / подъёмников / прессов / доков</v>
      </c>
      <c r="F2209" s="14">
        <v>1500</v>
      </c>
      <c r="G2209" s="14">
        <v>1750</v>
      </c>
      <c r="H2209" s="15">
        <v>840</v>
      </c>
      <c r="I2209" s="15">
        <f>IF(OR(H2209="",F2209=""),"",MAX(H2209,MIN(ROUND(H2209*(1+Параметры!$B$5),IF(H2209*(1+Параметры!$B$5)&gt;=1000,-1,0)),ROUND(F2209*Параметры!$B$6,IF(F2209*Параметры!$B$6&gt;=1000,-1,0)))))</f>
        <v>966</v>
      </c>
      <c r="J2209" s="15">
        <v>960</v>
      </c>
      <c r="K2209" s="15">
        <f>IF(OR(J2209="",G2209=""),"",MAX(J2209,MIN(ROUND(J2209*(1+Параметры!$B$5),IF(J2209*(1+Параметры!$B$5)&gt;=1000,-1,0)),ROUND(G2209*Параметры!$B$6,IF(G2209*Параметры!$B$6&gt;=1000,-1,0)))))</f>
        <v>1100</v>
      </c>
      <c r="L2209" s="16">
        <v>0.5</v>
      </c>
      <c r="M2209" s="17">
        <f t="shared" si="162"/>
        <v>2</v>
      </c>
      <c r="N2209" s="17">
        <f>IF(OR(L2209="",L2209=0),"",Параметры!$B$3/L2209)</f>
        <v>16</v>
      </c>
      <c r="O2209" s="15">
        <f>IF(L2209="","",IFERROR(INDEX('Почасовка — ставки и план'!$D$5:$D$24,MATCH($D2209,'Почасовка — ставки и план'!$A$5:$A$24,0)),""))</f>
        <v>1500</v>
      </c>
      <c r="P2209" s="15">
        <f>IF(L2209="","",IFERROR(INDEX('Почасовка — ставки и план'!$E$5:$E$24,MATCH($D2209,'Почасовка — ставки и план'!$A$5:$A$24,0)),""))</f>
        <v>1800</v>
      </c>
      <c r="Q2209" s="15">
        <f t="shared" si="163"/>
        <v>750</v>
      </c>
      <c r="R2209" s="13" t="str">
        <f>IF(D2209="TEX","аренда техники — сделка/счёт",IF(OR(Q2209="",H2209="",H2209=0),"—",IF(Q2209&lt;H2209*(1-Параметры!$B$7),"почасовка",IF(Q2209&gt;H2209*(1+Параметры!$B$7),"сделка","любой способ"))))</f>
        <v>почасовка</v>
      </c>
      <c r="S2209">
        <v>0</v>
      </c>
      <c r="T2209">
        <v>0</v>
      </c>
    </row>
    <row r="2210" spans="1:20" x14ac:dyDescent="0.25">
      <c r="A2210" s="13" t="s">
        <v>4446</v>
      </c>
      <c r="B2210" s="13" t="s">
        <v>4447</v>
      </c>
      <c r="C2210" s="13" t="s">
        <v>144</v>
      </c>
      <c r="D2210" s="13" t="s">
        <v>747</v>
      </c>
      <c r="E2210" s="13" t="str">
        <f>IFERROR(INDEX('Почасовка — ставки и план'!$B$5:$B$24,MATCH(D2210,'Почасовка — ставки и план'!$A$5:$A$24,0)),"Аренда техники / механизмы")</f>
        <v>Механик ПС / подъёмников / прессов / доков</v>
      </c>
      <c r="F2210" s="14">
        <v>16000</v>
      </c>
      <c r="G2210" s="14">
        <v>21000</v>
      </c>
      <c r="H2210" s="15">
        <v>8400</v>
      </c>
      <c r="I2210" s="15">
        <f>IF(OR(H2210="",F2210=""),"",MAX(H2210,MIN(ROUND(H2210*(1+Параметры!$B$5),IF(H2210*(1+Параметры!$B$5)&gt;=1000,-1,0)),ROUND(F2210*Параметры!$B$6,IF(F2210*Параметры!$B$6&gt;=1000,-1,0)))))</f>
        <v>9660</v>
      </c>
      <c r="J2210" s="15">
        <v>10200</v>
      </c>
      <c r="K2210" s="15">
        <f>IF(OR(J2210="",G2210=""),"",MAX(J2210,MIN(ROUND(J2210*(1+Параметры!$B$5),IF(J2210*(1+Параметры!$B$5)&gt;=1000,-1,0)),ROUND(G2210*Параметры!$B$6,IF(G2210*Параметры!$B$6&gt;=1000,-1,0)))))</f>
        <v>11730</v>
      </c>
      <c r="L2210" s="16">
        <v>5</v>
      </c>
      <c r="M2210" s="17">
        <f t="shared" si="162"/>
        <v>0.2</v>
      </c>
      <c r="N2210" s="17">
        <f>IF(OR(L2210="",L2210=0),"",Параметры!$B$3/L2210)</f>
        <v>1.6</v>
      </c>
      <c r="O2210" s="15">
        <f>IF(L2210="","",IFERROR(INDEX('Почасовка — ставки и план'!$D$5:$D$24,MATCH($D2210,'Почасовка — ставки и план'!$A$5:$A$24,0)),""))</f>
        <v>1500</v>
      </c>
      <c r="P2210" s="15">
        <f>IF(L2210="","",IFERROR(INDEX('Почасовка — ставки и план'!$E$5:$E$24,MATCH($D2210,'Почасовка — ставки и план'!$A$5:$A$24,0)),""))</f>
        <v>1800</v>
      </c>
      <c r="Q2210" s="15">
        <f t="shared" si="163"/>
        <v>7500</v>
      </c>
      <c r="R2210" s="13" t="str">
        <f>IF(D2210="TEX","аренда техники — сделка/счёт",IF(OR(Q2210="",H2210="",H2210=0),"—",IF(Q2210&lt;H2210*(1-Параметры!$B$7),"почасовка",IF(Q2210&gt;H2210*(1+Параметры!$B$7),"сделка","любой способ"))))</f>
        <v>почасовка</v>
      </c>
      <c r="S2210">
        <v>0</v>
      </c>
      <c r="T2210">
        <v>0</v>
      </c>
    </row>
    <row r="2211" spans="1:20" x14ac:dyDescent="0.25">
      <c r="A2211" s="13" t="s">
        <v>4448</v>
      </c>
      <c r="B2211" s="13" t="s">
        <v>4449</v>
      </c>
      <c r="C2211" s="13" t="s">
        <v>144</v>
      </c>
      <c r="D2211" s="13" t="s">
        <v>747</v>
      </c>
      <c r="E2211" s="13" t="str">
        <f>IFERROR(INDEX('Почасовка — ставки и план'!$B$5:$B$24,MATCH(D2211,'Почасовка — ставки и план'!$A$5:$A$24,0)),"Аренда техники / механизмы")</f>
        <v>Механик ПС / подъёмников / прессов / доков</v>
      </c>
      <c r="F2211" s="14">
        <v>22000</v>
      </c>
      <c r="G2211" s="14">
        <v>26000</v>
      </c>
      <c r="H2211" s="15">
        <v>12000</v>
      </c>
      <c r="I2211" s="15">
        <f>IF(OR(H2211="",F2211=""),"",MAX(H2211,MIN(ROUND(H2211*(1+Параметры!$B$5),IF(H2211*(1+Параметры!$B$5)&gt;=1000,-1,0)),ROUND(F2211*Параметры!$B$6,IF(F2211*Параметры!$B$6&gt;=1000,-1,0)))))</f>
        <v>13800</v>
      </c>
      <c r="J2211" s="15">
        <v>14400</v>
      </c>
      <c r="K2211" s="15">
        <f>IF(OR(J2211="",G2211=""),"",MAX(J2211,MIN(ROUND(J2211*(1+Параметры!$B$5),IF(J2211*(1+Параметры!$B$5)&gt;=1000,-1,0)),ROUND(G2211*Параметры!$B$6,IF(G2211*Параметры!$B$6&gt;=1000,-1,0)))))</f>
        <v>16560</v>
      </c>
      <c r="L2211" s="16">
        <v>8</v>
      </c>
      <c r="M2211" s="17">
        <f t="shared" si="162"/>
        <v>0.125</v>
      </c>
      <c r="N2211" s="17">
        <f>IF(OR(L2211="",L2211=0),"",Параметры!$B$3/L2211)</f>
        <v>1</v>
      </c>
      <c r="O2211" s="15">
        <f>IF(L2211="","",IFERROR(INDEX('Почасовка — ставки и план'!$D$5:$D$24,MATCH($D2211,'Почасовка — ставки и план'!$A$5:$A$24,0)),""))</f>
        <v>1500</v>
      </c>
      <c r="P2211" s="15">
        <f>IF(L2211="","",IFERROR(INDEX('Почасовка — ставки и план'!$E$5:$E$24,MATCH($D2211,'Почасовка — ставки и план'!$A$5:$A$24,0)),""))</f>
        <v>1800</v>
      </c>
      <c r="Q2211" s="15">
        <f t="shared" si="163"/>
        <v>12000</v>
      </c>
      <c r="R2211" s="13" t="str">
        <f>IF(D2211="TEX","аренда техники — сделка/счёт",IF(OR(Q2211="",H2211="",H2211=0),"—",IF(Q2211&lt;H2211*(1-Параметры!$B$7),"почасовка",IF(Q2211&gt;H2211*(1+Параметры!$B$7),"сделка","любой способ"))))</f>
        <v>любой способ</v>
      </c>
      <c r="S2211">
        <v>0</v>
      </c>
      <c r="T2211">
        <v>0</v>
      </c>
    </row>
    <row r="2212" spans="1:20" x14ac:dyDescent="0.25">
      <c r="A2212" s="13" t="s">
        <v>4450</v>
      </c>
      <c r="B2212" s="13" t="s">
        <v>4451</v>
      </c>
      <c r="C2212" s="13" t="s">
        <v>144</v>
      </c>
      <c r="D2212" s="13" t="s">
        <v>747</v>
      </c>
      <c r="E2212" s="13" t="str">
        <f>IFERROR(INDEX('Почасовка — ставки и план'!$B$5:$B$24,MATCH(D2212,'Почасовка — ставки и план'!$A$5:$A$24,0)),"Аренда техники / механизмы")</f>
        <v>Механик ПС / подъёмников / прессов / доков</v>
      </c>
      <c r="F2212" s="14">
        <v>8500</v>
      </c>
      <c r="G2212" s="14">
        <v>10000</v>
      </c>
      <c r="H2212" s="15">
        <v>5050</v>
      </c>
      <c r="I2212" s="15">
        <f>IF(OR(H2212="",F2212=""),"",MAX(H2212,MIN(ROUND(H2212*(1+Параметры!$B$5),IF(H2212*(1+Параметры!$B$5)&gt;=1000,-1,0)),ROUND(F2212*Параметры!$B$6,IF(F2212*Параметры!$B$6&gt;=1000,-1,0)))))</f>
        <v>5810</v>
      </c>
      <c r="J2212" s="15">
        <v>5750</v>
      </c>
      <c r="K2212" s="15">
        <f>IF(OR(J2212="",G2212=""),"",MAX(J2212,MIN(ROUND(J2212*(1+Параметры!$B$5),IF(J2212*(1+Параметры!$B$5)&gt;=1000,-1,0)),ROUND(G2212*Параметры!$B$6,IF(G2212*Параметры!$B$6&gt;=1000,-1,0)))))</f>
        <v>6610</v>
      </c>
      <c r="L2212" s="16">
        <v>3</v>
      </c>
      <c r="M2212" s="17">
        <f t="shared" si="162"/>
        <v>0.33333333333333331</v>
      </c>
      <c r="N2212" s="17">
        <f>IF(OR(L2212="",L2212=0),"",Параметры!$B$3/L2212)</f>
        <v>2.6666666666666665</v>
      </c>
      <c r="O2212" s="15">
        <f>IF(L2212="","",IFERROR(INDEX('Почасовка — ставки и план'!$D$5:$D$24,MATCH($D2212,'Почасовка — ставки и план'!$A$5:$A$24,0)),""))</f>
        <v>1500</v>
      </c>
      <c r="P2212" s="15">
        <f>IF(L2212="","",IFERROR(INDEX('Почасовка — ставки и план'!$E$5:$E$24,MATCH($D2212,'Почасовка — ставки и план'!$A$5:$A$24,0)),""))</f>
        <v>1800</v>
      </c>
      <c r="Q2212" s="15">
        <f t="shared" si="163"/>
        <v>4500</v>
      </c>
      <c r="R2212" s="13" t="str">
        <f>IF(D2212="TEX","аренда техники — сделка/счёт",IF(OR(Q2212="",H2212="",H2212=0),"—",IF(Q2212&lt;H2212*(1-Параметры!$B$7),"почасовка",IF(Q2212&gt;H2212*(1+Параметры!$B$7),"сделка","любой способ"))))</f>
        <v>почасовка</v>
      </c>
      <c r="S2212">
        <v>0</v>
      </c>
      <c r="T2212">
        <v>0</v>
      </c>
    </row>
    <row r="2213" spans="1:20" x14ac:dyDescent="0.25">
      <c r="A2213" s="13" t="s">
        <v>4452</v>
      </c>
      <c r="B2213" s="13" t="s">
        <v>4453</v>
      </c>
      <c r="C2213" s="13" t="s">
        <v>144</v>
      </c>
      <c r="D2213" s="13" t="s">
        <v>747</v>
      </c>
      <c r="E2213" s="13" t="str">
        <f>IFERROR(INDEX('Почасовка — ставки и план'!$B$5:$B$24,MATCH(D2213,'Почасовка — ставки и план'!$A$5:$A$24,0)),"Аренда техники / механизмы")</f>
        <v>Механик ПС / подъёмников / прессов / доков</v>
      </c>
      <c r="F2213" s="14">
        <v>3500</v>
      </c>
      <c r="G2213" s="14">
        <v>4200</v>
      </c>
      <c r="H2213" s="15">
        <v>1800</v>
      </c>
      <c r="I2213" s="15">
        <f>IF(OR(H2213="",F2213=""),"",MAX(H2213,MIN(ROUND(H2213*(1+Параметры!$B$5),IF(H2213*(1+Параметры!$B$5)&gt;=1000,-1,0)),ROUND(F2213*Параметры!$B$6,IF(F2213*Параметры!$B$6&gt;=1000,-1,0)))))</f>
        <v>2070</v>
      </c>
      <c r="J2213" s="15">
        <v>2150</v>
      </c>
      <c r="K2213" s="15">
        <f>IF(OR(J2213="",G2213=""),"",MAX(J2213,MIN(ROUND(J2213*(1+Параметры!$B$5),IF(J2213*(1+Параметры!$B$5)&gt;=1000,-1,0)),ROUND(G2213*Параметры!$B$6,IF(G2213*Параметры!$B$6&gt;=1000,-1,0)))))</f>
        <v>2470</v>
      </c>
      <c r="L2213" s="16">
        <v>1</v>
      </c>
      <c r="M2213" s="17">
        <f t="shared" si="162"/>
        <v>1</v>
      </c>
      <c r="N2213" s="17">
        <f>IF(OR(L2213="",L2213=0),"",Параметры!$B$3/L2213)</f>
        <v>8</v>
      </c>
      <c r="O2213" s="15">
        <f>IF(L2213="","",IFERROR(INDEX('Почасовка — ставки и план'!$D$5:$D$24,MATCH($D2213,'Почасовка — ставки и план'!$A$5:$A$24,0)),""))</f>
        <v>1500</v>
      </c>
      <c r="P2213" s="15">
        <f>IF(L2213="","",IFERROR(INDEX('Почасовка — ставки и план'!$E$5:$E$24,MATCH($D2213,'Почасовка — ставки и план'!$A$5:$A$24,0)),""))</f>
        <v>1800</v>
      </c>
      <c r="Q2213" s="15">
        <f t="shared" si="163"/>
        <v>1500</v>
      </c>
      <c r="R2213" s="13" t="str">
        <f>IF(D2213="TEX","аренда техники — сделка/счёт",IF(OR(Q2213="",H2213="",H2213=0),"—",IF(Q2213&lt;H2213*(1-Параметры!$B$7),"почасовка",IF(Q2213&gt;H2213*(1+Параметры!$B$7),"сделка","любой способ"))))</f>
        <v>почасовка</v>
      </c>
      <c r="S2213">
        <v>0</v>
      </c>
      <c r="T2213">
        <v>0</v>
      </c>
    </row>
    <row r="2214" spans="1:20" x14ac:dyDescent="0.25">
      <c r="A2214" s="13" t="s">
        <v>4454</v>
      </c>
      <c r="B2214" s="13" t="s">
        <v>4455</v>
      </c>
      <c r="C2214" s="13" t="s">
        <v>144</v>
      </c>
      <c r="D2214" s="13" t="s">
        <v>747</v>
      </c>
      <c r="E2214" s="13" t="str">
        <f>IFERROR(INDEX('Почасовка — ставки и план'!$B$5:$B$24,MATCH(D2214,'Почасовка — ставки и план'!$A$5:$A$24,0)),"Аренда техники / механизмы")</f>
        <v>Механик ПС / подъёмников / прессов / доков</v>
      </c>
      <c r="F2214" s="14">
        <v>2500</v>
      </c>
      <c r="G2214" s="14">
        <v>2900</v>
      </c>
      <c r="H2214" s="15">
        <v>1300</v>
      </c>
      <c r="I2214" s="15">
        <f>IF(OR(H2214="",F2214=""),"",MAX(H2214,MIN(ROUND(H2214*(1+Параметры!$B$5),IF(H2214*(1+Параметры!$B$5)&gt;=1000,-1,0)),ROUND(F2214*Параметры!$B$6,IF(F2214*Параметры!$B$6&gt;=1000,-1,0)))))</f>
        <v>1500</v>
      </c>
      <c r="J2214" s="15">
        <v>1550</v>
      </c>
      <c r="K2214" s="15">
        <f>IF(OR(J2214="",G2214=""),"",MAX(J2214,MIN(ROUND(J2214*(1+Параметры!$B$5),IF(J2214*(1+Параметры!$B$5)&gt;=1000,-1,0)),ROUND(G2214*Параметры!$B$6,IF(G2214*Параметры!$B$6&gt;=1000,-1,0)))))</f>
        <v>1780</v>
      </c>
      <c r="L2214" s="16">
        <v>0.75</v>
      </c>
      <c r="M2214" s="17">
        <f t="shared" si="162"/>
        <v>1.3333333333333333</v>
      </c>
      <c r="N2214" s="17">
        <f>IF(OR(L2214="",L2214=0),"",Параметры!$B$3/L2214)</f>
        <v>10.666666666666666</v>
      </c>
      <c r="O2214" s="15">
        <f>IF(L2214="","",IFERROR(INDEX('Почасовка — ставки и план'!$D$5:$D$24,MATCH($D2214,'Почасовка — ставки и план'!$A$5:$A$24,0)),""))</f>
        <v>1500</v>
      </c>
      <c r="P2214" s="15">
        <f>IF(L2214="","",IFERROR(INDEX('Почасовка — ставки и план'!$E$5:$E$24,MATCH($D2214,'Почасовка — ставки и план'!$A$5:$A$24,0)),""))</f>
        <v>1800</v>
      </c>
      <c r="Q2214" s="15">
        <f t="shared" si="163"/>
        <v>1125</v>
      </c>
      <c r="R2214" s="13" t="str">
        <f>IF(D2214="TEX","аренда техники — сделка/счёт",IF(OR(Q2214="",H2214="",H2214=0),"—",IF(Q2214&lt;H2214*(1-Параметры!$B$7),"почасовка",IF(Q2214&gt;H2214*(1+Параметры!$B$7),"сделка","любой способ"))))</f>
        <v>почасовка</v>
      </c>
      <c r="S2214">
        <v>0</v>
      </c>
      <c r="T2214">
        <v>0</v>
      </c>
    </row>
    <row r="2215" spans="1:20" x14ac:dyDescent="0.25">
      <c r="A2215" s="13" t="s">
        <v>4456</v>
      </c>
      <c r="B2215" s="13" t="s">
        <v>4457</v>
      </c>
      <c r="C2215" s="13" t="s">
        <v>144</v>
      </c>
      <c r="D2215" s="13" t="s">
        <v>747</v>
      </c>
      <c r="E2215" s="13" t="str">
        <f>IFERROR(INDEX('Почасовка — ставки и план'!$B$5:$B$24,MATCH(D2215,'Почасовка — ставки и план'!$A$5:$A$24,0)),"Аренда техники / механизмы")</f>
        <v>Механик ПС / подъёмников / прессов / доков</v>
      </c>
      <c r="F2215" s="14">
        <v>1500</v>
      </c>
      <c r="G2215" s="14">
        <v>1750</v>
      </c>
      <c r="H2215" s="15">
        <v>840</v>
      </c>
      <c r="I2215" s="15">
        <f>IF(OR(H2215="",F2215=""),"",MAX(H2215,MIN(ROUND(H2215*(1+Параметры!$B$5),IF(H2215*(1+Параметры!$B$5)&gt;=1000,-1,0)),ROUND(F2215*Параметры!$B$6,IF(F2215*Параметры!$B$6&gt;=1000,-1,0)))))</f>
        <v>966</v>
      </c>
      <c r="J2215" s="15">
        <v>960</v>
      </c>
      <c r="K2215" s="15">
        <f>IF(OR(J2215="",G2215=""),"",MAX(J2215,MIN(ROUND(J2215*(1+Параметры!$B$5),IF(J2215*(1+Параметры!$B$5)&gt;=1000,-1,0)),ROUND(G2215*Параметры!$B$6,IF(G2215*Параметры!$B$6&gt;=1000,-1,0)))))</f>
        <v>1100</v>
      </c>
      <c r="L2215" s="16">
        <v>0.5</v>
      </c>
      <c r="M2215" s="17">
        <f t="shared" si="162"/>
        <v>2</v>
      </c>
      <c r="N2215" s="17">
        <f>IF(OR(L2215="",L2215=0),"",Параметры!$B$3/L2215)</f>
        <v>16</v>
      </c>
      <c r="O2215" s="15">
        <f>IF(L2215="","",IFERROR(INDEX('Почасовка — ставки и план'!$D$5:$D$24,MATCH($D2215,'Почасовка — ставки и план'!$A$5:$A$24,0)),""))</f>
        <v>1500</v>
      </c>
      <c r="P2215" s="15">
        <f>IF(L2215="","",IFERROR(INDEX('Почасовка — ставки и план'!$E$5:$E$24,MATCH($D2215,'Почасовка — ставки и план'!$A$5:$A$24,0)),""))</f>
        <v>1800</v>
      </c>
      <c r="Q2215" s="15">
        <f t="shared" si="163"/>
        <v>750</v>
      </c>
      <c r="R2215" s="13" t="str">
        <f>IF(D2215="TEX","аренда техники — сделка/счёт",IF(OR(Q2215="",H2215="",H2215=0),"—",IF(Q2215&lt;H2215*(1-Параметры!$B$7),"почасовка",IF(Q2215&gt;H2215*(1+Параметры!$B$7),"сделка","любой способ"))))</f>
        <v>почасовка</v>
      </c>
      <c r="S2215">
        <v>0</v>
      </c>
      <c r="T2215">
        <v>0</v>
      </c>
    </row>
    <row r="2216" spans="1:20" x14ac:dyDescent="0.25">
      <c r="A2216" s="13" t="s">
        <v>4458</v>
      </c>
      <c r="B2216" s="13" t="s">
        <v>4459</v>
      </c>
      <c r="C2216" s="13" t="s">
        <v>144</v>
      </c>
      <c r="D2216" s="13" t="s">
        <v>747</v>
      </c>
      <c r="E2216" s="13" t="str">
        <f>IFERROR(INDEX('Почасовка — ставки и план'!$B$5:$B$24,MATCH(D2216,'Почасовка — ставки и план'!$A$5:$A$24,0)),"Аренда техники / механизмы")</f>
        <v>Механик ПС / подъёмников / прессов / доков</v>
      </c>
      <c r="F2216" s="14">
        <v>2200</v>
      </c>
      <c r="G2216" s="14">
        <v>2600</v>
      </c>
      <c r="H2216" s="15">
        <v>1250</v>
      </c>
      <c r="I2216" s="15">
        <f>IF(OR(H2216="",F2216=""),"",MAX(H2216,MIN(ROUND(H2216*(1+Параметры!$B$5),IF(H2216*(1+Параметры!$B$5)&gt;=1000,-1,0)),ROUND(F2216*Параметры!$B$6,IF(F2216*Параметры!$B$6&gt;=1000,-1,0)))))</f>
        <v>1440</v>
      </c>
      <c r="J2216" s="15">
        <v>1450</v>
      </c>
      <c r="K2216" s="15">
        <f>IF(OR(J2216="",G2216=""),"",MAX(J2216,MIN(ROUND(J2216*(1+Параметры!$B$5),IF(J2216*(1+Параметры!$B$5)&gt;=1000,-1,0)),ROUND(G2216*Параметры!$B$6,IF(G2216*Параметры!$B$6&gt;=1000,-1,0)))))</f>
        <v>1670</v>
      </c>
      <c r="L2216" s="16">
        <v>0.75</v>
      </c>
      <c r="M2216" s="17">
        <f t="shared" si="162"/>
        <v>1.3333333333333333</v>
      </c>
      <c r="N2216" s="17">
        <f>IF(OR(L2216="",L2216=0),"",Параметры!$B$3/L2216)</f>
        <v>10.666666666666666</v>
      </c>
      <c r="O2216" s="15">
        <f>IF(L2216="","",IFERROR(INDEX('Почасовка — ставки и план'!$D$5:$D$24,MATCH($D2216,'Почасовка — ставки и план'!$A$5:$A$24,0)),""))</f>
        <v>1500</v>
      </c>
      <c r="P2216" s="15">
        <f>IF(L2216="","",IFERROR(INDEX('Почасовка — ставки и план'!$E$5:$E$24,MATCH($D2216,'Почасовка — ставки и план'!$A$5:$A$24,0)),""))</f>
        <v>1800</v>
      </c>
      <c r="Q2216" s="15">
        <f t="shared" si="163"/>
        <v>1125</v>
      </c>
      <c r="R2216" s="13" t="str">
        <f>IF(D2216="TEX","аренда техники — сделка/счёт",IF(OR(Q2216="",H2216="",H2216=0),"—",IF(Q2216&lt;H2216*(1-Параметры!$B$7),"почасовка",IF(Q2216&gt;H2216*(1+Параметры!$B$7),"сделка","любой способ"))))</f>
        <v>любой способ</v>
      </c>
      <c r="S2216">
        <v>0</v>
      </c>
      <c r="T2216">
        <v>0</v>
      </c>
    </row>
    <row r="2217" spans="1:20" x14ac:dyDescent="0.25">
      <c r="A2217" s="13" t="s">
        <v>4460</v>
      </c>
      <c r="B2217" s="13" t="s">
        <v>4461</v>
      </c>
      <c r="C2217" s="13" t="s">
        <v>144</v>
      </c>
      <c r="D2217" s="13" t="s">
        <v>747</v>
      </c>
      <c r="E2217" s="13" t="str">
        <f>IFERROR(INDEX('Почасовка — ставки и план'!$B$5:$B$24,MATCH(D2217,'Почасовка — ставки и план'!$A$5:$A$24,0)),"Аренда техники / механизмы")</f>
        <v>Механик ПС / подъёмников / прессов / доков</v>
      </c>
      <c r="F2217" s="14">
        <v>16000</v>
      </c>
      <c r="G2217" s="14">
        <v>19000</v>
      </c>
      <c r="H2217" s="15">
        <v>9600</v>
      </c>
      <c r="I2217" s="15">
        <f>IF(OR(H2217="",F2217=""),"",MAX(H2217,MIN(ROUND(H2217*(1+Параметры!$B$5),IF(H2217*(1+Параметры!$B$5)&gt;=1000,-1,0)),ROUND(F2217*Параметры!$B$6,IF(F2217*Параметры!$B$6&gt;=1000,-1,0)))))</f>
        <v>11040</v>
      </c>
      <c r="J2217" s="15">
        <v>11050</v>
      </c>
      <c r="K2217" s="15">
        <f>IF(OR(J2217="",G2217=""),"",MAX(J2217,MIN(ROUND(J2217*(1+Параметры!$B$5),IF(J2217*(1+Параметры!$B$5)&gt;=1000,-1,0)),ROUND(G2217*Параметры!$B$6,IF(G2217*Параметры!$B$6&gt;=1000,-1,0)))))</f>
        <v>12710</v>
      </c>
      <c r="L2217" s="16">
        <v>6</v>
      </c>
      <c r="M2217" s="17">
        <f t="shared" si="162"/>
        <v>0.16666666666666666</v>
      </c>
      <c r="N2217" s="17">
        <f>IF(OR(L2217="",L2217=0),"",Параметры!$B$3/L2217)</f>
        <v>1.3333333333333333</v>
      </c>
      <c r="O2217" s="15">
        <f>IF(L2217="","",IFERROR(INDEX('Почасовка — ставки и план'!$D$5:$D$24,MATCH($D2217,'Почасовка — ставки и план'!$A$5:$A$24,0)),""))</f>
        <v>1500</v>
      </c>
      <c r="P2217" s="15">
        <f>IF(L2217="","",IFERROR(INDEX('Почасовка — ставки и план'!$E$5:$E$24,MATCH($D2217,'Почасовка — ставки и план'!$A$5:$A$24,0)),""))</f>
        <v>1800</v>
      </c>
      <c r="Q2217" s="15">
        <f t="shared" si="163"/>
        <v>9000</v>
      </c>
      <c r="R2217" s="13" t="str">
        <f>IF(D2217="TEX","аренда техники — сделка/счёт",IF(OR(Q2217="",H2217="",H2217=0),"—",IF(Q2217&lt;H2217*(1-Параметры!$B$7),"почасовка",IF(Q2217&gt;H2217*(1+Параметры!$B$7),"сделка","любой способ"))))</f>
        <v>любой способ</v>
      </c>
      <c r="S2217">
        <v>0</v>
      </c>
      <c r="T2217">
        <v>0</v>
      </c>
    </row>
    <row r="2218" spans="1:20" x14ac:dyDescent="0.25">
      <c r="A2218" s="13" t="s">
        <v>4462</v>
      </c>
      <c r="B2218" s="13" t="s">
        <v>4463</v>
      </c>
      <c r="C2218" s="13" t="s">
        <v>144</v>
      </c>
      <c r="D2218" s="13" t="s">
        <v>747</v>
      </c>
      <c r="E2218" s="13" t="str">
        <f>IFERROR(INDEX('Почасовка — ставки и план'!$B$5:$B$24,MATCH(D2218,'Почасовка — ставки и план'!$A$5:$A$24,0)),"Аренда техники / механизмы")</f>
        <v>Механик ПС / подъёмников / прессов / доков</v>
      </c>
      <c r="F2218" s="14">
        <v>14000</v>
      </c>
      <c r="G2218" s="14">
        <v>16000</v>
      </c>
      <c r="H2218" s="15">
        <v>8400</v>
      </c>
      <c r="I2218" s="15">
        <f>IF(OR(H2218="",F2218=""),"",MAX(H2218,MIN(ROUND(H2218*(1+Параметры!$B$5),IF(H2218*(1+Параметры!$B$5)&gt;=1000,-1,0)),ROUND(F2218*Параметры!$B$6,IF(F2218*Параметры!$B$6&gt;=1000,-1,0)))))</f>
        <v>9660</v>
      </c>
      <c r="J2218" s="15">
        <v>9600</v>
      </c>
      <c r="K2218" s="15">
        <f>IF(OR(J2218="",G2218=""),"",MAX(J2218,MIN(ROUND(J2218*(1+Параметры!$B$5),IF(J2218*(1+Параметры!$B$5)&gt;=1000,-1,0)),ROUND(G2218*Параметры!$B$6,IF(G2218*Параметры!$B$6&gt;=1000,-1,0)))))</f>
        <v>11040</v>
      </c>
      <c r="L2218" s="16">
        <v>5</v>
      </c>
      <c r="M2218" s="17">
        <f t="shared" si="162"/>
        <v>0.2</v>
      </c>
      <c r="N2218" s="17">
        <f>IF(OR(L2218="",L2218=0),"",Параметры!$B$3/L2218)</f>
        <v>1.6</v>
      </c>
      <c r="O2218" s="15">
        <f>IF(L2218="","",IFERROR(INDEX('Почасовка — ставки и план'!$D$5:$D$24,MATCH($D2218,'Почасовка — ставки и план'!$A$5:$A$24,0)),""))</f>
        <v>1500</v>
      </c>
      <c r="P2218" s="15">
        <f>IF(L2218="","",IFERROR(INDEX('Почасовка — ставки и план'!$E$5:$E$24,MATCH($D2218,'Почасовка — ставки и план'!$A$5:$A$24,0)),""))</f>
        <v>1800</v>
      </c>
      <c r="Q2218" s="15">
        <f t="shared" si="163"/>
        <v>7500</v>
      </c>
      <c r="R2218" s="13" t="str">
        <f>IF(D2218="TEX","аренда техники — сделка/счёт",IF(OR(Q2218="",H2218="",H2218=0),"—",IF(Q2218&lt;H2218*(1-Параметры!$B$7),"почасовка",IF(Q2218&gt;H2218*(1+Параметры!$B$7),"сделка","любой способ"))))</f>
        <v>почасовка</v>
      </c>
      <c r="S2218">
        <v>0</v>
      </c>
      <c r="T2218">
        <v>0</v>
      </c>
    </row>
    <row r="2219" spans="1:20" x14ac:dyDescent="0.25">
      <c r="A2219" s="13" t="s">
        <v>4464</v>
      </c>
      <c r="B2219" s="13" t="s">
        <v>4465</v>
      </c>
      <c r="C2219" s="13" t="s">
        <v>144</v>
      </c>
      <c r="D2219" s="13" t="s">
        <v>747</v>
      </c>
      <c r="E2219" s="13" t="str">
        <f>IFERROR(INDEX('Почасовка — ставки и план'!$B$5:$B$24,MATCH(D2219,'Почасовка — ставки и план'!$A$5:$A$24,0)),"Аренда техники / механизмы")</f>
        <v>Механик ПС / подъёмников / прессов / доков</v>
      </c>
      <c r="F2219" s="14">
        <v>7000</v>
      </c>
      <c r="G2219" s="14">
        <v>8500</v>
      </c>
      <c r="H2219" s="15">
        <v>4200</v>
      </c>
      <c r="I2219" s="15">
        <f>IF(OR(H2219="",F2219=""),"",MAX(H2219,MIN(ROUND(H2219*(1+Параметры!$B$5),IF(H2219*(1+Параметры!$B$5)&gt;=1000,-1,0)),ROUND(F2219*Параметры!$B$6,IF(F2219*Параметры!$B$6&gt;=1000,-1,0)))))</f>
        <v>4830</v>
      </c>
      <c r="J2219" s="15">
        <v>4800</v>
      </c>
      <c r="K2219" s="15">
        <f>IF(OR(J2219="",G2219=""),"",MAX(J2219,MIN(ROUND(J2219*(1+Параметры!$B$5),IF(J2219*(1+Параметры!$B$5)&gt;=1000,-1,0)),ROUND(G2219*Параметры!$B$6,IF(G2219*Параметры!$B$6&gt;=1000,-1,0)))))</f>
        <v>5520</v>
      </c>
      <c r="L2219" s="16">
        <v>2.5</v>
      </c>
      <c r="M2219" s="17">
        <f t="shared" si="162"/>
        <v>0.4</v>
      </c>
      <c r="N2219" s="17">
        <f>IF(OR(L2219="",L2219=0),"",Параметры!$B$3/L2219)</f>
        <v>3.2</v>
      </c>
      <c r="O2219" s="15">
        <f>IF(L2219="","",IFERROR(INDEX('Почасовка — ставки и план'!$D$5:$D$24,MATCH($D2219,'Почасовка — ставки и план'!$A$5:$A$24,0)),""))</f>
        <v>1500</v>
      </c>
      <c r="P2219" s="15">
        <f>IF(L2219="","",IFERROR(INDEX('Почасовка — ставки и план'!$E$5:$E$24,MATCH($D2219,'Почасовка — ставки и план'!$A$5:$A$24,0)),""))</f>
        <v>1800</v>
      </c>
      <c r="Q2219" s="15">
        <f t="shared" si="163"/>
        <v>3750</v>
      </c>
      <c r="R2219" s="13" t="str">
        <f>IF(D2219="TEX","аренда техники — сделка/счёт",IF(OR(Q2219="",H2219="",H2219=0),"—",IF(Q2219&lt;H2219*(1-Параметры!$B$7),"почасовка",IF(Q2219&gt;H2219*(1+Параметры!$B$7),"сделка","любой способ"))))</f>
        <v>почасовка</v>
      </c>
      <c r="S2219">
        <v>0</v>
      </c>
      <c r="T2219">
        <v>0</v>
      </c>
    </row>
    <row r="2220" spans="1:20" x14ac:dyDescent="0.25">
      <c r="A2220" s="13" t="s">
        <v>4466</v>
      </c>
      <c r="B2220" s="13" t="s">
        <v>4467</v>
      </c>
      <c r="C2220" s="13" t="s">
        <v>144</v>
      </c>
      <c r="D2220" s="13" t="s">
        <v>747</v>
      </c>
      <c r="E2220" s="13" t="str">
        <f>IFERROR(INDEX('Почасовка — ставки и план'!$B$5:$B$24,MATCH(D2220,'Почасовка — ставки и план'!$A$5:$A$24,0)),"Аренда техники / механизмы")</f>
        <v>Механик ПС / подъёмников / прессов / доков</v>
      </c>
      <c r="F2220" s="14">
        <v>1000</v>
      </c>
      <c r="G2220" s="14">
        <v>1150</v>
      </c>
      <c r="H2220" s="15">
        <v>540</v>
      </c>
      <c r="I2220" s="15">
        <f>IF(OR(H2220="",F2220=""),"",MAX(H2220,MIN(ROUND(H2220*(1+Параметры!$B$5),IF(H2220*(1+Параметры!$B$5)&gt;=1000,-1,0)),ROUND(F2220*Параметры!$B$6,IF(F2220*Параметры!$B$6&gt;=1000,-1,0)))))</f>
        <v>621</v>
      </c>
      <c r="J2220" s="15">
        <v>600</v>
      </c>
      <c r="K2220" s="15">
        <f>IF(OR(J2220="",G2220=""),"",MAX(J2220,MIN(ROUND(J2220*(1+Параметры!$B$5),IF(J2220*(1+Параметры!$B$5)&gt;=1000,-1,0)),ROUND(G2220*Параметры!$B$6,IF(G2220*Параметры!$B$6&gt;=1000,-1,0)))))</f>
        <v>690</v>
      </c>
      <c r="L2220" s="16">
        <v>0.3</v>
      </c>
      <c r="M2220" s="17">
        <f t="shared" si="162"/>
        <v>3.3333333333333335</v>
      </c>
      <c r="N2220" s="17">
        <f>IF(OR(L2220="",L2220=0),"",Параметры!$B$3/L2220)</f>
        <v>26.666666666666668</v>
      </c>
      <c r="O2220" s="15">
        <f>IF(L2220="","",IFERROR(INDEX('Почасовка — ставки и план'!$D$5:$D$24,MATCH($D2220,'Почасовка — ставки и план'!$A$5:$A$24,0)),""))</f>
        <v>1500</v>
      </c>
      <c r="P2220" s="15">
        <f>IF(L2220="","",IFERROR(INDEX('Почасовка — ставки и план'!$E$5:$E$24,MATCH($D2220,'Почасовка — ставки и план'!$A$5:$A$24,0)),""))</f>
        <v>1800</v>
      </c>
      <c r="Q2220" s="15">
        <f t="shared" si="163"/>
        <v>450</v>
      </c>
      <c r="R2220" s="13" t="str">
        <f>IF(D2220="TEX","аренда техники — сделка/счёт",IF(OR(Q2220="",H2220="",H2220=0),"—",IF(Q2220&lt;H2220*(1-Параметры!$B$7),"почасовка",IF(Q2220&gt;H2220*(1+Параметры!$B$7),"сделка","любой способ"))))</f>
        <v>почасовка</v>
      </c>
      <c r="S2220">
        <v>0</v>
      </c>
      <c r="T2220">
        <v>0</v>
      </c>
    </row>
    <row r="2221" spans="1:20" x14ac:dyDescent="0.25">
      <c r="A2221" s="13" t="s">
        <v>4468</v>
      </c>
      <c r="B2221" s="13" t="s">
        <v>4469</v>
      </c>
      <c r="C2221" s="13" t="s">
        <v>144</v>
      </c>
      <c r="D2221" s="13" t="s">
        <v>747</v>
      </c>
      <c r="E2221" s="13" t="str">
        <f>IFERROR(INDEX('Почасовка — ставки и план'!$B$5:$B$24,MATCH(D2221,'Почасовка — ставки и план'!$A$5:$A$24,0)),"Аренда техники / механизмы")</f>
        <v>Механик ПС / подъёмников / прессов / доков</v>
      </c>
      <c r="F2221" s="14">
        <v>1200</v>
      </c>
      <c r="G2221" s="14">
        <v>1400</v>
      </c>
      <c r="H2221" s="15">
        <v>670</v>
      </c>
      <c r="I2221" s="15">
        <f>IF(OR(H2221="",F2221=""),"",MAX(H2221,MIN(ROUND(H2221*(1+Параметры!$B$5),IF(H2221*(1+Параметры!$B$5)&gt;=1000,-1,0)),ROUND(F2221*Параметры!$B$6,IF(F2221*Параметры!$B$6&gt;=1000,-1,0)))))</f>
        <v>771</v>
      </c>
      <c r="J2221" s="15">
        <v>780</v>
      </c>
      <c r="K2221" s="15">
        <f>IF(OR(J2221="",G2221=""),"",MAX(J2221,MIN(ROUND(J2221*(1+Параметры!$B$5),IF(J2221*(1+Параметры!$B$5)&gt;=1000,-1,0)),ROUND(G2221*Параметры!$B$6,IF(G2221*Параметры!$B$6&gt;=1000,-1,0)))))</f>
        <v>897</v>
      </c>
      <c r="L2221" s="16">
        <v>0.4</v>
      </c>
      <c r="M2221" s="17">
        <f t="shared" si="162"/>
        <v>2.5</v>
      </c>
      <c r="N2221" s="17">
        <f>IF(OR(L2221="",L2221=0),"",Параметры!$B$3/L2221)</f>
        <v>20</v>
      </c>
      <c r="O2221" s="15">
        <f>IF(L2221="","",IFERROR(INDEX('Почасовка — ставки и план'!$D$5:$D$24,MATCH($D2221,'Почасовка — ставки и план'!$A$5:$A$24,0)),""))</f>
        <v>1500</v>
      </c>
      <c r="P2221" s="15">
        <f>IF(L2221="","",IFERROR(INDEX('Почасовка — ставки и план'!$E$5:$E$24,MATCH($D2221,'Почасовка — ставки и план'!$A$5:$A$24,0)),""))</f>
        <v>1800</v>
      </c>
      <c r="Q2221" s="15">
        <f t="shared" si="163"/>
        <v>600</v>
      </c>
      <c r="R2221" s="13" t="str">
        <f>IF(D2221="TEX","аренда техники — сделка/счёт",IF(OR(Q2221="",H2221="",H2221=0),"—",IF(Q2221&lt;H2221*(1-Параметры!$B$7),"почасовка",IF(Q2221&gt;H2221*(1+Параметры!$B$7),"сделка","любой способ"))))</f>
        <v>почасовка</v>
      </c>
      <c r="S2221">
        <v>0</v>
      </c>
      <c r="T2221">
        <v>0</v>
      </c>
    </row>
    <row r="2222" spans="1:20" x14ac:dyDescent="0.25">
      <c r="A2222" s="13" t="s">
        <v>4470</v>
      </c>
      <c r="B2222" s="13" t="s">
        <v>4471</v>
      </c>
      <c r="C2222" s="13" t="s">
        <v>144</v>
      </c>
      <c r="D2222" s="13" t="s">
        <v>747</v>
      </c>
      <c r="E2222" s="13" t="str">
        <f>IFERROR(INDEX('Почасовка — ставки и план'!$B$5:$B$24,MATCH(D2222,'Почасовка — ставки и план'!$A$5:$A$24,0)),"Аренда техники / механизмы")</f>
        <v>Механик ПС / подъёмников / прессов / доков</v>
      </c>
      <c r="F2222" s="14">
        <v>12000</v>
      </c>
      <c r="G2222" s="14">
        <v>15000</v>
      </c>
      <c r="H2222" s="15">
        <v>6600</v>
      </c>
      <c r="I2222" s="15">
        <f>IF(OR(H2222="",F2222=""),"",MAX(H2222,MIN(ROUND(H2222*(1+Параметры!$B$5),IF(H2222*(1+Параметры!$B$5)&gt;=1000,-1,0)),ROUND(F2222*Параметры!$B$6,IF(F2222*Параметры!$B$6&gt;=1000,-1,0)))))</f>
        <v>7590</v>
      </c>
      <c r="J2222" s="15">
        <v>7800</v>
      </c>
      <c r="K2222" s="15">
        <f>IF(OR(J2222="",G2222=""),"",MAX(J2222,MIN(ROUND(J2222*(1+Параметры!$B$5),IF(J2222*(1+Параметры!$B$5)&gt;=1000,-1,0)),ROUND(G2222*Параметры!$B$6,IF(G2222*Параметры!$B$6&gt;=1000,-1,0)))))</f>
        <v>8970</v>
      </c>
      <c r="L2222" s="16">
        <v>4</v>
      </c>
      <c r="M2222" s="17">
        <f t="shared" si="162"/>
        <v>0.25</v>
      </c>
      <c r="N2222" s="17">
        <f>IF(OR(L2222="",L2222=0),"",Параметры!$B$3/L2222)</f>
        <v>2</v>
      </c>
      <c r="O2222" s="15">
        <f>IF(L2222="","",IFERROR(INDEX('Почасовка — ставки и план'!$D$5:$D$24,MATCH($D2222,'Почасовка — ставки и план'!$A$5:$A$24,0)),""))</f>
        <v>1500</v>
      </c>
      <c r="P2222" s="15">
        <f>IF(L2222="","",IFERROR(INDEX('Почасовка — ставки и план'!$E$5:$E$24,MATCH($D2222,'Почасовка — ставки и план'!$A$5:$A$24,0)),""))</f>
        <v>1800</v>
      </c>
      <c r="Q2222" s="15">
        <f t="shared" si="163"/>
        <v>6000</v>
      </c>
      <c r="R2222" s="13" t="str">
        <f>IF(D2222="TEX","аренда техники — сделка/счёт",IF(OR(Q2222="",H2222="",H2222=0),"—",IF(Q2222&lt;H2222*(1-Параметры!$B$7),"почасовка",IF(Q2222&gt;H2222*(1+Параметры!$B$7),"сделка","любой способ"))))</f>
        <v>любой способ</v>
      </c>
      <c r="S2222">
        <v>0</v>
      </c>
      <c r="T2222">
        <v>0</v>
      </c>
    </row>
    <row r="2223" spans="1:20" x14ac:dyDescent="0.25">
      <c r="A2223" s="13" t="s">
        <v>4472</v>
      </c>
      <c r="B2223" s="13" t="s">
        <v>4473</v>
      </c>
      <c r="C2223" s="13" t="s">
        <v>144</v>
      </c>
      <c r="D2223" s="13" t="s">
        <v>747</v>
      </c>
      <c r="E2223" s="13" t="str">
        <f>IFERROR(INDEX('Почасовка — ставки и план'!$B$5:$B$24,MATCH(D2223,'Почасовка — ставки и план'!$A$5:$A$24,0)),"Аренда техники / механизмы")</f>
        <v>Механик ПС / подъёмников / прессов / доков</v>
      </c>
      <c r="F2223" s="14">
        <v>10000</v>
      </c>
      <c r="G2223" s="14">
        <v>12000</v>
      </c>
      <c r="H2223" s="15">
        <v>6000</v>
      </c>
      <c r="I2223" s="15">
        <f>IF(OR(H2223="",F2223=""),"",MAX(H2223,MIN(ROUND(H2223*(1+Параметры!$B$5),IF(H2223*(1+Параметры!$B$5)&gt;=1000,-1,0)),ROUND(F2223*Параметры!$B$6,IF(F2223*Параметры!$B$6&gt;=1000,-1,0)))))</f>
        <v>6900</v>
      </c>
      <c r="J2223" s="15">
        <v>6950</v>
      </c>
      <c r="K2223" s="15">
        <f>IF(OR(J2223="",G2223=""),"",MAX(J2223,MIN(ROUND(J2223*(1+Параметры!$B$5),IF(J2223*(1+Параметры!$B$5)&gt;=1000,-1,0)),ROUND(G2223*Параметры!$B$6,IF(G2223*Параметры!$B$6&gt;=1000,-1,0)))))</f>
        <v>7990</v>
      </c>
      <c r="L2223" s="16">
        <v>3.5</v>
      </c>
      <c r="M2223" s="17">
        <f t="shared" si="162"/>
        <v>0.2857142857142857</v>
      </c>
      <c r="N2223" s="17">
        <f>IF(OR(L2223="",L2223=0),"",Параметры!$B$3/L2223)</f>
        <v>2.2857142857142856</v>
      </c>
      <c r="O2223" s="15">
        <f>IF(L2223="","",IFERROR(INDEX('Почасовка — ставки и план'!$D$5:$D$24,MATCH($D2223,'Почасовка — ставки и план'!$A$5:$A$24,0)),""))</f>
        <v>1500</v>
      </c>
      <c r="P2223" s="15">
        <f>IF(L2223="","",IFERROR(INDEX('Почасовка — ставки и план'!$E$5:$E$24,MATCH($D2223,'Почасовка — ставки и план'!$A$5:$A$24,0)),""))</f>
        <v>1800</v>
      </c>
      <c r="Q2223" s="15">
        <f t="shared" si="163"/>
        <v>5250</v>
      </c>
      <c r="R2223" s="13" t="str">
        <f>IF(D2223="TEX","аренда техники — сделка/счёт",IF(OR(Q2223="",H2223="",H2223=0),"—",IF(Q2223&lt;H2223*(1-Параметры!$B$7),"почасовка",IF(Q2223&gt;H2223*(1+Параметры!$B$7),"сделка","любой способ"))))</f>
        <v>почасовка</v>
      </c>
      <c r="S2223">
        <v>0</v>
      </c>
      <c r="T2223">
        <v>0</v>
      </c>
    </row>
    <row r="2224" spans="1:20" x14ac:dyDescent="0.25">
      <c r="A2224" s="13" t="s">
        <v>4474</v>
      </c>
      <c r="B2224" s="13" t="s">
        <v>4475</v>
      </c>
      <c r="C2224" s="13" t="s">
        <v>144</v>
      </c>
      <c r="D2224" s="13" t="s">
        <v>64</v>
      </c>
      <c r="E2224" s="13" t="str">
        <f>IFERROR(INDEX('Почасовка — ставки и план'!$B$5:$B$24,MATCH(D2224,'Почасовка — ставки и план'!$A$5:$A$24,0)),"Аренда техники / механизмы")</f>
        <v>Сварщик / монтажник МК</v>
      </c>
      <c r="F2224" s="14">
        <v>3000</v>
      </c>
      <c r="G2224" s="14">
        <v>3500</v>
      </c>
      <c r="H2224" s="15">
        <v>1700</v>
      </c>
      <c r="I2224" s="15">
        <f>IF(OR(H2224="",F2224=""),"",MAX(H2224,MIN(ROUND(H2224*(1+Параметры!$B$5),IF(H2224*(1+Параметры!$B$5)&gt;=1000,-1,0)),ROUND(F2224*Параметры!$B$6,IF(F2224*Параметры!$B$6&gt;=1000,-1,0)))))</f>
        <v>1960</v>
      </c>
      <c r="J2224" s="15">
        <v>1900</v>
      </c>
      <c r="K2224" s="15">
        <f>IF(OR(J2224="",G2224=""),"",MAX(J2224,MIN(ROUND(J2224*(1+Параметры!$B$5),IF(J2224*(1+Параметры!$B$5)&gt;=1000,-1,0)),ROUND(G2224*Параметры!$B$6,IF(G2224*Параметры!$B$6&gt;=1000,-1,0)))))</f>
        <v>2190</v>
      </c>
      <c r="L2224" s="16">
        <v>1</v>
      </c>
      <c r="M2224" s="17">
        <f t="shared" si="162"/>
        <v>1</v>
      </c>
      <c r="N2224" s="17">
        <f>IF(OR(L2224="",L2224=0),"",Параметры!$B$3/L2224)</f>
        <v>8</v>
      </c>
      <c r="O2224" s="15">
        <f>IF(L2224="","",IFERROR(INDEX('Почасовка — ставки и план'!$D$5:$D$24,MATCH($D2224,'Почасовка — ставки и план'!$A$5:$A$24,0)),""))</f>
        <v>900</v>
      </c>
      <c r="P2224" s="15">
        <f>IF(L2224="","",IFERROR(INDEX('Почасовка — ставки и план'!$E$5:$E$24,MATCH($D2224,'Почасовка — ставки и план'!$A$5:$A$24,0)),""))</f>
        <v>1080</v>
      </c>
      <c r="Q2224" s="15">
        <f t="shared" si="163"/>
        <v>900</v>
      </c>
      <c r="R2224" s="13" t="str">
        <f>IF(D2224="TEX","аренда техники — сделка/счёт",IF(OR(Q2224="",H2224="",H2224=0),"—",IF(Q2224&lt;H2224*(1-Параметры!$B$7),"почасовка",IF(Q2224&gt;H2224*(1+Параметры!$B$7),"сделка","любой способ"))))</f>
        <v>почасовка</v>
      </c>
      <c r="S2224">
        <v>0</v>
      </c>
      <c r="T2224">
        <v>0</v>
      </c>
    </row>
    <row r="2225" spans="1:20" x14ac:dyDescent="0.25">
      <c r="A2225" s="13" t="s">
        <v>4476</v>
      </c>
      <c r="B2225" s="13" t="s">
        <v>4477</v>
      </c>
      <c r="C2225" s="13" t="s">
        <v>144</v>
      </c>
      <c r="D2225" s="13" t="s">
        <v>747</v>
      </c>
      <c r="E2225" s="13" t="str">
        <f>IFERROR(INDEX('Почасовка — ставки и план'!$B$5:$B$24,MATCH(D2225,'Почасовка — ставки и план'!$A$5:$A$24,0)),"Аренда техники / механизмы")</f>
        <v>Механик ПС / подъёмников / прессов / доков</v>
      </c>
      <c r="F2225" s="14">
        <v>1500</v>
      </c>
      <c r="G2225" s="14">
        <v>1750</v>
      </c>
      <c r="H2225" s="15">
        <v>840</v>
      </c>
      <c r="I2225" s="15">
        <f>IF(OR(H2225="",F2225=""),"",MAX(H2225,MIN(ROUND(H2225*(1+Параметры!$B$5),IF(H2225*(1+Параметры!$B$5)&gt;=1000,-1,0)),ROUND(F2225*Параметры!$B$6,IF(F2225*Параметры!$B$6&gt;=1000,-1,0)))))</f>
        <v>966</v>
      </c>
      <c r="J2225" s="15">
        <v>960</v>
      </c>
      <c r="K2225" s="15">
        <f>IF(OR(J2225="",G2225=""),"",MAX(J2225,MIN(ROUND(J2225*(1+Параметры!$B$5),IF(J2225*(1+Параметры!$B$5)&gt;=1000,-1,0)),ROUND(G2225*Параметры!$B$6,IF(G2225*Параметры!$B$6&gt;=1000,-1,0)))))</f>
        <v>1100</v>
      </c>
      <c r="L2225" s="16">
        <v>0.5</v>
      </c>
      <c r="M2225" s="17">
        <f t="shared" si="162"/>
        <v>2</v>
      </c>
      <c r="N2225" s="17">
        <f>IF(OR(L2225="",L2225=0),"",Параметры!$B$3/L2225)</f>
        <v>16</v>
      </c>
      <c r="O2225" s="15">
        <f>IF(L2225="","",IFERROR(INDEX('Почасовка — ставки и план'!$D$5:$D$24,MATCH($D2225,'Почасовка — ставки и план'!$A$5:$A$24,0)),""))</f>
        <v>1500</v>
      </c>
      <c r="P2225" s="15">
        <f>IF(L2225="","",IFERROR(INDEX('Почасовка — ставки и план'!$E$5:$E$24,MATCH($D2225,'Почасовка — ставки и план'!$A$5:$A$24,0)),""))</f>
        <v>1800</v>
      </c>
      <c r="Q2225" s="15">
        <f t="shared" si="163"/>
        <v>750</v>
      </c>
      <c r="R2225" s="13" t="str">
        <f>IF(D2225="TEX","аренда техники — сделка/счёт",IF(OR(Q2225="",H2225="",H2225=0),"—",IF(Q2225&lt;H2225*(1-Параметры!$B$7),"почасовка",IF(Q2225&gt;H2225*(1+Параметры!$B$7),"сделка","любой способ"))))</f>
        <v>почасовка</v>
      </c>
      <c r="S2225">
        <v>0</v>
      </c>
      <c r="T2225">
        <v>0</v>
      </c>
    </row>
    <row r="2226" spans="1:20" x14ac:dyDescent="0.25">
      <c r="A2226" s="13" t="s">
        <v>4478</v>
      </c>
      <c r="B2226" s="13" t="s">
        <v>4479</v>
      </c>
      <c r="C2226" s="13" t="s">
        <v>144</v>
      </c>
      <c r="D2226" s="13" t="s">
        <v>747</v>
      </c>
      <c r="E2226" s="13" t="str">
        <f>IFERROR(INDEX('Почасовка — ставки и план'!$B$5:$B$24,MATCH(D2226,'Почасовка — ставки и план'!$A$5:$A$24,0)),"Аренда техники / механизмы")</f>
        <v>Механик ПС / подъёмников / прессов / доков</v>
      </c>
      <c r="F2226" s="14">
        <v>2200</v>
      </c>
      <c r="G2226" s="14">
        <v>2600</v>
      </c>
      <c r="H2226" s="15">
        <v>1250</v>
      </c>
      <c r="I2226" s="15">
        <f>IF(OR(H2226="",F2226=""),"",MAX(H2226,MIN(ROUND(H2226*(1+Параметры!$B$5),IF(H2226*(1+Параметры!$B$5)&gt;=1000,-1,0)),ROUND(F2226*Параметры!$B$6,IF(F2226*Параметры!$B$6&gt;=1000,-1,0)))))</f>
        <v>1440</v>
      </c>
      <c r="J2226" s="15">
        <v>1450</v>
      </c>
      <c r="K2226" s="15">
        <f>IF(OR(J2226="",G2226=""),"",MAX(J2226,MIN(ROUND(J2226*(1+Параметры!$B$5),IF(J2226*(1+Параметры!$B$5)&gt;=1000,-1,0)),ROUND(G2226*Параметры!$B$6,IF(G2226*Параметры!$B$6&gt;=1000,-1,0)))))</f>
        <v>1670</v>
      </c>
      <c r="L2226" s="16">
        <v>0.75</v>
      </c>
      <c r="M2226" s="17">
        <f t="shared" si="162"/>
        <v>1.3333333333333333</v>
      </c>
      <c r="N2226" s="17">
        <f>IF(OR(L2226="",L2226=0),"",Параметры!$B$3/L2226)</f>
        <v>10.666666666666666</v>
      </c>
      <c r="O2226" s="15">
        <f>IF(L2226="","",IFERROR(INDEX('Почасовка — ставки и план'!$D$5:$D$24,MATCH($D2226,'Почасовка — ставки и план'!$A$5:$A$24,0)),""))</f>
        <v>1500</v>
      </c>
      <c r="P2226" s="15">
        <f>IF(L2226="","",IFERROR(INDEX('Почасовка — ставки и план'!$E$5:$E$24,MATCH($D2226,'Почасовка — ставки и план'!$A$5:$A$24,0)),""))</f>
        <v>1800</v>
      </c>
      <c r="Q2226" s="15">
        <f t="shared" si="163"/>
        <v>1125</v>
      </c>
      <c r="R2226" s="13" t="str">
        <f>IF(D2226="TEX","аренда техники — сделка/счёт",IF(OR(Q2226="",H2226="",H2226=0),"—",IF(Q2226&lt;H2226*(1-Параметры!$B$7),"почасовка",IF(Q2226&gt;H2226*(1+Параметры!$B$7),"сделка","любой способ"))))</f>
        <v>любой способ</v>
      </c>
      <c r="S2226">
        <v>0</v>
      </c>
      <c r="T2226">
        <v>0</v>
      </c>
    </row>
    <row r="2227" spans="1:20" x14ac:dyDescent="0.25">
      <c r="A2227" s="13" t="s">
        <v>4480</v>
      </c>
      <c r="B2227" s="13" t="s">
        <v>4481</v>
      </c>
      <c r="C2227" s="13" t="s">
        <v>144</v>
      </c>
      <c r="D2227" s="13" t="s">
        <v>747</v>
      </c>
      <c r="E2227" s="13" t="str">
        <f>IFERROR(INDEX('Почасовка — ставки и план'!$B$5:$B$24,MATCH(D2227,'Почасовка — ставки и план'!$A$5:$A$24,0)),"Аренда техники / механизмы")</f>
        <v>Механик ПС / подъёмников / прессов / доков</v>
      </c>
      <c r="F2227" s="14">
        <v>3000</v>
      </c>
      <c r="G2227" s="14">
        <v>3500</v>
      </c>
      <c r="H2227" s="15">
        <v>1700</v>
      </c>
      <c r="I2227" s="15">
        <f>IF(OR(H2227="",F2227=""),"",MAX(H2227,MIN(ROUND(H2227*(1+Параметры!$B$5),IF(H2227*(1+Параметры!$B$5)&gt;=1000,-1,0)),ROUND(F2227*Параметры!$B$6,IF(F2227*Параметры!$B$6&gt;=1000,-1,0)))))</f>
        <v>1960</v>
      </c>
      <c r="J2227" s="15">
        <v>1900</v>
      </c>
      <c r="K2227" s="15">
        <f>IF(OR(J2227="",G2227=""),"",MAX(J2227,MIN(ROUND(J2227*(1+Параметры!$B$5),IF(J2227*(1+Параметры!$B$5)&gt;=1000,-1,0)),ROUND(G2227*Параметры!$B$6,IF(G2227*Параметры!$B$6&gt;=1000,-1,0)))))</f>
        <v>2190</v>
      </c>
      <c r="L2227" s="16">
        <v>1</v>
      </c>
      <c r="M2227" s="17">
        <f t="shared" si="162"/>
        <v>1</v>
      </c>
      <c r="N2227" s="17">
        <f>IF(OR(L2227="",L2227=0),"",Параметры!$B$3/L2227)</f>
        <v>8</v>
      </c>
      <c r="O2227" s="15">
        <f>IF(L2227="","",IFERROR(INDEX('Почасовка — ставки и план'!$D$5:$D$24,MATCH($D2227,'Почасовка — ставки и план'!$A$5:$A$24,0)),""))</f>
        <v>1500</v>
      </c>
      <c r="P2227" s="15">
        <f>IF(L2227="","",IFERROR(INDEX('Почасовка — ставки и план'!$E$5:$E$24,MATCH($D2227,'Почасовка — ставки и план'!$A$5:$A$24,0)),""))</f>
        <v>1800</v>
      </c>
      <c r="Q2227" s="15">
        <f t="shared" si="163"/>
        <v>1500</v>
      </c>
      <c r="R2227" s="13" t="str">
        <f>IF(D2227="TEX","аренда техники — сделка/счёт",IF(OR(Q2227="",H2227="",H2227=0),"—",IF(Q2227&lt;H2227*(1-Параметры!$B$7),"почасовка",IF(Q2227&gt;H2227*(1+Параметры!$B$7),"сделка","любой способ"))))</f>
        <v>почасовка</v>
      </c>
      <c r="S2227">
        <v>0</v>
      </c>
      <c r="T2227">
        <v>0</v>
      </c>
    </row>
    <row r="2228" spans="1:20" x14ac:dyDescent="0.25">
      <c r="A2228" s="13" t="s">
        <v>4482</v>
      </c>
      <c r="B2228" s="13" t="s">
        <v>4483</v>
      </c>
      <c r="C2228" s="13" t="s">
        <v>144</v>
      </c>
      <c r="D2228" s="13" t="s">
        <v>64</v>
      </c>
      <c r="E2228" s="13" t="str">
        <f>IFERROR(INDEX('Почасовка — ставки и план'!$B$5:$B$24,MATCH(D2228,'Почасовка — ставки и план'!$A$5:$A$24,0)),"Аренда техники / механизмы")</f>
        <v>Сварщик / монтажник МК</v>
      </c>
      <c r="F2228" s="14">
        <v>9000</v>
      </c>
      <c r="G2228" s="14">
        <v>10500</v>
      </c>
      <c r="H2228" s="15">
        <v>5050</v>
      </c>
      <c r="I2228" s="15">
        <f>IF(OR(H2228="",F2228=""),"",MAX(H2228,MIN(ROUND(H2228*(1+Параметры!$B$5),IF(H2228*(1+Параметры!$B$5)&gt;=1000,-1,0)),ROUND(F2228*Параметры!$B$6,IF(F2228*Параметры!$B$6&gt;=1000,-1,0)))))</f>
        <v>5810</v>
      </c>
      <c r="J2228" s="15">
        <v>5900</v>
      </c>
      <c r="K2228" s="15">
        <f>IF(OR(J2228="",G2228=""),"",MAX(J2228,MIN(ROUND(J2228*(1+Параметры!$B$5),IF(J2228*(1+Параметры!$B$5)&gt;=1000,-1,0)),ROUND(G2228*Параметры!$B$6,IF(G2228*Параметры!$B$6&gt;=1000,-1,0)))))</f>
        <v>6790</v>
      </c>
      <c r="L2228" s="16">
        <v>3</v>
      </c>
      <c r="M2228" s="17">
        <f t="shared" si="162"/>
        <v>0.33333333333333331</v>
      </c>
      <c r="N2228" s="17">
        <f>IF(OR(L2228="",L2228=0),"",Параметры!$B$3/L2228)</f>
        <v>2.6666666666666665</v>
      </c>
      <c r="O2228" s="15">
        <f>IF(L2228="","",IFERROR(INDEX('Почасовка — ставки и план'!$D$5:$D$24,MATCH($D2228,'Почасовка — ставки и план'!$A$5:$A$24,0)),""))</f>
        <v>900</v>
      </c>
      <c r="P2228" s="15">
        <f>IF(L2228="","",IFERROR(INDEX('Почасовка — ставки и план'!$E$5:$E$24,MATCH($D2228,'Почасовка — ставки и план'!$A$5:$A$24,0)),""))</f>
        <v>1080</v>
      </c>
      <c r="Q2228" s="15">
        <f t="shared" si="163"/>
        <v>2700</v>
      </c>
      <c r="R2228" s="13" t="str">
        <f>IF(D2228="TEX","аренда техники — сделка/счёт",IF(OR(Q2228="",H2228="",H2228=0),"—",IF(Q2228&lt;H2228*(1-Параметры!$B$7),"почасовка",IF(Q2228&gt;H2228*(1+Параметры!$B$7),"сделка","любой способ"))))</f>
        <v>почасовка</v>
      </c>
      <c r="S2228">
        <v>0</v>
      </c>
      <c r="T2228">
        <v>0</v>
      </c>
    </row>
    <row r="2229" spans="1:20" x14ac:dyDescent="0.25">
      <c r="A2229" s="13" t="s">
        <v>4484</v>
      </c>
      <c r="B2229" s="13" t="s">
        <v>4485</v>
      </c>
      <c r="C2229" s="13" t="s">
        <v>144</v>
      </c>
      <c r="D2229" s="13" t="s">
        <v>64</v>
      </c>
      <c r="E2229" s="13" t="str">
        <f>IFERROR(INDEX('Почасовка — ставки и план'!$B$5:$B$24,MATCH(D2229,'Почасовка — ставки и план'!$A$5:$A$24,0)),"Аренда техники / механизмы")</f>
        <v>Сварщик / монтажник МК</v>
      </c>
      <c r="F2229" s="14">
        <v>11500</v>
      </c>
      <c r="G2229" s="14">
        <v>13500</v>
      </c>
      <c r="H2229" s="15">
        <v>6600</v>
      </c>
      <c r="I2229" s="15">
        <f>IF(OR(H2229="",F2229=""),"",MAX(H2229,MIN(ROUND(H2229*(1+Параметры!$B$5),IF(H2229*(1+Параметры!$B$5)&gt;=1000,-1,0)),ROUND(F2229*Параметры!$B$6,IF(F2229*Параметры!$B$6&gt;=1000,-1,0)))))</f>
        <v>7590</v>
      </c>
      <c r="J2229" s="15">
        <v>7550</v>
      </c>
      <c r="K2229" s="15">
        <f>IF(OR(J2229="",G2229=""),"",MAX(J2229,MIN(ROUND(J2229*(1+Параметры!$B$5),IF(J2229*(1+Параметры!$B$5)&gt;=1000,-1,0)),ROUND(G2229*Параметры!$B$6,IF(G2229*Параметры!$B$6&gt;=1000,-1,0)))))</f>
        <v>8680</v>
      </c>
      <c r="L2229" s="16">
        <v>3</v>
      </c>
      <c r="M2229" s="17">
        <f t="shared" si="162"/>
        <v>0.33333333333333331</v>
      </c>
      <c r="N2229" s="17">
        <f>IF(OR(L2229="",L2229=0),"",Параметры!$B$3/L2229)</f>
        <v>2.6666666666666665</v>
      </c>
      <c r="O2229" s="15">
        <f>IF(L2229="","",IFERROR(INDEX('Почасовка — ставки и план'!$D$5:$D$24,MATCH($D2229,'Почасовка — ставки и план'!$A$5:$A$24,0)),""))</f>
        <v>900</v>
      </c>
      <c r="P2229" s="15">
        <f>IF(L2229="","",IFERROR(INDEX('Почасовка — ставки и план'!$E$5:$E$24,MATCH($D2229,'Почасовка — ставки и план'!$A$5:$A$24,0)),""))</f>
        <v>1080</v>
      </c>
      <c r="Q2229" s="15">
        <f t="shared" si="163"/>
        <v>2700</v>
      </c>
      <c r="R2229" s="13" t="str">
        <f>IF(D2229="TEX","аренда техники — сделка/счёт",IF(OR(Q2229="",H2229="",H2229=0),"—",IF(Q2229&lt;H2229*(1-Параметры!$B$7),"почасовка",IF(Q2229&gt;H2229*(1+Параметры!$B$7),"сделка","любой способ"))))</f>
        <v>почасовка</v>
      </c>
      <c r="S2229">
        <v>0</v>
      </c>
      <c r="T2229">
        <v>0</v>
      </c>
    </row>
    <row r="2230" spans="1:20" x14ac:dyDescent="0.25">
      <c r="A2230" s="13" t="s">
        <v>4486</v>
      </c>
      <c r="B2230" s="13" t="s">
        <v>4487</v>
      </c>
      <c r="C2230" s="13" t="s">
        <v>144</v>
      </c>
      <c r="D2230" s="13" t="s">
        <v>747</v>
      </c>
      <c r="E2230" s="13" t="str">
        <f>IFERROR(INDEX('Почасовка — ставки и план'!$B$5:$B$24,MATCH(D2230,'Почасовка — ставки и план'!$A$5:$A$24,0)),"Аренда техники / механизмы")</f>
        <v>Механик ПС / подъёмников / прессов / доков</v>
      </c>
      <c r="F2230" s="14">
        <v>3500</v>
      </c>
      <c r="G2230" s="14">
        <v>4000</v>
      </c>
      <c r="H2230" s="15">
        <v>1800</v>
      </c>
      <c r="I2230" s="15">
        <f>IF(OR(H2230="",F2230=""),"",MAX(H2230,MIN(ROUND(H2230*(1+Параметры!$B$5),IF(H2230*(1+Параметры!$B$5)&gt;=1000,-1,0)),ROUND(F2230*Параметры!$B$6,IF(F2230*Параметры!$B$6&gt;=1000,-1,0)))))</f>
        <v>2070</v>
      </c>
      <c r="J2230" s="15">
        <v>2050</v>
      </c>
      <c r="K2230" s="15">
        <f>IF(OR(J2230="",G2230=""),"",MAX(J2230,MIN(ROUND(J2230*(1+Параметры!$B$5),IF(J2230*(1+Параметры!$B$5)&gt;=1000,-1,0)),ROUND(G2230*Параметры!$B$6,IF(G2230*Параметры!$B$6&gt;=1000,-1,0)))))</f>
        <v>2360</v>
      </c>
      <c r="L2230" s="16">
        <v>1</v>
      </c>
      <c r="M2230" s="17">
        <f t="shared" si="162"/>
        <v>1</v>
      </c>
      <c r="N2230" s="17">
        <f>IF(OR(L2230="",L2230=0),"",Параметры!$B$3/L2230)</f>
        <v>8</v>
      </c>
      <c r="O2230" s="15">
        <f>IF(L2230="","",IFERROR(INDEX('Почасовка — ставки и план'!$D$5:$D$24,MATCH($D2230,'Почасовка — ставки и план'!$A$5:$A$24,0)),""))</f>
        <v>1500</v>
      </c>
      <c r="P2230" s="15">
        <f>IF(L2230="","",IFERROR(INDEX('Почасовка — ставки и план'!$E$5:$E$24,MATCH($D2230,'Почасовка — ставки и план'!$A$5:$A$24,0)),""))</f>
        <v>1800</v>
      </c>
      <c r="Q2230" s="15">
        <f t="shared" si="163"/>
        <v>1500</v>
      </c>
      <c r="R2230" s="13" t="str">
        <f>IF(D2230="TEX","аренда техники — сделка/счёт",IF(OR(Q2230="",H2230="",H2230=0),"—",IF(Q2230&lt;H2230*(1-Параметры!$B$7),"почасовка",IF(Q2230&gt;H2230*(1+Параметры!$B$7),"сделка","любой способ"))))</f>
        <v>почасовка</v>
      </c>
      <c r="S2230">
        <v>0</v>
      </c>
      <c r="T2230">
        <v>0</v>
      </c>
    </row>
    <row r="2231" spans="1:20" x14ac:dyDescent="0.25">
      <c r="A2231" s="13" t="s">
        <v>4488</v>
      </c>
      <c r="B2231" s="13" t="s">
        <v>4489</v>
      </c>
      <c r="C2231" s="13" t="s">
        <v>144</v>
      </c>
      <c r="D2231" s="13" t="s">
        <v>747</v>
      </c>
      <c r="E2231" s="13" t="str">
        <f>IFERROR(INDEX('Почасовка — ставки и план'!$B$5:$B$24,MATCH(D2231,'Почасовка — ставки и план'!$A$5:$A$24,0)),"Аренда техники / механизмы")</f>
        <v>Механик ПС / подъёмников / прессов / доков</v>
      </c>
      <c r="F2231" s="14">
        <v>11000</v>
      </c>
      <c r="G2231" s="14">
        <v>13000</v>
      </c>
      <c r="H2231" s="15">
        <v>6600</v>
      </c>
      <c r="I2231" s="15">
        <f>IF(OR(H2231="",F2231=""),"",MAX(H2231,MIN(ROUND(H2231*(1+Параметры!$B$5),IF(H2231*(1+Параметры!$B$5)&gt;=1000,-1,0)),ROUND(F2231*Параметры!$B$6,IF(F2231*Параметры!$B$6&gt;=1000,-1,0)))))</f>
        <v>7590</v>
      </c>
      <c r="J2231" s="15">
        <v>7550</v>
      </c>
      <c r="K2231" s="15">
        <f>IF(OR(J2231="",G2231=""),"",MAX(J2231,MIN(ROUND(J2231*(1+Параметры!$B$5),IF(J2231*(1+Параметры!$B$5)&gt;=1000,-1,0)),ROUND(G2231*Параметры!$B$6,IF(G2231*Параметры!$B$6&gt;=1000,-1,0)))))</f>
        <v>8680</v>
      </c>
      <c r="L2231" s="16">
        <v>4</v>
      </c>
      <c r="M2231" s="17">
        <f t="shared" si="162"/>
        <v>0.25</v>
      </c>
      <c r="N2231" s="17">
        <f>IF(OR(L2231="",L2231=0),"",Параметры!$B$3/L2231)</f>
        <v>2</v>
      </c>
      <c r="O2231" s="15">
        <f>IF(L2231="","",IFERROR(INDEX('Почасовка — ставки и план'!$D$5:$D$24,MATCH($D2231,'Почасовка — ставки и план'!$A$5:$A$24,0)),""))</f>
        <v>1500</v>
      </c>
      <c r="P2231" s="15">
        <f>IF(L2231="","",IFERROR(INDEX('Почасовка — ставки и план'!$E$5:$E$24,MATCH($D2231,'Почасовка — ставки и план'!$A$5:$A$24,0)),""))</f>
        <v>1800</v>
      </c>
      <c r="Q2231" s="15">
        <f t="shared" si="163"/>
        <v>6000</v>
      </c>
      <c r="R2231" s="13" t="str">
        <f>IF(D2231="TEX","аренда техники — сделка/счёт",IF(OR(Q2231="",H2231="",H2231=0),"—",IF(Q2231&lt;H2231*(1-Параметры!$B$7),"почасовка",IF(Q2231&gt;H2231*(1+Параметры!$B$7),"сделка","любой способ"))))</f>
        <v>любой способ</v>
      </c>
      <c r="S2231">
        <v>0</v>
      </c>
      <c r="T2231">
        <v>0</v>
      </c>
    </row>
    <row r="2232" spans="1:20" x14ac:dyDescent="0.25">
      <c r="A2232" s="13" t="s">
        <v>4490</v>
      </c>
      <c r="B2232" s="13" t="s">
        <v>4491</v>
      </c>
      <c r="C2232" s="13" t="s">
        <v>144</v>
      </c>
      <c r="D2232" s="13" t="s">
        <v>747</v>
      </c>
      <c r="E2232" s="13" t="str">
        <f>IFERROR(INDEX('Почасовка — ставки и план'!$B$5:$B$24,MATCH(D2232,'Почасовка — ставки и план'!$A$5:$A$24,0)),"Аренда техники / механизмы")</f>
        <v>Механик ПС / подъёмников / прессов / доков</v>
      </c>
      <c r="F2232" s="14">
        <v>22000</v>
      </c>
      <c r="G2232" s="14">
        <v>26500</v>
      </c>
      <c r="H2232" s="15">
        <v>13200</v>
      </c>
      <c r="I2232" s="15">
        <f>IF(OR(H2232="",F2232=""),"",MAX(H2232,MIN(ROUND(H2232*(1+Параметры!$B$5),IF(H2232*(1+Параметры!$B$5)&gt;=1000,-1,0)),ROUND(F2232*Параметры!$B$6,IF(F2232*Параметры!$B$6&gt;=1000,-1,0)))))</f>
        <v>15180</v>
      </c>
      <c r="J2232" s="15">
        <v>15600</v>
      </c>
      <c r="K2232" s="15">
        <f>IF(OR(J2232="",G2232=""),"",MAX(J2232,MIN(ROUND(J2232*(1+Параметры!$B$5),IF(J2232*(1+Параметры!$B$5)&gt;=1000,-1,0)),ROUND(G2232*Параметры!$B$6,IF(G2232*Параметры!$B$6&gt;=1000,-1,0)))))</f>
        <v>17940</v>
      </c>
      <c r="L2232" s="16">
        <v>8</v>
      </c>
      <c r="M2232" s="17">
        <f t="shared" si="162"/>
        <v>0.125</v>
      </c>
      <c r="N2232" s="17">
        <f>IF(OR(L2232="",L2232=0),"",Параметры!$B$3/L2232)</f>
        <v>1</v>
      </c>
      <c r="O2232" s="15">
        <f>IF(L2232="","",IFERROR(INDEX('Почасовка — ставки и план'!$D$5:$D$24,MATCH($D2232,'Почасовка — ставки и план'!$A$5:$A$24,0)),""))</f>
        <v>1500</v>
      </c>
      <c r="P2232" s="15">
        <f>IF(L2232="","",IFERROR(INDEX('Почасовка — ставки и план'!$E$5:$E$24,MATCH($D2232,'Почасовка — ставки и план'!$A$5:$A$24,0)),""))</f>
        <v>1800</v>
      </c>
      <c r="Q2232" s="15">
        <f t="shared" si="163"/>
        <v>12000</v>
      </c>
      <c r="R2232" s="13" t="str">
        <f>IF(D2232="TEX","аренда техники — сделка/счёт",IF(OR(Q2232="",H2232="",H2232=0),"—",IF(Q2232&lt;H2232*(1-Параметры!$B$7),"почасовка",IF(Q2232&gt;H2232*(1+Параметры!$B$7),"сделка","любой способ"))))</f>
        <v>любой способ</v>
      </c>
      <c r="S2232">
        <v>0</v>
      </c>
      <c r="T2232">
        <v>0</v>
      </c>
    </row>
    <row r="2233" spans="1:20" x14ac:dyDescent="0.25">
      <c r="A2233" s="13" t="s">
        <v>4492</v>
      </c>
      <c r="B2233" s="13" t="s">
        <v>4493</v>
      </c>
      <c r="C2233" s="13" t="s">
        <v>144</v>
      </c>
      <c r="D2233" s="13" t="s">
        <v>747</v>
      </c>
      <c r="E2233" s="13" t="str">
        <f>IFERROR(INDEX('Почасовка — ставки и план'!$B$5:$B$24,MATCH(D2233,'Почасовка — ставки и план'!$A$5:$A$24,0)),"Аренда техники / механизмы")</f>
        <v>Механик ПС / подъёмников / прессов / доков</v>
      </c>
      <c r="F2233" s="14">
        <v>42000</v>
      </c>
      <c r="G2233" s="14">
        <v>48000</v>
      </c>
      <c r="H2233" s="15">
        <v>31500</v>
      </c>
      <c r="I2233" s="15">
        <f>IF(OR(H2233="",F2233=""),"",MAX(H2233,MIN(ROUND(H2233*(1+Параметры!$B$5),IF(H2233*(1+Параметры!$B$5)&gt;=1000,-1,0)),ROUND(F2233*Параметры!$B$6,IF(F2233*Параметры!$B$6&gt;=1000,-1,0)))))</f>
        <v>31500</v>
      </c>
      <c r="J2233" s="15">
        <v>36000</v>
      </c>
      <c r="K2233" s="15">
        <f>IF(OR(J2233="",G2233=""),"",MAX(J2233,MIN(ROUND(J2233*(1+Параметры!$B$5),IF(J2233*(1+Параметры!$B$5)&gt;=1000,-1,0)),ROUND(G2233*Параметры!$B$6,IF(G2233*Параметры!$B$6&gt;=1000,-1,0)))))</f>
        <v>36000</v>
      </c>
      <c r="L2233" s="16">
        <v>10</v>
      </c>
      <c r="M2233" s="17">
        <f t="shared" si="162"/>
        <v>0.1</v>
      </c>
      <c r="N2233" s="17">
        <f>IF(OR(L2233="",L2233=0),"",Параметры!$B$3/L2233)</f>
        <v>0.8</v>
      </c>
      <c r="O2233" s="15">
        <f>IF(L2233="","",IFERROR(INDEX('Почасовка — ставки и план'!$D$5:$D$24,MATCH($D2233,'Почасовка — ставки и план'!$A$5:$A$24,0)),""))</f>
        <v>1500</v>
      </c>
      <c r="P2233" s="15">
        <f>IF(L2233="","",IFERROR(INDEX('Почасовка — ставки и план'!$E$5:$E$24,MATCH($D2233,'Почасовка — ставки и план'!$A$5:$A$24,0)),""))</f>
        <v>1800</v>
      </c>
      <c r="Q2233" s="15">
        <f t="shared" si="163"/>
        <v>15000</v>
      </c>
      <c r="R2233" s="13" t="str">
        <f>IF(D2233="TEX","аренда техники — сделка/счёт",IF(OR(Q2233="",H2233="",H2233=0),"—",IF(Q2233&lt;H2233*(1-Параметры!$B$7),"почасовка",IF(Q2233&gt;H2233*(1+Параметры!$B$7),"сделка","любой способ"))))</f>
        <v>почасовка</v>
      </c>
      <c r="S2233">
        <v>0</v>
      </c>
      <c r="T2233">
        <v>0</v>
      </c>
    </row>
    <row r="2234" spans="1:20" x14ac:dyDescent="0.25">
      <c r="A2234" s="13" t="s">
        <v>4494</v>
      </c>
      <c r="B2234" s="13" t="s">
        <v>4495</v>
      </c>
      <c r="C2234" s="13" t="s">
        <v>144</v>
      </c>
      <c r="D2234" s="13" t="s">
        <v>747</v>
      </c>
      <c r="E2234" s="13" t="str">
        <f>IFERROR(INDEX('Почасовка — ставки и план'!$B$5:$B$24,MATCH(D2234,'Почасовка — ставки и план'!$A$5:$A$24,0)),"Аренда техники / механизмы")</f>
        <v>Механик ПС / подъёмников / прессов / доков</v>
      </c>
      <c r="F2234" s="14">
        <v>50000</v>
      </c>
      <c r="G2234" s="14">
        <v>57000</v>
      </c>
      <c r="H2234" s="15">
        <v>37500</v>
      </c>
      <c r="I2234" s="15">
        <f>IF(OR(H2234="",F2234=""),"",MAX(H2234,MIN(ROUND(H2234*(1+Параметры!$B$5),IF(H2234*(1+Параметры!$B$5)&gt;=1000,-1,0)),ROUND(F2234*Параметры!$B$6,IF(F2234*Параметры!$B$6&gt;=1000,-1,0)))))</f>
        <v>37500</v>
      </c>
      <c r="J2234" s="15">
        <v>42750</v>
      </c>
      <c r="K2234" s="15">
        <f>IF(OR(J2234="",G2234=""),"",MAX(J2234,MIN(ROUND(J2234*(1+Параметры!$B$5),IF(J2234*(1+Параметры!$B$5)&gt;=1000,-1,0)),ROUND(G2234*Параметры!$B$6,IF(G2234*Параметры!$B$6&gt;=1000,-1,0)))))</f>
        <v>42750</v>
      </c>
      <c r="L2234" s="16">
        <v>10</v>
      </c>
      <c r="M2234" s="17">
        <f t="shared" ref="M2234:M2265" si="164">IF(OR(L2234="",L2234=0),"",1/L2234)</f>
        <v>0.1</v>
      </c>
      <c r="N2234" s="17">
        <f>IF(OR(L2234="",L2234=0),"",Параметры!$B$3/L2234)</f>
        <v>0.8</v>
      </c>
      <c r="O2234" s="15">
        <f>IF(L2234="","",IFERROR(INDEX('Почасовка — ставки и план'!$D$5:$D$24,MATCH($D2234,'Почасовка — ставки и план'!$A$5:$A$24,0)),""))</f>
        <v>1500</v>
      </c>
      <c r="P2234" s="15">
        <f>IF(L2234="","",IFERROR(INDEX('Почасовка — ставки и план'!$E$5:$E$24,MATCH($D2234,'Почасовка — ставки и план'!$A$5:$A$24,0)),""))</f>
        <v>1800</v>
      </c>
      <c r="Q2234" s="15">
        <f t="shared" ref="Q2234:Q2251" si="165">IF(OR(L2234="",O2234=""),"",ROUND(L2234*O2234,0))</f>
        <v>15000</v>
      </c>
      <c r="R2234" s="13" t="str">
        <f>IF(D2234="TEX","аренда техники — сделка/счёт",IF(OR(Q2234="",H2234="",H2234=0),"—",IF(Q2234&lt;H2234*(1-Параметры!$B$7),"почасовка",IF(Q2234&gt;H2234*(1+Параметры!$B$7),"сделка","любой способ"))))</f>
        <v>почасовка</v>
      </c>
      <c r="S2234">
        <v>0</v>
      </c>
      <c r="T2234">
        <v>0</v>
      </c>
    </row>
    <row r="2235" spans="1:20" x14ac:dyDescent="0.25">
      <c r="A2235" s="13" t="s">
        <v>4496</v>
      </c>
      <c r="B2235" s="13" t="s">
        <v>4497</v>
      </c>
      <c r="C2235" s="13" t="s">
        <v>144</v>
      </c>
      <c r="D2235" s="13" t="s">
        <v>64</v>
      </c>
      <c r="E2235" s="13" t="str">
        <f>IFERROR(INDEX('Почасовка — ставки и план'!$B$5:$B$24,MATCH(D2235,'Почасовка — ставки и план'!$A$5:$A$24,0)),"Аренда техники / механизмы")</f>
        <v>Сварщик / монтажник МК</v>
      </c>
      <c r="F2235" s="14">
        <v>25000</v>
      </c>
      <c r="G2235" s="14">
        <v>29000</v>
      </c>
      <c r="H2235" s="15">
        <v>15000</v>
      </c>
      <c r="I2235" s="15">
        <f>IF(OR(H2235="",F2235=""),"",MAX(H2235,MIN(ROUND(H2235*(1+Параметры!$B$5),IF(H2235*(1+Параметры!$B$5)&gt;=1000,-1,0)),ROUND(F2235*Параметры!$B$6,IF(F2235*Параметры!$B$6&gt;=1000,-1,0)))))</f>
        <v>17250</v>
      </c>
      <c r="J2235" s="15">
        <v>17400</v>
      </c>
      <c r="K2235" s="15">
        <f>IF(OR(J2235="",G2235=""),"",MAX(J2235,MIN(ROUND(J2235*(1+Параметры!$B$5),IF(J2235*(1+Параметры!$B$5)&gt;=1000,-1,0)),ROUND(G2235*Параметры!$B$6,IF(G2235*Параметры!$B$6&gt;=1000,-1,0)))))</f>
        <v>20010</v>
      </c>
      <c r="L2235" s="16">
        <v>10</v>
      </c>
      <c r="M2235" s="17">
        <f t="shared" si="164"/>
        <v>0.1</v>
      </c>
      <c r="N2235" s="17">
        <f>IF(OR(L2235="",L2235=0),"",Параметры!$B$3/L2235)</f>
        <v>0.8</v>
      </c>
      <c r="O2235" s="15">
        <f>IF(L2235="","",IFERROR(INDEX('Почасовка — ставки и план'!$D$5:$D$24,MATCH($D2235,'Почасовка — ставки и план'!$A$5:$A$24,0)),""))</f>
        <v>900</v>
      </c>
      <c r="P2235" s="15">
        <f>IF(L2235="","",IFERROR(INDEX('Почасовка — ставки и план'!$E$5:$E$24,MATCH($D2235,'Почасовка — ставки и план'!$A$5:$A$24,0)),""))</f>
        <v>1080</v>
      </c>
      <c r="Q2235" s="15">
        <f t="shared" si="165"/>
        <v>9000</v>
      </c>
      <c r="R2235" s="13" t="str">
        <f>IF(D2235="TEX","аренда техники — сделка/счёт",IF(OR(Q2235="",H2235="",H2235=0),"—",IF(Q2235&lt;H2235*(1-Параметры!$B$7),"почасовка",IF(Q2235&gt;H2235*(1+Параметры!$B$7),"сделка","любой способ"))))</f>
        <v>почасовка</v>
      </c>
      <c r="S2235">
        <v>0</v>
      </c>
      <c r="T2235">
        <v>0</v>
      </c>
    </row>
    <row r="2236" spans="1:20" x14ac:dyDescent="0.25">
      <c r="A2236" s="13" t="s">
        <v>4498</v>
      </c>
      <c r="B2236" s="13" t="s">
        <v>4499</v>
      </c>
      <c r="C2236" s="13" t="s">
        <v>144</v>
      </c>
      <c r="D2236" s="13" t="s">
        <v>747</v>
      </c>
      <c r="E2236" s="13" t="str">
        <f>IFERROR(INDEX('Почасовка — ставки и план'!$B$5:$B$24,MATCH(D2236,'Почасовка — ставки и план'!$A$5:$A$24,0)),"Аренда техники / механизмы")</f>
        <v>Механик ПС / подъёмников / прессов / доков</v>
      </c>
      <c r="F2236" s="14">
        <v>11000</v>
      </c>
      <c r="G2236" s="14">
        <v>12500</v>
      </c>
      <c r="H2236" s="15">
        <v>6600</v>
      </c>
      <c r="I2236" s="15">
        <f>IF(OR(H2236="",F2236=""),"",MAX(H2236,MIN(ROUND(H2236*(1+Параметры!$B$5),IF(H2236*(1+Параметры!$B$5)&gt;=1000,-1,0)),ROUND(F2236*Параметры!$B$6,IF(F2236*Параметры!$B$6&gt;=1000,-1,0)))))</f>
        <v>7590</v>
      </c>
      <c r="J2236" s="15">
        <v>7550</v>
      </c>
      <c r="K2236" s="15">
        <f>IF(OR(J2236="",G2236=""),"",MAX(J2236,MIN(ROUND(J2236*(1+Параметры!$B$5),IF(J2236*(1+Параметры!$B$5)&gt;=1000,-1,0)),ROUND(G2236*Параметры!$B$6,IF(G2236*Параметры!$B$6&gt;=1000,-1,0)))))</f>
        <v>8680</v>
      </c>
      <c r="L2236" s="16">
        <v>4</v>
      </c>
      <c r="M2236" s="17">
        <f t="shared" si="164"/>
        <v>0.25</v>
      </c>
      <c r="N2236" s="17">
        <f>IF(OR(L2236="",L2236=0),"",Параметры!$B$3/L2236)</f>
        <v>2</v>
      </c>
      <c r="O2236" s="15">
        <f>IF(L2236="","",IFERROR(INDEX('Почасовка — ставки и план'!$D$5:$D$24,MATCH($D2236,'Почасовка — ставки и план'!$A$5:$A$24,0)),""))</f>
        <v>1500</v>
      </c>
      <c r="P2236" s="15">
        <f>IF(L2236="","",IFERROR(INDEX('Почасовка — ставки и план'!$E$5:$E$24,MATCH($D2236,'Почасовка — ставки и план'!$A$5:$A$24,0)),""))</f>
        <v>1800</v>
      </c>
      <c r="Q2236" s="15">
        <f t="shared" si="165"/>
        <v>6000</v>
      </c>
      <c r="R2236" s="13" t="str">
        <f>IF(D2236="TEX","аренда техники — сделка/счёт",IF(OR(Q2236="",H2236="",H2236=0),"—",IF(Q2236&lt;H2236*(1-Параметры!$B$7),"почасовка",IF(Q2236&gt;H2236*(1+Параметры!$B$7),"сделка","любой способ"))))</f>
        <v>любой способ</v>
      </c>
      <c r="S2236">
        <v>0</v>
      </c>
      <c r="T2236">
        <v>0</v>
      </c>
    </row>
    <row r="2237" spans="1:20" x14ac:dyDescent="0.25">
      <c r="A2237" s="13" t="s">
        <v>4500</v>
      </c>
      <c r="B2237" s="13" t="s">
        <v>4501</v>
      </c>
      <c r="C2237" s="13" t="s">
        <v>144</v>
      </c>
      <c r="D2237" s="13" t="s">
        <v>64</v>
      </c>
      <c r="E2237" s="13" t="str">
        <f>IFERROR(INDEX('Почасовка — ставки и план'!$B$5:$B$24,MATCH(D2237,'Почасовка — ставки и план'!$A$5:$A$24,0)),"Аренда техники / механизмы")</f>
        <v>Сварщик / монтажник МК</v>
      </c>
      <c r="F2237" s="14">
        <v>21000</v>
      </c>
      <c r="G2237" s="14">
        <v>24000</v>
      </c>
      <c r="H2237" s="15">
        <v>12600</v>
      </c>
      <c r="I2237" s="15">
        <f>IF(OR(H2237="",F2237=""),"",MAX(H2237,MIN(ROUND(H2237*(1+Параметры!$B$5),IF(H2237*(1+Параметры!$B$5)&gt;=1000,-1,0)),ROUND(F2237*Параметры!$B$6,IF(F2237*Параметры!$B$6&gt;=1000,-1,0)))))</f>
        <v>14490</v>
      </c>
      <c r="J2237" s="15">
        <v>14400</v>
      </c>
      <c r="K2237" s="15">
        <f>IF(OR(J2237="",G2237=""),"",MAX(J2237,MIN(ROUND(J2237*(1+Параметры!$B$5),IF(J2237*(1+Параметры!$B$5)&gt;=1000,-1,0)),ROUND(G2237*Параметры!$B$6,IF(G2237*Параметры!$B$6&gt;=1000,-1,0)))))</f>
        <v>16560</v>
      </c>
      <c r="L2237" s="16">
        <v>8</v>
      </c>
      <c r="M2237" s="17">
        <f t="shared" si="164"/>
        <v>0.125</v>
      </c>
      <c r="N2237" s="17">
        <f>IF(OR(L2237="",L2237=0),"",Параметры!$B$3/L2237)</f>
        <v>1</v>
      </c>
      <c r="O2237" s="15">
        <f>IF(L2237="","",IFERROR(INDEX('Почасовка — ставки и план'!$D$5:$D$24,MATCH($D2237,'Почасовка — ставки и план'!$A$5:$A$24,0)),""))</f>
        <v>900</v>
      </c>
      <c r="P2237" s="15">
        <f>IF(L2237="","",IFERROR(INDEX('Почасовка — ставки и план'!$E$5:$E$24,MATCH($D2237,'Почасовка — ставки и план'!$A$5:$A$24,0)),""))</f>
        <v>1080</v>
      </c>
      <c r="Q2237" s="15">
        <f t="shared" si="165"/>
        <v>7200</v>
      </c>
      <c r="R2237" s="13" t="str">
        <f>IF(D2237="TEX","аренда техники — сделка/счёт",IF(OR(Q2237="",H2237="",H2237=0),"—",IF(Q2237&lt;H2237*(1-Параметры!$B$7),"почасовка",IF(Q2237&gt;H2237*(1+Параметры!$B$7),"сделка","любой способ"))))</f>
        <v>почасовка</v>
      </c>
      <c r="S2237">
        <v>0</v>
      </c>
      <c r="T2237">
        <v>0</v>
      </c>
    </row>
    <row r="2238" spans="1:20" x14ac:dyDescent="0.25">
      <c r="A2238" s="13" t="s">
        <v>4502</v>
      </c>
      <c r="B2238" s="13" t="s">
        <v>4503</v>
      </c>
      <c r="C2238" s="13" t="s">
        <v>144</v>
      </c>
      <c r="D2238" s="13" t="s">
        <v>64</v>
      </c>
      <c r="E2238" s="13" t="str">
        <f>IFERROR(INDEX('Почасовка — ставки и план'!$B$5:$B$24,MATCH(D2238,'Почасовка — ставки и план'!$A$5:$A$24,0)),"Аренда техники / механизмы")</f>
        <v>Сварщик / монтажник МК</v>
      </c>
      <c r="F2238" s="14">
        <v>7000</v>
      </c>
      <c r="G2238" s="14">
        <v>8000</v>
      </c>
      <c r="H2238" s="15">
        <v>4200</v>
      </c>
      <c r="I2238" s="15">
        <f>IF(OR(H2238="",F2238=""),"",MAX(H2238,MIN(ROUND(H2238*(1+Параметры!$B$5),IF(H2238*(1+Параметры!$B$5)&gt;=1000,-1,0)),ROUND(F2238*Параметры!$B$6,IF(F2238*Параметры!$B$6&gt;=1000,-1,0)))))</f>
        <v>4830</v>
      </c>
      <c r="J2238" s="15">
        <v>4800</v>
      </c>
      <c r="K2238" s="15">
        <f>IF(OR(J2238="",G2238=""),"",MAX(J2238,MIN(ROUND(J2238*(1+Параметры!$B$5),IF(J2238*(1+Параметры!$B$5)&gt;=1000,-1,0)),ROUND(G2238*Параметры!$B$6,IF(G2238*Параметры!$B$6&gt;=1000,-1,0)))))</f>
        <v>5520</v>
      </c>
      <c r="L2238" s="16">
        <v>3</v>
      </c>
      <c r="M2238" s="17">
        <f t="shared" si="164"/>
        <v>0.33333333333333331</v>
      </c>
      <c r="N2238" s="17">
        <f>IF(OR(L2238="",L2238=0),"",Параметры!$B$3/L2238)</f>
        <v>2.6666666666666665</v>
      </c>
      <c r="O2238" s="15">
        <f>IF(L2238="","",IFERROR(INDEX('Почасовка — ставки и план'!$D$5:$D$24,MATCH($D2238,'Почасовка — ставки и план'!$A$5:$A$24,0)),""))</f>
        <v>900</v>
      </c>
      <c r="P2238" s="15">
        <f>IF(L2238="","",IFERROR(INDEX('Почасовка — ставки и план'!$E$5:$E$24,MATCH($D2238,'Почасовка — ставки и план'!$A$5:$A$24,0)),""))</f>
        <v>1080</v>
      </c>
      <c r="Q2238" s="15">
        <f t="shared" si="165"/>
        <v>2700</v>
      </c>
      <c r="R2238" s="13" t="str">
        <f>IF(D2238="TEX","аренда техники — сделка/счёт",IF(OR(Q2238="",H2238="",H2238=0),"—",IF(Q2238&lt;H2238*(1-Параметры!$B$7),"почасовка",IF(Q2238&gt;H2238*(1+Параметры!$B$7),"сделка","любой способ"))))</f>
        <v>почасовка</v>
      </c>
      <c r="S2238">
        <v>0</v>
      </c>
      <c r="T2238">
        <v>0</v>
      </c>
    </row>
    <row r="2239" spans="1:20" x14ac:dyDescent="0.25">
      <c r="A2239" s="13" t="s">
        <v>4504</v>
      </c>
      <c r="B2239" s="13" t="s">
        <v>4505</v>
      </c>
      <c r="C2239" s="13" t="s">
        <v>144</v>
      </c>
      <c r="D2239" s="13" t="s">
        <v>747</v>
      </c>
      <c r="E2239" s="13" t="str">
        <f>IFERROR(INDEX('Почасовка — ставки и план'!$B$5:$B$24,MATCH(D2239,'Почасовка — ставки и план'!$A$5:$A$24,0)),"Аренда техники / механизмы")</f>
        <v>Механик ПС / подъёмников / прессов / доков</v>
      </c>
      <c r="F2239" s="14">
        <v>40000</v>
      </c>
      <c r="G2239" s="14">
        <v>46000</v>
      </c>
      <c r="H2239" s="15">
        <v>24000</v>
      </c>
      <c r="I2239" s="15">
        <f>IF(OR(H2239="",F2239=""),"",MAX(H2239,MIN(ROUND(H2239*(1+Параметры!$B$5),IF(H2239*(1+Параметры!$B$5)&gt;=1000,-1,0)),ROUND(F2239*Параметры!$B$6,IF(F2239*Параметры!$B$6&gt;=1000,-1,0)))))</f>
        <v>27600</v>
      </c>
      <c r="J2239" s="15">
        <v>27600</v>
      </c>
      <c r="K2239" s="15">
        <f>IF(OR(J2239="",G2239=""),"",MAX(J2239,MIN(ROUND(J2239*(1+Параметры!$B$5),IF(J2239*(1+Параметры!$B$5)&gt;=1000,-1,0)),ROUND(G2239*Параметры!$B$6,IF(G2239*Параметры!$B$6&gt;=1000,-1,0)))))</f>
        <v>31740</v>
      </c>
      <c r="L2239" s="16">
        <v>16</v>
      </c>
      <c r="M2239" s="17">
        <f t="shared" si="164"/>
        <v>6.25E-2</v>
      </c>
      <c r="N2239" s="17">
        <f>IF(OR(L2239="",L2239=0),"",Параметры!$B$3/L2239)</f>
        <v>0.5</v>
      </c>
      <c r="O2239" s="15">
        <f>IF(L2239="","",IFERROR(INDEX('Почасовка — ставки и план'!$D$5:$D$24,MATCH($D2239,'Почасовка — ставки и план'!$A$5:$A$24,0)),""))</f>
        <v>1500</v>
      </c>
      <c r="P2239" s="15">
        <f>IF(L2239="","",IFERROR(INDEX('Почасовка — ставки и план'!$E$5:$E$24,MATCH($D2239,'Почасовка — ставки и план'!$A$5:$A$24,0)),""))</f>
        <v>1800</v>
      </c>
      <c r="Q2239" s="15">
        <f t="shared" si="165"/>
        <v>24000</v>
      </c>
      <c r="R2239" s="13" t="str">
        <f>IF(D2239="TEX","аренда техники — сделка/счёт",IF(OR(Q2239="",H2239="",H2239=0),"—",IF(Q2239&lt;H2239*(1-Параметры!$B$7),"почасовка",IF(Q2239&gt;H2239*(1+Параметры!$B$7),"сделка","любой способ"))))</f>
        <v>любой способ</v>
      </c>
      <c r="S2239">
        <v>0</v>
      </c>
      <c r="T2239">
        <v>0</v>
      </c>
    </row>
    <row r="2240" spans="1:20" x14ac:dyDescent="0.25">
      <c r="A2240" s="13" t="s">
        <v>4506</v>
      </c>
      <c r="B2240" s="13" t="s">
        <v>4507</v>
      </c>
      <c r="C2240" s="13" t="s">
        <v>144</v>
      </c>
      <c r="D2240" s="13" t="s">
        <v>64</v>
      </c>
      <c r="E2240" s="13" t="str">
        <f>IFERROR(INDEX('Почасовка — ставки и план'!$B$5:$B$24,MATCH(D2240,'Почасовка — ставки и план'!$A$5:$A$24,0)),"Аренда техники / механизмы")</f>
        <v>Сварщик / монтажник МК</v>
      </c>
      <c r="F2240" s="14">
        <v>55000</v>
      </c>
      <c r="G2240" s="14">
        <v>63000</v>
      </c>
      <c r="H2240" s="15">
        <v>33600</v>
      </c>
      <c r="I2240" s="15">
        <f>IF(OR(H2240="",F2240=""),"",MAX(H2240,MIN(ROUND(H2240*(1+Параметры!$B$5),IF(H2240*(1+Параметры!$B$5)&gt;=1000,-1,0)),ROUND(F2240*Параметры!$B$6,IF(F2240*Параметры!$B$6&gt;=1000,-1,0)))))</f>
        <v>38640</v>
      </c>
      <c r="J2240" s="15">
        <v>38400</v>
      </c>
      <c r="K2240" s="15">
        <f>IF(OR(J2240="",G2240=""),"",MAX(J2240,MIN(ROUND(J2240*(1+Параметры!$B$5),IF(J2240*(1+Параметры!$B$5)&gt;=1000,-1,0)),ROUND(G2240*Параметры!$B$6,IF(G2240*Параметры!$B$6&gt;=1000,-1,0)))))</f>
        <v>44160</v>
      </c>
      <c r="L2240" s="16">
        <v>24</v>
      </c>
      <c r="M2240" s="17">
        <f t="shared" si="164"/>
        <v>4.1666666666666664E-2</v>
      </c>
      <c r="N2240" s="17">
        <f>IF(OR(L2240="",L2240=0),"",Параметры!$B$3/L2240)</f>
        <v>0.33333333333333331</v>
      </c>
      <c r="O2240" s="15">
        <f>IF(L2240="","",IFERROR(INDEX('Почасовка — ставки и план'!$D$5:$D$24,MATCH($D2240,'Почасовка — ставки и план'!$A$5:$A$24,0)),""))</f>
        <v>900</v>
      </c>
      <c r="P2240" s="15">
        <f>IF(L2240="","",IFERROR(INDEX('Почасовка — ставки и план'!$E$5:$E$24,MATCH($D2240,'Почасовка — ставки и план'!$A$5:$A$24,0)),""))</f>
        <v>1080</v>
      </c>
      <c r="Q2240" s="15">
        <f t="shared" si="165"/>
        <v>21600</v>
      </c>
      <c r="R2240" s="13" t="str">
        <f>IF(D2240="TEX","аренда техники — сделка/счёт",IF(OR(Q2240="",H2240="",H2240=0),"—",IF(Q2240&lt;H2240*(1-Параметры!$B$7),"почасовка",IF(Q2240&gt;H2240*(1+Параметры!$B$7),"сделка","любой способ"))))</f>
        <v>почасовка</v>
      </c>
      <c r="S2240">
        <v>0</v>
      </c>
      <c r="T2240">
        <v>0</v>
      </c>
    </row>
    <row r="2241" spans="1:20" x14ac:dyDescent="0.25">
      <c r="A2241" s="13" t="s">
        <v>4508</v>
      </c>
      <c r="B2241" s="13" t="s">
        <v>4509</v>
      </c>
      <c r="C2241" s="13" t="s">
        <v>144</v>
      </c>
      <c r="D2241" s="13" t="s">
        <v>273</v>
      </c>
      <c r="E2241" s="13" t="str">
        <f>IFERROR(INDEX('Почасовка — ставки и план'!$B$5:$B$24,MATCH(D2241,'Почасовка — ставки и план'!$A$5:$A$24,0)),"Аренда техники / механизмы")</f>
        <v>Электромонтажник</v>
      </c>
      <c r="F2241" s="14">
        <v>1200</v>
      </c>
      <c r="G2241" s="14">
        <v>1400</v>
      </c>
      <c r="H2241" s="15">
        <v>720</v>
      </c>
      <c r="I2241" s="15">
        <f>IF(OR(H2241="",F2241=""),"",MAX(H2241,MIN(ROUND(H2241*(1+Параметры!$B$5),IF(H2241*(1+Параметры!$B$5)&gt;=1000,-1,0)),ROUND(F2241*Параметры!$B$6,IF(F2241*Параметры!$B$6&gt;=1000,-1,0)))))</f>
        <v>828</v>
      </c>
      <c r="J2241" s="15">
        <v>840</v>
      </c>
      <c r="K2241" s="15">
        <f>IF(OR(J2241="",G2241=""),"",MAX(J2241,MIN(ROUND(J2241*(1+Параметры!$B$5),IF(J2241*(1+Параметры!$B$5)&gt;=1000,-1,0)),ROUND(G2241*Параметры!$B$6,IF(G2241*Параметры!$B$6&gt;=1000,-1,0)))))</f>
        <v>966</v>
      </c>
      <c r="L2241" s="16">
        <v>0.5</v>
      </c>
      <c r="M2241" s="17">
        <f t="shared" si="164"/>
        <v>2</v>
      </c>
      <c r="N2241" s="17">
        <f>IF(OR(L2241="",L2241=0),"",Параметры!$B$3/L2241)</f>
        <v>16</v>
      </c>
      <c r="O2241" s="15">
        <f>IF(L2241="","",IFERROR(INDEX('Почасовка — ставки и план'!$D$5:$D$24,MATCH($D2241,'Почасовка — ставки и план'!$A$5:$A$24,0)),""))</f>
        <v>850</v>
      </c>
      <c r="P2241" s="15">
        <f>IF(L2241="","",IFERROR(INDEX('Почасовка — ставки и план'!$E$5:$E$24,MATCH($D2241,'Почасовка — ставки и план'!$A$5:$A$24,0)),""))</f>
        <v>1020</v>
      </c>
      <c r="Q2241" s="15">
        <f t="shared" si="165"/>
        <v>425</v>
      </c>
      <c r="R2241" s="13" t="str">
        <f>IF(D2241="TEX","аренда техники — сделка/счёт",IF(OR(Q2241="",H2241="",H2241=0),"—",IF(Q2241&lt;H2241*(1-Параметры!$B$7),"почасовка",IF(Q2241&gt;H2241*(1+Параметры!$B$7),"сделка","любой способ"))))</f>
        <v>почасовка</v>
      </c>
      <c r="S2241">
        <v>0</v>
      </c>
      <c r="T2241">
        <v>0</v>
      </c>
    </row>
    <row r="2242" spans="1:20" x14ac:dyDescent="0.25">
      <c r="A2242" s="18" t="s">
        <v>4510</v>
      </c>
      <c r="B2242" s="13" t="s">
        <v>4511</v>
      </c>
      <c r="C2242" s="13" t="s">
        <v>4512</v>
      </c>
      <c r="D2242" s="13" t="s">
        <v>747</v>
      </c>
      <c r="E2242" s="13" t="str">
        <f>IFERROR(INDEX('Почасовка — ставки и план'!$B$5:$B$24,MATCH(D2242,'Почасовка — ставки и план'!$A$5:$A$24,0)),"Аренда техники / механизмы")</f>
        <v>Механик ПС / подъёмников / прессов / доков</v>
      </c>
      <c r="F2242" s="14">
        <v>9000</v>
      </c>
      <c r="G2242" s="14">
        <v>11000</v>
      </c>
      <c r="H2242" s="15">
        <v>5400</v>
      </c>
      <c r="I2242" s="15">
        <f>IF(OR(H2242="",F2242=""),"",MAX(H2242,MIN(ROUND(H2242*(1+Параметры!$B$5),IF(H2242*(1+Параметры!$B$5)&gt;=1000,-1,0)),ROUND(F2242*Параметры!$B$6,IF(F2242*Параметры!$B$6&gt;=1000,-1,0)))))</f>
        <v>6210</v>
      </c>
      <c r="J2242" s="15">
        <v>6600</v>
      </c>
      <c r="K2242" s="15">
        <f>IF(OR(J2242="",G2242=""),"",MAX(J2242,MIN(ROUND(J2242*(1+Параметры!$B$5),IF(J2242*(1+Параметры!$B$5)&gt;=1000,-1,0)),ROUND(G2242*Параметры!$B$6,IF(G2242*Параметры!$B$6&gt;=1000,-1,0)))))</f>
        <v>7590</v>
      </c>
      <c r="L2242" s="16">
        <v>3</v>
      </c>
      <c r="M2242" s="17">
        <f t="shared" si="164"/>
        <v>0.33333333333333331</v>
      </c>
      <c r="N2242" s="17">
        <f>IF(OR(L2242="",L2242=0),"",Параметры!$B$3/L2242)</f>
        <v>2.6666666666666665</v>
      </c>
      <c r="O2242" s="15">
        <f>IF(L2242="","",IFERROR(INDEX('Почасовка — ставки и план'!$D$5:$D$24,MATCH($D2242,'Почасовка — ставки и план'!$A$5:$A$24,0)),""))</f>
        <v>1500</v>
      </c>
      <c r="P2242" s="15">
        <f>IF(L2242="","",IFERROR(INDEX('Почасовка — ставки и план'!$E$5:$E$24,MATCH($D2242,'Почасовка — ставки и план'!$A$5:$A$24,0)),""))</f>
        <v>1800</v>
      </c>
      <c r="Q2242" s="15">
        <f t="shared" si="165"/>
        <v>4500</v>
      </c>
      <c r="R2242" s="13" t="str">
        <f>IF(D2242="TEX","аренда техники — сделка/счёт",IF(OR(Q2242="",H2242="",H2242=0),"—",IF(Q2242&lt;H2242*(1-Параметры!$B$7),"почасовка",IF(Q2242&gt;H2242*(1+Параметры!$B$7),"сделка","любой способ"))))</f>
        <v>почасовка</v>
      </c>
      <c r="S2242">
        <v>0</v>
      </c>
      <c r="T2242">
        <v>0</v>
      </c>
    </row>
    <row r="2243" spans="1:20" x14ac:dyDescent="0.25">
      <c r="A2243" s="18" t="s">
        <v>4513</v>
      </c>
      <c r="B2243" s="13" t="s">
        <v>4514</v>
      </c>
      <c r="C2243" s="13" t="s">
        <v>144</v>
      </c>
      <c r="D2243" s="13" t="s">
        <v>747</v>
      </c>
      <c r="E2243" s="13" t="str">
        <f>IFERROR(INDEX('Почасовка — ставки и план'!$B$5:$B$24,MATCH(D2243,'Почасовка — ставки и план'!$A$5:$A$24,0)),"Аренда техники / механизмы")</f>
        <v>Механик ПС / подъёмников / прессов / доков</v>
      </c>
      <c r="F2243" s="14">
        <v>25000</v>
      </c>
      <c r="G2243" s="14">
        <v>30000</v>
      </c>
      <c r="H2243" s="15">
        <v>14400</v>
      </c>
      <c r="I2243" s="15">
        <f>IF(OR(H2243="",F2243=""),"",MAX(H2243,MIN(ROUND(H2243*(1+Параметры!$B$5),IF(H2243*(1+Параметры!$B$5)&gt;=1000,-1,0)),ROUND(F2243*Параметры!$B$6,IF(F2243*Параметры!$B$6&gt;=1000,-1,0)))))</f>
        <v>16560</v>
      </c>
      <c r="J2243" s="15">
        <v>17400</v>
      </c>
      <c r="K2243" s="15">
        <f>IF(OR(J2243="",G2243=""),"",MAX(J2243,MIN(ROUND(J2243*(1+Параметры!$B$5),IF(J2243*(1+Параметры!$B$5)&gt;=1000,-1,0)),ROUND(G2243*Параметры!$B$6,IF(G2243*Параметры!$B$6&gt;=1000,-1,0)))))</f>
        <v>20010</v>
      </c>
      <c r="L2243" s="16">
        <v>8</v>
      </c>
      <c r="M2243" s="17">
        <f t="shared" si="164"/>
        <v>0.125</v>
      </c>
      <c r="N2243" s="17">
        <f>IF(OR(L2243="",L2243=0),"",Параметры!$B$3/L2243)</f>
        <v>1</v>
      </c>
      <c r="O2243" s="15">
        <f>IF(L2243="","",IFERROR(INDEX('Почасовка — ставки и план'!$D$5:$D$24,MATCH($D2243,'Почасовка — ставки и план'!$A$5:$A$24,0)),""))</f>
        <v>1500</v>
      </c>
      <c r="P2243" s="15">
        <f>IF(L2243="","",IFERROR(INDEX('Почасовка — ставки и план'!$E$5:$E$24,MATCH($D2243,'Почасовка — ставки и план'!$A$5:$A$24,0)),""))</f>
        <v>1800</v>
      </c>
      <c r="Q2243" s="15">
        <f t="shared" si="165"/>
        <v>12000</v>
      </c>
      <c r="R2243" s="13" t="str">
        <f>IF(D2243="TEX","аренда техники — сделка/счёт",IF(OR(Q2243="",H2243="",H2243=0),"—",IF(Q2243&lt;H2243*(1-Параметры!$B$7),"почасовка",IF(Q2243&gt;H2243*(1+Параметры!$B$7),"сделка","любой способ"))))</f>
        <v>почасовка</v>
      </c>
      <c r="S2243">
        <v>0</v>
      </c>
      <c r="T2243">
        <v>0</v>
      </c>
    </row>
    <row r="2244" spans="1:20" x14ac:dyDescent="0.25">
      <c r="A2244" s="18" t="s">
        <v>4515</v>
      </c>
      <c r="B2244" s="13" t="s">
        <v>4516</v>
      </c>
      <c r="C2244" s="13" t="s">
        <v>144</v>
      </c>
      <c r="D2244" s="13" t="s">
        <v>747</v>
      </c>
      <c r="E2244" s="13" t="str">
        <f>IFERROR(INDEX('Почасовка — ставки и план'!$B$5:$B$24,MATCH(D2244,'Почасовка — ставки и план'!$A$5:$A$24,0)),"Аренда техники / механизмы")</f>
        <v>Механик ПС / подъёмников / прессов / доков</v>
      </c>
      <c r="F2244" s="14">
        <v>5500</v>
      </c>
      <c r="G2244" s="14">
        <v>6500</v>
      </c>
      <c r="H2244" s="15">
        <v>3250</v>
      </c>
      <c r="I2244" s="15">
        <f>IF(OR(H2244="",F2244=""),"",MAX(H2244,MIN(ROUND(H2244*(1+Параметры!$B$5),IF(H2244*(1+Параметры!$B$5)&gt;=1000,-1,0)),ROUND(F2244*Параметры!$B$6,IF(F2244*Параметры!$B$6&gt;=1000,-1,0)))))</f>
        <v>3740</v>
      </c>
      <c r="J2244" s="15">
        <v>3700</v>
      </c>
      <c r="K2244" s="15">
        <f>IF(OR(J2244="",G2244=""),"",MAX(J2244,MIN(ROUND(J2244*(1+Параметры!$B$5),IF(J2244*(1+Параметры!$B$5)&gt;=1000,-1,0)),ROUND(G2244*Параметры!$B$6,IF(G2244*Параметры!$B$6&gt;=1000,-1,0)))))</f>
        <v>4260</v>
      </c>
      <c r="L2244" s="16">
        <v>2</v>
      </c>
      <c r="M2244" s="17">
        <f t="shared" si="164"/>
        <v>0.5</v>
      </c>
      <c r="N2244" s="17">
        <f>IF(OR(L2244="",L2244=0),"",Параметры!$B$3/L2244)</f>
        <v>4</v>
      </c>
      <c r="O2244" s="15">
        <f>IF(L2244="","",IFERROR(INDEX('Почасовка — ставки и план'!$D$5:$D$24,MATCH($D2244,'Почасовка — ставки и план'!$A$5:$A$24,0)),""))</f>
        <v>1500</v>
      </c>
      <c r="P2244" s="15">
        <f>IF(L2244="","",IFERROR(INDEX('Почасовка — ставки и план'!$E$5:$E$24,MATCH($D2244,'Почасовка — ставки и план'!$A$5:$A$24,0)),""))</f>
        <v>1800</v>
      </c>
      <c r="Q2244" s="15">
        <f t="shared" si="165"/>
        <v>3000</v>
      </c>
      <c r="R2244" s="13" t="str">
        <f>IF(D2244="TEX","аренда техники — сделка/счёт",IF(OR(Q2244="",H2244="",H2244=0),"—",IF(Q2244&lt;H2244*(1-Параметры!$B$7),"почасовка",IF(Q2244&gt;H2244*(1+Параметры!$B$7),"сделка","любой способ"))))</f>
        <v>любой способ</v>
      </c>
      <c r="S2244">
        <v>0</v>
      </c>
      <c r="T2244">
        <v>0</v>
      </c>
    </row>
    <row r="2245" spans="1:20" x14ac:dyDescent="0.25">
      <c r="A2245" s="18" t="s">
        <v>4517</v>
      </c>
      <c r="B2245" s="13" t="s">
        <v>4518</v>
      </c>
      <c r="C2245" s="13" t="s">
        <v>756</v>
      </c>
      <c r="D2245" s="13" t="s">
        <v>747</v>
      </c>
      <c r="E2245" s="13" t="str">
        <f>IFERROR(INDEX('Почасовка — ставки и план'!$B$5:$B$24,MATCH(D2245,'Почасовка — ставки и план'!$A$5:$A$24,0)),"Аренда техники / механизмы")</f>
        <v>Механик ПС / подъёмников / прессов / доков</v>
      </c>
      <c r="F2245" s="14">
        <v>18000</v>
      </c>
      <c r="G2245" s="14">
        <v>21000</v>
      </c>
      <c r="H2245" s="15">
        <v>10200</v>
      </c>
      <c r="I2245" s="15">
        <f>IF(OR(H2245="",F2245=""),"",MAX(H2245,MIN(ROUND(H2245*(1+Параметры!$B$5),IF(H2245*(1+Параметры!$B$5)&gt;=1000,-1,0)),ROUND(F2245*Параметры!$B$6,IF(F2245*Параметры!$B$6&gt;=1000,-1,0)))))</f>
        <v>11730</v>
      </c>
      <c r="J2245" s="15">
        <v>12000</v>
      </c>
      <c r="K2245" s="15">
        <f>IF(OR(J2245="",G2245=""),"",MAX(J2245,MIN(ROUND(J2245*(1+Параметры!$B$5),IF(J2245*(1+Параметры!$B$5)&gt;=1000,-1,0)),ROUND(G2245*Параметры!$B$6,IF(G2245*Параметры!$B$6&gt;=1000,-1,0)))))</f>
        <v>13800</v>
      </c>
      <c r="L2245" s="16">
        <v>6</v>
      </c>
      <c r="M2245" s="17">
        <f t="shared" si="164"/>
        <v>0.16666666666666666</v>
      </c>
      <c r="N2245" s="17">
        <f>IF(OR(L2245="",L2245=0),"",Параметры!$B$3/L2245)</f>
        <v>1.3333333333333333</v>
      </c>
      <c r="O2245" s="15">
        <f>IF(L2245="","",IFERROR(INDEX('Почасовка — ставки и план'!$D$5:$D$24,MATCH($D2245,'Почасовка — ставки и план'!$A$5:$A$24,0)),""))</f>
        <v>1500</v>
      </c>
      <c r="P2245" s="15">
        <f>IF(L2245="","",IFERROR(INDEX('Почасовка — ставки и план'!$E$5:$E$24,MATCH($D2245,'Почасовка — ставки и план'!$A$5:$A$24,0)),""))</f>
        <v>1800</v>
      </c>
      <c r="Q2245" s="15">
        <f t="shared" si="165"/>
        <v>9000</v>
      </c>
      <c r="R2245" s="13" t="str">
        <f>IF(D2245="TEX","аренда техники — сделка/счёт",IF(OR(Q2245="",H2245="",H2245=0),"—",IF(Q2245&lt;H2245*(1-Параметры!$B$7),"почасовка",IF(Q2245&gt;H2245*(1+Параметры!$B$7),"сделка","любой способ"))))</f>
        <v>почасовка</v>
      </c>
      <c r="S2245">
        <v>0</v>
      </c>
      <c r="T2245">
        <v>0</v>
      </c>
    </row>
    <row r="2246" spans="1:20" x14ac:dyDescent="0.25">
      <c r="A2246" s="18" t="s">
        <v>4519</v>
      </c>
      <c r="B2246" s="13" t="s">
        <v>4520</v>
      </c>
      <c r="C2246" s="13" t="s">
        <v>144</v>
      </c>
      <c r="D2246" s="13" t="s">
        <v>747</v>
      </c>
      <c r="E2246" s="13" t="str">
        <f>IFERROR(INDEX('Почасовка — ставки и план'!$B$5:$B$24,MATCH(D2246,'Почасовка — ставки и план'!$A$5:$A$24,0)),"Аренда техники / механизмы")</f>
        <v>Механик ПС / подъёмников / прессов / доков</v>
      </c>
      <c r="F2246" s="14">
        <v>3500</v>
      </c>
      <c r="G2246" s="14">
        <v>4000</v>
      </c>
      <c r="H2246" s="15">
        <v>1800</v>
      </c>
      <c r="I2246" s="15">
        <f>IF(OR(H2246="",F2246=""),"",MAX(H2246,MIN(ROUND(H2246*(1+Параметры!$B$5),IF(H2246*(1+Параметры!$B$5)&gt;=1000,-1,0)),ROUND(F2246*Параметры!$B$6,IF(F2246*Параметры!$B$6&gt;=1000,-1,0)))))</f>
        <v>2070</v>
      </c>
      <c r="J2246" s="15">
        <v>2050</v>
      </c>
      <c r="K2246" s="15">
        <f>IF(OR(J2246="",G2246=""),"",MAX(J2246,MIN(ROUND(J2246*(1+Параметры!$B$5),IF(J2246*(1+Параметры!$B$5)&gt;=1000,-1,0)),ROUND(G2246*Параметры!$B$6,IF(G2246*Параметры!$B$6&gt;=1000,-1,0)))))</f>
        <v>2360</v>
      </c>
      <c r="L2246" s="16">
        <v>1</v>
      </c>
      <c r="M2246" s="17">
        <f t="shared" si="164"/>
        <v>1</v>
      </c>
      <c r="N2246" s="17">
        <f>IF(OR(L2246="",L2246=0),"",Параметры!$B$3/L2246)</f>
        <v>8</v>
      </c>
      <c r="O2246" s="15">
        <f>IF(L2246="","",IFERROR(INDEX('Почасовка — ставки и план'!$D$5:$D$24,MATCH($D2246,'Почасовка — ставки и план'!$A$5:$A$24,0)),""))</f>
        <v>1500</v>
      </c>
      <c r="P2246" s="15">
        <f>IF(L2246="","",IFERROR(INDEX('Почасовка — ставки и план'!$E$5:$E$24,MATCH($D2246,'Почасовка — ставки и план'!$A$5:$A$24,0)),""))</f>
        <v>1800</v>
      </c>
      <c r="Q2246" s="15">
        <f t="shared" si="165"/>
        <v>1500</v>
      </c>
      <c r="R2246" s="13" t="str">
        <f>IF(D2246="TEX","аренда техники — сделка/счёт",IF(OR(Q2246="",H2246="",H2246=0),"—",IF(Q2246&lt;H2246*(1-Параметры!$B$7),"почасовка",IF(Q2246&gt;H2246*(1+Параметры!$B$7),"сделка","любой способ"))))</f>
        <v>почасовка</v>
      </c>
      <c r="S2246">
        <v>0</v>
      </c>
      <c r="T2246">
        <v>0</v>
      </c>
    </row>
    <row r="2247" spans="1:20" x14ac:dyDescent="0.25">
      <c r="A2247" s="18" t="s">
        <v>4521</v>
      </c>
      <c r="B2247" s="13" t="s">
        <v>4522</v>
      </c>
      <c r="C2247" s="13" t="s">
        <v>756</v>
      </c>
      <c r="D2247" s="13" t="s">
        <v>747</v>
      </c>
      <c r="E2247" s="13" t="str">
        <f>IFERROR(INDEX('Почасовка — ставки и план'!$B$5:$B$24,MATCH(D2247,'Почасовка — ставки и план'!$A$5:$A$24,0)),"Аренда техники / механизмы")</f>
        <v>Механик ПС / подъёмников / прессов / доков</v>
      </c>
      <c r="F2247" s="14">
        <v>16000</v>
      </c>
      <c r="G2247" s="14">
        <v>20000</v>
      </c>
      <c r="H2247" s="15">
        <v>9600</v>
      </c>
      <c r="I2247" s="15">
        <f>IF(OR(H2247="",F2247=""),"",MAX(H2247,MIN(ROUND(H2247*(1+Параметры!$B$5),IF(H2247*(1+Параметры!$B$5)&gt;=1000,-1,0)),ROUND(F2247*Параметры!$B$6,IF(F2247*Параметры!$B$6&gt;=1000,-1,0)))))</f>
        <v>11040</v>
      </c>
      <c r="J2247" s="15">
        <v>11400</v>
      </c>
      <c r="K2247" s="15">
        <f>IF(OR(J2247="",G2247=""),"",MAX(J2247,MIN(ROUND(J2247*(1+Параметры!$B$5),IF(J2247*(1+Параметры!$B$5)&gt;=1000,-1,0)),ROUND(G2247*Параметры!$B$6,IF(G2247*Параметры!$B$6&gt;=1000,-1,0)))))</f>
        <v>13110</v>
      </c>
      <c r="L2247" s="16">
        <v>6</v>
      </c>
      <c r="M2247" s="17">
        <f t="shared" si="164"/>
        <v>0.16666666666666666</v>
      </c>
      <c r="N2247" s="17">
        <f>IF(OR(L2247="",L2247=0),"",Параметры!$B$3/L2247)</f>
        <v>1.3333333333333333</v>
      </c>
      <c r="O2247" s="15">
        <f>IF(L2247="","",IFERROR(INDEX('Почасовка — ставки и план'!$D$5:$D$24,MATCH($D2247,'Почасовка — ставки и план'!$A$5:$A$24,0)),""))</f>
        <v>1500</v>
      </c>
      <c r="P2247" s="15">
        <f>IF(L2247="","",IFERROR(INDEX('Почасовка — ставки и план'!$E$5:$E$24,MATCH($D2247,'Почасовка — ставки и план'!$A$5:$A$24,0)),""))</f>
        <v>1800</v>
      </c>
      <c r="Q2247" s="15">
        <f t="shared" si="165"/>
        <v>9000</v>
      </c>
      <c r="R2247" s="13" t="str">
        <f>IF(D2247="TEX","аренда техники — сделка/счёт",IF(OR(Q2247="",H2247="",H2247=0),"—",IF(Q2247&lt;H2247*(1-Параметры!$B$7),"почасовка",IF(Q2247&gt;H2247*(1+Параметры!$B$7),"сделка","любой способ"))))</f>
        <v>любой способ</v>
      </c>
      <c r="S2247">
        <v>0</v>
      </c>
      <c r="T2247">
        <v>0</v>
      </c>
    </row>
    <row r="2248" spans="1:20" x14ac:dyDescent="0.25">
      <c r="A2248" s="18" t="s">
        <v>4523</v>
      </c>
      <c r="B2248" s="13" t="s">
        <v>4524</v>
      </c>
      <c r="C2248" s="13" t="s">
        <v>1069</v>
      </c>
      <c r="D2248" s="13" t="s">
        <v>747</v>
      </c>
      <c r="E2248" s="13" t="str">
        <f>IFERROR(INDEX('Почасовка — ставки и план'!$B$5:$B$24,MATCH(D2248,'Почасовка — ставки и план'!$A$5:$A$24,0)),"Аренда техники / механизмы")</f>
        <v>Механик ПС / подъёмников / прессов / доков</v>
      </c>
      <c r="F2248" s="14">
        <v>3000</v>
      </c>
      <c r="G2248" s="14">
        <v>3500</v>
      </c>
      <c r="H2248" s="15">
        <v>1700</v>
      </c>
      <c r="I2248" s="15">
        <f>IF(OR(H2248="",F2248=""),"",MAX(H2248,MIN(ROUND(H2248*(1+Параметры!$B$5),IF(H2248*(1+Параметры!$B$5)&gt;=1000,-1,0)),ROUND(F2248*Параметры!$B$6,IF(F2248*Параметры!$B$6&gt;=1000,-1,0)))))</f>
        <v>1960</v>
      </c>
      <c r="J2248" s="15">
        <v>1900</v>
      </c>
      <c r="K2248" s="15">
        <f>IF(OR(J2248="",G2248=""),"",MAX(J2248,MIN(ROUND(J2248*(1+Параметры!$B$5),IF(J2248*(1+Параметры!$B$5)&gt;=1000,-1,0)),ROUND(G2248*Параметры!$B$6,IF(G2248*Параметры!$B$6&gt;=1000,-1,0)))))</f>
        <v>2190</v>
      </c>
      <c r="L2248" s="16">
        <v>1</v>
      </c>
      <c r="M2248" s="17">
        <f t="shared" si="164"/>
        <v>1</v>
      </c>
      <c r="N2248" s="17">
        <f>IF(OR(L2248="",L2248=0),"",Параметры!$B$3/L2248)</f>
        <v>8</v>
      </c>
      <c r="O2248" s="15">
        <f>IF(L2248="","",IFERROR(INDEX('Почасовка — ставки и план'!$D$5:$D$24,MATCH($D2248,'Почасовка — ставки и план'!$A$5:$A$24,0)),""))</f>
        <v>1500</v>
      </c>
      <c r="P2248" s="15">
        <f>IF(L2248="","",IFERROR(INDEX('Почасовка — ставки и план'!$E$5:$E$24,MATCH($D2248,'Почасовка — ставки и план'!$A$5:$A$24,0)),""))</f>
        <v>1800</v>
      </c>
      <c r="Q2248" s="15">
        <f t="shared" si="165"/>
        <v>1500</v>
      </c>
      <c r="R2248" s="13" t="str">
        <f>IF(D2248="TEX","аренда техники — сделка/счёт",IF(OR(Q2248="",H2248="",H2248=0),"—",IF(Q2248&lt;H2248*(1-Параметры!$B$7),"почасовка",IF(Q2248&gt;H2248*(1+Параметры!$B$7),"сделка","любой способ"))))</f>
        <v>почасовка</v>
      </c>
      <c r="S2248">
        <v>0</v>
      </c>
      <c r="T2248">
        <v>0</v>
      </c>
    </row>
    <row r="2249" spans="1:20" x14ac:dyDescent="0.25">
      <c r="A2249" s="18" t="s">
        <v>4525</v>
      </c>
      <c r="B2249" s="13" t="s">
        <v>4526</v>
      </c>
      <c r="C2249" s="13" t="s">
        <v>144</v>
      </c>
      <c r="D2249" s="13" t="s">
        <v>747</v>
      </c>
      <c r="E2249" s="13" t="str">
        <f>IFERROR(INDEX('Почасовка — ставки и план'!$B$5:$B$24,MATCH(D2249,'Почасовка — ставки и план'!$A$5:$A$24,0)),"Аренда техники / механизмы")</f>
        <v>Механик ПС / подъёмников / прессов / доков</v>
      </c>
      <c r="F2249" s="14">
        <v>11000</v>
      </c>
      <c r="G2249" s="14">
        <v>12500</v>
      </c>
      <c r="H2249" s="15">
        <v>6600</v>
      </c>
      <c r="I2249" s="15">
        <f>IF(OR(H2249="",F2249=""),"",MAX(H2249,MIN(ROUND(H2249*(1+Параметры!$B$5),IF(H2249*(1+Параметры!$B$5)&gt;=1000,-1,0)),ROUND(F2249*Параметры!$B$6,IF(F2249*Параметры!$B$6&gt;=1000,-1,0)))))</f>
        <v>7590</v>
      </c>
      <c r="J2249" s="15">
        <v>7550</v>
      </c>
      <c r="K2249" s="15">
        <f>IF(OR(J2249="",G2249=""),"",MAX(J2249,MIN(ROUND(J2249*(1+Параметры!$B$5),IF(J2249*(1+Параметры!$B$5)&gt;=1000,-1,0)),ROUND(G2249*Параметры!$B$6,IF(G2249*Параметры!$B$6&gt;=1000,-1,0)))))</f>
        <v>8680</v>
      </c>
      <c r="L2249" s="16">
        <v>4</v>
      </c>
      <c r="M2249" s="17">
        <f t="shared" si="164"/>
        <v>0.25</v>
      </c>
      <c r="N2249" s="17">
        <f>IF(OR(L2249="",L2249=0),"",Параметры!$B$3/L2249)</f>
        <v>2</v>
      </c>
      <c r="O2249" s="15">
        <f>IF(L2249="","",IFERROR(INDEX('Почасовка — ставки и план'!$D$5:$D$24,MATCH($D2249,'Почасовка — ставки и план'!$A$5:$A$24,0)),""))</f>
        <v>1500</v>
      </c>
      <c r="P2249" s="15">
        <f>IF(L2249="","",IFERROR(INDEX('Почасовка — ставки и план'!$E$5:$E$24,MATCH($D2249,'Почасовка — ставки и план'!$A$5:$A$24,0)),""))</f>
        <v>1800</v>
      </c>
      <c r="Q2249" s="15">
        <f t="shared" si="165"/>
        <v>6000</v>
      </c>
      <c r="R2249" s="13" t="str">
        <f>IF(D2249="TEX","аренда техники — сделка/счёт",IF(OR(Q2249="",H2249="",H2249=0),"—",IF(Q2249&lt;H2249*(1-Параметры!$B$7),"почасовка",IF(Q2249&gt;H2249*(1+Параметры!$B$7),"сделка","любой способ"))))</f>
        <v>любой способ</v>
      </c>
      <c r="S2249">
        <v>0</v>
      </c>
      <c r="T2249">
        <v>0</v>
      </c>
    </row>
    <row r="2250" spans="1:20" x14ac:dyDescent="0.25">
      <c r="A2250" s="18" t="s">
        <v>4527</v>
      </c>
      <c r="B2250" s="13" t="s">
        <v>4528</v>
      </c>
      <c r="C2250" s="13" t="s">
        <v>144</v>
      </c>
      <c r="D2250" s="13" t="s">
        <v>2663</v>
      </c>
      <c r="E2250" s="13" t="str">
        <f>IFERROR(INDEX('Почасовка — ставки и план'!$B$5:$B$24,MATCH(D2250,'Почасовка — ставки и план'!$A$5:$A$24,0)),"Аренда техники / механизмы")</f>
        <v>Инженер электролаборатории / ПНР</v>
      </c>
      <c r="F2250" s="14">
        <v>4500</v>
      </c>
      <c r="G2250" s="14">
        <v>5500</v>
      </c>
      <c r="H2250" s="15">
        <v>2400</v>
      </c>
      <c r="I2250" s="15">
        <f>IF(OR(H2250="",F2250=""),"",MAX(H2250,MIN(ROUND(H2250*(1+Параметры!$B$5),IF(H2250*(1+Параметры!$B$5)&gt;=1000,-1,0)),ROUND(F2250*Параметры!$B$6,IF(F2250*Параметры!$B$6&gt;=1000,-1,0)))))</f>
        <v>2760</v>
      </c>
      <c r="J2250" s="15">
        <v>2900</v>
      </c>
      <c r="K2250" s="15">
        <f>IF(OR(J2250="",G2250=""),"",MAX(J2250,MIN(ROUND(J2250*(1+Параметры!$B$5),IF(J2250*(1+Параметры!$B$5)&gt;=1000,-1,0)),ROUND(G2250*Параметры!$B$6,IF(G2250*Параметры!$B$6&gt;=1000,-1,0)))))</f>
        <v>3340</v>
      </c>
      <c r="L2250" s="16">
        <v>1.5</v>
      </c>
      <c r="M2250" s="17">
        <f t="shared" si="164"/>
        <v>0.66666666666666663</v>
      </c>
      <c r="N2250" s="17">
        <f>IF(OR(L2250="",L2250=0),"",Параметры!$B$3/L2250)</f>
        <v>5.333333333333333</v>
      </c>
      <c r="O2250" s="15">
        <f>IF(L2250="","",IFERROR(INDEX('Почасовка — ставки и план'!$D$5:$D$24,MATCH($D2250,'Почасовка — ставки и план'!$A$5:$A$24,0)),""))</f>
        <v>1400</v>
      </c>
      <c r="P2250" s="15">
        <f>IF(L2250="","",IFERROR(INDEX('Почасовка — ставки и план'!$E$5:$E$24,MATCH($D2250,'Почасовка — ставки и план'!$A$5:$A$24,0)),""))</f>
        <v>1680</v>
      </c>
      <c r="Q2250" s="15">
        <f t="shared" si="165"/>
        <v>2100</v>
      </c>
      <c r="R2250" s="13" t="str">
        <f>IF(D2250="TEX","аренда техники — сделка/счёт",IF(OR(Q2250="",H2250="",H2250=0),"—",IF(Q2250&lt;H2250*(1-Параметры!$B$7),"почасовка",IF(Q2250&gt;H2250*(1+Параметры!$B$7),"сделка","любой способ"))))</f>
        <v>почасовка</v>
      </c>
      <c r="S2250">
        <v>0</v>
      </c>
      <c r="T2250">
        <v>0</v>
      </c>
    </row>
    <row r="2251" spans="1:20" x14ac:dyDescent="0.25">
      <c r="A2251" s="18" t="s">
        <v>4529</v>
      </c>
      <c r="B2251" s="13" t="s">
        <v>4530</v>
      </c>
      <c r="C2251" s="13" t="s">
        <v>144</v>
      </c>
      <c r="D2251" s="13" t="s">
        <v>747</v>
      </c>
      <c r="E2251" s="13" t="str">
        <f>IFERROR(INDEX('Почасовка — ставки и план'!$B$5:$B$24,MATCH(D2251,'Почасовка — ставки и план'!$A$5:$A$24,0)),"Аренда техники / механизмы")</f>
        <v>Механик ПС / подъёмников / прессов / доков</v>
      </c>
      <c r="F2251" s="14">
        <v>6000</v>
      </c>
      <c r="G2251" s="14">
        <v>7000</v>
      </c>
      <c r="H2251" s="15">
        <v>3600</v>
      </c>
      <c r="I2251" s="15">
        <f>IF(OR(H2251="",F2251=""),"",MAX(H2251,MIN(ROUND(H2251*(1+Параметры!$B$5),IF(H2251*(1+Параметры!$B$5)&gt;=1000,-1,0)),ROUND(F2251*Параметры!$B$6,IF(F2251*Параметры!$B$6&gt;=1000,-1,0)))))</f>
        <v>4140</v>
      </c>
      <c r="J2251" s="15">
        <v>4200</v>
      </c>
      <c r="K2251" s="15">
        <f>IF(OR(J2251="",G2251=""),"",MAX(J2251,MIN(ROUND(J2251*(1+Параметры!$B$5),IF(J2251*(1+Параметры!$B$5)&gt;=1000,-1,0)),ROUND(G2251*Параметры!$B$6,IF(G2251*Параметры!$B$6&gt;=1000,-1,0)))))</f>
        <v>4830</v>
      </c>
      <c r="L2251" s="16">
        <v>2</v>
      </c>
      <c r="M2251" s="17">
        <f t="shared" si="164"/>
        <v>0.5</v>
      </c>
      <c r="N2251" s="17">
        <f>IF(OR(L2251="",L2251=0),"",Параметры!$B$3/L2251)</f>
        <v>4</v>
      </c>
      <c r="O2251" s="15">
        <f>IF(L2251="","",IFERROR(INDEX('Почасовка — ставки и план'!$D$5:$D$24,MATCH($D2251,'Почасовка — ставки и план'!$A$5:$A$24,0)),""))</f>
        <v>1500</v>
      </c>
      <c r="P2251" s="15">
        <f>IF(L2251="","",IFERROR(INDEX('Почасовка — ставки и план'!$E$5:$E$24,MATCH($D2251,'Почасовка — ставки и план'!$A$5:$A$24,0)),""))</f>
        <v>1800</v>
      </c>
      <c r="Q2251" s="15">
        <f t="shared" si="165"/>
        <v>3000</v>
      </c>
      <c r="R2251" s="13" t="str">
        <f>IF(D2251="TEX","аренда техники — сделка/счёт",IF(OR(Q2251="",H2251="",H2251=0),"—",IF(Q2251&lt;H2251*(1-Параметры!$B$7),"почасовка",IF(Q2251&gt;H2251*(1+Параметры!$B$7),"сделка","любой способ"))))</f>
        <v>почасовка</v>
      </c>
      <c r="S2251">
        <v>0</v>
      </c>
      <c r="T2251">
        <v>0</v>
      </c>
    </row>
    <row r="2252" spans="1:20" x14ac:dyDescent="0.25">
      <c r="A2252" s="11" t="s">
        <v>4531</v>
      </c>
      <c r="B2252" s="12"/>
      <c r="C2252" s="12"/>
      <c r="D2252" s="12"/>
      <c r="E2252" s="12"/>
      <c r="F2252" s="12"/>
      <c r="G2252" s="12"/>
      <c r="H2252" s="12"/>
      <c r="I2252" s="12"/>
      <c r="J2252" s="12"/>
      <c r="K2252" s="12"/>
      <c r="L2252" s="12"/>
      <c r="M2252" s="12"/>
      <c r="N2252" s="12"/>
      <c r="O2252" s="12"/>
      <c r="P2252" s="12"/>
      <c r="Q2252" s="12"/>
      <c r="R2252" s="12"/>
    </row>
    <row r="2253" spans="1:20" x14ac:dyDescent="0.25">
      <c r="A2253" s="13" t="s">
        <v>4532</v>
      </c>
      <c r="B2253" s="13" t="s">
        <v>4533</v>
      </c>
      <c r="C2253" s="13" t="s">
        <v>3633</v>
      </c>
      <c r="D2253" s="13" t="s">
        <v>747</v>
      </c>
      <c r="E2253" s="13" t="str">
        <f>IFERROR(INDEX('Почасовка — ставки и план'!$B$5:$B$24,MATCH(D2253,'Почасовка — ставки и план'!$A$5:$A$24,0)),"Аренда техники / механизмы")</f>
        <v>Механик ПС / подъёмников / прессов / доков</v>
      </c>
      <c r="F2253" s="14">
        <v>5000</v>
      </c>
      <c r="G2253" s="14">
        <v>6000</v>
      </c>
      <c r="H2253" s="15">
        <v>3000</v>
      </c>
      <c r="I2253" s="15">
        <f>IF(OR(H2253="",F2253=""),"",MAX(H2253,MIN(ROUND(H2253*(1+Параметры!$B$5),IF(H2253*(1+Параметры!$B$5)&gt;=1000,-1,0)),ROUND(F2253*Параметры!$B$6,IF(F2253*Параметры!$B$6&gt;=1000,-1,0)))))</f>
        <v>3450</v>
      </c>
      <c r="J2253" s="15">
        <v>3600</v>
      </c>
      <c r="K2253" s="15">
        <f>IF(OR(J2253="",G2253=""),"",MAX(J2253,MIN(ROUND(J2253*(1+Параметры!$B$5),IF(J2253*(1+Параметры!$B$5)&gt;=1000,-1,0)),ROUND(G2253*Параметры!$B$6,IF(G2253*Параметры!$B$6&gt;=1000,-1,0)))))</f>
        <v>4140</v>
      </c>
      <c r="L2253" s="16">
        <v>1.5</v>
      </c>
      <c r="M2253" s="17">
        <f t="shared" ref="M2253:M2284" si="166">IF(OR(L2253="",L2253=0),"",1/L2253)</f>
        <v>0.66666666666666663</v>
      </c>
      <c r="N2253" s="17">
        <f>IF(OR(L2253="",L2253=0),"",Параметры!$B$3/L2253)</f>
        <v>5.333333333333333</v>
      </c>
      <c r="O2253" s="15">
        <f>IF(L2253="","",IFERROR(INDEX('Почасовка — ставки и план'!$D$5:$D$24,MATCH($D2253,'Почасовка — ставки и план'!$A$5:$A$24,0)),""))</f>
        <v>1500</v>
      </c>
      <c r="P2253" s="15">
        <f>IF(L2253="","",IFERROR(INDEX('Почасовка — ставки и план'!$E$5:$E$24,MATCH($D2253,'Почасовка — ставки и план'!$A$5:$A$24,0)),""))</f>
        <v>1800</v>
      </c>
      <c r="Q2253" s="15">
        <f t="shared" ref="Q2253:Q2284" si="167">IF(OR(L2253="",O2253=""),"",ROUND(L2253*O2253,0))</f>
        <v>2250</v>
      </c>
      <c r="R2253" s="13" t="str">
        <f>IF(D2253="TEX","аренда техники — сделка/счёт",IF(OR(Q2253="",H2253="",H2253=0),"—",IF(Q2253&lt;H2253*(1-Параметры!$B$7),"почасовка",IF(Q2253&gt;H2253*(1+Параметры!$B$7),"сделка","любой способ"))))</f>
        <v>почасовка</v>
      </c>
      <c r="S2253">
        <v>0</v>
      </c>
      <c r="T2253">
        <v>0</v>
      </c>
    </row>
    <row r="2254" spans="1:20" x14ac:dyDescent="0.25">
      <c r="A2254" s="13" t="s">
        <v>4534</v>
      </c>
      <c r="B2254" s="13" t="s">
        <v>4535</v>
      </c>
      <c r="C2254" s="13" t="s">
        <v>3633</v>
      </c>
      <c r="D2254" s="13" t="s">
        <v>747</v>
      </c>
      <c r="E2254" s="13" t="str">
        <f>IFERROR(INDEX('Почасовка — ставки и план'!$B$5:$B$24,MATCH(D2254,'Почасовка — ставки и план'!$A$5:$A$24,0)),"Аренда техники / механизмы")</f>
        <v>Механик ПС / подъёмников / прессов / доков</v>
      </c>
      <c r="F2254" s="14">
        <v>6500</v>
      </c>
      <c r="G2254" s="14">
        <v>7500</v>
      </c>
      <c r="H2254" s="15">
        <v>3850</v>
      </c>
      <c r="I2254" s="15">
        <f>IF(OR(H2254="",F2254=""),"",MAX(H2254,MIN(ROUND(H2254*(1+Параметры!$B$5),IF(H2254*(1+Параметры!$B$5)&gt;=1000,-1,0)),ROUND(F2254*Параметры!$B$6,IF(F2254*Параметры!$B$6&gt;=1000,-1,0)))))</f>
        <v>4430</v>
      </c>
      <c r="J2254" s="15">
        <v>4450</v>
      </c>
      <c r="K2254" s="15">
        <f>IF(OR(J2254="",G2254=""),"",MAX(J2254,MIN(ROUND(J2254*(1+Параметры!$B$5),IF(J2254*(1+Параметры!$B$5)&gt;=1000,-1,0)),ROUND(G2254*Параметры!$B$6,IF(G2254*Параметры!$B$6&gt;=1000,-1,0)))))</f>
        <v>5120</v>
      </c>
      <c r="L2254" s="16">
        <v>2.5</v>
      </c>
      <c r="M2254" s="17">
        <f t="shared" si="166"/>
        <v>0.4</v>
      </c>
      <c r="N2254" s="17">
        <f>IF(OR(L2254="",L2254=0),"",Параметры!$B$3/L2254)</f>
        <v>3.2</v>
      </c>
      <c r="O2254" s="15">
        <f>IF(L2254="","",IFERROR(INDEX('Почасовка — ставки и план'!$D$5:$D$24,MATCH($D2254,'Почасовка — ставки и план'!$A$5:$A$24,0)),""))</f>
        <v>1500</v>
      </c>
      <c r="P2254" s="15">
        <f>IF(L2254="","",IFERROR(INDEX('Почасовка — ставки и план'!$E$5:$E$24,MATCH($D2254,'Почасовка — ставки и план'!$A$5:$A$24,0)),""))</f>
        <v>1800</v>
      </c>
      <c r="Q2254" s="15">
        <f t="shared" si="167"/>
        <v>3750</v>
      </c>
      <c r="R2254" s="13" t="str">
        <f>IF(D2254="TEX","аренда техники — сделка/счёт",IF(OR(Q2254="",H2254="",H2254=0),"—",IF(Q2254&lt;H2254*(1-Параметры!$B$7),"почасовка",IF(Q2254&gt;H2254*(1+Параметры!$B$7),"сделка","любой способ"))))</f>
        <v>любой способ</v>
      </c>
      <c r="S2254">
        <v>0</v>
      </c>
      <c r="T2254">
        <v>0</v>
      </c>
    </row>
    <row r="2255" spans="1:20" x14ac:dyDescent="0.25">
      <c r="A2255" s="13" t="s">
        <v>4536</v>
      </c>
      <c r="B2255" s="13" t="s">
        <v>4537</v>
      </c>
      <c r="C2255" s="13" t="s">
        <v>3633</v>
      </c>
      <c r="D2255" s="13" t="s">
        <v>747</v>
      </c>
      <c r="E2255" s="13" t="str">
        <f>IFERROR(INDEX('Почасовка — ставки и план'!$B$5:$B$24,MATCH(D2255,'Почасовка — ставки и план'!$A$5:$A$24,0)),"Аренда техники / механизмы")</f>
        <v>Механик ПС / подъёмников / прессов / доков</v>
      </c>
      <c r="F2255" s="14">
        <v>3000</v>
      </c>
      <c r="G2255" s="14">
        <v>3500</v>
      </c>
      <c r="H2255" s="15">
        <v>1800</v>
      </c>
      <c r="I2255" s="15">
        <f>IF(OR(H2255="",F2255=""),"",MAX(H2255,MIN(ROUND(H2255*(1+Параметры!$B$5),IF(H2255*(1+Параметры!$B$5)&gt;=1000,-1,0)),ROUND(F2255*Параметры!$B$6,IF(F2255*Параметры!$B$6&gt;=1000,-1,0)))))</f>
        <v>2070</v>
      </c>
      <c r="J2255" s="15">
        <v>2050</v>
      </c>
      <c r="K2255" s="15">
        <f>IF(OR(J2255="",G2255=""),"",MAX(J2255,MIN(ROUND(J2255*(1+Параметры!$B$5),IF(J2255*(1+Параметры!$B$5)&gt;=1000,-1,0)),ROUND(G2255*Параметры!$B$6,IF(G2255*Параметры!$B$6&gt;=1000,-1,0)))))</f>
        <v>2360</v>
      </c>
      <c r="L2255" s="16">
        <v>1</v>
      </c>
      <c r="M2255" s="17">
        <f t="shared" si="166"/>
        <v>1</v>
      </c>
      <c r="N2255" s="17">
        <f>IF(OR(L2255="",L2255=0),"",Параметры!$B$3/L2255)</f>
        <v>8</v>
      </c>
      <c r="O2255" s="15">
        <f>IF(L2255="","",IFERROR(INDEX('Почасовка — ставки и план'!$D$5:$D$24,MATCH($D2255,'Почасовка — ставки и план'!$A$5:$A$24,0)),""))</f>
        <v>1500</v>
      </c>
      <c r="P2255" s="15">
        <f>IF(L2255="","",IFERROR(INDEX('Почасовка — ставки и план'!$E$5:$E$24,MATCH($D2255,'Почасовка — ставки и план'!$A$5:$A$24,0)),""))</f>
        <v>1800</v>
      </c>
      <c r="Q2255" s="15">
        <f t="shared" si="167"/>
        <v>1500</v>
      </c>
      <c r="R2255" s="13" t="str">
        <f>IF(D2255="TEX","аренда техники — сделка/счёт",IF(OR(Q2255="",H2255="",H2255=0),"—",IF(Q2255&lt;H2255*(1-Параметры!$B$7),"почасовка",IF(Q2255&gt;H2255*(1+Параметры!$B$7),"сделка","любой способ"))))</f>
        <v>почасовка</v>
      </c>
      <c r="S2255">
        <v>0</v>
      </c>
      <c r="T2255">
        <v>0</v>
      </c>
    </row>
    <row r="2256" spans="1:20" x14ac:dyDescent="0.25">
      <c r="A2256" s="13" t="s">
        <v>4538</v>
      </c>
      <c r="B2256" s="13" t="s">
        <v>4539</v>
      </c>
      <c r="C2256" s="13" t="s">
        <v>3633</v>
      </c>
      <c r="D2256" s="13" t="s">
        <v>747</v>
      </c>
      <c r="E2256" s="13" t="str">
        <f>IFERROR(INDEX('Почасовка — ставки и план'!$B$5:$B$24,MATCH(D2256,'Почасовка — ставки и план'!$A$5:$A$24,0)),"Аренда техники / механизмы")</f>
        <v>Механик ПС / подъёмников / прессов / доков</v>
      </c>
      <c r="F2256" s="14">
        <v>40</v>
      </c>
      <c r="G2256" s="14">
        <v>48</v>
      </c>
      <c r="H2256" s="15">
        <v>30</v>
      </c>
      <c r="I2256" s="15">
        <f>IF(OR(H2256="",F2256=""),"",MAX(H2256,MIN(ROUND(H2256*(1+Параметры!$B$5),IF(H2256*(1+Параметры!$B$5)&gt;=1000,-1,0)),ROUND(F2256*Параметры!$B$6,IF(F2256*Параметры!$B$6&gt;=1000,-1,0)))))</f>
        <v>30</v>
      </c>
      <c r="J2256" s="15">
        <v>30</v>
      </c>
      <c r="K2256" s="15">
        <f>IF(OR(J2256="",G2256=""),"",MAX(J2256,MIN(ROUND(J2256*(1+Параметры!$B$5),IF(J2256*(1+Параметры!$B$5)&gt;=1000,-1,0)),ROUND(G2256*Параметры!$B$6,IF(G2256*Параметры!$B$6&gt;=1000,-1,0)))))</f>
        <v>35</v>
      </c>
      <c r="L2256" s="16">
        <v>0.02</v>
      </c>
      <c r="M2256" s="17">
        <f t="shared" si="166"/>
        <v>50</v>
      </c>
      <c r="N2256" s="17">
        <f>IF(OR(L2256="",L2256=0),"",Параметры!$B$3/L2256)</f>
        <v>400</v>
      </c>
      <c r="O2256" s="15">
        <f>IF(L2256="","",IFERROR(INDEX('Почасовка — ставки и план'!$D$5:$D$24,MATCH($D2256,'Почасовка — ставки и план'!$A$5:$A$24,0)),""))</f>
        <v>1500</v>
      </c>
      <c r="P2256" s="15">
        <f>IF(L2256="","",IFERROR(INDEX('Почасовка — ставки и план'!$E$5:$E$24,MATCH($D2256,'Почасовка — ставки и план'!$A$5:$A$24,0)),""))</f>
        <v>1800</v>
      </c>
      <c r="Q2256" s="15">
        <f t="shared" si="167"/>
        <v>30</v>
      </c>
      <c r="R2256" s="13" t="str">
        <f>IF(D2256="TEX","аренда техники — сделка/счёт",IF(OR(Q2256="",H2256="",H2256=0),"—",IF(Q2256&lt;H2256*(1-Параметры!$B$7),"почасовка",IF(Q2256&gt;H2256*(1+Параметры!$B$7),"сделка","любой способ"))))</f>
        <v>любой способ</v>
      </c>
      <c r="S2256">
        <v>0</v>
      </c>
      <c r="T2256">
        <v>6.6666666666666652E-2</v>
      </c>
    </row>
    <row r="2257" spans="1:20" x14ac:dyDescent="0.25">
      <c r="A2257" s="13" t="s">
        <v>4540</v>
      </c>
      <c r="B2257" s="13" t="s">
        <v>4541</v>
      </c>
      <c r="C2257" s="13" t="s">
        <v>144</v>
      </c>
      <c r="D2257" s="13" t="s">
        <v>747</v>
      </c>
      <c r="E2257" s="13" t="str">
        <f>IFERROR(INDEX('Почасовка — ставки и план'!$B$5:$B$24,MATCH(D2257,'Почасовка — ставки и план'!$A$5:$A$24,0)),"Аренда техники / механизмы")</f>
        <v>Механик ПС / подъёмников / прессов / доков</v>
      </c>
      <c r="F2257" s="14">
        <v>4000</v>
      </c>
      <c r="G2257" s="14">
        <v>4600</v>
      </c>
      <c r="H2257" s="15">
        <v>2400</v>
      </c>
      <c r="I2257" s="15">
        <f>IF(OR(H2257="",F2257=""),"",MAX(H2257,MIN(ROUND(H2257*(1+Параметры!$B$5),IF(H2257*(1+Параметры!$B$5)&gt;=1000,-1,0)),ROUND(F2257*Параметры!$B$6,IF(F2257*Параметры!$B$6&gt;=1000,-1,0)))))</f>
        <v>2760</v>
      </c>
      <c r="J2257" s="15">
        <v>2750</v>
      </c>
      <c r="K2257" s="15">
        <f>IF(OR(J2257="",G2257=""),"",MAX(J2257,MIN(ROUND(J2257*(1+Параметры!$B$5),IF(J2257*(1+Параметры!$B$5)&gt;=1000,-1,0)),ROUND(G2257*Параметры!$B$6,IF(G2257*Параметры!$B$6&gt;=1000,-1,0)))))</f>
        <v>3160</v>
      </c>
      <c r="L2257" s="16">
        <v>1.5</v>
      </c>
      <c r="M2257" s="17">
        <f t="shared" si="166"/>
        <v>0.66666666666666663</v>
      </c>
      <c r="N2257" s="17">
        <f>IF(OR(L2257="",L2257=0),"",Параметры!$B$3/L2257)</f>
        <v>5.333333333333333</v>
      </c>
      <c r="O2257" s="15">
        <f>IF(L2257="","",IFERROR(INDEX('Почасовка — ставки и план'!$D$5:$D$24,MATCH($D2257,'Почасовка — ставки и план'!$A$5:$A$24,0)),""))</f>
        <v>1500</v>
      </c>
      <c r="P2257" s="15">
        <f>IF(L2257="","",IFERROR(INDEX('Почасовка — ставки и план'!$E$5:$E$24,MATCH($D2257,'Почасовка — ставки и план'!$A$5:$A$24,0)),""))</f>
        <v>1800</v>
      </c>
      <c r="Q2257" s="15">
        <f t="shared" si="167"/>
        <v>2250</v>
      </c>
      <c r="R2257" s="13" t="str">
        <f>IF(D2257="TEX","аренда техники — сделка/счёт",IF(OR(Q2257="",H2257="",H2257=0),"—",IF(Q2257&lt;H2257*(1-Параметры!$B$7),"почасовка",IF(Q2257&gt;H2257*(1+Параметры!$B$7),"сделка","любой способ"))))</f>
        <v>любой способ</v>
      </c>
      <c r="S2257">
        <v>0</v>
      </c>
      <c r="T2257">
        <v>0</v>
      </c>
    </row>
    <row r="2258" spans="1:20" x14ac:dyDescent="0.25">
      <c r="A2258" s="13" t="s">
        <v>4542</v>
      </c>
      <c r="B2258" s="13" t="s">
        <v>4325</v>
      </c>
      <c r="C2258" s="13" t="s">
        <v>144</v>
      </c>
      <c r="D2258" s="13" t="s">
        <v>747</v>
      </c>
      <c r="E2258" s="13" t="str">
        <f>IFERROR(INDEX('Почасовка — ставки и план'!$B$5:$B$24,MATCH(D2258,'Почасовка — ставки и план'!$A$5:$A$24,0)),"Аренда техники / механизмы")</f>
        <v>Механик ПС / подъёмников / прессов / доков</v>
      </c>
      <c r="F2258" s="14">
        <v>2200</v>
      </c>
      <c r="G2258" s="14">
        <v>2600</v>
      </c>
      <c r="H2258" s="15">
        <v>1250</v>
      </c>
      <c r="I2258" s="15">
        <f>IF(OR(H2258="",F2258=""),"",MAX(H2258,MIN(ROUND(H2258*(1+Параметры!$B$5),IF(H2258*(1+Параметры!$B$5)&gt;=1000,-1,0)),ROUND(F2258*Параметры!$B$6,IF(F2258*Параметры!$B$6&gt;=1000,-1,0)))))</f>
        <v>1440</v>
      </c>
      <c r="J2258" s="15">
        <v>1450</v>
      </c>
      <c r="K2258" s="15">
        <f>IF(OR(J2258="",G2258=""),"",MAX(J2258,MIN(ROUND(J2258*(1+Параметры!$B$5),IF(J2258*(1+Параметры!$B$5)&gt;=1000,-1,0)),ROUND(G2258*Параметры!$B$6,IF(G2258*Параметры!$B$6&gt;=1000,-1,0)))))</f>
        <v>1670</v>
      </c>
      <c r="L2258" s="16">
        <v>0.75</v>
      </c>
      <c r="M2258" s="17">
        <f t="shared" si="166"/>
        <v>1.3333333333333333</v>
      </c>
      <c r="N2258" s="17">
        <f>IF(OR(L2258="",L2258=0),"",Параметры!$B$3/L2258)</f>
        <v>10.666666666666666</v>
      </c>
      <c r="O2258" s="15">
        <f>IF(L2258="","",IFERROR(INDEX('Почасовка — ставки и план'!$D$5:$D$24,MATCH($D2258,'Почасовка — ставки и план'!$A$5:$A$24,0)),""))</f>
        <v>1500</v>
      </c>
      <c r="P2258" s="15">
        <f>IF(L2258="","",IFERROR(INDEX('Почасовка — ставки и план'!$E$5:$E$24,MATCH($D2258,'Почасовка — ставки и план'!$A$5:$A$24,0)),""))</f>
        <v>1800</v>
      </c>
      <c r="Q2258" s="15">
        <f t="shared" si="167"/>
        <v>1125</v>
      </c>
      <c r="R2258" s="13" t="str">
        <f>IF(D2258="TEX","аренда техники — сделка/счёт",IF(OR(Q2258="",H2258="",H2258=0),"—",IF(Q2258&lt;H2258*(1-Параметры!$B$7),"почасовка",IF(Q2258&gt;H2258*(1+Параметры!$B$7),"сделка","любой способ"))))</f>
        <v>любой способ</v>
      </c>
      <c r="S2258">
        <v>0</v>
      </c>
      <c r="T2258">
        <v>0</v>
      </c>
    </row>
    <row r="2259" spans="1:20" x14ac:dyDescent="0.25">
      <c r="A2259" s="13" t="s">
        <v>4543</v>
      </c>
      <c r="B2259" s="13" t="s">
        <v>4339</v>
      </c>
      <c r="C2259" s="13" t="s">
        <v>144</v>
      </c>
      <c r="D2259" s="13" t="s">
        <v>747</v>
      </c>
      <c r="E2259" s="13" t="str">
        <f>IFERROR(INDEX('Почасовка — ставки и план'!$B$5:$B$24,MATCH(D2259,'Почасовка — ставки и план'!$A$5:$A$24,0)),"Аренда техники / механизмы")</f>
        <v>Механик ПС / подъёмников / прессов / доков</v>
      </c>
      <c r="F2259" s="14">
        <v>1500</v>
      </c>
      <c r="G2259" s="14">
        <v>1750</v>
      </c>
      <c r="H2259" s="15">
        <v>840</v>
      </c>
      <c r="I2259" s="15">
        <f>IF(OR(H2259="",F2259=""),"",MAX(H2259,MIN(ROUND(H2259*(1+Параметры!$B$5),IF(H2259*(1+Параметры!$B$5)&gt;=1000,-1,0)),ROUND(F2259*Параметры!$B$6,IF(F2259*Параметры!$B$6&gt;=1000,-1,0)))))</f>
        <v>966</v>
      </c>
      <c r="J2259" s="15">
        <v>960</v>
      </c>
      <c r="K2259" s="15">
        <f>IF(OR(J2259="",G2259=""),"",MAX(J2259,MIN(ROUND(J2259*(1+Параметры!$B$5),IF(J2259*(1+Параметры!$B$5)&gt;=1000,-1,0)),ROUND(G2259*Параметры!$B$6,IF(G2259*Параметры!$B$6&gt;=1000,-1,0)))))</f>
        <v>1100</v>
      </c>
      <c r="L2259" s="16">
        <v>0.5</v>
      </c>
      <c r="M2259" s="17">
        <f t="shared" si="166"/>
        <v>2</v>
      </c>
      <c r="N2259" s="17">
        <f>IF(OR(L2259="",L2259=0),"",Параметры!$B$3/L2259)</f>
        <v>16</v>
      </c>
      <c r="O2259" s="15">
        <f>IF(L2259="","",IFERROR(INDEX('Почасовка — ставки и план'!$D$5:$D$24,MATCH($D2259,'Почасовка — ставки и план'!$A$5:$A$24,0)),""))</f>
        <v>1500</v>
      </c>
      <c r="P2259" s="15">
        <f>IF(L2259="","",IFERROR(INDEX('Почасовка — ставки и план'!$E$5:$E$24,MATCH($D2259,'Почасовка — ставки и план'!$A$5:$A$24,0)),""))</f>
        <v>1800</v>
      </c>
      <c r="Q2259" s="15">
        <f t="shared" si="167"/>
        <v>750</v>
      </c>
      <c r="R2259" s="13" t="str">
        <f>IF(D2259="TEX","аренда техники — сделка/счёт",IF(OR(Q2259="",H2259="",H2259=0),"—",IF(Q2259&lt;H2259*(1-Параметры!$B$7),"почасовка",IF(Q2259&gt;H2259*(1+Параметры!$B$7),"сделка","любой способ"))))</f>
        <v>почасовка</v>
      </c>
      <c r="S2259">
        <v>0</v>
      </c>
      <c r="T2259">
        <v>0</v>
      </c>
    </row>
    <row r="2260" spans="1:20" x14ac:dyDescent="0.25">
      <c r="A2260" s="13" t="s">
        <v>4544</v>
      </c>
      <c r="B2260" s="13" t="s">
        <v>4341</v>
      </c>
      <c r="C2260" s="13" t="s">
        <v>144</v>
      </c>
      <c r="D2260" s="13" t="s">
        <v>747</v>
      </c>
      <c r="E2260" s="13" t="str">
        <f>IFERROR(INDEX('Почасовка — ставки и план'!$B$5:$B$24,MATCH(D2260,'Почасовка — ставки и план'!$A$5:$A$24,0)),"Аренда техники / механизмы")</f>
        <v>Механик ПС / подъёмников / прессов / доков</v>
      </c>
      <c r="F2260" s="14">
        <v>1700</v>
      </c>
      <c r="G2260" s="14">
        <v>2000</v>
      </c>
      <c r="H2260" s="15">
        <v>1000</v>
      </c>
      <c r="I2260" s="15">
        <f>IF(OR(H2260="",F2260=""),"",MAX(H2260,MIN(ROUND(H2260*(1+Параметры!$B$5),IF(H2260*(1+Параметры!$B$5)&gt;=1000,-1,0)),ROUND(F2260*Параметры!$B$6,IF(F2260*Параметры!$B$6&gt;=1000,-1,0)))))</f>
        <v>1150</v>
      </c>
      <c r="J2260" s="15">
        <v>1150</v>
      </c>
      <c r="K2260" s="15">
        <f>IF(OR(J2260="",G2260=""),"",MAX(J2260,MIN(ROUND(J2260*(1+Параметры!$B$5),IF(J2260*(1+Параметры!$B$5)&gt;=1000,-1,0)),ROUND(G2260*Параметры!$B$6,IF(G2260*Параметры!$B$6&gt;=1000,-1,0)))))</f>
        <v>1320</v>
      </c>
      <c r="L2260" s="16">
        <v>0.6</v>
      </c>
      <c r="M2260" s="17">
        <f t="shared" si="166"/>
        <v>1.6666666666666667</v>
      </c>
      <c r="N2260" s="17">
        <f>IF(OR(L2260="",L2260=0),"",Параметры!$B$3/L2260)</f>
        <v>13.333333333333334</v>
      </c>
      <c r="O2260" s="15">
        <f>IF(L2260="","",IFERROR(INDEX('Почасовка — ставки и план'!$D$5:$D$24,MATCH($D2260,'Почасовка — ставки и план'!$A$5:$A$24,0)),""))</f>
        <v>1500</v>
      </c>
      <c r="P2260" s="15">
        <f>IF(L2260="","",IFERROR(INDEX('Почасовка — ставки и план'!$E$5:$E$24,MATCH($D2260,'Почасовка — ставки и план'!$A$5:$A$24,0)),""))</f>
        <v>1800</v>
      </c>
      <c r="Q2260" s="15">
        <f t="shared" si="167"/>
        <v>900</v>
      </c>
      <c r="R2260" s="13" t="str">
        <f>IF(D2260="TEX","аренда техники — сделка/счёт",IF(OR(Q2260="",H2260="",H2260=0),"—",IF(Q2260&lt;H2260*(1-Параметры!$B$7),"почасовка",IF(Q2260&gt;H2260*(1+Параметры!$B$7),"сделка","любой способ"))))</f>
        <v>любой способ</v>
      </c>
      <c r="S2260">
        <v>0</v>
      </c>
      <c r="T2260">
        <v>0</v>
      </c>
    </row>
    <row r="2261" spans="1:20" x14ac:dyDescent="0.25">
      <c r="A2261" s="13" t="s">
        <v>4545</v>
      </c>
      <c r="B2261" s="13" t="s">
        <v>4345</v>
      </c>
      <c r="C2261" s="13" t="s">
        <v>144</v>
      </c>
      <c r="D2261" s="13" t="s">
        <v>747</v>
      </c>
      <c r="E2261" s="13" t="str">
        <f>IFERROR(INDEX('Почасовка — ставки и план'!$B$5:$B$24,MATCH(D2261,'Почасовка — ставки и план'!$A$5:$A$24,0)),"Аренда техники / механизмы")</f>
        <v>Механик ПС / подъёмников / прессов / доков</v>
      </c>
      <c r="F2261" s="14">
        <v>3600</v>
      </c>
      <c r="G2261" s="14">
        <v>4200</v>
      </c>
      <c r="H2261" s="15">
        <v>2050</v>
      </c>
      <c r="I2261" s="15">
        <f>IF(OR(H2261="",F2261=""),"",MAX(H2261,MIN(ROUND(H2261*(1+Параметры!$B$5),IF(H2261*(1+Параметры!$B$5)&gt;=1000,-1,0)),ROUND(F2261*Параметры!$B$6,IF(F2261*Параметры!$B$6&gt;=1000,-1,0)))))</f>
        <v>2360</v>
      </c>
      <c r="J2261" s="15">
        <v>2400</v>
      </c>
      <c r="K2261" s="15">
        <f>IF(OR(J2261="",G2261=""),"",MAX(J2261,MIN(ROUND(J2261*(1+Параметры!$B$5),IF(J2261*(1+Параметры!$B$5)&gt;=1000,-1,0)),ROUND(G2261*Параметры!$B$6,IF(G2261*Параметры!$B$6&gt;=1000,-1,0)))))</f>
        <v>2760</v>
      </c>
      <c r="L2261" s="16">
        <v>1.2</v>
      </c>
      <c r="M2261" s="17">
        <f t="shared" si="166"/>
        <v>0.83333333333333337</v>
      </c>
      <c r="N2261" s="17">
        <f>IF(OR(L2261="",L2261=0),"",Параметры!$B$3/L2261)</f>
        <v>6.666666666666667</v>
      </c>
      <c r="O2261" s="15">
        <f>IF(L2261="","",IFERROR(INDEX('Почасовка — ставки и план'!$D$5:$D$24,MATCH($D2261,'Почасовка — ставки и план'!$A$5:$A$24,0)),""))</f>
        <v>1500</v>
      </c>
      <c r="P2261" s="15">
        <f>IF(L2261="","",IFERROR(INDEX('Почасовка — ставки и план'!$E$5:$E$24,MATCH($D2261,'Почасовка — ставки и план'!$A$5:$A$24,0)),""))</f>
        <v>1800</v>
      </c>
      <c r="Q2261" s="15">
        <f t="shared" si="167"/>
        <v>1800</v>
      </c>
      <c r="R2261" s="13" t="str">
        <f>IF(D2261="TEX","аренда техники — сделка/счёт",IF(OR(Q2261="",H2261="",H2261=0),"—",IF(Q2261&lt;H2261*(1-Параметры!$B$7),"почасовка",IF(Q2261&gt;H2261*(1+Параметры!$B$7),"сделка","любой способ"))))</f>
        <v>почасовка</v>
      </c>
      <c r="S2261">
        <v>0</v>
      </c>
      <c r="T2261">
        <v>0</v>
      </c>
    </row>
    <row r="2262" spans="1:20" x14ac:dyDescent="0.25">
      <c r="A2262" s="13" t="s">
        <v>4546</v>
      </c>
      <c r="B2262" s="13" t="s">
        <v>4349</v>
      </c>
      <c r="C2262" s="13" t="s">
        <v>144</v>
      </c>
      <c r="D2262" s="13" t="s">
        <v>747</v>
      </c>
      <c r="E2262" s="13" t="str">
        <f>IFERROR(INDEX('Почасовка — ставки и план'!$B$5:$B$24,MATCH(D2262,'Почасовка — ставки и план'!$A$5:$A$24,0)),"Аренда техники / механизмы")</f>
        <v>Механик ПС / подъёмников / прессов / доков</v>
      </c>
      <c r="F2262" s="14">
        <v>3600</v>
      </c>
      <c r="G2262" s="14">
        <v>4200</v>
      </c>
      <c r="H2262" s="15">
        <v>2050</v>
      </c>
      <c r="I2262" s="15">
        <f>IF(OR(H2262="",F2262=""),"",MAX(H2262,MIN(ROUND(H2262*(1+Параметры!$B$5),IF(H2262*(1+Параметры!$B$5)&gt;=1000,-1,0)),ROUND(F2262*Параметры!$B$6,IF(F2262*Параметры!$B$6&gt;=1000,-1,0)))))</f>
        <v>2360</v>
      </c>
      <c r="J2262" s="15">
        <v>2400</v>
      </c>
      <c r="K2262" s="15">
        <f>IF(OR(J2262="",G2262=""),"",MAX(J2262,MIN(ROUND(J2262*(1+Параметры!$B$5),IF(J2262*(1+Параметры!$B$5)&gt;=1000,-1,0)),ROUND(G2262*Параметры!$B$6,IF(G2262*Параметры!$B$6&gt;=1000,-1,0)))))</f>
        <v>2760</v>
      </c>
      <c r="L2262" s="16">
        <v>1.2</v>
      </c>
      <c r="M2262" s="17">
        <f t="shared" si="166"/>
        <v>0.83333333333333337</v>
      </c>
      <c r="N2262" s="17">
        <f>IF(OR(L2262="",L2262=0),"",Параметры!$B$3/L2262)</f>
        <v>6.666666666666667</v>
      </c>
      <c r="O2262" s="15">
        <f>IF(L2262="","",IFERROR(INDEX('Почасовка — ставки и план'!$D$5:$D$24,MATCH($D2262,'Почасовка — ставки и план'!$A$5:$A$24,0)),""))</f>
        <v>1500</v>
      </c>
      <c r="P2262" s="15">
        <f>IF(L2262="","",IFERROR(INDEX('Почасовка — ставки и план'!$E$5:$E$24,MATCH($D2262,'Почасовка — ставки и план'!$A$5:$A$24,0)),""))</f>
        <v>1800</v>
      </c>
      <c r="Q2262" s="15">
        <f t="shared" si="167"/>
        <v>1800</v>
      </c>
      <c r="R2262" s="13" t="str">
        <f>IF(D2262="TEX","аренда техники — сделка/счёт",IF(OR(Q2262="",H2262="",H2262=0),"—",IF(Q2262&lt;H2262*(1-Параметры!$B$7),"почасовка",IF(Q2262&gt;H2262*(1+Параметры!$B$7),"сделка","любой способ"))))</f>
        <v>почасовка</v>
      </c>
      <c r="S2262">
        <v>0</v>
      </c>
      <c r="T2262">
        <v>0</v>
      </c>
    </row>
    <row r="2263" spans="1:20" x14ac:dyDescent="0.25">
      <c r="A2263" s="13" t="s">
        <v>4547</v>
      </c>
      <c r="B2263" s="13" t="s">
        <v>4548</v>
      </c>
      <c r="C2263" s="13" t="s">
        <v>69</v>
      </c>
      <c r="D2263" s="13" t="s">
        <v>747</v>
      </c>
      <c r="E2263" s="13" t="str">
        <f>IFERROR(INDEX('Почасовка — ставки и план'!$B$5:$B$24,MATCH(D2263,'Почасовка — ставки и план'!$A$5:$A$24,0)),"Аренда техники / механизмы")</f>
        <v>Механик ПС / подъёмников / прессов / доков</v>
      </c>
      <c r="F2263" s="14">
        <v>450</v>
      </c>
      <c r="G2263" s="14">
        <v>520</v>
      </c>
      <c r="H2263" s="15">
        <v>260</v>
      </c>
      <c r="I2263" s="15">
        <f>IF(OR(H2263="",F2263=""),"",MAX(H2263,MIN(ROUND(H2263*(1+Параметры!$B$5),IF(H2263*(1+Параметры!$B$5)&gt;=1000,-1,0)),ROUND(F2263*Параметры!$B$6,IF(F2263*Параметры!$B$6&gt;=1000,-1,0)))))</f>
        <v>299</v>
      </c>
      <c r="J2263" s="15">
        <v>300</v>
      </c>
      <c r="K2263" s="15">
        <f>IF(OR(J2263="",G2263=""),"",MAX(J2263,MIN(ROUND(J2263*(1+Параметры!$B$5),IF(J2263*(1+Параметры!$B$5)&gt;=1000,-1,0)),ROUND(G2263*Параметры!$B$6,IF(G2263*Параметры!$B$6&gt;=1000,-1,0)))))</f>
        <v>345</v>
      </c>
      <c r="L2263" s="16">
        <v>0.15</v>
      </c>
      <c r="M2263" s="17">
        <f t="shared" si="166"/>
        <v>6.666666666666667</v>
      </c>
      <c r="N2263" s="17">
        <f>IF(OR(L2263="",L2263=0),"",Параметры!$B$3/L2263)</f>
        <v>53.333333333333336</v>
      </c>
      <c r="O2263" s="15">
        <f>IF(L2263="","",IFERROR(INDEX('Почасовка — ставки и план'!$D$5:$D$24,MATCH($D2263,'Почасовка — ставки и план'!$A$5:$A$24,0)),""))</f>
        <v>1500</v>
      </c>
      <c r="P2263" s="15">
        <f>IF(L2263="","",IFERROR(INDEX('Почасовка — ставки и план'!$E$5:$E$24,MATCH($D2263,'Почасовка — ставки и план'!$A$5:$A$24,0)),""))</f>
        <v>1800</v>
      </c>
      <c r="Q2263" s="15">
        <f t="shared" si="167"/>
        <v>225</v>
      </c>
      <c r="R2263" s="13" t="str">
        <f>IF(D2263="TEX","аренда техники — сделка/счёт",IF(OR(Q2263="",H2263="",H2263=0),"—",IF(Q2263&lt;H2263*(1-Параметры!$B$7),"почасовка",IF(Q2263&gt;H2263*(1+Параметры!$B$7),"сделка","любой способ"))))</f>
        <v>почасовка</v>
      </c>
      <c r="S2263">
        <v>0</v>
      </c>
      <c r="T2263">
        <v>0</v>
      </c>
    </row>
    <row r="2264" spans="1:20" x14ac:dyDescent="0.25">
      <c r="A2264" s="13" t="s">
        <v>4549</v>
      </c>
      <c r="B2264" s="13" t="s">
        <v>4369</v>
      </c>
      <c r="C2264" s="13" t="s">
        <v>144</v>
      </c>
      <c r="D2264" s="13" t="s">
        <v>747</v>
      </c>
      <c r="E2264" s="13" t="str">
        <f>IFERROR(INDEX('Почасовка — ставки и план'!$B$5:$B$24,MATCH(D2264,'Почасовка — ставки и план'!$A$5:$A$24,0)),"Аренда техники / механизмы")</f>
        <v>Механик ПС / подъёмников / прессов / доков</v>
      </c>
      <c r="F2264" s="14">
        <v>2500</v>
      </c>
      <c r="G2264" s="14">
        <v>2900</v>
      </c>
      <c r="H2264" s="15">
        <v>1300</v>
      </c>
      <c r="I2264" s="15">
        <f>IF(OR(H2264="",F2264=""),"",MAX(H2264,MIN(ROUND(H2264*(1+Параметры!$B$5),IF(H2264*(1+Параметры!$B$5)&gt;=1000,-1,0)),ROUND(F2264*Параметры!$B$6,IF(F2264*Параметры!$B$6&gt;=1000,-1,0)))))</f>
        <v>1500</v>
      </c>
      <c r="J2264" s="15">
        <v>1500</v>
      </c>
      <c r="K2264" s="15">
        <f>IF(OR(J2264="",G2264=""),"",MAX(J2264,MIN(ROUND(J2264*(1+Параметры!$B$5),IF(J2264*(1+Параметры!$B$5)&gt;=1000,-1,0)),ROUND(G2264*Параметры!$B$6,IF(G2264*Параметры!$B$6&gt;=1000,-1,0)))))</f>
        <v>1730</v>
      </c>
      <c r="L2264" s="16">
        <v>0.75</v>
      </c>
      <c r="M2264" s="17">
        <f t="shared" si="166"/>
        <v>1.3333333333333333</v>
      </c>
      <c r="N2264" s="17">
        <f>IF(OR(L2264="",L2264=0),"",Параметры!$B$3/L2264)</f>
        <v>10.666666666666666</v>
      </c>
      <c r="O2264" s="15">
        <f>IF(L2264="","",IFERROR(INDEX('Почасовка — ставки и план'!$D$5:$D$24,MATCH($D2264,'Почасовка — ставки и план'!$A$5:$A$24,0)),""))</f>
        <v>1500</v>
      </c>
      <c r="P2264" s="15">
        <f>IF(L2264="","",IFERROR(INDEX('Почасовка — ставки и план'!$E$5:$E$24,MATCH($D2264,'Почасовка — ставки и план'!$A$5:$A$24,0)),""))</f>
        <v>1800</v>
      </c>
      <c r="Q2264" s="15">
        <f t="shared" si="167"/>
        <v>1125</v>
      </c>
      <c r="R2264" s="13" t="str">
        <f>IF(D2264="TEX","аренда техники — сделка/счёт",IF(OR(Q2264="",H2264="",H2264=0),"—",IF(Q2264&lt;H2264*(1-Параметры!$B$7),"почасовка",IF(Q2264&gt;H2264*(1+Параметры!$B$7),"сделка","любой способ"))))</f>
        <v>почасовка</v>
      </c>
      <c r="S2264">
        <v>0</v>
      </c>
      <c r="T2264">
        <v>0</v>
      </c>
    </row>
    <row r="2265" spans="1:20" x14ac:dyDescent="0.25">
      <c r="A2265" s="13" t="s">
        <v>4550</v>
      </c>
      <c r="B2265" s="13" t="s">
        <v>4371</v>
      </c>
      <c r="C2265" s="13" t="s">
        <v>144</v>
      </c>
      <c r="D2265" s="13" t="s">
        <v>747</v>
      </c>
      <c r="E2265" s="13" t="str">
        <f>IFERROR(INDEX('Почасовка — ставки и план'!$B$5:$B$24,MATCH(D2265,'Почасовка — ставки и план'!$A$5:$A$24,0)),"Аренда техники / механизмы")</f>
        <v>Механик ПС / подъёмников / прессов / доков</v>
      </c>
      <c r="F2265" s="14">
        <v>3000</v>
      </c>
      <c r="G2265" s="14">
        <v>3500</v>
      </c>
      <c r="H2265" s="15">
        <v>1700</v>
      </c>
      <c r="I2265" s="15">
        <f>IF(OR(H2265="",F2265=""),"",MAX(H2265,MIN(ROUND(H2265*(1+Параметры!$B$5),IF(H2265*(1+Параметры!$B$5)&gt;=1000,-1,0)),ROUND(F2265*Параметры!$B$6,IF(F2265*Параметры!$B$6&gt;=1000,-1,0)))))</f>
        <v>1960</v>
      </c>
      <c r="J2265" s="15">
        <v>1900</v>
      </c>
      <c r="K2265" s="15">
        <f>IF(OR(J2265="",G2265=""),"",MAX(J2265,MIN(ROUND(J2265*(1+Параметры!$B$5),IF(J2265*(1+Параметры!$B$5)&gt;=1000,-1,0)),ROUND(G2265*Параметры!$B$6,IF(G2265*Параметры!$B$6&gt;=1000,-1,0)))))</f>
        <v>2190</v>
      </c>
      <c r="L2265" s="16">
        <v>1</v>
      </c>
      <c r="M2265" s="17">
        <f t="shared" si="166"/>
        <v>1</v>
      </c>
      <c r="N2265" s="17">
        <f>IF(OR(L2265="",L2265=0),"",Параметры!$B$3/L2265)</f>
        <v>8</v>
      </c>
      <c r="O2265" s="15">
        <f>IF(L2265="","",IFERROR(INDEX('Почасовка — ставки и план'!$D$5:$D$24,MATCH($D2265,'Почасовка — ставки и план'!$A$5:$A$24,0)),""))</f>
        <v>1500</v>
      </c>
      <c r="P2265" s="15">
        <f>IF(L2265="","",IFERROR(INDEX('Почасовка — ставки и план'!$E$5:$E$24,MATCH($D2265,'Почасовка — ставки и план'!$A$5:$A$24,0)),""))</f>
        <v>1800</v>
      </c>
      <c r="Q2265" s="15">
        <f t="shared" si="167"/>
        <v>1500</v>
      </c>
      <c r="R2265" s="13" t="str">
        <f>IF(D2265="TEX","аренда техники — сделка/счёт",IF(OR(Q2265="",H2265="",H2265=0),"—",IF(Q2265&lt;H2265*(1-Параметры!$B$7),"почасовка",IF(Q2265&gt;H2265*(1+Параметры!$B$7),"сделка","любой способ"))))</f>
        <v>почасовка</v>
      </c>
      <c r="S2265">
        <v>0</v>
      </c>
      <c r="T2265">
        <v>0</v>
      </c>
    </row>
    <row r="2266" spans="1:20" x14ac:dyDescent="0.25">
      <c r="A2266" s="13" t="s">
        <v>4551</v>
      </c>
      <c r="B2266" s="13" t="s">
        <v>4373</v>
      </c>
      <c r="C2266" s="13" t="s">
        <v>144</v>
      </c>
      <c r="D2266" s="13" t="s">
        <v>747</v>
      </c>
      <c r="E2266" s="13" t="str">
        <f>IFERROR(INDEX('Почасовка — ставки и план'!$B$5:$B$24,MATCH(D2266,'Почасовка — ставки и план'!$A$5:$A$24,0)),"Аренда техники / механизмы")</f>
        <v>Механик ПС / подъёмников / прессов / доков</v>
      </c>
      <c r="F2266" s="14">
        <v>1000</v>
      </c>
      <c r="G2266" s="14">
        <v>1150</v>
      </c>
      <c r="H2266" s="15">
        <v>540</v>
      </c>
      <c r="I2266" s="15">
        <f>IF(OR(H2266="",F2266=""),"",MAX(H2266,MIN(ROUND(H2266*(1+Параметры!$B$5),IF(H2266*(1+Параметры!$B$5)&gt;=1000,-1,0)),ROUND(F2266*Параметры!$B$6,IF(F2266*Параметры!$B$6&gt;=1000,-1,0)))))</f>
        <v>621</v>
      </c>
      <c r="J2266" s="15">
        <v>600</v>
      </c>
      <c r="K2266" s="15">
        <f>IF(OR(J2266="",G2266=""),"",MAX(J2266,MIN(ROUND(J2266*(1+Параметры!$B$5),IF(J2266*(1+Параметры!$B$5)&gt;=1000,-1,0)),ROUND(G2266*Параметры!$B$6,IF(G2266*Параметры!$B$6&gt;=1000,-1,0)))))</f>
        <v>690</v>
      </c>
      <c r="L2266" s="16">
        <v>0.3</v>
      </c>
      <c r="M2266" s="17">
        <f t="shared" si="166"/>
        <v>3.3333333333333335</v>
      </c>
      <c r="N2266" s="17">
        <f>IF(OR(L2266="",L2266=0),"",Параметры!$B$3/L2266)</f>
        <v>26.666666666666668</v>
      </c>
      <c r="O2266" s="15">
        <f>IF(L2266="","",IFERROR(INDEX('Почасовка — ставки и план'!$D$5:$D$24,MATCH($D2266,'Почасовка — ставки и план'!$A$5:$A$24,0)),""))</f>
        <v>1500</v>
      </c>
      <c r="P2266" s="15">
        <f>IF(L2266="","",IFERROR(INDEX('Почасовка — ставки и план'!$E$5:$E$24,MATCH($D2266,'Почасовка — ставки и план'!$A$5:$A$24,0)),""))</f>
        <v>1800</v>
      </c>
      <c r="Q2266" s="15">
        <f t="shared" si="167"/>
        <v>450</v>
      </c>
      <c r="R2266" s="13" t="str">
        <f>IF(D2266="TEX","аренда техники — сделка/счёт",IF(OR(Q2266="",H2266="",H2266=0),"—",IF(Q2266&lt;H2266*(1-Параметры!$B$7),"почасовка",IF(Q2266&gt;H2266*(1+Параметры!$B$7),"сделка","любой способ"))))</f>
        <v>почасовка</v>
      </c>
      <c r="S2266">
        <v>0</v>
      </c>
      <c r="T2266">
        <v>0</v>
      </c>
    </row>
    <row r="2267" spans="1:20" x14ac:dyDescent="0.25">
      <c r="A2267" s="13" t="s">
        <v>4552</v>
      </c>
      <c r="B2267" s="13" t="s">
        <v>4377</v>
      </c>
      <c r="C2267" s="13" t="s">
        <v>144</v>
      </c>
      <c r="D2267" s="13" t="s">
        <v>747</v>
      </c>
      <c r="E2267" s="13" t="str">
        <f>IFERROR(INDEX('Почасовка — ставки и план'!$B$5:$B$24,MATCH(D2267,'Почасовка — ставки и план'!$A$5:$A$24,0)),"Аренда техники / механизмы")</f>
        <v>Механик ПС / подъёмников / прессов / доков</v>
      </c>
      <c r="F2267" s="14">
        <v>5500</v>
      </c>
      <c r="G2267" s="14">
        <v>6300</v>
      </c>
      <c r="H2267" s="15">
        <v>3350</v>
      </c>
      <c r="I2267" s="15">
        <f>IF(OR(H2267="",F2267=""),"",MAX(H2267,MIN(ROUND(H2267*(1+Параметры!$B$5),IF(H2267*(1+Параметры!$B$5)&gt;=1000,-1,0)),ROUND(F2267*Параметры!$B$6,IF(F2267*Параметры!$B$6&gt;=1000,-1,0)))))</f>
        <v>3850</v>
      </c>
      <c r="J2267" s="15">
        <v>3850</v>
      </c>
      <c r="K2267" s="15">
        <f>IF(OR(J2267="",G2267=""),"",MAX(J2267,MIN(ROUND(J2267*(1+Параметры!$B$5),IF(J2267*(1+Параметры!$B$5)&gt;=1000,-1,0)),ROUND(G2267*Параметры!$B$6,IF(G2267*Параметры!$B$6&gt;=1000,-1,0)))))</f>
        <v>4430</v>
      </c>
      <c r="L2267" s="16">
        <v>2</v>
      </c>
      <c r="M2267" s="17">
        <f t="shared" si="166"/>
        <v>0.5</v>
      </c>
      <c r="N2267" s="17">
        <f>IF(OR(L2267="",L2267=0),"",Параметры!$B$3/L2267)</f>
        <v>4</v>
      </c>
      <c r="O2267" s="15">
        <f>IF(L2267="","",IFERROR(INDEX('Почасовка — ставки и план'!$D$5:$D$24,MATCH($D2267,'Почасовка — ставки и план'!$A$5:$A$24,0)),""))</f>
        <v>1500</v>
      </c>
      <c r="P2267" s="15">
        <f>IF(L2267="","",IFERROR(INDEX('Почасовка — ставки и план'!$E$5:$E$24,MATCH($D2267,'Почасовка — ставки и план'!$A$5:$A$24,0)),""))</f>
        <v>1800</v>
      </c>
      <c r="Q2267" s="15">
        <f t="shared" si="167"/>
        <v>3000</v>
      </c>
      <c r="R2267" s="13" t="str">
        <f>IF(D2267="TEX","аренда техники — сделка/счёт",IF(OR(Q2267="",H2267="",H2267=0),"—",IF(Q2267&lt;H2267*(1-Параметры!$B$7),"почасовка",IF(Q2267&gt;H2267*(1+Параметры!$B$7),"сделка","любой способ"))))</f>
        <v>почасовка</v>
      </c>
      <c r="S2267">
        <v>0</v>
      </c>
      <c r="T2267">
        <v>0</v>
      </c>
    </row>
    <row r="2268" spans="1:20" x14ac:dyDescent="0.25">
      <c r="A2268" s="13" t="s">
        <v>4553</v>
      </c>
      <c r="B2268" s="13" t="s">
        <v>4415</v>
      </c>
      <c r="C2268" s="13" t="s">
        <v>144</v>
      </c>
      <c r="D2268" s="13" t="s">
        <v>747</v>
      </c>
      <c r="E2268" s="13" t="str">
        <f>IFERROR(INDEX('Почасовка — ставки и план'!$B$5:$B$24,MATCH(D2268,'Почасовка — ставки и план'!$A$5:$A$24,0)),"Аренда техники / механизмы")</f>
        <v>Механик ПС / подъёмников / прессов / доков</v>
      </c>
      <c r="F2268" s="14">
        <v>3000</v>
      </c>
      <c r="G2268" s="14">
        <v>3500</v>
      </c>
      <c r="H2268" s="15">
        <v>1700</v>
      </c>
      <c r="I2268" s="15">
        <f>IF(OR(H2268="",F2268=""),"",MAX(H2268,MIN(ROUND(H2268*(1+Параметры!$B$5),IF(H2268*(1+Параметры!$B$5)&gt;=1000,-1,0)),ROUND(F2268*Параметры!$B$6,IF(F2268*Параметры!$B$6&gt;=1000,-1,0)))))</f>
        <v>1960</v>
      </c>
      <c r="J2268" s="15">
        <v>1900</v>
      </c>
      <c r="K2268" s="15">
        <f>IF(OR(J2268="",G2268=""),"",MAX(J2268,MIN(ROUND(J2268*(1+Параметры!$B$5),IF(J2268*(1+Параметры!$B$5)&gt;=1000,-1,0)),ROUND(G2268*Параметры!$B$6,IF(G2268*Параметры!$B$6&gt;=1000,-1,0)))))</f>
        <v>2190</v>
      </c>
      <c r="L2268" s="16">
        <v>1</v>
      </c>
      <c r="M2268" s="17">
        <f t="shared" si="166"/>
        <v>1</v>
      </c>
      <c r="N2268" s="17">
        <f>IF(OR(L2268="",L2268=0),"",Параметры!$B$3/L2268)</f>
        <v>8</v>
      </c>
      <c r="O2268" s="15">
        <f>IF(L2268="","",IFERROR(INDEX('Почасовка — ставки и план'!$D$5:$D$24,MATCH($D2268,'Почасовка — ставки и план'!$A$5:$A$24,0)),""))</f>
        <v>1500</v>
      </c>
      <c r="P2268" s="15">
        <f>IF(L2268="","",IFERROR(INDEX('Почасовка — ставки и план'!$E$5:$E$24,MATCH($D2268,'Почасовка — ставки и план'!$A$5:$A$24,0)),""))</f>
        <v>1800</v>
      </c>
      <c r="Q2268" s="15">
        <f t="shared" si="167"/>
        <v>1500</v>
      </c>
      <c r="R2268" s="13" t="str">
        <f>IF(D2268="TEX","аренда техники — сделка/счёт",IF(OR(Q2268="",H2268="",H2268=0),"—",IF(Q2268&lt;H2268*(1-Параметры!$B$7),"почасовка",IF(Q2268&gt;H2268*(1+Параметры!$B$7),"сделка","любой способ"))))</f>
        <v>почасовка</v>
      </c>
      <c r="S2268">
        <v>0</v>
      </c>
      <c r="T2268">
        <v>0</v>
      </c>
    </row>
    <row r="2269" spans="1:20" x14ac:dyDescent="0.25">
      <c r="A2269" s="13" t="s">
        <v>4554</v>
      </c>
      <c r="B2269" s="13" t="s">
        <v>4417</v>
      </c>
      <c r="C2269" s="13" t="s">
        <v>144</v>
      </c>
      <c r="D2269" s="13" t="s">
        <v>747</v>
      </c>
      <c r="E2269" s="13" t="str">
        <f>IFERROR(INDEX('Почасовка — ставки и план'!$B$5:$B$24,MATCH(D2269,'Почасовка — ставки и план'!$A$5:$A$24,0)),"Аренда техники / механизмы")</f>
        <v>Механик ПС / подъёмников / прессов / доков</v>
      </c>
      <c r="F2269" s="14">
        <v>4000</v>
      </c>
      <c r="G2269" s="14">
        <v>4600</v>
      </c>
      <c r="H2269" s="15">
        <v>2400</v>
      </c>
      <c r="I2269" s="15">
        <f>IF(OR(H2269="",F2269=""),"",MAX(H2269,MIN(ROUND(H2269*(1+Параметры!$B$5),IF(H2269*(1+Параметры!$B$5)&gt;=1000,-1,0)),ROUND(F2269*Параметры!$B$6,IF(F2269*Параметры!$B$6&gt;=1000,-1,0)))))</f>
        <v>2760</v>
      </c>
      <c r="J2269" s="15">
        <v>2750</v>
      </c>
      <c r="K2269" s="15">
        <f>IF(OR(J2269="",G2269=""),"",MAX(J2269,MIN(ROUND(J2269*(1+Параметры!$B$5),IF(J2269*(1+Параметры!$B$5)&gt;=1000,-1,0)),ROUND(G2269*Параметры!$B$6,IF(G2269*Параметры!$B$6&gt;=1000,-1,0)))))</f>
        <v>3160</v>
      </c>
      <c r="L2269" s="16">
        <v>1.5</v>
      </c>
      <c r="M2269" s="17">
        <f t="shared" si="166"/>
        <v>0.66666666666666663</v>
      </c>
      <c r="N2269" s="17">
        <f>IF(OR(L2269="",L2269=0),"",Параметры!$B$3/L2269)</f>
        <v>5.333333333333333</v>
      </c>
      <c r="O2269" s="15">
        <f>IF(L2269="","",IFERROR(INDEX('Почасовка — ставки и план'!$D$5:$D$24,MATCH($D2269,'Почасовка — ставки и план'!$A$5:$A$24,0)),""))</f>
        <v>1500</v>
      </c>
      <c r="P2269" s="15">
        <f>IF(L2269="","",IFERROR(INDEX('Почасовка — ставки и план'!$E$5:$E$24,MATCH($D2269,'Почасовка — ставки и план'!$A$5:$A$24,0)),""))</f>
        <v>1800</v>
      </c>
      <c r="Q2269" s="15">
        <f t="shared" si="167"/>
        <v>2250</v>
      </c>
      <c r="R2269" s="13" t="str">
        <f>IF(D2269="TEX","аренда техники — сделка/счёт",IF(OR(Q2269="",H2269="",H2269=0),"—",IF(Q2269&lt;H2269*(1-Параметры!$B$7),"почасовка",IF(Q2269&gt;H2269*(1+Параметры!$B$7),"сделка","любой способ"))))</f>
        <v>любой способ</v>
      </c>
      <c r="S2269">
        <v>0</v>
      </c>
      <c r="T2269">
        <v>0</v>
      </c>
    </row>
    <row r="2270" spans="1:20" x14ac:dyDescent="0.25">
      <c r="A2270" s="13" t="s">
        <v>4555</v>
      </c>
      <c r="B2270" s="13" t="s">
        <v>4423</v>
      </c>
      <c r="C2270" s="13" t="s">
        <v>144</v>
      </c>
      <c r="D2270" s="13" t="s">
        <v>747</v>
      </c>
      <c r="E2270" s="13" t="str">
        <f>IFERROR(INDEX('Почасовка — ставки и план'!$B$5:$B$24,MATCH(D2270,'Почасовка — ставки и план'!$A$5:$A$24,0)),"Аренда техники / механизмы")</f>
        <v>Механик ПС / подъёмников / прессов / доков</v>
      </c>
      <c r="F2270" s="14">
        <v>1200</v>
      </c>
      <c r="G2270" s="14">
        <v>1400</v>
      </c>
      <c r="H2270" s="15">
        <v>670</v>
      </c>
      <c r="I2270" s="15">
        <f>IF(OR(H2270="",F2270=""),"",MAX(H2270,MIN(ROUND(H2270*(1+Параметры!$B$5),IF(H2270*(1+Параметры!$B$5)&gt;=1000,-1,0)),ROUND(F2270*Параметры!$B$6,IF(F2270*Параметры!$B$6&gt;=1000,-1,0)))))</f>
        <v>771</v>
      </c>
      <c r="J2270" s="15">
        <v>780</v>
      </c>
      <c r="K2270" s="15">
        <f>IF(OR(J2270="",G2270=""),"",MAX(J2270,MIN(ROUND(J2270*(1+Параметры!$B$5),IF(J2270*(1+Параметры!$B$5)&gt;=1000,-1,0)),ROUND(G2270*Параметры!$B$6,IF(G2270*Параметры!$B$6&gt;=1000,-1,0)))))</f>
        <v>897</v>
      </c>
      <c r="L2270" s="16">
        <v>0.4</v>
      </c>
      <c r="M2270" s="17">
        <f t="shared" si="166"/>
        <v>2.5</v>
      </c>
      <c r="N2270" s="17">
        <f>IF(OR(L2270="",L2270=0),"",Параметры!$B$3/L2270)</f>
        <v>20</v>
      </c>
      <c r="O2270" s="15">
        <f>IF(L2270="","",IFERROR(INDEX('Почасовка — ставки и план'!$D$5:$D$24,MATCH($D2270,'Почасовка — ставки и план'!$A$5:$A$24,0)),""))</f>
        <v>1500</v>
      </c>
      <c r="P2270" s="15">
        <f>IF(L2270="","",IFERROR(INDEX('Почасовка — ставки и план'!$E$5:$E$24,MATCH($D2270,'Почасовка — ставки и план'!$A$5:$A$24,0)),""))</f>
        <v>1800</v>
      </c>
      <c r="Q2270" s="15">
        <f t="shared" si="167"/>
        <v>600</v>
      </c>
      <c r="R2270" s="13" t="str">
        <f>IF(D2270="TEX","аренда техники — сделка/счёт",IF(OR(Q2270="",H2270="",H2270=0),"—",IF(Q2270&lt;H2270*(1-Параметры!$B$7),"почасовка",IF(Q2270&gt;H2270*(1+Параметры!$B$7),"сделка","любой способ"))))</f>
        <v>почасовка</v>
      </c>
      <c r="S2270">
        <v>0</v>
      </c>
      <c r="T2270">
        <v>0</v>
      </c>
    </row>
    <row r="2271" spans="1:20" x14ac:dyDescent="0.25">
      <c r="A2271" s="13" t="s">
        <v>4556</v>
      </c>
      <c r="B2271" s="13" t="s">
        <v>4429</v>
      </c>
      <c r="C2271" s="13" t="s">
        <v>144</v>
      </c>
      <c r="D2271" s="13" t="s">
        <v>747</v>
      </c>
      <c r="E2271" s="13" t="str">
        <f>IFERROR(INDEX('Почасовка — ставки и план'!$B$5:$B$24,MATCH(D2271,'Почасовка — ставки и план'!$A$5:$A$24,0)),"Аренда техники / механизмы")</f>
        <v>Механик ПС / подъёмников / прессов / доков</v>
      </c>
      <c r="F2271" s="14">
        <v>2200</v>
      </c>
      <c r="G2271" s="14">
        <v>2600</v>
      </c>
      <c r="H2271" s="15">
        <v>1250</v>
      </c>
      <c r="I2271" s="15">
        <f>IF(OR(H2271="",F2271=""),"",MAX(H2271,MIN(ROUND(H2271*(1+Параметры!$B$5),IF(H2271*(1+Параметры!$B$5)&gt;=1000,-1,0)),ROUND(F2271*Параметры!$B$6,IF(F2271*Параметры!$B$6&gt;=1000,-1,0)))))</f>
        <v>1440</v>
      </c>
      <c r="J2271" s="15">
        <v>1450</v>
      </c>
      <c r="K2271" s="15">
        <f>IF(OR(J2271="",G2271=""),"",MAX(J2271,MIN(ROUND(J2271*(1+Параметры!$B$5),IF(J2271*(1+Параметры!$B$5)&gt;=1000,-1,0)),ROUND(G2271*Параметры!$B$6,IF(G2271*Параметры!$B$6&gt;=1000,-1,0)))))</f>
        <v>1670</v>
      </c>
      <c r="L2271" s="16">
        <v>0.75</v>
      </c>
      <c r="M2271" s="17">
        <f t="shared" si="166"/>
        <v>1.3333333333333333</v>
      </c>
      <c r="N2271" s="17">
        <f>IF(OR(L2271="",L2271=0),"",Параметры!$B$3/L2271)</f>
        <v>10.666666666666666</v>
      </c>
      <c r="O2271" s="15">
        <f>IF(L2271="","",IFERROR(INDEX('Почасовка — ставки и план'!$D$5:$D$24,MATCH($D2271,'Почасовка — ставки и план'!$A$5:$A$24,0)),""))</f>
        <v>1500</v>
      </c>
      <c r="P2271" s="15">
        <f>IF(L2271="","",IFERROR(INDEX('Почасовка — ставки и план'!$E$5:$E$24,MATCH($D2271,'Почасовка — ставки и план'!$A$5:$A$24,0)),""))</f>
        <v>1800</v>
      </c>
      <c r="Q2271" s="15">
        <f t="shared" si="167"/>
        <v>1125</v>
      </c>
      <c r="R2271" s="13" t="str">
        <f>IF(D2271="TEX","аренда техники — сделка/счёт",IF(OR(Q2271="",H2271="",H2271=0),"—",IF(Q2271&lt;H2271*(1-Параметры!$B$7),"почасовка",IF(Q2271&gt;H2271*(1+Параметры!$B$7),"сделка","любой способ"))))</f>
        <v>любой способ</v>
      </c>
      <c r="S2271">
        <v>0</v>
      </c>
      <c r="T2271">
        <v>0</v>
      </c>
    </row>
    <row r="2272" spans="1:20" x14ac:dyDescent="0.25">
      <c r="A2272" s="13" t="s">
        <v>4557</v>
      </c>
      <c r="B2272" s="13" t="s">
        <v>4558</v>
      </c>
      <c r="C2272" s="13" t="s">
        <v>144</v>
      </c>
      <c r="D2272" s="13" t="s">
        <v>747</v>
      </c>
      <c r="E2272" s="13" t="str">
        <f>IFERROR(INDEX('Почасовка — ставки и план'!$B$5:$B$24,MATCH(D2272,'Почасовка — ставки и план'!$A$5:$A$24,0)),"Аренда техники / механизмы")</f>
        <v>Механик ПС / подъёмников / прессов / доков</v>
      </c>
      <c r="F2272" s="14">
        <v>6000</v>
      </c>
      <c r="G2272" s="14">
        <v>7000</v>
      </c>
      <c r="H2272" s="15">
        <v>3350</v>
      </c>
      <c r="I2272" s="15">
        <f>IF(OR(H2272="",F2272=""),"",MAX(H2272,MIN(ROUND(H2272*(1+Параметры!$B$5),IF(H2272*(1+Параметры!$B$5)&gt;=1000,-1,0)),ROUND(F2272*Параметры!$B$6,IF(F2272*Параметры!$B$6&gt;=1000,-1,0)))))</f>
        <v>3850</v>
      </c>
      <c r="J2272" s="15">
        <v>3950</v>
      </c>
      <c r="K2272" s="15">
        <f>IF(OR(J2272="",G2272=""),"",MAX(J2272,MIN(ROUND(J2272*(1+Параметры!$B$5),IF(J2272*(1+Параметры!$B$5)&gt;=1000,-1,0)),ROUND(G2272*Параметры!$B$6,IF(G2272*Параметры!$B$6&gt;=1000,-1,0)))))</f>
        <v>4540</v>
      </c>
      <c r="L2272" s="16">
        <v>2</v>
      </c>
      <c r="M2272" s="17">
        <f t="shared" si="166"/>
        <v>0.5</v>
      </c>
      <c r="N2272" s="17">
        <f>IF(OR(L2272="",L2272=0),"",Параметры!$B$3/L2272)</f>
        <v>4</v>
      </c>
      <c r="O2272" s="15">
        <f>IF(L2272="","",IFERROR(INDEX('Почасовка — ставки и план'!$D$5:$D$24,MATCH($D2272,'Почасовка — ставки и план'!$A$5:$A$24,0)),""))</f>
        <v>1500</v>
      </c>
      <c r="P2272" s="15">
        <f>IF(L2272="","",IFERROR(INDEX('Почасовка — ставки и план'!$E$5:$E$24,MATCH($D2272,'Почасовка — ставки и план'!$A$5:$A$24,0)),""))</f>
        <v>1800</v>
      </c>
      <c r="Q2272" s="15">
        <f t="shared" si="167"/>
        <v>3000</v>
      </c>
      <c r="R2272" s="13" t="str">
        <f>IF(D2272="TEX","аренда техники — сделка/счёт",IF(OR(Q2272="",H2272="",H2272=0),"—",IF(Q2272&lt;H2272*(1-Параметры!$B$7),"почасовка",IF(Q2272&gt;H2272*(1+Параметры!$B$7),"сделка","любой способ"))))</f>
        <v>почасовка</v>
      </c>
      <c r="S2272">
        <v>0</v>
      </c>
      <c r="T2272">
        <v>0</v>
      </c>
    </row>
    <row r="2273" spans="1:20" x14ac:dyDescent="0.25">
      <c r="A2273" s="13" t="s">
        <v>4559</v>
      </c>
      <c r="B2273" s="13" t="s">
        <v>4437</v>
      </c>
      <c r="C2273" s="13" t="s">
        <v>144</v>
      </c>
      <c r="D2273" s="13" t="s">
        <v>747</v>
      </c>
      <c r="E2273" s="13" t="str">
        <f>IFERROR(INDEX('Почасовка — ставки и план'!$B$5:$B$24,MATCH(D2273,'Почасовка — ставки и план'!$A$5:$A$24,0)),"Аренда техники / механизмы")</f>
        <v>Механик ПС / подъёмников / прессов / доков</v>
      </c>
      <c r="F2273" s="14">
        <v>3000</v>
      </c>
      <c r="G2273" s="14">
        <v>3500</v>
      </c>
      <c r="H2273" s="15">
        <v>1700</v>
      </c>
      <c r="I2273" s="15">
        <f>IF(OR(H2273="",F2273=""),"",MAX(H2273,MIN(ROUND(H2273*(1+Параметры!$B$5),IF(H2273*(1+Параметры!$B$5)&gt;=1000,-1,0)),ROUND(F2273*Параметры!$B$6,IF(F2273*Параметры!$B$6&gt;=1000,-1,0)))))</f>
        <v>1960</v>
      </c>
      <c r="J2273" s="15">
        <v>1900</v>
      </c>
      <c r="K2273" s="15">
        <f>IF(OR(J2273="",G2273=""),"",MAX(J2273,MIN(ROUND(J2273*(1+Параметры!$B$5),IF(J2273*(1+Параметры!$B$5)&gt;=1000,-1,0)),ROUND(G2273*Параметры!$B$6,IF(G2273*Параметры!$B$6&gt;=1000,-1,0)))))</f>
        <v>2190</v>
      </c>
      <c r="L2273" s="16">
        <v>1</v>
      </c>
      <c r="M2273" s="17">
        <f t="shared" si="166"/>
        <v>1</v>
      </c>
      <c r="N2273" s="17">
        <f>IF(OR(L2273="",L2273=0),"",Параметры!$B$3/L2273)</f>
        <v>8</v>
      </c>
      <c r="O2273" s="15">
        <f>IF(L2273="","",IFERROR(INDEX('Почасовка — ставки и план'!$D$5:$D$24,MATCH($D2273,'Почасовка — ставки и план'!$A$5:$A$24,0)),""))</f>
        <v>1500</v>
      </c>
      <c r="P2273" s="15">
        <f>IF(L2273="","",IFERROR(INDEX('Почасовка — ставки и план'!$E$5:$E$24,MATCH($D2273,'Почасовка — ставки и план'!$A$5:$A$24,0)),""))</f>
        <v>1800</v>
      </c>
      <c r="Q2273" s="15">
        <f t="shared" si="167"/>
        <v>1500</v>
      </c>
      <c r="R2273" s="13" t="str">
        <f>IF(D2273="TEX","аренда техники — сделка/счёт",IF(OR(Q2273="",H2273="",H2273=0),"—",IF(Q2273&lt;H2273*(1-Параметры!$B$7),"почасовка",IF(Q2273&gt;H2273*(1+Параметры!$B$7),"сделка","любой способ"))))</f>
        <v>почасовка</v>
      </c>
      <c r="S2273">
        <v>0</v>
      </c>
      <c r="T2273">
        <v>0</v>
      </c>
    </row>
    <row r="2274" spans="1:20" x14ac:dyDescent="0.25">
      <c r="A2274" s="13" t="s">
        <v>4560</v>
      </c>
      <c r="B2274" s="13" t="s">
        <v>4439</v>
      </c>
      <c r="C2274" s="13" t="s">
        <v>144</v>
      </c>
      <c r="D2274" s="13" t="s">
        <v>747</v>
      </c>
      <c r="E2274" s="13" t="str">
        <f>IFERROR(INDEX('Почасовка — ставки и план'!$B$5:$B$24,MATCH(D2274,'Почасовка — ставки и план'!$A$5:$A$24,0)),"Аренда техники / механизмы")</f>
        <v>Механик ПС / подъёмников / прессов / доков</v>
      </c>
      <c r="F2274" s="14">
        <v>2200</v>
      </c>
      <c r="G2274" s="14">
        <v>2600</v>
      </c>
      <c r="H2274" s="15">
        <v>1250</v>
      </c>
      <c r="I2274" s="15">
        <f>IF(OR(H2274="",F2274=""),"",MAX(H2274,MIN(ROUND(H2274*(1+Параметры!$B$5),IF(H2274*(1+Параметры!$B$5)&gt;=1000,-1,0)),ROUND(F2274*Параметры!$B$6,IF(F2274*Параметры!$B$6&gt;=1000,-1,0)))))</f>
        <v>1440</v>
      </c>
      <c r="J2274" s="15">
        <v>1450</v>
      </c>
      <c r="K2274" s="15">
        <f>IF(OR(J2274="",G2274=""),"",MAX(J2274,MIN(ROUND(J2274*(1+Параметры!$B$5),IF(J2274*(1+Параметры!$B$5)&gt;=1000,-1,0)),ROUND(G2274*Параметры!$B$6,IF(G2274*Параметры!$B$6&gt;=1000,-1,0)))))</f>
        <v>1670</v>
      </c>
      <c r="L2274" s="16">
        <v>0.75</v>
      </c>
      <c r="M2274" s="17">
        <f t="shared" si="166"/>
        <v>1.3333333333333333</v>
      </c>
      <c r="N2274" s="17">
        <f>IF(OR(L2274="",L2274=0),"",Параметры!$B$3/L2274)</f>
        <v>10.666666666666666</v>
      </c>
      <c r="O2274" s="15">
        <f>IF(L2274="","",IFERROR(INDEX('Почасовка — ставки и план'!$D$5:$D$24,MATCH($D2274,'Почасовка — ставки и план'!$A$5:$A$24,0)),""))</f>
        <v>1500</v>
      </c>
      <c r="P2274" s="15">
        <f>IF(L2274="","",IFERROR(INDEX('Почасовка — ставки и план'!$E$5:$E$24,MATCH($D2274,'Почасовка — ставки и план'!$A$5:$A$24,0)),""))</f>
        <v>1800</v>
      </c>
      <c r="Q2274" s="15">
        <f t="shared" si="167"/>
        <v>1125</v>
      </c>
      <c r="R2274" s="13" t="str">
        <f>IF(D2274="TEX","аренда техники — сделка/счёт",IF(OR(Q2274="",H2274="",H2274=0),"—",IF(Q2274&lt;H2274*(1-Параметры!$B$7),"почасовка",IF(Q2274&gt;H2274*(1+Параметры!$B$7),"сделка","любой способ"))))</f>
        <v>любой способ</v>
      </c>
      <c r="S2274">
        <v>0</v>
      </c>
      <c r="T2274">
        <v>0</v>
      </c>
    </row>
    <row r="2275" spans="1:20" x14ac:dyDescent="0.25">
      <c r="A2275" s="13" t="s">
        <v>4561</v>
      </c>
      <c r="B2275" s="13" t="s">
        <v>4441</v>
      </c>
      <c r="C2275" s="13" t="s">
        <v>144</v>
      </c>
      <c r="D2275" s="13" t="s">
        <v>747</v>
      </c>
      <c r="E2275" s="13" t="str">
        <f>IFERROR(INDEX('Почасовка — ставки и план'!$B$5:$B$24,MATCH(D2275,'Почасовка — ставки и план'!$A$5:$A$24,0)),"Аренда техники / механизмы")</f>
        <v>Механик ПС / подъёмников / прессов / доков</v>
      </c>
      <c r="F2275" s="14">
        <v>300</v>
      </c>
      <c r="G2275" s="14">
        <v>350</v>
      </c>
      <c r="H2275" s="15">
        <v>180</v>
      </c>
      <c r="I2275" s="15">
        <f>IF(OR(H2275="",F2275=""),"",MAX(H2275,MIN(ROUND(H2275*(1+Параметры!$B$5),IF(H2275*(1+Параметры!$B$5)&gt;=1000,-1,0)),ROUND(F2275*Параметры!$B$6,IF(F2275*Параметры!$B$6&gt;=1000,-1,0)))))</f>
        <v>207</v>
      </c>
      <c r="J2275" s="15">
        <v>200</v>
      </c>
      <c r="K2275" s="15">
        <f>IF(OR(J2275="",G2275=""),"",MAX(J2275,MIN(ROUND(J2275*(1+Параметры!$B$5),IF(J2275*(1+Параметры!$B$5)&gt;=1000,-1,0)),ROUND(G2275*Параметры!$B$6,IF(G2275*Параметры!$B$6&gt;=1000,-1,0)))))</f>
        <v>230</v>
      </c>
      <c r="L2275" s="16">
        <v>0.1</v>
      </c>
      <c r="M2275" s="17">
        <f t="shared" si="166"/>
        <v>10</v>
      </c>
      <c r="N2275" s="17">
        <f>IF(OR(L2275="",L2275=0),"",Параметры!$B$3/L2275)</f>
        <v>80</v>
      </c>
      <c r="O2275" s="15">
        <f>IF(L2275="","",IFERROR(INDEX('Почасовка — ставки и план'!$D$5:$D$24,MATCH($D2275,'Почасовка — ставки и план'!$A$5:$A$24,0)),""))</f>
        <v>1500</v>
      </c>
      <c r="P2275" s="15">
        <f>IF(L2275="","",IFERROR(INDEX('Почасовка — ставки и план'!$E$5:$E$24,MATCH($D2275,'Почасовка — ставки и план'!$A$5:$A$24,0)),""))</f>
        <v>1800</v>
      </c>
      <c r="Q2275" s="15">
        <f t="shared" si="167"/>
        <v>150</v>
      </c>
      <c r="R2275" s="13" t="str">
        <f>IF(D2275="TEX","аренда техники — сделка/счёт",IF(OR(Q2275="",H2275="",H2275=0),"—",IF(Q2275&lt;H2275*(1-Параметры!$B$7),"почасовка",IF(Q2275&gt;H2275*(1+Параметры!$B$7),"сделка","любой способ"))))</f>
        <v>почасовка</v>
      </c>
      <c r="S2275">
        <v>0</v>
      </c>
      <c r="T2275">
        <v>0</v>
      </c>
    </row>
    <row r="2276" spans="1:20" x14ac:dyDescent="0.25">
      <c r="A2276" s="13" t="s">
        <v>4562</v>
      </c>
      <c r="B2276" s="13" t="s">
        <v>4563</v>
      </c>
      <c r="C2276" s="13" t="s">
        <v>144</v>
      </c>
      <c r="D2276" s="13" t="s">
        <v>747</v>
      </c>
      <c r="E2276" s="13" t="str">
        <f>IFERROR(INDEX('Почасовка — ставки и план'!$B$5:$B$24,MATCH(D2276,'Почасовка — ставки и план'!$A$5:$A$24,0)),"Аренда техники / механизмы")</f>
        <v>Механик ПС / подъёмников / прессов / доков</v>
      </c>
      <c r="F2276" s="14">
        <v>1500</v>
      </c>
      <c r="G2276" s="14">
        <v>1750</v>
      </c>
      <c r="H2276" s="15">
        <v>840</v>
      </c>
      <c r="I2276" s="15">
        <f>IF(OR(H2276="",F2276=""),"",MAX(H2276,MIN(ROUND(H2276*(1+Параметры!$B$5),IF(H2276*(1+Параметры!$B$5)&gt;=1000,-1,0)),ROUND(F2276*Параметры!$B$6,IF(F2276*Параметры!$B$6&gt;=1000,-1,0)))))</f>
        <v>966</v>
      </c>
      <c r="J2276" s="15">
        <v>960</v>
      </c>
      <c r="K2276" s="15">
        <f>IF(OR(J2276="",G2276=""),"",MAX(J2276,MIN(ROUND(J2276*(1+Параметры!$B$5),IF(J2276*(1+Параметры!$B$5)&gt;=1000,-1,0)),ROUND(G2276*Параметры!$B$6,IF(G2276*Параметры!$B$6&gt;=1000,-1,0)))))</f>
        <v>1100</v>
      </c>
      <c r="L2276" s="16">
        <v>0.5</v>
      </c>
      <c r="M2276" s="17">
        <f t="shared" si="166"/>
        <v>2</v>
      </c>
      <c r="N2276" s="17">
        <f>IF(OR(L2276="",L2276=0),"",Параметры!$B$3/L2276)</f>
        <v>16</v>
      </c>
      <c r="O2276" s="15">
        <f>IF(L2276="","",IFERROR(INDEX('Почасовка — ставки и план'!$D$5:$D$24,MATCH($D2276,'Почасовка — ставки и план'!$A$5:$A$24,0)),""))</f>
        <v>1500</v>
      </c>
      <c r="P2276" s="15">
        <f>IF(L2276="","",IFERROR(INDEX('Почасовка — ставки и план'!$E$5:$E$24,MATCH($D2276,'Почасовка — ставки и план'!$A$5:$A$24,0)),""))</f>
        <v>1800</v>
      </c>
      <c r="Q2276" s="15">
        <f t="shared" si="167"/>
        <v>750</v>
      </c>
      <c r="R2276" s="13" t="str">
        <f>IF(D2276="TEX","аренда техники — сделка/счёт",IF(OR(Q2276="",H2276="",H2276=0),"—",IF(Q2276&lt;H2276*(1-Параметры!$B$7),"почасовка",IF(Q2276&gt;H2276*(1+Параметры!$B$7),"сделка","любой способ"))))</f>
        <v>почасовка</v>
      </c>
      <c r="S2276">
        <v>0</v>
      </c>
      <c r="T2276">
        <v>0</v>
      </c>
    </row>
    <row r="2277" spans="1:20" x14ac:dyDescent="0.25">
      <c r="A2277" s="13" t="s">
        <v>4564</v>
      </c>
      <c r="B2277" s="13" t="s">
        <v>4565</v>
      </c>
      <c r="C2277" s="13" t="s">
        <v>144</v>
      </c>
      <c r="D2277" s="13" t="s">
        <v>747</v>
      </c>
      <c r="E2277" s="13" t="str">
        <f>IFERROR(INDEX('Почасовка — ставки и план'!$B$5:$B$24,MATCH(D2277,'Почасовка — ставки и план'!$A$5:$A$24,0)),"Аренда техники / механизмы")</f>
        <v>Механик ПС / подъёмников / прессов / доков</v>
      </c>
      <c r="F2277" s="14">
        <v>14000</v>
      </c>
      <c r="G2277" s="14">
        <v>17000</v>
      </c>
      <c r="H2277" s="15">
        <v>8400</v>
      </c>
      <c r="I2277" s="15">
        <f>IF(OR(H2277="",F2277=""),"",MAX(H2277,MIN(ROUND(H2277*(1+Параметры!$B$5),IF(H2277*(1+Параметры!$B$5)&gt;=1000,-1,0)),ROUND(F2277*Параметры!$B$6,IF(F2277*Параметры!$B$6&gt;=1000,-1,0)))))</f>
        <v>9660</v>
      </c>
      <c r="J2277" s="15">
        <v>9600</v>
      </c>
      <c r="K2277" s="15">
        <f>IF(OR(J2277="",G2277=""),"",MAX(J2277,MIN(ROUND(J2277*(1+Параметры!$B$5),IF(J2277*(1+Параметры!$B$5)&gt;=1000,-1,0)),ROUND(G2277*Параметры!$B$6,IF(G2277*Параметры!$B$6&gt;=1000,-1,0)))))</f>
        <v>11040</v>
      </c>
      <c r="L2277" s="16">
        <v>5</v>
      </c>
      <c r="M2277" s="17">
        <f t="shared" si="166"/>
        <v>0.2</v>
      </c>
      <c r="N2277" s="17">
        <f>IF(OR(L2277="",L2277=0),"",Параметры!$B$3/L2277)</f>
        <v>1.6</v>
      </c>
      <c r="O2277" s="15">
        <f>IF(L2277="","",IFERROR(INDEX('Почасовка — ставки и план'!$D$5:$D$24,MATCH($D2277,'Почасовка — ставки и план'!$A$5:$A$24,0)),""))</f>
        <v>1500</v>
      </c>
      <c r="P2277" s="15">
        <f>IF(L2277="","",IFERROR(INDEX('Почасовка — ставки и план'!$E$5:$E$24,MATCH($D2277,'Почасовка — ставки и план'!$A$5:$A$24,0)),""))</f>
        <v>1800</v>
      </c>
      <c r="Q2277" s="15">
        <f t="shared" si="167"/>
        <v>7500</v>
      </c>
      <c r="R2277" s="13" t="str">
        <f>IF(D2277="TEX","аренда техники — сделка/счёт",IF(OR(Q2277="",H2277="",H2277=0),"—",IF(Q2277&lt;H2277*(1-Параметры!$B$7),"почасовка",IF(Q2277&gt;H2277*(1+Параметры!$B$7),"сделка","любой способ"))))</f>
        <v>почасовка</v>
      </c>
      <c r="S2277">
        <v>0</v>
      </c>
      <c r="T2277">
        <v>0</v>
      </c>
    </row>
    <row r="2278" spans="1:20" x14ac:dyDescent="0.25">
      <c r="A2278" s="13" t="s">
        <v>4566</v>
      </c>
      <c r="B2278" s="13" t="s">
        <v>4451</v>
      </c>
      <c r="C2278" s="13" t="s">
        <v>144</v>
      </c>
      <c r="D2278" s="13" t="s">
        <v>747</v>
      </c>
      <c r="E2278" s="13" t="str">
        <f>IFERROR(INDEX('Почасовка — ставки и план'!$B$5:$B$24,MATCH(D2278,'Почасовка — ставки и план'!$A$5:$A$24,0)),"Аренда техники / механизмы")</f>
        <v>Механик ПС / подъёмников / прессов / доков</v>
      </c>
      <c r="F2278" s="14">
        <v>7500</v>
      </c>
      <c r="G2278" s="14">
        <v>8700</v>
      </c>
      <c r="H2278" s="15">
        <v>4200</v>
      </c>
      <c r="I2278" s="15">
        <f>IF(OR(H2278="",F2278=""),"",MAX(H2278,MIN(ROUND(H2278*(1+Параметры!$B$5),IF(H2278*(1+Параметры!$B$5)&gt;=1000,-1,0)),ROUND(F2278*Параметры!$B$6,IF(F2278*Параметры!$B$6&gt;=1000,-1,0)))))</f>
        <v>4830</v>
      </c>
      <c r="J2278" s="15">
        <v>4800</v>
      </c>
      <c r="K2278" s="15">
        <f>IF(OR(J2278="",G2278=""),"",MAX(J2278,MIN(ROUND(J2278*(1+Параметры!$B$5),IF(J2278*(1+Параметры!$B$5)&gt;=1000,-1,0)),ROUND(G2278*Параметры!$B$6,IF(G2278*Параметры!$B$6&gt;=1000,-1,0)))))</f>
        <v>5520</v>
      </c>
      <c r="L2278" s="16">
        <v>2.5</v>
      </c>
      <c r="M2278" s="17">
        <f t="shared" si="166"/>
        <v>0.4</v>
      </c>
      <c r="N2278" s="17">
        <f>IF(OR(L2278="",L2278=0),"",Параметры!$B$3/L2278)</f>
        <v>3.2</v>
      </c>
      <c r="O2278" s="15">
        <f>IF(L2278="","",IFERROR(INDEX('Почасовка — ставки и план'!$D$5:$D$24,MATCH($D2278,'Почасовка — ставки и план'!$A$5:$A$24,0)),""))</f>
        <v>1500</v>
      </c>
      <c r="P2278" s="15">
        <f>IF(L2278="","",IFERROR(INDEX('Почасовка — ставки и план'!$E$5:$E$24,MATCH($D2278,'Почасовка — ставки и план'!$A$5:$A$24,0)),""))</f>
        <v>1800</v>
      </c>
      <c r="Q2278" s="15">
        <f t="shared" si="167"/>
        <v>3750</v>
      </c>
      <c r="R2278" s="13" t="str">
        <f>IF(D2278="TEX","аренда техники — сделка/счёт",IF(OR(Q2278="",H2278="",H2278=0),"—",IF(Q2278&lt;H2278*(1-Параметры!$B$7),"почасовка",IF(Q2278&gt;H2278*(1+Параметры!$B$7),"сделка","любой способ"))))</f>
        <v>почасовка</v>
      </c>
      <c r="S2278">
        <v>0</v>
      </c>
      <c r="T2278">
        <v>0</v>
      </c>
    </row>
    <row r="2279" spans="1:20" x14ac:dyDescent="0.25">
      <c r="A2279" s="13" t="s">
        <v>4567</v>
      </c>
      <c r="B2279" s="13" t="s">
        <v>4453</v>
      </c>
      <c r="C2279" s="13" t="s">
        <v>144</v>
      </c>
      <c r="D2279" s="13" t="s">
        <v>747</v>
      </c>
      <c r="E2279" s="13" t="str">
        <f>IFERROR(INDEX('Почасовка — ставки и план'!$B$5:$B$24,MATCH(D2279,'Почасовка — ставки и план'!$A$5:$A$24,0)),"Аренда техники / механизмы")</f>
        <v>Механик ПС / подъёмников / прессов / доков</v>
      </c>
      <c r="F2279" s="14">
        <v>3000</v>
      </c>
      <c r="G2279" s="14">
        <v>3500</v>
      </c>
      <c r="H2279" s="15">
        <v>1550</v>
      </c>
      <c r="I2279" s="15">
        <f>IF(OR(H2279="",F2279=""),"",MAX(H2279,MIN(ROUND(H2279*(1+Параметры!$B$5),IF(H2279*(1+Параметры!$B$5)&gt;=1000,-1,0)),ROUND(F2279*Параметры!$B$6,IF(F2279*Параметры!$B$6&gt;=1000,-1,0)))))</f>
        <v>1780</v>
      </c>
      <c r="J2279" s="15">
        <v>1800</v>
      </c>
      <c r="K2279" s="15">
        <f>IF(OR(J2279="",G2279=""),"",MAX(J2279,MIN(ROUND(J2279*(1+Параметры!$B$5),IF(J2279*(1+Параметры!$B$5)&gt;=1000,-1,0)),ROUND(G2279*Параметры!$B$6,IF(G2279*Параметры!$B$6&gt;=1000,-1,0)))))</f>
        <v>2070</v>
      </c>
      <c r="L2279" s="16">
        <v>0.75</v>
      </c>
      <c r="M2279" s="17">
        <f t="shared" si="166"/>
        <v>1.3333333333333333</v>
      </c>
      <c r="N2279" s="17">
        <f>IF(OR(L2279="",L2279=0),"",Параметры!$B$3/L2279)</f>
        <v>10.666666666666666</v>
      </c>
      <c r="O2279" s="15">
        <f>IF(L2279="","",IFERROR(INDEX('Почасовка — ставки и план'!$D$5:$D$24,MATCH($D2279,'Почасовка — ставки и план'!$A$5:$A$24,0)),""))</f>
        <v>1500</v>
      </c>
      <c r="P2279" s="15">
        <f>IF(L2279="","",IFERROR(INDEX('Почасовка — ставки и план'!$E$5:$E$24,MATCH($D2279,'Почасовка — ставки и план'!$A$5:$A$24,0)),""))</f>
        <v>1800</v>
      </c>
      <c r="Q2279" s="15">
        <f t="shared" si="167"/>
        <v>1125</v>
      </c>
      <c r="R2279" s="13" t="str">
        <f>IF(D2279="TEX","аренда техники — сделка/счёт",IF(OR(Q2279="",H2279="",H2279=0),"—",IF(Q2279&lt;H2279*(1-Параметры!$B$7),"почасовка",IF(Q2279&gt;H2279*(1+Параметры!$B$7),"сделка","любой способ"))))</f>
        <v>почасовка</v>
      </c>
      <c r="S2279">
        <v>0</v>
      </c>
      <c r="T2279">
        <v>0</v>
      </c>
    </row>
    <row r="2280" spans="1:20" x14ac:dyDescent="0.25">
      <c r="A2280" s="13" t="s">
        <v>4568</v>
      </c>
      <c r="B2280" s="13" t="s">
        <v>4455</v>
      </c>
      <c r="C2280" s="13" t="s">
        <v>144</v>
      </c>
      <c r="D2280" s="13" t="s">
        <v>747</v>
      </c>
      <c r="E2280" s="13" t="str">
        <f>IFERROR(INDEX('Почасовка — ставки и план'!$B$5:$B$24,MATCH(D2280,'Почасовка — ставки и план'!$A$5:$A$24,0)),"Аренда техники / механизмы")</f>
        <v>Механик ПС / подъёмников / прессов / доков</v>
      </c>
      <c r="F2280" s="14">
        <v>2500</v>
      </c>
      <c r="G2280" s="14">
        <v>2900</v>
      </c>
      <c r="H2280" s="15">
        <v>1300</v>
      </c>
      <c r="I2280" s="15">
        <f>IF(OR(H2280="",F2280=""),"",MAX(H2280,MIN(ROUND(H2280*(1+Параметры!$B$5),IF(H2280*(1+Параметры!$B$5)&gt;=1000,-1,0)),ROUND(F2280*Параметры!$B$6,IF(F2280*Параметры!$B$6&gt;=1000,-1,0)))))</f>
        <v>1500</v>
      </c>
      <c r="J2280" s="15">
        <v>1550</v>
      </c>
      <c r="K2280" s="15">
        <f>IF(OR(J2280="",G2280=""),"",MAX(J2280,MIN(ROUND(J2280*(1+Параметры!$B$5),IF(J2280*(1+Параметры!$B$5)&gt;=1000,-1,0)),ROUND(G2280*Параметры!$B$6,IF(G2280*Параметры!$B$6&gt;=1000,-1,0)))))</f>
        <v>1780</v>
      </c>
      <c r="L2280" s="16">
        <v>0.75</v>
      </c>
      <c r="M2280" s="17">
        <f t="shared" si="166"/>
        <v>1.3333333333333333</v>
      </c>
      <c r="N2280" s="17">
        <f>IF(OR(L2280="",L2280=0),"",Параметры!$B$3/L2280)</f>
        <v>10.666666666666666</v>
      </c>
      <c r="O2280" s="15">
        <f>IF(L2280="","",IFERROR(INDEX('Почасовка — ставки и план'!$D$5:$D$24,MATCH($D2280,'Почасовка — ставки и план'!$A$5:$A$24,0)),""))</f>
        <v>1500</v>
      </c>
      <c r="P2280" s="15">
        <f>IF(L2280="","",IFERROR(INDEX('Почасовка — ставки и план'!$E$5:$E$24,MATCH($D2280,'Почасовка — ставки и план'!$A$5:$A$24,0)),""))</f>
        <v>1800</v>
      </c>
      <c r="Q2280" s="15">
        <f t="shared" si="167"/>
        <v>1125</v>
      </c>
      <c r="R2280" s="13" t="str">
        <f>IF(D2280="TEX","аренда техники — сделка/счёт",IF(OR(Q2280="",H2280="",H2280=0),"—",IF(Q2280&lt;H2280*(1-Параметры!$B$7),"почасовка",IF(Q2280&gt;H2280*(1+Параметры!$B$7),"сделка","любой способ"))))</f>
        <v>почасовка</v>
      </c>
      <c r="S2280">
        <v>0</v>
      </c>
      <c r="T2280">
        <v>0</v>
      </c>
    </row>
    <row r="2281" spans="1:20" x14ac:dyDescent="0.25">
      <c r="A2281" s="13" t="s">
        <v>4569</v>
      </c>
      <c r="B2281" s="13" t="s">
        <v>4570</v>
      </c>
      <c r="C2281" s="13" t="s">
        <v>144</v>
      </c>
      <c r="D2281" s="13" t="s">
        <v>747</v>
      </c>
      <c r="E2281" s="13" t="str">
        <f>IFERROR(INDEX('Почасовка — ставки и план'!$B$5:$B$24,MATCH(D2281,'Почасовка — ставки и план'!$A$5:$A$24,0)),"Аренда техники / механизмы")</f>
        <v>Механик ПС / подъёмников / прессов / доков</v>
      </c>
      <c r="F2281" s="14">
        <v>1500</v>
      </c>
      <c r="G2281" s="14">
        <v>1750</v>
      </c>
      <c r="H2281" s="15">
        <v>840</v>
      </c>
      <c r="I2281" s="15">
        <f>IF(OR(H2281="",F2281=""),"",MAX(H2281,MIN(ROUND(H2281*(1+Параметры!$B$5),IF(H2281*(1+Параметры!$B$5)&gt;=1000,-1,0)),ROUND(F2281*Параметры!$B$6,IF(F2281*Параметры!$B$6&gt;=1000,-1,0)))))</f>
        <v>966</v>
      </c>
      <c r="J2281" s="15">
        <v>960</v>
      </c>
      <c r="K2281" s="15">
        <f>IF(OR(J2281="",G2281=""),"",MAX(J2281,MIN(ROUND(J2281*(1+Параметры!$B$5),IF(J2281*(1+Параметры!$B$5)&gt;=1000,-1,0)),ROUND(G2281*Параметры!$B$6,IF(G2281*Параметры!$B$6&gt;=1000,-1,0)))))</f>
        <v>1100</v>
      </c>
      <c r="L2281" s="16">
        <v>0.5</v>
      </c>
      <c r="M2281" s="17">
        <f t="shared" si="166"/>
        <v>2</v>
      </c>
      <c r="N2281" s="17">
        <f>IF(OR(L2281="",L2281=0),"",Параметры!$B$3/L2281)</f>
        <v>16</v>
      </c>
      <c r="O2281" s="15">
        <f>IF(L2281="","",IFERROR(INDEX('Почасовка — ставки и план'!$D$5:$D$24,MATCH($D2281,'Почасовка — ставки и план'!$A$5:$A$24,0)),""))</f>
        <v>1500</v>
      </c>
      <c r="P2281" s="15">
        <f>IF(L2281="","",IFERROR(INDEX('Почасовка — ставки и план'!$E$5:$E$24,MATCH($D2281,'Почасовка — ставки и план'!$A$5:$A$24,0)),""))</f>
        <v>1800</v>
      </c>
      <c r="Q2281" s="15">
        <f t="shared" si="167"/>
        <v>750</v>
      </c>
      <c r="R2281" s="13" t="str">
        <f>IF(D2281="TEX","аренда техники — сделка/счёт",IF(OR(Q2281="",H2281="",H2281=0),"—",IF(Q2281&lt;H2281*(1-Параметры!$B$7),"почасовка",IF(Q2281&gt;H2281*(1+Параметры!$B$7),"сделка","любой способ"))))</f>
        <v>почасовка</v>
      </c>
      <c r="S2281">
        <v>0</v>
      </c>
      <c r="T2281">
        <v>0</v>
      </c>
    </row>
    <row r="2282" spans="1:20" x14ac:dyDescent="0.25">
      <c r="A2282" s="13" t="s">
        <v>4571</v>
      </c>
      <c r="B2282" s="13" t="s">
        <v>4459</v>
      </c>
      <c r="C2282" s="13" t="s">
        <v>144</v>
      </c>
      <c r="D2282" s="13" t="s">
        <v>747</v>
      </c>
      <c r="E2282" s="13" t="str">
        <f>IFERROR(INDEX('Почасовка — ставки и план'!$B$5:$B$24,MATCH(D2282,'Почасовка — ставки и план'!$A$5:$A$24,0)),"Аренда техники / механизмы")</f>
        <v>Механик ПС / подъёмников / прессов / доков</v>
      </c>
      <c r="F2282" s="14">
        <v>2200</v>
      </c>
      <c r="G2282" s="14">
        <v>2600</v>
      </c>
      <c r="H2282" s="15">
        <v>1250</v>
      </c>
      <c r="I2282" s="15">
        <f>IF(OR(H2282="",F2282=""),"",MAX(H2282,MIN(ROUND(H2282*(1+Параметры!$B$5),IF(H2282*(1+Параметры!$B$5)&gt;=1000,-1,0)),ROUND(F2282*Параметры!$B$6,IF(F2282*Параметры!$B$6&gt;=1000,-1,0)))))</f>
        <v>1440</v>
      </c>
      <c r="J2282" s="15">
        <v>1450</v>
      </c>
      <c r="K2282" s="15">
        <f>IF(OR(J2282="",G2282=""),"",MAX(J2282,MIN(ROUND(J2282*(1+Параметры!$B$5),IF(J2282*(1+Параметры!$B$5)&gt;=1000,-1,0)),ROUND(G2282*Параметры!$B$6,IF(G2282*Параметры!$B$6&gt;=1000,-1,0)))))</f>
        <v>1670</v>
      </c>
      <c r="L2282" s="16">
        <v>0.75</v>
      </c>
      <c r="M2282" s="17">
        <f t="shared" si="166"/>
        <v>1.3333333333333333</v>
      </c>
      <c r="N2282" s="17">
        <f>IF(OR(L2282="",L2282=0),"",Параметры!$B$3/L2282)</f>
        <v>10.666666666666666</v>
      </c>
      <c r="O2282" s="15">
        <f>IF(L2282="","",IFERROR(INDEX('Почасовка — ставки и план'!$D$5:$D$24,MATCH($D2282,'Почасовка — ставки и план'!$A$5:$A$24,0)),""))</f>
        <v>1500</v>
      </c>
      <c r="P2282" s="15">
        <f>IF(L2282="","",IFERROR(INDEX('Почасовка — ставки и план'!$E$5:$E$24,MATCH($D2282,'Почасовка — ставки и план'!$A$5:$A$24,0)),""))</f>
        <v>1800</v>
      </c>
      <c r="Q2282" s="15">
        <f t="shared" si="167"/>
        <v>1125</v>
      </c>
      <c r="R2282" s="13" t="str">
        <f>IF(D2282="TEX","аренда техники — сделка/счёт",IF(OR(Q2282="",H2282="",H2282=0),"—",IF(Q2282&lt;H2282*(1-Параметры!$B$7),"почасовка",IF(Q2282&gt;H2282*(1+Параметры!$B$7),"сделка","любой способ"))))</f>
        <v>любой способ</v>
      </c>
      <c r="S2282">
        <v>0</v>
      </c>
      <c r="T2282">
        <v>0</v>
      </c>
    </row>
    <row r="2283" spans="1:20" x14ac:dyDescent="0.25">
      <c r="A2283" s="13" t="s">
        <v>4572</v>
      </c>
      <c r="B2283" s="13" t="s">
        <v>4461</v>
      </c>
      <c r="C2283" s="13" t="s">
        <v>144</v>
      </c>
      <c r="D2283" s="13" t="s">
        <v>747</v>
      </c>
      <c r="E2283" s="13" t="str">
        <f>IFERROR(INDEX('Почасовка — ставки и план'!$B$5:$B$24,MATCH(D2283,'Почасовка — ставки и план'!$A$5:$A$24,0)),"Аренда техники / механизмы")</f>
        <v>Механик ПС / подъёмников / прессов / доков</v>
      </c>
      <c r="F2283" s="14">
        <v>14000</v>
      </c>
      <c r="G2283" s="14">
        <v>16000</v>
      </c>
      <c r="H2283" s="15">
        <v>8400</v>
      </c>
      <c r="I2283" s="15">
        <f>IF(OR(H2283="",F2283=""),"",MAX(H2283,MIN(ROUND(H2283*(1+Параметры!$B$5),IF(H2283*(1+Параметры!$B$5)&gt;=1000,-1,0)),ROUND(F2283*Параметры!$B$6,IF(F2283*Параметры!$B$6&gt;=1000,-1,0)))))</f>
        <v>9660</v>
      </c>
      <c r="J2283" s="15">
        <v>9600</v>
      </c>
      <c r="K2283" s="15">
        <f>IF(OR(J2283="",G2283=""),"",MAX(J2283,MIN(ROUND(J2283*(1+Параметры!$B$5),IF(J2283*(1+Параметры!$B$5)&gt;=1000,-1,0)),ROUND(G2283*Параметры!$B$6,IF(G2283*Параметры!$B$6&gt;=1000,-1,0)))))</f>
        <v>11040</v>
      </c>
      <c r="L2283" s="16">
        <v>5</v>
      </c>
      <c r="M2283" s="17">
        <f t="shared" si="166"/>
        <v>0.2</v>
      </c>
      <c r="N2283" s="17">
        <f>IF(OR(L2283="",L2283=0),"",Параметры!$B$3/L2283)</f>
        <v>1.6</v>
      </c>
      <c r="O2283" s="15">
        <f>IF(L2283="","",IFERROR(INDEX('Почасовка — ставки и план'!$D$5:$D$24,MATCH($D2283,'Почасовка — ставки и план'!$A$5:$A$24,0)),""))</f>
        <v>1500</v>
      </c>
      <c r="P2283" s="15">
        <f>IF(L2283="","",IFERROR(INDEX('Почасовка — ставки и план'!$E$5:$E$24,MATCH($D2283,'Почасовка — ставки и план'!$A$5:$A$24,0)),""))</f>
        <v>1800</v>
      </c>
      <c r="Q2283" s="15">
        <f t="shared" si="167"/>
        <v>7500</v>
      </c>
      <c r="R2283" s="13" t="str">
        <f>IF(D2283="TEX","аренда техники — сделка/счёт",IF(OR(Q2283="",H2283="",H2283=0),"—",IF(Q2283&lt;H2283*(1-Параметры!$B$7),"почасовка",IF(Q2283&gt;H2283*(1+Параметры!$B$7),"сделка","любой способ"))))</f>
        <v>почасовка</v>
      </c>
      <c r="S2283">
        <v>0</v>
      </c>
      <c r="T2283">
        <v>0</v>
      </c>
    </row>
    <row r="2284" spans="1:20" x14ac:dyDescent="0.25">
      <c r="A2284" s="13" t="s">
        <v>4573</v>
      </c>
      <c r="B2284" s="13" t="s">
        <v>4574</v>
      </c>
      <c r="C2284" s="13" t="s">
        <v>144</v>
      </c>
      <c r="D2284" s="13" t="s">
        <v>747</v>
      </c>
      <c r="E2284" s="13" t="str">
        <f>IFERROR(INDEX('Почасовка — ставки и план'!$B$5:$B$24,MATCH(D2284,'Почасовка — ставки и план'!$A$5:$A$24,0)),"Аренда техники / механизмы")</f>
        <v>Механик ПС / подъёмников / прессов / доков</v>
      </c>
      <c r="F2284" s="14">
        <v>6000</v>
      </c>
      <c r="G2284" s="14">
        <v>7000</v>
      </c>
      <c r="H2284" s="15">
        <v>3600</v>
      </c>
      <c r="I2284" s="15">
        <f>IF(OR(H2284="",F2284=""),"",MAX(H2284,MIN(ROUND(H2284*(1+Параметры!$B$5),IF(H2284*(1+Параметры!$B$5)&gt;=1000,-1,0)),ROUND(F2284*Параметры!$B$6,IF(F2284*Параметры!$B$6&gt;=1000,-1,0)))))</f>
        <v>4140</v>
      </c>
      <c r="J2284" s="15">
        <v>4100</v>
      </c>
      <c r="K2284" s="15">
        <f>IF(OR(J2284="",G2284=""),"",MAX(J2284,MIN(ROUND(J2284*(1+Параметры!$B$5),IF(J2284*(1+Параметры!$B$5)&gt;=1000,-1,0)),ROUND(G2284*Параметры!$B$6,IF(G2284*Параметры!$B$6&gt;=1000,-1,0)))))</f>
        <v>4720</v>
      </c>
      <c r="L2284" s="16">
        <v>2</v>
      </c>
      <c r="M2284" s="17">
        <f t="shared" si="166"/>
        <v>0.5</v>
      </c>
      <c r="N2284" s="17">
        <f>IF(OR(L2284="",L2284=0),"",Параметры!$B$3/L2284)</f>
        <v>4</v>
      </c>
      <c r="O2284" s="15">
        <f>IF(L2284="","",IFERROR(INDEX('Почасовка — ставки и план'!$D$5:$D$24,MATCH($D2284,'Почасовка — ставки и план'!$A$5:$A$24,0)),""))</f>
        <v>1500</v>
      </c>
      <c r="P2284" s="15">
        <f>IF(L2284="","",IFERROR(INDEX('Почасовка — ставки и план'!$E$5:$E$24,MATCH($D2284,'Почасовка — ставки и план'!$A$5:$A$24,0)),""))</f>
        <v>1800</v>
      </c>
      <c r="Q2284" s="15">
        <f t="shared" si="167"/>
        <v>3000</v>
      </c>
      <c r="R2284" s="13" t="str">
        <f>IF(D2284="TEX","аренда техники — сделка/счёт",IF(OR(Q2284="",H2284="",H2284=0),"—",IF(Q2284&lt;H2284*(1-Параметры!$B$7),"почасовка",IF(Q2284&gt;H2284*(1+Параметры!$B$7),"сделка","любой способ"))))</f>
        <v>почасовка</v>
      </c>
      <c r="S2284">
        <v>0</v>
      </c>
      <c r="T2284">
        <v>0</v>
      </c>
    </row>
    <row r="2285" spans="1:20" x14ac:dyDescent="0.25">
      <c r="A2285" s="13" t="s">
        <v>4575</v>
      </c>
      <c r="B2285" s="13" t="s">
        <v>4576</v>
      </c>
      <c r="C2285" s="13" t="s">
        <v>144</v>
      </c>
      <c r="D2285" s="13" t="s">
        <v>747</v>
      </c>
      <c r="E2285" s="13" t="str">
        <f>IFERROR(INDEX('Почасовка — ставки и план'!$B$5:$B$24,MATCH(D2285,'Почасовка — ставки и план'!$A$5:$A$24,0)),"Аренда техники / механизмы")</f>
        <v>Механик ПС / подъёмников / прессов / доков</v>
      </c>
      <c r="F2285" s="14">
        <v>1200</v>
      </c>
      <c r="G2285" s="14">
        <v>1400</v>
      </c>
      <c r="H2285" s="15">
        <v>670</v>
      </c>
      <c r="I2285" s="15">
        <f>IF(OR(H2285="",F2285=""),"",MAX(H2285,MIN(ROUND(H2285*(1+Параметры!$B$5),IF(H2285*(1+Параметры!$B$5)&gt;=1000,-1,0)),ROUND(F2285*Параметры!$B$6,IF(F2285*Параметры!$B$6&gt;=1000,-1,0)))))</f>
        <v>771</v>
      </c>
      <c r="J2285" s="15">
        <v>780</v>
      </c>
      <c r="K2285" s="15">
        <f>IF(OR(J2285="",G2285=""),"",MAX(J2285,MIN(ROUND(J2285*(1+Параметры!$B$5),IF(J2285*(1+Параметры!$B$5)&gt;=1000,-1,0)),ROUND(G2285*Параметры!$B$6,IF(G2285*Параметры!$B$6&gt;=1000,-1,0)))))</f>
        <v>897</v>
      </c>
      <c r="L2285" s="16">
        <v>0.4</v>
      </c>
      <c r="M2285" s="17">
        <f t="shared" ref="M2285:M2316" si="168">IF(OR(L2285="",L2285=0),"",1/L2285)</f>
        <v>2.5</v>
      </c>
      <c r="N2285" s="17">
        <f>IF(OR(L2285="",L2285=0),"",Параметры!$B$3/L2285)</f>
        <v>20</v>
      </c>
      <c r="O2285" s="15">
        <f>IF(L2285="","",IFERROR(INDEX('Почасовка — ставки и план'!$D$5:$D$24,MATCH($D2285,'Почасовка — ставки и план'!$A$5:$A$24,0)),""))</f>
        <v>1500</v>
      </c>
      <c r="P2285" s="15">
        <f>IF(L2285="","",IFERROR(INDEX('Почасовка — ставки и план'!$E$5:$E$24,MATCH($D2285,'Почасовка — ставки и план'!$A$5:$A$24,0)),""))</f>
        <v>1800</v>
      </c>
      <c r="Q2285" s="15">
        <f t="shared" ref="Q2285:Q2316" si="169">IF(OR(L2285="",O2285=""),"",ROUND(L2285*O2285,0))</f>
        <v>600</v>
      </c>
      <c r="R2285" s="13" t="str">
        <f>IF(D2285="TEX","аренда техники — сделка/счёт",IF(OR(Q2285="",H2285="",H2285=0),"—",IF(Q2285&lt;H2285*(1-Параметры!$B$7),"почасовка",IF(Q2285&gt;H2285*(1+Параметры!$B$7),"сделка","любой способ"))))</f>
        <v>почасовка</v>
      </c>
      <c r="S2285">
        <v>0</v>
      </c>
      <c r="T2285">
        <v>0</v>
      </c>
    </row>
    <row r="2286" spans="1:20" x14ac:dyDescent="0.25">
      <c r="A2286" s="13" t="s">
        <v>4577</v>
      </c>
      <c r="B2286" s="13" t="s">
        <v>4578</v>
      </c>
      <c r="C2286" s="13" t="s">
        <v>144</v>
      </c>
      <c r="D2286" s="13" t="s">
        <v>747</v>
      </c>
      <c r="E2286" s="13" t="str">
        <f>IFERROR(INDEX('Почасовка — ставки и план'!$B$5:$B$24,MATCH(D2286,'Почасовка — ставки и план'!$A$5:$A$24,0)),"Аренда техники / механизмы")</f>
        <v>Механик ПС / подъёмников / прессов / доков</v>
      </c>
      <c r="F2286" s="14">
        <v>10000</v>
      </c>
      <c r="G2286" s="14">
        <v>12000</v>
      </c>
      <c r="H2286" s="15">
        <v>6000</v>
      </c>
      <c r="I2286" s="15">
        <f>IF(OR(H2286="",F2286=""),"",MAX(H2286,MIN(ROUND(H2286*(1+Параметры!$B$5),IF(H2286*(1+Параметры!$B$5)&gt;=1000,-1,0)),ROUND(F2286*Параметры!$B$6,IF(F2286*Параметры!$B$6&gt;=1000,-1,0)))))</f>
        <v>6900</v>
      </c>
      <c r="J2286" s="15">
        <v>6950</v>
      </c>
      <c r="K2286" s="15">
        <f>IF(OR(J2286="",G2286=""),"",MAX(J2286,MIN(ROUND(J2286*(1+Параметры!$B$5),IF(J2286*(1+Параметры!$B$5)&gt;=1000,-1,0)),ROUND(G2286*Параметры!$B$6,IF(G2286*Параметры!$B$6&gt;=1000,-1,0)))))</f>
        <v>7990</v>
      </c>
      <c r="L2286" s="16">
        <v>3.5</v>
      </c>
      <c r="M2286" s="17">
        <f t="shared" si="168"/>
        <v>0.2857142857142857</v>
      </c>
      <c r="N2286" s="17">
        <f>IF(OR(L2286="",L2286=0),"",Параметры!$B$3/L2286)</f>
        <v>2.2857142857142856</v>
      </c>
      <c r="O2286" s="15">
        <f>IF(L2286="","",IFERROR(INDEX('Почасовка — ставки и план'!$D$5:$D$24,MATCH($D2286,'Почасовка — ставки и план'!$A$5:$A$24,0)),""))</f>
        <v>1500</v>
      </c>
      <c r="P2286" s="15">
        <f>IF(L2286="","",IFERROR(INDEX('Почасовка — ставки и план'!$E$5:$E$24,MATCH($D2286,'Почасовка — ставки и план'!$A$5:$A$24,0)),""))</f>
        <v>1800</v>
      </c>
      <c r="Q2286" s="15">
        <f t="shared" si="169"/>
        <v>5250</v>
      </c>
      <c r="R2286" s="13" t="str">
        <f>IF(D2286="TEX","аренда техники — сделка/счёт",IF(OR(Q2286="",H2286="",H2286=0),"—",IF(Q2286&lt;H2286*(1-Параметры!$B$7),"почасовка",IF(Q2286&gt;H2286*(1+Параметры!$B$7),"сделка","любой способ"))))</f>
        <v>почасовка</v>
      </c>
      <c r="S2286">
        <v>0</v>
      </c>
      <c r="T2286">
        <v>0</v>
      </c>
    </row>
    <row r="2287" spans="1:20" x14ac:dyDescent="0.25">
      <c r="A2287" s="13" t="s">
        <v>4579</v>
      </c>
      <c r="B2287" s="13" t="s">
        <v>4580</v>
      </c>
      <c r="C2287" s="13" t="s">
        <v>144</v>
      </c>
      <c r="D2287" s="13" t="s">
        <v>747</v>
      </c>
      <c r="E2287" s="13" t="str">
        <f>IFERROR(INDEX('Почасовка — ставки и план'!$B$5:$B$24,MATCH(D2287,'Почасовка — ставки и план'!$A$5:$A$24,0)),"Аренда техники / механизмы")</f>
        <v>Механик ПС / подъёмников / прессов / доков</v>
      </c>
      <c r="F2287" s="14">
        <v>2200</v>
      </c>
      <c r="G2287" s="14">
        <v>2600</v>
      </c>
      <c r="H2287" s="15">
        <v>1250</v>
      </c>
      <c r="I2287" s="15">
        <f>IF(OR(H2287="",F2287=""),"",MAX(H2287,MIN(ROUND(H2287*(1+Параметры!$B$5),IF(H2287*(1+Параметры!$B$5)&gt;=1000,-1,0)),ROUND(F2287*Параметры!$B$6,IF(F2287*Параметры!$B$6&gt;=1000,-1,0)))))</f>
        <v>1440</v>
      </c>
      <c r="J2287" s="15">
        <v>1450</v>
      </c>
      <c r="K2287" s="15">
        <f>IF(OR(J2287="",G2287=""),"",MAX(J2287,MIN(ROUND(J2287*(1+Параметры!$B$5),IF(J2287*(1+Параметры!$B$5)&gt;=1000,-1,0)),ROUND(G2287*Параметры!$B$6,IF(G2287*Параметры!$B$6&gt;=1000,-1,0)))))</f>
        <v>1670</v>
      </c>
      <c r="L2287" s="16">
        <v>0.75</v>
      </c>
      <c r="M2287" s="17">
        <f t="shared" si="168"/>
        <v>1.3333333333333333</v>
      </c>
      <c r="N2287" s="17">
        <f>IF(OR(L2287="",L2287=0),"",Параметры!$B$3/L2287)</f>
        <v>10.666666666666666</v>
      </c>
      <c r="O2287" s="15">
        <f>IF(L2287="","",IFERROR(INDEX('Почасовка — ставки и план'!$D$5:$D$24,MATCH($D2287,'Почасовка — ставки и план'!$A$5:$A$24,0)),""))</f>
        <v>1500</v>
      </c>
      <c r="P2287" s="15">
        <f>IF(L2287="","",IFERROR(INDEX('Почасовка — ставки и план'!$E$5:$E$24,MATCH($D2287,'Почасовка — ставки и план'!$A$5:$A$24,0)),""))</f>
        <v>1800</v>
      </c>
      <c r="Q2287" s="15">
        <f t="shared" si="169"/>
        <v>1125</v>
      </c>
      <c r="R2287" s="13" t="str">
        <f>IF(D2287="TEX","аренда техники — сделка/счёт",IF(OR(Q2287="",H2287="",H2287=0),"—",IF(Q2287&lt;H2287*(1-Параметры!$B$7),"почасовка",IF(Q2287&gt;H2287*(1+Параметры!$B$7),"сделка","любой способ"))))</f>
        <v>любой способ</v>
      </c>
      <c r="S2287">
        <v>0</v>
      </c>
      <c r="T2287">
        <v>0</v>
      </c>
    </row>
    <row r="2288" spans="1:20" x14ac:dyDescent="0.25">
      <c r="A2288" s="13" t="s">
        <v>4581</v>
      </c>
      <c r="B2288" s="13" t="s">
        <v>4582</v>
      </c>
      <c r="C2288" s="13" t="s">
        <v>144</v>
      </c>
      <c r="D2288" s="13" t="s">
        <v>64</v>
      </c>
      <c r="E2288" s="13" t="str">
        <f>IFERROR(INDEX('Почасовка — ставки и план'!$B$5:$B$24,MATCH(D2288,'Почасовка — ставки и план'!$A$5:$A$24,0)),"Аренда техники / механизмы")</f>
        <v>Сварщик / монтажник МК</v>
      </c>
      <c r="F2288" s="14">
        <v>9000</v>
      </c>
      <c r="G2288" s="14">
        <v>10500</v>
      </c>
      <c r="H2288" s="15">
        <v>5050</v>
      </c>
      <c r="I2288" s="15">
        <f>IF(OR(H2288="",F2288=""),"",MAX(H2288,MIN(ROUND(H2288*(1+Параметры!$B$5),IF(H2288*(1+Параметры!$B$5)&gt;=1000,-1,0)),ROUND(F2288*Параметры!$B$6,IF(F2288*Параметры!$B$6&gt;=1000,-1,0)))))</f>
        <v>5810</v>
      </c>
      <c r="J2288" s="15">
        <v>5900</v>
      </c>
      <c r="K2288" s="15">
        <f>IF(OR(J2288="",G2288=""),"",MAX(J2288,MIN(ROUND(J2288*(1+Параметры!$B$5),IF(J2288*(1+Параметры!$B$5)&gt;=1000,-1,0)),ROUND(G2288*Параметры!$B$6,IF(G2288*Параметры!$B$6&gt;=1000,-1,0)))))</f>
        <v>6790</v>
      </c>
      <c r="L2288" s="16">
        <v>3</v>
      </c>
      <c r="M2288" s="17">
        <f t="shared" si="168"/>
        <v>0.33333333333333331</v>
      </c>
      <c r="N2288" s="17">
        <f>IF(OR(L2288="",L2288=0),"",Параметры!$B$3/L2288)</f>
        <v>2.6666666666666665</v>
      </c>
      <c r="O2288" s="15">
        <f>IF(L2288="","",IFERROR(INDEX('Почасовка — ставки и план'!$D$5:$D$24,MATCH($D2288,'Почасовка — ставки и план'!$A$5:$A$24,0)),""))</f>
        <v>900</v>
      </c>
      <c r="P2288" s="15">
        <f>IF(L2288="","",IFERROR(INDEX('Почасовка — ставки и план'!$E$5:$E$24,MATCH($D2288,'Почасовка — ставки и план'!$A$5:$A$24,0)),""))</f>
        <v>1080</v>
      </c>
      <c r="Q2288" s="15">
        <f t="shared" si="169"/>
        <v>2700</v>
      </c>
      <c r="R2288" s="13" t="str">
        <f>IF(D2288="TEX","аренда техники — сделка/счёт",IF(OR(Q2288="",H2288="",H2288=0),"—",IF(Q2288&lt;H2288*(1-Параметры!$B$7),"почасовка",IF(Q2288&gt;H2288*(1+Параметры!$B$7),"сделка","любой способ"))))</f>
        <v>почасовка</v>
      </c>
      <c r="S2288">
        <v>0</v>
      </c>
      <c r="T2288">
        <v>0</v>
      </c>
    </row>
    <row r="2289" spans="1:20" x14ac:dyDescent="0.25">
      <c r="A2289" s="13" t="s">
        <v>4583</v>
      </c>
      <c r="B2289" s="13" t="s">
        <v>4584</v>
      </c>
      <c r="C2289" s="13" t="s">
        <v>144</v>
      </c>
      <c r="D2289" s="13" t="s">
        <v>64</v>
      </c>
      <c r="E2289" s="13" t="str">
        <f>IFERROR(INDEX('Почасовка — ставки и план'!$B$5:$B$24,MATCH(D2289,'Почасовка — ставки и план'!$A$5:$A$24,0)),"Аренда техники / механизмы")</f>
        <v>Сварщик / монтажник МК</v>
      </c>
      <c r="F2289" s="14">
        <v>11500</v>
      </c>
      <c r="G2289" s="14">
        <v>13500</v>
      </c>
      <c r="H2289" s="15">
        <v>6600</v>
      </c>
      <c r="I2289" s="15">
        <f>IF(OR(H2289="",F2289=""),"",MAX(H2289,MIN(ROUND(H2289*(1+Параметры!$B$5),IF(H2289*(1+Параметры!$B$5)&gt;=1000,-1,0)),ROUND(F2289*Параметры!$B$6,IF(F2289*Параметры!$B$6&gt;=1000,-1,0)))))</f>
        <v>7590</v>
      </c>
      <c r="J2289" s="15">
        <v>7550</v>
      </c>
      <c r="K2289" s="15">
        <f>IF(OR(J2289="",G2289=""),"",MAX(J2289,MIN(ROUND(J2289*(1+Параметры!$B$5),IF(J2289*(1+Параметры!$B$5)&gt;=1000,-1,0)),ROUND(G2289*Параметры!$B$6,IF(G2289*Параметры!$B$6&gt;=1000,-1,0)))))</f>
        <v>8680</v>
      </c>
      <c r="L2289" s="16">
        <v>3</v>
      </c>
      <c r="M2289" s="17">
        <f t="shared" si="168"/>
        <v>0.33333333333333331</v>
      </c>
      <c r="N2289" s="17">
        <f>IF(OR(L2289="",L2289=0),"",Параметры!$B$3/L2289)</f>
        <v>2.6666666666666665</v>
      </c>
      <c r="O2289" s="15">
        <f>IF(L2289="","",IFERROR(INDEX('Почасовка — ставки и план'!$D$5:$D$24,MATCH($D2289,'Почасовка — ставки и план'!$A$5:$A$24,0)),""))</f>
        <v>900</v>
      </c>
      <c r="P2289" s="15">
        <f>IF(L2289="","",IFERROR(INDEX('Почасовка — ставки и план'!$E$5:$E$24,MATCH($D2289,'Почасовка — ставки и план'!$A$5:$A$24,0)),""))</f>
        <v>1080</v>
      </c>
      <c r="Q2289" s="15">
        <f t="shared" si="169"/>
        <v>2700</v>
      </c>
      <c r="R2289" s="13" t="str">
        <f>IF(D2289="TEX","аренда техники — сделка/счёт",IF(OR(Q2289="",H2289="",H2289=0),"—",IF(Q2289&lt;H2289*(1-Параметры!$B$7),"почасовка",IF(Q2289&gt;H2289*(1+Параметры!$B$7),"сделка","любой способ"))))</f>
        <v>почасовка</v>
      </c>
      <c r="S2289">
        <v>0</v>
      </c>
      <c r="T2289">
        <v>0</v>
      </c>
    </row>
    <row r="2290" spans="1:20" x14ac:dyDescent="0.25">
      <c r="A2290" s="13" t="s">
        <v>4585</v>
      </c>
      <c r="B2290" s="13" t="s">
        <v>4586</v>
      </c>
      <c r="C2290" s="13" t="s">
        <v>144</v>
      </c>
      <c r="D2290" s="13" t="s">
        <v>747</v>
      </c>
      <c r="E2290" s="13" t="str">
        <f>IFERROR(INDEX('Почасовка — ставки и план'!$B$5:$B$24,MATCH(D2290,'Почасовка — ставки и план'!$A$5:$A$24,0)),"Аренда техники / механизмы")</f>
        <v>Механик ПС / подъёмников / прессов / доков</v>
      </c>
      <c r="F2290" s="14">
        <v>20000</v>
      </c>
      <c r="G2290" s="14">
        <v>24000</v>
      </c>
      <c r="H2290" s="15">
        <v>12000</v>
      </c>
      <c r="I2290" s="15">
        <f>IF(OR(H2290="",F2290=""),"",MAX(H2290,MIN(ROUND(H2290*(1+Параметры!$B$5),IF(H2290*(1+Параметры!$B$5)&gt;=1000,-1,0)),ROUND(F2290*Параметры!$B$6,IF(F2290*Параметры!$B$6&gt;=1000,-1,0)))))</f>
        <v>13800</v>
      </c>
      <c r="J2290" s="15">
        <v>14400</v>
      </c>
      <c r="K2290" s="15">
        <f>IF(OR(J2290="",G2290=""),"",MAX(J2290,MIN(ROUND(J2290*(1+Параметры!$B$5),IF(J2290*(1+Параметры!$B$5)&gt;=1000,-1,0)),ROUND(G2290*Параметры!$B$6,IF(G2290*Параметры!$B$6&gt;=1000,-1,0)))))</f>
        <v>16560</v>
      </c>
      <c r="L2290" s="16">
        <v>6</v>
      </c>
      <c r="M2290" s="17">
        <f t="shared" si="168"/>
        <v>0.16666666666666666</v>
      </c>
      <c r="N2290" s="17">
        <f>IF(OR(L2290="",L2290=0),"",Параметры!$B$3/L2290)</f>
        <v>1.3333333333333333</v>
      </c>
      <c r="O2290" s="15">
        <f>IF(L2290="","",IFERROR(INDEX('Почасовка — ставки и план'!$D$5:$D$24,MATCH($D2290,'Почасовка — ставки и план'!$A$5:$A$24,0)),""))</f>
        <v>1500</v>
      </c>
      <c r="P2290" s="15">
        <f>IF(L2290="","",IFERROR(INDEX('Почасовка — ставки и план'!$E$5:$E$24,MATCH($D2290,'Почасовка — ставки и план'!$A$5:$A$24,0)),""))</f>
        <v>1800</v>
      </c>
      <c r="Q2290" s="15">
        <f t="shared" si="169"/>
        <v>9000</v>
      </c>
      <c r="R2290" s="13" t="str">
        <f>IF(D2290="TEX","аренда техники — сделка/счёт",IF(OR(Q2290="",H2290="",H2290=0),"—",IF(Q2290&lt;H2290*(1-Параметры!$B$7),"почасовка",IF(Q2290&gt;H2290*(1+Параметры!$B$7),"сделка","любой способ"))))</f>
        <v>почасовка</v>
      </c>
      <c r="S2290">
        <v>0</v>
      </c>
      <c r="T2290">
        <v>0</v>
      </c>
    </row>
    <row r="2291" spans="1:20" x14ac:dyDescent="0.25">
      <c r="A2291" s="13" t="s">
        <v>4587</v>
      </c>
      <c r="B2291" s="13" t="s">
        <v>4493</v>
      </c>
      <c r="C2291" s="13" t="s">
        <v>144</v>
      </c>
      <c r="D2291" s="13" t="s">
        <v>747</v>
      </c>
      <c r="E2291" s="13" t="str">
        <f>IFERROR(INDEX('Почасовка — ставки и план'!$B$5:$B$24,MATCH(D2291,'Почасовка — ставки и план'!$A$5:$A$24,0)),"Аренда техники / механизмы")</f>
        <v>Механик ПС / подъёмников / прессов / доков</v>
      </c>
      <c r="F2291" s="14">
        <v>42000</v>
      </c>
      <c r="G2291" s="14">
        <v>48000</v>
      </c>
      <c r="H2291" s="15">
        <v>31500</v>
      </c>
      <c r="I2291" s="15">
        <f>IF(OR(H2291="",F2291=""),"",MAX(H2291,MIN(ROUND(H2291*(1+Параметры!$B$5),IF(H2291*(1+Параметры!$B$5)&gt;=1000,-1,0)),ROUND(F2291*Параметры!$B$6,IF(F2291*Параметры!$B$6&gt;=1000,-1,0)))))</f>
        <v>31500</v>
      </c>
      <c r="J2291" s="15">
        <v>36000</v>
      </c>
      <c r="K2291" s="15">
        <f>IF(OR(J2291="",G2291=""),"",MAX(J2291,MIN(ROUND(J2291*(1+Параметры!$B$5),IF(J2291*(1+Параметры!$B$5)&gt;=1000,-1,0)),ROUND(G2291*Параметры!$B$6,IF(G2291*Параметры!$B$6&gt;=1000,-1,0)))))</f>
        <v>36000</v>
      </c>
      <c r="L2291" s="16">
        <v>10</v>
      </c>
      <c r="M2291" s="17">
        <f t="shared" si="168"/>
        <v>0.1</v>
      </c>
      <c r="N2291" s="17">
        <f>IF(OR(L2291="",L2291=0),"",Параметры!$B$3/L2291)</f>
        <v>0.8</v>
      </c>
      <c r="O2291" s="15">
        <f>IF(L2291="","",IFERROR(INDEX('Почасовка — ставки и план'!$D$5:$D$24,MATCH($D2291,'Почасовка — ставки и план'!$A$5:$A$24,0)),""))</f>
        <v>1500</v>
      </c>
      <c r="P2291" s="15">
        <f>IF(L2291="","",IFERROR(INDEX('Почасовка — ставки и план'!$E$5:$E$24,MATCH($D2291,'Почасовка — ставки и план'!$A$5:$A$24,0)),""))</f>
        <v>1800</v>
      </c>
      <c r="Q2291" s="15">
        <f t="shared" si="169"/>
        <v>15000</v>
      </c>
      <c r="R2291" s="13" t="str">
        <f>IF(D2291="TEX","аренда техники — сделка/счёт",IF(OR(Q2291="",H2291="",H2291=0),"—",IF(Q2291&lt;H2291*(1-Параметры!$B$7),"почасовка",IF(Q2291&gt;H2291*(1+Параметры!$B$7),"сделка","любой способ"))))</f>
        <v>почасовка</v>
      </c>
      <c r="S2291">
        <v>0</v>
      </c>
      <c r="T2291">
        <v>0</v>
      </c>
    </row>
    <row r="2292" spans="1:20" x14ac:dyDescent="0.25">
      <c r="A2292" s="13" t="s">
        <v>4588</v>
      </c>
      <c r="B2292" s="13" t="s">
        <v>4589</v>
      </c>
      <c r="C2292" s="13" t="s">
        <v>144</v>
      </c>
      <c r="D2292" s="13" t="s">
        <v>747</v>
      </c>
      <c r="E2292" s="13" t="str">
        <f>IFERROR(INDEX('Почасовка — ставки и план'!$B$5:$B$24,MATCH(D2292,'Почасовка — ставки и план'!$A$5:$A$24,0)),"Аренда техники / механизмы")</f>
        <v>Механик ПС / подъёмников / прессов / доков</v>
      </c>
      <c r="F2292" s="14">
        <v>4500</v>
      </c>
      <c r="G2292" s="14">
        <v>5200</v>
      </c>
      <c r="H2292" s="15">
        <v>2500</v>
      </c>
      <c r="I2292" s="15">
        <f>IF(OR(H2292="",F2292=""),"",MAX(H2292,MIN(ROUND(H2292*(1+Параметры!$B$5),IF(H2292*(1+Параметры!$B$5)&gt;=1000,-1,0)),ROUND(F2292*Параметры!$B$6,IF(F2292*Параметры!$B$6&gt;=1000,-1,0)))))</f>
        <v>2880</v>
      </c>
      <c r="J2292" s="15">
        <v>2900</v>
      </c>
      <c r="K2292" s="15">
        <f>IF(OR(J2292="",G2292=""),"",MAX(J2292,MIN(ROUND(J2292*(1+Параметры!$B$5),IF(J2292*(1+Параметры!$B$5)&gt;=1000,-1,0)),ROUND(G2292*Параметры!$B$6,IF(G2292*Параметры!$B$6&gt;=1000,-1,0)))))</f>
        <v>3340</v>
      </c>
      <c r="L2292" s="16">
        <v>1.5</v>
      </c>
      <c r="M2292" s="17">
        <f t="shared" si="168"/>
        <v>0.66666666666666663</v>
      </c>
      <c r="N2292" s="17">
        <f>IF(OR(L2292="",L2292=0),"",Параметры!$B$3/L2292)</f>
        <v>5.333333333333333</v>
      </c>
      <c r="O2292" s="15">
        <f>IF(L2292="","",IFERROR(INDEX('Почасовка — ставки и план'!$D$5:$D$24,MATCH($D2292,'Почасовка — ставки и план'!$A$5:$A$24,0)),""))</f>
        <v>1500</v>
      </c>
      <c r="P2292" s="15">
        <f>IF(L2292="","",IFERROR(INDEX('Почасовка — ставки и план'!$E$5:$E$24,MATCH($D2292,'Почасовка — ставки и план'!$A$5:$A$24,0)),""))</f>
        <v>1800</v>
      </c>
      <c r="Q2292" s="15">
        <f t="shared" si="169"/>
        <v>2250</v>
      </c>
      <c r="R2292" s="13" t="str">
        <f>IF(D2292="TEX","аренда техники — сделка/счёт",IF(OR(Q2292="",H2292="",H2292=0),"—",IF(Q2292&lt;H2292*(1-Параметры!$B$7),"почасовка",IF(Q2292&gt;H2292*(1+Параметры!$B$7),"сделка","любой способ"))))</f>
        <v>любой способ</v>
      </c>
      <c r="S2292">
        <v>0</v>
      </c>
      <c r="T2292">
        <v>0</v>
      </c>
    </row>
    <row r="2293" spans="1:20" x14ac:dyDescent="0.25">
      <c r="A2293" s="13" t="s">
        <v>4590</v>
      </c>
      <c r="B2293" s="13" t="s">
        <v>4591</v>
      </c>
      <c r="C2293" s="13" t="s">
        <v>144</v>
      </c>
      <c r="D2293" s="13" t="s">
        <v>747</v>
      </c>
      <c r="E2293" s="13" t="str">
        <f>IFERROR(INDEX('Почасовка — ставки и план'!$B$5:$B$24,MATCH(D2293,'Почасовка — ставки и план'!$A$5:$A$24,0)),"Аренда техники / механизмы")</f>
        <v>Механик ПС / подъёмников / прессов / доков</v>
      </c>
      <c r="F2293" s="14">
        <v>3600</v>
      </c>
      <c r="G2293" s="14">
        <v>4200</v>
      </c>
      <c r="H2293" s="15">
        <v>2050</v>
      </c>
      <c r="I2293" s="15">
        <f>IF(OR(H2293="",F2293=""),"",MAX(H2293,MIN(ROUND(H2293*(1+Параметры!$B$5),IF(H2293*(1+Параметры!$B$5)&gt;=1000,-1,0)),ROUND(F2293*Параметры!$B$6,IF(F2293*Параметры!$B$6&gt;=1000,-1,0)))))</f>
        <v>2360</v>
      </c>
      <c r="J2293" s="15">
        <v>2400</v>
      </c>
      <c r="K2293" s="15">
        <f>IF(OR(J2293="",G2293=""),"",MAX(J2293,MIN(ROUND(J2293*(1+Параметры!$B$5),IF(J2293*(1+Параметры!$B$5)&gt;=1000,-1,0)),ROUND(G2293*Параметры!$B$6,IF(G2293*Параметры!$B$6&gt;=1000,-1,0)))))</f>
        <v>2760</v>
      </c>
      <c r="L2293" s="16">
        <v>1.2</v>
      </c>
      <c r="M2293" s="17">
        <f t="shared" si="168"/>
        <v>0.83333333333333337</v>
      </c>
      <c r="N2293" s="17">
        <f>IF(OR(L2293="",L2293=0),"",Параметры!$B$3/L2293)</f>
        <v>6.666666666666667</v>
      </c>
      <c r="O2293" s="15">
        <f>IF(L2293="","",IFERROR(INDEX('Почасовка — ставки и план'!$D$5:$D$24,MATCH($D2293,'Почасовка — ставки и план'!$A$5:$A$24,0)),""))</f>
        <v>1500</v>
      </c>
      <c r="P2293" s="15">
        <f>IF(L2293="","",IFERROR(INDEX('Почасовка — ставки и план'!$E$5:$E$24,MATCH($D2293,'Почасовка — ставки и план'!$A$5:$A$24,0)),""))</f>
        <v>1800</v>
      </c>
      <c r="Q2293" s="15">
        <f t="shared" si="169"/>
        <v>1800</v>
      </c>
      <c r="R2293" s="13" t="str">
        <f>IF(D2293="TEX","аренда техники — сделка/счёт",IF(OR(Q2293="",H2293="",H2293=0),"—",IF(Q2293&lt;H2293*(1-Параметры!$B$7),"почасовка",IF(Q2293&gt;H2293*(1+Параметры!$B$7),"сделка","любой способ"))))</f>
        <v>почасовка</v>
      </c>
      <c r="S2293">
        <v>0</v>
      </c>
      <c r="T2293">
        <v>0</v>
      </c>
    </row>
    <row r="2294" spans="1:20" x14ac:dyDescent="0.25">
      <c r="A2294" s="13" t="s">
        <v>4592</v>
      </c>
      <c r="B2294" s="13" t="s">
        <v>4495</v>
      </c>
      <c r="C2294" s="13" t="s">
        <v>144</v>
      </c>
      <c r="D2294" s="13" t="s">
        <v>747</v>
      </c>
      <c r="E2294" s="13" t="str">
        <f>IFERROR(INDEX('Почасовка — ставки и план'!$B$5:$B$24,MATCH(D2294,'Почасовка — ставки и план'!$A$5:$A$24,0)),"Аренда техники / механизмы")</f>
        <v>Механик ПС / подъёмников / прессов / доков</v>
      </c>
      <c r="F2294" s="14">
        <v>50000</v>
      </c>
      <c r="G2294" s="14">
        <v>57000</v>
      </c>
      <c r="H2294" s="15">
        <v>37500</v>
      </c>
      <c r="I2294" s="15">
        <f>IF(OR(H2294="",F2294=""),"",MAX(H2294,MIN(ROUND(H2294*(1+Параметры!$B$5),IF(H2294*(1+Параметры!$B$5)&gt;=1000,-1,0)),ROUND(F2294*Параметры!$B$6,IF(F2294*Параметры!$B$6&gt;=1000,-1,0)))))</f>
        <v>37500</v>
      </c>
      <c r="J2294" s="15">
        <v>42750</v>
      </c>
      <c r="K2294" s="15">
        <f>IF(OR(J2294="",G2294=""),"",MAX(J2294,MIN(ROUND(J2294*(1+Параметры!$B$5),IF(J2294*(1+Параметры!$B$5)&gt;=1000,-1,0)),ROUND(G2294*Параметры!$B$6,IF(G2294*Параметры!$B$6&gt;=1000,-1,0)))))</f>
        <v>42750</v>
      </c>
      <c r="L2294" s="16">
        <v>10</v>
      </c>
      <c r="M2294" s="17">
        <f t="shared" si="168"/>
        <v>0.1</v>
      </c>
      <c r="N2294" s="17">
        <f>IF(OR(L2294="",L2294=0),"",Параметры!$B$3/L2294)</f>
        <v>0.8</v>
      </c>
      <c r="O2294" s="15">
        <f>IF(L2294="","",IFERROR(INDEX('Почасовка — ставки и план'!$D$5:$D$24,MATCH($D2294,'Почасовка — ставки и план'!$A$5:$A$24,0)),""))</f>
        <v>1500</v>
      </c>
      <c r="P2294" s="15">
        <f>IF(L2294="","",IFERROR(INDEX('Почасовка — ставки и план'!$E$5:$E$24,MATCH($D2294,'Почасовка — ставки и план'!$A$5:$A$24,0)),""))</f>
        <v>1800</v>
      </c>
      <c r="Q2294" s="15">
        <f t="shared" si="169"/>
        <v>15000</v>
      </c>
      <c r="R2294" s="13" t="str">
        <f>IF(D2294="TEX","аренда техники — сделка/счёт",IF(OR(Q2294="",H2294="",H2294=0),"—",IF(Q2294&lt;H2294*(1-Параметры!$B$7),"почасовка",IF(Q2294&gt;H2294*(1+Параметры!$B$7),"сделка","любой способ"))))</f>
        <v>почасовка</v>
      </c>
      <c r="S2294">
        <v>0</v>
      </c>
      <c r="T2294">
        <v>0</v>
      </c>
    </row>
    <row r="2295" spans="1:20" x14ac:dyDescent="0.25">
      <c r="A2295" s="13" t="s">
        <v>4593</v>
      </c>
      <c r="B2295" s="13" t="s">
        <v>4594</v>
      </c>
      <c r="C2295" s="13" t="s">
        <v>144</v>
      </c>
      <c r="D2295" s="13" t="s">
        <v>747</v>
      </c>
      <c r="E2295" s="13" t="str">
        <f>IFERROR(INDEX('Почасовка — ставки и план'!$B$5:$B$24,MATCH(D2295,'Почасовка — ставки и план'!$A$5:$A$24,0)),"Аренда техники / механизмы")</f>
        <v>Механик ПС / подъёмников / прессов / доков</v>
      </c>
      <c r="F2295" s="14">
        <v>16000</v>
      </c>
      <c r="G2295" s="14">
        <v>18500</v>
      </c>
      <c r="H2295" s="15">
        <v>9600</v>
      </c>
      <c r="I2295" s="15">
        <f>IF(OR(H2295="",F2295=""),"",MAX(H2295,MIN(ROUND(H2295*(1+Параметры!$B$5),IF(H2295*(1+Параметры!$B$5)&gt;=1000,-1,0)),ROUND(F2295*Параметры!$B$6,IF(F2295*Параметры!$B$6&gt;=1000,-1,0)))))</f>
        <v>11040</v>
      </c>
      <c r="J2295" s="15">
        <v>11050</v>
      </c>
      <c r="K2295" s="15">
        <f>IF(OR(J2295="",G2295=""),"",MAX(J2295,MIN(ROUND(J2295*(1+Параметры!$B$5),IF(J2295*(1+Параметры!$B$5)&gt;=1000,-1,0)),ROUND(G2295*Параметры!$B$6,IF(G2295*Параметры!$B$6&gt;=1000,-1,0)))))</f>
        <v>12710</v>
      </c>
      <c r="L2295" s="16">
        <v>6</v>
      </c>
      <c r="M2295" s="17">
        <f t="shared" si="168"/>
        <v>0.16666666666666666</v>
      </c>
      <c r="N2295" s="17">
        <f>IF(OR(L2295="",L2295=0),"",Параметры!$B$3/L2295)</f>
        <v>1.3333333333333333</v>
      </c>
      <c r="O2295" s="15">
        <f>IF(L2295="","",IFERROR(INDEX('Почасовка — ставки и план'!$D$5:$D$24,MATCH($D2295,'Почасовка — ставки и план'!$A$5:$A$24,0)),""))</f>
        <v>1500</v>
      </c>
      <c r="P2295" s="15">
        <f>IF(L2295="","",IFERROR(INDEX('Почасовка — ставки и план'!$E$5:$E$24,MATCH($D2295,'Почасовка — ставки и план'!$A$5:$A$24,0)),""))</f>
        <v>1800</v>
      </c>
      <c r="Q2295" s="15">
        <f t="shared" si="169"/>
        <v>9000</v>
      </c>
      <c r="R2295" s="13" t="str">
        <f>IF(D2295="TEX","аренда техники — сделка/счёт",IF(OR(Q2295="",H2295="",H2295=0),"—",IF(Q2295&lt;H2295*(1-Параметры!$B$7),"почасовка",IF(Q2295&gt;H2295*(1+Параметры!$B$7),"сделка","любой способ"))))</f>
        <v>любой способ</v>
      </c>
      <c r="S2295">
        <v>0</v>
      </c>
      <c r="T2295">
        <v>0</v>
      </c>
    </row>
    <row r="2296" spans="1:20" x14ac:dyDescent="0.25">
      <c r="A2296" s="13" t="s">
        <v>4595</v>
      </c>
      <c r="B2296" s="13" t="s">
        <v>4596</v>
      </c>
      <c r="C2296" s="13" t="s">
        <v>144</v>
      </c>
      <c r="D2296" s="13" t="s">
        <v>747</v>
      </c>
      <c r="E2296" s="13" t="str">
        <f>IFERROR(INDEX('Почасовка — ставки и план'!$B$5:$B$24,MATCH(D2296,'Почасовка — ставки и план'!$A$5:$A$24,0)),"Аренда техники / механизмы")</f>
        <v>Механик ПС / подъёмников / прессов / доков</v>
      </c>
      <c r="F2296" s="14">
        <v>900</v>
      </c>
      <c r="G2296" s="14">
        <v>1050</v>
      </c>
      <c r="H2296" s="15">
        <v>500</v>
      </c>
      <c r="I2296" s="15">
        <f>IF(OR(H2296="",F2296=""),"",MAX(H2296,MIN(ROUND(H2296*(1+Параметры!$B$5),IF(H2296*(1+Параметры!$B$5)&gt;=1000,-1,0)),ROUND(F2296*Параметры!$B$6,IF(F2296*Параметры!$B$6&gt;=1000,-1,0)))))</f>
        <v>575</v>
      </c>
      <c r="J2296" s="15">
        <v>580</v>
      </c>
      <c r="K2296" s="15">
        <f>IF(OR(J2296="",G2296=""),"",MAX(J2296,MIN(ROUND(J2296*(1+Параметры!$B$5),IF(J2296*(1+Параметры!$B$5)&gt;=1000,-1,0)),ROUND(G2296*Параметры!$B$6,IF(G2296*Параметры!$B$6&gt;=1000,-1,0)))))</f>
        <v>667</v>
      </c>
      <c r="L2296" s="16">
        <v>0.3</v>
      </c>
      <c r="M2296" s="17">
        <f t="shared" si="168"/>
        <v>3.3333333333333335</v>
      </c>
      <c r="N2296" s="17">
        <f>IF(OR(L2296="",L2296=0),"",Параметры!$B$3/L2296)</f>
        <v>26.666666666666668</v>
      </c>
      <c r="O2296" s="15">
        <f>IF(L2296="","",IFERROR(INDEX('Почасовка — ставки и план'!$D$5:$D$24,MATCH($D2296,'Почасовка — ставки и план'!$A$5:$A$24,0)),""))</f>
        <v>1500</v>
      </c>
      <c r="P2296" s="15">
        <f>IF(L2296="","",IFERROR(INDEX('Почасовка — ставки и план'!$E$5:$E$24,MATCH($D2296,'Почасовка — ставки и план'!$A$5:$A$24,0)),""))</f>
        <v>1800</v>
      </c>
      <c r="Q2296" s="15">
        <f t="shared" si="169"/>
        <v>450</v>
      </c>
      <c r="R2296" s="13" t="str">
        <f>IF(D2296="TEX","аренда техники — сделка/счёт",IF(OR(Q2296="",H2296="",H2296=0),"—",IF(Q2296&lt;H2296*(1-Параметры!$B$7),"почасовка",IF(Q2296&gt;H2296*(1+Параметры!$B$7),"сделка","любой способ"))))</f>
        <v>любой способ</v>
      </c>
      <c r="S2296">
        <v>0</v>
      </c>
      <c r="T2296">
        <v>0</v>
      </c>
    </row>
    <row r="2297" spans="1:20" x14ac:dyDescent="0.25">
      <c r="A2297" s="13" t="s">
        <v>4597</v>
      </c>
      <c r="B2297" s="13" t="s">
        <v>4598</v>
      </c>
      <c r="C2297" s="13" t="s">
        <v>144</v>
      </c>
      <c r="D2297" s="13" t="s">
        <v>747</v>
      </c>
      <c r="E2297" s="13" t="str">
        <f>IFERROR(INDEX('Почасовка — ставки и план'!$B$5:$B$24,MATCH(D2297,'Почасовка — ставки и план'!$A$5:$A$24,0)),"Аренда техники / механизмы")</f>
        <v>Механик ПС / подъёмников / прессов / доков</v>
      </c>
      <c r="F2297" s="14">
        <v>3000</v>
      </c>
      <c r="G2297" s="14">
        <v>3500</v>
      </c>
      <c r="H2297" s="15">
        <v>1700</v>
      </c>
      <c r="I2297" s="15">
        <f>IF(OR(H2297="",F2297=""),"",MAX(H2297,MIN(ROUND(H2297*(1+Параметры!$B$5),IF(H2297*(1+Параметры!$B$5)&gt;=1000,-1,0)),ROUND(F2297*Параметры!$B$6,IF(F2297*Параметры!$B$6&gt;=1000,-1,0)))))</f>
        <v>1960</v>
      </c>
      <c r="J2297" s="15">
        <v>1900</v>
      </c>
      <c r="K2297" s="15">
        <f>IF(OR(J2297="",G2297=""),"",MAX(J2297,MIN(ROUND(J2297*(1+Параметры!$B$5),IF(J2297*(1+Параметры!$B$5)&gt;=1000,-1,0)),ROUND(G2297*Параметры!$B$6,IF(G2297*Параметры!$B$6&gt;=1000,-1,0)))))</f>
        <v>2190</v>
      </c>
      <c r="L2297" s="16">
        <v>1</v>
      </c>
      <c r="M2297" s="17">
        <f t="shared" si="168"/>
        <v>1</v>
      </c>
      <c r="N2297" s="17">
        <f>IF(OR(L2297="",L2297=0),"",Параметры!$B$3/L2297)</f>
        <v>8</v>
      </c>
      <c r="O2297" s="15">
        <f>IF(L2297="","",IFERROR(INDEX('Почасовка — ставки и план'!$D$5:$D$24,MATCH($D2297,'Почасовка — ставки и план'!$A$5:$A$24,0)),""))</f>
        <v>1500</v>
      </c>
      <c r="P2297" s="15">
        <f>IF(L2297="","",IFERROR(INDEX('Почасовка — ставки и план'!$E$5:$E$24,MATCH($D2297,'Почасовка — ставки и план'!$A$5:$A$24,0)),""))</f>
        <v>1800</v>
      </c>
      <c r="Q2297" s="15">
        <f t="shared" si="169"/>
        <v>1500</v>
      </c>
      <c r="R2297" s="13" t="str">
        <f>IF(D2297="TEX","аренда техники — сделка/счёт",IF(OR(Q2297="",H2297="",H2297=0),"—",IF(Q2297&lt;H2297*(1-Параметры!$B$7),"почасовка",IF(Q2297&gt;H2297*(1+Параметры!$B$7),"сделка","любой способ"))))</f>
        <v>почасовка</v>
      </c>
      <c r="S2297">
        <v>0</v>
      </c>
      <c r="T2297">
        <v>0</v>
      </c>
    </row>
    <row r="2298" spans="1:20" x14ac:dyDescent="0.25">
      <c r="A2298" s="13" t="s">
        <v>4599</v>
      </c>
      <c r="B2298" s="13" t="s">
        <v>4600</v>
      </c>
      <c r="C2298" s="13" t="s">
        <v>144</v>
      </c>
      <c r="D2298" s="13" t="s">
        <v>747</v>
      </c>
      <c r="E2298" s="13" t="str">
        <f>IFERROR(INDEX('Почасовка — ставки и план'!$B$5:$B$24,MATCH(D2298,'Почасовка — ставки и план'!$A$5:$A$24,0)),"Аренда техники / механизмы")</f>
        <v>Механик ПС / подъёмников / прессов / доков</v>
      </c>
      <c r="F2298" s="14">
        <v>1500</v>
      </c>
      <c r="G2298" s="14">
        <v>1750</v>
      </c>
      <c r="H2298" s="15">
        <v>840</v>
      </c>
      <c r="I2298" s="15">
        <f>IF(OR(H2298="",F2298=""),"",MAX(H2298,MIN(ROUND(H2298*(1+Параметры!$B$5),IF(H2298*(1+Параметры!$B$5)&gt;=1000,-1,0)),ROUND(F2298*Параметры!$B$6,IF(F2298*Параметры!$B$6&gt;=1000,-1,0)))))</f>
        <v>966</v>
      </c>
      <c r="J2298" s="15">
        <v>960</v>
      </c>
      <c r="K2298" s="15">
        <f>IF(OR(J2298="",G2298=""),"",MAX(J2298,MIN(ROUND(J2298*(1+Параметры!$B$5),IF(J2298*(1+Параметры!$B$5)&gt;=1000,-1,0)),ROUND(G2298*Параметры!$B$6,IF(G2298*Параметры!$B$6&gt;=1000,-1,0)))))</f>
        <v>1100</v>
      </c>
      <c r="L2298" s="16">
        <v>0.5</v>
      </c>
      <c r="M2298" s="17">
        <f t="shared" si="168"/>
        <v>2</v>
      </c>
      <c r="N2298" s="17">
        <f>IF(OR(L2298="",L2298=0),"",Параметры!$B$3/L2298)</f>
        <v>16</v>
      </c>
      <c r="O2298" s="15">
        <f>IF(L2298="","",IFERROR(INDEX('Почасовка — ставки и план'!$D$5:$D$24,MATCH($D2298,'Почасовка — ставки и план'!$A$5:$A$24,0)),""))</f>
        <v>1500</v>
      </c>
      <c r="P2298" s="15">
        <f>IF(L2298="","",IFERROR(INDEX('Почасовка — ставки и план'!$E$5:$E$24,MATCH($D2298,'Почасовка — ставки и план'!$A$5:$A$24,0)),""))</f>
        <v>1800</v>
      </c>
      <c r="Q2298" s="15">
        <f t="shared" si="169"/>
        <v>750</v>
      </c>
      <c r="R2298" s="13" t="str">
        <f>IF(D2298="TEX","аренда техники — сделка/счёт",IF(OR(Q2298="",H2298="",H2298=0),"—",IF(Q2298&lt;H2298*(1-Параметры!$B$7),"почасовка",IF(Q2298&gt;H2298*(1+Параметры!$B$7),"сделка","любой способ"))))</f>
        <v>почасовка</v>
      </c>
      <c r="S2298">
        <v>0</v>
      </c>
      <c r="T2298">
        <v>0</v>
      </c>
    </row>
    <row r="2299" spans="1:20" x14ac:dyDescent="0.25">
      <c r="A2299" s="13" t="s">
        <v>4601</v>
      </c>
      <c r="B2299" s="13" t="s">
        <v>4602</v>
      </c>
      <c r="C2299" s="13" t="s">
        <v>144</v>
      </c>
      <c r="D2299" s="13" t="s">
        <v>747</v>
      </c>
      <c r="E2299" s="13" t="str">
        <f>IFERROR(INDEX('Почасовка — ставки и план'!$B$5:$B$24,MATCH(D2299,'Почасовка — ставки и план'!$A$5:$A$24,0)),"Аренда техники / механизмы")</f>
        <v>Механик ПС / подъёмников / прессов / доков</v>
      </c>
      <c r="F2299" s="14">
        <v>3000</v>
      </c>
      <c r="G2299" s="14">
        <v>3500</v>
      </c>
      <c r="H2299" s="15">
        <v>1700</v>
      </c>
      <c r="I2299" s="15">
        <f>IF(OR(H2299="",F2299=""),"",MAX(H2299,MIN(ROUND(H2299*(1+Параметры!$B$5),IF(H2299*(1+Параметры!$B$5)&gt;=1000,-1,0)),ROUND(F2299*Параметры!$B$6,IF(F2299*Параметры!$B$6&gt;=1000,-1,0)))))</f>
        <v>1960</v>
      </c>
      <c r="J2299" s="15">
        <v>1900</v>
      </c>
      <c r="K2299" s="15">
        <f>IF(OR(J2299="",G2299=""),"",MAX(J2299,MIN(ROUND(J2299*(1+Параметры!$B$5),IF(J2299*(1+Параметры!$B$5)&gt;=1000,-1,0)),ROUND(G2299*Параметры!$B$6,IF(G2299*Параметры!$B$6&gt;=1000,-1,0)))))</f>
        <v>2190</v>
      </c>
      <c r="L2299" s="16">
        <v>1</v>
      </c>
      <c r="M2299" s="17">
        <f t="shared" si="168"/>
        <v>1</v>
      </c>
      <c r="N2299" s="17">
        <f>IF(OR(L2299="",L2299=0),"",Параметры!$B$3/L2299)</f>
        <v>8</v>
      </c>
      <c r="O2299" s="15">
        <f>IF(L2299="","",IFERROR(INDEX('Почасовка — ставки и план'!$D$5:$D$24,MATCH($D2299,'Почасовка — ставки и план'!$A$5:$A$24,0)),""))</f>
        <v>1500</v>
      </c>
      <c r="P2299" s="15">
        <f>IF(L2299="","",IFERROR(INDEX('Почасовка — ставки и план'!$E$5:$E$24,MATCH($D2299,'Почасовка — ставки и план'!$A$5:$A$24,0)),""))</f>
        <v>1800</v>
      </c>
      <c r="Q2299" s="15">
        <f t="shared" si="169"/>
        <v>1500</v>
      </c>
      <c r="R2299" s="13" t="str">
        <f>IF(D2299="TEX","аренда техники — сделка/счёт",IF(OR(Q2299="",H2299="",H2299=0),"—",IF(Q2299&lt;H2299*(1-Параметры!$B$7),"почасовка",IF(Q2299&gt;H2299*(1+Параметры!$B$7),"сделка","любой способ"))))</f>
        <v>почасовка</v>
      </c>
      <c r="S2299">
        <v>0</v>
      </c>
      <c r="T2299">
        <v>0</v>
      </c>
    </row>
    <row r="2300" spans="1:20" x14ac:dyDescent="0.25">
      <c r="A2300" s="13" t="s">
        <v>4603</v>
      </c>
      <c r="B2300" s="13" t="s">
        <v>4604</v>
      </c>
      <c r="C2300" s="13" t="s">
        <v>144</v>
      </c>
      <c r="D2300" s="13" t="s">
        <v>747</v>
      </c>
      <c r="E2300" s="13" t="str">
        <f>IFERROR(INDEX('Почасовка — ставки и план'!$B$5:$B$24,MATCH(D2300,'Почасовка — ставки и план'!$A$5:$A$24,0)),"Аренда техники / механизмы")</f>
        <v>Механик ПС / подъёмников / прессов / доков</v>
      </c>
      <c r="F2300" s="14">
        <v>900</v>
      </c>
      <c r="G2300" s="14">
        <v>1050</v>
      </c>
      <c r="H2300" s="15">
        <v>500</v>
      </c>
      <c r="I2300" s="15">
        <f>IF(OR(H2300="",F2300=""),"",MAX(H2300,MIN(ROUND(H2300*(1+Параметры!$B$5),IF(H2300*(1+Параметры!$B$5)&gt;=1000,-1,0)),ROUND(F2300*Параметры!$B$6,IF(F2300*Параметры!$B$6&gt;=1000,-1,0)))))</f>
        <v>575</v>
      </c>
      <c r="J2300" s="15">
        <v>580</v>
      </c>
      <c r="K2300" s="15">
        <f>IF(OR(J2300="",G2300=""),"",MAX(J2300,MIN(ROUND(J2300*(1+Параметры!$B$5),IF(J2300*(1+Параметры!$B$5)&gt;=1000,-1,0)),ROUND(G2300*Параметры!$B$6,IF(G2300*Параметры!$B$6&gt;=1000,-1,0)))))</f>
        <v>667</v>
      </c>
      <c r="L2300" s="16">
        <v>0.3</v>
      </c>
      <c r="M2300" s="17">
        <f t="shared" si="168"/>
        <v>3.3333333333333335</v>
      </c>
      <c r="N2300" s="17">
        <f>IF(OR(L2300="",L2300=0),"",Параметры!$B$3/L2300)</f>
        <v>26.666666666666668</v>
      </c>
      <c r="O2300" s="15">
        <f>IF(L2300="","",IFERROR(INDEX('Почасовка — ставки и план'!$D$5:$D$24,MATCH($D2300,'Почасовка — ставки и план'!$A$5:$A$24,0)),""))</f>
        <v>1500</v>
      </c>
      <c r="P2300" s="15">
        <f>IF(L2300="","",IFERROR(INDEX('Почасовка — ставки и план'!$E$5:$E$24,MATCH($D2300,'Почасовка — ставки и план'!$A$5:$A$24,0)),""))</f>
        <v>1800</v>
      </c>
      <c r="Q2300" s="15">
        <f t="shared" si="169"/>
        <v>450</v>
      </c>
      <c r="R2300" s="13" t="str">
        <f>IF(D2300="TEX","аренда техники — сделка/счёт",IF(OR(Q2300="",H2300="",H2300=0),"—",IF(Q2300&lt;H2300*(1-Параметры!$B$7),"почасовка",IF(Q2300&gt;H2300*(1+Параметры!$B$7),"сделка","любой способ"))))</f>
        <v>любой способ</v>
      </c>
      <c r="S2300">
        <v>0</v>
      </c>
      <c r="T2300">
        <v>0</v>
      </c>
    </row>
    <row r="2301" spans="1:20" x14ac:dyDescent="0.25">
      <c r="A2301" s="13" t="s">
        <v>4605</v>
      </c>
      <c r="B2301" s="13" t="s">
        <v>4606</v>
      </c>
      <c r="C2301" s="13" t="s">
        <v>144</v>
      </c>
      <c r="D2301" s="13" t="s">
        <v>747</v>
      </c>
      <c r="E2301" s="13" t="str">
        <f>IFERROR(INDEX('Почасовка — ставки и план'!$B$5:$B$24,MATCH(D2301,'Почасовка — ставки и план'!$A$5:$A$24,0)),"Аренда техники / механизмы")</f>
        <v>Механик ПС / подъёмников / прессов / доков</v>
      </c>
      <c r="F2301" s="14">
        <v>1500</v>
      </c>
      <c r="G2301" s="14">
        <v>1750</v>
      </c>
      <c r="H2301" s="15">
        <v>840</v>
      </c>
      <c r="I2301" s="15">
        <f>IF(OR(H2301="",F2301=""),"",MAX(H2301,MIN(ROUND(H2301*(1+Параметры!$B$5),IF(H2301*(1+Параметры!$B$5)&gt;=1000,-1,0)),ROUND(F2301*Параметры!$B$6,IF(F2301*Параметры!$B$6&gt;=1000,-1,0)))))</f>
        <v>966</v>
      </c>
      <c r="J2301" s="15">
        <v>960</v>
      </c>
      <c r="K2301" s="15">
        <f>IF(OR(J2301="",G2301=""),"",MAX(J2301,MIN(ROUND(J2301*(1+Параметры!$B$5),IF(J2301*(1+Параметры!$B$5)&gt;=1000,-1,0)),ROUND(G2301*Параметры!$B$6,IF(G2301*Параметры!$B$6&gt;=1000,-1,0)))))</f>
        <v>1100</v>
      </c>
      <c r="L2301" s="16">
        <v>0.5</v>
      </c>
      <c r="M2301" s="17">
        <f t="shared" si="168"/>
        <v>2</v>
      </c>
      <c r="N2301" s="17">
        <f>IF(OR(L2301="",L2301=0),"",Параметры!$B$3/L2301)</f>
        <v>16</v>
      </c>
      <c r="O2301" s="15">
        <f>IF(L2301="","",IFERROR(INDEX('Почасовка — ставки и план'!$D$5:$D$24,MATCH($D2301,'Почасовка — ставки и план'!$A$5:$A$24,0)),""))</f>
        <v>1500</v>
      </c>
      <c r="P2301" s="15">
        <f>IF(L2301="","",IFERROR(INDEX('Почасовка — ставки и план'!$E$5:$E$24,MATCH($D2301,'Почасовка — ставки и план'!$A$5:$A$24,0)),""))</f>
        <v>1800</v>
      </c>
      <c r="Q2301" s="15">
        <f t="shared" si="169"/>
        <v>750</v>
      </c>
      <c r="R2301" s="13" t="str">
        <f>IF(D2301="TEX","аренда техники — сделка/счёт",IF(OR(Q2301="",H2301="",H2301=0),"—",IF(Q2301&lt;H2301*(1-Параметры!$B$7),"почасовка",IF(Q2301&gt;H2301*(1+Параметры!$B$7),"сделка","любой способ"))))</f>
        <v>почасовка</v>
      </c>
      <c r="S2301">
        <v>0</v>
      </c>
      <c r="T2301">
        <v>0</v>
      </c>
    </row>
    <row r="2302" spans="1:20" x14ac:dyDescent="0.25">
      <c r="A2302" s="13" t="s">
        <v>4607</v>
      </c>
      <c r="B2302" s="13" t="s">
        <v>4608</v>
      </c>
      <c r="C2302" s="13" t="s">
        <v>144</v>
      </c>
      <c r="D2302" s="13" t="s">
        <v>747</v>
      </c>
      <c r="E2302" s="13" t="str">
        <f>IFERROR(INDEX('Почасовка — ставки и план'!$B$5:$B$24,MATCH(D2302,'Почасовка — ставки и план'!$A$5:$A$24,0)),"Аренда техники / механизмы")</f>
        <v>Механик ПС / подъёмников / прессов / доков</v>
      </c>
      <c r="F2302" s="14">
        <v>1500</v>
      </c>
      <c r="G2302" s="14">
        <v>1750</v>
      </c>
      <c r="H2302" s="15">
        <v>840</v>
      </c>
      <c r="I2302" s="15">
        <f>IF(OR(H2302="",F2302=""),"",MAX(H2302,MIN(ROUND(H2302*(1+Параметры!$B$5),IF(H2302*(1+Параметры!$B$5)&gt;=1000,-1,0)),ROUND(F2302*Параметры!$B$6,IF(F2302*Параметры!$B$6&gt;=1000,-1,0)))))</f>
        <v>966</v>
      </c>
      <c r="J2302" s="15">
        <v>960</v>
      </c>
      <c r="K2302" s="15">
        <f>IF(OR(J2302="",G2302=""),"",MAX(J2302,MIN(ROUND(J2302*(1+Параметры!$B$5),IF(J2302*(1+Параметры!$B$5)&gt;=1000,-1,0)),ROUND(G2302*Параметры!$B$6,IF(G2302*Параметры!$B$6&gt;=1000,-1,0)))))</f>
        <v>1100</v>
      </c>
      <c r="L2302" s="16">
        <v>0.5</v>
      </c>
      <c r="M2302" s="17">
        <f t="shared" si="168"/>
        <v>2</v>
      </c>
      <c r="N2302" s="17">
        <f>IF(OR(L2302="",L2302=0),"",Параметры!$B$3/L2302)</f>
        <v>16</v>
      </c>
      <c r="O2302" s="15">
        <f>IF(L2302="","",IFERROR(INDEX('Почасовка — ставки и план'!$D$5:$D$24,MATCH($D2302,'Почасовка — ставки и план'!$A$5:$A$24,0)),""))</f>
        <v>1500</v>
      </c>
      <c r="P2302" s="15">
        <f>IF(L2302="","",IFERROR(INDEX('Почасовка — ставки и план'!$E$5:$E$24,MATCH($D2302,'Почасовка — ставки и план'!$A$5:$A$24,0)),""))</f>
        <v>1800</v>
      </c>
      <c r="Q2302" s="15">
        <f t="shared" si="169"/>
        <v>750</v>
      </c>
      <c r="R2302" s="13" t="str">
        <f>IF(D2302="TEX","аренда техники — сделка/счёт",IF(OR(Q2302="",H2302="",H2302=0),"—",IF(Q2302&lt;H2302*(1-Параметры!$B$7),"почасовка",IF(Q2302&gt;H2302*(1+Параметры!$B$7),"сделка","любой способ"))))</f>
        <v>почасовка</v>
      </c>
      <c r="S2302">
        <v>0</v>
      </c>
      <c r="T2302">
        <v>0</v>
      </c>
    </row>
    <row r="2303" spans="1:20" x14ac:dyDescent="0.25">
      <c r="A2303" s="13" t="s">
        <v>4609</v>
      </c>
      <c r="B2303" s="13" t="s">
        <v>4610</v>
      </c>
      <c r="C2303" s="13" t="s">
        <v>144</v>
      </c>
      <c r="D2303" s="13" t="s">
        <v>747</v>
      </c>
      <c r="E2303" s="13" t="str">
        <f>IFERROR(INDEX('Почасовка — ставки и план'!$B$5:$B$24,MATCH(D2303,'Почасовка — ставки и план'!$A$5:$A$24,0)),"Аренда техники / механизмы")</f>
        <v>Механик ПС / подъёмников / прессов / доков</v>
      </c>
      <c r="F2303" s="14">
        <v>7500</v>
      </c>
      <c r="G2303" s="14">
        <v>8700</v>
      </c>
      <c r="H2303" s="15">
        <v>4200</v>
      </c>
      <c r="I2303" s="15">
        <f>IF(OR(H2303="",F2303=""),"",MAX(H2303,MIN(ROUND(H2303*(1+Параметры!$B$5),IF(H2303*(1+Параметры!$B$5)&gt;=1000,-1,0)),ROUND(F2303*Параметры!$B$6,IF(F2303*Параметры!$B$6&gt;=1000,-1,0)))))</f>
        <v>4830</v>
      </c>
      <c r="J2303" s="15">
        <v>4800</v>
      </c>
      <c r="K2303" s="15">
        <f>IF(OR(J2303="",G2303=""),"",MAX(J2303,MIN(ROUND(J2303*(1+Параметры!$B$5),IF(J2303*(1+Параметры!$B$5)&gt;=1000,-1,0)),ROUND(G2303*Параметры!$B$6,IF(G2303*Параметры!$B$6&gt;=1000,-1,0)))))</f>
        <v>5520</v>
      </c>
      <c r="L2303" s="16">
        <v>2.5</v>
      </c>
      <c r="M2303" s="17">
        <f t="shared" si="168"/>
        <v>0.4</v>
      </c>
      <c r="N2303" s="17">
        <f>IF(OR(L2303="",L2303=0),"",Параметры!$B$3/L2303)</f>
        <v>3.2</v>
      </c>
      <c r="O2303" s="15">
        <f>IF(L2303="","",IFERROR(INDEX('Почасовка — ставки и план'!$D$5:$D$24,MATCH($D2303,'Почасовка — ставки и план'!$A$5:$A$24,0)),""))</f>
        <v>1500</v>
      </c>
      <c r="P2303" s="15">
        <f>IF(L2303="","",IFERROR(INDEX('Почасовка — ставки и план'!$E$5:$E$24,MATCH($D2303,'Почасовка — ставки и план'!$A$5:$A$24,0)),""))</f>
        <v>1800</v>
      </c>
      <c r="Q2303" s="15">
        <f t="shared" si="169"/>
        <v>3750</v>
      </c>
      <c r="R2303" s="13" t="str">
        <f>IF(D2303="TEX","аренда техники — сделка/счёт",IF(OR(Q2303="",H2303="",H2303=0),"—",IF(Q2303&lt;H2303*(1-Параметры!$B$7),"почасовка",IF(Q2303&gt;H2303*(1+Параметры!$B$7),"сделка","любой способ"))))</f>
        <v>почасовка</v>
      </c>
      <c r="S2303">
        <v>0</v>
      </c>
      <c r="T2303">
        <v>0</v>
      </c>
    </row>
    <row r="2304" spans="1:20" x14ac:dyDescent="0.25">
      <c r="A2304" s="13" t="s">
        <v>4611</v>
      </c>
      <c r="B2304" s="13" t="s">
        <v>4612</v>
      </c>
      <c r="C2304" s="13" t="s">
        <v>144</v>
      </c>
      <c r="D2304" s="13" t="s">
        <v>747</v>
      </c>
      <c r="E2304" s="13" t="str">
        <f>IFERROR(INDEX('Почасовка — ставки и план'!$B$5:$B$24,MATCH(D2304,'Почасовка — ставки и план'!$A$5:$A$24,0)),"Аренда техники / механизмы")</f>
        <v>Механик ПС / подъёмников / прессов / доков</v>
      </c>
      <c r="F2304" s="14">
        <v>2200</v>
      </c>
      <c r="G2304" s="14">
        <v>2600</v>
      </c>
      <c r="H2304" s="15">
        <v>1250</v>
      </c>
      <c r="I2304" s="15">
        <f>IF(OR(H2304="",F2304=""),"",MAX(H2304,MIN(ROUND(H2304*(1+Параметры!$B$5),IF(H2304*(1+Параметры!$B$5)&gt;=1000,-1,0)),ROUND(F2304*Параметры!$B$6,IF(F2304*Параметры!$B$6&gt;=1000,-1,0)))))</f>
        <v>1440</v>
      </c>
      <c r="J2304" s="15">
        <v>1450</v>
      </c>
      <c r="K2304" s="15">
        <f>IF(OR(J2304="",G2304=""),"",MAX(J2304,MIN(ROUND(J2304*(1+Параметры!$B$5),IF(J2304*(1+Параметры!$B$5)&gt;=1000,-1,0)),ROUND(G2304*Параметры!$B$6,IF(G2304*Параметры!$B$6&gt;=1000,-1,0)))))</f>
        <v>1670</v>
      </c>
      <c r="L2304" s="16">
        <v>0.75</v>
      </c>
      <c r="M2304" s="17">
        <f t="shared" si="168"/>
        <v>1.3333333333333333</v>
      </c>
      <c r="N2304" s="17">
        <f>IF(OR(L2304="",L2304=0),"",Параметры!$B$3/L2304)</f>
        <v>10.666666666666666</v>
      </c>
      <c r="O2304" s="15">
        <f>IF(L2304="","",IFERROR(INDEX('Почасовка — ставки и план'!$D$5:$D$24,MATCH($D2304,'Почасовка — ставки и план'!$A$5:$A$24,0)),""))</f>
        <v>1500</v>
      </c>
      <c r="P2304" s="15">
        <f>IF(L2304="","",IFERROR(INDEX('Почасовка — ставки и план'!$E$5:$E$24,MATCH($D2304,'Почасовка — ставки и план'!$A$5:$A$24,0)),""))</f>
        <v>1800</v>
      </c>
      <c r="Q2304" s="15">
        <f t="shared" si="169"/>
        <v>1125</v>
      </c>
      <c r="R2304" s="13" t="str">
        <f>IF(D2304="TEX","аренда техники — сделка/счёт",IF(OR(Q2304="",H2304="",H2304=0),"—",IF(Q2304&lt;H2304*(1-Параметры!$B$7),"почасовка",IF(Q2304&gt;H2304*(1+Параметры!$B$7),"сделка","любой способ"))))</f>
        <v>любой способ</v>
      </c>
      <c r="S2304">
        <v>0</v>
      </c>
      <c r="T2304">
        <v>0</v>
      </c>
    </row>
    <row r="2305" spans="1:20" x14ac:dyDescent="0.25">
      <c r="A2305" s="13" t="s">
        <v>4613</v>
      </c>
      <c r="B2305" s="13" t="s">
        <v>4614</v>
      </c>
      <c r="C2305" s="13" t="s">
        <v>144</v>
      </c>
      <c r="D2305" s="13" t="s">
        <v>64</v>
      </c>
      <c r="E2305" s="13" t="str">
        <f>IFERROR(INDEX('Почасовка — ставки и план'!$B$5:$B$24,MATCH(D2305,'Почасовка — ставки и план'!$A$5:$A$24,0)),"Аренда техники / механизмы")</f>
        <v>Сварщик / монтажник МК</v>
      </c>
      <c r="F2305" s="14">
        <v>14000</v>
      </c>
      <c r="G2305" s="14">
        <v>16000</v>
      </c>
      <c r="H2305" s="15">
        <v>7800</v>
      </c>
      <c r="I2305" s="15">
        <f>IF(OR(H2305="",F2305=""),"",MAX(H2305,MIN(ROUND(H2305*(1+Параметры!$B$5),IF(H2305*(1+Параметры!$B$5)&gt;=1000,-1,0)),ROUND(F2305*Параметры!$B$6,IF(F2305*Параметры!$B$6&gt;=1000,-1,0)))))</f>
        <v>8970</v>
      </c>
      <c r="J2305" s="15">
        <v>9000</v>
      </c>
      <c r="K2305" s="15">
        <f>IF(OR(J2305="",G2305=""),"",MAX(J2305,MIN(ROUND(J2305*(1+Параметры!$B$5),IF(J2305*(1+Параметры!$B$5)&gt;=1000,-1,0)),ROUND(G2305*Параметры!$B$6,IF(G2305*Параметры!$B$6&gt;=1000,-1,0)))))</f>
        <v>10350</v>
      </c>
      <c r="L2305" s="16">
        <v>4</v>
      </c>
      <c r="M2305" s="17">
        <f t="shared" si="168"/>
        <v>0.25</v>
      </c>
      <c r="N2305" s="17">
        <f>IF(OR(L2305="",L2305=0),"",Параметры!$B$3/L2305)</f>
        <v>2</v>
      </c>
      <c r="O2305" s="15">
        <f>IF(L2305="","",IFERROR(INDEX('Почасовка — ставки и план'!$D$5:$D$24,MATCH($D2305,'Почасовка — ставки и план'!$A$5:$A$24,0)),""))</f>
        <v>900</v>
      </c>
      <c r="P2305" s="15">
        <f>IF(L2305="","",IFERROR(INDEX('Почасовка — ставки и план'!$E$5:$E$24,MATCH($D2305,'Почасовка — ставки и план'!$A$5:$A$24,0)),""))</f>
        <v>1080</v>
      </c>
      <c r="Q2305" s="15">
        <f t="shared" si="169"/>
        <v>3600</v>
      </c>
      <c r="R2305" s="13" t="str">
        <f>IF(D2305="TEX","аренда техники — сделка/счёт",IF(OR(Q2305="",H2305="",H2305=0),"—",IF(Q2305&lt;H2305*(1-Параметры!$B$7),"почасовка",IF(Q2305&gt;H2305*(1+Параметры!$B$7),"сделка","любой способ"))))</f>
        <v>почасовка</v>
      </c>
      <c r="S2305">
        <v>0</v>
      </c>
      <c r="T2305">
        <v>0</v>
      </c>
    </row>
    <row r="2306" spans="1:20" x14ac:dyDescent="0.25">
      <c r="A2306" s="13" t="s">
        <v>4615</v>
      </c>
      <c r="B2306" s="13" t="s">
        <v>4616</v>
      </c>
      <c r="C2306" s="13" t="s">
        <v>144</v>
      </c>
      <c r="D2306" s="13" t="s">
        <v>747</v>
      </c>
      <c r="E2306" s="13" t="str">
        <f>IFERROR(INDEX('Почасовка — ставки и план'!$B$5:$B$24,MATCH(D2306,'Почасовка — ставки и план'!$A$5:$A$24,0)),"Аренда техники / механизмы")</f>
        <v>Механик ПС / подъёмников / прессов / доков</v>
      </c>
      <c r="F2306" s="14">
        <v>7500</v>
      </c>
      <c r="G2306" s="14">
        <v>8700</v>
      </c>
      <c r="H2306" s="15">
        <v>4200</v>
      </c>
      <c r="I2306" s="15">
        <f>IF(OR(H2306="",F2306=""),"",MAX(H2306,MIN(ROUND(H2306*(1+Параметры!$B$5),IF(H2306*(1+Параметры!$B$5)&gt;=1000,-1,0)),ROUND(F2306*Параметры!$B$6,IF(F2306*Параметры!$B$6&gt;=1000,-1,0)))))</f>
        <v>4830</v>
      </c>
      <c r="J2306" s="15">
        <v>4800</v>
      </c>
      <c r="K2306" s="15">
        <f>IF(OR(J2306="",G2306=""),"",MAX(J2306,MIN(ROUND(J2306*(1+Параметры!$B$5),IF(J2306*(1+Параметры!$B$5)&gt;=1000,-1,0)),ROUND(G2306*Параметры!$B$6,IF(G2306*Параметры!$B$6&gt;=1000,-1,0)))))</f>
        <v>5520</v>
      </c>
      <c r="L2306" s="16">
        <v>2.5</v>
      </c>
      <c r="M2306" s="17">
        <f t="shared" si="168"/>
        <v>0.4</v>
      </c>
      <c r="N2306" s="17">
        <f>IF(OR(L2306="",L2306=0),"",Параметры!$B$3/L2306)</f>
        <v>3.2</v>
      </c>
      <c r="O2306" s="15">
        <f>IF(L2306="","",IFERROR(INDEX('Почасовка — ставки и план'!$D$5:$D$24,MATCH($D2306,'Почасовка — ставки и план'!$A$5:$A$24,0)),""))</f>
        <v>1500</v>
      </c>
      <c r="P2306" s="15">
        <f>IF(L2306="","",IFERROR(INDEX('Почасовка — ставки и план'!$E$5:$E$24,MATCH($D2306,'Почасовка — ставки и план'!$A$5:$A$24,0)),""))</f>
        <v>1800</v>
      </c>
      <c r="Q2306" s="15">
        <f t="shared" si="169"/>
        <v>3750</v>
      </c>
      <c r="R2306" s="13" t="str">
        <f>IF(D2306="TEX","аренда техники — сделка/счёт",IF(OR(Q2306="",H2306="",H2306=0),"—",IF(Q2306&lt;H2306*(1-Параметры!$B$7),"почасовка",IF(Q2306&gt;H2306*(1+Параметры!$B$7),"сделка","любой способ"))))</f>
        <v>почасовка</v>
      </c>
      <c r="S2306">
        <v>0</v>
      </c>
      <c r="T2306">
        <v>0</v>
      </c>
    </row>
    <row r="2307" spans="1:20" x14ac:dyDescent="0.25">
      <c r="A2307" s="13" t="s">
        <v>4617</v>
      </c>
      <c r="B2307" s="13" t="s">
        <v>4618</v>
      </c>
      <c r="C2307" s="13" t="s">
        <v>144</v>
      </c>
      <c r="D2307" s="13" t="s">
        <v>747</v>
      </c>
      <c r="E2307" s="13" t="str">
        <f>IFERROR(INDEX('Почасовка — ставки и план'!$B$5:$B$24,MATCH(D2307,'Почасовка — ставки и план'!$A$5:$A$24,0)),"Аренда техники / механизмы")</f>
        <v>Механик ПС / подъёмников / прессов / доков</v>
      </c>
      <c r="F2307" s="14">
        <v>14000</v>
      </c>
      <c r="G2307" s="14">
        <v>17000</v>
      </c>
      <c r="H2307" s="15">
        <v>8400</v>
      </c>
      <c r="I2307" s="15">
        <f>IF(OR(H2307="",F2307=""),"",MAX(H2307,MIN(ROUND(H2307*(1+Параметры!$B$5),IF(H2307*(1+Параметры!$B$5)&gt;=1000,-1,0)),ROUND(F2307*Параметры!$B$6,IF(F2307*Параметры!$B$6&gt;=1000,-1,0)))))</f>
        <v>9660</v>
      </c>
      <c r="J2307" s="15">
        <v>9600</v>
      </c>
      <c r="K2307" s="15">
        <f>IF(OR(J2307="",G2307=""),"",MAX(J2307,MIN(ROUND(J2307*(1+Параметры!$B$5),IF(J2307*(1+Параметры!$B$5)&gt;=1000,-1,0)),ROUND(G2307*Параметры!$B$6,IF(G2307*Параметры!$B$6&gt;=1000,-1,0)))))</f>
        <v>11040</v>
      </c>
      <c r="L2307" s="16">
        <v>5</v>
      </c>
      <c r="M2307" s="17">
        <f t="shared" si="168"/>
        <v>0.2</v>
      </c>
      <c r="N2307" s="17">
        <f>IF(OR(L2307="",L2307=0),"",Параметры!$B$3/L2307)</f>
        <v>1.6</v>
      </c>
      <c r="O2307" s="15">
        <f>IF(L2307="","",IFERROR(INDEX('Почасовка — ставки и план'!$D$5:$D$24,MATCH($D2307,'Почасовка — ставки и план'!$A$5:$A$24,0)),""))</f>
        <v>1500</v>
      </c>
      <c r="P2307" s="15">
        <f>IF(L2307="","",IFERROR(INDEX('Почасовка — ставки и план'!$E$5:$E$24,MATCH($D2307,'Почасовка — ставки и план'!$A$5:$A$24,0)),""))</f>
        <v>1800</v>
      </c>
      <c r="Q2307" s="15">
        <f t="shared" si="169"/>
        <v>7500</v>
      </c>
      <c r="R2307" s="13" t="str">
        <f>IF(D2307="TEX","аренда техники — сделка/счёт",IF(OR(Q2307="",H2307="",H2307=0),"—",IF(Q2307&lt;H2307*(1-Параметры!$B$7),"почасовка",IF(Q2307&gt;H2307*(1+Параметры!$B$7),"сделка","любой способ"))))</f>
        <v>почасовка</v>
      </c>
      <c r="S2307">
        <v>0</v>
      </c>
      <c r="T2307">
        <v>0</v>
      </c>
    </row>
    <row r="2308" spans="1:20" x14ac:dyDescent="0.25">
      <c r="A2308" s="13" t="s">
        <v>4619</v>
      </c>
      <c r="B2308" s="13" t="s">
        <v>4620</v>
      </c>
      <c r="C2308" s="13" t="s">
        <v>144</v>
      </c>
      <c r="D2308" s="13" t="s">
        <v>747</v>
      </c>
      <c r="E2308" s="13" t="str">
        <f>IFERROR(INDEX('Почасовка — ставки и план'!$B$5:$B$24,MATCH(D2308,'Почасовка — ставки и план'!$A$5:$A$24,0)),"Аренда техники / механизмы")</f>
        <v>Механик ПС / подъёмников / прессов / доков</v>
      </c>
      <c r="F2308" s="14">
        <v>16000</v>
      </c>
      <c r="G2308" s="14">
        <v>18500</v>
      </c>
      <c r="H2308" s="15">
        <v>9600</v>
      </c>
      <c r="I2308" s="15">
        <f>IF(OR(H2308="",F2308=""),"",MAX(H2308,MIN(ROUND(H2308*(1+Параметры!$B$5),IF(H2308*(1+Параметры!$B$5)&gt;=1000,-1,0)),ROUND(F2308*Параметры!$B$6,IF(F2308*Параметры!$B$6&gt;=1000,-1,0)))))</f>
        <v>11040</v>
      </c>
      <c r="J2308" s="15">
        <v>11050</v>
      </c>
      <c r="K2308" s="15">
        <f>IF(OR(J2308="",G2308=""),"",MAX(J2308,MIN(ROUND(J2308*(1+Параметры!$B$5),IF(J2308*(1+Параметры!$B$5)&gt;=1000,-1,0)),ROUND(G2308*Параметры!$B$6,IF(G2308*Параметры!$B$6&gt;=1000,-1,0)))))</f>
        <v>12710</v>
      </c>
      <c r="L2308" s="16">
        <v>6</v>
      </c>
      <c r="M2308" s="17">
        <f t="shared" si="168"/>
        <v>0.16666666666666666</v>
      </c>
      <c r="N2308" s="17">
        <f>IF(OR(L2308="",L2308=0),"",Параметры!$B$3/L2308)</f>
        <v>1.3333333333333333</v>
      </c>
      <c r="O2308" s="15">
        <f>IF(L2308="","",IFERROR(INDEX('Почасовка — ставки и план'!$D$5:$D$24,MATCH($D2308,'Почасовка — ставки и план'!$A$5:$A$24,0)),""))</f>
        <v>1500</v>
      </c>
      <c r="P2308" s="15">
        <f>IF(L2308="","",IFERROR(INDEX('Почасовка — ставки и план'!$E$5:$E$24,MATCH($D2308,'Почасовка — ставки и план'!$A$5:$A$24,0)),""))</f>
        <v>1800</v>
      </c>
      <c r="Q2308" s="15">
        <f t="shared" si="169"/>
        <v>9000</v>
      </c>
      <c r="R2308" s="13" t="str">
        <f>IF(D2308="TEX","аренда техники — сделка/счёт",IF(OR(Q2308="",H2308="",H2308=0),"—",IF(Q2308&lt;H2308*(1-Параметры!$B$7),"почасовка",IF(Q2308&gt;H2308*(1+Параметры!$B$7),"сделка","любой способ"))))</f>
        <v>любой способ</v>
      </c>
      <c r="S2308">
        <v>0</v>
      </c>
      <c r="T2308">
        <v>0</v>
      </c>
    </row>
    <row r="2309" spans="1:20" x14ac:dyDescent="0.25">
      <c r="A2309" s="13" t="s">
        <v>4621</v>
      </c>
      <c r="B2309" s="13" t="s">
        <v>4622</v>
      </c>
      <c r="C2309" s="13" t="s">
        <v>144</v>
      </c>
      <c r="D2309" s="13" t="s">
        <v>747</v>
      </c>
      <c r="E2309" s="13" t="str">
        <f>IFERROR(INDEX('Почасовка — ставки и план'!$B$5:$B$24,MATCH(D2309,'Почасовка — ставки и план'!$A$5:$A$24,0)),"Аренда техники / механизмы")</f>
        <v>Механик ПС / подъёмников / прессов / доков</v>
      </c>
      <c r="F2309" s="14">
        <v>2500</v>
      </c>
      <c r="G2309" s="14">
        <v>3000</v>
      </c>
      <c r="H2309" s="15">
        <v>1800</v>
      </c>
      <c r="I2309" s="15">
        <f>IF(OR(H2309="",F2309=""),"",MAX(H2309,MIN(ROUND(H2309*(1+Параметры!$B$5),IF(H2309*(1+Параметры!$B$5)&gt;=1000,-1,0)),ROUND(F2309*Параметры!$B$6,IF(F2309*Параметры!$B$6&gt;=1000,-1,0)))))</f>
        <v>1880</v>
      </c>
      <c r="J2309" s="15">
        <v>2150</v>
      </c>
      <c r="K2309" s="15">
        <f>IF(OR(J2309="",G2309=""),"",MAX(J2309,MIN(ROUND(J2309*(1+Параметры!$B$5),IF(J2309*(1+Параметры!$B$5)&gt;=1000,-1,0)),ROUND(G2309*Параметры!$B$6,IF(G2309*Параметры!$B$6&gt;=1000,-1,0)))))</f>
        <v>2250</v>
      </c>
      <c r="L2309" s="16">
        <v>0.75</v>
      </c>
      <c r="M2309" s="17">
        <f t="shared" si="168"/>
        <v>1.3333333333333333</v>
      </c>
      <c r="N2309" s="17">
        <f>IF(OR(L2309="",L2309=0),"",Параметры!$B$3/L2309)</f>
        <v>10.666666666666666</v>
      </c>
      <c r="O2309" s="15">
        <f>IF(L2309="","",IFERROR(INDEX('Почасовка — ставки и план'!$D$5:$D$24,MATCH($D2309,'Почасовка — ставки и план'!$A$5:$A$24,0)),""))</f>
        <v>1500</v>
      </c>
      <c r="P2309" s="15">
        <f>IF(L2309="","",IFERROR(INDEX('Почасовка — ставки и план'!$E$5:$E$24,MATCH($D2309,'Почасовка — ставки и план'!$A$5:$A$24,0)),""))</f>
        <v>1800</v>
      </c>
      <c r="Q2309" s="15">
        <f t="shared" si="169"/>
        <v>1125</v>
      </c>
      <c r="R2309" s="13" t="str">
        <f>IF(D2309="TEX","аренда техники — сделка/счёт",IF(OR(Q2309="",H2309="",H2309=0),"—",IF(Q2309&lt;H2309*(1-Параметры!$B$7),"почасовка",IF(Q2309&gt;H2309*(1+Параметры!$B$7),"сделка","любой способ"))))</f>
        <v>почасовка</v>
      </c>
      <c r="S2309">
        <v>0</v>
      </c>
      <c r="T2309">
        <v>0</v>
      </c>
    </row>
    <row r="2310" spans="1:20" x14ac:dyDescent="0.25">
      <c r="A2310" s="13" t="s">
        <v>4623</v>
      </c>
      <c r="B2310" s="13" t="s">
        <v>4624</v>
      </c>
      <c r="C2310" s="13" t="s">
        <v>144</v>
      </c>
      <c r="D2310" s="13" t="s">
        <v>747</v>
      </c>
      <c r="E2310" s="13" t="str">
        <f>IFERROR(INDEX('Почасовка — ставки и план'!$B$5:$B$24,MATCH(D2310,'Почасовка — ставки и план'!$A$5:$A$24,0)),"Аренда техники / механизмы")</f>
        <v>Механик ПС / подъёмников / прессов / доков</v>
      </c>
      <c r="F2310" s="14">
        <v>3000</v>
      </c>
      <c r="G2310" s="14">
        <v>3500</v>
      </c>
      <c r="H2310" s="15">
        <v>1700</v>
      </c>
      <c r="I2310" s="15">
        <f>IF(OR(H2310="",F2310=""),"",MAX(H2310,MIN(ROUND(H2310*(1+Параметры!$B$5),IF(H2310*(1+Параметры!$B$5)&gt;=1000,-1,0)),ROUND(F2310*Параметры!$B$6,IF(F2310*Параметры!$B$6&gt;=1000,-1,0)))))</f>
        <v>1960</v>
      </c>
      <c r="J2310" s="15">
        <v>1900</v>
      </c>
      <c r="K2310" s="15">
        <f>IF(OR(J2310="",G2310=""),"",MAX(J2310,MIN(ROUND(J2310*(1+Параметры!$B$5),IF(J2310*(1+Параметры!$B$5)&gt;=1000,-1,0)),ROUND(G2310*Параметры!$B$6,IF(G2310*Параметры!$B$6&gt;=1000,-1,0)))))</f>
        <v>2190</v>
      </c>
      <c r="L2310" s="16">
        <v>1</v>
      </c>
      <c r="M2310" s="17">
        <f t="shared" si="168"/>
        <v>1</v>
      </c>
      <c r="N2310" s="17">
        <f>IF(OR(L2310="",L2310=0),"",Параметры!$B$3/L2310)</f>
        <v>8</v>
      </c>
      <c r="O2310" s="15">
        <f>IF(L2310="","",IFERROR(INDEX('Почасовка — ставки и план'!$D$5:$D$24,MATCH($D2310,'Почасовка — ставки и план'!$A$5:$A$24,0)),""))</f>
        <v>1500</v>
      </c>
      <c r="P2310" s="15">
        <f>IF(L2310="","",IFERROR(INDEX('Почасовка — ставки и план'!$E$5:$E$24,MATCH($D2310,'Почасовка — ставки и план'!$A$5:$A$24,0)),""))</f>
        <v>1800</v>
      </c>
      <c r="Q2310" s="15">
        <f t="shared" si="169"/>
        <v>1500</v>
      </c>
      <c r="R2310" s="13" t="str">
        <f>IF(D2310="TEX","аренда техники — сделка/счёт",IF(OR(Q2310="",H2310="",H2310=0),"—",IF(Q2310&lt;H2310*(1-Параметры!$B$7),"почасовка",IF(Q2310&gt;H2310*(1+Параметры!$B$7),"сделка","любой способ"))))</f>
        <v>почасовка</v>
      </c>
      <c r="S2310">
        <v>0</v>
      </c>
      <c r="T2310">
        <v>0</v>
      </c>
    </row>
    <row r="2311" spans="1:20" x14ac:dyDescent="0.25">
      <c r="A2311" s="13" t="s">
        <v>4625</v>
      </c>
      <c r="B2311" s="13" t="s">
        <v>4626</v>
      </c>
      <c r="C2311" s="13" t="s">
        <v>144</v>
      </c>
      <c r="D2311" s="13" t="s">
        <v>747</v>
      </c>
      <c r="E2311" s="13" t="str">
        <f>IFERROR(INDEX('Почасовка — ставки и план'!$B$5:$B$24,MATCH(D2311,'Почасовка — ставки и план'!$A$5:$A$24,0)),"Аренда техники / механизмы")</f>
        <v>Механик ПС / подъёмников / прессов / доков</v>
      </c>
      <c r="F2311" s="14">
        <v>2500</v>
      </c>
      <c r="G2311" s="14">
        <v>2900</v>
      </c>
      <c r="H2311" s="15">
        <v>1300</v>
      </c>
      <c r="I2311" s="15">
        <f>IF(OR(H2311="",F2311=""),"",MAX(H2311,MIN(ROUND(H2311*(1+Параметры!$B$5),IF(H2311*(1+Параметры!$B$5)&gt;=1000,-1,0)),ROUND(F2311*Параметры!$B$6,IF(F2311*Параметры!$B$6&gt;=1000,-1,0)))))</f>
        <v>1500</v>
      </c>
      <c r="J2311" s="15">
        <v>1550</v>
      </c>
      <c r="K2311" s="15">
        <f>IF(OR(J2311="",G2311=""),"",MAX(J2311,MIN(ROUND(J2311*(1+Параметры!$B$5),IF(J2311*(1+Параметры!$B$5)&gt;=1000,-1,0)),ROUND(G2311*Параметры!$B$6,IF(G2311*Параметры!$B$6&gt;=1000,-1,0)))))</f>
        <v>1780</v>
      </c>
      <c r="L2311" s="16">
        <v>0.75</v>
      </c>
      <c r="M2311" s="17">
        <f t="shared" si="168"/>
        <v>1.3333333333333333</v>
      </c>
      <c r="N2311" s="17">
        <f>IF(OR(L2311="",L2311=0),"",Параметры!$B$3/L2311)</f>
        <v>10.666666666666666</v>
      </c>
      <c r="O2311" s="15">
        <f>IF(L2311="","",IFERROR(INDEX('Почасовка — ставки и план'!$D$5:$D$24,MATCH($D2311,'Почасовка — ставки и план'!$A$5:$A$24,0)),""))</f>
        <v>1500</v>
      </c>
      <c r="P2311" s="15">
        <f>IF(L2311="","",IFERROR(INDEX('Почасовка — ставки и план'!$E$5:$E$24,MATCH($D2311,'Почасовка — ставки и план'!$A$5:$A$24,0)),""))</f>
        <v>1800</v>
      </c>
      <c r="Q2311" s="15">
        <f t="shared" si="169"/>
        <v>1125</v>
      </c>
      <c r="R2311" s="13" t="str">
        <f>IF(D2311="TEX","аренда техники — сделка/счёт",IF(OR(Q2311="",H2311="",H2311=0),"—",IF(Q2311&lt;H2311*(1-Параметры!$B$7),"почасовка",IF(Q2311&gt;H2311*(1+Параметры!$B$7),"сделка","любой способ"))))</f>
        <v>почасовка</v>
      </c>
      <c r="S2311">
        <v>0</v>
      </c>
      <c r="T2311">
        <v>0</v>
      </c>
    </row>
    <row r="2312" spans="1:20" x14ac:dyDescent="0.25">
      <c r="A2312" s="13" t="s">
        <v>4627</v>
      </c>
      <c r="B2312" s="13" t="s">
        <v>4628</v>
      </c>
      <c r="C2312" s="13" t="s">
        <v>144</v>
      </c>
      <c r="D2312" s="13" t="s">
        <v>747</v>
      </c>
      <c r="E2312" s="13" t="str">
        <f>IFERROR(INDEX('Почасовка — ставки и план'!$B$5:$B$24,MATCH(D2312,'Почасовка — ставки и план'!$A$5:$A$24,0)),"Аренда техники / механизмы")</f>
        <v>Механик ПС / подъёмников / прессов / доков</v>
      </c>
      <c r="F2312" s="14">
        <v>8500</v>
      </c>
      <c r="G2312" s="14">
        <v>10000</v>
      </c>
      <c r="H2312" s="15">
        <v>5050</v>
      </c>
      <c r="I2312" s="15">
        <f>IF(OR(H2312="",F2312=""),"",MAX(H2312,MIN(ROUND(H2312*(1+Параметры!$B$5),IF(H2312*(1+Параметры!$B$5)&gt;=1000,-1,0)),ROUND(F2312*Параметры!$B$6,IF(F2312*Параметры!$B$6&gt;=1000,-1,0)))))</f>
        <v>5810</v>
      </c>
      <c r="J2312" s="15">
        <v>5750</v>
      </c>
      <c r="K2312" s="15">
        <f>IF(OR(J2312="",G2312=""),"",MAX(J2312,MIN(ROUND(J2312*(1+Параметры!$B$5),IF(J2312*(1+Параметры!$B$5)&gt;=1000,-1,0)),ROUND(G2312*Параметры!$B$6,IF(G2312*Параметры!$B$6&gt;=1000,-1,0)))))</f>
        <v>6610</v>
      </c>
      <c r="L2312" s="16">
        <v>3</v>
      </c>
      <c r="M2312" s="17">
        <f t="shared" si="168"/>
        <v>0.33333333333333331</v>
      </c>
      <c r="N2312" s="17">
        <f>IF(OR(L2312="",L2312=0),"",Параметры!$B$3/L2312)</f>
        <v>2.6666666666666665</v>
      </c>
      <c r="O2312" s="15">
        <f>IF(L2312="","",IFERROR(INDEX('Почасовка — ставки и план'!$D$5:$D$24,MATCH($D2312,'Почасовка — ставки и план'!$A$5:$A$24,0)),""))</f>
        <v>1500</v>
      </c>
      <c r="P2312" s="15">
        <f>IF(L2312="","",IFERROR(INDEX('Почасовка — ставки и план'!$E$5:$E$24,MATCH($D2312,'Почасовка — ставки и план'!$A$5:$A$24,0)),""))</f>
        <v>1800</v>
      </c>
      <c r="Q2312" s="15">
        <f t="shared" si="169"/>
        <v>4500</v>
      </c>
      <c r="R2312" s="13" t="str">
        <f>IF(D2312="TEX","аренда техники — сделка/счёт",IF(OR(Q2312="",H2312="",H2312=0),"—",IF(Q2312&lt;H2312*(1-Параметры!$B$7),"почасовка",IF(Q2312&gt;H2312*(1+Параметры!$B$7),"сделка","любой способ"))))</f>
        <v>почасовка</v>
      </c>
      <c r="S2312">
        <v>0</v>
      </c>
      <c r="T2312">
        <v>0</v>
      </c>
    </row>
    <row r="2313" spans="1:20" x14ac:dyDescent="0.25">
      <c r="A2313" s="13" t="s">
        <v>4629</v>
      </c>
      <c r="B2313" s="13" t="s">
        <v>4630</v>
      </c>
      <c r="C2313" s="13" t="s">
        <v>144</v>
      </c>
      <c r="D2313" s="13" t="s">
        <v>747</v>
      </c>
      <c r="E2313" s="13" t="str">
        <f>IFERROR(INDEX('Почасовка — ставки и план'!$B$5:$B$24,MATCH(D2313,'Почасовка — ставки и план'!$A$5:$A$24,0)),"Аренда техники / механизмы")</f>
        <v>Механик ПС / подъёмников / прессов / доков</v>
      </c>
      <c r="F2313" s="14">
        <v>2500</v>
      </c>
      <c r="G2313" s="14">
        <v>2900</v>
      </c>
      <c r="H2313" s="15">
        <v>1300</v>
      </c>
      <c r="I2313" s="15">
        <f>IF(OR(H2313="",F2313=""),"",MAX(H2313,MIN(ROUND(H2313*(1+Параметры!$B$5),IF(H2313*(1+Параметры!$B$5)&gt;=1000,-1,0)),ROUND(F2313*Параметры!$B$6,IF(F2313*Параметры!$B$6&gt;=1000,-1,0)))))</f>
        <v>1500</v>
      </c>
      <c r="J2313" s="15">
        <v>1500</v>
      </c>
      <c r="K2313" s="15">
        <f>IF(OR(J2313="",G2313=""),"",MAX(J2313,MIN(ROUND(J2313*(1+Параметры!$B$5),IF(J2313*(1+Параметры!$B$5)&gt;=1000,-1,0)),ROUND(G2313*Параметры!$B$6,IF(G2313*Параметры!$B$6&gt;=1000,-1,0)))))</f>
        <v>1730</v>
      </c>
      <c r="L2313" s="16">
        <v>0.75</v>
      </c>
      <c r="M2313" s="17">
        <f t="shared" si="168"/>
        <v>1.3333333333333333</v>
      </c>
      <c r="N2313" s="17">
        <f>IF(OR(L2313="",L2313=0),"",Параметры!$B$3/L2313)</f>
        <v>10.666666666666666</v>
      </c>
      <c r="O2313" s="15">
        <f>IF(L2313="","",IFERROR(INDEX('Почасовка — ставки и план'!$D$5:$D$24,MATCH($D2313,'Почасовка — ставки и план'!$A$5:$A$24,0)),""))</f>
        <v>1500</v>
      </c>
      <c r="P2313" s="15">
        <f>IF(L2313="","",IFERROR(INDEX('Почасовка — ставки и план'!$E$5:$E$24,MATCH($D2313,'Почасовка — ставки и план'!$A$5:$A$24,0)),""))</f>
        <v>1800</v>
      </c>
      <c r="Q2313" s="15">
        <f t="shared" si="169"/>
        <v>1125</v>
      </c>
      <c r="R2313" s="13" t="str">
        <f>IF(D2313="TEX","аренда техники — сделка/счёт",IF(OR(Q2313="",H2313="",H2313=0),"—",IF(Q2313&lt;H2313*(1-Параметры!$B$7),"почасовка",IF(Q2313&gt;H2313*(1+Параметры!$B$7),"сделка","любой способ"))))</f>
        <v>почасовка</v>
      </c>
      <c r="S2313">
        <v>0</v>
      </c>
      <c r="T2313">
        <v>0</v>
      </c>
    </row>
    <row r="2314" spans="1:20" x14ac:dyDescent="0.25">
      <c r="A2314" s="13" t="s">
        <v>4631</v>
      </c>
      <c r="B2314" s="13" t="s">
        <v>4632</v>
      </c>
      <c r="C2314" s="13" t="s">
        <v>144</v>
      </c>
      <c r="D2314" s="13" t="s">
        <v>747</v>
      </c>
      <c r="E2314" s="13" t="str">
        <f>IFERROR(INDEX('Почасовка — ставки и план'!$B$5:$B$24,MATCH(D2314,'Почасовка — ставки и план'!$A$5:$A$24,0)),"Аренда техники / механизмы")</f>
        <v>Механик ПС / подъёмников / прессов / доков</v>
      </c>
      <c r="F2314" s="14">
        <v>2800</v>
      </c>
      <c r="G2314" s="14">
        <v>3300</v>
      </c>
      <c r="H2314" s="15">
        <v>1700</v>
      </c>
      <c r="I2314" s="15">
        <f>IF(OR(H2314="",F2314=""),"",MAX(H2314,MIN(ROUND(H2314*(1+Параметры!$B$5),IF(H2314*(1+Параметры!$B$5)&gt;=1000,-1,0)),ROUND(F2314*Параметры!$B$6,IF(F2314*Параметры!$B$6&gt;=1000,-1,0)))))</f>
        <v>1960</v>
      </c>
      <c r="J2314" s="15">
        <v>1900</v>
      </c>
      <c r="K2314" s="15">
        <f>IF(OR(J2314="",G2314=""),"",MAX(J2314,MIN(ROUND(J2314*(1+Параметры!$B$5),IF(J2314*(1+Параметры!$B$5)&gt;=1000,-1,0)),ROUND(G2314*Параметры!$B$6,IF(G2314*Параметры!$B$6&gt;=1000,-1,0)))))</f>
        <v>2190</v>
      </c>
      <c r="L2314" s="16">
        <v>1</v>
      </c>
      <c r="M2314" s="17">
        <f t="shared" si="168"/>
        <v>1</v>
      </c>
      <c r="N2314" s="17">
        <f>IF(OR(L2314="",L2314=0),"",Параметры!$B$3/L2314)</f>
        <v>8</v>
      </c>
      <c r="O2314" s="15">
        <f>IF(L2314="","",IFERROR(INDEX('Почасовка — ставки и план'!$D$5:$D$24,MATCH($D2314,'Почасовка — ставки и план'!$A$5:$A$24,0)),""))</f>
        <v>1500</v>
      </c>
      <c r="P2314" s="15">
        <f>IF(L2314="","",IFERROR(INDEX('Почасовка — ставки и план'!$E$5:$E$24,MATCH($D2314,'Почасовка — ставки и план'!$A$5:$A$24,0)),""))</f>
        <v>1800</v>
      </c>
      <c r="Q2314" s="15">
        <f t="shared" si="169"/>
        <v>1500</v>
      </c>
      <c r="R2314" s="13" t="str">
        <f>IF(D2314="TEX","аренда техники — сделка/счёт",IF(OR(Q2314="",H2314="",H2314=0),"—",IF(Q2314&lt;H2314*(1-Параметры!$B$7),"почасовка",IF(Q2314&gt;H2314*(1+Параметры!$B$7),"сделка","любой способ"))))</f>
        <v>почасовка</v>
      </c>
      <c r="S2314">
        <v>0</v>
      </c>
      <c r="T2314">
        <v>0</v>
      </c>
    </row>
    <row r="2315" spans="1:20" x14ac:dyDescent="0.25">
      <c r="A2315" s="13" t="s">
        <v>4633</v>
      </c>
      <c r="B2315" s="13" t="s">
        <v>4634</v>
      </c>
      <c r="C2315" s="13" t="s">
        <v>144</v>
      </c>
      <c r="D2315" s="13" t="s">
        <v>747</v>
      </c>
      <c r="E2315" s="13" t="str">
        <f>IFERROR(INDEX('Почасовка — ставки и план'!$B$5:$B$24,MATCH(D2315,'Почасовка — ставки и план'!$A$5:$A$24,0)),"Аренда техники / механизмы")</f>
        <v>Механик ПС / подъёмников / прессов / доков</v>
      </c>
      <c r="F2315" s="14">
        <v>6000</v>
      </c>
      <c r="G2315" s="14">
        <v>7000</v>
      </c>
      <c r="H2315" s="15">
        <v>3350</v>
      </c>
      <c r="I2315" s="15">
        <f>IF(OR(H2315="",F2315=""),"",MAX(H2315,MIN(ROUND(H2315*(1+Параметры!$B$5),IF(H2315*(1+Параметры!$B$5)&gt;=1000,-1,0)),ROUND(F2315*Параметры!$B$6,IF(F2315*Параметры!$B$6&gt;=1000,-1,0)))))</f>
        <v>3850</v>
      </c>
      <c r="J2315" s="15">
        <v>3850</v>
      </c>
      <c r="K2315" s="15">
        <f>IF(OR(J2315="",G2315=""),"",MAX(J2315,MIN(ROUND(J2315*(1+Параметры!$B$5),IF(J2315*(1+Параметры!$B$5)&gt;=1000,-1,0)),ROUND(G2315*Параметры!$B$6,IF(G2315*Параметры!$B$6&gt;=1000,-1,0)))))</f>
        <v>4430</v>
      </c>
      <c r="L2315" s="16">
        <v>2</v>
      </c>
      <c r="M2315" s="17">
        <f t="shared" si="168"/>
        <v>0.5</v>
      </c>
      <c r="N2315" s="17">
        <f>IF(OR(L2315="",L2315=0),"",Параметры!$B$3/L2315)</f>
        <v>4</v>
      </c>
      <c r="O2315" s="15">
        <f>IF(L2315="","",IFERROR(INDEX('Почасовка — ставки и план'!$D$5:$D$24,MATCH($D2315,'Почасовка — ставки и план'!$A$5:$A$24,0)),""))</f>
        <v>1500</v>
      </c>
      <c r="P2315" s="15">
        <f>IF(L2315="","",IFERROR(INDEX('Почасовка — ставки и план'!$E$5:$E$24,MATCH($D2315,'Почасовка — ставки и план'!$A$5:$A$24,0)),""))</f>
        <v>1800</v>
      </c>
      <c r="Q2315" s="15">
        <f t="shared" si="169"/>
        <v>3000</v>
      </c>
      <c r="R2315" s="13" t="str">
        <f>IF(D2315="TEX","аренда техники — сделка/счёт",IF(OR(Q2315="",H2315="",H2315=0),"—",IF(Q2315&lt;H2315*(1-Параметры!$B$7),"почасовка",IF(Q2315&gt;H2315*(1+Параметры!$B$7),"сделка","любой способ"))))</f>
        <v>почасовка</v>
      </c>
      <c r="S2315">
        <v>0</v>
      </c>
      <c r="T2315">
        <v>0</v>
      </c>
    </row>
    <row r="2316" spans="1:20" x14ac:dyDescent="0.25">
      <c r="A2316" s="13" t="s">
        <v>4635</v>
      </c>
      <c r="B2316" s="13" t="s">
        <v>4636</v>
      </c>
      <c r="C2316" s="13" t="s">
        <v>144</v>
      </c>
      <c r="D2316" s="13" t="s">
        <v>747</v>
      </c>
      <c r="E2316" s="13" t="str">
        <f>IFERROR(INDEX('Почасовка — ставки и план'!$B$5:$B$24,MATCH(D2316,'Почасовка — ставки и план'!$A$5:$A$24,0)),"Аренда техники / механизмы")</f>
        <v>Механик ПС / подъёмников / прессов / доков</v>
      </c>
      <c r="F2316" s="14">
        <v>4500</v>
      </c>
      <c r="G2316" s="14">
        <v>5200</v>
      </c>
      <c r="H2316" s="15">
        <v>2500</v>
      </c>
      <c r="I2316" s="15">
        <f>IF(OR(H2316="",F2316=""),"",MAX(H2316,MIN(ROUND(H2316*(1+Параметры!$B$5),IF(H2316*(1+Параметры!$B$5)&gt;=1000,-1,0)),ROUND(F2316*Параметры!$B$6,IF(F2316*Параметры!$B$6&gt;=1000,-1,0)))))</f>
        <v>2880</v>
      </c>
      <c r="J2316" s="15">
        <v>2900</v>
      </c>
      <c r="K2316" s="15">
        <f>IF(OR(J2316="",G2316=""),"",MAX(J2316,MIN(ROUND(J2316*(1+Параметры!$B$5),IF(J2316*(1+Параметры!$B$5)&gt;=1000,-1,0)),ROUND(G2316*Параметры!$B$6,IF(G2316*Параметры!$B$6&gt;=1000,-1,0)))))</f>
        <v>3340</v>
      </c>
      <c r="L2316" s="16">
        <v>1.5</v>
      </c>
      <c r="M2316" s="17">
        <f t="shared" si="168"/>
        <v>0.66666666666666663</v>
      </c>
      <c r="N2316" s="17">
        <f>IF(OR(L2316="",L2316=0),"",Параметры!$B$3/L2316)</f>
        <v>5.333333333333333</v>
      </c>
      <c r="O2316" s="15">
        <f>IF(L2316="","",IFERROR(INDEX('Почасовка — ставки и план'!$D$5:$D$24,MATCH($D2316,'Почасовка — ставки и план'!$A$5:$A$24,0)),""))</f>
        <v>1500</v>
      </c>
      <c r="P2316" s="15">
        <f>IF(L2316="","",IFERROR(INDEX('Почасовка — ставки и план'!$E$5:$E$24,MATCH($D2316,'Почасовка — ставки и план'!$A$5:$A$24,0)),""))</f>
        <v>1800</v>
      </c>
      <c r="Q2316" s="15">
        <f t="shared" si="169"/>
        <v>2250</v>
      </c>
      <c r="R2316" s="13" t="str">
        <f>IF(D2316="TEX","аренда техники — сделка/счёт",IF(OR(Q2316="",H2316="",H2316=0),"—",IF(Q2316&lt;H2316*(1-Параметры!$B$7),"почасовка",IF(Q2316&gt;H2316*(1+Параметры!$B$7),"сделка","любой способ"))))</f>
        <v>любой способ</v>
      </c>
      <c r="S2316">
        <v>0</v>
      </c>
      <c r="T2316">
        <v>0</v>
      </c>
    </row>
    <row r="2317" spans="1:20" x14ac:dyDescent="0.25">
      <c r="A2317" s="13" t="s">
        <v>4637</v>
      </c>
      <c r="B2317" s="13" t="s">
        <v>4638</v>
      </c>
      <c r="C2317" s="13" t="s">
        <v>144</v>
      </c>
      <c r="D2317" s="13" t="s">
        <v>747</v>
      </c>
      <c r="E2317" s="13" t="str">
        <f>IFERROR(INDEX('Почасовка — ставки и план'!$B$5:$B$24,MATCH(D2317,'Почасовка — ставки и план'!$A$5:$A$24,0)),"Аренда техники / механизмы")</f>
        <v>Механик ПС / подъёмников / прессов / доков</v>
      </c>
      <c r="F2317" s="14">
        <v>900</v>
      </c>
      <c r="G2317" s="14">
        <v>1050</v>
      </c>
      <c r="H2317" s="15">
        <v>500</v>
      </c>
      <c r="I2317" s="15">
        <f>IF(OR(H2317="",F2317=""),"",MAX(H2317,MIN(ROUND(H2317*(1+Параметры!$B$5),IF(H2317*(1+Параметры!$B$5)&gt;=1000,-1,0)),ROUND(F2317*Параметры!$B$6,IF(F2317*Параметры!$B$6&gt;=1000,-1,0)))))</f>
        <v>575</v>
      </c>
      <c r="J2317" s="15">
        <v>580</v>
      </c>
      <c r="K2317" s="15">
        <f>IF(OR(J2317="",G2317=""),"",MAX(J2317,MIN(ROUND(J2317*(1+Параметры!$B$5),IF(J2317*(1+Параметры!$B$5)&gt;=1000,-1,0)),ROUND(G2317*Параметры!$B$6,IF(G2317*Параметры!$B$6&gt;=1000,-1,0)))))</f>
        <v>667</v>
      </c>
      <c r="L2317" s="16">
        <v>0.3</v>
      </c>
      <c r="M2317" s="17">
        <f t="shared" ref="M2317:M2348" si="170">IF(OR(L2317="",L2317=0),"",1/L2317)</f>
        <v>3.3333333333333335</v>
      </c>
      <c r="N2317" s="17">
        <f>IF(OR(L2317="",L2317=0),"",Параметры!$B$3/L2317)</f>
        <v>26.666666666666668</v>
      </c>
      <c r="O2317" s="15">
        <f>IF(L2317="","",IFERROR(INDEX('Почасовка — ставки и план'!$D$5:$D$24,MATCH($D2317,'Почасовка — ставки и план'!$A$5:$A$24,0)),""))</f>
        <v>1500</v>
      </c>
      <c r="P2317" s="15">
        <f>IF(L2317="","",IFERROR(INDEX('Почасовка — ставки и план'!$E$5:$E$24,MATCH($D2317,'Почасовка — ставки и план'!$A$5:$A$24,0)),""))</f>
        <v>1800</v>
      </c>
      <c r="Q2317" s="15">
        <f t="shared" ref="Q2317:Q2337" si="171">IF(OR(L2317="",O2317=""),"",ROUND(L2317*O2317,0))</f>
        <v>450</v>
      </c>
      <c r="R2317" s="13" t="str">
        <f>IF(D2317="TEX","аренда техники — сделка/счёт",IF(OR(Q2317="",H2317="",H2317=0),"—",IF(Q2317&lt;H2317*(1-Параметры!$B$7),"почасовка",IF(Q2317&gt;H2317*(1+Параметры!$B$7),"сделка","любой способ"))))</f>
        <v>любой способ</v>
      </c>
      <c r="S2317">
        <v>0</v>
      </c>
      <c r="T2317">
        <v>0</v>
      </c>
    </row>
    <row r="2318" spans="1:20" x14ac:dyDescent="0.25">
      <c r="A2318" s="13" t="s">
        <v>4639</v>
      </c>
      <c r="B2318" s="13" t="s">
        <v>4640</v>
      </c>
      <c r="C2318" s="13" t="s">
        <v>144</v>
      </c>
      <c r="D2318" s="13" t="s">
        <v>747</v>
      </c>
      <c r="E2318" s="13" t="str">
        <f>IFERROR(INDEX('Почасовка — ставки и план'!$B$5:$B$24,MATCH(D2318,'Почасовка — ставки и план'!$A$5:$A$24,0)),"Аренда техники / механизмы")</f>
        <v>Механик ПС / подъёмников / прессов / доков</v>
      </c>
      <c r="F2318" s="14">
        <v>8500</v>
      </c>
      <c r="G2318" s="14">
        <v>10000</v>
      </c>
      <c r="H2318" s="15">
        <v>5050</v>
      </c>
      <c r="I2318" s="15">
        <f>IF(OR(H2318="",F2318=""),"",MAX(H2318,MIN(ROUND(H2318*(1+Параметры!$B$5),IF(H2318*(1+Параметры!$B$5)&gt;=1000,-1,0)),ROUND(F2318*Параметры!$B$6,IF(F2318*Параметры!$B$6&gt;=1000,-1,0)))))</f>
        <v>5810</v>
      </c>
      <c r="J2318" s="15">
        <v>5750</v>
      </c>
      <c r="K2318" s="15">
        <f>IF(OR(J2318="",G2318=""),"",MAX(J2318,MIN(ROUND(J2318*(1+Параметры!$B$5),IF(J2318*(1+Параметры!$B$5)&gt;=1000,-1,0)),ROUND(G2318*Параметры!$B$6,IF(G2318*Параметры!$B$6&gt;=1000,-1,0)))))</f>
        <v>6610</v>
      </c>
      <c r="L2318" s="16">
        <v>3</v>
      </c>
      <c r="M2318" s="17">
        <f t="shared" si="170"/>
        <v>0.33333333333333331</v>
      </c>
      <c r="N2318" s="17">
        <f>IF(OR(L2318="",L2318=0),"",Параметры!$B$3/L2318)</f>
        <v>2.6666666666666665</v>
      </c>
      <c r="O2318" s="15">
        <f>IF(L2318="","",IFERROR(INDEX('Почасовка — ставки и план'!$D$5:$D$24,MATCH($D2318,'Почасовка — ставки и план'!$A$5:$A$24,0)),""))</f>
        <v>1500</v>
      </c>
      <c r="P2318" s="15">
        <f>IF(L2318="","",IFERROR(INDEX('Почасовка — ставки и план'!$E$5:$E$24,MATCH($D2318,'Почасовка — ставки и план'!$A$5:$A$24,0)),""))</f>
        <v>1800</v>
      </c>
      <c r="Q2318" s="15">
        <f t="shared" si="171"/>
        <v>4500</v>
      </c>
      <c r="R2318" s="13" t="str">
        <f>IF(D2318="TEX","аренда техники — сделка/счёт",IF(OR(Q2318="",H2318="",H2318=0),"—",IF(Q2318&lt;H2318*(1-Параметры!$B$7),"почасовка",IF(Q2318&gt;H2318*(1+Параметры!$B$7),"сделка","любой способ"))))</f>
        <v>почасовка</v>
      </c>
      <c r="S2318">
        <v>0</v>
      </c>
      <c r="T2318">
        <v>0</v>
      </c>
    </row>
    <row r="2319" spans="1:20" x14ac:dyDescent="0.25">
      <c r="A2319" s="13" t="s">
        <v>4641</v>
      </c>
      <c r="B2319" s="13" t="s">
        <v>4642</v>
      </c>
      <c r="C2319" s="13" t="s">
        <v>144</v>
      </c>
      <c r="D2319" s="13" t="s">
        <v>747</v>
      </c>
      <c r="E2319" s="13" t="str">
        <f>IFERROR(INDEX('Почасовка — ставки и план'!$B$5:$B$24,MATCH(D2319,'Почасовка — ставки и план'!$A$5:$A$24,0)),"Аренда техники / механизмы")</f>
        <v>Механик ПС / подъёмников / прессов / доков</v>
      </c>
      <c r="F2319" s="14">
        <v>8000</v>
      </c>
      <c r="G2319" s="14">
        <v>9500</v>
      </c>
      <c r="H2319" s="15">
        <v>4800</v>
      </c>
      <c r="I2319" s="15">
        <f>IF(OR(H2319="",F2319=""),"",MAX(H2319,MIN(ROUND(H2319*(1+Параметры!$B$5),IF(H2319*(1+Параметры!$B$5)&gt;=1000,-1,0)),ROUND(F2319*Параметры!$B$6,IF(F2319*Параметры!$B$6&gt;=1000,-1,0)))))</f>
        <v>5520</v>
      </c>
      <c r="J2319" s="15">
        <v>5500</v>
      </c>
      <c r="K2319" s="15">
        <f>IF(OR(J2319="",G2319=""),"",MAX(J2319,MIN(ROUND(J2319*(1+Параметры!$B$5),IF(J2319*(1+Параметры!$B$5)&gt;=1000,-1,0)),ROUND(G2319*Параметры!$B$6,IF(G2319*Параметры!$B$6&gt;=1000,-1,0)))))</f>
        <v>6330</v>
      </c>
      <c r="L2319" s="16">
        <v>3</v>
      </c>
      <c r="M2319" s="17">
        <f t="shared" si="170"/>
        <v>0.33333333333333331</v>
      </c>
      <c r="N2319" s="17">
        <f>IF(OR(L2319="",L2319=0),"",Параметры!$B$3/L2319)</f>
        <v>2.6666666666666665</v>
      </c>
      <c r="O2319" s="15">
        <f>IF(L2319="","",IFERROR(INDEX('Почасовка — ставки и план'!$D$5:$D$24,MATCH($D2319,'Почасовка — ставки и план'!$A$5:$A$24,0)),""))</f>
        <v>1500</v>
      </c>
      <c r="P2319" s="15">
        <f>IF(L2319="","",IFERROR(INDEX('Почасовка — ставки и план'!$E$5:$E$24,MATCH($D2319,'Почасовка — ставки и план'!$A$5:$A$24,0)),""))</f>
        <v>1800</v>
      </c>
      <c r="Q2319" s="15">
        <f t="shared" si="171"/>
        <v>4500</v>
      </c>
      <c r="R2319" s="13" t="str">
        <f>IF(D2319="TEX","аренда техники — сделка/счёт",IF(OR(Q2319="",H2319="",H2319=0),"—",IF(Q2319&lt;H2319*(1-Параметры!$B$7),"почасовка",IF(Q2319&gt;H2319*(1+Параметры!$B$7),"сделка","любой способ"))))</f>
        <v>любой способ</v>
      </c>
      <c r="S2319">
        <v>0</v>
      </c>
      <c r="T2319">
        <v>0</v>
      </c>
    </row>
    <row r="2320" spans="1:20" x14ac:dyDescent="0.25">
      <c r="A2320" s="13" t="s">
        <v>4643</v>
      </c>
      <c r="B2320" s="13" t="s">
        <v>4644</v>
      </c>
      <c r="C2320" s="13" t="s">
        <v>144</v>
      </c>
      <c r="D2320" s="13" t="s">
        <v>64</v>
      </c>
      <c r="E2320" s="13" t="str">
        <f>IFERROR(INDEX('Почасовка — ставки и план'!$B$5:$B$24,MATCH(D2320,'Почасовка — ставки и план'!$A$5:$A$24,0)),"Аренда техники / механизмы")</f>
        <v>Сварщик / монтажник МК</v>
      </c>
      <c r="F2320" s="14">
        <v>9000</v>
      </c>
      <c r="G2320" s="14">
        <v>10500</v>
      </c>
      <c r="H2320" s="15">
        <v>5050</v>
      </c>
      <c r="I2320" s="15">
        <f>IF(OR(H2320="",F2320=""),"",MAX(H2320,MIN(ROUND(H2320*(1+Параметры!$B$5),IF(H2320*(1+Параметры!$B$5)&gt;=1000,-1,0)),ROUND(F2320*Параметры!$B$6,IF(F2320*Параметры!$B$6&gt;=1000,-1,0)))))</f>
        <v>5810</v>
      </c>
      <c r="J2320" s="15">
        <v>5900</v>
      </c>
      <c r="K2320" s="15">
        <f>IF(OR(J2320="",G2320=""),"",MAX(J2320,MIN(ROUND(J2320*(1+Параметры!$B$5),IF(J2320*(1+Параметры!$B$5)&gt;=1000,-1,0)),ROUND(G2320*Параметры!$B$6,IF(G2320*Параметры!$B$6&gt;=1000,-1,0)))))</f>
        <v>6790</v>
      </c>
      <c r="L2320" s="16">
        <v>3</v>
      </c>
      <c r="M2320" s="17">
        <f t="shared" si="170"/>
        <v>0.33333333333333331</v>
      </c>
      <c r="N2320" s="17">
        <f>IF(OR(L2320="",L2320=0),"",Параметры!$B$3/L2320)</f>
        <v>2.6666666666666665</v>
      </c>
      <c r="O2320" s="15">
        <f>IF(L2320="","",IFERROR(INDEX('Почасовка — ставки и план'!$D$5:$D$24,MATCH($D2320,'Почасовка — ставки и план'!$A$5:$A$24,0)),""))</f>
        <v>900</v>
      </c>
      <c r="P2320" s="15">
        <f>IF(L2320="","",IFERROR(INDEX('Почасовка — ставки и план'!$E$5:$E$24,MATCH($D2320,'Почасовка — ставки и план'!$A$5:$A$24,0)),""))</f>
        <v>1080</v>
      </c>
      <c r="Q2320" s="15">
        <f t="shared" si="171"/>
        <v>2700</v>
      </c>
      <c r="R2320" s="13" t="str">
        <f>IF(D2320="TEX","аренда техники — сделка/счёт",IF(OR(Q2320="",H2320="",H2320=0),"—",IF(Q2320&lt;H2320*(1-Параметры!$B$7),"почасовка",IF(Q2320&gt;H2320*(1+Параметры!$B$7),"сделка","любой способ"))))</f>
        <v>почасовка</v>
      </c>
      <c r="S2320">
        <v>0</v>
      </c>
      <c r="T2320">
        <v>0</v>
      </c>
    </row>
    <row r="2321" spans="1:20" x14ac:dyDescent="0.25">
      <c r="A2321" s="13" t="s">
        <v>4645</v>
      </c>
      <c r="B2321" s="13" t="s">
        <v>4646</v>
      </c>
      <c r="C2321" s="13" t="s">
        <v>144</v>
      </c>
      <c r="D2321" s="13" t="s">
        <v>747</v>
      </c>
      <c r="E2321" s="13" t="str">
        <f>IFERROR(INDEX('Почасовка — ставки и план'!$B$5:$B$24,MATCH(D2321,'Почасовка — ставки и план'!$A$5:$A$24,0)),"Аренда техники / механизмы")</f>
        <v>Механик ПС / подъёмников / прессов / доков</v>
      </c>
      <c r="F2321" s="14">
        <v>4500</v>
      </c>
      <c r="G2321" s="14">
        <v>5200</v>
      </c>
      <c r="H2321" s="15">
        <v>2500</v>
      </c>
      <c r="I2321" s="15">
        <f>IF(OR(H2321="",F2321=""),"",MAX(H2321,MIN(ROUND(H2321*(1+Параметры!$B$5),IF(H2321*(1+Параметры!$B$5)&gt;=1000,-1,0)),ROUND(F2321*Параметры!$B$6,IF(F2321*Параметры!$B$6&gt;=1000,-1,0)))))</f>
        <v>2880</v>
      </c>
      <c r="J2321" s="15">
        <v>2900</v>
      </c>
      <c r="K2321" s="15">
        <f>IF(OR(J2321="",G2321=""),"",MAX(J2321,MIN(ROUND(J2321*(1+Параметры!$B$5),IF(J2321*(1+Параметры!$B$5)&gt;=1000,-1,0)),ROUND(G2321*Параметры!$B$6,IF(G2321*Параметры!$B$6&gt;=1000,-1,0)))))</f>
        <v>3340</v>
      </c>
      <c r="L2321" s="16">
        <v>1.5</v>
      </c>
      <c r="M2321" s="17">
        <f t="shared" si="170"/>
        <v>0.66666666666666663</v>
      </c>
      <c r="N2321" s="17">
        <f>IF(OR(L2321="",L2321=0),"",Параметры!$B$3/L2321)</f>
        <v>5.333333333333333</v>
      </c>
      <c r="O2321" s="15">
        <f>IF(L2321="","",IFERROR(INDEX('Почасовка — ставки и план'!$D$5:$D$24,MATCH($D2321,'Почасовка — ставки и план'!$A$5:$A$24,0)),""))</f>
        <v>1500</v>
      </c>
      <c r="P2321" s="15">
        <f>IF(L2321="","",IFERROR(INDEX('Почасовка — ставки и план'!$E$5:$E$24,MATCH($D2321,'Почасовка — ставки и план'!$A$5:$A$24,0)),""))</f>
        <v>1800</v>
      </c>
      <c r="Q2321" s="15">
        <f t="shared" si="171"/>
        <v>2250</v>
      </c>
      <c r="R2321" s="13" t="str">
        <f>IF(D2321="TEX","аренда техники — сделка/счёт",IF(OR(Q2321="",H2321="",H2321=0),"—",IF(Q2321&lt;H2321*(1-Параметры!$B$7),"почасовка",IF(Q2321&gt;H2321*(1+Параметры!$B$7),"сделка","любой способ"))))</f>
        <v>любой способ</v>
      </c>
      <c r="S2321">
        <v>0</v>
      </c>
      <c r="T2321">
        <v>0</v>
      </c>
    </row>
    <row r="2322" spans="1:20" x14ac:dyDescent="0.25">
      <c r="A2322" s="13" t="s">
        <v>4647</v>
      </c>
      <c r="B2322" s="13" t="s">
        <v>4648</v>
      </c>
      <c r="C2322" s="13" t="s">
        <v>144</v>
      </c>
      <c r="D2322" s="13" t="s">
        <v>747</v>
      </c>
      <c r="E2322" s="13" t="str">
        <f>IFERROR(INDEX('Почасовка — ставки и план'!$B$5:$B$24,MATCH(D2322,'Почасовка — ставки и план'!$A$5:$A$24,0)),"Аренда техники / механизмы")</f>
        <v>Механик ПС / подъёмников / прессов / доков</v>
      </c>
      <c r="F2322" s="14">
        <v>3000</v>
      </c>
      <c r="G2322" s="14">
        <v>3500</v>
      </c>
      <c r="H2322" s="15">
        <v>1700</v>
      </c>
      <c r="I2322" s="15">
        <f>IF(OR(H2322="",F2322=""),"",MAX(H2322,MIN(ROUND(H2322*(1+Параметры!$B$5),IF(H2322*(1+Параметры!$B$5)&gt;=1000,-1,0)),ROUND(F2322*Параметры!$B$6,IF(F2322*Параметры!$B$6&gt;=1000,-1,0)))))</f>
        <v>1960</v>
      </c>
      <c r="J2322" s="15">
        <v>1900</v>
      </c>
      <c r="K2322" s="15">
        <f>IF(OR(J2322="",G2322=""),"",MAX(J2322,MIN(ROUND(J2322*(1+Параметры!$B$5),IF(J2322*(1+Параметры!$B$5)&gt;=1000,-1,0)),ROUND(G2322*Параметры!$B$6,IF(G2322*Параметры!$B$6&gt;=1000,-1,0)))))</f>
        <v>2190</v>
      </c>
      <c r="L2322" s="16">
        <v>1</v>
      </c>
      <c r="M2322" s="17">
        <f t="shared" si="170"/>
        <v>1</v>
      </c>
      <c r="N2322" s="17">
        <f>IF(OR(L2322="",L2322=0),"",Параметры!$B$3/L2322)</f>
        <v>8</v>
      </c>
      <c r="O2322" s="15">
        <f>IF(L2322="","",IFERROR(INDEX('Почасовка — ставки и план'!$D$5:$D$24,MATCH($D2322,'Почасовка — ставки и план'!$A$5:$A$24,0)),""))</f>
        <v>1500</v>
      </c>
      <c r="P2322" s="15">
        <f>IF(L2322="","",IFERROR(INDEX('Почасовка — ставки и план'!$E$5:$E$24,MATCH($D2322,'Почасовка — ставки и план'!$A$5:$A$24,0)),""))</f>
        <v>1800</v>
      </c>
      <c r="Q2322" s="15">
        <f t="shared" si="171"/>
        <v>1500</v>
      </c>
      <c r="R2322" s="13" t="str">
        <f>IF(D2322="TEX","аренда техники — сделка/счёт",IF(OR(Q2322="",H2322="",H2322=0),"—",IF(Q2322&lt;H2322*(1-Параметры!$B$7),"почасовка",IF(Q2322&gt;H2322*(1+Параметры!$B$7),"сделка","любой способ"))))</f>
        <v>почасовка</v>
      </c>
      <c r="S2322">
        <v>0</v>
      </c>
      <c r="T2322">
        <v>0</v>
      </c>
    </row>
    <row r="2323" spans="1:20" x14ac:dyDescent="0.25">
      <c r="A2323" s="13" t="s">
        <v>4649</v>
      </c>
      <c r="B2323" s="13" t="s">
        <v>4650</v>
      </c>
      <c r="C2323" s="13" t="s">
        <v>144</v>
      </c>
      <c r="D2323" s="13" t="s">
        <v>747</v>
      </c>
      <c r="E2323" s="13" t="str">
        <f>IFERROR(INDEX('Почасовка — ставки и план'!$B$5:$B$24,MATCH(D2323,'Почасовка — ставки и план'!$A$5:$A$24,0)),"Аренда техники / механизмы")</f>
        <v>Механик ПС / подъёмников / прессов / доков</v>
      </c>
      <c r="F2323" s="14">
        <v>2500</v>
      </c>
      <c r="G2323" s="14">
        <v>2900</v>
      </c>
      <c r="H2323" s="15">
        <v>1300</v>
      </c>
      <c r="I2323" s="15">
        <f>IF(OR(H2323="",F2323=""),"",MAX(H2323,MIN(ROUND(H2323*(1+Параметры!$B$5),IF(H2323*(1+Параметры!$B$5)&gt;=1000,-1,0)),ROUND(F2323*Параметры!$B$6,IF(F2323*Параметры!$B$6&gt;=1000,-1,0)))))</f>
        <v>1500</v>
      </c>
      <c r="J2323" s="15">
        <v>1500</v>
      </c>
      <c r="K2323" s="15">
        <f>IF(OR(J2323="",G2323=""),"",MAX(J2323,MIN(ROUND(J2323*(1+Параметры!$B$5),IF(J2323*(1+Параметры!$B$5)&gt;=1000,-1,0)),ROUND(G2323*Параметры!$B$6,IF(G2323*Параметры!$B$6&gt;=1000,-1,0)))))</f>
        <v>1730</v>
      </c>
      <c r="L2323" s="16">
        <v>0.75</v>
      </c>
      <c r="M2323" s="17">
        <f t="shared" si="170"/>
        <v>1.3333333333333333</v>
      </c>
      <c r="N2323" s="17">
        <f>IF(OR(L2323="",L2323=0),"",Параметры!$B$3/L2323)</f>
        <v>10.666666666666666</v>
      </c>
      <c r="O2323" s="15">
        <f>IF(L2323="","",IFERROR(INDEX('Почасовка — ставки и план'!$D$5:$D$24,MATCH($D2323,'Почасовка — ставки и план'!$A$5:$A$24,0)),""))</f>
        <v>1500</v>
      </c>
      <c r="P2323" s="15">
        <f>IF(L2323="","",IFERROR(INDEX('Почасовка — ставки и план'!$E$5:$E$24,MATCH($D2323,'Почасовка — ставки и план'!$A$5:$A$24,0)),""))</f>
        <v>1800</v>
      </c>
      <c r="Q2323" s="15">
        <f t="shared" si="171"/>
        <v>1125</v>
      </c>
      <c r="R2323" s="13" t="str">
        <f>IF(D2323="TEX","аренда техники — сделка/счёт",IF(OR(Q2323="",H2323="",H2323=0),"—",IF(Q2323&lt;H2323*(1-Параметры!$B$7),"почасовка",IF(Q2323&gt;H2323*(1+Параметры!$B$7),"сделка","любой способ"))))</f>
        <v>почасовка</v>
      </c>
      <c r="S2323">
        <v>0</v>
      </c>
      <c r="T2323">
        <v>0</v>
      </c>
    </row>
    <row r="2324" spans="1:20" x14ac:dyDescent="0.25">
      <c r="A2324" s="13" t="s">
        <v>4651</v>
      </c>
      <c r="B2324" s="13" t="s">
        <v>4652</v>
      </c>
      <c r="C2324" s="13" t="s">
        <v>144</v>
      </c>
      <c r="D2324" s="13" t="s">
        <v>747</v>
      </c>
      <c r="E2324" s="13" t="str">
        <f>IFERROR(INDEX('Почасовка — ставки и план'!$B$5:$B$24,MATCH(D2324,'Почасовка — ставки и план'!$A$5:$A$24,0)),"Аренда техники / механизмы")</f>
        <v>Механик ПС / подъёмников / прессов / доков</v>
      </c>
      <c r="F2324" s="14">
        <v>900</v>
      </c>
      <c r="G2324" s="14">
        <v>1050</v>
      </c>
      <c r="H2324" s="15">
        <v>500</v>
      </c>
      <c r="I2324" s="15">
        <f>IF(OR(H2324="",F2324=""),"",MAX(H2324,MIN(ROUND(H2324*(1+Параметры!$B$5),IF(H2324*(1+Параметры!$B$5)&gt;=1000,-1,0)),ROUND(F2324*Параметры!$B$6,IF(F2324*Параметры!$B$6&gt;=1000,-1,0)))))</f>
        <v>575</v>
      </c>
      <c r="J2324" s="15">
        <v>580</v>
      </c>
      <c r="K2324" s="15">
        <f>IF(OR(J2324="",G2324=""),"",MAX(J2324,MIN(ROUND(J2324*(1+Параметры!$B$5),IF(J2324*(1+Параметры!$B$5)&gt;=1000,-1,0)),ROUND(G2324*Параметры!$B$6,IF(G2324*Параметры!$B$6&gt;=1000,-1,0)))))</f>
        <v>667</v>
      </c>
      <c r="L2324" s="16">
        <v>0.3</v>
      </c>
      <c r="M2324" s="17">
        <f t="shared" si="170"/>
        <v>3.3333333333333335</v>
      </c>
      <c r="N2324" s="17">
        <f>IF(OR(L2324="",L2324=0),"",Параметры!$B$3/L2324)</f>
        <v>26.666666666666668</v>
      </c>
      <c r="O2324" s="15">
        <f>IF(L2324="","",IFERROR(INDEX('Почасовка — ставки и план'!$D$5:$D$24,MATCH($D2324,'Почасовка — ставки и план'!$A$5:$A$24,0)),""))</f>
        <v>1500</v>
      </c>
      <c r="P2324" s="15">
        <f>IF(L2324="","",IFERROR(INDEX('Почасовка — ставки и план'!$E$5:$E$24,MATCH($D2324,'Почасовка — ставки и план'!$A$5:$A$24,0)),""))</f>
        <v>1800</v>
      </c>
      <c r="Q2324" s="15">
        <f t="shared" si="171"/>
        <v>450</v>
      </c>
      <c r="R2324" s="13" t="str">
        <f>IF(D2324="TEX","аренда техники — сделка/счёт",IF(OR(Q2324="",H2324="",H2324=0),"—",IF(Q2324&lt;H2324*(1-Параметры!$B$7),"почасовка",IF(Q2324&gt;H2324*(1+Параметры!$B$7),"сделка","любой способ"))))</f>
        <v>любой способ</v>
      </c>
      <c r="S2324">
        <v>0</v>
      </c>
      <c r="T2324">
        <v>0</v>
      </c>
    </row>
    <row r="2325" spans="1:20" x14ac:dyDescent="0.25">
      <c r="A2325" s="13" t="s">
        <v>4653</v>
      </c>
      <c r="B2325" s="13" t="s">
        <v>4654</v>
      </c>
      <c r="C2325" s="13" t="s">
        <v>144</v>
      </c>
      <c r="D2325" s="13" t="s">
        <v>747</v>
      </c>
      <c r="E2325" s="13" t="str">
        <f>IFERROR(INDEX('Почасовка — ставки и план'!$B$5:$B$24,MATCH(D2325,'Почасовка — ставки и план'!$A$5:$A$24,0)),"Аренда техники / механизмы")</f>
        <v>Механик ПС / подъёмников / прессов / доков</v>
      </c>
      <c r="F2325" s="14">
        <v>8500</v>
      </c>
      <c r="G2325" s="14">
        <v>10000</v>
      </c>
      <c r="H2325" s="15">
        <v>5050</v>
      </c>
      <c r="I2325" s="15">
        <f>IF(OR(H2325="",F2325=""),"",MAX(H2325,MIN(ROUND(H2325*(1+Параметры!$B$5),IF(H2325*(1+Параметры!$B$5)&gt;=1000,-1,0)),ROUND(F2325*Параметры!$B$6,IF(F2325*Параметры!$B$6&gt;=1000,-1,0)))))</f>
        <v>5810</v>
      </c>
      <c r="J2325" s="15">
        <v>5750</v>
      </c>
      <c r="K2325" s="15">
        <f>IF(OR(J2325="",G2325=""),"",MAX(J2325,MIN(ROUND(J2325*(1+Параметры!$B$5),IF(J2325*(1+Параметры!$B$5)&gt;=1000,-1,0)),ROUND(G2325*Параметры!$B$6,IF(G2325*Параметры!$B$6&gt;=1000,-1,0)))))</f>
        <v>6610</v>
      </c>
      <c r="L2325" s="16">
        <v>3</v>
      </c>
      <c r="M2325" s="17">
        <f t="shared" si="170"/>
        <v>0.33333333333333331</v>
      </c>
      <c r="N2325" s="17">
        <f>IF(OR(L2325="",L2325=0),"",Параметры!$B$3/L2325)</f>
        <v>2.6666666666666665</v>
      </c>
      <c r="O2325" s="15">
        <f>IF(L2325="","",IFERROR(INDEX('Почасовка — ставки и план'!$D$5:$D$24,MATCH($D2325,'Почасовка — ставки и план'!$A$5:$A$24,0)),""))</f>
        <v>1500</v>
      </c>
      <c r="P2325" s="15">
        <f>IF(L2325="","",IFERROR(INDEX('Почасовка — ставки и план'!$E$5:$E$24,MATCH($D2325,'Почасовка — ставки и план'!$A$5:$A$24,0)),""))</f>
        <v>1800</v>
      </c>
      <c r="Q2325" s="15">
        <f t="shared" si="171"/>
        <v>4500</v>
      </c>
      <c r="R2325" s="13" t="str">
        <f>IF(D2325="TEX","аренда техники — сделка/счёт",IF(OR(Q2325="",H2325="",H2325=0),"—",IF(Q2325&lt;H2325*(1-Параметры!$B$7),"почасовка",IF(Q2325&gt;H2325*(1+Параметры!$B$7),"сделка","любой способ"))))</f>
        <v>почасовка</v>
      </c>
      <c r="S2325">
        <v>0</v>
      </c>
      <c r="T2325">
        <v>0</v>
      </c>
    </row>
    <row r="2326" spans="1:20" x14ac:dyDescent="0.25">
      <c r="A2326" s="13" t="s">
        <v>4655</v>
      </c>
      <c r="B2326" s="13" t="s">
        <v>4656</v>
      </c>
      <c r="C2326" s="13" t="s">
        <v>144</v>
      </c>
      <c r="D2326" s="13" t="s">
        <v>747</v>
      </c>
      <c r="E2326" s="13" t="str">
        <f>IFERROR(INDEX('Почасовка — ставки и план'!$B$5:$B$24,MATCH(D2326,'Почасовка — ставки и план'!$A$5:$A$24,0)),"Аренда техники / механизмы")</f>
        <v>Механик ПС / подъёмников / прессов / доков</v>
      </c>
      <c r="F2326" s="14">
        <v>1500</v>
      </c>
      <c r="G2326" s="14">
        <v>1750</v>
      </c>
      <c r="H2326" s="15">
        <v>840</v>
      </c>
      <c r="I2326" s="15">
        <f>IF(OR(H2326="",F2326=""),"",MAX(H2326,MIN(ROUND(H2326*(1+Параметры!$B$5),IF(H2326*(1+Параметры!$B$5)&gt;=1000,-1,0)),ROUND(F2326*Параметры!$B$6,IF(F2326*Параметры!$B$6&gt;=1000,-1,0)))))</f>
        <v>966</v>
      </c>
      <c r="J2326" s="15">
        <v>960</v>
      </c>
      <c r="K2326" s="15">
        <f>IF(OR(J2326="",G2326=""),"",MAX(J2326,MIN(ROUND(J2326*(1+Параметры!$B$5),IF(J2326*(1+Параметры!$B$5)&gt;=1000,-1,0)),ROUND(G2326*Параметры!$B$6,IF(G2326*Параметры!$B$6&gt;=1000,-1,0)))))</f>
        <v>1100</v>
      </c>
      <c r="L2326" s="16">
        <v>0.5</v>
      </c>
      <c r="M2326" s="17">
        <f t="shared" si="170"/>
        <v>2</v>
      </c>
      <c r="N2326" s="17">
        <f>IF(OR(L2326="",L2326=0),"",Параметры!$B$3/L2326)</f>
        <v>16</v>
      </c>
      <c r="O2326" s="15">
        <f>IF(L2326="","",IFERROR(INDEX('Почасовка — ставки и план'!$D$5:$D$24,MATCH($D2326,'Почасовка — ставки и план'!$A$5:$A$24,0)),""))</f>
        <v>1500</v>
      </c>
      <c r="P2326" s="15">
        <f>IF(L2326="","",IFERROR(INDEX('Почасовка — ставки и план'!$E$5:$E$24,MATCH($D2326,'Почасовка — ставки и план'!$A$5:$A$24,0)),""))</f>
        <v>1800</v>
      </c>
      <c r="Q2326" s="15">
        <f t="shared" si="171"/>
        <v>750</v>
      </c>
      <c r="R2326" s="13" t="str">
        <f>IF(D2326="TEX","аренда техники — сделка/счёт",IF(OR(Q2326="",H2326="",H2326=0),"—",IF(Q2326&lt;H2326*(1-Параметры!$B$7),"почасовка",IF(Q2326&gt;H2326*(1+Параметры!$B$7),"сделка","любой способ"))))</f>
        <v>почасовка</v>
      </c>
      <c r="S2326">
        <v>0</v>
      </c>
      <c r="T2326">
        <v>0</v>
      </c>
    </row>
    <row r="2327" spans="1:20" x14ac:dyDescent="0.25">
      <c r="A2327" s="13" t="s">
        <v>4657</v>
      </c>
      <c r="B2327" s="13" t="s">
        <v>4658</v>
      </c>
      <c r="C2327" s="13" t="s">
        <v>144</v>
      </c>
      <c r="D2327" s="13" t="s">
        <v>747</v>
      </c>
      <c r="E2327" s="13" t="str">
        <f>IFERROR(INDEX('Почасовка — ставки и план'!$B$5:$B$24,MATCH(D2327,'Почасовка — ставки и план'!$A$5:$A$24,0)),"Аренда техники / механизмы")</f>
        <v>Механик ПС / подъёмников / прессов / доков</v>
      </c>
      <c r="F2327" s="14">
        <v>1000</v>
      </c>
      <c r="G2327" s="14">
        <v>1150</v>
      </c>
      <c r="H2327" s="15">
        <v>540</v>
      </c>
      <c r="I2327" s="15">
        <f>IF(OR(H2327="",F2327=""),"",MAX(H2327,MIN(ROUND(H2327*(1+Параметры!$B$5),IF(H2327*(1+Параметры!$B$5)&gt;=1000,-1,0)),ROUND(F2327*Параметры!$B$6,IF(F2327*Параметры!$B$6&gt;=1000,-1,0)))))</f>
        <v>621</v>
      </c>
      <c r="J2327" s="15">
        <v>600</v>
      </c>
      <c r="K2327" s="15">
        <f>IF(OR(J2327="",G2327=""),"",MAX(J2327,MIN(ROUND(J2327*(1+Параметры!$B$5),IF(J2327*(1+Параметры!$B$5)&gt;=1000,-1,0)),ROUND(G2327*Параметры!$B$6,IF(G2327*Параметры!$B$6&gt;=1000,-1,0)))))</f>
        <v>690</v>
      </c>
      <c r="L2327" s="16">
        <v>0.3</v>
      </c>
      <c r="M2327" s="17">
        <f t="shared" si="170"/>
        <v>3.3333333333333335</v>
      </c>
      <c r="N2327" s="17">
        <f>IF(OR(L2327="",L2327=0),"",Параметры!$B$3/L2327)</f>
        <v>26.666666666666668</v>
      </c>
      <c r="O2327" s="15">
        <f>IF(L2327="","",IFERROR(INDEX('Почасовка — ставки и план'!$D$5:$D$24,MATCH($D2327,'Почасовка — ставки и план'!$A$5:$A$24,0)),""))</f>
        <v>1500</v>
      </c>
      <c r="P2327" s="15">
        <f>IF(L2327="","",IFERROR(INDEX('Почасовка — ставки и план'!$E$5:$E$24,MATCH($D2327,'Почасовка — ставки и план'!$A$5:$A$24,0)),""))</f>
        <v>1800</v>
      </c>
      <c r="Q2327" s="15">
        <f t="shared" si="171"/>
        <v>450</v>
      </c>
      <c r="R2327" s="13" t="str">
        <f>IF(D2327="TEX","аренда техники — сделка/счёт",IF(OR(Q2327="",H2327="",H2327=0),"—",IF(Q2327&lt;H2327*(1-Параметры!$B$7),"почасовка",IF(Q2327&gt;H2327*(1+Параметры!$B$7),"сделка","любой способ"))))</f>
        <v>почасовка</v>
      </c>
      <c r="S2327">
        <v>0</v>
      </c>
      <c r="T2327">
        <v>0</v>
      </c>
    </row>
    <row r="2328" spans="1:20" x14ac:dyDescent="0.25">
      <c r="A2328" s="13" t="s">
        <v>4659</v>
      </c>
      <c r="B2328" s="13" t="s">
        <v>4660</v>
      </c>
      <c r="C2328" s="13" t="s">
        <v>144</v>
      </c>
      <c r="D2328" s="13" t="s">
        <v>747</v>
      </c>
      <c r="E2328" s="13" t="str">
        <f>IFERROR(INDEX('Почасовка — ставки и план'!$B$5:$B$24,MATCH(D2328,'Почасовка — ставки и план'!$A$5:$A$24,0)),"Аренда техники / механизмы")</f>
        <v>Механик ПС / подъёмников / прессов / доков</v>
      </c>
      <c r="F2328" s="14">
        <v>25000</v>
      </c>
      <c r="G2328" s="14">
        <v>30000</v>
      </c>
      <c r="H2328" s="15">
        <v>15000</v>
      </c>
      <c r="I2328" s="15">
        <f>IF(OR(H2328="",F2328=""),"",MAX(H2328,MIN(ROUND(H2328*(1+Параметры!$B$5),IF(H2328*(1+Параметры!$B$5)&gt;=1000,-1,0)),ROUND(F2328*Параметры!$B$6,IF(F2328*Параметры!$B$6&gt;=1000,-1,0)))))</f>
        <v>17250</v>
      </c>
      <c r="J2328" s="15">
        <v>18000</v>
      </c>
      <c r="K2328" s="15">
        <f>IF(OR(J2328="",G2328=""),"",MAX(J2328,MIN(ROUND(J2328*(1+Параметры!$B$5),IF(J2328*(1+Параметры!$B$5)&gt;=1000,-1,0)),ROUND(G2328*Параметры!$B$6,IF(G2328*Параметры!$B$6&gt;=1000,-1,0)))))</f>
        <v>20700</v>
      </c>
      <c r="L2328" s="16">
        <v>8</v>
      </c>
      <c r="M2328" s="17">
        <f t="shared" si="170"/>
        <v>0.125</v>
      </c>
      <c r="N2328" s="17">
        <f>IF(OR(L2328="",L2328=0),"",Параметры!$B$3/L2328)</f>
        <v>1</v>
      </c>
      <c r="O2328" s="15">
        <f>IF(L2328="","",IFERROR(INDEX('Почасовка — ставки и план'!$D$5:$D$24,MATCH($D2328,'Почасовка — ставки и план'!$A$5:$A$24,0)),""))</f>
        <v>1500</v>
      </c>
      <c r="P2328" s="15">
        <f>IF(L2328="","",IFERROR(INDEX('Почасовка — ставки и план'!$E$5:$E$24,MATCH($D2328,'Почасовка — ставки и план'!$A$5:$A$24,0)),""))</f>
        <v>1800</v>
      </c>
      <c r="Q2328" s="15">
        <f t="shared" si="171"/>
        <v>12000</v>
      </c>
      <c r="R2328" s="13" t="str">
        <f>IF(D2328="TEX","аренда техники — сделка/счёт",IF(OR(Q2328="",H2328="",H2328=0),"—",IF(Q2328&lt;H2328*(1-Параметры!$B$7),"почасовка",IF(Q2328&gt;H2328*(1+Параметры!$B$7),"сделка","любой способ"))))</f>
        <v>почасовка</v>
      </c>
      <c r="S2328">
        <v>0</v>
      </c>
      <c r="T2328">
        <v>0</v>
      </c>
    </row>
    <row r="2329" spans="1:20" x14ac:dyDescent="0.25">
      <c r="A2329" s="13" t="s">
        <v>4661</v>
      </c>
      <c r="B2329" s="13" t="s">
        <v>4662</v>
      </c>
      <c r="C2329" s="13" t="s">
        <v>144</v>
      </c>
      <c r="D2329" s="13" t="s">
        <v>64</v>
      </c>
      <c r="E2329" s="13" t="str">
        <f>IFERROR(INDEX('Почасовка — ставки и план'!$B$5:$B$24,MATCH(D2329,'Почасовка — ставки и план'!$A$5:$A$24,0)),"Аренда техники / механизмы")</f>
        <v>Сварщик / монтажник МК</v>
      </c>
      <c r="F2329" s="14">
        <v>9000</v>
      </c>
      <c r="G2329" s="14">
        <v>10500</v>
      </c>
      <c r="H2329" s="15">
        <v>5050</v>
      </c>
      <c r="I2329" s="15">
        <f>IF(OR(H2329="",F2329=""),"",MAX(H2329,MIN(ROUND(H2329*(1+Параметры!$B$5),IF(H2329*(1+Параметры!$B$5)&gt;=1000,-1,0)),ROUND(F2329*Параметры!$B$6,IF(F2329*Параметры!$B$6&gt;=1000,-1,0)))))</f>
        <v>5810</v>
      </c>
      <c r="J2329" s="15">
        <v>5900</v>
      </c>
      <c r="K2329" s="15">
        <f>IF(OR(J2329="",G2329=""),"",MAX(J2329,MIN(ROUND(J2329*(1+Параметры!$B$5),IF(J2329*(1+Параметры!$B$5)&gt;=1000,-1,0)),ROUND(G2329*Параметры!$B$6,IF(G2329*Параметры!$B$6&gt;=1000,-1,0)))))</f>
        <v>6790</v>
      </c>
      <c r="L2329" s="16">
        <v>3</v>
      </c>
      <c r="M2329" s="17">
        <f t="shared" si="170"/>
        <v>0.33333333333333331</v>
      </c>
      <c r="N2329" s="17">
        <f>IF(OR(L2329="",L2329=0),"",Параметры!$B$3/L2329)</f>
        <v>2.6666666666666665</v>
      </c>
      <c r="O2329" s="15">
        <f>IF(L2329="","",IFERROR(INDEX('Почасовка — ставки и план'!$D$5:$D$24,MATCH($D2329,'Почасовка — ставки и план'!$A$5:$A$24,0)),""))</f>
        <v>900</v>
      </c>
      <c r="P2329" s="15">
        <f>IF(L2329="","",IFERROR(INDEX('Почасовка — ставки и план'!$E$5:$E$24,MATCH($D2329,'Почасовка — ставки и план'!$A$5:$A$24,0)),""))</f>
        <v>1080</v>
      </c>
      <c r="Q2329" s="15">
        <f t="shared" si="171"/>
        <v>2700</v>
      </c>
      <c r="R2329" s="13" t="str">
        <f>IF(D2329="TEX","аренда техники — сделка/счёт",IF(OR(Q2329="",H2329="",H2329=0),"—",IF(Q2329&lt;H2329*(1-Параметры!$B$7),"почасовка",IF(Q2329&gt;H2329*(1+Параметры!$B$7),"сделка","любой способ"))))</f>
        <v>почасовка</v>
      </c>
      <c r="S2329">
        <v>0</v>
      </c>
      <c r="T2329">
        <v>0</v>
      </c>
    </row>
    <row r="2330" spans="1:20" x14ac:dyDescent="0.25">
      <c r="A2330" s="13" t="s">
        <v>4663</v>
      </c>
      <c r="B2330" s="13" t="s">
        <v>4664</v>
      </c>
      <c r="C2330" s="13" t="s">
        <v>144</v>
      </c>
      <c r="D2330" s="13" t="s">
        <v>747</v>
      </c>
      <c r="E2330" s="13" t="str">
        <f>IFERROR(INDEX('Почасовка — ставки и план'!$B$5:$B$24,MATCH(D2330,'Почасовка — ставки и план'!$A$5:$A$24,0)),"Аренда техники / механизмы")</f>
        <v>Механик ПС / подъёмников / прессов / доков</v>
      </c>
      <c r="F2330" s="14">
        <v>7000</v>
      </c>
      <c r="G2330" s="14">
        <v>8500</v>
      </c>
      <c r="H2330" s="15">
        <v>4200</v>
      </c>
      <c r="I2330" s="15">
        <f>IF(OR(H2330="",F2330=""),"",MAX(H2330,MIN(ROUND(H2330*(1+Параметры!$B$5),IF(H2330*(1+Параметры!$B$5)&gt;=1000,-1,0)),ROUND(F2330*Параметры!$B$6,IF(F2330*Параметры!$B$6&gt;=1000,-1,0)))))</f>
        <v>4830</v>
      </c>
      <c r="J2330" s="15">
        <v>4800</v>
      </c>
      <c r="K2330" s="15">
        <f>IF(OR(J2330="",G2330=""),"",MAX(J2330,MIN(ROUND(J2330*(1+Параметры!$B$5),IF(J2330*(1+Параметры!$B$5)&gt;=1000,-1,0)),ROUND(G2330*Параметры!$B$6,IF(G2330*Параметры!$B$6&gt;=1000,-1,0)))))</f>
        <v>5520</v>
      </c>
      <c r="L2330" s="16">
        <v>2.5</v>
      </c>
      <c r="M2330" s="17">
        <f t="shared" si="170"/>
        <v>0.4</v>
      </c>
      <c r="N2330" s="17">
        <f>IF(OR(L2330="",L2330=0),"",Параметры!$B$3/L2330)</f>
        <v>3.2</v>
      </c>
      <c r="O2330" s="15">
        <f>IF(L2330="","",IFERROR(INDEX('Почасовка — ставки и план'!$D$5:$D$24,MATCH($D2330,'Почасовка — ставки и план'!$A$5:$A$24,0)),""))</f>
        <v>1500</v>
      </c>
      <c r="P2330" s="15">
        <f>IF(L2330="","",IFERROR(INDEX('Почасовка — ставки и план'!$E$5:$E$24,MATCH($D2330,'Почасовка — ставки и план'!$A$5:$A$24,0)),""))</f>
        <v>1800</v>
      </c>
      <c r="Q2330" s="15">
        <f t="shared" si="171"/>
        <v>3750</v>
      </c>
      <c r="R2330" s="13" t="str">
        <f>IF(D2330="TEX","аренда техники — сделка/счёт",IF(OR(Q2330="",H2330="",H2330=0),"—",IF(Q2330&lt;H2330*(1-Параметры!$B$7),"почасовка",IF(Q2330&gt;H2330*(1+Параметры!$B$7),"сделка","любой способ"))))</f>
        <v>почасовка</v>
      </c>
      <c r="S2330">
        <v>0</v>
      </c>
      <c r="T2330">
        <v>0</v>
      </c>
    </row>
    <row r="2331" spans="1:20" x14ac:dyDescent="0.25">
      <c r="A2331" s="13" t="s">
        <v>4665</v>
      </c>
      <c r="B2331" s="13" t="s">
        <v>4666</v>
      </c>
      <c r="C2331" s="13" t="s">
        <v>144</v>
      </c>
      <c r="D2331" s="13" t="s">
        <v>747</v>
      </c>
      <c r="E2331" s="13" t="str">
        <f>IFERROR(INDEX('Почасовка — ставки и план'!$B$5:$B$24,MATCH(D2331,'Почасовка — ставки и план'!$A$5:$A$24,0)),"Аренда техники / механизмы")</f>
        <v>Механик ПС / подъёмников / прессов / доков</v>
      </c>
      <c r="F2331" s="14">
        <v>1200</v>
      </c>
      <c r="G2331" s="14">
        <v>1400</v>
      </c>
      <c r="H2331" s="15">
        <v>670</v>
      </c>
      <c r="I2331" s="15">
        <f>IF(OR(H2331="",F2331=""),"",MAX(H2331,MIN(ROUND(H2331*(1+Параметры!$B$5),IF(H2331*(1+Параметры!$B$5)&gt;=1000,-1,0)),ROUND(F2331*Параметры!$B$6,IF(F2331*Параметры!$B$6&gt;=1000,-1,0)))))</f>
        <v>771</v>
      </c>
      <c r="J2331" s="15">
        <v>780</v>
      </c>
      <c r="K2331" s="15">
        <f>IF(OR(J2331="",G2331=""),"",MAX(J2331,MIN(ROUND(J2331*(1+Параметры!$B$5),IF(J2331*(1+Параметры!$B$5)&gt;=1000,-1,0)),ROUND(G2331*Параметры!$B$6,IF(G2331*Параметры!$B$6&gt;=1000,-1,0)))))</f>
        <v>897</v>
      </c>
      <c r="L2331" s="16">
        <v>0.4</v>
      </c>
      <c r="M2331" s="17">
        <f t="shared" si="170"/>
        <v>2.5</v>
      </c>
      <c r="N2331" s="17">
        <f>IF(OR(L2331="",L2331=0),"",Параметры!$B$3/L2331)</f>
        <v>20</v>
      </c>
      <c r="O2331" s="15">
        <f>IF(L2331="","",IFERROR(INDEX('Почасовка — ставки и план'!$D$5:$D$24,MATCH($D2331,'Почасовка — ставки и план'!$A$5:$A$24,0)),""))</f>
        <v>1500</v>
      </c>
      <c r="P2331" s="15">
        <f>IF(L2331="","",IFERROR(INDEX('Почасовка — ставки и план'!$E$5:$E$24,MATCH($D2331,'Почасовка — ставки и план'!$A$5:$A$24,0)),""))</f>
        <v>1800</v>
      </c>
      <c r="Q2331" s="15">
        <f t="shared" si="171"/>
        <v>600</v>
      </c>
      <c r="R2331" s="13" t="str">
        <f>IF(D2331="TEX","аренда техники — сделка/счёт",IF(OR(Q2331="",H2331="",H2331=0),"—",IF(Q2331&lt;H2331*(1-Параметры!$B$7),"почасовка",IF(Q2331&gt;H2331*(1+Параметры!$B$7),"сделка","любой способ"))))</f>
        <v>почасовка</v>
      </c>
      <c r="S2331">
        <v>0</v>
      </c>
      <c r="T2331">
        <v>0</v>
      </c>
    </row>
    <row r="2332" spans="1:20" x14ac:dyDescent="0.25">
      <c r="A2332" s="13" t="s">
        <v>4667</v>
      </c>
      <c r="B2332" s="13" t="s">
        <v>4668</v>
      </c>
      <c r="C2332" s="13" t="s">
        <v>144</v>
      </c>
      <c r="D2332" s="13" t="s">
        <v>747</v>
      </c>
      <c r="E2332" s="13" t="str">
        <f>IFERROR(INDEX('Почасовка — ставки и план'!$B$5:$B$24,MATCH(D2332,'Почасовка — ставки и план'!$A$5:$A$24,0)),"Аренда техники / механизмы")</f>
        <v>Механик ПС / подъёмников / прессов / доков</v>
      </c>
      <c r="F2332" s="14">
        <v>4500</v>
      </c>
      <c r="G2332" s="14">
        <v>5200</v>
      </c>
      <c r="H2332" s="15">
        <v>2500</v>
      </c>
      <c r="I2332" s="15">
        <f>IF(OR(H2332="",F2332=""),"",MAX(H2332,MIN(ROUND(H2332*(1+Параметры!$B$5),IF(H2332*(1+Параметры!$B$5)&gt;=1000,-1,0)),ROUND(F2332*Параметры!$B$6,IF(F2332*Параметры!$B$6&gt;=1000,-1,0)))))</f>
        <v>2880</v>
      </c>
      <c r="J2332" s="15">
        <v>2900</v>
      </c>
      <c r="K2332" s="15">
        <f>IF(OR(J2332="",G2332=""),"",MAX(J2332,MIN(ROUND(J2332*(1+Параметры!$B$5),IF(J2332*(1+Параметры!$B$5)&gt;=1000,-1,0)),ROUND(G2332*Параметры!$B$6,IF(G2332*Параметры!$B$6&gt;=1000,-1,0)))))</f>
        <v>3340</v>
      </c>
      <c r="L2332" s="16">
        <v>1.5</v>
      </c>
      <c r="M2332" s="17">
        <f t="shared" si="170"/>
        <v>0.66666666666666663</v>
      </c>
      <c r="N2332" s="17">
        <f>IF(OR(L2332="",L2332=0),"",Параметры!$B$3/L2332)</f>
        <v>5.333333333333333</v>
      </c>
      <c r="O2332" s="15">
        <f>IF(L2332="","",IFERROR(INDEX('Почасовка — ставки и план'!$D$5:$D$24,MATCH($D2332,'Почасовка — ставки и план'!$A$5:$A$24,0)),""))</f>
        <v>1500</v>
      </c>
      <c r="P2332" s="15">
        <f>IF(L2332="","",IFERROR(INDEX('Почасовка — ставки и план'!$E$5:$E$24,MATCH($D2332,'Почасовка — ставки и план'!$A$5:$A$24,0)),""))</f>
        <v>1800</v>
      </c>
      <c r="Q2332" s="15">
        <f t="shared" si="171"/>
        <v>2250</v>
      </c>
      <c r="R2332" s="13" t="str">
        <f>IF(D2332="TEX","аренда техники — сделка/счёт",IF(OR(Q2332="",H2332="",H2332=0),"—",IF(Q2332&lt;H2332*(1-Параметры!$B$7),"почасовка",IF(Q2332&gt;H2332*(1+Параметры!$B$7),"сделка","любой способ"))))</f>
        <v>любой способ</v>
      </c>
      <c r="S2332">
        <v>0</v>
      </c>
      <c r="T2332">
        <v>0</v>
      </c>
    </row>
    <row r="2333" spans="1:20" x14ac:dyDescent="0.25">
      <c r="A2333" s="18" t="s">
        <v>4669</v>
      </c>
      <c r="B2333" s="13" t="s">
        <v>4670</v>
      </c>
      <c r="C2333" s="13" t="s">
        <v>4512</v>
      </c>
      <c r="D2333" s="13" t="s">
        <v>747</v>
      </c>
      <c r="E2333" s="13" t="str">
        <f>IFERROR(INDEX('Почасовка — ставки и план'!$B$5:$B$24,MATCH(D2333,'Почасовка — ставки и план'!$A$5:$A$24,0)),"Аренда техники / механизмы")</f>
        <v>Механик ПС / подъёмников / прессов / доков</v>
      </c>
      <c r="F2333" s="14">
        <v>5500</v>
      </c>
      <c r="G2333" s="14">
        <v>6500</v>
      </c>
      <c r="H2333" s="15">
        <v>3350</v>
      </c>
      <c r="I2333" s="15">
        <f>IF(OR(H2333="",F2333=""),"",MAX(H2333,MIN(ROUND(H2333*(1+Параметры!$B$5),IF(H2333*(1+Параметры!$B$5)&gt;=1000,-1,0)),ROUND(F2333*Параметры!$B$6,IF(F2333*Параметры!$B$6&gt;=1000,-1,0)))))</f>
        <v>3850</v>
      </c>
      <c r="J2333" s="15">
        <v>3850</v>
      </c>
      <c r="K2333" s="15">
        <f>IF(OR(J2333="",G2333=""),"",MAX(J2333,MIN(ROUND(J2333*(1+Параметры!$B$5),IF(J2333*(1+Параметры!$B$5)&gt;=1000,-1,0)),ROUND(G2333*Параметры!$B$6,IF(G2333*Параметры!$B$6&gt;=1000,-1,0)))))</f>
        <v>4430</v>
      </c>
      <c r="L2333" s="16">
        <v>2</v>
      </c>
      <c r="M2333" s="17">
        <f t="shared" si="170"/>
        <v>0.5</v>
      </c>
      <c r="N2333" s="17">
        <f>IF(OR(L2333="",L2333=0),"",Параметры!$B$3/L2333)</f>
        <v>4</v>
      </c>
      <c r="O2333" s="15">
        <f>IF(L2333="","",IFERROR(INDEX('Почасовка — ставки и план'!$D$5:$D$24,MATCH($D2333,'Почасовка — ставки и план'!$A$5:$A$24,0)),""))</f>
        <v>1500</v>
      </c>
      <c r="P2333" s="15">
        <f>IF(L2333="","",IFERROR(INDEX('Почасовка — ставки и план'!$E$5:$E$24,MATCH($D2333,'Почасовка — ставки и план'!$A$5:$A$24,0)),""))</f>
        <v>1800</v>
      </c>
      <c r="Q2333" s="15">
        <f t="shared" si="171"/>
        <v>3000</v>
      </c>
      <c r="R2333" s="13" t="str">
        <f>IF(D2333="TEX","аренда техники — сделка/счёт",IF(OR(Q2333="",H2333="",H2333=0),"—",IF(Q2333&lt;H2333*(1-Параметры!$B$7),"почасовка",IF(Q2333&gt;H2333*(1+Параметры!$B$7),"сделка","любой способ"))))</f>
        <v>почасовка</v>
      </c>
      <c r="S2333">
        <v>0</v>
      </c>
      <c r="T2333">
        <v>0</v>
      </c>
    </row>
    <row r="2334" spans="1:20" x14ac:dyDescent="0.25">
      <c r="A2334" s="18" t="s">
        <v>4671</v>
      </c>
      <c r="B2334" s="13" t="s">
        <v>4672</v>
      </c>
      <c r="C2334" s="13" t="s">
        <v>144</v>
      </c>
      <c r="D2334" s="13" t="s">
        <v>747</v>
      </c>
      <c r="E2334" s="13" t="str">
        <f>IFERROR(INDEX('Почасовка — ставки и план'!$B$5:$B$24,MATCH(D2334,'Почасовка — ставки и план'!$A$5:$A$24,0)),"Аренда техники / механизмы")</f>
        <v>Механик ПС / подъёмников / прессов / доков</v>
      </c>
      <c r="F2334" s="14">
        <v>1500</v>
      </c>
      <c r="G2334" s="14">
        <v>1750</v>
      </c>
      <c r="H2334" s="15">
        <v>840</v>
      </c>
      <c r="I2334" s="15">
        <f>IF(OR(H2334="",F2334=""),"",MAX(H2334,MIN(ROUND(H2334*(1+Параметры!$B$5),IF(H2334*(1+Параметры!$B$5)&gt;=1000,-1,0)),ROUND(F2334*Параметры!$B$6,IF(F2334*Параметры!$B$6&gt;=1000,-1,0)))))</f>
        <v>966</v>
      </c>
      <c r="J2334" s="15">
        <v>960</v>
      </c>
      <c r="K2334" s="15">
        <f>IF(OR(J2334="",G2334=""),"",MAX(J2334,MIN(ROUND(J2334*(1+Параметры!$B$5),IF(J2334*(1+Параметры!$B$5)&gt;=1000,-1,0)),ROUND(G2334*Параметры!$B$6,IF(G2334*Параметры!$B$6&gt;=1000,-1,0)))))</f>
        <v>1100</v>
      </c>
      <c r="L2334" s="16">
        <v>0.5</v>
      </c>
      <c r="M2334" s="17">
        <f t="shared" si="170"/>
        <v>2</v>
      </c>
      <c r="N2334" s="17">
        <f>IF(OR(L2334="",L2334=0),"",Параметры!$B$3/L2334)</f>
        <v>16</v>
      </c>
      <c r="O2334" s="15">
        <f>IF(L2334="","",IFERROR(INDEX('Почасовка — ставки и план'!$D$5:$D$24,MATCH($D2334,'Почасовка — ставки и план'!$A$5:$A$24,0)),""))</f>
        <v>1500</v>
      </c>
      <c r="P2334" s="15">
        <f>IF(L2334="","",IFERROR(INDEX('Почасовка — ставки и план'!$E$5:$E$24,MATCH($D2334,'Почасовка — ставки и план'!$A$5:$A$24,0)),""))</f>
        <v>1800</v>
      </c>
      <c r="Q2334" s="15">
        <f t="shared" si="171"/>
        <v>750</v>
      </c>
      <c r="R2334" s="13" t="str">
        <f>IF(D2334="TEX","аренда техники — сделка/счёт",IF(OR(Q2334="",H2334="",H2334=0),"—",IF(Q2334&lt;H2334*(1-Параметры!$B$7),"почасовка",IF(Q2334&gt;H2334*(1+Параметры!$B$7),"сделка","любой способ"))))</f>
        <v>почасовка</v>
      </c>
      <c r="S2334">
        <v>0</v>
      </c>
      <c r="T2334">
        <v>0</v>
      </c>
    </row>
    <row r="2335" spans="1:20" x14ac:dyDescent="0.25">
      <c r="A2335" s="18" t="s">
        <v>4673</v>
      </c>
      <c r="B2335" s="13" t="s">
        <v>4674</v>
      </c>
      <c r="C2335" s="13" t="s">
        <v>756</v>
      </c>
      <c r="D2335" s="13" t="s">
        <v>747</v>
      </c>
      <c r="E2335" s="13" t="str">
        <f>IFERROR(INDEX('Почасовка — ставки и план'!$B$5:$B$24,MATCH(D2335,'Почасовка — ставки и план'!$A$5:$A$24,0)),"Аренда техники / механизмы")</f>
        <v>Механик ПС / подъёмников / прессов / доков</v>
      </c>
      <c r="F2335" s="14">
        <v>11000</v>
      </c>
      <c r="G2335" s="14">
        <v>12500</v>
      </c>
      <c r="H2335" s="15">
        <v>6600</v>
      </c>
      <c r="I2335" s="15">
        <f>IF(OR(H2335="",F2335=""),"",MAX(H2335,MIN(ROUND(H2335*(1+Параметры!$B$5),IF(H2335*(1+Параметры!$B$5)&gt;=1000,-1,0)),ROUND(F2335*Параметры!$B$6,IF(F2335*Параметры!$B$6&gt;=1000,-1,0)))))</f>
        <v>7590</v>
      </c>
      <c r="J2335" s="15">
        <v>7550</v>
      </c>
      <c r="K2335" s="15">
        <f>IF(OR(J2335="",G2335=""),"",MAX(J2335,MIN(ROUND(J2335*(1+Параметры!$B$5),IF(J2335*(1+Параметры!$B$5)&gt;=1000,-1,0)),ROUND(G2335*Параметры!$B$6,IF(G2335*Параметры!$B$6&gt;=1000,-1,0)))))</f>
        <v>8680</v>
      </c>
      <c r="L2335" s="16">
        <v>4</v>
      </c>
      <c r="M2335" s="17">
        <f t="shared" si="170"/>
        <v>0.25</v>
      </c>
      <c r="N2335" s="17">
        <f>IF(OR(L2335="",L2335=0),"",Параметры!$B$3/L2335)</f>
        <v>2</v>
      </c>
      <c r="O2335" s="15">
        <f>IF(L2335="","",IFERROR(INDEX('Почасовка — ставки и план'!$D$5:$D$24,MATCH($D2335,'Почасовка — ставки и план'!$A$5:$A$24,0)),""))</f>
        <v>1500</v>
      </c>
      <c r="P2335" s="15">
        <f>IF(L2335="","",IFERROR(INDEX('Почасовка — ставки и план'!$E$5:$E$24,MATCH($D2335,'Почасовка — ставки и план'!$A$5:$A$24,0)),""))</f>
        <v>1800</v>
      </c>
      <c r="Q2335" s="15">
        <f t="shared" si="171"/>
        <v>6000</v>
      </c>
      <c r="R2335" s="13" t="str">
        <f>IF(D2335="TEX","аренда техники — сделка/счёт",IF(OR(Q2335="",H2335="",H2335=0),"—",IF(Q2335&lt;H2335*(1-Параметры!$B$7),"почасовка",IF(Q2335&gt;H2335*(1+Параметры!$B$7),"сделка","любой способ"))))</f>
        <v>любой способ</v>
      </c>
      <c r="S2335">
        <v>0</v>
      </c>
      <c r="T2335">
        <v>0</v>
      </c>
    </row>
    <row r="2336" spans="1:20" x14ac:dyDescent="0.25">
      <c r="A2336" s="18" t="s">
        <v>4675</v>
      </c>
      <c r="B2336" s="13" t="s">
        <v>4676</v>
      </c>
      <c r="C2336" s="13" t="s">
        <v>1069</v>
      </c>
      <c r="D2336" s="13" t="s">
        <v>747</v>
      </c>
      <c r="E2336" s="13" t="str">
        <f>IFERROR(INDEX('Почасовка — ставки и план'!$B$5:$B$24,MATCH(D2336,'Почасовка — ставки и план'!$A$5:$A$24,0)),"Аренда техники / механизмы")</f>
        <v>Механик ПС / подъёмников / прессов / доков</v>
      </c>
      <c r="F2336" s="14">
        <v>3000</v>
      </c>
      <c r="G2336" s="14">
        <v>3500</v>
      </c>
      <c r="H2336" s="15">
        <v>1700</v>
      </c>
      <c r="I2336" s="15">
        <f>IF(OR(H2336="",F2336=""),"",MAX(H2336,MIN(ROUND(H2336*(1+Параметры!$B$5),IF(H2336*(1+Параметры!$B$5)&gt;=1000,-1,0)),ROUND(F2336*Параметры!$B$6,IF(F2336*Параметры!$B$6&gt;=1000,-1,0)))))</f>
        <v>1960</v>
      </c>
      <c r="J2336" s="15">
        <v>1900</v>
      </c>
      <c r="K2336" s="15">
        <f>IF(OR(J2336="",G2336=""),"",MAX(J2336,MIN(ROUND(J2336*(1+Параметры!$B$5),IF(J2336*(1+Параметры!$B$5)&gt;=1000,-1,0)),ROUND(G2336*Параметры!$B$6,IF(G2336*Параметры!$B$6&gt;=1000,-1,0)))))</f>
        <v>2190</v>
      </c>
      <c r="L2336" s="16">
        <v>1</v>
      </c>
      <c r="M2336" s="17">
        <f t="shared" si="170"/>
        <v>1</v>
      </c>
      <c r="N2336" s="17">
        <f>IF(OR(L2336="",L2336=0),"",Параметры!$B$3/L2336)</f>
        <v>8</v>
      </c>
      <c r="O2336" s="15">
        <f>IF(L2336="","",IFERROR(INDEX('Почасовка — ставки и план'!$D$5:$D$24,MATCH($D2336,'Почасовка — ставки и план'!$A$5:$A$24,0)),""))</f>
        <v>1500</v>
      </c>
      <c r="P2336" s="15">
        <f>IF(L2336="","",IFERROR(INDEX('Почасовка — ставки и план'!$E$5:$E$24,MATCH($D2336,'Почасовка — ставки и план'!$A$5:$A$24,0)),""))</f>
        <v>1800</v>
      </c>
      <c r="Q2336" s="15">
        <f t="shared" si="171"/>
        <v>1500</v>
      </c>
      <c r="R2336" s="13" t="str">
        <f>IF(D2336="TEX","аренда техники — сделка/счёт",IF(OR(Q2336="",H2336="",H2336=0),"—",IF(Q2336&lt;H2336*(1-Параметры!$B$7),"почасовка",IF(Q2336&gt;H2336*(1+Параметры!$B$7),"сделка","любой способ"))))</f>
        <v>почасовка</v>
      </c>
      <c r="S2336">
        <v>0</v>
      </c>
      <c r="T2336">
        <v>0</v>
      </c>
    </row>
    <row r="2337" spans="1:20" x14ac:dyDescent="0.25">
      <c r="A2337" s="18" t="s">
        <v>4677</v>
      </c>
      <c r="B2337" s="13" t="s">
        <v>4678</v>
      </c>
      <c r="C2337" s="13" t="s">
        <v>144</v>
      </c>
      <c r="D2337" s="13" t="s">
        <v>747</v>
      </c>
      <c r="E2337" s="13" t="str">
        <f>IFERROR(INDEX('Почасовка — ставки и план'!$B$5:$B$24,MATCH(D2337,'Почасовка — ставки и план'!$A$5:$A$24,0)),"Аренда техники / механизмы")</f>
        <v>Механик ПС / подъёмников / прессов / доков</v>
      </c>
      <c r="F2337" s="14">
        <v>4500</v>
      </c>
      <c r="G2337" s="14">
        <v>5200</v>
      </c>
      <c r="H2337" s="15">
        <v>2650</v>
      </c>
      <c r="I2337" s="15">
        <f>IF(OR(H2337="",F2337=""),"",MAX(H2337,MIN(ROUND(H2337*(1+Параметры!$B$5),IF(H2337*(1+Параметры!$B$5)&gt;=1000,-1,0)),ROUND(F2337*Параметры!$B$6,IF(F2337*Параметры!$B$6&gt;=1000,-1,0)))))</f>
        <v>3050</v>
      </c>
      <c r="J2337" s="15">
        <v>3000</v>
      </c>
      <c r="K2337" s="15">
        <f>IF(OR(J2337="",G2337=""),"",MAX(J2337,MIN(ROUND(J2337*(1+Параметры!$B$5),IF(J2337*(1+Параметры!$B$5)&gt;=1000,-1,0)),ROUND(G2337*Параметры!$B$6,IF(G2337*Параметры!$B$6&gt;=1000,-1,0)))))</f>
        <v>3450</v>
      </c>
      <c r="L2337" s="16">
        <v>1.5</v>
      </c>
      <c r="M2337" s="17">
        <f t="shared" si="170"/>
        <v>0.66666666666666663</v>
      </c>
      <c r="N2337" s="17">
        <f>IF(OR(L2337="",L2337=0),"",Параметры!$B$3/L2337)</f>
        <v>5.333333333333333</v>
      </c>
      <c r="O2337" s="15">
        <f>IF(L2337="","",IFERROR(INDEX('Почасовка — ставки и план'!$D$5:$D$24,MATCH($D2337,'Почасовка — ставки и план'!$A$5:$A$24,0)),""))</f>
        <v>1500</v>
      </c>
      <c r="P2337" s="15">
        <f>IF(L2337="","",IFERROR(INDEX('Почасовка — ставки и план'!$E$5:$E$24,MATCH($D2337,'Почасовка — ставки и план'!$A$5:$A$24,0)),""))</f>
        <v>1800</v>
      </c>
      <c r="Q2337" s="15">
        <f t="shared" si="171"/>
        <v>2250</v>
      </c>
      <c r="R2337" s="13" t="str">
        <f>IF(D2337="TEX","аренда техники — сделка/счёт",IF(OR(Q2337="",H2337="",H2337=0),"—",IF(Q2337&lt;H2337*(1-Параметры!$B$7),"почасовка",IF(Q2337&gt;H2337*(1+Параметры!$B$7),"сделка","любой способ"))))</f>
        <v>почасовка</v>
      </c>
      <c r="S2337">
        <v>0</v>
      </c>
      <c r="T2337">
        <v>0</v>
      </c>
    </row>
    <row r="2338" spans="1:20" x14ac:dyDescent="0.25">
      <c r="A2338" s="11" t="s">
        <v>4679</v>
      </c>
      <c r="B2338" s="12"/>
      <c r="C2338" s="12"/>
      <c r="D2338" s="12"/>
      <c r="E2338" s="12"/>
      <c r="F2338" s="12"/>
      <c r="G2338" s="12"/>
      <c r="H2338" s="12"/>
      <c r="I2338" s="12"/>
      <c r="J2338" s="12"/>
      <c r="K2338" s="12"/>
      <c r="L2338" s="12"/>
      <c r="M2338" s="12"/>
      <c r="N2338" s="12"/>
      <c r="O2338" s="12"/>
      <c r="P2338" s="12"/>
      <c r="Q2338" s="12"/>
      <c r="R2338" s="12"/>
    </row>
    <row r="2339" spans="1:20" x14ac:dyDescent="0.25">
      <c r="A2339" s="13" t="s">
        <v>4680</v>
      </c>
      <c r="B2339" s="13" t="s">
        <v>4681</v>
      </c>
      <c r="C2339" s="13" t="s">
        <v>144</v>
      </c>
      <c r="D2339" s="13" t="s">
        <v>288</v>
      </c>
      <c r="E2339" s="13" t="str">
        <f>IFERROR(INDEX('Почасовка — ставки и план'!$B$5:$B$24,MATCH(D2339,'Почасовка — ставки и план'!$A$5:$A$24,0)),"Аренда техники / механизмы")</f>
        <v>Монтажник вентиляции</v>
      </c>
      <c r="F2339" s="14">
        <v>8000</v>
      </c>
      <c r="G2339" s="14">
        <v>10000</v>
      </c>
      <c r="H2339" s="15">
        <v>5400</v>
      </c>
      <c r="I2339" s="15">
        <f>IF(OR(H2339="",F2339=""),"",MAX(H2339,MIN(ROUND(H2339*(1+Параметры!$B$5),IF(H2339*(1+Параметры!$B$5)&gt;=1000,-1,0)),ROUND(F2339*Параметры!$B$6,IF(F2339*Параметры!$B$6&gt;=1000,-1,0)))))</f>
        <v>6000</v>
      </c>
      <c r="J2339" s="15">
        <v>6600</v>
      </c>
      <c r="K2339" s="15">
        <f>IF(OR(J2339="",G2339=""),"",MAX(J2339,MIN(ROUND(J2339*(1+Параметры!$B$5),IF(J2339*(1+Параметры!$B$5)&gt;=1000,-1,0)),ROUND(G2339*Параметры!$B$6,IF(G2339*Параметры!$B$6&gt;=1000,-1,0)))))</f>
        <v>7500</v>
      </c>
      <c r="L2339" s="16">
        <v>4</v>
      </c>
      <c r="M2339" s="17">
        <f t="shared" ref="M2339:M2359" si="172">IF(OR(L2339="",L2339=0),"",1/L2339)</f>
        <v>0.25</v>
      </c>
      <c r="N2339" s="17">
        <f>IF(OR(L2339="",L2339=0),"",Параметры!$B$3/L2339)</f>
        <v>2</v>
      </c>
      <c r="O2339" s="15">
        <f>IF(L2339="","",IFERROR(INDEX('Почасовка — ставки и план'!$D$5:$D$24,MATCH($D2339,'Почасовка — ставки и план'!$A$5:$A$24,0)),""))</f>
        <v>850</v>
      </c>
      <c r="P2339" s="15">
        <f>IF(L2339="","",IFERROR(INDEX('Почасовка — ставки и план'!$E$5:$E$24,MATCH($D2339,'Почасовка — ставки и план'!$A$5:$A$24,0)),""))</f>
        <v>1020</v>
      </c>
      <c r="Q2339" s="15">
        <f t="shared" ref="Q2339:Q2359" si="173">IF(OR(L2339="",O2339=""),"",ROUND(L2339*O2339,0))</f>
        <v>3400</v>
      </c>
      <c r="R2339" s="13" t="str">
        <f>IF(D2339="TEX","аренда техники — сделка/счёт",IF(OR(Q2339="",H2339="",H2339=0),"—",IF(Q2339&lt;H2339*(1-Параметры!$B$7),"почасовка",IF(Q2339&gt;H2339*(1+Параметры!$B$7),"сделка","любой способ"))))</f>
        <v>почасовка</v>
      </c>
      <c r="S2339">
        <v>0</v>
      </c>
      <c r="T2339">
        <v>0</v>
      </c>
    </row>
    <row r="2340" spans="1:20" x14ac:dyDescent="0.25">
      <c r="A2340" s="13" t="s">
        <v>4682</v>
      </c>
      <c r="B2340" s="13" t="s">
        <v>4683</v>
      </c>
      <c r="C2340" s="13" t="s">
        <v>144</v>
      </c>
      <c r="D2340" s="13" t="s">
        <v>288</v>
      </c>
      <c r="E2340" s="13" t="str">
        <f>IFERROR(INDEX('Почасовка — ставки и план'!$B$5:$B$24,MATCH(D2340,'Почасовка — ставки и план'!$A$5:$A$24,0)),"Аренда техники / механизмы")</f>
        <v>Монтажник вентиляции</v>
      </c>
      <c r="F2340" s="14">
        <v>2500</v>
      </c>
      <c r="G2340" s="14">
        <v>3000</v>
      </c>
      <c r="H2340" s="15">
        <v>1550</v>
      </c>
      <c r="I2340" s="15">
        <f>IF(OR(H2340="",F2340=""),"",MAX(H2340,MIN(ROUND(H2340*(1+Параметры!$B$5),IF(H2340*(1+Параметры!$B$5)&gt;=1000,-1,0)),ROUND(F2340*Параметры!$B$6,IF(F2340*Параметры!$B$6&gt;=1000,-1,0)))))</f>
        <v>1780</v>
      </c>
      <c r="J2340" s="15">
        <v>1800</v>
      </c>
      <c r="K2340" s="15">
        <f>IF(OR(J2340="",G2340=""),"",MAX(J2340,MIN(ROUND(J2340*(1+Параметры!$B$5),IF(J2340*(1+Параметры!$B$5)&gt;=1000,-1,0)),ROUND(G2340*Параметры!$B$6,IF(G2340*Параметры!$B$6&gt;=1000,-1,0)))))</f>
        <v>2070</v>
      </c>
      <c r="L2340" s="16">
        <v>1</v>
      </c>
      <c r="M2340" s="17">
        <f t="shared" si="172"/>
        <v>1</v>
      </c>
      <c r="N2340" s="17">
        <f>IF(OR(L2340="",L2340=0),"",Параметры!$B$3/L2340)</f>
        <v>8</v>
      </c>
      <c r="O2340" s="15">
        <f>IF(L2340="","",IFERROR(INDEX('Почасовка — ставки и план'!$D$5:$D$24,MATCH($D2340,'Почасовка — ставки и план'!$A$5:$A$24,0)),""))</f>
        <v>850</v>
      </c>
      <c r="P2340" s="15">
        <f>IF(L2340="","",IFERROR(INDEX('Почасовка — ставки и план'!$E$5:$E$24,MATCH($D2340,'Почасовка — ставки и план'!$A$5:$A$24,0)),""))</f>
        <v>1020</v>
      </c>
      <c r="Q2340" s="15">
        <f t="shared" si="173"/>
        <v>850</v>
      </c>
      <c r="R2340" s="13" t="str">
        <f>IF(D2340="TEX","аренда техники — сделка/счёт",IF(OR(Q2340="",H2340="",H2340=0),"—",IF(Q2340&lt;H2340*(1-Параметры!$B$7),"почасовка",IF(Q2340&gt;H2340*(1+Параметры!$B$7),"сделка","любой способ"))))</f>
        <v>почасовка</v>
      </c>
      <c r="S2340">
        <v>0</v>
      </c>
      <c r="T2340">
        <v>0</v>
      </c>
    </row>
    <row r="2341" spans="1:20" x14ac:dyDescent="0.25">
      <c r="A2341" s="13" t="s">
        <v>4684</v>
      </c>
      <c r="B2341" s="13" t="s">
        <v>4685</v>
      </c>
      <c r="C2341" s="13" t="s">
        <v>4686</v>
      </c>
      <c r="D2341" s="13" t="s">
        <v>288</v>
      </c>
      <c r="E2341" s="13" t="str">
        <f>IFERROR(INDEX('Почасовка — ставки и план'!$B$5:$B$24,MATCH(D2341,'Почасовка — ставки и план'!$A$5:$A$24,0)),"Аренда техники / механизмы")</f>
        <v>Монтажник вентиляции</v>
      </c>
      <c r="F2341" s="14">
        <v>18000</v>
      </c>
      <c r="G2341" s="14">
        <v>22000</v>
      </c>
      <c r="H2341" s="15">
        <v>11400</v>
      </c>
      <c r="I2341" s="15">
        <f>IF(OR(H2341="",F2341=""),"",MAX(H2341,MIN(ROUND(H2341*(1+Параметры!$B$5),IF(H2341*(1+Параметры!$B$5)&gt;=1000,-1,0)),ROUND(F2341*Параметры!$B$6,IF(F2341*Параметры!$B$6&gt;=1000,-1,0)))))</f>
        <v>13110</v>
      </c>
      <c r="J2341" s="15">
        <v>13800</v>
      </c>
      <c r="K2341" s="15">
        <f>IF(OR(J2341="",G2341=""),"",MAX(J2341,MIN(ROUND(J2341*(1+Параметры!$B$5),IF(J2341*(1+Параметры!$B$5)&gt;=1000,-1,0)),ROUND(G2341*Параметры!$B$6,IF(G2341*Параметры!$B$6&gt;=1000,-1,0)))))</f>
        <v>15870</v>
      </c>
      <c r="L2341" s="16">
        <v>14</v>
      </c>
      <c r="M2341" s="17">
        <f t="shared" si="172"/>
        <v>7.1428571428571425E-2</v>
      </c>
      <c r="N2341" s="17">
        <f>IF(OR(L2341="",L2341=0),"",Параметры!$B$3/L2341)</f>
        <v>0.5714285714285714</v>
      </c>
      <c r="O2341" s="15">
        <f>IF(L2341="","",IFERROR(INDEX('Почасовка — ставки и план'!$D$5:$D$24,MATCH($D2341,'Почасовка — ставки и план'!$A$5:$A$24,0)),""))</f>
        <v>850</v>
      </c>
      <c r="P2341" s="15">
        <f>IF(L2341="","",IFERROR(INDEX('Почасовка — ставки и план'!$E$5:$E$24,MATCH($D2341,'Почасовка — ставки и план'!$A$5:$A$24,0)),""))</f>
        <v>1020</v>
      </c>
      <c r="Q2341" s="15">
        <f t="shared" si="173"/>
        <v>11900</v>
      </c>
      <c r="R2341" s="13" t="str">
        <f>IF(D2341="TEX","аренда техники — сделка/счёт",IF(OR(Q2341="",H2341="",H2341=0),"—",IF(Q2341&lt;H2341*(1-Параметры!$B$7),"почасовка",IF(Q2341&gt;H2341*(1+Параметры!$B$7),"сделка","любой способ"))))</f>
        <v>любой способ</v>
      </c>
      <c r="S2341">
        <v>0</v>
      </c>
      <c r="T2341">
        <v>0</v>
      </c>
    </row>
    <row r="2342" spans="1:20" x14ac:dyDescent="0.25">
      <c r="A2342" s="13" t="s">
        <v>4687</v>
      </c>
      <c r="B2342" s="13" t="s">
        <v>4688</v>
      </c>
      <c r="C2342" s="13" t="s">
        <v>4686</v>
      </c>
      <c r="D2342" s="13" t="s">
        <v>288</v>
      </c>
      <c r="E2342" s="13" t="str">
        <f>IFERROR(INDEX('Почасовка — ставки и план'!$B$5:$B$24,MATCH(D2342,'Почасовка — ставки и план'!$A$5:$A$24,0)),"Аренда техники / механизмы")</f>
        <v>Монтажник вентиляции</v>
      </c>
      <c r="F2342" s="14">
        <v>12000</v>
      </c>
      <c r="G2342" s="14">
        <v>14500</v>
      </c>
      <c r="H2342" s="15">
        <v>7800</v>
      </c>
      <c r="I2342" s="15">
        <f>IF(OR(H2342="",F2342=""),"",MAX(H2342,MIN(ROUND(H2342*(1+Параметры!$B$5),IF(H2342*(1+Параметры!$B$5)&gt;=1000,-1,0)),ROUND(F2342*Параметры!$B$6,IF(F2342*Параметры!$B$6&gt;=1000,-1,0)))))</f>
        <v>8970</v>
      </c>
      <c r="J2342" s="15">
        <v>9000</v>
      </c>
      <c r="K2342" s="15">
        <f>IF(OR(J2342="",G2342=""),"",MAX(J2342,MIN(ROUND(J2342*(1+Параметры!$B$5),IF(J2342*(1+Параметры!$B$5)&gt;=1000,-1,0)),ROUND(G2342*Параметры!$B$6,IF(G2342*Параметры!$B$6&gt;=1000,-1,0)))))</f>
        <v>10350</v>
      </c>
      <c r="L2342" s="16">
        <v>9</v>
      </c>
      <c r="M2342" s="17">
        <f t="shared" si="172"/>
        <v>0.1111111111111111</v>
      </c>
      <c r="N2342" s="17">
        <f>IF(OR(L2342="",L2342=0),"",Параметры!$B$3/L2342)</f>
        <v>0.88888888888888884</v>
      </c>
      <c r="O2342" s="15">
        <f>IF(L2342="","",IFERROR(INDEX('Почасовка — ставки и план'!$D$5:$D$24,MATCH($D2342,'Почасовка — ставки и план'!$A$5:$A$24,0)),""))</f>
        <v>850</v>
      </c>
      <c r="P2342" s="15">
        <f>IF(L2342="","",IFERROR(INDEX('Почасовка — ставки и план'!$E$5:$E$24,MATCH($D2342,'Почасовка — ставки и план'!$A$5:$A$24,0)),""))</f>
        <v>1020</v>
      </c>
      <c r="Q2342" s="15">
        <f t="shared" si="173"/>
        <v>7650</v>
      </c>
      <c r="R2342" s="13" t="str">
        <f>IF(D2342="TEX","аренда техники — сделка/счёт",IF(OR(Q2342="",H2342="",H2342=0),"—",IF(Q2342&lt;H2342*(1-Параметры!$B$7),"почасовка",IF(Q2342&gt;H2342*(1+Параметры!$B$7),"сделка","любой способ"))))</f>
        <v>любой способ</v>
      </c>
      <c r="S2342">
        <v>0</v>
      </c>
      <c r="T2342">
        <v>0</v>
      </c>
    </row>
    <row r="2343" spans="1:20" x14ac:dyDescent="0.25">
      <c r="A2343" s="13" t="s">
        <v>4689</v>
      </c>
      <c r="B2343" s="13" t="s">
        <v>4690</v>
      </c>
      <c r="C2343" s="13" t="s">
        <v>4691</v>
      </c>
      <c r="D2343" s="13" t="s">
        <v>326</v>
      </c>
      <c r="E2343" s="13" t="str">
        <f>IFERROR(INDEX('Почасовка — ставки и план'!$B$5:$B$24,MATCH(D2343,'Почасовка — ставки и план'!$A$5:$A$24,0)),"Аренда техники / механизмы")</f>
        <v>Сантехник</v>
      </c>
      <c r="F2343" s="14">
        <v>10000</v>
      </c>
      <c r="G2343" s="14">
        <v>12000</v>
      </c>
      <c r="H2343" s="15">
        <v>6000</v>
      </c>
      <c r="I2343" s="15">
        <f>IF(OR(H2343="",F2343=""),"",MAX(H2343,MIN(ROUND(H2343*(1+Параметры!$B$5),IF(H2343*(1+Параметры!$B$5)&gt;=1000,-1,0)),ROUND(F2343*Параметры!$B$6,IF(F2343*Параметры!$B$6&gt;=1000,-1,0)))))</f>
        <v>6900</v>
      </c>
      <c r="J2343" s="15">
        <v>7200</v>
      </c>
      <c r="K2343" s="15">
        <f>IF(OR(J2343="",G2343=""),"",MAX(J2343,MIN(ROUND(J2343*(1+Параметры!$B$5),IF(J2343*(1+Параметры!$B$5)&gt;=1000,-1,0)),ROUND(G2343*Параметры!$B$6,IF(G2343*Параметры!$B$6&gt;=1000,-1,0)))))</f>
        <v>8280</v>
      </c>
      <c r="L2343" s="16">
        <v>6</v>
      </c>
      <c r="M2343" s="17">
        <f t="shared" si="172"/>
        <v>0.16666666666666666</v>
      </c>
      <c r="N2343" s="17">
        <f>IF(OR(L2343="",L2343=0),"",Параметры!$B$3/L2343)</f>
        <v>1.3333333333333333</v>
      </c>
      <c r="O2343" s="15">
        <f>IF(L2343="","",IFERROR(INDEX('Почасовка — ставки и план'!$D$5:$D$24,MATCH($D2343,'Почасовка — ставки и план'!$A$5:$A$24,0)),""))</f>
        <v>850</v>
      </c>
      <c r="P2343" s="15">
        <f>IF(L2343="","",IFERROR(INDEX('Почасовка — ставки и план'!$E$5:$E$24,MATCH($D2343,'Почасовка — ставки и план'!$A$5:$A$24,0)),""))</f>
        <v>1020</v>
      </c>
      <c r="Q2343" s="15">
        <f t="shared" si="173"/>
        <v>5100</v>
      </c>
      <c r="R2343" s="13" t="str">
        <f>IF(D2343="TEX","аренда техники — сделка/счёт",IF(OR(Q2343="",H2343="",H2343=0),"—",IF(Q2343&lt;H2343*(1-Параметры!$B$7),"почасовка",IF(Q2343&gt;H2343*(1+Параметры!$B$7),"сделка","любой способ"))))</f>
        <v>почасовка</v>
      </c>
      <c r="S2343">
        <v>0</v>
      </c>
      <c r="T2343">
        <v>0</v>
      </c>
    </row>
    <row r="2344" spans="1:20" x14ac:dyDescent="0.25">
      <c r="A2344" s="13" t="s">
        <v>4692</v>
      </c>
      <c r="B2344" s="13" t="s">
        <v>4693</v>
      </c>
      <c r="C2344" s="13" t="s">
        <v>144</v>
      </c>
      <c r="D2344" s="13" t="s">
        <v>326</v>
      </c>
      <c r="E2344" s="13" t="str">
        <f>IFERROR(INDEX('Почасовка — ставки и план'!$B$5:$B$24,MATCH(D2344,'Почасовка — ставки и план'!$A$5:$A$24,0)),"Аренда техники / механизмы")</f>
        <v>Сантехник</v>
      </c>
      <c r="F2344" s="14">
        <v>4000</v>
      </c>
      <c r="G2344" s="14">
        <v>4800</v>
      </c>
      <c r="H2344" s="15">
        <v>2400</v>
      </c>
      <c r="I2344" s="15">
        <f>IF(OR(H2344="",F2344=""),"",MAX(H2344,MIN(ROUND(H2344*(1+Параметры!$B$5),IF(H2344*(1+Параметры!$B$5)&gt;=1000,-1,0)),ROUND(F2344*Параметры!$B$6,IF(F2344*Параметры!$B$6&gt;=1000,-1,0)))))</f>
        <v>2760</v>
      </c>
      <c r="J2344" s="15">
        <v>2900</v>
      </c>
      <c r="K2344" s="15">
        <f>IF(OR(J2344="",G2344=""),"",MAX(J2344,MIN(ROUND(J2344*(1+Параметры!$B$5),IF(J2344*(1+Параметры!$B$5)&gt;=1000,-1,0)),ROUND(G2344*Параметры!$B$6,IF(G2344*Параметры!$B$6&gt;=1000,-1,0)))))</f>
        <v>3340</v>
      </c>
      <c r="L2344" s="16">
        <v>2</v>
      </c>
      <c r="M2344" s="17">
        <f t="shared" si="172"/>
        <v>0.5</v>
      </c>
      <c r="N2344" s="17">
        <f>IF(OR(L2344="",L2344=0),"",Параметры!$B$3/L2344)</f>
        <v>4</v>
      </c>
      <c r="O2344" s="15">
        <f>IF(L2344="","",IFERROR(INDEX('Почасовка — ставки и план'!$D$5:$D$24,MATCH($D2344,'Почасовка — ставки и план'!$A$5:$A$24,0)),""))</f>
        <v>850</v>
      </c>
      <c r="P2344" s="15">
        <f>IF(L2344="","",IFERROR(INDEX('Почасовка — ставки и план'!$E$5:$E$24,MATCH($D2344,'Почасовка — ставки и план'!$A$5:$A$24,0)),""))</f>
        <v>1020</v>
      </c>
      <c r="Q2344" s="15">
        <f t="shared" si="173"/>
        <v>1700</v>
      </c>
      <c r="R2344" s="13" t="str">
        <f>IF(D2344="TEX","аренда техники — сделка/счёт",IF(OR(Q2344="",H2344="",H2344=0),"—",IF(Q2344&lt;H2344*(1-Параметры!$B$7),"почасовка",IF(Q2344&gt;H2344*(1+Параметры!$B$7),"сделка","любой способ"))))</f>
        <v>почасовка</v>
      </c>
      <c r="S2344">
        <v>0</v>
      </c>
      <c r="T2344">
        <v>0</v>
      </c>
    </row>
    <row r="2345" spans="1:20" x14ac:dyDescent="0.25">
      <c r="A2345" s="13" t="s">
        <v>4694</v>
      </c>
      <c r="B2345" s="13" t="s">
        <v>4695</v>
      </c>
      <c r="C2345" s="13" t="s">
        <v>144</v>
      </c>
      <c r="D2345" s="13" t="s">
        <v>2663</v>
      </c>
      <c r="E2345" s="13" t="str">
        <f>IFERROR(INDEX('Почасовка — ставки и план'!$B$5:$B$24,MATCH(D2345,'Почасовка — ставки и план'!$A$5:$A$24,0)),"Аренда техники / механизмы")</f>
        <v>Инженер электролаборатории / ПНР</v>
      </c>
      <c r="F2345" s="14">
        <v>14934</v>
      </c>
      <c r="G2345" s="14">
        <v>17920</v>
      </c>
      <c r="H2345" s="15">
        <v>7200</v>
      </c>
      <c r="I2345" s="15">
        <f>IF(OR(H2345="",F2345=""),"",MAX(H2345,MIN(ROUND(H2345*(1+Параметры!$B$5),IF(H2345*(1+Параметры!$B$5)&gt;=1000,-1,0)),ROUND(F2345*Параметры!$B$6,IF(F2345*Параметры!$B$6&gt;=1000,-1,0)))))</f>
        <v>8280</v>
      </c>
      <c r="J2345" s="15">
        <v>8650</v>
      </c>
      <c r="K2345" s="15">
        <f>IF(OR(J2345="",G2345=""),"",MAX(J2345,MIN(ROUND(J2345*(1+Параметры!$B$5),IF(J2345*(1+Параметры!$B$5)&gt;=1000,-1,0)),ROUND(G2345*Параметры!$B$6,IF(G2345*Параметры!$B$6&gt;=1000,-1,0)))))</f>
        <v>9950</v>
      </c>
      <c r="L2345" s="16">
        <v>8</v>
      </c>
      <c r="M2345" s="17">
        <f t="shared" si="172"/>
        <v>0.125</v>
      </c>
      <c r="N2345" s="17">
        <f>IF(OR(L2345="",L2345=0),"",Параметры!$B$3/L2345)</f>
        <v>1</v>
      </c>
      <c r="O2345" s="15">
        <f>IF(L2345="","",IFERROR(INDEX('Почасовка — ставки и план'!$D$5:$D$24,MATCH($D2345,'Почасовка — ставки и план'!$A$5:$A$24,0)),""))</f>
        <v>1400</v>
      </c>
      <c r="P2345" s="15">
        <f>IF(L2345="","",IFERROR(INDEX('Почасовка — ставки и план'!$E$5:$E$24,MATCH($D2345,'Почасовка — ставки и план'!$A$5:$A$24,0)),""))</f>
        <v>1680</v>
      </c>
      <c r="Q2345" s="15">
        <f t="shared" si="173"/>
        <v>11200</v>
      </c>
      <c r="R2345" s="13" t="str">
        <f>IF(D2345="TEX","аренда техники — сделка/счёт",IF(OR(Q2345="",H2345="",H2345=0),"—",IF(Q2345&lt;H2345*(1-Параметры!$B$7),"почасовка",IF(Q2345&gt;H2345*(1+Параметры!$B$7),"сделка","любой способ"))))</f>
        <v>сделка</v>
      </c>
      <c r="S2345">
        <v>0.24449999999999991</v>
      </c>
      <c r="T2345">
        <v>0.23586206896551731</v>
      </c>
    </row>
    <row r="2346" spans="1:20" x14ac:dyDescent="0.25">
      <c r="A2346" s="13" t="s">
        <v>4696</v>
      </c>
      <c r="B2346" s="13" t="s">
        <v>4697</v>
      </c>
      <c r="C2346" s="13" t="s">
        <v>144</v>
      </c>
      <c r="D2346" s="13" t="s">
        <v>326</v>
      </c>
      <c r="E2346" s="13" t="str">
        <f>IFERROR(INDEX('Почасовка — ставки и план'!$B$5:$B$24,MATCH(D2346,'Почасовка — ставки и план'!$A$5:$A$24,0)),"Аренда техники / механизмы")</f>
        <v>Сантехник</v>
      </c>
      <c r="F2346" s="14">
        <v>10000</v>
      </c>
      <c r="G2346" s="14">
        <v>12000</v>
      </c>
      <c r="H2346" s="15">
        <v>6000</v>
      </c>
      <c r="I2346" s="15">
        <f>IF(OR(H2346="",F2346=""),"",MAX(H2346,MIN(ROUND(H2346*(1+Параметры!$B$5),IF(H2346*(1+Параметры!$B$5)&gt;=1000,-1,0)),ROUND(F2346*Параметры!$B$6,IF(F2346*Параметры!$B$6&gt;=1000,-1,0)))))</f>
        <v>6900</v>
      </c>
      <c r="J2346" s="15">
        <v>7200</v>
      </c>
      <c r="K2346" s="15">
        <f>IF(OR(J2346="",G2346=""),"",MAX(J2346,MIN(ROUND(J2346*(1+Параметры!$B$5),IF(J2346*(1+Параметры!$B$5)&gt;=1000,-1,0)),ROUND(G2346*Параметры!$B$6,IF(G2346*Параметры!$B$6&gt;=1000,-1,0)))))</f>
        <v>8280</v>
      </c>
      <c r="L2346" s="16">
        <v>6</v>
      </c>
      <c r="M2346" s="17">
        <f t="shared" si="172"/>
        <v>0.16666666666666666</v>
      </c>
      <c r="N2346" s="17">
        <f>IF(OR(L2346="",L2346=0),"",Параметры!$B$3/L2346)</f>
        <v>1.3333333333333333</v>
      </c>
      <c r="O2346" s="15">
        <f>IF(L2346="","",IFERROR(INDEX('Почасовка — ставки и план'!$D$5:$D$24,MATCH($D2346,'Почасовка — ставки и план'!$A$5:$A$24,0)),""))</f>
        <v>850</v>
      </c>
      <c r="P2346" s="15">
        <f>IF(L2346="","",IFERROR(INDEX('Почасовка — ставки и план'!$E$5:$E$24,MATCH($D2346,'Почасовка — ставки и план'!$A$5:$A$24,0)),""))</f>
        <v>1020</v>
      </c>
      <c r="Q2346" s="15">
        <f t="shared" si="173"/>
        <v>5100</v>
      </c>
      <c r="R2346" s="13" t="str">
        <f>IF(D2346="TEX","аренда техники — сделка/счёт",IF(OR(Q2346="",H2346="",H2346=0),"—",IF(Q2346&lt;H2346*(1-Параметры!$B$7),"почасовка",IF(Q2346&gt;H2346*(1+Параметры!$B$7),"сделка","любой способ"))))</f>
        <v>почасовка</v>
      </c>
      <c r="S2346">
        <v>0</v>
      </c>
      <c r="T2346">
        <v>0</v>
      </c>
    </row>
    <row r="2347" spans="1:20" x14ac:dyDescent="0.25">
      <c r="A2347" s="13" t="s">
        <v>4698</v>
      </c>
      <c r="B2347" s="13" t="s">
        <v>4699</v>
      </c>
      <c r="C2347" s="13" t="s">
        <v>865</v>
      </c>
      <c r="D2347" s="13" t="s">
        <v>326</v>
      </c>
      <c r="E2347" s="13" t="str">
        <f>IFERROR(INDEX('Почасовка — ставки и план'!$B$5:$B$24,MATCH(D2347,'Почасовка — ставки и план'!$A$5:$A$24,0)),"Аренда техники / механизмы")</f>
        <v>Сантехник</v>
      </c>
      <c r="F2347" s="14">
        <v>150000</v>
      </c>
      <c r="G2347" s="14">
        <v>180000</v>
      </c>
      <c r="H2347" s="15">
        <v>90000</v>
      </c>
      <c r="I2347" s="15">
        <f>IF(OR(H2347="",F2347=""),"",MAX(H2347,MIN(ROUND(H2347*(1+Параметры!$B$5),IF(H2347*(1+Параметры!$B$5)&gt;=1000,-1,0)),ROUND(F2347*Параметры!$B$6,IF(F2347*Параметры!$B$6&gt;=1000,-1,0)))))</f>
        <v>103500</v>
      </c>
      <c r="J2347" s="15">
        <v>108000</v>
      </c>
      <c r="K2347" s="15">
        <f>IF(OR(J2347="",G2347=""),"",MAX(J2347,MIN(ROUND(J2347*(1+Параметры!$B$5),IF(J2347*(1+Параметры!$B$5)&gt;=1000,-1,0)),ROUND(G2347*Параметры!$B$6,IF(G2347*Параметры!$B$6&gt;=1000,-1,0)))))</f>
        <v>124200</v>
      </c>
      <c r="L2347" s="16">
        <v>60</v>
      </c>
      <c r="M2347" s="17">
        <f t="shared" si="172"/>
        <v>1.6666666666666666E-2</v>
      </c>
      <c r="N2347" s="17">
        <f>IF(OR(L2347="",L2347=0),"",Параметры!$B$3/L2347)</f>
        <v>0.13333333333333333</v>
      </c>
      <c r="O2347" s="15">
        <f>IF(L2347="","",IFERROR(INDEX('Почасовка — ставки и план'!$D$5:$D$24,MATCH($D2347,'Почасовка — ставки и план'!$A$5:$A$24,0)),""))</f>
        <v>850</v>
      </c>
      <c r="P2347" s="15">
        <f>IF(L2347="","",IFERROR(INDEX('Почасовка — ставки и план'!$E$5:$E$24,MATCH($D2347,'Почасовка — ставки и план'!$A$5:$A$24,0)),""))</f>
        <v>1020</v>
      </c>
      <c r="Q2347" s="15">
        <f t="shared" si="173"/>
        <v>51000</v>
      </c>
      <c r="R2347" s="13" t="str">
        <f>IF(D2347="TEX","аренда техники — сделка/счёт",IF(OR(Q2347="",H2347="",H2347=0),"—",IF(Q2347&lt;H2347*(1-Параметры!$B$7),"почасовка",IF(Q2347&gt;H2347*(1+Параметры!$B$7),"сделка","любой способ"))))</f>
        <v>почасовка</v>
      </c>
      <c r="S2347">
        <v>0</v>
      </c>
      <c r="T2347">
        <v>0</v>
      </c>
    </row>
    <row r="2348" spans="1:20" x14ac:dyDescent="0.25">
      <c r="A2348" s="13" t="s">
        <v>4700</v>
      </c>
      <c r="B2348" s="13" t="s">
        <v>4701</v>
      </c>
      <c r="C2348" s="13" t="s">
        <v>865</v>
      </c>
      <c r="D2348" s="13" t="s">
        <v>2663</v>
      </c>
      <c r="E2348" s="13" t="str">
        <f>IFERROR(INDEX('Почасовка — ставки и план'!$B$5:$B$24,MATCH(D2348,'Почасовка — ставки и план'!$A$5:$A$24,0)),"Аренда техники / механизмы")</f>
        <v>Инженер электролаборатории / ПНР</v>
      </c>
      <c r="F2348" s="14">
        <v>35000</v>
      </c>
      <c r="G2348" s="14">
        <v>42000</v>
      </c>
      <c r="H2348" s="15">
        <v>20400</v>
      </c>
      <c r="I2348" s="15">
        <f>IF(OR(H2348="",F2348=""),"",MAX(H2348,MIN(ROUND(H2348*(1+Параметры!$B$5),IF(H2348*(1+Параметры!$B$5)&gt;=1000,-1,0)),ROUND(F2348*Параметры!$B$6,IF(F2348*Параметры!$B$6&gt;=1000,-1,0)))))</f>
        <v>23460</v>
      </c>
      <c r="J2348" s="15">
        <v>24000</v>
      </c>
      <c r="K2348" s="15">
        <f>IF(OR(J2348="",G2348=""),"",MAX(J2348,MIN(ROUND(J2348*(1+Параметры!$B$5),IF(J2348*(1+Параметры!$B$5)&gt;=1000,-1,0)),ROUND(G2348*Параметры!$B$6,IF(G2348*Параметры!$B$6&gt;=1000,-1,0)))))</f>
        <v>27600</v>
      </c>
      <c r="L2348" s="16">
        <v>16</v>
      </c>
      <c r="M2348" s="17">
        <f t="shared" si="172"/>
        <v>6.25E-2</v>
      </c>
      <c r="N2348" s="17">
        <f>IF(OR(L2348="",L2348=0),"",Параметры!$B$3/L2348)</f>
        <v>0.5</v>
      </c>
      <c r="O2348" s="15">
        <f>IF(L2348="","",IFERROR(INDEX('Почасовка — ставки и план'!$D$5:$D$24,MATCH($D2348,'Почасовка — ставки и план'!$A$5:$A$24,0)),""))</f>
        <v>1400</v>
      </c>
      <c r="P2348" s="15">
        <f>IF(L2348="","",IFERROR(INDEX('Почасовка — ставки и план'!$E$5:$E$24,MATCH($D2348,'Почасовка — ставки и план'!$A$5:$A$24,0)),""))</f>
        <v>1680</v>
      </c>
      <c r="Q2348" s="15">
        <f t="shared" si="173"/>
        <v>22400</v>
      </c>
      <c r="R2348" s="13" t="str">
        <f>IF(D2348="TEX","аренда техники — сделка/счёт",IF(OR(Q2348="",H2348="",H2348=0),"—",IF(Q2348&lt;H2348*(1-Параметры!$B$7),"почасовка",IF(Q2348&gt;H2348*(1+Параметры!$B$7),"сделка","любой способ"))))</f>
        <v>любой способ</v>
      </c>
      <c r="S2348">
        <v>0</v>
      </c>
      <c r="T2348">
        <v>0</v>
      </c>
    </row>
    <row r="2349" spans="1:20" x14ac:dyDescent="0.25">
      <c r="A2349" s="13" t="s">
        <v>4702</v>
      </c>
      <c r="B2349" s="13" t="s">
        <v>4703</v>
      </c>
      <c r="C2349" s="13" t="s">
        <v>865</v>
      </c>
      <c r="D2349" s="13" t="s">
        <v>2663</v>
      </c>
      <c r="E2349" s="13" t="str">
        <f>IFERROR(INDEX('Почасовка — ставки и план'!$B$5:$B$24,MATCH(D2349,'Почасовка — ставки и план'!$A$5:$A$24,0)),"Аренда техники / механизмы")</f>
        <v>Инженер электролаборатории / ПНР</v>
      </c>
      <c r="F2349" s="14">
        <v>90000</v>
      </c>
      <c r="G2349" s="14">
        <v>110000</v>
      </c>
      <c r="H2349" s="15">
        <v>54000</v>
      </c>
      <c r="I2349" s="15">
        <f>IF(OR(H2349="",F2349=""),"",MAX(H2349,MIN(ROUND(H2349*(1+Параметры!$B$5),IF(H2349*(1+Параметры!$B$5)&gt;=1000,-1,0)),ROUND(F2349*Параметры!$B$6,IF(F2349*Параметры!$B$6&gt;=1000,-1,0)))))</f>
        <v>62100</v>
      </c>
      <c r="J2349" s="15">
        <v>66000</v>
      </c>
      <c r="K2349" s="15">
        <f>IF(OR(J2349="",G2349=""),"",MAX(J2349,MIN(ROUND(J2349*(1+Параметры!$B$5),IF(J2349*(1+Параметры!$B$5)&gt;=1000,-1,0)),ROUND(G2349*Параметры!$B$6,IF(G2349*Параметры!$B$6&gt;=1000,-1,0)))))</f>
        <v>75900</v>
      </c>
      <c r="L2349" s="16">
        <v>40</v>
      </c>
      <c r="M2349" s="17">
        <f t="shared" si="172"/>
        <v>2.5000000000000001E-2</v>
      </c>
      <c r="N2349" s="17">
        <f>IF(OR(L2349="",L2349=0),"",Параметры!$B$3/L2349)</f>
        <v>0.2</v>
      </c>
      <c r="O2349" s="15">
        <f>IF(L2349="","",IFERROR(INDEX('Почасовка — ставки и план'!$D$5:$D$24,MATCH($D2349,'Почасовка — ставки и план'!$A$5:$A$24,0)),""))</f>
        <v>1400</v>
      </c>
      <c r="P2349" s="15">
        <f>IF(L2349="","",IFERROR(INDEX('Почасовка — ставки и план'!$E$5:$E$24,MATCH($D2349,'Почасовка — ставки и план'!$A$5:$A$24,0)),""))</f>
        <v>1680</v>
      </c>
      <c r="Q2349" s="15">
        <f t="shared" si="173"/>
        <v>56000</v>
      </c>
      <c r="R2349" s="13" t="str">
        <f>IF(D2349="TEX","аренда техники — сделка/счёт",IF(OR(Q2349="",H2349="",H2349=0),"—",IF(Q2349&lt;H2349*(1-Параметры!$B$7),"почасовка",IF(Q2349&gt;H2349*(1+Параметры!$B$7),"сделка","любой способ"))))</f>
        <v>любой способ</v>
      </c>
      <c r="S2349">
        <v>0</v>
      </c>
      <c r="T2349">
        <v>0</v>
      </c>
    </row>
    <row r="2350" spans="1:20" x14ac:dyDescent="0.25">
      <c r="A2350" s="13" t="s">
        <v>4704</v>
      </c>
      <c r="B2350" s="13" t="s">
        <v>4705</v>
      </c>
      <c r="C2350" s="13" t="s">
        <v>865</v>
      </c>
      <c r="D2350" s="13" t="s">
        <v>2663</v>
      </c>
      <c r="E2350" s="13" t="str">
        <f>IFERROR(INDEX('Почасовка — ставки и план'!$B$5:$B$24,MATCH(D2350,'Почасовка — ставки и план'!$A$5:$A$24,0)),"Аренда техники / механизмы")</f>
        <v>Инженер электролаборатории / ПНР</v>
      </c>
      <c r="F2350" s="14">
        <v>55000</v>
      </c>
      <c r="G2350" s="14">
        <v>65000</v>
      </c>
      <c r="H2350" s="15">
        <v>33600</v>
      </c>
      <c r="I2350" s="15">
        <f>IF(OR(H2350="",F2350=""),"",MAX(H2350,MIN(ROUND(H2350*(1+Параметры!$B$5),IF(H2350*(1+Параметры!$B$5)&gt;=1000,-1,0)),ROUND(F2350*Параметры!$B$6,IF(F2350*Параметры!$B$6&gt;=1000,-1,0)))))</f>
        <v>38640</v>
      </c>
      <c r="J2350" s="15">
        <v>39600</v>
      </c>
      <c r="K2350" s="15">
        <f>IF(OR(J2350="",G2350=""),"",MAX(J2350,MIN(ROUND(J2350*(1+Параметры!$B$5),IF(J2350*(1+Параметры!$B$5)&gt;=1000,-1,0)),ROUND(G2350*Параметры!$B$6,IF(G2350*Параметры!$B$6&gt;=1000,-1,0)))))</f>
        <v>45540</v>
      </c>
      <c r="L2350" s="16">
        <v>24</v>
      </c>
      <c r="M2350" s="17">
        <f t="shared" si="172"/>
        <v>4.1666666666666664E-2</v>
      </c>
      <c r="N2350" s="17">
        <f>IF(OR(L2350="",L2350=0),"",Параметры!$B$3/L2350)</f>
        <v>0.33333333333333331</v>
      </c>
      <c r="O2350" s="15">
        <f>IF(L2350="","",IFERROR(INDEX('Почасовка — ставки и план'!$D$5:$D$24,MATCH($D2350,'Почасовка — ставки и план'!$A$5:$A$24,0)),""))</f>
        <v>1400</v>
      </c>
      <c r="P2350" s="15">
        <f>IF(L2350="","",IFERROR(INDEX('Почасовка — ставки и план'!$E$5:$E$24,MATCH($D2350,'Почасовка — ставки и план'!$A$5:$A$24,0)),""))</f>
        <v>1680</v>
      </c>
      <c r="Q2350" s="15">
        <f t="shared" si="173"/>
        <v>33600</v>
      </c>
      <c r="R2350" s="13" t="str">
        <f>IF(D2350="TEX","аренда техники — сделка/счёт",IF(OR(Q2350="",H2350="",H2350=0),"—",IF(Q2350&lt;H2350*(1-Параметры!$B$7),"почасовка",IF(Q2350&gt;H2350*(1+Параметры!$B$7),"сделка","любой способ"))))</f>
        <v>любой способ</v>
      </c>
      <c r="S2350">
        <v>0</v>
      </c>
      <c r="T2350">
        <v>0</v>
      </c>
    </row>
    <row r="2351" spans="1:20" x14ac:dyDescent="0.25">
      <c r="A2351" s="13" t="s">
        <v>4706</v>
      </c>
      <c r="B2351" s="13" t="s">
        <v>4707</v>
      </c>
      <c r="C2351" s="13" t="s">
        <v>144</v>
      </c>
      <c r="D2351" s="13" t="s">
        <v>2663</v>
      </c>
      <c r="E2351" s="13" t="str">
        <f>IFERROR(INDEX('Почасовка — ставки и план'!$B$5:$B$24,MATCH(D2351,'Почасовка — ставки и план'!$A$5:$A$24,0)),"Аренда техники / механизмы")</f>
        <v>Инженер электролаборатории / ПНР</v>
      </c>
      <c r="F2351" s="14">
        <v>3000</v>
      </c>
      <c r="G2351" s="14">
        <v>3500</v>
      </c>
      <c r="H2351" s="15">
        <v>1800</v>
      </c>
      <c r="I2351" s="15">
        <f>IF(OR(H2351="",F2351=""),"",MAX(H2351,MIN(ROUND(H2351*(1+Параметры!$B$5),IF(H2351*(1+Параметры!$B$5)&gt;=1000,-1,0)),ROUND(F2351*Параметры!$B$6,IF(F2351*Параметры!$B$6&gt;=1000,-1,0)))))</f>
        <v>2070</v>
      </c>
      <c r="J2351" s="15">
        <v>2150</v>
      </c>
      <c r="K2351" s="15">
        <f>IF(OR(J2351="",G2351=""),"",MAX(J2351,MIN(ROUND(J2351*(1+Параметры!$B$5),IF(J2351*(1+Параметры!$B$5)&gt;=1000,-1,0)),ROUND(G2351*Параметры!$B$6,IF(G2351*Параметры!$B$6&gt;=1000,-1,0)))))</f>
        <v>2470</v>
      </c>
      <c r="L2351" s="16">
        <v>1</v>
      </c>
      <c r="M2351" s="17">
        <f t="shared" si="172"/>
        <v>1</v>
      </c>
      <c r="N2351" s="17">
        <f>IF(OR(L2351="",L2351=0),"",Параметры!$B$3/L2351)</f>
        <v>8</v>
      </c>
      <c r="O2351" s="15">
        <f>IF(L2351="","",IFERROR(INDEX('Почасовка — ставки и план'!$D$5:$D$24,MATCH($D2351,'Почасовка — ставки и план'!$A$5:$A$24,0)),""))</f>
        <v>1400</v>
      </c>
      <c r="P2351" s="15">
        <f>IF(L2351="","",IFERROR(INDEX('Почасовка — ставки и план'!$E$5:$E$24,MATCH($D2351,'Почасовка — ставки и план'!$A$5:$A$24,0)),""))</f>
        <v>1680</v>
      </c>
      <c r="Q2351" s="15">
        <f t="shared" si="173"/>
        <v>1400</v>
      </c>
      <c r="R2351" s="13" t="str">
        <f>IF(D2351="TEX","аренда техники — сделка/счёт",IF(OR(Q2351="",H2351="",H2351=0),"—",IF(Q2351&lt;H2351*(1-Параметры!$B$7),"почасовка",IF(Q2351&gt;H2351*(1+Параметры!$B$7),"сделка","любой способ"))))</f>
        <v>почасовка</v>
      </c>
      <c r="S2351">
        <v>0</v>
      </c>
      <c r="T2351">
        <v>0</v>
      </c>
    </row>
    <row r="2352" spans="1:20" x14ac:dyDescent="0.25">
      <c r="A2352" s="18" t="s">
        <v>4708</v>
      </c>
      <c r="B2352" s="13" t="s">
        <v>4709</v>
      </c>
      <c r="C2352" s="13" t="s">
        <v>2098</v>
      </c>
      <c r="D2352" s="13" t="s">
        <v>288</v>
      </c>
      <c r="E2352" s="13" t="str">
        <f>IFERROR(INDEX('Почасовка — ставки и план'!$B$5:$B$24,MATCH(D2352,'Почасовка — ставки и план'!$A$5:$A$24,0)),"Аренда техники / механизмы")</f>
        <v>Монтажник вентиляции</v>
      </c>
      <c r="F2352" s="14">
        <v>25000</v>
      </c>
      <c r="G2352" s="14">
        <v>30000</v>
      </c>
      <c r="H2352" s="15">
        <v>15000</v>
      </c>
      <c r="I2352" s="15">
        <f>IF(OR(H2352="",F2352=""),"",MAX(H2352,MIN(ROUND(H2352*(1+Параметры!$B$5),IF(H2352*(1+Параметры!$B$5)&gt;=1000,-1,0)),ROUND(F2352*Параметры!$B$6,IF(F2352*Параметры!$B$6&gt;=1000,-1,0)))))</f>
        <v>17250</v>
      </c>
      <c r="J2352" s="15">
        <v>18000</v>
      </c>
      <c r="K2352" s="15">
        <f>IF(OR(J2352="",G2352=""),"",MAX(J2352,MIN(ROUND(J2352*(1+Параметры!$B$5),IF(J2352*(1+Параметры!$B$5)&gt;=1000,-1,0)),ROUND(G2352*Параметры!$B$6,IF(G2352*Параметры!$B$6&gt;=1000,-1,0)))))</f>
        <v>20700</v>
      </c>
      <c r="L2352" s="16">
        <v>16</v>
      </c>
      <c r="M2352" s="17">
        <f t="shared" si="172"/>
        <v>6.25E-2</v>
      </c>
      <c r="N2352" s="17">
        <f>IF(OR(L2352="",L2352=0),"",Параметры!$B$3/L2352)</f>
        <v>0.5</v>
      </c>
      <c r="O2352" s="15">
        <f>IF(L2352="","",IFERROR(INDEX('Почасовка — ставки и план'!$D$5:$D$24,MATCH($D2352,'Почасовка — ставки и план'!$A$5:$A$24,0)),""))</f>
        <v>850</v>
      </c>
      <c r="P2352" s="15">
        <f>IF(L2352="","",IFERROR(INDEX('Почасовка — ставки и план'!$E$5:$E$24,MATCH($D2352,'Почасовка — ставки и план'!$A$5:$A$24,0)),""))</f>
        <v>1020</v>
      </c>
      <c r="Q2352" s="15">
        <f t="shared" si="173"/>
        <v>13600</v>
      </c>
      <c r="R2352" s="13" t="str">
        <f>IF(D2352="TEX","аренда техники — сделка/счёт",IF(OR(Q2352="",H2352="",H2352=0),"—",IF(Q2352&lt;H2352*(1-Параметры!$B$7),"почасовка",IF(Q2352&gt;H2352*(1+Параметры!$B$7),"сделка","любой способ"))))</f>
        <v>любой способ</v>
      </c>
      <c r="S2352">
        <v>0</v>
      </c>
      <c r="T2352">
        <v>0</v>
      </c>
    </row>
    <row r="2353" spans="1:20" x14ac:dyDescent="0.25">
      <c r="A2353" s="18" t="s">
        <v>4710</v>
      </c>
      <c r="B2353" s="13" t="s">
        <v>4711</v>
      </c>
      <c r="C2353" s="13" t="s">
        <v>2098</v>
      </c>
      <c r="D2353" s="13" t="s">
        <v>288</v>
      </c>
      <c r="E2353" s="13" t="str">
        <f>IFERROR(INDEX('Почасовка — ставки и план'!$B$5:$B$24,MATCH(D2353,'Почасовка — ставки и план'!$A$5:$A$24,0)),"Аренда техники / механизмы")</f>
        <v>Монтажник вентиляции</v>
      </c>
      <c r="F2353" s="14">
        <v>15000</v>
      </c>
      <c r="G2353" s="14">
        <v>18000</v>
      </c>
      <c r="H2353" s="15">
        <v>9000</v>
      </c>
      <c r="I2353" s="15">
        <f>IF(OR(H2353="",F2353=""),"",MAX(H2353,MIN(ROUND(H2353*(1+Параметры!$B$5),IF(H2353*(1+Параметры!$B$5)&gt;=1000,-1,0)),ROUND(F2353*Параметры!$B$6,IF(F2353*Параметры!$B$6&gt;=1000,-1,0)))))</f>
        <v>10350</v>
      </c>
      <c r="J2353" s="15">
        <v>10800</v>
      </c>
      <c r="K2353" s="15">
        <f>IF(OR(J2353="",G2353=""),"",MAX(J2353,MIN(ROUND(J2353*(1+Параметры!$B$5),IF(J2353*(1+Параметры!$B$5)&gt;=1000,-1,0)),ROUND(G2353*Параметры!$B$6,IF(G2353*Параметры!$B$6&gt;=1000,-1,0)))))</f>
        <v>12420</v>
      </c>
      <c r="L2353" s="16">
        <v>12</v>
      </c>
      <c r="M2353" s="17">
        <f t="shared" si="172"/>
        <v>8.3333333333333329E-2</v>
      </c>
      <c r="N2353" s="17">
        <f>IF(OR(L2353="",L2353=0),"",Параметры!$B$3/L2353)</f>
        <v>0.66666666666666663</v>
      </c>
      <c r="O2353" s="15">
        <f>IF(L2353="","",IFERROR(INDEX('Почасовка — ставки и план'!$D$5:$D$24,MATCH($D2353,'Почасовка — ставки и план'!$A$5:$A$24,0)),""))</f>
        <v>850</v>
      </c>
      <c r="P2353" s="15">
        <f>IF(L2353="","",IFERROR(INDEX('Почасовка — ставки и план'!$E$5:$E$24,MATCH($D2353,'Почасовка — ставки и план'!$A$5:$A$24,0)),""))</f>
        <v>1020</v>
      </c>
      <c r="Q2353" s="15">
        <f t="shared" si="173"/>
        <v>10200</v>
      </c>
      <c r="R2353" s="13" t="str">
        <f>IF(D2353="TEX","аренда техники — сделка/счёт",IF(OR(Q2353="",H2353="",H2353=0),"—",IF(Q2353&lt;H2353*(1-Параметры!$B$7),"почасовка",IF(Q2353&gt;H2353*(1+Параметры!$B$7),"сделка","любой способ"))))</f>
        <v>сделка</v>
      </c>
      <c r="S2353">
        <v>0</v>
      </c>
      <c r="T2353">
        <v>0</v>
      </c>
    </row>
    <row r="2354" spans="1:20" x14ac:dyDescent="0.25">
      <c r="A2354" s="18" t="s">
        <v>4712</v>
      </c>
      <c r="B2354" s="13" t="s">
        <v>4713</v>
      </c>
      <c r="C2354" s="13" t="s">
        <v>144</v>
      </c>
      <c r="D2354" s="13" t="s">
        <v>299</v>
      </c>
      <c r="E2354" s="13" t="str">
        <f>IFERROR(INDEX('Почасовка — ставки и план'!$B$5:$B$24,MATCH(D2354,'Почасовка — ставки и план'!$A$5:$A$24,0)),"Аренда техники / механизмы")</f>
        <v>Холодильщик / монтажник кондиционеров</v>
      </c>
      <c r="F2354" s="14">
        <v>3500</v>
      </c>
      <c r="G2354" s="14">
        <v>4000</v>
      </c>
      <c r="H2354" s="15">
        <v>1900</v>
      </c>
      <c r="I2354" s="15">
        <f>IF(OR(H2354="",F2354=""),"",MAX(H2354,MIN(ROUND(H2354*(1+Параметры!$B$5),IF(H2354*(1+Параметры!$B$5)&gt;=1000,-1,0)),ROUND(F2354*Параметры!$B$6,IF(F2354*Параметры!$B$6&gt;=1000,-1,0)))))</f>
        <v>2190</v>
      </c>
      <c r="J2354" s="15">
        <v>2300</v>
      </c>
      <c r="K2354" s="15">
        <f>IF(OR(J2354="",G2354=""),"",MAX(J2354,MIN(ROUND(J2354*(1+Параметры!$B$5),IF(J2354*(1+Параметры!$B$5)&gt;=1000,-1,0)),ROUND(G2354*Параметры!$B$6,IF(G2354*Параметры!$B$6&gt;=1000,-1,0)))))</f>
        <v>2650</v>
      </c>
      <c r="L2354" s="16">
        <v>1.5</v>
      </c>
      <c r="M2354" s="17">
        <f t="shared" si="172"/>
        <v>0.66666666666666663</v>
      </c>
      <c r="N2354" s="17">
        <f>IF(OR(L2354="",L2354=0),"",Параметры!$B$3/L2354)</f>
        <v>5.333333333333333</v>
      </c>
      <c r="O2354" s="15">
        <f>IF(L2354="","",IFERROR(INDEX('Почасовка — ставки и план'!$D$5:$D$24,MATCH($D2354,'Почасовка — ставки и план'!$A$5:$A$24,0)),""))</f>
        <v>1200</v>
      </c>
      <c r="P2354" s="15">
        <f>IF(L2354="","",IFERROR(INDEX('Почасовка — ставки и план'!$E$5:$E$24,MATCH($D2354,'Почасовка — ставки и план'!$A$5:$A$24,0)),""))</f>
        <v>1440</v>
      </c>
      <c r="Q2354" s="15">
        <f t="shared" si="173"/>
        <v>1800</v>
      </c>
      <c r="R2354" s="13" t="str">
        <f>IF(D2354="TEX","аренда техники — сделка/счёт",IF(OR(Q2354="",H2354="",H2354=0),"—",IF(Q2354&lt;H2354*(1-Параметры!$B$7),"почасовка",IF(Q2354&gt;H2354*(1+Параметры!$B$7),"сделка","любой способ"))))</f>
        <v>любой способ</v>
      </c>
      <c r="S2354">
        <v>0</v>
      </c>
      <c r="T2354">
        <v>0</v>
      </c>
    </row>
    <row r="2355" spans="1:20" x14ac:dyDescent="0.25">
      <c r="A2355" s="18" t="s">
        <v>4714</v>
      </c>
      <c r="B2355" s="13" t="s">
        <v>4715</v>
      </c>
      <c r="C2355" s="13" t="s">
        <v>2098</v>
      </c>
      <c r="D2355" s="13" t="s">
        <v>288</v>
      </c>
      <c r="E2355" s="13" t="str">
        <f>IFERROR(INDEX('Почасовка — ставки и план'!$B$5:$B$24,MATCH(D2355,'Почасовка — ставки и план'!$A$5:$A$24,0)),"Аренда техники / механизмы")</f>
        <v>Монтажник вентиляции</v>
      </c>
      <c r="F2355" s="14">
        <v>18000</v>
      </c>
      <c r="G2355" s="14">
        <v>22000</v>
      </c>
      <c r="H2355" s="15">
        <v>10800</v>
      </c>
      <c r="I2355" s="15">
        <f>IF(OR(H2355="",F2355=""),"",MAX(H2355,MIN(ROUND(H2355*(1+Параметры!$B$5),IF(H2355*(1+Параметры!$B$5)&gt;=1000,-1,0)),ROUND(F2355*Параметры!$B$6,IF(F2355*Параметры!$B$6&gt;=1000,-1,0)))))</f>
        <v>12420</v>
      </c>
      <c r="J2355" s="15">
        <v>13200</v>
      </c>
      <c r="K2355" s="15">
        <f>IF(OR(J2355="",G2355=""),"",MAX(J2355,MIN(ROUND(J2355*(1+Параметры!$B$5),IF(J2355*(1+Параметры!$B$5)&gt;=1000,-1,0)),ROUND(G2355*Параметры!$B$6,IF(G2355*Параметры!$B$6&gt;=1000,-1,0)))))</f>
        <v>15180</v>
      </c>
      <c r="L2355" s="16">
        <v>8</v>
      </c>
      <c r="M2355" s="17">
        <f t="shared" si="172"/>
        <v>0.125</v>
      </c>
      <c r="N2355" s="17">
        <f>IF(OR(L2355="",L2355=0),"",Параметры!$B$3/L2355)</f>
        <v>1</v>
      </c>
      <c r="O2355" s="15">
        <f>IF(L2355="","",IFERROR(INDEX('Почасовка — ставки и план'!$D$5:$D$24,MATCH($D2355,'Почасовка — ставки и план'!$A$5:$A$24,0)),""))</f>
        <v>850</v>
      </c>
      <c r="P2355" s="15">
        <f>IF(L2355="","",IFERROR(INDEX('Почасовка — ставки и план'!$E$5:$E$24,MATCH($D2355,'Почасовка — ставки и план'!$A$5:$A$24,0)),""))</f>
        <v>1020</v>
      </c>
      <c r="Q2355" s="15">
        <f t="shared" si="173"/>
        <v>6800</v>
      </c>
      <c r="R2355" s="13" t="str">
        <f>IF(D2355="TEX","аренда техники — сделка/счёт",IF(OR(Q2355="",H2355="",H2355=0),"—",IF(Q2355&lt;H2355*(1-Параметры!$B$7),"почасовка",IF(Q2355&gt;H2355*(1+Параметры!$B$7),"сделка","любой способ"))))</f>
        <v>почасовка</v>
      </c>
      <c r="S2355">
        <v>0</v>
      </c>
      <c r="T2355">
        <v>0</v>
      </c>
    </row>
    <row r="2356" spans="1:20" x14ac:dyDescent="0.25">
      <c r="A2356" s="18" t="s">
        <v>4716</v>
      </c>
      <c r="B2356" s="13" t="s">
        <v>4717</v>
      </c>
      <c r="C2356" s="13" t="s">
        <v>144</v>
      </c>
      <c r="D2356" s="13" t="s">
        <v>288</v>
      </c>
      <c r="E2356" s="13" t="str">
        <f>IFERROR(INDEX('Почасовка — ставки и план'!$B$5:$B$24,MATCH(D2356,'Почасовка — ставки и план'!$A$5:$A$24,0)),"Аренда техники / механизмы")</f>
        <v>Монтажник вентиляции</v>
      </c>
      <c r="F2356" s="14">
        <v>4500</v>
      </c>
      <c r="G2356" s="14">
        <v>5500</v>
      </c>
      <c r="H2356" s="15">
        <v>2650</v>
      </c>
      <c r="I2356" s="15">
        <f>IF(OR(H2356="",F2356=""),"",MAX(H2356,MIN(ROUND(H2356*(1+Параметры!$B$5),IF(H2356*(1+Параметры!$B$5)&gt;=1000,-1,0)),ROUND(F2356*Параметры!$B$6,IF(F2356*Параметры!$B$6&gt;=1000,-1,0)))))</f>
        <v>3050</v>
      </c>
      <c r="J2356" s="15">
        <v>3100</v>
      </c>
      <c r="K2356" s="15">
        <f>IF(OR(J2356="",G2356=""),"",MAX(J2356,MIN(ROUND(J2356*(1+Параметры!$B$5),IF(J2356*(1+Параметры!$B$5)&gt;=1000,-1,0)),ROUND(G2356*Параметры!$B$6,IF(G2356*Параметры!$B$6&gt;=1000,-1,0)))))</f>
        <v>3570</v>
      </c>
      <c r="L2356" s="16">
        <v>2</v>
      </c>
      <c r="M2356" s="17">
        <f t="shared" si="172"/>
        <v>0.5</v>
      </c>
      <c r="N2356" s="17">
        <f>IF(OR(L2356="",L2356=0),"",Параметры!$B$3/L2356)</f>
        <v>4</v>
      </c>
      <c r="O2356" s="15">
        <f>IF(L2356="","",IFERROR(INDEX('Почасовка — ставки и план'!$D$5:$D$24,MATCH($D2356,'Почасовка — ставки и план'!$A$5:$A$24,0)),""))</f>
        <v>850</v>
      </c>
      <c r="P2356" s="15">
        <f>IF(L2356="","",IFERROR(INDEX('Почасовка — ставки и план'!$E$5:$E$24,MATCH($D2356,'Почасовка — ставки и план'!$A$5:$A$24,0)),""))</f>
        <v>1020</v>
      </c>
      <c r="Q2356" s="15">
        <f t="shared" si="173"/>
        <v>1700</v>
      </c>
      <c r="R2356" s="13" t="str">
        <f>IF(D2356="TEX","аренда техники — сделка/счёт",IF(OR(Q2356="",H2356="",H2356=0),"—",IF(Q2356&lt;H2356*(1-Параметры!$B$7),"почасовка",IF(Q2356&gt;H2356*(1+Параметры!$B$7),"сделка","любой способ"))))</f>
        <v>почасовка</v>
      </c>
      <c r="S2356">
        <v>0</v>
      </c>
      <c r="T2356">
        <v>0</v>
      </c>
    </row>
    <row r="2357" spans="1:20" x14ac:dyDescent="0.25">
      <c r="A2357" s="18" t="s">
        <v>4718</v>
      </c>
      <c r="B2357" s="13" t="s">
        <v>4719</v>
      </c>
      <c r="C2357" s="13" t="s">
        <v>144</v>
      </c>
      <c r="D2357" s="13" t="s">
        <v>326</v>
      </c>
      <c r="E2357" s="13" t="str">
        <f>IFERROR(INDEX('Почасовка — ставки и план'!$B$5:$B$24,MATCH(D2357,'Почасовка — ставки и план'!$A$5:$A$24,0)),"Аренда техники / механизмы")</f>
        <v>Сантехник</v>
      </c>
      <c r="F2357" s="14">
        <v>15000</v>
      </c>
      <c r="G2357" s="14">
        <v>18000</v>
      </c>
      <c r="H2357" s="15">
        <v>9000</v>
      </c>
      <c r="I2357" s="15">
        <f>IF(OR(H2357="",F2357=""),"",MAX(H2357,MIN(ROUND(H2357*(1+Параметры!$B$5),IF(H2357*(1+Параметры!$B$5)&gt;=1000,-1,0)),ROUND(F2357*Параметры!$B$6,IF(F2357*Параметры!$B$6&gt;=1000,-1,0)))))</f>
        <v>10350</v>
      </c>
      <c r="J2357" s="15">
        <v>10800</v>
      </c>
      <c r="K2357" s="15">
        <f>IF(OR(J2357="",G2357=""),"",MAX(J2357,MIN(ROUND(J2357*(1+Параметры!$B$5),IF(J2357*(1+Параметры!$B$5)&gt;=1000,-1,0)),ROUND(G2357*Параметры!$B$6,IF(G2357*Параметры!$B$6&gt;=1000,-1,0)))))</f>
        <v>12420</v>
      </c>
      <c r="L2357" s="16">
        <v>6</v>
      </c>
      <c r="M2357" s="17">
        <f t="shared" si="172"/>
        <v>0.16666666666666666</v>
      </c>
      <c r="N2357" s="17">
        <f>IF(OR(L2357="",L2357=0),"",Параметры!$B$3/L2357)</f>
        <v>1.3333333333333333</v>
      </c>
      <c r="O2357" s="15">
        <f>IF(L2357="","",IFERROR(INDEX('Почасовка — ставки и план'!$D$5:$D$24,MATCH($D2357,'Почасовка — ставки и план'!$A$5:$A$24,0)),""))</f>
        <v>850</v>
      </c>
      <c r="P2357" s="15">
        <f>IF(L2357="","",IFERROR(INDEX('Почасовка — ставки и план'!$E$5:$E$24,MATCH($D2357,'Почасовка — ставки и план'!$A$5:$A$24,0)),""))</f>
        <v>1020</v>
      </c>
      <c r="Q2357" s="15">
        <f t="shared" si="173"/>
        <v>5100</v>
      </c>
      <c r="R2357" s="13" t="str">
        <f>IF(D2357="TEX","аренда техники — сделка/счёт",IF(OR(Q2357="",H2357="",H2357=0),"—",IF(Q2357&lt;H2357*(1-Параметры!$B$7),"почасовка",IF(Q2357&gt;H2357*(1+Параметры!$B$7),"сделка","любой способ"))))</f>
        <v>почасовка</v>
      </c>
      <c r="S2357">
        <v>0</v>
      </c>
      <c r="T2357">
        <v>0</v>
      </c>
    </row>
    <row r="2358" spans="1:20" x14ac:dyDescent="0.25">
      <c r="A2358" s="18" t="s">
        <v>4720</v>
      </c>
      <c r="B2358" s="13" t="s">
        <v>4721</v>
      </c>
      <c r="C2358" s="13" t="s">
        <v>144</v>
      </c>
      <c r="D2358" s="13" t="s">
        <v>2663</v>
      </c>
      <c r="E2358" s="13" t="str">
        <f>IFERROR(INDEX('Почасовка — ставки и план'!$B$5:$B$24,MATCH(D2358,'Почасовка — ставки и план'!$A$5:$A$24,0)),"Аренда техники / механизмы")</f>
        <v>Инженер электролаборатории / ПНР</v>
      </c>
      <c r="F2358" s="14">
        <v>10000</v>
      </c>
      <c r="G2358" s="14">
        <v>12000</v>
      </c>
      <c r="H2358" s="15">
        <v>6000</v>
      </c>
      <c r="I2358" s="15">
        <f>IF(OR(H2358="",F2358=""),"",MAX(H2358,MIN(ROUND(H2358*(1+Параметры!$B$5),IF(H2358*(1+Параметры!$B$5)&gt;=1000,-1,0)),ROUND(F2358*Параметры!$B$6,IF(F2358*Параметры!$B$6&gt;=1000,-1,0)))))</f>
        <v>6900</v>
      </c>
      <c r="J2358" s="15">
        <v>7200</v>
      </c>
      <c r="K2358" s="15">
        <f>IF(OR(J2358="",G2358=""),"",MAX(J2358,MIN(ROUND(J2358*(1+Параметры!$B$5),IF(J2358*(1+Параметры!$B$5)&gt;=1000,-1,0)),ROUND(G2358*Параметры!$B$6,IF(G2358*Параметры!$B$6&gt;=1000,-1,0)))))</f>
        <v>8280</v>
      </c>
      <c r="L2358" s="16">
        <v>4</v>
      </c>
      <c r="M2358" s="17">
        <f t="shared" si="172"/>
        <v>0.25</v>
      </c>
      <c r="N2358" s="17">
        <f>IF(OR(L2358="",L2358=0),"",Параметры!$B$3/L2358)</f>
        <v>2</v>
      </c>
      <c r="O2358" s="15">
        <f>IF(L2358="","",IFERROR(INDEX('Почасовка — ставки и план'!$D$5:$D$24,MATCH($D2358,'Почасовка — ставки и план'!$A$5:$A$24,0)),""))</f>
        <v>1400</v>
      </c>
      <c r="P2358" s="15">
        <f>IF(L2358="","",IFERROR(INDEX('Почасовка — ставки и план'!$E$5:$E$24,MATCH($D2358,'Почасовка — ставки и план'!$A$5:$A$24,0)),""))</f>
        <v>1680</v>
      </c>
      <c r="Q2358" s="15">
        <f t="shared" si="173"/>
        <v>5600</v>
      </c>
      <c r="R2358" s="13" t="str">
        <f>IF(D2358="TEX","аренда техники — сделка/счёт",IF(OR(Q2358="",H2358="",H2358=0),"—",IF(Q2358&lt;H2358*(1-Параметры!$B$7),"почасовка",IF(Q2358&gt;H2358*(1+Параметры!$B$7),"сделка","любой способ"))))</f>
        <v>любой способ</v>
      </c>
      <c r="S2358">
        <v>0</v>
      </c>
      <c r="T2358">
        <v>0</v>
      </c>
    </row>
    <row r="2359" spans="1:20" x14ac:dyDescent="0.25">
      <c r="A2359" s="18" t="s">
        <v>4722</v>
      </c>
      <c r="B2359" s="13" t="s">
        <v>4723</v>
      </c>
      <c r="C2359" s="13" t="s">
        <v>2098</v>
      </c>
      <c r="D2359" s="13" t="s">
        <v>326</v>
      </c>
      <c r="E2359" s="13" t="str">
        <f>IFERROR(INDEX('Почасовка — ставки и план'!$B$5:$B$24,MATCH(D2359,'Почасовка — ставки и план'!$A$5:$A$24,0)),"Аренда техники / механизмы")</f>
        <v>Сантехник</v>
      </c>
      <c r="F2359" s="14">
        <v>12000</v>
      </c>
      <c r="G2359" s="14">
        <v>14000</v>
      </c>
      <c r="H2359" s="15">
        <v>7200</v>
      </c>
      <c r="I2359" s="15">
        <f>IF(OR(H2359="",F2359=""),"",MAX(H2359,MIN(ROUND(H2359*(1+Параметры!$B$5),IF(H2359*(1+Параметры!$B$5)&gt;=1000,-1,0)),ROUND(F2359*Параметры!$B$6,IF(F2359*Параметры!$B$6&gt;=1000,-1,0)))))</f>
        <v>8280</v>
      </c>
      <c r="J2359" s="15">
        <v>8400</v>
      </c>
      <c r="K2359" s="15">
        <f>IF(OR(J2359="",G2359=""),"",MAX(J2359,MIN(ROUND(J2359*(1+Параметры!$B$5),IF(J2359*(1+Параметры!$B$5)&gt;=1000,-1,0)),ROUND(G2359*Параметры!$B$6,IF(G2359*Параметры!$B$6&gt;=1000,-1,0)))))</f>
        <v>9660</v>
      </c>
      <c r="L2359" s="16">
        <v>6</v>
      </c>
      <c r="M2359" s="17">
        <f t="shared" si="172"/>
        <v>0.16666666666666666</v>
      </c>
      <c r="N2359" s="17">
        <f>IF(OR(L2359="",L2359=0),"",Параметры!$B$3/L2359)</f>
        <v>1.3333333333333333</v>
      </c>
      <c r="O2359" s="15">
        <f>IF(L2359="","",IFERROR(INDEX('Почасовка — ставки и план'!$D$5:$D$24,MATCH($D2359,'Почасовка — ставки и план'!$A$5:$A$24,0)),""))</f>
        <v>850</v>
      </c>
      <c r="P2359" s="15">
        <f>IF(L2359="","",IFERROR(INDEX('Почасовка — ставки и план'!$E$5:$E$24,MATCH($D2359,'Почасовка — ставки и план'!$A$5:$A$24,0)),""))</f>
        <v>1020</v>
      </c>
      <c r="Q2359" s="15">
        <f t="shared" si="173"/>
        <v>5100</v>
      </c>
      <c r="R2359" s="13" t="str">
        <f>IF(D2359="TEX","аренда техники — сделка/счёт",IF(OR(Q2359="",H2359="",H2359=0),"—",IF(Q2359&lt;H2359*(1-Параметры!$B$7),"почасовка",IF(Q2359&gt;H2359*(1+Параметры!$B$7),"сделка","любой способ"))))</f>
        <v>почасовка</v>
      </c>
      <c r="S2359">
        <v>0</v>
      </c>
      <c r="T2359">
        <v>0</v>
      </c>
    </row>
    <row r="2360" spans="1:20" x14ac:dyDescent="0.25">
      <c r="A2360" s="11" t="s">
        <v>4724</v>
      </c>
      <c r="B2360" s="12"/>
      <c r="C2360" s="12"/>
      <c r="D2360" s="12"/>
      <c r="E2360" s="12"/>
      <c r="F2360" s="12"/>
      <c r="G2360" s="12"/>
      <c r="H2360" s="12"/>
      <c r="I2360" s="12"/>
      <c r="J2360" s="12"/>
      <c r="K2360" s="12"/>
      <c r="L2360" s="12"/>
      <c r="M2360" s="12"/>
      <c r="N2360" s="12"/>
      <c r="O2360" s="12"/>
      <c r="P2360" s="12"/>
      <c r="Q2360" s="12"/>
      <c r="R2360" s="12"/>
    </row>
    <row r="2361" spans="1:20" x14ac:dyDescent="0.25">
      <c r="A2361" s="13" t="s">
        <v>4725</v>
      </c>
      <c r="B2361" s="13" t="s">
        <v>4726</v>
      </c>
      <c r="C2361" s="13" t="s">
        <v>4727</v>
      </c>
      <c r="D2361" s="13" t="s">
        <v>545</v>
      </c>
      <c r="E2361" s="13" t="str">
        <f>IFERROR(INDEX('Почасовка — ставки и план'!$B$5:$B$24,MATCH(D2361,'Почасовка — ставки и план'!$A$5:$A$24,0)),"Аренда техники / механизмы")</f>
        <v>Сервисный инженер ворот и автоматики</v>
      </c>
      <c r="F2361" s="14">
        <v>500</v>
      </c>
      <c r="G2361" s="14">
        <v>600</v>
      </c>
      <c r="H2361" s="15">
        <v>300</v>
      </c>
      <c r="I2361" s="15">
        <f>IF(OR(H2361="",F2361=""),"",MAX(H2361,MIN(ROUND(H2361*(1+Параметры!$B$5),IF(H2361*(1+Параметры!$B$5)&gt;=1000,-1,0)),ROUND(F2361*Параметры!$B$6,IF(F2361*Параметры!$B$6&gt;=1000,-1,0)))))</f>
        <v>345</v>
      </c>
      <c r="J2361" s="15">
        <v>360</v>
      </c>
      <c r="K2361" s="15">
        <f>IF(OR(J2361="",G2361=""),"",MAX(J2361,MIN(ROUND(J2361*(1+Параметры!$B$5),IF(J2361*(1+Параметры!$B$5)&gt;=1000,-1,0)),ROUND(G2361*Параметры!$B$6,IF(G2361*Параметры!$B$6&gt;=1000,-1,0)))))</f>
        <v>414</v>
      </c>
      <c r="L2361" s="16">
        <v>0.2</v>
      </c>
      <c r="M2361" s="17">
        <f t="shared" ref="M2361:M2392" si="174">IF(OR(L2361="",L2361=0),"",1/L2361)</f>
        <v>5</v>
      </c>
      <c r="N2361" s="17">
        <f>IF(OR(L2361="",L2361=0),"",Параметры!$B$3/L2361)</f>
        <v>40</v>
      </c>
      <c r="O2361" s="15">
        <f>IF(L2361="","",IFERROR(INDEX('Почасовка — ставки и план'!$D$5:$D$24,MATCH($D2361,'Почасовка — ставки и план'!$A$5:$A$24,0)),""))</f>
        <v>1200</v>
      </c>
      <c r="P2361" s="15">
        <f>IF(L2361="","",IFERROR(INDEX('Почасовка — ставки и план'!$E$5:$E$24,MATCH($D2361,'Почасовка — ставки и план'!$A$5:$A$24,0)),""))</f>
        <v>1440</v>
      </c>
      <c r="Q2361" s="15">
        <f t="shared" ref="Q2361:Q2392" si="175">IF(OR(L2361="",O2361=""),"",ROUND(L2361*O2361,0))</f>
        <v>240</v>
      </c>
      <c r="R2361" s="13" t="str">
        <f>IF(D2361="TEX","аренда техники — сделка/счёт",IF(OR(Q2361="",H2361="",H2361=0),"—",IF(Q2361&lt;H2361*(1-Параметры!$B$7),"почасовка",IF(Q2361&gt;H2361*(1+Параметры!$B$7),"сделка","любой способ"))))</f>
        <v>почасовка</v>
      </c>
      <c r="S2361">
        <v>0</v>
      </c>
      <c r="T2361">
        <v>0</v>
      </c>
    </row>
    <row r="2362" spans="1:20" x14ac:dyDescent="0.25">
      <c r="A2362" s="13" t="s">
        <v>4728</v>
      </c>
      <c r="B2362" s="13" t="s">
        <v>4729</v>
      </c>
      <c r="C2362" s="13" t="s">
        <v>4727</v>
      </c>
      <c r="D2362" s="13" t="s">
        <v>545</v>
      </c>
      <c r="E2362" s="13" t="str">
        <f>IFERROR(INDEX('Почасовка — ставки и план'!$B$5:$B$24,MATCH(D2362,'Почасовка — ставки и план'!$A$5:$A$24,0)),"Аренда техники / механизмы")</f>
        <v>Сервисный инженер ворот и автоматики</v>
      </c>
      <c r="F2362" s="14">
        <v>11000</v>
      </c>
      <c r="G2362" s="14">
        <v>13000</v>
      </c>
      <c r="H2362" s="15">
        <v>7200</v>
      </c>
      <c r="I2362" s="15">
        <f>IF(OR(H2362="",F2362=""),"",MAX(H2362,MIN(ROUND(H2362*(1+Параметры!$B$5),IF(H2362*(1+Параметры!$B$5)&gt;=1000,-1,0)),ROUND(F2362*Параметры!$B$6,IF(F2362*Параметры!$B$6&gt;=1000,-1,0)))))</f>
        <v>8250</v>
      </c>
      <c r="J2362" s="15">
        <v>8400</v>
      </c>
      <c r="K2362" s="15">
        <f>IF(OR(J2362="",G2362=""),"",MAX(J2362,MIN(ROUND(J2362*(1+Параметры!$B$5),IF(J2362*(1+Параметры!$B$5)&gt;=1000,-1,0)),ROUND(G2362*Параметры!$B$6,IF(G2362*Параметры!$B$6&gt;=1000,-1,0)))))</f>
        <v>9660</v>
      </c>
      <c r="L2362" s="16">
        <v>5</v>
      </c>
      <c r="M2362" s="17">
        <f t="shared" si="174"/>
        <v>0.2</v>
      </c>
      <c r="N2362" s="17">
        <f>IF(OR(L2362="",L2362=0),"",Параметры!$B$3/L2362)</f>
        <v>1.6</v>
      </c>
      <c r="O2362" s="15">
        <f>IF(L2362="","",IFERROR(INDEX('Почасовка — ставки и план'!$D$5:$D$24,MATCH($D2362,'Почасовка — ставки и план'!$A$5:$A$24,0)),""))</f>
        <v>1200</v>
      </c>
      <c r="P2362" s="15">
        <f>IF(L2362="","",IFERROR(INDEX('Почасовка — ставки и план'!$E$5:$E$24,MATCH($D2362,'Почасовка — ставки и план'!$A$5:$A$24,0)),""))</f>
        <v>1440</v>
      </c>
      <c r="Q2362" s="15">
        <f t="shared" si="175"/>
        <v>6000</v>
      </c>
      <c r="R2362" s="13" t="str">
        <f>IF(D2362="TEX","аренда техники — сделка/счёт",IF(OR(Q2362="",H2362="",H2362=0),"—",IF(Q2362&lt;H2362*(1-Параметры!$B$7),"почасовка",IF(Q2362&gt;H2362*(1+Параметры!$B$7),"сделка","любой способ"))))</f>
        <v>почасовка</v>
      </c>
      <c r="S2362">
        <v>0</v>
      </c>
      <c r="T2362">
        <v>0</v>
      </c>
    </row>
    <row r="2363" spans="1:20" x14ac:dyDescent="0.25">
      <c r="A2363" s="13" t="s">
        <v>4730</v>
      </c>
      <c r="B2363" s="13" t="s">
        <v>4731</v>
      </c>
      <c r="C2363" s="13" t="s">
        <v>4727</v>
      </c>
      <c r="D2363" s="13" t="s">
        <v>545</v>
      </c>
      <c r="E2363" s="13" t="str">
        <f>IFERROR(INDEX('Почасовка — ставки и план'!$B$5:$B$24,MATCH(D2363,'Почасовка — ставки и план'!$A$5:$A$24,0)),"Аренда техники / механизмы")</f>
        <v>Сервисный инженер ворот и автоматики</v>
      </c>
      <c r="F2363" s="14">
        <v>10000</v>
      </c>
      <c r="G2363" s="14">
        <v>12000</v>
      </c>
      <c r="H2363" s="15">
        <v>6600</v>
      </c>
      <c r="I2363" s="15">
        <f>IF(OR(H2363="",F2363=""),"",MAX(H2363,MIN(ROUND(H2363*(1+Параметры!$B$5),IF(H2363*(1+Параметры!$B$5)&gt;=1000,-1,0)),ROUND(F2363*Параметры!$B$6,IF(F2363*Параметры!$B$6&gt;=1000,-1,0)))))</f>
        <v>7500</v>
      </c>
      <c r="J2363" s="15">
        <v>7800</v>
      </c>
      <c r="K2363" s="15">
        <f>IF(OR(J2363="",G2363=""),"",MAX(J2363,MIN(ROUND(J2363*(1+Параметры!$B$5),IF(J2363*(1+Параметры!$B$5)&gt;=1000,-1,0)),ROUND(G2363*Параметры!$B$6,IF(G2363*Параметры!$B$6&gt;=1000,-1,0)))))</f>
        <v>8970</v>
      </c>
      <c r="L2363" s="16">
        <v>4.5</v>
      </c>
      <c r="M2363" s="17">
        <f t="shared" si="174"/>
        <v>0.22222222222222221</v>
      </c>
      <c r="N2363" s="17">
        <f>IF(OR(L2363="",L2363=0),"",Параметры!$B$3/L2363)</f>
        <v>1.7777777777777777</v>
      </c>
      <c r="O2363" s="15">
        <f>IF(L2363="","",IFERROR(INDEX('Почасовка — ставки и план'!$D$5:$D$24,MATCH($D2363,'Почасовка — ставки и план'!$A$5:$A$24,0)),""))</f>
        <v>1200</v>
      </c>
      <c r="P2363" s="15">
        <f>IF(L2363="","",IFERROR(INDEX('Почасовка — ставки и план'!$E$5:$E$24,MATCH($D2363,'Почасовка — ставки и план'!$A$5:$A$24,0)),""))</f>
        <v>1440</v>
      </c>
      <c r="Q2363" s="15">
        <f t="shared" si="175"/>
        <v>5400</v>
      </c>
      <c r="R2363" s="13" t="str">
        <f>IF(D2363="TEX","аренда техники — сделка/счёт",IF(OR(Q2363="",H2363="",H2363=0),"—",IF(Q2363&lt;H2363*(1-Параметры!$B$7),"почасовка",IF(Q2363&gt;H2363*(1+Параметры!$B$7),"сделка","любой способ"))))</f>
        <v>почасовка</v>
      </c>
      <c r="S2363">
        <v>0</v>
      </c>
      <c r="T2363">
        <v>0</v>
      </c>
    </row>
    <row r="2364" spans="1:20" x14ac:dyDescent="0.25">
      <c r="A2364" s="13" t="s">
        <v>4732</v>
      </c>
      <c r="B2364" s="13" t="s">
        <v>4733</v>
      </c>
      <c r="C2364" s="13" t="s">
        <v>4727</v>
      </c>
      <c r="D2364" s="13" t="s">
        <v>545</v>
      </c>
      <c r="E2364" s="13" t="str">
        <f>IFERROR(INDEX('Почасовка — ставки и план'!$B$5:$B$24,MATCH(D2364,'Почасовка — ставки и план'!$A$5:$A$24,0)),"Аренда техники / механизмы")</f>
        <v>Сервисный инженер ворот и автоматики</v>
      </c>
      <c r="F2364" s="14">
        <v>800</v>
      </c>
      <c r="G2364" s="14">
        <v>950</v>
      </c>
      <c r="H2364" s="15">
        <v>480</v>
      </c>
      <c r="I2364" s="15">
        <f>IF(OR(H2364="",F2364=""),"",MAX(H2364,MIN(ROUND(H2364*(1+Параметры!$B$5),IF(H2364*(1+Параметры!$B$5)&gt;=1000,-1,0)),ROUND(F2364*Параметры!$B$6,IF(F2364*Параметры!$B$6&gt;=1000,-1,0)))))</f>
        <v>552</v>
      </c>
      <c r="J2364" s="15">
        <v>540</v>
      </c>
      <c r="K2364" s="15">
        <f>IF(OR(J2364="",G2364=""),"",MAX(J2364,MIN(ROUND(J2364*(1+Параметры!$B$5),IF(J2364*(1+Параметры!$B$5)&gt;=1000,-1,0)),ROUND(G2364*Параметры!$B$6,IF(G2364*Параметры!$B$6&gt;=1000,-1,0)))))</f>
        <v>621</v>
      </c>
      <c r="L2364" s="16">
        <v>0.3</v>
      </c>
      <c r="M2364" s="17">
        <f t="shared" si="174"/>
        <v>3.3333333333333335</v>
      </c>
      <c r="N2364" s="17">
        <f>IF(OR(L2364="",L2364=0),"",Параметры!$B$3/L2364)</f>
        <v>26.666666666666668</v>
      </c>
      <c r="O2364" s="15">
        <f>IF(L2364="","",IFERROR(INDEX('Почасовка — ставки и план'!$D$5:$D$24,MATCH($D2364,'Почасовка — ставки и план'!$A$5:$A$24,0)),""))</f>
        <v>1200</v>
      </c>
      <c r="P2364" s="15">
        <f>IF(L2364="","",IFERROR(INDEX('Почасовка — ставки и план'!$E$5:$E$24,MATCH($D2364,'Почасовка — ставки и план'!$A$5:$A$24,0)),""))</f>
        <v>1440</v>
      </c>
      <c r="Q2364" s="15">
        <f t="shared" si="175"/>
        <v>360</v>
      </c>
      <c r="R2364" s="13" t="str">
        <f>IF(D2364="TEX","аренда техники — сделка/счёт",IF(OR(Q2364="",H2364="",H2364=0),"—",IF(Q2364&lt;H2364*(1-Параметры!$B$7),"почасовка",IF(Q2364&gt;H2364*(1+Параметры!$B$7),"сделка","любой способ"))))</f>
        <v>почасовка</v>
      </c>
      <c r="S2364">
        <v>0</v>
      </c>
      <c r="T2364">
        <v>0</v>
      </c>
    </row>
    <row r="2365" spans="1:20" x14ac:dyDescent="0.25">
      <c r="A2365" s="13" t="s">
        <v>4734</v>
      </c>
      <c r="B2365" s="13" t="s">
        <v>4735</v>
      </c>
      <c r="C2365" s="13" t="s">
        <v>4727</v>
      </c>
      <c r="D2365" s="13" t="s">
        <v>545</v>
      </c>
      <c r="E2365" s="13" t="str">
        <f>IFERROR(INDEX('Почасовка — ставки и план'!$B$5:$B$24,MATCH(D2365,'Почасовка — ставки и план'!$A$5:$A$24,0)),"Аренда техники / механизмы")</f>
        <v>Сервисный инженер ворот и автоматики</v>
      </c>
      <c r="F2365" s="14">
        <v>800</v>
      </c>
      <c r="G2365" s="14">
        <v>950</v>
      </c>
      <c r="H2365" s="15">
        <v>480</v>
      </c>
      <c r="I2365" s="15">
        <f>IF(OR(H2365="",F2365=""),"",MAX(H2365,MIN(ROUND(H2365*(1+Параметры!$B$5),IF(H2365*(1+Параметры!$B$5)&gt;=1000,-1,0)),ROUND(F2365*Параметры!$B$6,IF(F2365*Параметры!$B$6&gt;=1000,-1,0)))))</f>
        <v>552</v>
      </c>
      <c r="J2365" s="15">
        <v>540</v>
      </c>
      <c r="K2365" s="15">
        <f>IF(OR(J2365="",G2365=""),"",MAX(J2365,MIN(ROUND(J2365*(1+Параметры!$B$5),IF(J2365*(1+Параметры!$B$5)&gt;=1000,-1,0)),ROUND(G2365*Параметры!$B$6,IF(G2365*Параметры!$B$6&gt;=1000,-1,0)))))</f>
        <v>621</v>
      </c>
      <c r="L2365" s="16">
        <v>0.3</v>
      </c>
      <c r="M2365" s="17">
        <f t="shared" si="174"/>
        <v>3.3333333333333335</v>
      </c>
      <c r="N2365" s="17">
        <f>IF(OR(L2365="",L2365=0),"",Параметры!$B$3/L2365)</f>
        <v>26.666666666666668</v>
      </c>
      <c r="O2365" s="15">
        <f>IF(L2365="","",IFERROR(INDEX('Почасовка — ставки и план'!$D$5:$D$24,MATCH($D2365,'Почасовка — ставки и план'!$A$5:$A$24,0)),""))</f>
        <v>1200</v>
      </c>
      <c r="P2365" s="15">
        <f>IF(L2365="","",IFERROR(INDEX('Почасовка — ставки и план'!$E$5:$E$24,MATCH($D2365,'Почасовка — ставки и план'!$A$5:$A$24,0)),""))</f>
        <v>1440</v>
      </c>
      <c r="Q2365" s="15">
        <f t="shared" si="175"/>
        <v>360</v>
      </c>
      <c r="R2365" s="13" t="str">
        <f>IF(D2365="TEX","аренда техники — сделка/счёт",IF(OR(Q2365="",H2365="",H2365=0),"—",IF(Q2365&lt;H2365*(1-Параметры!$B$7),"почасовка",IF(Q2365&gt;H2365*(1+Параметры!$B$7),"сделка","любой способ"))))</f>
        <v>почасовка</v>
      </c>
      <c r="S2365">
        <v>0</v>
      </c>
      <c r="T2365">
        <v>0</v>
      </c>
    </row>
    <row r="2366" spans="1:20" x14ac:dyDescent="0.25">
      <c r="A2366" s="13" t="s">
        <v>4736</v>
      </c>
      <c r="B2366" s="13" t="s">
        <v>4737</v>
      </c>
      <c r="C2366" s="13" t="s">
        <v>4727</v>
      </c>
      <c r="D2366" s="13" t="s">
        <v>545</v>
      </c>
      <c r="E2366" s="13" t="str">
        <f>IFERROR(INDEX('Почасовка — ставки и план'!$B$5:$B$24,MATCH(D2366,'Почасовка — ставки и план'!$A$5:$A$24,0)),"Аренда техники / механизмы")</f>
        <v>Сервисный инженер ворот и автоматики</v>
      </c>
      <c r="F2366" s="14">
        <v>600</v>
      </c>
      <c r="G2366" s="14">
        <v>700</v>
      </c>
      <c r="H2366" s="15">
        <v>360</v>
      </c>
      <c r="I2366" s="15">
        <f>IF(OR(H2366="",F2366=""),"",MAX(H2366,MIN(ROUND(H2366*(1+Параметры!$B$5),IF(H2366*(1+Параметры!$B$5)&gt;=1000,-1,0)),ROUND(F2366*Параметры!$B$6,IF(F2366*Параметры!$B$6&gt;=1000,-1,0)))))</f>
        <v>414</v>
      </c>
      <c r="J2366" s="15">
        <v>420</v>
      </c>
      <c r="K2366" s="15">
        <f>IF(OR(J2366="",G2366=""),"",MAX(J2366,MIN(ROUND(J2366*(1+Параметры!$B$5),IF(J2366*(1+Параметры!$B$5)&gt;=1000,-1,0)),ROUND(G2366*Параметры!$B$6,IF(G2366*Параметры!$B$6&gt;=1000,-1,0)))))</f>
        <v>483</v>
      </c>
      <c r="L2366" s="16">
        <v>0.3</v>
      </c>
      <c r="M2366" s="17">
        <f t="shared" si="174"/>
        <v>3.3333333333333335</v>
      </c>
      <c r="N2366" s="17">
        <f>IF(OR(L2366="",L2366=0),"",Параметры!$B$3/L2366)</f>
        <v>26.666666666666668</v>
      </c>
      <c r="O2366" s="15">
        <f>IF(L2366="","",IFERROR(INDEX('Почасовка — ставки и план'!$D$5:$D$24,MATCH($D2366,'Почасовка — ставки и план'!$A$5:$A$24,0)),""))</f>
        <v>1200</v>
      </c>
      <c r="P2366" s="15">
        <f>IF(L2366="","",IFERROR(INDEX('Почасовка — ставки и план'!$E$5:$E$24,MATCH($D2366,'Почасовка — ставки и план'!$A$5:$A$24,0)),""))</f>
        <v>1440</v>
      </c>
      <c r="Q2366" s="15">
        <f t="shared" si="175"/>
        <v>360</v>
      </c>
      <c r="R2366" s="13" t="str">
        <f>IF(D2366="TEX","аренда техники — сделка/счёт",IF(OR(Q2366="",H2366="",H2366=0),"—",IF(Q2366&lt;H2366*(1-Параметры!$B$7),"почасовка",IF(Q2366&gt;H2366*(1+Параметры!$B$7),"сделка","любой способ"))))</f>
        <v>любой способ</v>
      </c>
      <c r="S2366">
        <v>0</v>
      </c>
      <c r="T2366">
        <v>0</v>
      </c>
    </row>
    <row r="2367" spans="1:20" x14ac:dyDescent="0.25">
      <c r="A2367" s="13" t="s">
        <v>4738</v>
      </c>
      <c r="B2367" s="13" t="s">
        <v>4739</v>
      </c>
      <c r="C2367" s="13" t="s">
        <v>4727</v>
      </c>
      <c r="D2367" s="13" t="s">
        <v>545</v>
      </c>
      <c r="E2367" s="13" t="str">
        <f>IFERROR(INDEX('Почасовка — ставки и план'!$B$5:$B$24,MATCH(D2367,'Почасовка — ставки и план'!$A$5:$A$24,0)),"Аренда техники / механизмы")</f>
        <v>Сервисный инженер ворот и автоматики</v>
      </c>
      <c r="F2367" s="14">
        <v>1500</v>
      </c>
      <c r="G2367" s="14">
        <v>1750</v>
      </c>
      <c r="H2367" s="15">
        <v>840</v>
      </c>
      <c r="I2367" s="15">
        <f>IF(OR(H2367="",F2367=""),"",MAX(H2367,MIN(ROUND(H2367*(1+Параметры!$B$5),IF(H2367*(1+Параметры!$B$5)&gt;=1000,-1,0)),ROUND(F2367*Параметры!$B$6,IF(F2367*Параметры!$B$6&gt;=1000,-1,0)))))</f>
        <v>966</v>
      </c>
      <c r="J2367" s="15">
        <v>960</v>
      </c>
      <c r="K2367" s="15">
        <f>IF(OR(J2367="",G2367=""),"",MAX(J2367,MIN(ROUND(J2367*(1+Параметры!$B$5),IF(J2367*(1+Параметры!$B$5)&gt;=1000,-1,0)),ROUND(G2367*Параметры!$B$6,IF(G2367*Параметры!$B$6&gt;=1000,-1,0)))))</f>
        <v>1100</v>
      </c>
      <c r="L2367" s="16">
        <v>0.5</v>
      </c>
      <c r="M2367" s="17">
        <f t="shared" si="174"/>
        <v>2</v>
      </c>
      <c r="N2367" s="17">
        <f>IF(OR(L2367="",L2367=0),"",Параметры!$B$3/L2367)</f>
        <v>16</v>
      </c>
      <c r="O2367" s="15">
        <f>IF(L2367="","",IFERROR(INDEX('Почасовка — ставки и план'!$D$5:$D$24,MATCH($D2367,'Почасовка — ставки и план'!$A$5:$A$24,0)),""))</f>
        <v>1200</v>
      </c>
      <c r="P2367" s="15">
        <f>IF(L2367="","",IFERROR(INDEX('Почасовка — ставки и план'!$E$5:$E$24,MATCH($D2367,'Почасовка — ставки и план'!$A$5:$A$24,0)),""))</f>
        <v>1440</v>
      </c>
      <c r="Q2367" s="15">
        <f t="shared" si="175"/>
        <v>600</v>
      </c>
      <c r="R2367" s="13" t="str">
        <f>IF(D2367="TEX","аренда техники — сделка/счёт",IF(OR(Q2367="",H2367="",H2367=0),"—",IF(Q2367&lt;H2367*(1-Параметры!$B$7),"почасовка",IF(Q2367&gt;H2367*(1+Параметры!$B$7),"сделка","любой способ"))))</f>
        <v>почасовка</v>
      </c>
      <c r="S2367">
        <v>0</v>
      </c>
      <c r="T2367">
        <v>0</v>
      </c>
    </row>
    <row r="2368" spans="1:20" x14ac:dyDescent="0.25">
      <c r="A2368" s="13" t="s">
        <v>4740</v>
      </c>
      <c r="B2368" s="13" t="s">
        <v>4741</v>
      </c>
      <c r="C2368" s="13" t="s">
        <v>4727</v>
      </c>
      <c r="D2368" s="13" t="s">
        <v>545</v>
      </c>
      <c r="E2368" s="13" t="str">
        <f>IFERROR(INDEX('Почасовка — ставки и план'!$B$5:$B$24,MATCH(D2368,'Почасовка — ставки и план'!$A$5:$A$24,0)),"Аренда техники / механизмы")</f>
        <v>Сервисный инженер ворот и автоматики</v>
      </c>
      <c r="F2368" s="14">
        <v>2500</v>
      </c>
      <c r="G2368" s="14">
        <v>3000</v>
      </c>
      <c r="H2368" s="15">
        <v>1550</v>
      </c>
      <c r="I2368" s="15">
        <f>IF(OR(H2368="",F2368=""),"",MAX(H2368,MIN(ROUND(H2368*(1+Параметры!$B$5),IF(H2368*(1+Параметры!$B$5)&gt;=1000,-1,0)),ROUND(F2368*Параметры!$B$6,IF(F2368*Параметры!$B$6&gt;=1000,-1,0)))))</f>
        <v>1780</v>
      </c>
      <c r="J2368" s="15">
        <v>1800</v>
      </c>
      <c r="K2368" s="15">
        <f>IF(OR(J2368="",G2368=""),"",MAX(J2368,MIN(ROUND(J2368*(1+Параметры!$B$5),IF(J2368*(1+Параметры!$B$5)&gt;=1000,-1,0)),ROUND(G2368*Параметры!$B$6,IF(G2368*Параметры!$B$6&gt;=1000,-1,0)))))</f>
        <v>2070</v>
      </c>
      <c r="L2368" s="16">
        <v>1</v>
      </c>
      <c r="M2368" s="17">
        <f t="shared" si="174"/>
        <v>1</v>
      </c>
      <c r="N2368" s="17">
        <f>IF(OR(L2368="",L2368=0),"",Параметры!$B$3/L2368)</f>
        <v>8</v>
      </c>
      <c r="O2368" s="15">
        <f>IF(L2368="","",IFERROR(INDEX('Почасовка — ставки и план'!$D$5:$D$24,MATCH($D2368,'Почасовка — ставки и план'!$A$5:$A$24,0)),""))</f>
        <v>1200</v>
      </c>
      <c r="P2368" s="15">
        <f>IF(L2368="","",IFERROR(INDEX('Почасовка — ставки и план'!$E$5:$E$24,MATCH($D2368,'Почасовка — ставки и план'!$A$5:$A$24,0)),""))</f>
        <v>1440</v>
      </c>
      <c r="Q2368" s="15">
        <f t="shared" si="175"/>
        <v>1200</v>
      </c>
      <c r="R2368" s="13" t="str">
        <f>IF(D2368="TEX","аренда техники — сделка/счёт",IF(OR(Q2368="",H2368="",H2368=0),"—",IF(Q2368&lt;H2368*(1-Параметры!$B$7),"почасовка",IF(Q2368&gt;H2368*(1+Параметры!$B$7),"сделка","любой способ"))))</f>
        <v>почасовка</v>
      </c>
      <c r="S2368">
        <v>0</v>
      </c>
      <c r="T2368">
        <v>0</v>
      </c>
    </row>
    <row r="2369" spans="1:20" x14ac:dyDescent="0.25">
      <c r="A2369" s="13" t="s">
        <v>4742</v>
      </c>
      <c r="B2369" s="13" t="s">
        <v>4743</v>
      </c>
      <c r="C2369" s="13" t="s">
        <v>4727</v>
      </c>
      <c r="D2369" s="13" t="s">
        <v>545</v>
      </c>
      <c r="E2369" s="13" t="str">
        <f>IFERROR(INDEX('Почасовка — ставки и план'!$B$5:$B$24,MATCH(D2369,'Почасовка — ставки и план'!$A$5:$A$24,0)),"Аренда техники / механизмы")</f>
        <v>Сервисный инженер ворот и автоматики</v>
      </c>
      <c r="F2369" s="14">
        <v>500</v>
      </c>
      <c r="G2369" s="14">
        <v>600</v>
      </c>
      <c r="H2369" s="15">
        <v>300</v>
      </c>
      <c r="I2369" s="15">
        <f>IF(OR(H2369="",F2369=""),"",MAX(H2369,MIN(ROUND(H2369*(1+Параметры!$B$5),IF(H2369*(1+Параметры!$B$5)&gt;=1000,-1,0)),ROUND(F2369*Параметры!$B$6,IF(F2369*Параметры!$B$6&gt;=1000,-1,0)))))</f>
        <v>345</v>
      </c>
      <c r="J2369" s="15">
        <v>360</v>
      </c>
      <c r="K2369" s="15">
        <f>IF(OR(J2369="",G2369=""),"",MAX(J2369,MIN(ROUND(J2369*(1+Параметры!$B$5),IF(J2369*(1+Параметры!$B$5)&gt;=1000,-1,0)),ROUND(G2369*Параметры!$B$6,IF(G2369*Параметры!$B$6&gt;=1000,-1,0)))))</f>
        <v>414</v>
      </c>
      <c r="L2369" s="16">
        <v>0.3</v>
      </c>
      <c r="M2369" s="17">
        <f t="shared" si="174"/>
        <v>3.3333333333333335</v>
      </c>
      <c r="N2369" s="17">
        <f>IF(OR(L2369="",L2369=0),"",Параметры!$B$3/L2369)</f>
        <v>26.666666666666668</v>
      </c>
      <c r="O2369" s="15">
        <f>IF(L2369="","",IFERROR(INDEX('Почасовка — ставки и план'!$D$5:$D$24,MATCH($D2369,'Почасовка — ставки и план'!$A$5:$A$24,0)),""))</f>
        <v>1200</v>
      </c>
      <c r="P2369" s="15">
        <f>IF(L2369="","",IFERROR(INDEX('Почасовка — ставки и план'!$E$5:$E$24,MATCH($D2369,'Почасовка — ставки и план'!$A$5:$A$24,0)),""))</f>
        <v>1440</v>
      </c>
      <c r="Q2369" s="15">
        <f t="shared" si="175"/>
        <v>360</v>
      </c>
      <c r="R2369" s="13" t="str">
        <f>IF(D2369="TEX","аренда техники — сделка/счёт",IF(OR(Q2369="",H2369="",H2369=0),"—",IF(Q2369&lt;H2369*(1-Параметры!$B$7),"почасовка",IF(Q2369&gt;H2369*(1+Параметры!$B$7),"сделка","любой способ"))))</f>
        <v>сделка</v>
      </c>
      <c r="S2369">
        <v>0</v>
      </c>
      <c r="T2369">
        <v>0</v>
      </c>
    </row>
    <row r="2370" spans="1:20" x14ac:dyDescent="0.25">
      <c r="A2370" s="13" t="s">
        <v>4744</v>
      </c>
      <c r="B2370" s="13" t="s">
        <v>4745</v>
      </c>
      <c r="C2370" s="13" t="s">
        <v>4727</v>
      </c>
      <c r="D2370" s="13" t="s">
        <v>545</v>
      </c>
      <c r="E2370" s="13" t="str">
        <f>IFERROR(INDEX('Почасовка — ставки и план'!$B$5:$B$24,MATCH(D2370,'Почасовка — ставки и план'!$A$5:$A$24,0)),"Аренда техники / механизмы")</f>
        <v>Сервисный инженер ворот и автоматики</v>
      </c>
      <c r="F2370" s="14">
        <v>800</v>
      </c>
      <c r="G2370" s="14">
        <v>900</v>
      </c>
      <c r="H2370" s="15">
        <v>480</v>
      </c>
      <c r="I2370" s="15">
        <f>IF(OR(H2370="",F2370=""),"",MAX(H2370,MIN(ROUND(H2370*(1+Параметры!$B$5),IF(H2370*(1+Параметры!$B$5)&gt;=1000,-1,0)),ROUND(F2370*Параметры!$B$6,IF(F2370*Параметры!$B$6&gt;=1000,-1,0)))))</f>
        <v>552</v>
      </c>
      <c r="J2370" s="15">
        <v>540</v>
      </c>
      <c r="K2370" s="15">
        <f>IF(OR(J2370="",G2370=""),"",MAX(J2370,MIN(ROUND(J2370*(1+Параметры!$B$5),IF(J2370*(1+Параметры!$B$5)&gt;=1000,-1,0)),ROUND(G2370*Параметры!$B$6,IF(G2370*Параметры!$B$6&gt;=1000,-1,0)))))</f>
        <v>621</v>
      </c>
      <c r="L2370" s="16">
        <v>0.4</v>
      </c>
      <c r="M2370" s="17">
        <f t="shared" si="174"/>
        <v>2.5</v>
      </c>
      <c r="N2370" s="17">
        <f>IF(OR(L2370="",L2370=0),"",Параметры!$B$3/L2370)</f>
        <v>20</v>
      </c>
      <c r="O2370" s="15">
        <f>IF(L2370="","",IFERROR(INDEX('Почасовка — ставки и план'!$D$5:$D$24,MATCH($D2370,'Почасовка — ставки и план'!$A$5:$A$24,0)),""))</f>
        <v>1200</v>
      </c>
      <c r="P2370" s="15">
        <f>IF(L2370="","",IFERROR(INDEX('Почасовка — ставки и план'!$E$5:$E$24,MATCH($D2370,'Почасовка — ставки и план'!$A$5:$A$24,0)),""))</f>
        <v>1440</v>
      </c>
      <c r="Q2370" s="15">
        <f t="shared" si="175"/>
        <v>480</v>
      </c>
      <c r="R2370" s="13" t="str">
        <f>IF(D2370="TEX","аренда техники — сделка/счёт",IF(OR(Q2370="",H2370="",H2370=0),"—",IF(Q2370&lt;H2370*(1-Параметры!$B$7),"почасовка",IF(Q2370&gt;H2370*(1+Параметры!$B$7),"сделка","любой способ"))))</f>
        <v>любой способ</v>
      </c>
      <c r="S2370">
        <v>0</v>
      </c>
      <c r="T2370">
        <v>0</v>
      </c>
    </row>
    <row r="2371" spans="1:20" x14ac:dyDescent="0.25">
      <c r="A2371" s="13" t="s">
        <v>4746</v>
      </c>
      <c r="B2371" s="13" t="s">
        <v>4747</v>
      </c>
      <c r="C2371" s="13" t="s">
        <v>4727</v>
      </c>
      <c r="D2371" s="13" t="s">
        <v>545</v>
      </c>
      <c r="E2371" s="13" t="str">
        <f>IFERROR(INDEX('Почасовка — ставки и план'!$B$5:$B$24,MATCH(D2371,'Почасовка — ставки и план'!$A$5:$A$24,0)),"Аренда техники / механизмы")</f>
        <v>Сервисный инженер ворот и автоматики</v>
      </c>
      <c r="F2371" s="14">
        <v>800</v>
      </c>
      <c r="G2371" s="14">
        <v>900</v>
      </c>
      <c r="H2371" s="15">
        <v>480</v>
      </c>
      <c r="I2371" s="15">
        <f>IF(OR(H2371="",F2371=""),"",MAX(H2371,MIN(ROUND(H2371*(1+Параметры!$B$5),IF(H2371*(1+Параметры!$B$5)&gt;=1000,-1,0)),ROUND(F2371*Параметры!$B$6,IF(F2371*Параметры!$B$6&gt;=1000,-1,0)))))</f>
        <v>552</v>
      </c>
      <c r="J2371" s="15">
        <v>540</v>
      </c>
      <c r="K2371" s="15">
        <f>IF(OR(J2371="",G2371=""),"",MAX(J2371,MIN(ROUND(J2371*(1+Параметры!$B$5),IF(J2371*(1+Параметры!$B$5)&gt;=1000,-1,0)),ROUND(G2371*Параметры!$B$6,IF(G2371*Параметры!$B$6&gt;=1000,-1,0)))))</f>
        <v>621</v>
      </c>
      <c r="L2371" s="16">
        <v>0.4</v>
      </c>
      <c r="M2371" s="17">
        <f t="shared" si="174"/>
        <v>2.5</v>
      </c>
      <c r="N2371" s="17">
        <f>IF(OR(L2371="",L2371=0),"",Параметры!$B$3/L2371)</f>
        <v>20</v>
      </c>
      <c r="O2371" s="15">
        <f>IF(L2371="","",IFERROR(INDEX('Почасовка — ставки и план'!$D$5:$D$24,MATCH($D2371,'Почасовка — ставки и план'!$A$5:$A$24,0)),""))</f>
        <v>1200</v>
      </c>
      <c r="P2371" s="15">
        <f>IF(L2371="","",IFERROR(INDEX('Почасовка — ставки и план'!$E$5:$E$24,MATCH($D2371,'Почасовка — ставки и план'!$A$5:$A$24,0)),""))</f>
        <v>1440</v>
      </c>
      <c r="Q2371" s="15">
        <f t="shared" si="175"/>
        <v>480</v>
      </c>
      <c r="R2371" s="13" t="str">
        <f>IF(D2371="TEX","аренда техники — сделка/счёт",IF(OR(Q2371="",H2371="",H2371=0),"—",IF(Q2371&lt;H2371*(1-Параметры!$B$7),"почасовка",IF(Q2371&gt;H2371*(1+Параметры!$B$7),"сделка","любой способ"))))</f>
        <v>любой способ</v>
      </c>
      <c r="S2371">
        <v>0</v>
      </c>
      <c r="T2371">
        <v>0</v>
      </c>
    </row>
    <row r="2372" spans="1:20" x14ac:dyDescent="0.25">
      <c r="A2372" s="13" t="s">
        <v>4748</v>
      </c>
      <c r="B2372" s="13" t="s">
        <v>4749</v>
      </c>
      <c r="C2372" s="13" t="s">
        <v>4727</v>
      </c>
      <c r="D2372" s="13" t="s">
        <v>545</v>
      </c>
      <c r="E2372" s="13" t="str">
        <f>IFERROR(INDEX('Почасовка — ставки и план'!$B$5:$B$24,MATCH(D2372,'Почасовка — ставки и план'!$A$5:$A$24,0)),"Аренда техники / механизмы")</f>
        <v>Сервисный инженер ворот и автоматики</v>
      </c>
      <c r="F2372" s="14">
        <v>2000</v>
      </c>
      <c r="G2372" s="14">
        <v>2400</v>
      </c>
      <c r="H2372" s="15">
        <v>1200</v>
      </c>
      <c r="I2372" s="15">
        <f>IF(OR(H2372="",F2372=""),"",MAX(H2372,MIN(ROUND(H2372*(1+Параметры!$B$5),IF(H2372*(1+Параметры!$B$5)&gt;=1000,-1,0)),ROUND(F2372*Параметры!$B$6,IF(F2372*Параметры!$B$6&gt;=1000,-1,0)))))</f>
        <v>1380</v>
      </c>
      <c r="J2372" s="15">
        <v>1450</v>
      </c>
      <c r="K2372" s="15">
        <f>IF(OR(J2372="",G2372=""),"",MAX(J2372,MIN(ROUND(J2372*(1+Параметры!$B$5),IF(J2372*(1+Параметры!$B$5)&gt;=1000,-1,0)),ROUND(G2372*Параметры!$B$6,IF(G2372*Параметры!$B$6&gt;=1000,-1,0)))))</f>
        <v>1670</v>
      </c>
      <c r="L2372" s="16">
        <v>0.75</v>
      </c>
      <c r="M2372" s="17">
        <f t="shared" si="174"/>
        <v>1.3333333333333333</v>
      </c>
      <c r="N2372" s="17">
        <f>IF(OR(L2372="",L2372=0),"",Параметры!$B$3/L2372)</f>
        <v>10.666666666666666</v>
      </c>
      <c r="O2372" s="15">
        <f>IF(L2372="","",IFERROR(INDEX('Почасовка — ставки и план'!$D$5:$D$24,MATCH($D2372,'Почасовка — ставки и план'!$A$5:$A$24,0)),""))</f>
        <v>1200</v>
      </c>
      <c r="P2372" s="15">
        <f>IF(L2372="","",IFERROR(INDEX('Почасовка — ставки и план'!$E$5:$E$24,MATCH($D2372,'Почасовка — ставки и план'!$A$5:$A$24,0)),""))</f>
        <v>1440</v>
      </c>
      <c r="Q2372" s="15">
        <f t="shared" si="175"/>
        <v>900</v>
      </c>
      <c r="R2372" s="13" t="str">
        <f>IF(D2372="TEX","аренда техники — сделка/счёт",IF(OR(Q2372="",H2372="",H2372=0),"—",IF(Q2372&lt;H2372*(1-Параметры!$B$7),"почасовка",IF(Q2372&gt;H2372*(1+Параметры!$B$7),"сделка","любой способ"))))</f>
        <v>почасовка</v>
      </c>
      <c r="S2372">
        <v>0</v>
      </c>
      <c r="T2372">
        <v>0</v>
      </c>
    </row>
    <row r="2373" spans="1:20" x14ac:dyDescent="0.25">
      <c r="A2373" s="13" t="s">
        <v>4750</v>
      </c>
      <c r="B2373" s="13" t="s">
        <v>4751</v>
      </c>
      <c r="C2373" s="13" t="s">
        <v>4727</v>
      </c>
      <c r="D2373" s="13" t="s">
        <v>545</v>
      </c>
      <c r="E2373" s="13" t="str">
        <f>IFERROR(INDEX('Почасовка — ставки и план'!$B$5:$B$24,MATCH(D2373,'Почасовка — ставки и план'!$A$5:$A$24,0)),"Аренда техники / механизмы")</f>
        <v>Сервисный инженер ворот и автоматики</v>
      </c>
      <c r="F2373" s="14">
        <v>3000</v>
      </c>
      <c r="G2373" s="14">
        <v>3500</v>
      </c>
      <c r="H2373" s="15">
        <v>1700</v>
      </c>
      <c r="I2373" s="15">
        <f>IF(OR(H2373="",F2373=""),"",MAX(H2373,MIN(ROUND(H2373*(1+Параметры!$B$5),IF(H2373*(1+Параметры!$B$5)&gt;=1000,-1,0)),ROUND(F2373*Параметры!$B$6,IF(F2373*Параметры!$B$6&gt;=1000,-1,0)))))</f>
        <v>1960</v>
      </c>
      <c r="J2373" s="15">
        <v>1900</v>
      </c>
      <c r="K2373" s="15">
        <f>IF(OR(J2373="",G2373=""),"",MAX(J2373,MIN(ROUND(J2373*(1+Параметры!$B$5),IF(J2373*(1+Параметры!$B$5)&gt;=1000,-1,0)),ROUND(G2373*Параметры!$B$6,IF(G2373*Параметры!$B$6&gt;=1000,-1,0)))))</f>
        <v>2190</v>
      </c>
      <c r="L2373" s="16">
        <v>1</v>
      </c>
      <c r="M2373" s="17">
        <f t="shared" si="174"/>
        <v>1</v>
      </c>
      <c r="N2373" s="17">
        <f>IF(OR(L2373="",L2373=0),"",Параметры!$B$3/L2373)</f>
        <v>8</v>
      </c>
      <c r="O2373" s="15">
        <f>IF(L2373="","",IFERROR(INDEX('Почасовка — ставки и план'!$D$5:$D$24,MATCH($D2373,'Почасовка — ставки и план'!$A$5:$A$24,0)),""))</f>
        <v>1200</v>
      </c>
      <c r="P2373" s="15">
        <f>IF(L2373="","",IFERROR(INDEX('Почасовка — ставки и план'!$E$5:$E$24,MATCH($D2373,'Почасовка — ставки и план'!$A$5:$A$24,0)),""))</f>
        <v>1440</v>
      </c>
      <c r="Q2373" s="15">
        <f t="shared" si="175"/>
        <v>1200</v>
      </c>
      <c r="R2373" s="13" t="str">
        <f>IF(D2373="TEX","аренда техники — сделка/счёт",IF(OR(Q2373="",H2373="",H2373=0),"—",IF(Q2373&lt;H2373*(1-Параметры!$B$7),"почасовка",IF(Q2373&gt;H2373*(1+Параметры!$B$7),"сделка","любой способ"))))</f>
        <v>почасовка</v>
      </c>
      <c r="S2373">
        <v>0</v>
      </c>
      <c r="T2373">
        <v>0</v>
      </c>
    </row>
    <row r="2374" spans="1:20" x14ac:dyDescent="0.25">
      <c r="A2374" s="13" t="s">
        <v>4752</v>
      </c>
      <c r="B2374" s="13" t="s">
        <v>4753</v>
      </c>
      <c r="C2374" s="13" t="s">
        <v>4727</v>
      </c>
      <c r="D2374" s="13" t="s">
        <v>545</v>
      </c>
      <c r="E2374" s="13" t="str">
        <f>IFERROR(INDEX('Почасовка — ставки и план'!$B$5:$B$24,MATCH(D2374,'Почасовка — ставки и план'!$A$5:$A$24,0)),"Аренда техники / механизмы")</f>
        <v>Сервисный инженер ворот и автоматики</v>
      </c>
      <c r="F2374" s="14">
        <v>4500</v>
      </c>
      <c r="G2374" s="14">
        <v>5000</v>
      </c>
      <c r="H2374" s="15">
        <v>2650</v>
      </c>
      <c r="I2374" s="15">
        <f>IF(OR(H2374="",F2374=""),"",MAX(H2374,MIN(ROUND(H2374*(1+Параметры!$B$5),IF(H2374*(1+Параметры!$B$5)&gt;=1000,-1,0)),ROUND(F2374*Параметры!$B$6,IF(F2374*Параметры!$B$6&gt;=1000,-1,0)))))</f>
        <v>3050</v>
      </c>
      <c r="J2374" s="15">
        <v>3000</v>
      </c>
      <c r="K2374" s="15">
        <f>IF(OR(J2374="",G2374=""),"",MAX(J2374,MIN(ROUND(J2374*(1+Параметры!$B$5),IF(J2374*(1+Параметры!$B$5)&gt;=1000,-1,0)),ROUND(G2374*Параметры!$B$6,IF(G2374*Параметры!$B$6&gt;=1000,-1,0)))))</f>
        <v>3450</v>
      </c>
      <c r="L2374" s="16">
        <v>2</v>
      </c>
      <c r="M2374" s="17">
        <f t="shared" si="174"/>
        <v>0.5</v>
      </c>
      <c r="N2374" s="17">
        <f>IF(OR(L2374="",L2374=0),"",Параметры!$B$3/L2374)</f>
        <v>4</v>
      </c>
      <c r="O2374" s="15">
        <f>IF(L2374="","",IFERROR(INDEX('Почасовка — ставки и план'!$D$5:$D$24,MATCH($D2374,'Почасовка — ставки и план'!$A$5:$A$24,0)),""))</f>
        <v>1200</v>
      </c>
      <c r="P2374" s="15">
        <f>IF(L2374="","",IFERROR(INDEX('Почасовка — ставки и план'!$E$5:$E$24,MATCH($D2374,'Почасовка — ставки и план'!$A$5:$A$24,0)),""))</f>
        <v>1440</v>
      </c>
      <c r="Q2374" s="15">
        <f t="shared" si="175"/>
        <v>2400</v>
      </c>
      <c r="R2374" s="13" t="str">
        <f>IF(D2374="TEX","аренда техники — сделка/счёт",IF(OR(Q2374="",H2374="",H2374=0),"—",IF(Q2374&lt;H2374*(1-Параметры!$B$7),"почасовка",IF(Q2374&gt;H2374*(1+Параметры!$B$7),"сделка","любой способ"))))</f>
        <v>любой способ</v>
      </c>
      <c r="S2374">
        <v>0</v>
      </c>
      <c r="T2374">
        <v>0</v>
      </c>
    </row>
    <row r="2375" spans="1:20" x14ac:dyDescent="0.25">
      <c r="A2375" s="13" t="s">
        <v>4754</v>
      </c>
      <c r="B2375" s="13" t="s">
        <v>4755</v>
      </c>
      <c r="C2375" s="13" t="s">
        <v>4727</v>
      </c>
      <c r="D2375" s="13" t="s">
        <v>545</v>
      </c>
      <c r="E2375" s="13" t="str">
        <f>IFERROR(INDEX('Почасовка — ставки и план'!$B$5:$B$24,MATCH(D2375,'Почасовка — ставки и план'!$A$5:$A$24,0)),"Аренда техники / механизмы")</f>
        <v>Сервисный инженер ворот и автоматики</v>
      </c>
      <c r="F2375" s="14">
        <v>4500</v>
      </c>
      <c r="G2375" s="14">
        <v>5000</v>
      </c>
      <c r="H2375" s="15">
        <v>2650</v>
      </c>
      <c r="I2375" s="15">
        <f>IF(OR(H2375="",F2375=""),"",MAX(H2375,MIN(ROUND(H2375*(1+Параметры!$B$5),IF(H2375*(1+Параметры!$B$5)&gt;=1000,-1,0)),ROUND(F2375*Параметры!$B$6,IF(F2375*Параметры!$B$6&gt;=1000,-1,0)))))</f>
        <v>3050</v>
      </c>
      <c r="J2375" s="15">
        <v>3000</v>
      </c>
      <c r="K2375" s="15">
        <f>IF(OR(J2375="",G2375=""),"",MAX(J2375,MIN(ROUND(J2375*(1+Параметры!$B$5),IF(J2375*(1+Параметры!$B$5)&gt;=1000,-1,0)),ROUND(G2375*Параметры!$B$6,IF(G2375*Параметры!$B$6&gt;=1000,-1,0)))))</f>
        <v>3450</v>
      </c>
      <c r="L2375" s="16">
        <v>2</v>
      </c>
      <c r="M2375" s="17">
        <f t="shared" si="174"/>
        <v>0.5</v>
      </c>
      <c r="N2375" s="17">
        <f>IF(OR(L2375="",L2375=0),"",Параметры!$B$3/L2375)</f>
        <v>4</v>
      </c>
      <c r="O2375" s="15">
        <f>IF(L2375="","",IFERROR(INDEX('Почасовка — ставки и план'!$D$5:$D$24,MATCH($D2375,'Почасовка — ставки и план'!$A$5:$A$24,0)),""))</f>
        <v>1200</v>
      </c>
      <c r="P2375" s="15">
        <f>IF(L2375="","",IFERROR(INDEX('Почасовка — ставки и план'!$E$5:$E$24,MATCH($D2375,'Почасовка — ставки и план'!$A$5:$A$24,0)),""))</f>
        <v>1440</v>
      </c>
      <c r="Q2375" s="15">
        <f t="shared" si="175"/>
        <v>2400</v>
      </c>
      <c r="R2375" s="13" t="str">
        <f>IF(D2375="TEX","аренда техники — сделка/счёт",IF(OR(Q2375="",H2375="",H2375=0),"—",IF(Q2375&lt;H2375*(1-Параметры!$B$7),"почасовка",IF(Q2375&gt;H2375*(1+Параметры!$B$7),"сделка","любой способ"))))</f>
        <v>любой способ</v>
      </c>
      <c r="S2375">
        <v>0</v>
      </c>
      <c r="T2375">
        <v>0</v>
      </c>
    </row>
    <row r="2376" spans="1:20" x14ac:dyDescent="0.25">
      <c r="A2376" s="13" t="s">
        <v>4756</v>
      </c>
      <c r="B2376" s="13" t="s">
        <v>4757</v>
      </c>
      <c r="C2376" s="13" t="s">
        <v>4727</v>
      </c>
      <c r="D2376" s="13" t="s">
        <v>545</v>
      </c>
      <c r="E2376" s="13" t="str">
        <f>IFERROR(INDEX('Почасовка — ставки и план'!$B$5:$B$24,MATCH(D2376,'Почасовка — ставки и план'!$A$5:$A$24,0)),"Аренда техники / механизмы")</f>
        <v>Сервисный инженер ворот и автоматики</v>
      </c>
      <c r="F2376" s="14">
        <v>6000</v>
      </c>
      <c r="G2376" s="14">
        <v>7000</v>
      </c>
      <c r="H2376" s="15">
        <v>3600</v>
      </c>
      <c r="I2376" s="15">
        <f>IF(OR(H2376="",F2376=""),"",MAX(H2376,MIN(ROUND(H2376*(1+Параметры!$B$5),IF(H2376*(1+Параметры!$B$5)&gt;=1000,-1,0)),ROUND(F2376*Параметры!$B$6,IF(F2376*Параметры!$B$6&gt;=1000,-1,0)))))</f>
        <v>4140</v>
      </c>
      <c r="J2376" s="15">
        <v>4200</v>
      </c>
      <c r="K2376" s="15">
        <f>IF(OR(J2376="",G2376=""),"",MAX(J2376,MIN(ROUND(J2376*(1+Параметры!$B$5),IF(J2376*(1+Параметры!$B$5)&gt;=1000,-1,0)),ROUND(G2376*Параметры!$B$6,IF(G2376*Параметры!$B$6&gt;=1000,-1,0)))))</f>
        <v>4830</v>
      </c>
      <c r="L2376" s="16">
        <v>2.5</v>
      </c>
      <c r="M2376" s="17">
        <f t="shared" si="174"/>
        <v>0.4</v>
      </c>
      <c r="N2376" s="17">
        <f>IF(OR(L2376="",L2376=0),"",Параметры!$B$3/L2376)</f>
        <v>3.2</v>
      </c>
      <c r="O2376" s="15">
        <f>IF(L2376="","",IFERROR(INDEX('Почасовка — ставки и план'!$D$5:$D$24,MATCH($D2376,'Почасовка — ставки и план'!$A$5:$A$24,0)),""))</f>
        <v>1200</v>
      </c>
      <c r="P2376" s="15">
        <f>IF(L2376="","",IFERROR(INDEX('Почасовка — ставки и план'!$E$5:$E$24,MATCH($D2376,'Почасовка — ставки и план'!$A$5:$A$24,0)),""))</f>
        <v>1440</v>
      </c>
      <c r="Q2376" s="15">
        <f t="shared" si="175"/>
        <v>3000</v>
      </c>
      <c r="R2376" s="13" t="str">
        <f>IF(D2376="TEX","аренда техники — сделка/счёт",IF(OR(Q2376="",H2376="",H2376=0),"—",IF(Q2376&lt;H2376*(1-Параметры!$B$7),"почасовка",IF(Q2376&gt;H2376*(1+Параметры!$B$7),"сделка","любой способ"))))</f>
        <v>почасовка</v>
      </c>
      <c r="S2376">
        <v>0</v>
      </c>
      <c r="T2376">
        <v>0</v>
      </c>
    </row>
    <row r="2377" spans="1:20" x14ac:dyDescent="0.25">
      <c r="A2377" s="13" t="s">
        <v>4758</v>
      </c>
      <c r="B2377" s="13" t="s">
        <v>4759</v>
      </c>
      <c r="C2377" s="13" t="s">
        <v>4727</v>
      </c>
      <c r="D2377" s="13" t="s">
        <v>545</v>
      </c>
      <c r="E2377" s="13" t="str">
        <f>IFERROR(INDEX('Почасовка — ставки и план'!$B$5:$B$24,MATCH(D2377,'Почасовка — ставки и план'!$A$5:$A$24,0)),"Аренда техники / механизмы")</f>
        <v>Сервисный инженер ворот и автоматики</v>
      </c>
      <c r="F2377" s="14">
        <v>3500</v>
      </c>
      <c r="G2377" s="14">
        <v>4000</v>
      </c>
      <c r="H2377" s="15">
        <v>2150</v>
      </c>
      <c r="I2377" s="15">
        <f>IF(OR(H2377="",F2377=""),"",MAX(H2377,MIN(ROUND(H2377*(1+Параметры!$B$5),IF(H2377*(1+Параметры!$B$5)&gt;=1000,-1,0)),ROUND(F2377*Параметры!$B$6,IF(F2377*Параметры!$B$6&gt;=1000,-1,0)))))</f>
        <v>2470</v>
      </c>
      <c r="J2377" s="15">
        <v>2400</v>
      </c>
      <c r="K2377" s="15">
        <f>IF(OR(J2377="",G2377=""),"",MAX(J2377,MIN(ROUND(J2377*(1+Параметры!$B$5),IF(J2377*(1+Параметры!$B$5)&gt;=1000,-1,0)),ROUND(G2377*Параметры!$B$6,IF(G2377*Параметры!$B$6&gt;=1000,-1,0)))))</f>
        <v>2760</v>
      </c>
      <c r="L2377" s="16">
        <v>1.5</v>
      </c>
      <c r="M2377" s="17">
        <f t="shared" si="174"/>
        <v>0.66666666666666663</v>
      </c>
      <c r="N2377" s="17">
        <f>IF(OR(L2377="",L2377=0),"",Параметры!$B$3/L2377)</f>
        <v>5.333333333333333</v>
      </c>
      <c r="O2377" s="15">
        <f>IF(L2377="","",IFERROR(INDEX('Почасовка — ставки и план'!$D$5:$D$24,MATCH($D2377,'Почасовка — ставки и план'!$A$5:$A$24,0)),""))</f>
        <v>1200</v>
      </c>
      <c r="P2377" s="15">
        <f>IF(L2377="","",IFERROR(INDEX('Почасовка — ставки и план'!$E$5:$E$24,MATCH($D2377,'Почасовка — ставки и план'!$A$5:$A$24,0)),""))</f>
        <v>1440</v>
      </c>
      <c r="Q2377" s="15">
        <f t="shared" si="175"/>
        <v>1800</v>
      </c>
      <c r="R2377" s="13" t="str">
        <f>IF(D2377="TEX","аренда техники — сделка/счёт",IF(OR(Q2377="",H2377="",H2377=0),"—",IF(Q2377&lt;H2377*(1-Параметры!$B$7),"почасовка",IF(Q2377&gt;H2377*(1+Параметры!$B$7),"сделка","любой способ"))))</f>
        <v>почасовка</v>
      </c>
      <c r="S2377">
        <v>0</v>
      </c>
      <c r="T2377">
        <v>0</v>
      </c>
    </row>
    <row r="2378" spans="1:20" x14ac:dyDescent="0.25">
      <c r="A2378" s="13" t="s">
        <v>4760</v>
      </c>
      <c r="B2378" s="13" t="s">
        <v>4761</v>
      </c>
      <c r="C2378" s="13" t="s">
        <v>4727</v>
      </c>
      <c r="D2378" s="13" t="s">
        <v>545</v>
      </c>
      <c r="E2378" s="13" t="str">
        <f>IFERROR(INDEX('Почасовка — ставки и план'!$B$5:$B$24,MATCH(D2378,'Почасовка — ставки и план'!$A$5:$A$24,0)),"Аренда техники / механизмы")</f>
        <v>Сервисный инженер ворот и автоматики</v>
      </c>
      <c r="F2378" s="14">
        <v>1200</v>
      </c>
      <c r="G2378" s="14">
        <v>1400</v>
      </c>
      <c r="H2378" s="15">
        <v>720</v>
      </c>
      <c r="I2378" s="15">
        <f>IF(OR(H2378="",F2378=""),"",MAX(H2378,MIN(ROUND(H2378*(1+Параметры!$B$5),IF(H2378*(1+Параметры!$B$5)&gt;=1000,-1,0)),ROUND(F2378*Параметры!$B$6,IF(F2378*Параметры!$B$6&gt;=1000,-1,0)))))</f>
        <v>828</v>
      </c>
      <c r="J2378" s="15">
        <v>840</v>
      </c>
      <c r="K2378" s="15">
        <f>IF(OR(J2378="",G2378=""),"",MAX(J2378,MIN(ROUND(J2378*(1+Параметры!$B$5),IF(J2378*(1+Параметры!$B$5)&gt;=1000,-1,0)),ROUND(G2378*Параметры!$B$6,IF(G2378*Параметры!$B$6&gt;=1000,-1,0)))))</f>
        <v>966</v>
      </c>
      <c r="L2378" s="16">
        <v>0.5</v>
      </c>
      <c r="M2378" s="17">
        <f t="shared" si="174"/>
        <v>2</v>
      </c>
      <c r="N2378" s="17">
        <f>IF(OR(L2378="",L2378=0),"",Параметры!$B$3/L2378)</f>
        <v>16</v>
      </c>
      <c r="O2378" s="15">
        <f>IF(L2378="","",IFERROR(INDEX('Почасовка — ставки и план'!$D$5:$D$24,MATCH($D2378,'Почасовка — ставки и план'!$A$5:$A$24,0)),""))</f>
        <v>1200</v>
      </c>
      <c r="P2378" s="15">
        <f>IF(L2378="","",IFERROR(INDEX('Почасовка — ставки и план'!$E$5:$E$24,MATCH($D2378,'Почасовка — ставки и план'!$A$5:$A$24,0)),""))</f>
        <v>1440</v>
      </c>
      <c r="Q2378" s="15">
        <f t="shared" si="175"/>
        <v>600</v>
      </c>
      <c r="R2378" s="13" t="str">
        <f>IF(D2378="TEX","аренда техники — сделка/счёт",IF(OR(Q2378="",H2378="",H2378=0),"—",IF(Q2378&lt;H2378*(1-Параметры!$B$7),"почасовка",IF(Q2378&gt;H2378*(1+Параметры!$B$7),"сделка","любой способ"))))</f>
        <v>почасовка</v>
      </c>
      <c r="S2378">
        <v>0</v>
      </c>
      <c r="T2378">
        <v>0</v>
      </c>
    </row>
    <row r="2379" spans="1:20" x14ac:dyDescent="0.25">
      <c r="A2379" s="13" t="s">
        <v>4762</v>
      </c>
      <c r="B2379" s="13" t="s">
        <v>4763</v>
      </c>
      <c r="C2379" s="13" t="s">
        <v>4727</v>
      </c>
      <c r="D2379" s="13" t="s">
        <v>545</v>
      </c>
      <c r="E2379" s="13" t="str">
        <f>IFERROR(INDEX('Почасовка — ставки и план'!$B$5:$B$24,MATCH(D2379,'Почасовка — ставки и план'!$A$5:$A$24,0)),"Аренда техники / механизмы")</f>
        <v>Сервисный инженер ворот и автоматики</v>
      </c>
      <c r="F2379" s="14">
        <v>1800</v>
      </c>
      <c r="G2379" s="14">
        <v>2100</v>
      </c>
      <c r="H2379" s="15">
        <v>1100</v>
      </c>
      <c r="I2379" s="15">
        <f>IF(OR(H2379="",F2379=""),"",MAX(H2379,MIN(ROUND(H2379*(1+Параметры!$B$5),IF(H2379*(1+Параметры!$B$5)&gt;=1000,-1,0)),ROUND(F2379*Параметры!$B$6,IF(F2379*Параметры!$B$6&gt;=1000,-1,0)))))</f>
        <v>1270</v>
      </c>
      <c r="J2379" s="15">
        <v>1250</v>
      </c>
      <c r="K2379" s="15">
        <f>IF(OR(J2379="",G2379=""),"",MAX(J2379,MIN(ROUND(J2379*(1+Параметры!$B$5),IF(J2379*(1+Параметры!$B$5)&gt;=1000,-1,0)),ROUND(G2379*Параметры!$B$6,IF(G2379*Параметры!$B$6&gt;=1000,-1,0)))))</f>
        <v>1440</v>
      </c>
      <c r="L2379" s="16">
        <v>0.75</v>
      </c>
      <c r="M2379" s="17">
        <f t="shared" si="174"/>
        <v>1.3333333333333333</v>
      </c>
      <c r="N2379" s="17">
        <f>IF(OR(L2379="",L2379=0),"",Параметры!$B$3/L2379)</f>
        <v>10.666666666666666</v>
      </c>
      <c r="O2379" s="15">
        <f>IF(L2379="","",IFERROR(INDEX('Почасовка — ставки и план'!$D$5:$D$24,MATCH($D2379,'Почасовка — ставки и план'!$A$5:$A$24,0)),""))</f>
        <v>1200</v>
      </c>
      <c r="P2379" s="15">
        <f>IF(L2379="","",IFERROR(INDEX('Почасовка — ставки и план'!$E$5:$E$24,MATCH($D2379,'Почасовка — ставки и план'!$A$5:$A$24,0)),""))</f>
        <v>1440</v>
      </c>
      <c r="Q2379" s="15">
        <f t="shared" si="175"/>
        <v>900</v>
      </c>
      <c r="R2379" s="13" t="str">
        <f>IF(D2379="TEX","аренда техники — сделка/счёт",IF(OR(Q2379="",H2379="",H2379=0),"—",IF(Q2379&lt;H2379*(1-Параметры!$B$7),"почасовка",IF(Q2379&gt;H2379*(1+Параметры!$B$7),"сделка","любой способ"))))</f>
        <v>почасовка</v>
      </c>
      <c r="S2379">
        <v>0</v>
      </c>
      <c r="T2379">
        <v>0</v>
      </c>
    </row>
    <row r="2380" spans="1:20" x14ac:dyDescent="0.25">
      <c r="A2380" s="13" t="s">
        <v>4764</v>
      </c>
      <c r="B2380" s="13" t="s">
        <v>4765</v>
      </c>
      <c r="C2380" s="13" t="s">
        <v>4727</v>
      </c>
      <c r="D2380" s="13" t="s">
        <v>545</v>
      </c>
      <c r="E2380" s="13" t="str">
        <f>IFERROR(INDEX('Почасовка — ставки и план'!$B$5:$B$24,MATCH(D2380,'Почасовка — ставки и план'!$A$5:$A$24,0)),"Аренда техники / механизмы")</f>
        <v>Сервисный инженер ворот и автоматики</v>
      </c>
      <c r="F2380" s="14">
        <v>2500</v>
      </c>
      <c r="G2380" s="14">
        <v>3000</v>
      </c>
      <c r="H2380" s="15">
        <v>1550</v>
      </c>
      <c r="I2380" s="15">
        <f>IF(OR(H2380="",F2380=""),"",MAX(H2380,MIN(ROUND(H2380*(1+Параметры!$B$5),IF(H2380*(1+Параметры!$B$5)&gt;=1000,-1,0)),ROUND(F2380*Параметры!$B$6,IF(F2380*Параметры!$B$6&gt;=1000,-1,0)))))</f>
        <v>1780</v>
      </c>
      <c r="J2380" s="15">
        <v>1800</v>
      </c>
      <c r="K2380" s="15">
        <f>IF(OR(J2380="",G2380=""),"",MAX(J2380,MIN(ROUND(J2380*(1+Параметры!$B$5),IF(J2380*(1+Параметры!$B$5)&gt;=1000,-1,0)),ROUND(G2380*Параметры!$B$6,IF(G2380*Параметры!$B$6&gt;=1000,-1,0)))))</f>
        <v>2070</v>
      </c>
      <c r="L2380" s="16">
        <v>1</v>
      </c>
      <c r="M2380" s="17">
        <f t="shared" si="174"/>
        <v>1</v>
      </c>
      <c r="N2380" s="17">
        <f>IF(OR(L2380="",L2380=0),"",Параметры!$B$3/L2380)</f>
        <v>8</v>
      </c>
      <c r="O2380" s="15">
        <f>IF(L2380="","",IFERROR(INDEX('Почасовка — ставки и план'!$D$5:$D$24,MATCH($D2380,'Почасовка — ставки и план'!$A$5:$A$24,0)),""))</f>
        <v>1200</v>
      </c>
      <c r="P2380" s="15">
        <f>IF(L2380="","",IFERROR(INDEX('Почасовка — ставки и план'!$E$5:$E$24,MATCH($D2380,'Почасовка — ставки и план'!$A$5:$A$24,0)),""))</f>
        <v>1440</v>
      </c>
      <c r="Q2380" s="15">
        <f t="shared" si="175"/>
        <v>1200</v>
      </c>
      <c r="R2380" s="13" t="str">
        <f>IF(D2380="TEX","аренда техники — сделка/счёт",IF(OR(Q2380="",H2380="",H2380=0),"—",IF(Q2380&lt;H2380*(1-Параметры!$B$7),"почасовка",IF(Q2380&gt;H2380*(1+Параметры!$B$7),"сделка","любой способ"))))</f>
        <v>почасовка</v>
      </c>
      <c r="S2380">
        <v>0</v>
      </c>
      <c r="T2380">
        <v>0</v>
      </c>
    </row>
    <row r="2381" spans="1:20" x14ac:dyDescent="0.25">
      <c r="A2381" s="13" t="s">
        <v>4766</v>
      </c>
      <c r="B2381" s="13" t="s">
        <v>4767</v>
      </c>
      <c r="C2381" s="13" t="s">
        <v>4727</v>
      </c>
      <c r="D2381" s="13" t="s">
        <v>545</v>
      </c>
      <c r="E2381" s="13" t="str">
        <f>IFERROR(INDEX('Почасовка — ставки и план'!$B$5:$B$24,MATCH(D2381,'Почасовка — ставки и план'!$A$5:$A$24,0)),"Аренда техники / механизмы")</f>
        <v>Сервисный инженер ворот и автоматики</v>
      </c>
      <c r="F2381" s="14">
        <v>500</v>
      </c>
      <c r="G2381" s="14">
        <v>600</v>
      </c>
      <c r="H2381" s="15">
        <v>300</v>
      </c>
      <c r="I2381" s="15">
        <f>IF(OR(H2381="",F2381=""),"",MAX(H2381,MIN(ROUND(H2381*(1+Параметры!$B$5),IF(H2381*(1+Параметры!$B$5)&gt;=1000,-1,0)),ROUND(F2381*Параметры!$B$6,IF(F2381*Параметры!$B$6&gt;=1000,-1,0)))))</f>
        <v>345</v>
      </c>
      <c r="J2381" s="15">
        <v>360</v>
      </c>
      <c r="K2381" s="15">
        <f>IF(OR(J2381="",G2381=""),"",MAX(J2381,MIN(ROUND(J2381*(1+Параметры!$B$5),IF(J2381*(1+Параметры!$B$5)&gt;=1000,-1,0)),ROUND(G2381*Параметры!$B$6,IF(G2381*Параметры!$B$6&gt;=1000,-1,0)))))</f>
        <v>414</v>
      </c>
      <c r="L2381" s="16">
        <v>0.3</v>
      </c>
      <c r="M2381" s="17">
        <f t="shared" si="174"/>
        <v>3.3333333333333335</v>
      </c>
      <c r="N2381" s="17">
        <f>IF(OR(L2381="",L2381=0),"",Параметры!$B$3/L2381)</f>
        <v>26.666666666666668</v>
      </c>
      <c r="O2381" s="15">
        <f>IF(L2381="","",IFERROR(INDEX('Почасовка — ставки и план'!$D$5:$D$24,MATCH($D2381,'Почасовка — ставки и план'!$A$5:$A$24,0)),""))</f>
        <v>1200</v>
      </c>
      <c r="P2381" s="15">
        <f>IF(L2381="","",IFERROR(INDEX('Почасовка — ставки и план'!$E$5:$E$24,MATCH($D2381,'Почасовка — ставки и план'!$A$5:$A$24,0)),""))</f>
        <v>1440</v>
      </c>
      <c r="Q2381" s="15">
        <f t="shared" si="175"/>
        <v>360</v>
      </c>
      <c r="R2381" s="13" t="str">
        <f>IF(D2381="TEX","аренда техники — сделка/счёт",IF(OR(Q2381="",H2381="",H2381=0),"—",IF(Q2381&lt;H2381*(1-Параметры!$B$7),"почасовка",IF(Q2381&gt;H2381*(1+Параметры!$B$7),"сделка","любой способ"))))</f>
        <v>сделка</v>
      </c>
      <c r="S2381">
        <v>0</v>
      </c>
      <c r="T2381">
        <v>0</v>
      </c>
    </row>
    <row r="2382" spans="1:20" x14ac:dyDescent="0.25">
      <c r="A2382" s="13" t="s">
        <v>4768</v>
      </c>
      <c r="B2382" s="13" t="s">
        <v>4769</v>
      </c>
      <c r="C2382" s="13" t="s">
        <v>4727</v>
      </c>
      <c r="D2382" s="13" t="s">
        <v>545</v>
      </c>
      <c r="E2382" s="13" t="str">
        <f>IFERROR(INDEX('Почасовка — ставки и план'!$B$5:$B$24,MATCH(D2382,'Почасовка — ставки и план'!$A$5:$A$24,0)),"Аренда техники / механизмы")</f>
        <v>Сервисный инженер ворот и автоматики</v>
      </c>
      <c r="F2382" s="14">
        <v>1200</v>
      </c>
      <c r="G2382" s="14">
        <v>1400</v>
      </c>
      <c r="H2382" s="15">
        <v>720</v>
      </c>
      <c r="I2382" s="15">
        <f>IF(OR(H2382="",F2382=""),"",MAX(H2382,MIN(ROUND(H2382*(1+Параметры!$B$5),IF(H2382*(1+Параметры!$B$5)&gt;=1000,-1,0)),ROUND(F2382*Параметры!$B$6,IF(F2382*Параметры!$B$6&gt;=1000,-1,0)))))</f>
        <v>828</v>
      </c>
      <c r="J2382" s="15">
        <v>840</v>
      </c>
      <c r="K2382" s="15">
        <f>IF(OR(J2382="",G2382=""),"",MAX(J2382,MIN(ROUND(J2382*(1+Параметры!$B$5),IF(J2382*(1+Параметры!$B$5)&gt;=1000,-1,0)),ROUND(G2382*Параметры!$B$6,IF(G2382*Параметры!$B$6&gt;=1000,-1,0)))))</f>
        <v>966</v>
      </c>
      <c r="L2382" s="16">
        <v>0.5</v>
      </c>
      <c r="M2382" s="17">
        <f t="shared" si="174"/>
        <v>2</v>
      </c>
      <c r="N2382" s="17">
        <f>IF(OR(L2382="",L2382=0),"",Параметры!$B$3/L2382)</f>
        <v>16</v>
      </c>
      <c r="O2382" s="15">
        <f>IF(L2382="","",IFERROR(INDEX('Почасовка — ставки и план'!$D$5:$D$24,MATCH($D2382,'Почасовка — ставки и план'!$A$5:$A$24,0)),""))</f>
        <v>1200</v>
      </c>
      <c r="P2382" s="15">
        <f>IF(L2382="","",IFERROR(INDEX('Почасовка — ставки и план'!$E$5:$E$24,MATCH($D2382,'Почасовка — ставки и план'!$A$5:$A$24,0)),""))</f>
        <v>1440</v>
      </c>
      <c r="Q2382" s="15">
        <f t="shared" si="175"/>
        <v>600</v>
      </c>
      <c r="R2382" s="13" t="str">
        <f>IF(D2382="TEX","аренда техники — сделка/счёт",IF(OR(Q2382="",H2382="",H2382=0),"—",IF(Q2382&lt;H2382*(1-Параметры!$B$7),"почасовка",IF(Q2382&gt;H2382*(1+Параметры!$B$7),"сделка","любой способ"))))</f>
        <v>почасовка</v>
      </c>
      <c r="S2382">
        <v>0</v>
      </c>
      <c r="T2382">
        <v>0</v>
      </c>
    </row>
    <row r="2383" spans="1:20" x14ac:dyDescent="0.25">
      <c r="A2383" s="13" t="s">
        <v>4770</v>
      </c>
      <c r="B2383" s="13" t="s">
        <v>4771</v>
      </c>
      <c r="C2383" s="13" t="s">
        <v>4727</v>
      </c>
      <c r="D2383" s="13" t="s">
        <v>545</v>
      </c>
      <c r="E2383" s="13" t="str">
        <f>IFERROR(INDEX('Почасовка — ставки и план'!$B$5:$B$24,MATCH(D2383,'Почасовка — ставки и план'!$A$5:$A$24,0)),"Аренда техники / механизмы")</f>
        <v>Сервисный инженер ворот и автоматики</v>
      </c>
      <c r="F2383" s="14">
        <v>1200</v>
      </c>
      <c r="G2383" s="14">
        <v>1400</v>
      </c>
      <c r="H2383" s="15">
        <v>720</v>
      </c>
      <c r="I2383" s="15">
        <f>IF(OR(H2383="",F2383=""),"",MAX(H2383,MIN(ROUND(H2383*(1+Параметры!$B$5),IF(H2383*(1+Параметры!$B$5)&gt;=1000,-1,0)),ROUND(F2383*Параметры!$B$6,IF(F2383*Параметры!$B$6&gt;=1000,-1,0)))))</f>
        <v>828</v>
      </c>
      <c r="J2383" s="15">
        <v>840</v>
      </c>
      <c r="K2383" s="15">
        <f>IF(OR(J2383="",G2383=""),"",MAX(J2383,MIN(ROUND(J2383*(1+Параметры!$B$5),IF(J2383*(1+Параметры!$B$5)&gt;=1000,-1,0)),ROUND(G2383*Параметры!$B$6,IF(G2383*Параметры!$B$6&gt;=1000,-1,0)))))</f>
        <v>966</v>
      </c>
      <c r="L2383" s="16">
        <v>0.5</v>
      </c>
      <c r="M2383" s="17">
        <f t="shared" si="174"/>
        <v>2</v>
      </c>
      <c r="N2383" s="17">
        <f>IF(OR(L2383="",L2383=0),"",Параметры!$B$3/L2383)</f>
        <v>16</v>
      </c>
      <c r="O2383" s="15">
        <f>IF(L2383="","",IFERROR(INDEX('Почасовка — ставки и план'!$D$5:$D$24,MATCH($D2383,'Почасовка — ставки и план'!$A$5:$A$24,0)),""))</f>
        <v>1200</v>
      </c>
      <c r="P2383" s="15">
        <f>IF(L2383="","",IFERROR(INDEX('Почасовка — ставки и план'!$E$5:$E$24,MATCH($D2383,'Почасовка — ставки и план'!$A$5:$A$24,0)),""))</f>
        <v>1440</v>
      </c>
      <c r="Q2383" s="15">
        <f t="shared" si="175"/>
        <v>600</v>
      </c>
      <c r="R2383" s="13" t="str">
        <f>IF(D2383="TEX","аренда техники — сделка/счёт",IF(OR(Q2383="",H2383="",H2383=0),"—",IF(Q2383&lt;H2383*(1-Параметры!$B$7),"почасовка",IF(Q2383&gt;H2383*(1+Параметры!$B$7),"сделка","любой способ"))))</f>
        <v>почасовка</v>
      </c>
      <c r="S2383">
        <v>0</v>
      </c>
      <c r="T2383">
        <v>0</v>
      </c>
    </row>
    <row r="2384" spans="1:20" x14ac:dyDescent="0.25">
      <c r="A2384" s="13" t="s">
        <v>4772</v>
      </c>
      <c r="B2384" s="13" t="s">
        <v>4773</v>
      </c>
      <c r="C2384" s="13" t="s">
        <v>4727</v>
      </c>
      <c r="D2384" s="13" t="s">
        <v>545</v>
      </c>
      <c r="E2384" s="13" t="str">
        <f>IFERROR(INDEX('Почасовка — ставки и план'!$B$5:$B$24,MATCH(D2384,'Почасовка — ставки и план'!$A$5:$A$24,0)),"Аренда техники / механизмы")</f>
        <v>Сервисный инженер ворот и автоматики</v>
      </c>
      <c r="F2384" s="14">
        <v>1000</v>
      </c>
      <c r="G2384" s="14">
        <v>1150</v>
      </c>
      <c r="H2384" s="15">
        <v>600</v>
      </c>
      <c r="I2384" s="15">
        <f>IF(OR(H2384="",F2384=""),"",MAX(H2384,MIN(ROUND(H2384*(1+Параметры!$B$5),IF(H2384*(1+Параметры!$B$5)&gt;=1000,-1,0)),ROUND(F2384*Параметры!$B$6,IF(F2384*Параметры!$B$6&gt;=1000,-1,0)))))</f>
        <v>690</v>
      </c>
      <c r="J2384" s="15">
        <v>660</v>
      </c>
      <c r="K2384" s="15">
        <f>IF(OR(J2384="",G2384=""),"",MAX(J2384,MIN(ROUND(J2384*(1+Параметры!$B$5),IF(J2384*(1+Параметры!$B$5)&gt;=1000,-1,0)),ROUND(G2384*Параметры!$B$6,IF(G2384*Параметры!$B$6&gt;=1000,-1,0)))))</f>
        <v>759</v>
      </c>
      <c r="L2384" s="16">
        <v>0.5</v>
      </c>
      <c r="M2384" s="17">
        <f t="shared" si="174"/>
        <v>2</v>
      </c>
      <c r="N2384" s="17">
        <f>IF(OR(L2384="",L2384=0),"",Параметры!$B$3/L2384)</f>
        <v>16</v>
      </c>
      <c r="O2384" s="15">
        <f>IF(L2384="","",IFERROR(INDEX('Почасовка — ставки и план'!$D$5:$D$24,MATCH($D2384,'Почасовка — ставки и план'!$A$5:$A$24,0)),""))</f>
        <v>1200</v>
      </c>
      <c r="P2384" s="15">
        <f>IF(L2384="","",IFERROR(INDEX('Почасовка — ставки и план'!$E$5:$E$24,MATCH($D2384,'Почасовка — ставки и план'!$A$5:$A$24,0)),""))</f>
        <v>1440</v>
      </c>
      <c r="Q2384" s="15">
        <f t="shared" si="175"/>
        <v>600</v>
      </c>
      <c r="R2384" s="13" t="str">
        <f>IF(D2384="TEX","аренда техники — сделка/счёт",IF(OR(Q2384="",H2384="",H2384=0),"—",IF(Q2384&lt;H2384*(1-Параметры!$B$7),"почасовка",IF(Q2384&gt;H2384*(1+Параметры!$B$7),"сделка","любой способ"))))</f>
        <v>любой способ</v>
      </c>
      <c r="S2384">
        <v>0</v>
      </c>
      <c r="T2384">
        <v>0</v>
      </c>
    </row>
    <row r="2385" spans="1:20" x14ac:dyDescent="0.25">
      <c r="A2385" s="13" t="s">
        <v>4774</v>
      </c>
      <c r="B2385" s="13" t="s">
        <v>4775</v>
      </c>
      <c r="C2385" s="13" t="s">
        <v>4727</v>
      </c>
      <c r="D2385" s="13" t="s">
        <v>545</v>
      </c>
      <c r="E2385" s="13" t="str">
        <f>IFERROR(INDEX('Почасовка — ставки и план'!$B$5:$B$24,MATCH(D2385,'Почасовка — ставки и план'!$A$5:$A$24,0)),"Аренда техники / механизмы")</f>
        <v>Сервисный инженер ворот и автоматики</v>
      </c>
      <c r="F2385" s="14">
        <v>2000</v>
      </c>
      <c r="G2385" s="14">
        <v>2400</v>
      </c>
      <c r="H2385" s="15">
        <v>1100</v>
      </c>
      <c r="I2385" s="15">
        <f>IF(OR(H2385="",F2385=""),"",MAX(H2385,MIN(ROUND(H2385*(1+Параметры!$B$5),IF(H2385*(1+Параметры!$B$5)&gt;=1000,-1,0)),ROUND(F2385*Параметры!$B$6,IF(F2385*Параметры!$B$6&gt;=1000,-1,0)))))</f>
        <v>1270</v>
      </c>
      <c r="J2385" s="15">
        <v>1250</v>
      </c>
      <c r="K2385" s="15">
        <f>IF(OR(J2385="",G2385=""),"",MAX(J2385,MIN(ROUND(J2385*(1+Параметры!$B$5),IF(J2385*(1+Параметры!$B$5)&gt;=1000,-1,0)),ROUND(G2385*Параметры!$B$6,IF(G2385*Параметры!$B$6&gt;=1000,-1,0)))))</f>
        <v>1440</v>
      </c>
      <c r="L2385" s="16">
        <v>1.25</v>
      </c>
      <c r="M2385" s="17">
        <f t="shared" si="174"/>
        <v>0.8</v>
      </c>
      <c r="N2385" s="17">
        <f>IF(OR(L2385="",L2385=0),"",Параметры!$B$3/L2385)</f>
        <v>6.4</v>
      </c>
      <c r="O2385" s="15">
        <f>IF(L2385="","",IFERROR(INDEX('Почасовка — ставки и план'!$D$5:$D$24,MATCH($D2385,'Почасовка — ставки и план'!$A$5:$A$24,0)),""))</f>
        <v>1200</v>
      </c>
      <c r="P2385" s="15">
        <f>IF(L2385="","",IFERROR(INDEX('Почасовка — ставки и план'!$E$5:$E$24,MATCH($D2385,'Почасовка — ставки и план'!$A$5:$A$24,0)),""))</f>
        <v>1440</v>
      </c>
      <c r="Q2385" s="15">
        <f t="shared" si="175"/>
        <v>1500</v>
      </c>
      <c r="R2385" s="13" t="str">
        <f>IF(D2385="TEX","аренда техники — сделка/счёт",IF(OR(Q2385="",H2385="",H2385=0),"—",IF(Q2385&lt;H2385*(1-Параметры!$B$7),"почасовка",IF(Q2385&gt;H2385*(1+Параметры!$B$7),"сделка","любой способ"))))</f>
        <v>сделка</v>
      </c>
      <c r="S2385">
        <v>0.1111111111111112</v>
      </c>
      <c r="T2385">
        <v>0.14285714285714279</v>
      </c>
    </row>
    <row r="2386" spans="1:20" x14ac:dyDescent="0.25">
      <c r="A2386" s="13" t="s">
        <v>4776</v>
      </c>
      <c r="B2386" s="13" t="s">
        <v>4777</v>
      </c>
      <c r="C2386" s="13" t="s">
        <v>4727</v>
      </c>
      <c r="D2386" s="13" t="s">
        <v>545</v>
      </c>
      <c r="E2386" s="13" t="str">
        <f>IFERROR(INDEX('Почасовка — ставки и план'!$B$5:$B$24,MATCH(D2386,'Почасовка — ставки и план'!$A$5:$A$24,0)),"Аренда техники / механизмы")</f>
        <v>Сервисный инженер ворот и автоматики</v>
      </c>
      <c r="F2386" s="14">
        <v>2500</v>
      </c>
      <c r="G2386" s="14">
        <v>3000</v>
      </c>
      <c r="H2386" s="15">
        <v>1550</v>
      </c>
      <c r="I2386" s="15">
        <f>IF(OR(H2386="",F2386=""),"",MAX(H2386,MIN(ROUND(H2386*(1+Параметры!$B$5),IF(H2386*(1+Параметры!$B$5)&gt;=1000,-1,0)),ROUND(F2386*Параметры!$B$6,IF(F2386*Параметры!$B$6&gt;=1000,-1,0)))))</f>
        <v>1780</v>
      </c>
      <c r="J2386" s="15">
        <v>1800</v>
      </c>
      <c r="K2386" s="15">
        <f>IF(OR(J2386="",G2386=""),"",MAX(J2386,MIN(ROUND(J2386*(1+Параметры!$B$5),IF(J2386*(1+Параметры!$B$5)&gt;=1000,-1,0)),ROUND(G2386*Параметры!$B$6,IF(G2386*Параметры!$B$6&gt;=1000,-1,0)))))</f>
        <v>2070</v>
      </c>
      <c r="L2386" s="16">
        <v>1</v>
      </c>
      <c r="M2386" s="17">
        <f t="shared" si="174"/>
        <v>1</v>
      </c>
      <c r="N2386" s="17">
        <f>IF(OR(L2386="",L2386=0),"",Параметры!$B$3/L2386)</f>
        <v>8</v>
      </c>
      <c r="O2386" s="15">
        <f>IF(L2386="","",IFERROR(INDEX('Почасовка — ставки и план'!$D$5:$D$24,MATCH($D2386,'Почасовка — ставки и план'!$A$5:$A$24,0)),""))</f>
        <v>1200</v>
      </c>
      <c r="P2386" s="15">
        <f>IF(L2386="","",IFERROR(INDEX('Почасовка — ставки и план'!$E$5:$E$24,MATCH($D2386,'Почасовка — ставки и план'!$A$5:$A$24,0)),""))</f>
        <v>1440</v>
      </c>
      <c r="Q2386" s="15">
        <f t="shared" si="175"/>
        <v>1200</v>
      </c>
      <c r="R2386" s="13" t="str">
        <f>IF(D2386="TEX","аренда техники — сделка/счёт",IF(OR(Q2386="",H2386="",H2386=0),"—",IF(Q2386&lt;H2386*(1-Параметры!$B$7),"почасовка",IF(Q2386&gt;H2386*(1+Параметры!$B$7),"сделка","любой способ"))))</f>
        <v>почасовка</v>
      </c>
      <c r="S2386">
        <v>0</v>
      </c>
      <c r="T2386">
        <v>0</v>
      </c>
    </row>
    <row r="2387" spans="1:20" x14ac:dyDescent="0.25">
      <c r="A2387" s="13" t="s">
        <v>4778</v>
      </c>
      <c r="B2387" s="13" t="s">
        <v>4779</v>
      </c>
      <c r="C2387" s="13" t="s">
        <v>4727</v>
      </c>
      <c r="D2387" s="13" t="s">
        <v>545</v>
      </c>
      <c r="E2387" s="13" t="str">
        <f>IFERROR(INDEX('Почасовка — ставки и план'!$B$5:$B$24,MATCH(D2387,'Почасовка — ставки и план'!$A$5:$A$24,0)),"Аренда техники / механизмы")</f>
        <v>Сервисный инженер ворот и автоматики</v>
      </c>
      <c r="F2387" s="14">
        <v>1800</v>
      </c>
      <c r="G2387" s="14">
        <v>2100</v>
      </c>
      <c r="H2387" s="15">
        <v>1100</v>
      </c>
      <c r="I2387" s="15">
        <f>IF(OR(H2387="",F2387=""),"",MAX(H2387,MIN(ROUND(H2387*(1+Параметры!$B$5),IF(H2387*(1+Параметры!$B$5)&gt;=1000,-1,0)),ROUND(F2387*Параметры!$B$6,IF(F2387*Параметры!$B$6&gt;=1000,-1,0)))))</f>
        <v>1270</v>
      </c>
      <c r="J2387" s="15">
        <v>1250</v>
      </c>
      <c r="K2387" s="15">
        <f>IF(OR(J2387="",G2387=""),"",MAX(J2387,MIN(ROUND(J2387*(1+Параметры!$B$5),IF(J2387*(1+Параметры!$B$5)&gt;=1000,-1,0)),ROUND(G2387*Параметры!$B$6,IF(G2387*Параметры!$B$6&gt;=1000,-1,0)))))</f>
        <v>1440</v>
      </c>
      <c r="L2387" s="16">
        <v>0.75</v>
      </c>
      <c r="M2387" s="17">
        <f t="shared" si="174"/>
        <v>1.3333333333333333</v>
      </c>
      <c r="N2387" s="17">
        <f>IF(OR(L2387="",L2387=0),"",Параметры!$B$3/L2387)</f>
        <v>10.666666666666666</v>
      </c>
      <c r="O2387" s="15">
        <f>IF(L2387="","",IFERROR(INDEX('Почасовка — ставки и план'!$D$5:$D$24,MATCH($D2387,'Почасовка — ставки и план'!$A$5:$A$24,0)),""))</f>
        <v>1200</v>
      </c>
      <c r="P2387" s="15">
        <f>IF(L2387="","",IFERROR(INDEX('Почасовка — ставки и план'!$E$5:$E$24,MATCH($D2387,'Почасовка — ставки и план'!$A$5:$A$24,0)),""))</f>
        <v>1440</v>
      </c>
      <c r="Q2387" s="15">
        <f t="shared" si="175"/>
        <v>900</v>
      </c>
      <c r="R2387" s="13" t="str">
        <f>IF(D2387="TEX","аренда техники — сделка/счёт",IF(OR(Q2387="",H2387="",H2387=0),"—",IF(Q2387&lt;H2387*(1-Параметры!$B$7),"почасовка",IF(Q2387&gt;H2387*(1+Параметры!$B$7),"сделка","любой способ"))))</f>
        <v>почасовка</v>
      </c>
      <c r="S2387">
        <v>0</v>
      </c>
      <c r="T2387">
        <v>0</v>
      </c>
    </row>
    <row r="2388" spans="1:20" x14ac:dyDescent="0.25">
      <c r="A2388" s="13" t="s">
        <v>4780</v>
      </c>
      <c r="B2388" s="13" t="s">
        <v>4781</v>
      </c>
      <c r="C2388" s="13" t="s">
        <v>4727</v>
      </c>
      <c r="D2388" s="13" t="s">
        <v>545</v>
      </c>
      <c r="E2388" s="13" t="str">
        <f>IFERROR(INDEX('Почасовка — ставки и план'!$B$5:$B$24,MATCH(D2388,'Почасовка — ставки и план'!$A$5:$A$24,0)),"Аренда техники / механизмы")</f>
        <v>Сервисный инженер ворот и автоматики</v>
      </c>
      <c r="F2388" s="14">
        <v>500</v>
      </c>
      <c r="G2388" s="14">
        <v>600</v>
      </c>
      <c r="H2388" s="15">
        <v>300</v>
      </c>
      <c r="I2388" s="15">
        <f>IF(OR(H2388="",F2388=""),"",MAX(H2388,MIN(ROUND(H2388*(1+Параметры!$B$5),IF(H2388*(1+Параметры!$B$5)&gt;=1000,-1,0)),ROUND(F2388*Параметры!$B$6,IF(F2388*Параметры!$B$6&gt;=1000,-1,0)))))</f>
        <v>345</v>
      </c>
      <c r="J2388" s="15">
        <v>360</v>
      </c>
      <c r="K2388" s="15">
        <f>IF(OR(J2388="",G2388=""),"",MAX(J2388,MIN(ROUND(J2388*(1+Параметры!$B$5),IF(J2388*(1+Параметры!$B$5)&gt;=1000,-1,0)),ROUND(G2388*Параметры!$B$6,IF(G2388*Параметры!$B$6&gt;=1000,-1,0)))))</f>
        <v>414</v>
      </c>
      <c r="L2388" s="16">
        <v>0.25</v>
      </c>
      <c r="M2388" s="17">
        <f t="shared" si="174"/>
        <v>4</v>
      </c>
      <c r="N2388" s="17">
        <f>IF(OR(L2388="",L2388=0),"",Параметры!$B$3/L2388)</f>
        <v>32</v>
      </c>
      <c r="O2388" s="15">
        <f>IF(L2388="","",IFERROR(INDEX('Почасовка — ставки и план'!$D$5:$D$24,MATCH($D2388,'Почасовка — ставки и план'!$A$5:$A$24,0)),""))</f>
        <v>1200</v>
      </c>
      <c r="P2388" s="15">
        <f>IF(L2388="","",IFERROR(INDEX('Почасовка — ставки и план'!$E$5:$E$24,MATCH($D2388,'Почасовка — ставки и план'!$A$5:$A$24,0)),""))</f>
        <v>1440</v>
      </c>
      <c r="Q2388" s="15">
        <f t="shared" si="175"/>
        <v>300</v>
      </c>
      <c r="R2388" s="13" t="str">
        <f>IF(D2388="TEX","аренда техники — сделка/счёт",IF(OR(Q2388="",H2388="",H2388=0),"—",IF(Q2388&lt;H2388*(1-Параметры!$B$7),"почасовка",IF(Q2388&gt;H2388*(1+Параметры!$B$7),"сделка","любой способ"))))</f>
        <v>любой способ</v>
      </c>
      <c r="S2388">
        <v>0</v>
      </c>
      <c r="T2388">
        <v>0</v>
      </c>
    </row>
    <row r="2389" spans="1:20" x14ac:dyDescent="0.25">
      <c r="A2389" s="13" t="s">
        <v>4782</v>
      </c>
      <c r="B2389" s="13" t="s">
        <v>4783</v>
      </c>
      <c r="C2389" s="13" t="s">
        <v>4727</v>
      </c>
      <c r="D2389" s="13" t="s">
        <v>545</v>
      </c>
      <c r="E2389" s="13" t="str">
        <f>IFERROR(INDEX('Почасовка — ставки и план'!$B$5:$B$24,MATCH(D2389,'Почасовка — ставки и план'!$A$5:$A$24,0)),"Аренда техники / механизмы")</f>
        <v>Сервисный инженер ворот и автоматики</v>
      </c>
      <c r="F2389" s="14">
        <v>900</v>
      </c>
      <c r="G2389" s="14">
        <v>1050</v>
      </c>
      <c r="H2389" s="15">
        <v>540</v>
      </c>
      <c r="I2389" s="15">
        <f>IF(OR(H2389="",F2389=""),"",MAX(H2389,MIN(ROUND(H2389*(1+Параметры!$B$5),IF(H2389*(1+Параметры!$B$5)&gt;=1000,-1,0)),ROUND(F2389*Параметры!$B$6,IF(F2389*Параметры!$B$6&gt;=1000,-1,0)))))</f>
        <v>621</v>
      </c>
      <c r="J2389" s="15">
        <v>600</v>
      </c>
      <c r="K2389" s="15">
        <f>IF(OR(J2389="",G2389=""),"",MAX(J2389,MIN(ROUND(J2389*(1+Параметры!$B$5),IF(J2389*(1+Параметры!$B$5)&gt;=1000,-1,0)),ROUND(G2389*Параметры!$B$6,IF(G2389*Параметры!$B$6&gt;=1000,-1,0)))))</f>
        <v>690</v>
      </c>
      <c r="L2389" s="16">
        <v>0.4</v>
      </c>
      <c r="M2389" s="17">
        <f t="shared" si="174"/>
        <v>2.5</v>
      </c>
      <c r="N2389" s="17">
        <f>IF(OR(L2389="",L2389=0),"",Параметры!$B$3/L2389)</f>
        <v>20</v>
      </c>
      <c r="O2389" s="15">
        <f>IF(L2389="","",IFERROR(INDEX('Почасовка — ставки и план'!$D$5:$D$24,MATCH($D2389,'Почасовка — ставки и план'!$A$5:$A$24,0)),""))</f>
        <v>1200</v>
      </c>
      <c r="P2389" s="15">
        <f>IF(L2389="","",IFERROR(INDEX('Почасовка — ставки и план'!$E$5:$E$24,MATCH($D2389,'Почасовка — ставки и план'!$A$5:$A$24,0)),""))</f>
        <v>1440</v>
      </c>
      <c r="Q2389" s="15">
        <f t="shared" si="175"/>
        <v>480</v>
      </c>
      <c r="R2389" s="13" t="str">
        <f>IF(D2389="TEX","аренда техники — сделка/счёт",IF(OR(Q2389="",H2389="",H2389=0),"—",IF(Q2389&lt;H2389*(1-Параметры!$B$7),"почасовка",IF(Q2389&gt;H2389*(1+Параметры!$B$7),"сделка","любой способ"))))</f>
        <v>почасовка</v>
      </c>
      <c r="S2389">
        <v>0</v>
      </c>
      <c r="T2389">
        <v>0</v>
      </c>
    </row>
    <row r="2390" spans="1:20" x14ac:dyDescent="0.25">
      <c r="A2390" s="13" t="s">
        <v>4784</v>
      </c>
      <c r="B2390" s="13" t="s">
        <v>4785</v>
      </c>
      <c r="C2390" s="13" t="s">
        <v>4727</v>
      </c>
      <c r="D2390" s="13" t="s">
        <v>545</v>
      </c>
      <c r="E2390" s="13" t="str">
        <f>IFERROR(INDEX('Почасовка — ставки и план'!$B$5:$B$24,MATCH(D2390,'Почасовка — ставки и план'!$A$5:$A$24,0)),"Аренда техники / механизмы")</f>
        <v>Сервисный инженер ворот и автоматики</v>
      </c>
      <c r="F2390" s="14">
        <v>500</v>
      </c>
      <c r="G2390" s="14">
        <v>600</v>
      </c>
      <c r="H2390" s="15">
        <v>300</v>
      </c>
      <c r="I2390" s="15">
        <f>IF(OR(H2390="",F2390=""),"",MAX(H2390,MIN(ROUND(H2390*(1+Параметры!$B$5),IF(H2390*(1+Параметры!$B$5)&gt;=1000,-1,0)),ROUND(F2390*Параметры!$B$6,IF(F2390*Параметры!$B$6&gt;=1000,-1,0)))))</f>
        <v>345</v>
      </c>
      <c r="J2390" s="15">
        <v>360</v>
      </c>
      <c r="K2390" s="15">
        <f>IF(OR(J2390="",G2390=""),"",MAX(J2390,MIN(ROUND(J2390*(1+Параметры!$B$5),IF(J2390*(1+Параметры!$B$5)&gt;=1000,-1,0)),ROUND(G2390*Параметры!$B$6,IF(G2390*Параметры!$B$6&gt;=1000,-1,0)))))</f>
        <v>414</v>
      </c>
      <c r="L2390" s="16">
        <v>0.25</v>
      </c>
      <c r="M2390" s="17">
        <f t="shared" si="174"/>
        <v>4</v>
      </c>
      <c r="N2390" s="17">
        <f>IF(OR(L2390="",L2390=0),"",Параметры!$B$3/L2390)</f>
        <v>32</v>
      </c>
      <c r="O2390" s="15">
        <f>IF(L2390="","",IFERROR(INDEX('Почасовка — ставки и план'!$D$5:$D$24,MATCH($D2390,'Почасовка — ставки и план'!$A$5:$A$24,0)),""))</f>
        <v>1200</v>
      </c>
      <c r="P2390" s="15">
        <f>IF(L2390="","",IFERROR(INDEX('Почасовка — ставки и план'!$E$5:$E$24,MATCH($D2390,'Почасовка — ставки и план'!$A$5:$A$24,0)),""))</f>
        <v>1440</v>
      </c>
      <c r="Q2390" s="15">
        <f t="shared" si="175"/>
        <v>300</v>
      </c>
      <c r="R2390" s="13" t="str">
        <f>IF(D2390="TEX","аренда техники — сделка/счёт",IF(OR(Q2390="",H2390="",H2390=0),"—",IF(Q2390&lt;H2390*(1-Параметры!$B$7),"почасовка",IF(Q2390&gt;H2390*(1+Параметры!$B$7),"сделка","любой способ"))))</f>
        <v>любой способ</v>
      </c>
      <c r="S2390">
        <v>0</v>
      </c>
      <c r="T2390">
        <v>0</v>
      </c>
    </row>
    <row r="2391" spans="1:20" x14ac:dyDescent="0.25">
      <c r="A2391" s="13" t="s">
        <v>4786</v>
      </c>
      <c r="B2391" s="13" t="s">
        <v>4787</v>
      </c>
      <c r="C2391" s="13" t="s">
        <v>4727</v>
      </c>
      <c r="D2391" s="13" t="s">
        <v>545</v>
      </c>
      <c r="E2391" s="13" t="str">
        <f>IFERROR(INDEX('Почасовка — ставки и план'!$B$5:$B$24,MATCH(D2391,'Почасовка — ставки и план'!$A$5:$A$24,0)),"Аренда техники / механизмы")</f>
        <v>Сервисный инженер ворот и автоматики</v>
      </c>
      <c r="F2391" s="14">
        <v>9000</v>
      </c>
      <c r="G2391" s="14">
        <v>10000</v>
      </c>
      <c r="H2391" s="15">
        <v>5400</v>
      </c>
      <c r="I2391" s="15">
        <f>IF(OR(H2391="",F2391=""),"",MAX(H2391,MIN(ROUND(H2391*(1+Параметры!$B$5),IF(H2391*(1+Параметры!$B$5)&gt;=1000,-1,0)),ROUND(F2391*Параметры!$B$6,IF(F2391*Параметры!$B$6&gt;=1000,-1,0)))))</f>
        <v>6210</v>
      </c>
      <c r="J2391" s="15">
        <v>6000</v>
      </c>
      <c r="K2391" s="15">
        <f>IF(OR(J2391="",G2391=""),"",MAX(J2391,MIN(ROUND(J2391*(1+Параметры!$B$5),IF(J2391*(1+Параметры!$B$5)&gt;=1000,-1,0)),ROUND(G2391*Параметры!$B$6,IF(G2391*Параметры!$B$6&gt;=1000,-1,0)))))</f>
        <v>6900</v>
      </c>
      <c r="L2391" s="16">
        <v>4</v>
      </c>
      <c r="M2391" s="17">
        <f t="shared" si="174"/>
        <v>0.25</v>
      </c>
      <c r="N2391" s="17">
        <f>IF(OR(L2391="",L2391=0),"",Параметры!$B$3/L2391)</f>
        <v>2</v>
      </c>
      <c r="O2391" s="15">
        <f>IF(L2391="","",IFERROR(INDEX('Почасовка — ставки и план'!$D$5:$D$24,MATCH($D2391,'Почасовка — ставки и план'!$A$5:$A$24,0)),""))</f>
        <v>1200</v>
      </c>
      <c r="P2391" s="15">
        <f>IF(L2391="","",IFERROR(INDEX('Почасовка — ставки и план'!$E$5:$E$24,MATCH($D2391,'Почасовка — ставки и план'!$A$5:$A$24,0)),""))</f>
        <v>1440</v>
      </c>
      <c r="Q2391" s="15">
        <f t="shared" si="175"/>
        <v>4800</v>
      </c>
      <c r="R2391" s="13" t="str">
        <f>IF(D2391="TEX","аренда техники — сделка/счёт",IF(OR(Q2391="",H2391="",H2391=0),"—",IF(Q2391&lt;H2391*(1-Параметры!$B$7),"почасовка",IF(Q2391&gt;H2391*(1+Параметры!$B$7),"сделка","любой способ"))))</f>
        <v>почасовка</v>
      </c>
      <c r="S2391">
        <v>0</v>
      </c>
      <c r="T2391">
        <v>0</v>
      </c>
    </row>
    <row r="2392" spans="1:20" x14ac:dyDescent="0.25">
      <c r="A2392" s="13" t="s">
        <v>4788</v>
      </c>
      <c r="B2392" s="13" t="s">
        <v>4789</v>
      </c>
      <c r="C2392" s="13" t="s">
        <v>4727</v>
      </c>
      <c r="D2392" s="13" t="s">
        <v>545</v>
      </c>
      <c r="E2392" s="13" t="str">
        <f>IFERROR(INDEX('Почасовка — ставки и план'!$B$5:$B$24,MATCH(D2392,'Почасовка — ставки и план'!$A$5:$A$24,0)),"Аренда техники / механизмы")</f>
        <v>Сервисный инженер ворот и автоматики</v>
      </c>
      <c r="F2392" s="14">
        <v>9000</v>
      </c>
      <c r="G2392" s="14">
        <v>10000</v>
      </c>
      <c r="H2392" s="15">
        <v>5400</v>
      </c>
      <c r="I2392" s="15">
        <f>IF(OR(H2392="",F2392=""),"",MAX(H2392,MIN(ROUND(H2392*(1+Параметры!$B$5),IF(H2392*(1+Параметры!$B$5)&gt;=1000,-1,0)),ROUND(F2392*Параметры!$B$6,IF(F2392*Параметры!$B$6&gt;=1000,-1,0)))))</f>
        <v>6210</v>
      </c>
      <c r="J2392" s="15">
        <v>6000</v>
      </c>
      <c r="K2392" s="15">
        <f>IF(OR(J2392="",G2392=""),"",MAX(J2392,MIN(ROUND(J2392*(1+Параметры!$B$5),IF(J2392*(1+Параметры!$B$5)&gt;=1000,-1,0)),ROUND(G2392*Параметры!$B$6,IF(G2392*Параметры!$B$6&gt;=1000,-1,0)))))</f>
        <v>6900</v>
      </c>
      <c r="L2392" s="16">
        <v>4</v>
      </c>
      <c r="M2392" s="17">
        <f t="shared" si="174"/>
        <v>0.25</v>
      </c>
      <c r="N2392" s="17">
        <f>IF(OR(L2392="",L2392=0),"",Параметры!$B$3/L2392)</f>
        <v>2</v>
      </c>
      <c r="O2392" s="15">
        <f>IF(L2392="","",IFERROR(INDEX('Почасовка — ставки и план'!$D$5:$D$24,MATCH($D2392,'Почасовка — ставки и план'!$A$5:$A$24,0)),""))</f>
        <v>1200</v>
      </c>
      <c r="P2392" s="15">
        <f>IF(L2392="","",IFERROR(INDEX('Почасовка — ставки и план'!$E$5:$E$24,MATCH($D2392,'Почасовка — ставки и план'!$A$5:$A$24,0)),""))</f>
        <v>1440</v>
      </c>
      <c r="Q2392" s="15">
        <f t="shared" si="175"/>
        <v>4800</v>
      </c>
      <c r="R2392" s="13" t="str">
        <f>IF(D2392="TEX","аренда техники — сделка/счёт",IF(OR(Q2392="",H2392="",H2392=0),"—",IF(Q2392&lt;H2392*(1-Параметры!$B$7),"почасовка",IF(Q2392&gt;H2392*(1+Параметры!$B$7),"сделка","любой способ"))))</f>
        <v>почасовка</v>
      </c>
      <c r="S2392">
        <v>0</v>
      </c>
      <c r="T2392">
        <v>0</v>
      </c>
    </row>
    <row r="2393" spans="1:20" x14ac:dyDescent="0.25">
      <c r="A2393" s="13" t="s">
        <v>4790</v>
      </c>
      <c r="B2393" s="13" t="s">
        <v>4791</v>
      </c>
      <c r="C2393" s="13" t="s">
        <v>4727</v>
      </c>
      <c r="D2393" s="13" t="s">
        <v>545</v>
      </c>
      <c r="E2393" s="13" t="str">
        <f>IFERROR(INDEX('Почасовка — ставки и план'!$B$5:$B$24,MATCH(D2393,'Почасовка — ставки и план'!$A$5:$A$24,0)),"Аренда техники / механизмы")</f>
        <v>Сервисный инженер ворот и автоматики</v>
      </c>
      <c r="F2393" s="14">
        <v>4000</v>
      </c>
      <c r="G2393" s="14">
        <v>4500</v>
      </c>
      <c r="H2393" s="15">
        <v>2400</v>
      </c>
      <c r="I2393" s="15">
        <f>IF(OR(H2393="",F2393=""),"",MAX(H2393,MIN(ROUND(H2393*(1+Параметры!$B$5),IF(H2393*(1+Параметры!$B$5)&gt;=1000,-1,0)),ROUND(F2393*Параметры!$B$6,IF(F2393*Параметры!$B$6&gt;=1000,-1,0)))))</f>
        <v>2760</v>
      </c>
      <c r="J2393" s="15">
        <v>2650</v>
      </c>
      <c r="K2393" s="15">
        <f>IF(OR(J2393="",G2393=""),"",MAX(J2393,MIN(ROUND(J2393*(1+Параметры!$B$5),IF(J2393*(1+Параметры!$B$5)&gt;=1000,-1,0)),ROUND(G2393*Параметры!$B$6,IF(G2393*Параметры!$B$6&gt;=1000,-1,0)))))</f>
        <v>3050</v>
      </c>
      <c r="L2393" s="16">
        <v>2</v>
      </c>
      <c r="M2393" s="17">
        <f t="shared" ref="M2393:M2424" si="176">IF(OR(L2393="",L2393=0),"",1/L2393)</f>
        <v>0.5</v>
      </c>
      <c r="N2393" s="17">
        <f>IF(OR(L2393="",L2393=0),"",Параметры!$B$3/L2393)</f>
        <v>4</v>
      </c>
      <c r="O2393" s="15">
        <f>IF(L2393="","",IFERROR(INDEX('Почасовка — ставки и план'!$D$5:$D$24,MATCH($D2393,'Почасовка — ставки и план'!$A$5:$A$24,0)),""))</f>
        <v>1200</v>
      </c>
      <c r="P2393" s="15">
        <f>IF(L2393="","",IFERROR(INDEX('Почасовка — ставки и план'!$E$5:$E$24,MATCH($D2393,'Почасовка — ставки и план'!$A$5:$A$24,0)),""))</f>
        <v>1440</v>
      </c>
      <c r="Q2393" s="15">
        <f t="shared" ref="Q2393:Q2419" si="177">IF(OR(L2393="",O2393=""),"",ROUND(L2393*O2393,0))</f>
        <v>2400</v>
      </c>
      <c r="R2393" s="13" t="str">
        <f>IF(D2393="TEX","аренда техники — сделка/счёт",IF(OR(Q2393="",H2393="",H2393=0),"—",IF(Q2393&lt;H2393*(1-Параметры!$B$7),"почасовка",IF(Q2393&gt;H2393*(1+Параметры!$B$7),"сделка","любой способ"))))</f>
        <v>любой способ</v>
      </c>
      <c r="S2393">
        <v>0</v>
      </c>
      <c r="T2393">
        <v>0</v>
      </c>
    </row>
    <row r="2394" spans="1:20" x14ac:dyDescent="0.25">
      <c r="A2394" s="13" t="s">
        <v>4792</v>
      </c>
      <c r="B2394" s="13" t="s">
        <v>4793</v>
      </c>
      <c r="C2394" s="13" t="s">
        <v>4727</v>
      </c>
      <c r="D2394" s="13" t="s">
        <v>545</v>
      </c>
      <c r="E2394" s="13" t="str">
        <f>IFERROR(INDEX('Почасовка — ставки и план'!$B$5:$B$24,MATCH(D2394,'Почасовка — ставки и план'!$A$5:$A$24,0)),"Аренда техники / механизмы")</f>
        <v>Сервисный инженер ворот и автоматики</v>
      </c>
      <c r="F2394" s="14">
        <v>4500</v>
      </c>
      <c r="G2394" s="14">
        <v>5000</v>
      </c>
      <c r="H2394" s="15">
        <v>2650</v>
      </c>
      <c r="I2394" s="15">
        <f>IF(OR(H2394="",F2394=""),"",MAX(H2394,MIN(ROUND(H2394*(1+Параметры!$B$5),IF(H2394*(1+Параметры!$B$5)&gt;=1000,-1,0)),ROUND(F2394*Параметры!$B$6,IF(F2394*Параметры!$B$6&gt;=1000,-1,0)))))</f>
        <v>3050</v>
      </c>
      <c r="J2394" s="15">
        <v>3000</v>
      </c>
      <c r="K2394" s="15">
        <f>IF(OR(J2394="",G2394=""),"",MAX(J2394,MIN(ROUND(J2394*(1+Параметры!$B$5),IF(J2394*(1+Параметры!$B$5)&gt;=1000,-1,0)),ROUND(G2394*Параметры!$B$6,IF(G2394*Параметры!$B$6&gt;=1000,-1,0)))))</f>
        <v>3450</v>
      </c>
      <c r="L2394" s="16">
        <v>2</v>
      </c>
      <c r="M2394" s="17">
        <f t="shared" si="176"/>
        <v>0.5</v>
      </c>
      <c r="N2394" s="17">
        <f>IF(OR(L2394="",L2394=0),"",Параметры!$B$3/L2394)</f>
        <v>4</v>
      </c>
      <c r="O2394" s="15">
        <f>IF(L2394="","",IFERROR(INDEX('Почасовка — ставки и план'!$D$5:$D$24,MATCH($D2394,'Почасовка — ставки и план'!$A$5:$A$24,0)),""))</f>
        <v>1200</v>
      </c>
      <c r="P2394" s="15">
        <f>IF(L2394="","",IFERROR(INDEX('Почасовка — ставки и план'!$E$5:$E$24,MATCH($D2394,'Почасовка — ставки и план'!$A$5:$A$24,0)),""))</f>
        <v>1440</v>
      </c>
      <c r="Q2394" s="15">
        <f t="shared" si="177"/>
        <v>2400</v>
      </c>
      <c r="R2394" s="13" t="str">
        <f>IF(D2394="TEX","аренда техники — сделка/счёт",IF(OR(Q2394="",H2394="",H2394=0),"—",IF(Q2394&lt;H2394*(1-Параметры!$B$7),"почасовка",IF(Q2394&gt;H2394*(1+Параметры!$B$7),"сделка","любой способ"))))</f>
        <v>любой способ</v>
      </c>
      <c r="S2394">
        <v>0</v>
      </c>
      <c r="T2394">
        <v>0</v>
      </c>
    </row>
    <row r="2395" spans="1:20" x14ac:dyDescent="0.25">
      <c r="A2395" s="13" t="s">
        <v>4794</v>
      </c>
      <c r="B2395" s="13" t="s">
        <v>4795</v>
      </c>
      <c r="C2395" s="13" t="s">
        <v>4727</v>
      </c>
      <c r="D2395" s="13" t="s">
        <v>545</v>
      </c>
      <c r="E2395" s="13" t="str">
        <f>IFERROR(INDEX('Почасовка — ставки и план'!$B$5:$B$24,MATCH(D2395,'Почасовка — ставки и план'!$A$5:$A$24,0)),"Аренда техники / механизмы")</f>
        <v>Сервисный инженер ворот и автоматики</v>
      </c>
      <c r="F2395" s="14">
        <v>4500</v>
      </c>
      <c r="G2395" s="14">
        <v>5000</v>
      </c>
      <c r="H2395" s="15">
        <v>2650</v>
      </c>
      <c r="I2395" s="15">
        <f>IF(OR(H2395="",F2395=""),"",MAX(H2395,MIN(ROUND(H2395*(1+Параметры!$B$5),IF(H2395*(1+Параметры!$B$5)&gt;=1000,-1,0)),ROUND(F2395*Параметры!$B$6,IF(F2395*Параметры!$B$6&gt;=1000,-1,0)))))</f>
        <v>3050</v>
      </c>
      <c r="J2395" s="15">
        <v>3000</v>
      </c>
      <c r="K2395" s="15">
        <f>IF(OR(J2395="",G2395=""),"",MAX(J2395,MIN(ROUND(J2395*(1+Параметры!$B$5),IF(J2395*(1+Параметры!$B$5)&gt;=1000,-1,0)),ROUND(G2395*Параметры!$B$6,IF(G2395*Параметры!$B$6&gt;=1000,-1,0)))))</f>
        <v>3450</v>
      </c>
      <c r="L2395" s="16">
        <v>1.5</v>
      </c>
      <c r="M2395" s="17">
        <f t="shared" si="176"/>
        <v>0.66666666666666663</v>
      </c>
      <c r="N2395" s="17">
        <f>IF(OR(L2395="",L2395=0),"",Параметры!$B$3/L2395)</f>
        <v>5.333333333333333</v>
      </c>
      <c r="O2395" s="15">
        <f>IF(L2395="","",IFERROR(INDEX('Почасовка — ставки и план'!$D$5:$D$24,MATCH($D2395,'Почасовка — ставки и план'!$A$5:$A$24,0)),""))</f>
        <v>1200</v>
      </c>
      <c r="P2395" s="15">
        <f>IF(L2395="","",IFERROR(INDEX('Почасовка — ставки и план'!$E$5:$E$24,MATCH($D2395,'Почасовка — ставки и план'!$A$5:$A$24,0)),""))</f>
        <v>1440</v>
      </c>
      <c r="Q2395" s="15">
        <f t="shared" si="177"/>
        <v>1800</v>
      </c>
      <c r="R2395" s="13" t="str">
        <f>IF(D2395="TEX","аренда техники — сделка/счёт",IF(OR(Q2395="",H2395="",H2395=0),"—",IF(Q2395&lt;H2395*(1-Параметры!$B$7),"почасовка",IF(Q2395&gt;H2395*(1+Параметры!$B$7),"сделка","любой способ"))))</f>
        <v>почасовка</v>
      </c>
      <c r="S2395">
        <v>0</v>
      </c>
      <c r="T2395">
        <v>0</v>
      </c>
    </row>
    <row r="2396" spans="1:20" x14ac:dyDescent="0.25">
      <c r="A2396" s="13" t="s">
        <v>4796</v>
      </c>
      <c r="B2396" s="13" t="s">
        <v>4797</v>
      </c>
      <c r="C2396" s="13" t="s">
        <v>4727</v>
      </c>
      <c r="D2396" s="13" t="s">
        <v>545</v>
      </c>
      <c r="E2396" s="13" t="str">
        <f>IFERROR(INDEX('Почасовка — ставки и план'!$B$5:$B$24,MATCH(D2396,'Почасовка — ставки и план'!$A$5:$A$24,0)),"Аренда техники / механизмы")</f>
        <v>Сервисный инженер ворот и автоматики</v>
      </c>
      <c r="F2396" s="14">
        <v>500</v>
      </c>
      <c r="G2396" s="14">
        <v>600</v>
      </c>
      <c r="H2396" s="15">
        <v>300</v>
      </c>
      <c r="I2396" s="15">
        <f>IF(OR(H2396="",F2396=""),"",MAX(H2396,MIN(ROUND(H2396*(1+Параметры!$B$5),IF(H2396*(1+Параметры!$B$5)&gt;=1000,-1,0)),ROUND(F2396*Параметры!$B$6,IF(F2396*Параметры!$B$6&gt;=1000,-1,0)))))</f>
        <v>345</v>
      </c>
      <c r="J2396" s="15">
        <v>360</v>
      </c>
      <c r="K2396" s="15">
        <f>IF(OR(J2396="",G2396=""),"",MAX(J2396,MIN(ROUND(J2396*(1+Параметры!$B$5),IF(J2396*(1+Параметры!$B$5)&gt;=1000,-1,0)),ROUND(G2396*Параметры!$B$6,IF(G2396*Параметры!$B$6&gt;=1000,-1,0)))))</f>
        <v>414</v>
      </c>
      <c r="L2396" s="16">
        <v>0.25</v>
      </c>
      <c r="M2396" s="17">
        <f t="shared" si="176"/>
        <v>4</v>
      </c>
      <c r="N2396" s="17">
        <f>IF(OR(L2396="",L2396=0),"",Параметры!$B$3/L2396)</f>
        <v>32</v>
      </c>
      <c r="O2396" s="15">
        <f>IF(L2396="","",IFERROR(INDEX('Почасовка — ставки и план'!$D$5:$D$24,MATCH($D2396,'Почасовка — ставки и план'!$A$5:$A$24,0)),""))</f>
        <v>1200</v>
      </c>
      <c r="P2396" s="15">
        <f>IF(L2396="","",IFERROR(INDEX('Почасовка — ставки и план'!$E$5:$E$24,MATCH($D2396,'Почасовка — ставки и план'!$A$5:$A$24,0)),""))</f>
        <v>1440</v>
      </c>
      <c r="Q2396" s="15">
        <f t="shared" si="177"/>
        <v>300</v>
      </c>
      <c r="R2396" s="13" t="str">
        <f>IF(D2396="TEX","аренда техники — сделка/счёт",IF(OR(Q2396="",H2396="",H2396=0),"—",IF(Q2396&lt;H2396*(1-Параметры!$B$7),"почасовка",IF(Q2396&gt;H2396*(1+Параметры!$B$7),"сделка","любой способ"))))</f>
        <v>любой способ</v>
      </c>
      <c r="S2396">
        <v>0</v>
      </c>
      <c r="T2396">
        <v>0</v>
      </c>
    </row>
    <row r="2397" spans="1:20" x14ac:dyDescent="0.25">
      <c r="A2397" s="13" t="s">
        <v>4798</v>
      </c>
      <c r="B2397" s="13" t="s">
        <v>4799</v>
      </c>
      <c r="C2397" s="13" t="s">
        <v>4727</v>
      </c>
      <c r="D2397" s="13" t="s">
        <v>545</v>
      </c>
      <c r="E2397" s="13" t="str">
        <f>IFERROR(INDEX('Почасовка — ставки и план'!$B$5:$B$24,MATCH(D2397,'Почасовка — ставки и план'!$A$5:$A$24,0)),"Аренда техники / механизмы")</f>
        <v>Сервисный инженер ворот и автоматики</v>
      </c>
      <c r="F2397" s="14">
        <v>6500</v>
      </c>
      <c r="G2397" s="14">
        <v>8000</v>
      </c>
      <c r="H2397" s="15">
        <v>3600</v>
      </c>
      <c r="I2397" s="15">
        <f>IF(OR(H2397="",F2397=""),"",MAX(H2397,MIN(ROUND(H2397*(1+Параметры!$B$5),IF(H2397*(1+Параметры!$B$5)&gt;=1000,-1,0)),ROUND(F2397*Параметры!$B$6,IF(F2397*Параметры!$B$6&gt;=1000,-1,0)))))</f>
        <v>4140</v>
      </c>
      <c r="J2397" s="15">
        <v>4300</v>
      </c>
      <c r="K2397" s="15">
        <f>IF(OR(J2397="",G2397=""),"",MAX(J2397,MIN(ROUND(J2397*(1+Параметры!$B$5),IF(J2397*(1+Параметры!$B$5)&gt;=1000,-1,0)),ROUND(G2397*Параметры!$B$6,IF(G2397*Параметры!$B$6&gt;=1000,-1,0)))))</f>
        <v>4950</v>
      </c>
      <c r="L2397" s="16">
        <v>1.5</v>
      </c>
      <c r="M2397" s="17">
        <f t="shared" si="176"/>
        <v>0.66666666666666663</v>
      </c>
      <c r="N2397" s="17">
        <f>IF(OR(L2397="",L2397=0),"",Параметры!$B$3/L2397)</f>
        <v>5.333333333333333</v>
      </c>
      <c r="O2397" s="15">
        <f>IF(L2397="","",IFERROR(INDEX('Почасовка — ставки и план'!$D$5:$D$24,MATCH($D2397,'Почасовка — ставки и план'!$A$5:$A$24,0)),""))</f>
        <v>1200</v>
      </c>
      <c r="P2397" s="15">
        <f>IF(L2397="","",IFERROR(INDEX('Почасовка — ставки и план'!$E$5:$E$24,MATCH($D2397,'Почасовка — ставки и план'!$A$5:$A$24,0)),""))</f>
        <v>1440</v>
      </c>
      <c r="Q2397" s="15">
        <f t="shared" si="177"/>
        <v>1800</v>
      </c>
      <c r="R2397" s="13" t="str">
        <f>IF(D2397="TEX","аренда техники — сделка/счёт",IF(OR(Q2397="",H2397="",H2397=0),"—",IF(Q2397&lt;H2397*(1-Параметры!$B$7),"почасовка",IF(Q2397&gt;H2397*(1+Параметры!$B$7),"сделка","любой способ"))))</f>
        <v>почасовка</v>
      </c>
      <c r="S2397">
        <v>0</v>
      </c>
      <c r="T2397">
        <v>0</v>
      </c>
    </row>
    <row r="2398" spans="1:20" x14ac:dyDescent="0.25">
      <c r="A2398" s="13" t="s">
        <v>4800</v>
      </c>
      <c r="B2398" s="13" t="s">
        <v>4801</v>
      </c>
      <c r="C2398" s="13" t="s">
        <v>4727</v>
      </c>
      <c r="D2398" s="13" t="s">
        <v>545</v>
      </c>
      <c r="E2398" s="13" t="str">
        <f>IFERROR(INDEX('Почасовка — ставки и план'!$B$5:$B$24,MATCH(D2398,'Почасовка — ставки и план'!$A$5:$A$24,0)),"Аренда техники / механизмы")</f>
        <v>Сервисный инженер ворот и автоматики</v>
      </c>
      <c r="F2398" s="14">
        <v>6500</v>
      </c>
      <c r="G2398" s="14">
        <v>8000</v>
      </c>
      <c r="H2398" s="15">
        <v>3600</v>
      </c>
      <c r="I2398" s="15">
        <f>IF(OR(H2398="",F2398=""),"",MAX(H2398,MIN(ROUND(H2398*(1+Параметры!$B$5),IF(H2398*(1+Параметры!$B$5)&gt;=1000,-1,0)),ROUND(F2398*Параметры!$B$6,IF(F2398*Параметры!$B$6&gt;=1000,-1,0)))))</f>
        <v>4140</v>
      </c>
      <c r="J2398" s="15">
        <v>4300</v>
      </c>
      <c r="K2398" s="15">
        <f>IF(OR(J2398="",G2398=""),"",MAX(J2398,MIN(ROUND(J2398*(1+Параметры!$B$5),IF(J2398*(1+Параметры!$B$5)&gt;=1000,-1,0)),ROUND(G2398*Параметры!$B$6,IF(G2398*Параметры!$B$6&gt;=1000,-1,0)))))</f>
        <v>4950</v>
      </c>
      <c r="L2398" s="16">
        <v>1.5</v>
      </c>
      <c r="M2398" s="17">
        <f t="shared" si="176"/>
        <v>0.66666666666666663</v>
      </c>
      <c r="N2398" s="17">
        <f>IF(OR(L2398="",L2398=0),"",Параметры!$B$3/L2398)</f>
        <v>5.333333333333333</v>
      </c>
      <c r="O2398" s="15">
        <f>IF(L2398="","",IFERROR(INDEX('Почасовка — ставки и план'!$D$5:$D$24,MATCH($D2398,'Почасовка — ставки и план'!$A$5:$A$24,0)),""))</f>
        <v>1200</v>
      </c>
      <c r="P2398" s="15">
        <f>IF(L2398="","",IFERROR(INDEX('Почасовка — ставки и план'!$E$5:$E$24,MATCH($D2398,'Почасовка — ставки и план'!$A$5:$A$24,0)),""))</f>
        <v>1440</v>
      </c>
      <c r="Q2398" s="15">
        <f t="shared" si="177"/>
        <v>1800</v>
      </c>
      <c r="R2398" s="13" t="str">
        <f>IF(D2398="TEX","аренда техники — сделка/счёт",IF(OR(Q2398="",H2398="",H2398=0),"—",IF(Q2398&lt;H2398*(1-Параметры!$B$7),"почасовка",IF(Q2398&gt;H2398*(1+Параметры!$B$7),"сделка","любой способ"))))</f>
        <v>почасовка</v>
      </c>
      <c r="S2398">
        <v>0</v>
      </c>
      <c r="T2398">
        <v>0</v>
      </c>
    </row>
    <row r="2399" spans="1:20" x14ac:dyDescent="0.25">
      <c r="A2399" s="13" t="s">
        <v>4802</v>
      </c>
      <c r="B2399" s="13" t="s">
        <v>4803</v>
      </c>
      <c r="C2399" s="13" t="s">
        <v>4727</v>
      </c>
      <c r="D2399" s="13" t="s">
        <v>545</v>
      </c>
      <c r="E2399" s="13" t="str">
        <f>IFERROR(INDEX('Почасовка — ставки и план'!$B$5:$B$24,MATCH(D2399,'Почасовка — ставки и план'!$A$5:$A$24,0)),"Аренда техники / механизмы")</f>
        <v>Сервисный инженер ворот и автоматики</v>
      </c>
      <c r="F2399" s="14">
        <v>11000</v>
      </c>
      <c r="G2399" s="14">
        <v>14000</v>
      </c>
      <c r="H2399" s="15">
        <v>6600</v>
      </c>
      <c r="I2399" s="15">
        <f>IF(OR(H2399="",F2399=""),"",MAX(H2399,MIN(ROUND(H2399*(1+Параметры!$B$5),IF(H2399*(1+Параметры!$B$5)&gt;=1000,-1,0)),ROUND(F2399*Параметры!$B$6,IF(F2399*Параметры!$B$6&gt;=1000,-1,0)))))</f>
        <v>7590</v>
      </c>
      <c r="J2399" s="15">
        <v>7800</v>
      </c>
      <c r="K2399" s="15">
        <f>IF(OR(J2399="",G2399=""),"",MAX(J2399,MIN(ROUND(J2399*(1+Параметры!$B$5),IF(J2399*(1+Параметры!$B$5)&gt;=1000,-1,0)),ROUND(G2399*Параметры!$B$6,IF(G2399*Параметры!$B$6&gt;=1000,-1,0)))))</f>
        <v>8970</v>
      </c>
      <c r="L2399" s="16">
        <v>3</v>
      </c>
      <c r="M2399" s="17">
        <f t="shared" si="176"/>
        <v>0.33333333333333331</v>
      </c>
      <c r="N2399" s="17">
        <f>IF(OR(L2399="",L2399=0),"",Параметры!$B$3/L2399)</f>
        <v>2.6666666666666665</v>
      </c>
      <c r="O2399" s="15">
        <f>IF(L2399="","",IFERROR(INDEX('Почасовка — ставки и план'!$D$5:$D$24,MATCH($D2399,'Почасовка — ставки и план'!$A$5:$A$24,0)),""))</f>
        <v>1200</v>
      </c>
      <c r="P2399" s="15">
        <f>IF(L2399="","",IFERROR(INDEX('Почасовка — ставки и план'!$E$5:$E$24,MATCH($D2399,'Почасовка — ставки и план'!$A$5:$A$24,0)),""))</f>
        <v>1440</v>
      </c>
      <c r="Q2399" s="15">
        <f t="shared" si="177"/>
        <v>3600</v>
      </c>
      <c r="R2399" s="13" t="str">
        <f>IF(D2399="TEX","аренда техники — сделка/счёт",IF(OR(Q2399="",H2399="",H2399=0),"—",IF(Q2399&lt;H2399*(1-Параметры!$B$7),"почасовка",IF(Q2399&gt;H2399*(1+Параметры!$B$7),"сделка","любой способ"))))</f>
        <v>почасовка</v>
      </c>
      <c r="S2399">
        <v>0</v>
      </c>
      <c r="T2399">
        <v>0</v>
      </c>
    </row>
    <row r="2400" spans="1:20" x14ac:dyDescent="0.25">
      <c r="A2400" s="13" t="s">
        <v>4804</v>
      </c>
      <c r="B2400" s="13" t="s">
        <v>4805</v>
      </c>
      <c r="C2400" s="13" t="s">
        <v>4727</v>
      </c>
      <c r="D2400" s="13" t="s">
        <v>747</v>
      </c>
      <c r="E2400" s="13" t="str">
        <f>IFERROR(INDEX('Почасовка — ставки и план'!$B$5:$B$24,MATCH(D2400,'Почасовка — ставки и план'!$A$5:$A$24,0)),"Аренда техники / механизмы")</f>
        <v>Механик ПС / подъёмников / прессов / доков</v>
      </c>
      <c r="F2400" s="14">
        <v>14000</v>
      </c>
      <c r="G2400" s="14">
        <v>17000</v>
      </c>
      <c r="H2400" s="15">
        <v>8400</v>
      </c>
      <c r="I2400" s="15">
        <f>IF(OR(H2400="",F2400=""),"",MAX(H2400,MIN(ROUND(H2400*(1+Параметры!$B$5),IF(H2400*(1+Параметры!$B$5)&gt;=1000,-1,0)),ROUND(F2400*Параметры!$B$6,IF(F2400*Параметры!$B$6&gt;=1000,-1,0)))))</f>
        <v>9660</v>
      </c>
      <c r="J2400" s="15">
        <v>9600</v>
      </c>
      <c r="K2400" s="15">
        <f>IF(OR(J2400="",G2400=""),"",MAX(J2400,MIN(ROUND(J2400*(1+Параметры!$B$5),IF(J2400*(1+Параметры!$B$5)&gt;=1000,-1,0)),ROUND(G2400*Параметры!$B$6,IF(G2400*Параметры!$B$6&gt;=1000,-1,0)))))</f>
        <v>11040</v>
      </c>
      <c r="L2400" s="16">
        <v>5</v>
      </c>
      <c r="M2400" s="17">
        <f t="shared" si="176"/>
        <v>0.2</v>
      </c>
      <c r="N2400" s="17">
        <f>IF(OR(L2400="",L2400=0),"",Параметры!$B$3/L2400)</f>
        <v>1.6</v>
      </c>
      <c r="O2400" s="15">
        <f>IF(L2400="","",IFERROR(INDEX('Почасовка — ставки и план'!$D$5:$D$24,MATCH($D2400,'Почасовка — ставки и план'!$A$5:$A$24,0)),""))</f>
        <v>1500</v>
      </c>
      <c r="P2400" s="15">
        <f>IF(L2400="","",IFERROR(INDEX('Почасовка — ставки и план'!$E$5:$E$24,MATCH($D2400,'Почасовка — ставки и план'!$A$5:$A$24,0)),""))</f>
        <v>1800</v>
      </c>
      <c r="Q2400" s="15">
        <f t="shared" si="177"/>
        <v>7500</v>
      </c>
      <c r="R2400" s="13" t="str">
        <f>IF(D2400="TEX","аренда техники — сделка/счёт",IF(OR(Q2400="",H2400="",H2400=0),"—",IF(Q2400&lt;H2400*(1-Параметры!$B$7),"почасовка",IF(Q2400&gt;H2400*(1+Параметры!$B$7),"сделка","любой способ"))))</f>
        <v>почасовка</v>
      </c>
      <c r="S2400">
        <v>0</v>
      </c>
      <c r="T2400">
        <v>0</v>
      </c>
    </row>
    <row r="2401" spans="1:20" x14ac:dyDescent="0.25">
      <c r="A2401" s="13" t="s">
        <v>4806</v>
      </c>
      <c r="B2401" s="13" t="s">
        <v>4807</v>
      </c>
      <c r="C2401" s="13" t="s">
        <v>4727</v>
      </c>
      <c r="D2401" s="13" t="s">
        <v>747</v>
      </c>
      <c r="E2401" s="13" t="str">
        <f>IFERROR(INDEX('Почасовка — ставки и план'!$B$5:$B$24,MATCH(D2401,'Почасовка — ставки и план'!$A$5:$A$24,0)),"Аренда техники / механизмы")</f>
        <v>Механик ПС / подъёмников / прессов / доков</v>
      </c>
      <c r="F2401" s="14">
        <v>10000</v>
      </c>
      <c r="G2401" s="14">
        <v>12000</v>
      </c>
      <c r="H2401" s="15">
        <v>6000</v>
      </c>
      <c r="I2401" s="15">
        <f>IF(OR(H2401="",F2401=""),"",MAX(H2401,MIN(ROUND(H2401*(1+Параметры!$B$5),IF(H2401*(1+Параметры!$B$5)&gt;=1000,-1,0)),ROUND(F2401*Параметры!$B$6,IF(F2401*Параметры!$B$6&gt;=1000,-1,0)))))</f>
        <v>6900</v>
      </c>
      <c r="J2401" s="15">
        <v>6950</v>
      </c>
      <c r="K2401" s="15">
        <f>IF(OR(J2401="",G2401=""),"",MAX(J2401,MIN(ROUND(J2401*(1+Параметры!$B$5),IF(J2401*(1+Параметры!$B$5)&gt;=1000,-1,0)),ROUND(G2401*Параметры!$B$6,IF(G2401*Параметры!$B$6&gt;=1000,-1,0)))))</f>
        <v>7990</v>
      </c>
      <c r="L2401" s="16">
        <v>3.5</v>
      </c>
      <c r="M2401" s="17">
        <f t="shared" si="176"/>
        <v>0.2857142857142857</v>
      </c>
      <c r="N2401" s="17">
        <f>IF(OR(L2401="",L2401=0),"",Параметры!$B$3/L2401)</f>
        <v>2.2857142857142856</v>
      </c>
      <c r="O2401" s="15">
        <f>IF(L2401="","",IFERROR(INDEX('Почасовка — ставки и план'!$D$5:$D$24,MATCH($D2401,'Почасовка — ставки и план'!$A$5:$A$24,0)),""))</f>
        <v>1500</v>
      </c>
      <c r="P2401" s="15">
        <f>IF(L2401="","",IFERROR(INDEX('Почасовка — ставки и план'!$E$5:$E$24,MATCH($D2401,'Почасовка — ставки и план'!$A$5:$A$24,0)),""))</f>
        <v>1800</v>
      </c>
      <c r="Q2401" s="15">
        <f t="shared" si="177"/>
        <v>5250</v>
      </c>
      <c r="R2401" s="13" t="str">
        <f>IF(D2401="TEX","аренда техники — сделка/счёт",IF(OR(Q2401="",H2401="",H2401=0),"—",IF(Q2401&lt;H2401*(1-Параметры!$B$7),"почасовка",IF(Q2401&gt;H2401*(1+Параметры!$B$7),"сделка","любой способ"))))</f>
        <v>почасовка</v>
      </c>
      <c r="S2401">
        <v>0</v>
      </c>
      <c r="T2401">
        <v>0</v>
      </c>
    </row>
    <row r="2402" spans="1:20" x14ac:dyDescent="0.25">
      <c r="A2402" s="13" t="s">
        <v>4808</v>
      </c>
      <c r="B2402" s="13" t="s">
        <v>4809</v>
      </c>
      <c r="C2402" s="13" t="s">
        <v>4727</v>
      </c>
      <c r="D2402" s="13" t="s">
        <v>747</v>
      </c>
      <c r="E2402" s="13" t="str">
        <f>IFERROR(INDEX('Почасовка — ставки и план'!$B$5:$B$24,MATCH(D2402,'Почасовка — ставки и план'!$A$5:$A$24,0)),"Аренда техники / механизмы")</f>
        <v>Механик ПС / подъёмников / прессов / доков</v>
      </c>
      <c r="F2402" s="14">
        <v>4000</v>
      </c>
      <c r="G2402" s="14">
        <v>4600</v>
      </c>
      <c r="H2402" s="15">
        <v>2400</v>
      </c>
      <c r="I2402" s="15">
        <f>IF(OR(H2402="",F2402=""),"",MAX(H2402,MIN(ROUND(H2402*(1+Параметры!$B$5),IF(H2402*(1+Параметры!$B$5)&gt;=1000,-1,0)),ROUND(F2402*Параметры!$B$6,IF(F2402*Параметры!$B$6&gt;=1000,-1,0)))))</f>
        <v>2760</v>
      </c>
      <c r="J2402" s="15">
        <v>2750</v>
      </c>
      <c r="K2402" s="15">
        <f>IF(OR(J2402="",G2402=""),"",MAX(J2402,MIN(ROUND(J2402*(1+Параметры!$B$5),IF(J2402*(1+Параметры!$B$5)&gt;=1000,-1,0)),ROUND(G2402*Параметры!$B$6,IF(G2402*Параметры!$B$6&gt;=1000,-1,0)))))</f>
        <v>3160</v>
      </c>
      <c r="L2402" s="16">
        <v>1.5</v>
      </c>
      <c r="M2402" s="17">
        <f t="shared" si="176"/>
        <v>0.66666666666666663</v>
      </c>
      <c r="N2402" s="17">
        <f>IF(OR(L2402="",L2402=0),"",Параметры!$B$3/L2402)</f>
        <v>5.333333333333333</v>
      </c>
      <c r="O2402" s="15">
        <f>IF(L2402="","",IFERROR(INDEX('Почасовка — ставки и план'!$D$5:$D$24,MATCH($D2402,'Почасовка — ставки и план'!$A$5:$A$24,0)),""))</f>
        <v>1500</v>
      </c>
      <c r="P2402" s="15">
        <f>IF(L2402="","",IFERROR(INDEX('Почасовка — ставки и план'!$E$5:$E$24,MATCH($D2402,'Почасовка — ставки и план'!$A$5:$A$24,0)),""))</f>
        <v>1800</v>
      </c>
      <c r="Q2402" s="15">
        <f t="shared" si="177"/>
        <v>2250</v>
      </c>
      <c r="R2402" s="13" t="str">
        <f>IF(D2402="TEX","аренда техники — сделка/счёт",IF(OR(Q2402="",H2402="",H2402=0),"—",IF(Q2402&lt;H2402*(1-Параметры!$B$7),"почасовка",IF(Q2402&gt;H2402*(1+Параметры!$B$7),"сделка","любой способ"))))</f>
        <v>любой способ</v>
      </c>
      <c r="S2402">
        <v>0</v>
      </c>
      <c r="T2402">
        <v>0</v>
      </c>
    </row>
    <row r="2403" spans="1:20" x14ac:dyDescent="0.25">
      <c r="A2403" s="13" t="s">
        <v>4810</v>
      </c>
      <c r="B2403" s="13" t="s">
        <v>4811</v>
      </c>
      <c r="C2403" s="13" t="s">
        <v>4727</v>
      </c>
      <c r="D2403" s="13" t="s">
        <v>747</v>
      </c>
      <c r="E2403" s="13" t="str">
        <f>IFERROR(INDEX('Почасовка — ставки и план'!$B$5:$B$24,MATCH(D2403,'Почасовка — ставки и план'!$A$5:$A$24,0)),"Аренда техники / механизмы")</f>
        <v>Механик ПС / подъёмников / прессов / доков</v>
      </c>
      <c r="F2403" s="14">
        <v>3500</v>
      </c>
      <c r="G2403" s="14">
        <v>4200</v>
      </c>
      <c r="H2403" s="15">
        <v>1800</v>
      </c>
      <c r="I2403" s="15">
        <f>IF(OR(H2403="",F2403=""),"",MAX(H2403,MIN(ROUND(H2403*(1+Параметры!$B$5),IF(H2403*(1+Параметры!$B$5)&gt;=1000,-1,0)),ROUND(F2403*Параметры!$B$6,IF(F2403*Параметры!$B$6&gt;=1000,-1,0)))))</f>
        <v>2070</v>
      </c>
      <c r="J2403" s="15">
        <v>2150</v>
      </c>
      <c r="K2403" s="15">
        <f>IF(OR(J2403="",G2403=""),"",MAX(J2403,MIN(ROUND(J2403*(1+Параметры!$B$5),IF(J2403*(1+Параметры!$B$5)&gt;=1000,-1,0)),ROUND(G2403*Параметры!$B$6,IF(G2403*Параметры!$B$6&gt;=1000,-1,0)))))</f>
        <v>2470</v>
      </c>
      <c r="L2403" s="16">
        <v>1</v>
      </c>
      <c r="M2403" s="17">
        <f t="shared" si="176"/>
        <v>1</v>
      </c>
      <c r="N2403" s="17">
        <f>IF(OR(L2403="",L2403=0),"",Параметры!$B$3/L2403)</f>
        <v>8</v>
      </c>
      <c r="O2403" s="15">
        <f>IF(L2403="","",IFERROR(INDEX('Почасовка — ставки и план'!$D$5:$D$24,MATCH($D2403,'Почасовка — ставки и план'!$A$5:$A$24,0)),""))</f>
        <v>1500</v>
      </c>
      <c r="P2403" s="15">
        <f>IF(L2403="","",IFERROR(INDEX('Почасовка — ставки и план'!$E$5:$E$24,MATCH($D2403,'Почасовка — ставки и план'!$A$5:$A$24,0)),""))</f>
        <v>1800</v>
      </c>
      <c r="Q2403" s="15">
        <f t="shared" si="177"/>
        <v>1500</v>
      </c>
      <c r="R2403" s="13" t="str">
        <f>IF(D2403="TEX","аренда техники — сделка/счёт",IF(OR(Q2403="",H2403="",H2403=0),"—",IF(Q2403&lt;H2403*(1-Параметры!$B$7),"почасовка",IF(Q2403&gt;H2403*(1+Параметры!$B$7),"сделка","любой способ"))))</f>
        <v>почасовка</v>
      </c>
      <c r="S2403">
        <v>0</v>
      </c>
      <c r="T2403">
        <v>0</v>
      </c>
    </row>
    <row r="2404" spans="1:20" x14ac:dyDescent="0.25">
      <c r="A2404" s="13" t="s">
        <v>4812</v>
      </c>
      <c r="B2404" s="13" t="s">
        <v>4813</v>
      </c>
      <c r="C2404" s="13" t="s">
        <v>4727</v>
      </c>
      <c r="D2404" s="13" t="s">
        <v>545</v>
      </c>
      <c r="E2404" s="13" t="str">
        <f>IFERROR(INDEX('Почасовка — ставки и план'!$B$5:$B$24,MATCH(D2404,'Почасовка — ставки и план'!$A$5:$A$24,0)),"Аренда техники / механизмы")</f>
        <v>Сервисный инженер ворот и автоматики</v>
      </c>
      <c r="F2404" s="14">
        <v>600</v>
      </c>
      <c r="G2404" s="14">
        <v>700</v>
      </c>
      <c r="H2404" s="15">
        <v>360</v>
      </c>
      <c r="I2404" s="15">
        <f>IF(OR(H2404="",F2404=""),"",MAX(H2404,MIN(ROUND(H2404*(1+Параметры!$B$5),IF(H2404*(1+Параметры!$B$5)&gt;=1000,-1,0)),ROUND(F2404*Параметры!$B$6,IF(F2404*Параметры!$B$6&gt;=1000,-1,0)))))</f>
        <v>414</v>
      </c>
      <c r="J2404" s="15">
        <v>420</v>
      </c>
      <c r="K2404" s="15">
        <f>IF(OR(J2404="",G2404=""),"",MAX(J2404,MIN(ROUND(J2404*(1+Параметры!$B$5),IF(J2404*(1+Параметры!$B$5)&gt;=1000,-1,0)),ROUND(G2404*Параметры!$B$6,IF(G2404*Параметры!$B$6&gt;=1000,-1,0)))))</f>
        <v>483</v>
      </c>
      <c r="L2404" s="16">
        <v>0.3</v>
      </c>
      <c r="M2404" s="17">
        <f t="shared" si="176"/>
        <v>3.3333333333333335</v>
      </c>
      <c r="N2404" s="17">
        <f>IF(OR(L2404="",L2404=0),"",Параметры!$B$3/L2404)</f>
        <v>26.666666666666668</v>
      </c>
      <c r="O2404" s="15">
        <f>IF(L2404="","",IFERROR(INDEX('Почасовка — ставки и план'!$D$5:$D$24,MATCH($D2404,'Почасовка — ставки и план'!$A$5:$A$24,0)),""))</f>
        <v>1200</v>
      </c>
      <c r="P2404" s="15">
        <f>IF(L2404="","",IFERROR(INDEX('Почасовка — ставки и план'!$E$5:$E$24,MATCH($D2404,'Почасовка — ставки и план'!$A$5:$A$24,0)),""))</f>
        <v>1440</v>
      </c>
      <c r="Q2404" s="15">
        <f t="shared" si="177"/>
        <v>360</v>
      </c>
      <c r="R2404" s="13" t="str">
        <f>IF(D2404="TEX","аренда техники — сделка/счёт",IF(OR(Q2404="",H2404="",H2404=0),"—",IF(Q2404&lt;H2404*(1-Параметры!$B$7),"почасовка",IF(Q2404&gt;H2404*(1+Параметры!$B$7),"сделка","любой способ"))))</f>
        <v>любой способ</v>
      </c>
      <c r="S2404">
        <v>0</v>
      </c>
      <c r="T2404">
        <v>0</v>
      </c>
    </row>
    <row r="2405" spans="1:20" x14ac:dyDescent="0.25">
      <c r="A2405" s="13" t="s">
        <v>4814</v>
      </c>
      <c r="B2405" s="13" t="s">
        <v>4815</v>
      </c>
      <c r="C2405" s="13" t="s">
        <v>4727</v>
      </c>
      <c r="D2405" s="13" t="s">
        <v>545</v>
      </c>
      <c r="E2405" s="13" t="str">
        <f>IFERROR(INDEX('Почасовка — ставки и план'!$B$5:$B$24,MATCH(D2405,'Почасовка — ставки и план'!$A$5:$A$24,0)),"Аренда техники / механизмы")</f>
        <v>Сервисный инженер ворот и автоматики</v>
      </c>
      <c r="F2405" s="14">
        <v>400</v>
      </c>
      <c r="G2405" s="14">
        <v>500</v>
      </c>
      <c r="H2405" s="15">
        <v>240</v>
      </c>
      <c r="I2405" s="15">
        <f>IF(OR(H2405="",F2405=""),"",MAX(H2405,MIN(ROUND(H2405*(1+Параметры!$B$5),IF(H2405*(1+Параметры!$B$5)&gt;=1000,-1,0)),ROUND(F2405*Параметры!$B$6,IF(F2405*Параметры!$B$6&gt;=1000,-1,0)))))</f>
        <v>276</v>
      </c>
      <c r="J2405" s="15">
        <v>300</v>
      </c>
      <c r="K2405" s="15">
        <f>IF(OR(J2405="",G2405=""),"",MAX(J2405,MIN(ROUND(J2405*(1+Параметры!$B$5),IF(J2405*(1+Параметры!$B$5)&gt;=1000,-1,0)),ROUND(G2405*Параметры!$B$6,IF(G2405*Параметры!$B$6&gt;=1000,-1,0)))))</f>
        <v>345</v>
      </c>
      <c r="L2405" s="16">
        <v>0.2</v>
      </c>
      <c r="M2405" s="17">
        <f t="shared" si="176"/>
        <v>5</v>
      </c>
      <c r="N2405" s="17">
        <f>IF(OR(L2405="",L2405=0),"",Параметры!$B$3/L2405)</f>
        <v>40</v>
      </c>
      <c r="O2405" s="15">
        <f>IF(L2405="","",IFERROR(INDEX('Почасовка — ставки и план'!$D$5:$D$24,MATCH($D2405,'Почасовка — ставки и план'!$A$5:$A$24,0)),""))</f>
        <v>1200</v>
      </c>
      <c r="P2405" s="15">
        <f>IF(L2405="","",IFERROR(INDEX('Почасовка — ставки и план'!$E$5:$E$24,MATCH($D2405,'Почасовка — ставки и план'!$A$5:$A$24,0)),""))</f>
        <v>1440</v>
      </c>
      <c r="Q2405" s="15">
        <f t="shared" si="177"/>
        <v>240</v>
      </c>
      <c r="R2405" s="13" t="str">
        <f>IF(D2405="TEX","аренда техники — сделка/счёт",IF(OR(Q2405="",H2405="",H2405=0),"—",IF(Q2405&lt;H2405*(1-Параметры!$B$7),"почасовка",IF(Q2405&gt;H2405*(1+Параметры!$B$7),"сделка","любой способ"))))</f>
        <v>любой способ</v>
      </c>
      <c r="S2405">
        <v>0</v>
      </c>
      <c r="T2405">
        <v>0</v>
      </c>
    </row>
    <row r="2406" spans="1:20" x14ac:dyDescent="0.25">
      <c r="A2406" s="13" t="s">
        <v>4816</v>
      </c>
      <c r="B2406" s="13" t="s">
        <v>4817</v>
      </c>
      <c r="C2406" s="13" t="s">
        <v>4727</v>
      </c>
      <c r="D2406" s="13" t="s">
        <v>545</v>
      </c>
      <c r="E2406" s="13" t="str">
        <f>IFERROR(INDEX('Почасовка — ставки и план'!$B$5:$B$24,MATCH(D2406,'Почасовка — ставки и план'!$A$5:$A$24,0)),"Аренда техники / механизмы")</f>
        <v>Сервисный инженер ворот и автоматики</v>
      </c>
      <c r="F2406" s="14">
        <v>4000</v>
      </c>
      <c r="G2406" s="14">
        <v>4500</v>
      </c>
      <c r="H2406" s="15">
        <v>2400</v>
      </c>
      <c r="I2406" s="15">
        <f>IF(OR(H2406="",F2406=""),"",MAX(H2406,MIN(ROUND(H2406*(1+Параметры!$B$5),IF(H2406*(1+Параметры!$B$5)&gt;=1000,-1,0)),ROUND(F2406*Параметры!$B$6,IF(F2406*Параметры!$B$6&gt;=1000,-1,0)))))</f>
        <v>2760</v>
      </c>
      <c r="J2406" s="15">
        <v>2750</v>
      </c>
      <c r="K2406" s="15">
        <f>IF(OR(J2406="",G2406=""),"",MAX(J2406,MIN(ROUND(J2406*(1+Параметры!$B$5),IF(J2406*(1+Параметры!$B$5)&gt;=1000,-1,0)),ROUND(G2406*Параметры!$B$6,IF(G2406*Параметры!$B$6&gt;=1000,-1,0)))))</f>
        <v>3160</v>
      </c>
      <c r="L2406" s="16">
        <v>1.5</v>
      </c>
      <c r="M2406" s="17">
        <f t="shared" si="176"/>
        <v>0.66666666666666663</v>
      </c>
      <c r="N2406" s="17">
        <f>IF(OR(L2406="",L2406=0),"",Параметры!$B$3/L2406)</f>
        <v>5.333333333333333</v>
      </c>
      <c r="O2406" s="15">
        <f>IF(L2406="","",IFERROR(INDEX('Почасовка — ставки и план'!$D$5:$D$24,MATCH($D2406,'Почасовка — ставки и план'!$A$5:$A$24,0)),""))</f>
        <v>1200</v>
      </c>
      <c r="P2406" s="15">
        <f>IF(L2406="","",IFERROR(INDEX('Почасовка — ставки и план'!$E$5:$E$24,MATCH($D2406,'Почасовка — ставки и план'!$A$5:$A$24,0)),""))</f>
        <v>1440</v>
      </c>
      <c r="Q2406" s="15">
        <f t="shared" si="177"/>
        <v>1800</v>
      </c>
      <c r="R2406" s="13" t="str">
        <f>IF(D2406="TEX","аренда техники — сделка/счёт",IF(OR(Q2406="",H2406="",H2406=0),"—",IF(Q2406&lt;H2406*(1-Параметры!$B$7),"почасовка",IF(Q2406&gt;H2406*(1+Параметры!$B$7),"сделка","любой способ"))))</f>
        <v>почасовка</v>
      </c>
      <c r="S2406">
        <v>0</v>
      </c>
      <c r="T2406">
        <v>0</v>
      </c>
    </row>
    <row r="2407" spans="1:20" x14ac:dyDescent="0.25">
      <c r="A2407" s="18" t="s">
        <v>4818</v>
      </c>
      <c r="B2407" s="13" t="s">
        <v>4819</v>
      </c>
      <c r="C2407" s="13" t="s">
        <v>144</v>
      </c>
      <c r="D2407" s="13" t="s">
        <v>747</v>
      </c>
      <c r="E2407" s="13" t="str">
        <f>IFERROR(INDEX('Почасовка — ставки и план'!$B$5:$B$24,MATCH(D2407,'Почасовка — ставки и план'!$A$5:$A$24,0)),"Аренда техники / механизмы")</f>
        <v>Механик ПС / подъёмников / прессов / доков</v>
      </c>
      <c r="F2407" s="14">
        <v>3500</v>
      </c>
      <c r="G2407" s="14">
        <v>4200</v>
      </c>
      <c r="H2407" s="15">
        <v>2050</v>
      </c>
      <c r="I2407" s="15">
        <f>IF(OR(H2407="",F2407=""),"",MAX(H2407,MIN(ROUND(H2407*(1+Параметры!$B$5),IF(H2407*(1+Параметры!$B$5)&gt;=1000,-1,0)),ROUND(F2407*Параметры!$B$6,IF(F2407*Параметры!$B$6&gt;=1000,-1,0)))))</f>
        <v>2360</v>
      </c>
      <c r="J2407" s="15">
        <v>2400</v>
      </c>
      <c r="K2407" s="15">
        <f>IF(OR(J2407="",G2407=""),"",MAX(J2407,MIN(ROUND(J2407*(1+Параметры!$B$5),IF(J2407*(1+Параметры!$B$5)&gt;=1000,-1,0)),ROUND(G2407*Параметры!$B$6,IF(G2407*Параметры!$B$6&gt;=1000,-1,0)))))</f>
        <v>2760</v>
      </c>
      <c r="L2407" s="16">
        <v>1.5</v>
      </c>
      <c r="M2407" s="17">
        <f t="shared" si="176"/>
        <v>0.66666666666666663</v>
      </c>
      <c r="N2407" s="17">
        <f>IF(OR(L2407="",L2407=0),"",Параметры!$B$3/L2407)</f>
        <v>5.333333333333333</v>
      </c>
      <c r="O2407" s="15">
        <f>IF(L2407="","",IFERROR(INDEX('Почасовка — ставки и план'!$D$5:$D$24,MATCH($D2407,'Почасовка — ставки и план'!$A$5:$A$24,0)),""))</f>
        <v>1500</v>
      </c>
      <c r="P2407" s="15">
        <f>IF(L2407="","",IFERROR(INDEX('Почасовка — ставки и план'!$E$5:$E$24,MATCH($D2407,'Почасовка — ставки и план'!$A$5:$A$24,0)),""))</f>
        <v>1800</v>
      </c>
      <c r="Q2407" s="15">
        <f t="shared" si="177"/>
        <v>2250</v>
      </c>
      <c r="R2407" s="13" t="str">
        <f>IF(D2407="TEX","аренда техники — сделка/счёт",IF(OR(Q2407="",H2407="",H2407=0),"—",IF(Q2407&lt;H2407*(1-Параметры!$B$7),"почасовка",IF(Q2407&gt;H2407*(1+Параметры!$B$7),"сделка","любой способ"))))</f>
        <v>любой способ</v>
      </c>
      <c r="S2407">
        <v>0</v>
      </c>
      <c r="T2407">
        <v>0</v>
      </c>
    </row>
    <row r="2408" spans="1:20" x14ac:dyDescent="0.25">
      <c r="A2408" s="18" t="s">
        <v>4820</v>
      </c>
      <c r="B2408" s="13" t="s">
        <v>4821</v>
      </c>
      <c r="C2408" s="13" t="s">
        <v>144</v>
      </c>
      <c r="D2408" s="13" t="s">
        <v>545</v>
      </c>
      <c r="E2408" s="13" t="str">
        <f>IFERROR(INDEX('Почасовка — ставки и план'!$B$5:$B$24,MATCH(D2408,'Почасовка — ставки и план'!$A$5:$A$24,0)),"Аренда техники / механизмы")</f>
        <v>Сервисный инженер ворот и автоматики</v>
      </c>
      <c r="F2408" s="14">
        <v>3500</v>
      </c>
      <c r="G2408" s="14">
        <v>4200</v>
      </c>
      <c r="H2408" s="15">
        <v>2050</v>
      </c>
      <c r="I2408" s="15">
        <f>IF(OR(H2408="",F2408=""),"",MAX(H2408,MIN(ROUND(H2408*(1+Параметры!$B$5),IF(H2408*(1+Параметры!$B$5)&gt;=1000,-1,0)),ROUND(F2408*Параметры!$B$6,IF(F2408*Параметры!$B$6&gt;=1000,-1,0)))))</f>
        <v>2360</v>
      </c>
      <c r="J2408" s="15">
        <v>2400</v>
      </c>
      <c r="K2408" s="15">
        <f>IF(OR(J2408="",G2408=""),"",MAX(J2408,MIN(ROUND(J2408*(1+Параметры!$B$5),IF(J2408*(1+Параметры!$B$5)&gt;=1000,-1,0)),ROUND(G2408*Параметры!$B$6,IF(G2408*Параметры!$B$6&gt;=1000,-1,0)))))</f>
        <v>2760</v>
      </c>
      <c r="L2408" s="16">
        <v>1.5</v>
      </c>
      <c r="M2408" s="17">
        <f t="shared" si="176"/>
        <v>0.66666666666666663</v>
      </c>
      <c r="N2408" s="17">
        <f>IF(OR(L2408="",L2408=0),"",Параметры!$B$3/L2408)</f>
        <v>5.333333333333333</v>
      </c>
      <c r="O2408" s="15">
        <f>IF(L2408="","",IFERROR(INDEX('Почасовка — ставки и план'!$D$5:$D$24,MATCH($D2408,'Почасовка — ставки и план'!$A$5:$A$24,0)),""))</f>
        <v>1200</v>
      </c>
      <c r="P2408" s="15">
        <f>IF(L2408="","",IFERROR(INDEX('Почасовка — ставки и план'!$E$5:$E$24,MATCH($D2408,'Почасовка — ставки и план'!$A$5:$A$24,0)),""))</f>
        <v>1440</v>
      </c>
      <c r="Q2408" s="15">
        <f t="shared" si="177"/>
        <v>1800</v>
      </c>
      <c r="R2408" s="13" t="str">
        <f>IF(D2408="TEX","аренда техники — сделка/счёт",IF(OR(Q2408="",H2408="",H2408=0),"—",IF(Q2408&lt;H2408*(1-Параметры!$B$7),"почасовка",IF(Q2408&gt;H2408*(1+Параметры!$B$7),"сделка","любой способ"))))</f>
        <v>почасовка</v>
      </c>
      <c r="S2408">
        <v>0</v>
      </c>
      <c r="T2408">
        <v>0</v>
      </c>
    </row>
    <row r="2409" spans="1:20" x14ac:dyDescent="0.25">
      <c r="A2409" s="18" t="s">
        <v>4822</v>
      </c>
      <c r="B2409" s="13" t="s">
        <v>4823</v>
      </c>
      <c r="C2409" s="13" t="s">
        <v>144</v>
      </c>
      <c r="D2409" s="13" t="s">
        <v>545</v>
      </c>
      <c r="E2409" s="13" t="str">
        <f>IFERROR(INDEX('Почасовка — ставки и план'!$B$5:$B$24,MATCH(D2409,'Почасовка — ставки и план'!$A$5:$A$24,0)),"Аренда техники / механизмы")</f>
        <v>Сервисный инженер ворот и автоматики</v>
      </c>
      <c r="F2409" s="14">
        <v>1200</v>
      </c>
      <c r="G2409" s="14">
        <v>1400</v>
      </c>
      <c r="H2409" s="15">
        <v>720</v>
      </c>
      <c r="I2409" s="15">
        <f>IF(OR(H2409="",F2409=""),"",MAX(H2409,MIN(ROUND(H2409*(1+Параметры!$B$5),IF(H2409*(1+Параметры!$B$5)&gt;=1000,-1,0)),ROUND(F2409*Параметры!$B$6,IF(F2409*Параметры!$B$6&gt;=1000,-1,0)))))</f>
        <v>828</v>
      </c>
      <c r="J2409" s="15">
        <v>840</v>
      </c>
      <c r="K2409" s="15">
        <f>IF(OR(J2409="",G2409=""),"",MAX(J2409,MIN(ROUND(J2409*(1+Параметры!$B$5),IF(J2409*(1+Параметры!$B$5)&gt;=1000,-1,0)),ROUND(G2409*Параметры!$B$6,IF(G2409*Параметры!$B$6&gt;=1000,-1,0)))))</f>
        <v>966</v>
      </c>
      <c r="L2409" s="16">
        <v>0.5</v>
      </c>
      <c r="M2409" s="17">
        <f t="shared" si="176"/>
        <v>2</v>
      </c>
      <c r="N2409" s="17">
        <f>IF(OR(L2409="",L2409=0),"",Параметры!$B$3/L2409)</f>
        <v>16</v>
      </c>
      <c r="O2409" s="15">
        <f>IF(L2409="","",IFERROR(INDEX('Почасовка — ставки и план'!$D$5:$D$24,MATCH($D2409,'Почасовка — ставки и план'!$A$5:$A$24,0)),""))</f>
        <v>1200</v>
      </c>
      <c r="P2409" s="15">
        <f>IF(L2409="","",IFERROR(INDEX('Почасовка — ставки и план'!$E$5:$E$24,MATCH($D2409,'Почасовка — ставки и план'!$A$5:$A$24,0)),""))</f>
        <v>1440</v>
      </c>
      <c r="Q2409" s="15">
        <f t="shared" si="177"/>
        <v>600</v>
      </c>
      <c r="R2409" s="13" t="str">
        <f>IF(D2409="TEX","аренда техники — сделка/счёт",IF(OR(Q2409="",H2409="",H2409=0),"—",IF(Q2409&lt;H2409*(1-Параметры!$B$7),"почасовка",IF(Q2409&gt;H2409*(1+Параметры!$B$7),"сделка","любой способ"))))</f>
        <v>почасовка</v>
      </c>
      <c r="S2409">
        <v>0</v>
      </c>
      <c r="T2409">
        <v>0</v>
      </c>
    </row>
    <row r="2410" spans="1:20" x14ac:dyDescent="0.25">
      <c r="A2410" s="18" t="s">
        <v>4824</v>
      </c>
      <c r="B2410" s="13" t="s">
        <v>4825</v>
      </c>
      <c r="C2410" s="13" t="s">
        <v>144</v>
      </c>
      <c r="D2410" s="13" t="s">
        <v>747</v>
      </c>
      <c r="E2410" s="13" t="str">
        <f>IFERROR(INDEX('Почасовка — ставки и план'!$B$5:$B$24,MATCH(D2410,'Почасовка — ставки и план'!$A$5:$A$24,0)),"Аренда техники / механизмы")</f>
        <v>Механик ПС / подъёмников / прессов / доков</v>
      </c>
      <c r="F2410" s="14">
        <v>22000</v>
      </c>
      <c r="G2410" s="14">
        <v>26000</v>
      </c>
      <c r="H2410" s="15">
        <v>13200</v>
      </c>
      <c r="I2410" s="15">
        <f>IF(OR(H2410="",F2410=""),"",MAX(H2410,MIN(ROUND(H2410*(1+Параметры!$B$5),IF(H2410*(1+Параметры!$B$5)&gt;=1000,-1,0)),ROUND(F2410*Параметры!$B$6,IF(F2410*Параметры!$B$6&gt;=1000,-1,0)))))</f>
        <v>15180</v>
      </c>
      <c r="J2410" s="15">
        <v>15600</v>
      </c>
      <c r="K2410" s="15">
        <f>IF(OR(J2410="",G2410=""),"",MAX(J2410,MIN(ROUND(J2410*(1+Параметры!$B$5),IF(J2410*(1+Параметры!$B$5)&gt;=1000,-1,0)),ROUND(G2410*Параметры!$B$6,IF(G2410*Параметры!$B$6&gt;=1000,-1,0)))))</f>
        <v>17940</v>
      </c>
      <c r="L2410" s="16">
        <v>8</v>
      </c>
      <c r="M2410" s="17">
        <f t="shared" si="176"/>
        <v>0.125</v>
      </c>
      <c r="N2410" s="17">
        <f>IF(OR(L2410="",L2410=0),"",Параметры!$B$3/L2410)</f>
        <v>1</v>
      </c>
      <c r="O2410" s="15">
        <f>IF(L2410="","",IFERROR(INDEX('Почасовка — ставки и план'!$D$5:$D$24,MATCH($D2410,'Почасовка — ставки и план'!$A$5:$A$24,0)),""))</f>
        <v>1500</v>
      </c>
      <c r="P2410" s="15">
        <f>IF(L2410="","",IFERROR(INDEX('Почасовка — ставки и план'!$E$5:$E$24,MATCH($D2410,'Почасовка — ставки и план'!$A$5:$A$24,0)),""))</f>
        <v>1800</v>
      </c>
      <c r="Q2410" s="15">
        <f t="shared" si="177"/>
        <v>12000</v>
      </c>
      <c r="R2410" s="13" t="str">
        <f>IF(D2410="TEX","аренда техники — сделка/счёт",IF(OR(Q2410="",H2410="",H2410=0),"—",IF(Q2410&lt;H2410*(1-Параметры!$B$7),"почасовка",IF(Q2410&gt;H2410*(1+Параметры!$B$7),"сделка","любой способ"))))</f>
        <v>любой способ</v>
      </c>
      <c r="S2410">
        <v>0</v>
      </c>
      <c r="T2410">
        <v>0</v>
      </c>
    </row>
    <row r="2411" spans="1:20" x14ac:dyDescent="0.25">
      <c r="A2411" s="18" t="s">
        <v>4826</v>
      </c>
      <c r="B2411" s="13" t="s">
        <v>4827</v>
      </c>
      <c r="C2411" s="13" t="s">
        <v>756</v>
      </c>
      <c r="D2411" s="13" t="s">
        <v>747</v>
      </c>
      <c r="E2411" s="13" t="str">
        <f>IFERROR(INDEX('Почасовка — ставки и план'!$B$5:$B$24,MATCH(D2411,'Почасовка — ставки и план'!$A$5:$A$24,0)),"Аренда техники / механизмы")</f>
        <v>Механик ПС / подъёмников / прессов / доков</v>
      </c>
      <c r="F2411" s="14">
        <v>11000</v>
      </c>
      <c r="G2411" s="14">
        <v>13000</v>
      </c>
      <c r="H2411" s="15">
        <v>6600</v>
      </c>
      <c r="I2411" s="15">
        <f>IF(OR(H2411="",F2411=""),"",MAX(H2411,MIN(ROUND(H2411*(1+Параметры!$B$5),IF(H2411*(1+Параметры!$B$5)&gt;=1000,-1,0)),ROUND(F2411*Параметры!$B$6,IF(F2411*Параметры!$B$6&gt;=1000,-1,0)))))</f>
        <v>7590</v>
      </c>
      <c r="J2411" s="15">
        <v>7550</v>
      </c>
      <c r="K2411" s="15">
        <f>IF(OR(J2411="",G2411=""),"",MAX(J2411,MIN(ROUND(J2411*(1+Параметры!$B$5),IF(J2411*(1+Параметры!$B$5)&gt;=1000,-1,0)),ROUND(G2411*Параметры!$B$6,IF(G2411*Параметры!$B$6&gt;=1000,-1,0)))))</f>
        <v>8680</v>
      </c>
      <c r="L2411" s="16">
        <v>4</v>
      </c>
      <c r="M2411" s="17">
        <f t="shared" si="176"/>
        <v>0.25</v>
      </c>
      <c r="N2411" s="17">
        <f>IF(OR(L2411="",L2411=0),"",Параметры!$B$3/L2411)</f>
        <v>2</v>
      </c>
      <c r="O2411" s="15">
        <f>IF(L2411="","",IFERROR(INDEX('Почасовка — ставки и план'!$D$5:$D$24,MATCH($D2411,'Почасовка — ставки и план'!$A$5:$A$24,0)),""))</f>
        <v>1500</v>
      </c>
      <c r="P2411" s="15">
        <f>IF(L2411="","",IFERROR(INDEX('Почасовка — ставки и план'!$E$5:$E$24,MATCH($D2411,'Почасовка — ставки и план'!$A$5:$A$24,0)),""))</f>
        <v>1800</v>
      </c>
      <c r="Q2411" s="15">
        <f t="shared" si="177"/>
        <v>6000</v>
      </c>
      <c r="R2411" s="13" t="str">
        <f>IF(D2411="TEX","аренда техники — сделка/счёт",IF(OR(Q2411="",H2411="",H2411=0),"—",IF(Q2411&lt;H2411*(1-Параметры!$B$7),"почасовка",IF(Q2411&gt;H2411*(1+Параметры!$B$7),"сделка","любой способ"))))</f>
        <v>любой способ</v>
      </c>
      <c r="S2411">
        <v>0</v>
      </c>
      <c r="T2411">
        <v>0</v>
      </c>
    </row>
    <row r="2412" spans="1:20" x14ac:dyDescent="0.25">
      <c r="A2412" s="18" t="s">
        <v>4828</v>
      </c>
      <c r="B2412" s="13" t="s">
        <v>4829</v>
      </c>
      <c r="C2412" s="13" t="s">
        <v>756</v>
      </c>
      <c r="D2412" s="13" t="s">
        <v>545</v>
      </c>
      <c r="E2412" s="13" t="str">
        <f>IFERROR(INDEX('Почасовка — ставки и план'!$B$5:$B$24,MATCH(D2412,'Почасовка — ставки и план'!$A$5:$A$24,0)),"Аренда техники / механизмы")</f>
        <v>Сервисный инженер ворот и автоматики</v>
      </c>
      <c r="F2412" s="14">
        <v>10000</v>
      </c>
      <c r="G2412" s="14">
        <v>12000</v>
      </c>
      <c r="H2412" s="15">
        <v>6000</v>
      </c>
      <c r="I2412" s="15">
        <f>IF(OR(H2412="",F2412=""),"",MAX(H2412,MIN(ROUND(H2412*(1+Параметры!$B$5),IF(H2412*(1+Параметры!$B$5)&gt;=1000,-1,0)),ROUND(F2412*Параметры!$B$6,IF(F2412*Параметры!$B$6&gt;=1000,-1,0)))))</f>
        <v>6900</v>
      </c>
      <c r="J2412" s="15">
        <v>6950</v>
      </c>
      <c r="K2412" s="15">
        <f>IF(OR(J2412="",G2412=""),"",MAX(J2412,MIN(ROUND(J2412*(1+Параметры!$B$5),IF(J2412*(1+Параметры!$B$5)&gt;=1000,-1,0)),ROUND(G2412*Параметры!$B$6,IF(G2412*Параметры!$B$6&gt;=1000,-1,0)))))</f>
        <v>7990</v>
      </c>
      <c r="L2412" s="16">
        <v>4</v>
      </c>
      <c r="M2412" s="17">
        <f t="shared" si="176"/>
        <v>0.25</v>
      </c>
      <c r="N2412" s="17">
        <f>IF(OR(L2412="",L2412=0),"",Параметры!$B$3/L2412)</f>
        <v>2</v>
      </c>
      <c r="O2412" s="15">
        <f>IF(L2412="","",IFERROR(INDEX('Почасовка — ставки и план'!$D$5:$D$24,MATCH($D2412,'Почасовка — ставки и план'!$A$5:$A$24,0)),""))</f>
        <v>1200</v>
      </c>
      <c r="P2412" s="15">
        <f>IF(L2412="","",IFERROR(INDEX('Почасовка — ставки и план'!$E$5:$E$24,MATCH($D2412,'Почасовка — ставки и план'!$A$5:$A$24,0)),""))</f>
        <v>1440</v>
      </c>
      <c r="Q2412" s="15">
        <f t="shared" si="177"/>
        <v>4800</v>
      </c>
      <c r="R2412" s="13" t="str">
        <f>IF(D2412="TEX","аренда техники — сделка/счёт",IF(OR(Q2412="",H2412="",H2412=0),"—",IF(Q2412&lt;H2412*(1-Параметры!$B$7),"почасовка",IF(Q2412&gt;H2412*(1+Параметры!$B$7),"сделка","любой способ"))))</f>
        <v>почасовка</v>
      </c>
      <c r="S2412">
        <v>0</v>
      </c>
      <c r="T2412">
        <v>0</v>
      </c>
    </row>
    <row r="2413" spans="1:20" x14ac:dyDescent="0.25">
      <c r="A2413" s="18" t="s">
        <v>4830</v>
      </c>
      <c r="B2413" s="13" t="s">
        <v>4831</v>
      </c>
      <c r="C2413" s="13" t="s">
        <v>144</v>
      </c>
      <c r="D2413" s="13" t="s">
        <v>747</v>
      </c>
      <c r="E2413" s="13" t="str">
        <f>IFERROR(INDEX('Почасовка — ставки и план'!$B$5:$B$24,MATCH(D2413,'Почасовка — ставки и план'!$A$5:$A$24,0)),"Аренда техники / механизмы")</f>
        <v>Механик ПС / подъёмников / прессов / доков</v>
      </c>
      <c r="F2413" s="14">
        <v>9000</v>
      </c>
      <c r="G2413" s="14">
        <v>11000</v>
      </c>
      <c r="H2413" s="15">
        <v>5400</v>
      </c>
      <c r="I2413" s="15">
        <f>IF(OR(H2413="",F2413=""),"",MAX(H2413,MIN(ROUND(H2413*(1+Параметры!$B$5),IF(H2413*(1+Параметры!$B$5)&gt;=1000,-1,0)),ROUND(F2413*Параметры!$B$6,IF(F2413*Параметры!$B$6&gt;=1000,-1,0)))))</f>
        <v>6210</v>
      </c>
      <c r="J2413" s="15">
        <v>6350</v>
      </c>
      <c r="K2413" s="15">
        <f>IF(OR(J2413="",G2413=""),"",MAX(J2413,MIN(ROUND(J2413*(1+Параметры!$B$5),IF(J2413*(1+Параметры!$B$5)&gt;=1000,-1,0)),ROUND(G2413*Параметры!$B$6,IF(G2413*Параметры!$B$6&gt;=1000,-1,0)))))</f>
        <v>7300</v>
      </c>
      <c r="L2413" s="16">
        <v>3</v>
      </c>
      <c r="M2413" s="17">
        <f t="shared" si="176"/>
        <v>0.33333333333333331</v>
      </c>
      <c r="N2413" s="17">
        <f>IF(OR(L2413="",L2413=0),"",Параметры!$B$3/L2413)</f>
        <v>2.6666666666666665</v>
      </c>
      <c r="O2413" s="15">
        <f>IF(L2413="","",IFERROR(INDEX('Почасовка — ставки и план'!$D$5:$D$24,MATCH($D2413,'Почасовка — ставки и план'!$A$5:$A$24,0)),""))</f>
        <v>1500</v>
      </c>
      <c r="P2413" s="15">
        <f>IF(L2413="","",IFERROR(INDEX('Почасовка — ставки и план'!$E$5:$E$24,MATCH($D2413,'Почасовка — ставки и план'!$A$5:$A$24,0)),""))</f>
        <v>1800</v>
      </c>
      <c r="Q2413" s="15">
        <f t="shared" si="177"/>
        <v>4500</v>
      </c>
      <c r="R2413" s="13" t="str">
        <f>IF(D2413="TEX","аренда техники — сделка/счёт",IF(OR(Q2413="",H2413="",H2413=0),"—",IF(Q2413&lt;H2413*(1-Параметры!$B$7),"почасовка",IF(Q2413&gt;H2413*(1+Параметры!$B$7),"сделка","любой способ"))))</f>
        <v>почасовка</v>
      </c>
      <c r="S2413">
        <v>0</v>
      </c>
      <c r="T2413">
        <v>0</v>
      </c>
    </row>
    <row r="2414" spans="1:20" x14ac:dyDescent="0.25">
      <c r="A2414" s="18" t="s">
        <v>4832</v>
      </c>
      <c r="B2414" s="13" t="s">
        <v>4833</v>
      </c>
      <c r="C2414" s="13" t="s">
        <v>144</v>
      </c>
      <c r="D2414" s="13" t="s">
        <v>747</v>
      </c>
      <c r="E2414" s="13" t="str">
        <f>IFERROR(INDEX('Почасовка — ставки и план'!$B$5:$B$24,MATCH(D2414,'Почасовка — ставки и план'!$A$5:$A$24,0)),"Аренда техники / механизмы")</f>
        <v>Механик ПС / подъёмников / прессов / доков</v>
      </c>
      <c r="F2414" s="14">
        <v>4500</v>
      </c>
      <c r="G2414" s="14">
        <v>5500</v>
      </c>
      <c r="H2414" s="15">
        <v>2650</v>
      </c>
      <c r="I2414" s="15">
        <f>IF(OR(H2414="",F2414=""),"",MAX(H2414,MIN(ROUND(H2414*(1+Параметры!$B$5),IF(H2414*(1+Параметры!$B$5)&gt;=1000,-1,0)),ROUND(F2414*Параметры!$B$6,IF(F2414*Параметры!$B$6&gt;=1000,-1,0)))))</f>
        <v>3050</v>
      </c>
      <c r="J2414" s="15">
        <v>3100</v>
      </c>
      <c r="K2414" s="15">
        <f>IF(OR(J2414="",G2414=""),"",MAX(J2414,MIN(ROUND(J2414*(1+Параметры!$B$5),IF(J2414*(1+Параметры!$B$5)&gt;=1000,-1,0)),ROUND(G2414*Параметры!$B$6,IF(G2414*Параметры!$B$6&gt;=1000,-1,0)))))</f>
        <v>3570</v>
      </c>
      <c r="L2414" s="16">
        <v>1.5</v>
      </c>
      <c r="M2414" s="17">
        <f t="shared" si="176"/>
        <v>0.66666666666666663</v>
      </c>
      <c r="N2414" s="17">
        <f>IF(OR(L2414="",L2414=0),"",Параметры!$B$3/L2414)</f>
        <v>5.333333333333333</v>
      </c>
      <c r="O2414" s="15">
        <f>IF(L2414="","",IFERROR(INDEX('Почасовка — ставки и план'!$D$5:$D$24,MATCH($D2414,'Почасовка — ставки и план'!$A$5:$A$24,0)),""))</f>
        <v>1500</v>
      </c>
      <c r="P2414" s="15">
        <f>IF(L2414="","",IFERROR(INDEX('Почасовка — ставки и план'!$E$5:$E$24,MATCH($D2414,'Почасовка — ставки и план'!$A$5:$A$24,0)),""))</f>
        <v>1800</v>
      </c>
      <c r="Q2414" s="15">
        <f t="shared" si="177"/>
        <v>2250</v>
      </c>
      <c r="R2414" s="13" t="str">
        <f>IF(D2414="TEX","аренда техники — сделка/счёт",IF(OR(Q2414="",H2414="",H2414=0),"—",IF(Q2414&lt;H2414*(1-Параметры!$B$7),"почасовка",IF(Q2414&gt;H2414*(1+Параметры!$B$7),"сделка","любой способ"))))</f>
        <v>почасовка</v>
      </c>
      <c r="S2414">
        <v>0</v>
      </c>
      <c r="T2414">
        <v>0</v>
      </c>
    </row>
    <row r="2415" spans="1:20" x14ac:dyDescent="0.25">
      <c r="A2415" s="18" t="s">
        <v>4834</v>
      </c>
      <c r="B2415" s="13" t="s">
        <v>4835</v>
      </c>
      <c r="C2415" s="13" t="s">
        <v>144</v>
      </c>
      <c r="D2415" s="13" t="s">
        <v>545</v>
      </c>
      <c r="E2415" s="13" t="str">
        <f>IFERROR(INDEX('Почасовка — ставки и план'!$B$5:$B$24,MATCH(D2415,'Почасовка — ставки и план'!$A$5:$A$24,0)),"Аренда техники / механизмы")</f>
        <v>Сервисный инженер ворот и автоматики</v>
      </c>
      <c r="F2415" s="14">
        <v>2500</v>
      </c>
      <c r="G2415" s="14">
        <v>3000</v>
      </c>
      <c r="H2415" s="15">
        <v>1550</v>
      </c>
      <c r="I2415" s="15">
        <f>IF(OR(H2415="",F2415=""),"",MAX(H2415,MIN(ROUND(H2415*(1+Параметры!$B$5),IF(H2415*(1+Параметры!$B$5)&gt;=1000,-1,0)),ROUND(F2415*Параметры!$B$6,IF(F2415*Параметры!$B$6&gt;=1000,-1,0)))))</f>
        <v>1780</v>
      </c>
      <c r="J2415" s="15">
        <v>1800</v>
      </c>
      <c r="K2415" s="15">
        <f>IF(OR(J2415="",G2415=""),"",MAX(J2415,MIN(ROUND(J2415*(1+Параметры!$B$5),IF(J2415*(1+Параметры!$B$5)&gt;=1000,-1,0)),ROUND(G2415*Параметры!$B$6,IF(G2415*Параметры!$B$6&gt;=1000,-1,0)))))</f>
        <v>2070</v>
      </c>
      <c r="L2415" s="16">
        <v>1</v>
      </c>
      <c r="M2415" s="17">
        <f t="shared" si="176"/>
        <v>1</v>
      </c>
      <c r="N2415" s="17">
        <f>IF(OR(L2415="",L2415=0),"",Параметры!$B$3/L2415)</f>
        <v>8</v>
      </c>
      <c r="O2415" s="15">
        <f>IF(L2415="","",IFERROR(INDEX('Почасовка — ставки и план'!$D$5:$D$24,MATCH($D2415,'Почасовка — ставки и план'!$A$5:$A$24,0)),""))</f>
        <v>1200</v>
      </c>
      <c r="P2415" s="15">
        <f>IF(L2415="","",IFERROR(INDEX('Почасовка — ставки и план'!$E$5:$E$24,MATCH($D2415,'Почасовка — ставки и план'!$A$5:$A$24,0)),""))</f>
        <v>1440</v>
      </c>
      <c r="Q2415" s="15">
        <f t="shared" si="177"/>
        <v>1200</v>
      </c>
      <c r="R2415" s="13" t="str">
        <f>IF(D2415="TEX","аренда техники — сделка/счёт",IF(OR(Q2415="",H2415="",H2415=0),"—",IF(Q2415&lt;H2415*(1-Параметры!$B$7),"почасовка",IF(Q2415&gt;H2415*(1+Параметры!$B$7),"сделка","любой способ"))))</f>
        <v>почасовка</v>
      </c>
      <c r="S2415">
        <v>0</v>
      </c>
      <c r="T2415">
        <v>0</v>
      </c>
    </row>
    <row r="2416" spans="1:20" x14ac:dyDescent="0.25">
      <c r="A2416" s="18" t="s">
        <v>4836</v>
      </c>
      <c r="B2416" s="13" t="s">
        <v>4837</v>
      </c>
      <c r="C2416" s="13" t="s">
        <v>144</v>
      </c>
      <c r="D2416" s="13" t="s">
        <v>545</v>
      </c>
      <c r="E2416" s="13" t="str">
        <f>IFERROR(INDEX('Почасовка — ставки и план'!$B$5:$B$24,MATCH(D2416,'Почасовка — ставки и план'!$A$5:$A$24,0)),"Аренда техники / механизмы")</f>
        <v>Сервисный инженер ворот и автоматики</v>
      </c>
      <c r="F2416" s="14">
        <v>6000</v>
      </c>
      <c r="G2416" s="14">
        <v>7000</v>
      </c>
      <c r="H2416" s="15">
        <v>3600</v>
      </c>
      <c r="I2416" s="15">
        <f>IF(OR(H2416="",F2416=""),"",MAX(H2416,MIN(ROUND(H2416*(1+Параметры!$B$5),IF(H2416*(1+Параметры!$B$5)&gt;=1000,-1,0)),ROUND(F2416*Параметры!$B$6,IF(F2416*Параметры!$B$6&gt;=1000,-1,0)))))</f>
        <v>4140</v>
      </c>
      <c r="J2416" s="15">
        <v>4200</v>
      </c>
      <c r="K2416" s="15">
        <f>IF(OR(J2416="",G2416=""),"",MAX(J2416,MIN(ROUND(J2416*(1+Параметры!$B$5),IF(J2416*(1+Параметры!$B$5)&gt;=1000,-1,0)),ROUND(G2416*Параметры!$B$6,IF(G2416*Параметры!$B$6&gt;=1000,-1,0)))))</f>
        <v>4830</v>
      </c>
      <c r="L2416" s="16">
        <v>2</v>
      </c>
      <c r="M2416" s="17">
        <f t="shared" si="176"/>
        <v>0.5</v>
      </c>
      <c r="N2416" s="17">
        <f>IF(OR(L2416="",L2416=0),"",Параметры!$B$3/L2416)</f>
        <v>4</v>
      </c>
      <c r="O2416" s="15">
        <f>IF(L2416="","",IFERROR(INDEX('Почасовка — ставки и план'!$D$5:$D$24,MATCH($D2416,'Почасовка — ставки и план'!$A$5:$A$24,0)),""))</f>
        <v>1200</v>
      </c>
      <c r="P2416" s="15">
        <f>IF(L2416="","",IFERROR(INDEX('Почасовка — ставки и план'!$E$5:$E$24,MATCH($D2416,'Почасовка — ставки и план'!$A$5:$A$24,0)),""))</f>
        <v>1440</v>
      </c>
      <c r="Q2416" s="15">
        <f t="shared" si="177"/>
        <v>2400</v>
      </c>
      <c r="R2416" s="13" t="str">
        <f>IF(D2416="TEX","аренда техники — сделка/счёт",IF(OR(Q2416="",H2416="",H2416=0),"—",IF(Q2416&lt;H2416*(1-Параметры!$B$7),"почасовка",IF(Q2416&gt;H2416*(1+Параметры!$B$7),"сделка","любой способ"))))</f>
        <v>почасовка</v>
      </c>
      <c r="S2416">
        <v>0</v>
      </c>
      <c r="T2416">
        <v>0</v>
      </c>
    </row>
    <row r="2417" spans="1:20" x14ac:dyDescent="0.25">
      <c r="A2417" s="18" t="s">
        <v>4838</v>
      </c>
      <c r="B2417" s="13" t="s">
        <v>4839</v>
      </c>
      <c r="C2417" s="13" t="s">
        <v>1069</v>
      </c>
      <c r="D2417" s="13" t="s">
        <v>545</v>
      </c>
      <c r="E2417" s="13" t="str">
        <f>IFERROR(INDEX('Почасовка — ставки и план'!$B$5:$B$24,MATCH(D2417,'Почасовка — ставки и план'!$A$5:$A$24,0)),"Аренда техники / механизмы")</f>
        <v>Сервисный инженер ворот и автоматики</v>
      </c>
      <c r="F2417" s="14">
        <v>2800</v>
      </c>
      <c r="G2417" s="14">
        <v>3300</v>
      </c>
      <c r="H2417" s="15">
        <v>1550</v>
      </c>
      <c r="I2417" s="15">
        <f>IF(OR(H2417="",F2417=""),"",MAX(H2417,MIN(ROUND(H2417*(1+Параметры!$B$5),IF(H2417*(1+Параметры!$B$5)&gt;=1000,-1,0)),ROUND(F2417*Параметры!$B$6,IF(F2417*Параметры!$B$6&gt;=1000,-1,0)))))</f>
        <v>1780</v>
      </c>
      <c r="J2417" s="15">
        <v>1800</v>
      </c>
      <c r="K2417" s="15">
        <f>IF(OR(J2417="",G2417=""),"",MAX(J2417,MIN(ROUND(J2417*(1+Параметры!$B$5),IF(J2417*(1+Параметры!$B$5)&gt;=1000,-1,0)),ROUND(G2417*Параметры!$B$6,IF(G2417*Параметры!$B$6&gt;=1000,-1,0)))))</f>
        <v>2070</v>
      </c>
      <c r="L2417" s="16">
        <v>1</v>
      </c>
      <c r="M2417" s="17">
        <f t="shared" si="176"/>
        <v>1</v>
      </c>
      <c r="N2417" s="17">
        <f>IF(OR(L2417="",L2417=0),"",Параметры!$B$3/L2417)</f>
        <v>8</v>
      </c>
      <c r="O2417" s="15">
        <f>IF(L2417="","",IFERROR(INDEX('Почасовка — ставки и план'!$D$5:$D$24,MATCH($D2417,'Почасовка — ставки и план'!$A$5:$A$24,0)),""))</f>
        <v>1200</v>
      </c>
      <c r="P2417" s="15">
        <f>IF(L2417="","",IFERROR(INDEX('Почасовка — ставки и план'!$E$5:$E$24,MATCH($D2417,'Почасовка — ставки и план'!$A$5:$A$24,0)),""))</f>
        <v>1440</v>
      </c>
      <c r="Q2417" s="15">
        <f t="shared" si="177"/>
        <v>1200</v>
      </c>
      <c r="R2417" s="13" t="str">
        <f>IF(D2417="TEX","аренда техники — сделка/счёт",IF(OR(Q2417="",H2417="",H2417=0),"—",IF(Q2417&lt;H2417*(1-Параметры!$B$7),"почасовка",IF(Q2417&gt;H2417*(1+Параметры!$B$7),"сделка","любой способ"))))</f>
        <v>почасовка</v>
      </c>
      <c r="S2417">
        <v>0</v>
      </c>
      <c r="T2417">
        <v>0</v>
      </c>
    </row>
    <row r="2418" spans="1:20" x14ac:dyDescent="0.25">
      <c r="A2418" s="18" t="s">
        <v>4840</v>
      </c>
      <c r="B2418" s="13" t="s">
        <v>4841</v>
      </c>
      <c r="C2418" s="13" t="s">
        <v>144</v>
      </c>
      <c r="D2418" s="13" t="s">
        <v>64</v>
      </c>
      <c r="E2418" s="13" t="str">
        <f>IFERROR(INDEX('Почасовка — ставки и план'!$B$5:$B$24,MATCH(D2418,'Почасовка — ставки и план'!$A$5:$A$24,0)),"Аренда техники / механизмы")</f>
        <v>Сварщик / монтажник МК</v>
      </c>
      <c r="F2418" s="14">
        <v>12000</v>
      </c>
      <c r="G2418" s="14">
        <v>14000</v>
      </c>
      <c r="H2418" s="15">
        <v>7200</v>
      </c>
      <c r="I2418" s="15">
        <f>IF(OR(H2418="",F2418=""),"",MAX(H2418,MIN(ROUND(H2418*(1+Параметры!$B$5),IF(H2418*(1+Параметры!$B$5)&gt;=1000,-1,0)),ROUND(F2418*Параметры!$B$6,IF(F2418*Параметры!$B$6&gt;=1000,-1,0)))))</f>
        <v>8280</v>
      </c>
      <c r="J2418" s="15">
        <v>8400</v>
      </c>
      <c r="K2418" s="15">
        <f>IF(OR(J2418="",G2418=""),"",MAX(J2418,MIN(ROUND(J2418*(1+Параметры!$B$5),IF(J2418*(1+Параметры!$B$5)&gt;=1000,-1,0)),ROUND(G2418*Параметры!$B$6,IF(G2418*Параметры!$B$6&gt;=1000,-1,0)))))</f>
        <v>9660</v>
      </c>
      <c r="L2418" s="16">
        <v>4</v>
      </c>
      <c r="M2418" s="17">
        <f t="shared" si="176"/>
        <v>0.25</v>
      </c>
      <c r="N2418" s="17">
        <f>IF(OR(L2418="",L2418=0),"",Параметры!$B$3/L2418)</f>
        <v>2</v>
      </c>
      <c r="O2418" s="15">
        <f>IF(L2418="","",IFERROR(INDEX('Почасовка — ставки и план'!$D$5:$D$24,MATCH($D2418,'Почасовка — ставки и план'!$A$5:$A$24,0)),""))</f>
        <v>900</v>
      </c>
      <c r="P2418" s="15">
        <f>IF(L2418="","",IFERROR(INDEX('Почасовка — ставки и план'!$E$5:$E$24,MATCH($D2418,'Почасовка — ставки и план'!$A$5:$A$24,0)),""))</f>
        <v>1080</v>
      </c>
      <c r="Q2418" s="15">
        <f t="shared" si="177"/>
        <v>3600</v>
      </c>
      <c r="R2418" s="13" t="str">
        <f>IF(D2418="TEX","аренда техники — сделка/счёт",IF(OR(Q2418="",H2418="",H2418=0),"—",IF(Q2418&lt;H2418*(1-Параметры!$B$7),"почасовка",IF(Q2418&gt;H2418*(1+Параметры!$B$7),"сделка","любой способ"))))</f>
        <v>почасовка</v>
      </c>
      <c r="S2418">
        <v>0</v>
      </c>
      <c r="T2418">
        <v>0</v>
      </c>
    </row>
    <row r="2419" spans="1:20" x14ac:dyDescent="0.25">
      <c r="A2419" s="18" t="s">
        <v>4842</v>
      </c>
      <c r="B2419" s="13" t="s">
        <v>4188</v>
      </c>
      <c r="C2419" s="13" t="s">
        <v>4843</v>
      </c>
      <c r="D2419" s="13" t="s">
        <v>545</v>
      </c>
      <c r="E2419" s="13" t="str">
        <f>IFERROR(INDEX('Почасовка — ставки и план'!$B$5:$B$24,MATCH(D2419,'Почасовка — ставки и план'!$A$5:$A$24,0)),"Аренда техники / механизмы")</f>
        <v>Сервисный инженер ворот и автоматики</v>
      </c>
      <c r="F2419" s="14">
        <v>5000</v>
      </c>
      <c r="G2419" s="14">
        <v>6000</v>
      </c>
      <c r="H2419" s="15">
        <v>2650</v>
      </c>
      <c r="I2419" s="15">
        <f>IF(OR(H2419="",F2419=""),"",MAX(H2419,MIN(ROUND(H2419*(1+Параметры!$B$5),IF(H2419*(1+Параметры!$B$5)&gt;=1000,-1,0)),ROUND(F2419*Параметры!$B$6,IF(F2419*Параметры!$B$6&gt;=1000,-1,0)))))</f>
        <v>3050</v>
      </c>
      <c r="J2419" s="15">
        <v>3100</v>
      </c>
      <c r="K2419" s="15">
        <f>IF(OR(J2419="",G2419=""),"",MAX(J2419,MIN(ROUND(J2419*(1+Параметры!$B$5),IF(J2419*(1+Параметры!$B$5)&gt;=1000,-1,0)),ROUND(G2419*Параметры!$B$6,IF(G2419*Параметры!$B$6&gt;=1000,-1,0)))))</f>
        <v>3570</v>
      </c>
      <c r="L2419" s="16">
        <v>1.5</v>
      </c>
      <c r="M2419" s="17">
        <f t="shared" si="176"/>
        <v>0.66666666666666663</v>
      </c>
      <c r="N2419" s="17">
        <f>IF(OR(L2419="",L2419=0),"",Параметры!$B$3/L2419)</f>
        <v>5.333333333333333</v>
      </c>
      <c r="O2419" s="15">
        <f>IF(L2419="","",IFERROR(INDEX('Почасовка — ставки и план'!$D$5:$D$24,MATCH($D2419,'Почасовка — ставки и план'!$A$5:$A$24,0)),""))</f>
        <v>1200</v>
      </c>
      <c r="P2419" s="15">
        <f>IF(L2419="","",IFERROR(INDEX('Почасовка — ставки и план'!$E$5:$E$24,MATCH($D2419,'Почасовка — ставки и план'!$A$5:$A$24,0)),""))</f>
        <v>1440</v>
      </c>
      <c r="Q2419" s="15">
        <f t="shared" si="177"/>
        <v>1800</v>
      </c>
      <c r="R2419" s="13" t="str">
        <f>IF(D2419="TEX","аренда техники — сделка/счёт",IF(OR(Q2419="",H2419="",H2419=0),"—",IF(Q2419&lt;H2419*(1-Параметры!$B$7),"почасовка",IF(Q2419&gt;H2419*(1+Параметры!$B$7),"сделка","любой способ"))))</f>
        <v>почасовка</v>
      </c>
      <c r="S2419">
        <v>0</v>
      </c>
      <c r="T2419">
        <v>0</v>
      </c>
    </row>
  </sheetData>
  <autoFilter ref="A4:R2419"/>
  <mergeCells count="4">
    <mergeCell ref="F3:G3"/>
    <mergeCell ref="A2:R2"/>
    <mergeCell ref="H3:K3"/>
    <mergeCell ref="L3:Q3"/>
  </mergeCells>
  <conditionalFormatting sqref="F5:F2419">
    <cfRule type="expression" dxfId="7" priority="1" stopIfTrue="1">
      <formula>AND(ISNUMBER($S5),$S5&gt;0.3)</formula>
    </cfRule>
    <cfRule type="expression" dxfId="6" priority="2" stopIfTrue="1">
      <formula>AND(ISNUMBER($S5),$S5&gt;0.1)</formula>
    </cfRule>
    <cfRule type="expression" dxfId="5" priority="3" stopIfTrue="1">
      <formula>AND(ISNUMBER($S5),$S5&gt;0.00001)</formula>
    </cfRule>
  </conditionalFormatting>
  <conditionalFormatting sqref="G5:G2419">
    <cfRule type="expression" dxfId="4" priority="4" stopIfTrue="1">
      <formula>AND(ISNUMBER($T5),$T5&gt;0.3)</formula>
    </cfRule>
    <cfRule type="expression" dxfId="3" priority="5" stopIfTrue="1">
      <formula>AND(ISNUMBER($T5),$T5&gt;0.1)</formula>
    </cfRule>
    <cfRule type="expression" dxfId="2" priority="6" stopIfTrue="1">
      <formula>AND(ISNUMBER($T5),$T5&gt;0.00001)</formula>
    </cfRule>
  </conditionalFormatting>
  <conditionalFormatting sqref="R5:R2419">
    <cfRule type="expression" dxfId="1" priority="7">
      <formula>R5="почасовка"</formula>
    </cfRule>
    <cfRule type="expression" dxfId="0" priority="8">
      <formula>R5="сделка"</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pane xSplit="2" ySplit="4" topLeftCell="C5" activePane="bottomRight" state="frozen"/>
      <selection pane="topRight"/>
      <selection pane="bottomLeft"/>
      <selection pane="bottomRight"/>
    </sheetView>
  </sheetViews>
  <sheetFormatPr defaultRowHeight="15" x14ac:dyDescent="0.25"/>
  <cols>
    <col min="1" max="1" width="6" customWidth="1"/>
    <col min="2" max="2" width="32" customWidth="1"/>
    <col min="3" max="3" width="48" customWidth="1"/>
    <col min="4" max="5" width="11" customWidth="1"/>
    <col min="6" max="9" width="12" customWidth="1"/>
    <col min="10" max="11" width="13" customWidth="1"/>
    <col min="12" max="13" width="15" customWidth="1"/>
    <col min="14" max="14" width="10" customWidth="1"/>
  </cols>
  <sheetData>
    <row r="1" spans="1:14" ht="18.75" x14ac:dyDescent="0.3">
      <c r="A1" s="6" t="s">
        <v>4844</v>
      </c>
    </row>
    <row r="2" spans="1:14" ht="32.1" customHeight="1" x14ac:dyDescent="0.25">
      <c r="A2" s="32" t="s">
        <v>4845</v>
      </c>
      <c r="B2" s="31"/>
      <c r="C2" s="31"/>
      <c r="D2" s="31"/>
      <c r="E2" s="31"/>
      <c r="F2" s="31"/>
      <c r="G2" s="31"/>
      <c r="H2" s="31"/>
      <c r="I2" s="31"/>
      <c r="J2" s="31"/>
      <c r="K2" s="31"/>
      <c r="L2" s="31"/>
      <c r="M2" s="31"/>
      <c r="N2" s="31"/>
    </row>
    <row r="4" spans="1:14" ht="110.1" customHeight="1" x14ac:dyDescent="0.25">
      <c r="A4" s="7" t="s">
        <v>37</v>
      </c>
      <c r="B4" s="7" t="s">
        <v>4846</v>
      </c>
      <c r="C4" s="7" t="s">
        <v>4847</v>
      </c>
      <c r="D4" s="7" t="s">
        <v>4848</v>
      </c>
      <c r="E4" s="7" t="s">
        <v>4849</v>
      </c>
      <c r="F4" s="7" t="s">
        <v>4850</v>
      </c>
      <c r="G4" s="7" t="s">
        <v>4851</v>
      </c>
      <c r="H4" s="7" t="s">
        <v>4852</v>
      </c>
      <c r="I4" s="7" t="s">
        <v>4853</v>
      </c>
      <c r="J4" s="7" t="s">
        <v>4854</v>
      </c>
      <c r="K4" s="7" t="s">
        <v>4855</v>
      </c>
      <c r="L4" s="7" t="s">
        <v>4856</v>
      </c>
      <c r="M4" s="7" t="s">
        <v>4857</v>
      </c>
      <c r="N4" s="7" t="s">
        <v>4858</v>
      </c>
    </row>
    <row r="5" spans="1:14" ht="30" x14ac:dyDescent="0.25">
      <c r="A5" s="19" t="s">
        <v>60</v>
      </c>
      <c r="B5" s="19" t="s">
        <v>4859</v>
      </c>
      <c r="C5" s="19" t="s">
        <v>4860</v>
      </c>
      <c r="D5" s="20">
        <v>550</v>
      </c>
      <c r="E5" s="20">
        <v>660</v>
      </c>
      <c r="F5" s="21">
        <f>D5*Параметры!$B$3</f>
        <v>4400</v>
      </c>
      <c r="G5" s="21">
        <f>E5*Параметры!$B$3</f>
        <v>5280</v>
      </c>
      <c r="H5" s="21">
        <f>F5*Параметры!$B$4</f>
        <v>92400</v>
      </c>
      <c r="I5" s="21">
        <f>G5*Параметры!$B$4</f>
        <v>110880</v>
      </c>
      <c r="J5" s="22">
        <v>1000</v>
      </c>
      <c r="K5" s="22">
        <v>1200</v>
      </c>
      <c r="L5" s="23">
        <f>IF(J5=0,ROUND(ROUND(D5*(1+Параметры!$B$9),0)*(1+Параметры!$B$10),-1),IF(ROUND(ROUND(D5*(1+Параметры!$B$9),0)*(1+Параметры!$B$10),-1)&lt;=J5,ROUND(MAX(ROUND(ROUND(D5*(1+Параметры!$B$9),0)*(1+Параметры!$B$10),-1),J5*Параметры!$B$11),-1),ROUND(ROUND(D5*(1+Параметры!$B$9),0)*(1+Параметры!$B$10),-1)))</f>
        <v>950</v>
      </c>
      <c r="M5" s="23">
        <f>IF(K5=0,ROUND(ROUND(E5*(1+Параметры!$B$9),0)*(1+Параметры!$B$10),-1),IF(ROUND(ROUND(E5*(1+Параметры!$B$9),0)*(1+Параметры!$B$10),-1)&lt;=K5,ROUND(MAX(ROUND(ROUND(E5*(1+Параметры!$B$9),0)*(1+Параметры!$B$10),-1),K5*Параметры!$B$11),-1),ROUND(ROUND(E5*(1+Параметры!$B$9),0)*(1+Параметры!$B$10),-1)))</f>
        <v>1140</v>
      </c>
      <c r="N5" s="19">
        <f>COUNTIF(Расценки!$D$5:$D$2419,A5)</f>
        <v>111</v>
      </c>
    </row>
    <row r="6" spans="1:14" ht="30" x14ac:dyDescent="0.25">
      <c r="A6" s="19" t="s">
        <v>947</v>
      </c>
      <c r="B6" s="19" t="s">
        <v>4861</v>
      </c>
      <c r="C6" s="19" t="s">
        <v>4862</v>
      </c>
      <c r="D6" s="20">
        <v>550</v>
      </c>
      <c r="E6" s="20">
        <v>660</v>
      </c>
      <c r="F6" s="21">
        <f>D6*Параметры!$B$3</f>
        <v>4400</v>
      </c>
      <c r="G6" s="21">
        <f>E6*Параметры!$B$3</f>
        <v>5280</v>
      </c>
      <c r="H6" s="21">
        <f>F6*Параметры!$B$4</f>
        <v>92400</v>
      </c>
      <c r="I6" s="21">
        <f>G6*Параметры!$B$4</f>
        <v>110880</v>
      </c>
      <c r="J6" s="22">
        <v>1000</v>
      </c>
      <c r="K6" s="22">
        <v>1200</v>
      </c>
      <c r="L6" s="23">
        <f>IF(J6=0,ROUND(ROUND(D6*(1+Параметры!$B$9),0)*(1+Параметры!$B$10),-1),IF(ROUND(ROUND(D6*(1+Параметры!$B$9),0)*(1+Параметры!$B$10),-1)&lt;=J6,ROUND(MAX(ROUND(ROUND(D6*(1+Параметры!$B$9),0)*(1+Параметры!$B$10),-1),J6*Параметры!$B$11),-1),ROUND(ROUND(D6*(1+Параметры!$B$9),0)*(1+Параметры!$B$10),-1)))</f>
        <v>950</v>
      </c>
      <c r="M6" s="23">
        <f>IF(K6=0,ROUND(ROUND(E6*(1+Параметры!$B$9),0)*(1+Параметры!$B$10),-1),IF(ROUND(ROUND(E6*(1+Параметры!$B$9),0)*(1+Параметры!$B$10),-1)&lt;=K6,ROUND(MAX(ROUND(ROUND(E6*(1+Параметры!$B$9),0)*(1+Параметры!$B$10),-1),K6*Параметры!$B$11),-1),ROUND(ROUND(E6*(1+Параметры!$B$9),0)*(1+Параметры!$B$10),-1)))</f>
        <v>1140</v>
      </c>
      <c r="N6" s="19">
        <f>COUNTIF(Расценки!$D$5:$D$2419,A6)</f>
        <v>18</v>
      </c>
    </row>
    <row r="7" spans="1:14" ht="30" x14ac:dyDescent="0.25">
      <c r="A7" s="19" t="s">
        <v>56</v>
      </c>
      <c r="B7" s="19" t="s">
        <v>4863</v>
      </c>
      <c r="C7" s="19" t="s">
        <v>4864</v>
      </c>
      <c r="D7" s="20">
        <v>650</v>
      </c>
      <c r="E7" s="20">
        <v>780</v>
      </c>
      <c r="F7" s="21">
        <f>D7*Параметры!$B$3</f>
        <v>5200</v>
      </c>
      <c r="G7" s="21">
        <f>E7*Параметры!$B$3</f>
        <v>6240</v>
      </c>
      <c r="H7" s="21">
        <f>F7*Параметры!$B$4</f>
        <v>109200</v>
      </c>
      <c r="I7" s="21">
        <f>G7*Параметры!$B$4</f>
        <v>131040</v>
      </c>
      <c r="J7" s="22">
        <v>1300</v>
      </c>
      <c r="K7" s="22">
        <v>1500</v>
      </c>
      <c r="L7" s="23">
        <f>IF(J7=0,ROUND(ROUND(D7*(1+Параметры!$B$9),0)*(1+Параметры!$B$10),-1),IF(ROUND(ROUND(D7*(1+Параметры!$B$9),0)*(1+Параметры!$B$10),-1)&lt;=J7,ROUND(MAX(ROUND(ROUND(D7*(1+Параметры!$B$9),0)*(1+Параметры!$B$10),-1),J7*Параметры!$B$11),-1),ROUND(ROUND(D7*(1+Параметры!$B$9),0)*(1+Параметры!$B$10),-1)))</f>
        <v>1240</v>
      </c>
      <c r="M7" s="23">
        <f>IF(K7=0,ROUND(ROUND(E7*(1+Параметры!$B$9),0)*(1+Параметры!$B$10),-1),IF(ROUND(ROUND(E7*(1+Параметры!$B$9),0)*(1+Параметры!$B$10),-1)&lt;=K7,ROUND(MAX(ROUND(ROUND(E7*(1+Параметры!$B$9),0)*(1+Параметры!$B$10),-1),K7*Параметры!$B$11),-1),ROUND(ROUND(E7*(1+Параметры!$B$9),0)*(1+Параметры!$B$10),-1)))</f>
        <v>1430</v>
      </c>
      <c r="N7" s="19">
        <f>COUNTIF(Расценки!$D$5:$D$2419,A7)</f>
        <v>84</v>
      </c>
    </row>
    <row r="8" spans="1:14" ht="30" x14ac:dyDescent="0.25">
      <c r="A8" s="19" t="s">
        <v>162</v>
      </c>
      <c r="B8" s="19" t="s">
        <v>4865</v>
      </c>
      <c r="C8" s="19" t="s">
        <v>4866</v>
      </c>
      <c r="D8" s="20">
        <v>800</v>
      </c>
      <c r="E8" s="20">
        <v>950</v>
      </c>
      <c r="F8" s="21">
        <f>D8*Параметры!$B$3</f>
        <v>6400</v>
      </c>
      <c r="G8" s="21">
        <f>E8*Параметры!$B$3</f>
        <v>7600</v>
      </c>
      <c r="H8" s="21">
        <f>F8*Параметры!$B$4</f>
        <v>134400</v>
      </c>
      <c r="I8" s="21">
        <f>G8*Параметры!$B$4</f>
        <v>159600</v>
      </c>
      <c r="J8" s="22">
        <v>1500</v>
      </c>
      <c r="K8" s="22">
        <v>1800</v>
      </c>
      <c r="L8" s="23">
        <f>IF(J8=0,ROUND(ROUND(D8*(1+Параметры!$B$9),0)*(1+Параметры!$B$10),-1),IF(ROUND(ROUND(D8*(1+Параметры!$B$9),0)*(1+Параметры!$B$10),-1)&lt;=J8,ROUND(MAX(ROUND(ROUND(D8*(1+Параметры!$B$9),0)*(1+Параметры!$B$10),-1),J8*Параметры!$B$11),-1),ROUND(ROUND(D8*(1+Параметры!$B$9),0)*(1+Параметры!$B$10),-1)))</f>
        <v>1430</v>
      </c>
      <c r="M8" s="23">
        <f>IF(K8=0,ROUND(ROUND(E8*(1+Параметры!$B$9),0)*(1+Параметры!$B$10),-1),IF(ROUND(ROUND(E8*(1+Параметры!$B$9),0)*(1+Параметры!$B$10),-1)&lt;=K8,ROUND(MAX(ROUND(ROUND(E8*(1+Параметры!$B$9),0)*(1+Параметры!$B$10),-1),K8*Параметры!$B$11),-1),ROUND(ROUND(E8*(1+Параметры!$B$9),0)*(1+Параметры!$B$10),-1)))</f>
        <v>1710</v>
      </c>
      <c r="N8" s="19">
        <f>COUNTIF(Расценки!$D$5:$D$2419,A8)</f>
        <v>61</v>
      </c>
    </row>
    <row r="9" spans="1:14" ht="30" x14ac:dyDescent="0.25">
      <c r="A9" s="19" t="s">
        <v>252</v>
      </c>
      <c r="B9" s="19" t="s">
        <v>4867</v>
      </c>
      <c r="C9" s="19" t="s">
        <v>4868</v>
      </c>
      <c r="D9" s="20">
        <v>800</v>
      </c>
      <c r="E9" s="20">
        <v>950</v>
      </c>
      <c r="F9" s="21">
        <f>D9*Параметры!$B$3</f>
        <v>6400</v>
      </c>
      <c r="G9" s="21">
        <f>E9*Параметры!$B$3</f>
        <v>7600</v>
      </c>
      <c r="H9" s="21">
        <f>F9*Параметры!$B$4</f>
        <v>134400</v>
      </c>
      <c r="I9" s="21">
        <f>G9*Параметры!$B$4</f>
        <v>159600</v>
      </c>
      <c r="J9" s="22">
        <v>1600</v>
      </c>
      <c r="K9" s="22">
        <v>1900</v>
      </c>
      <c r="L9" s="23">
        <f>IF(J9=0,ROUND(ROUND(D9*(1+Параметры!$B$9),0)*(1+Параметры!$B$10),-1),IF(ROUND(ROUND(D9*(1+Параметры!$B$9),0)*(1+Параметры!$B$10),-1)&lt;=J9,ROUND(MAX(ROUND(ROUND(D9*(1+Параметры!$B$9),0)*(1+Параметры!$B$10),-1),J9*Параметры!$B$11),-1),ROUND(ROUND(D9*(1+Параметры!$B$9),0)*(1+Параметры!$B$10),-1)))</f>
        <v>1520</v>
      </c>
      <c r="M9" s="23">
        <f>IF(K9=0,ROUND(ROUND(E9*(1+Параметры!$B$9),0)*(1+Параметры!$B$10),-1),IF(ROUND(ROUND(E9*(1+Параметры!$B$9),0)*(1+Параметры!$B$10),-1)&lt;=K9,ROUND(MAX(ROUND(ROUND(E9*(1+Параметры!$B$9),0)*(1+Параметры!$B$10),-1),K9*Параметры!$B$11),-1),ROUND(ROUND(E9*(1+Параметры!$B$9),0)*(1+Параметры!$B$10),-1)))</f>
        <v>1810</v>
      </c>
      <c r="N9" s="19">
        <f>COUNTIF(Расценки!$D$5:$D$2419,A9)</f>
        <v>29</v>
      </c>
    </row>
    <row r="10" spans="1:14" ht="30" x14ac:dyDescent="0.25">
      <c r="A10" s="19" t="s">
        <v>208</v>
      </c>
      <c r="B10" s="19" t="s">
        <v>4869</v>
      </c>
      <c r="C10" s="19" t="s">
        <v>4870</v>
      </c>
      <c r="D10" s="20">
        <v>750</v>
      </c>
      <c r="E10" s="20">
        <v>900</v>
      </c>
      <c r="F10" s="21">
        <f>D10*Параметры!$B$3</f>
        <v>6000</v>
      </c>
      <c r="G10" s="21">
        <f>E10*Параметры!$B$3</f>
        <v>7200</v>
      </c>
      <c r="H10" s="21">
        <f>F10*Параметры!$B$4</f>
        <v>126000</v>
      </c>
      <c r="I10" s="21">
        <f>G10*Параметры!$B$4</f>
        <v>151200</v>
      </c>
      <c r="J10" s="22">
        <v>1500</v>
      </c>
      <c r="K10" s="22">
        <v>1800</v>
      </c>
      <c r="L10" s="23">
        <f>IF(J10=0,ROUND(ROUND(D10*(1+Параметры!$B$9),0)*(1+Параметры!$B$10),-1),IF(ROUND(ROUND(D10*(1+Параметры!$B$9),0)*(1+Параметры!$B$10),-1)&lt;=J10,ROUND(MAX(ROUND(ROUND(D10*(1+Параметры!$B$9),0)*(1+Параметры!$B$10),-1),J10*Параметры!$B$11),-1),ROUND(ROUND(D10*(1+Параметры!$B$9),0)*(1+Параметры!$B$10),-1)))</f>
        <v>1430</v>
      </c>
      <c r="M10" s="23">
        <f>IF(K10=0,ROUND(ROUND(E10*(1+Параметры!$B$9),0)*(1+Параметры!$B$10),-1),IF(ROUND(ROUND(E10*(1+Параметры!$B$9),0)*(1+Параметры!$B$10),-1)&lt;=K10,ROUND(MAX(ROUND(ROUND(E10*(1+Параметры!$B$9),0)*(1+Параметры!$B$10),-1),K10*Параметры!$B$11),-1),ROUND(ROUND(E10*(1+Параметры!$B$9),0)*(1+Параметры!$B$10),-1)))</f>
        <v>1710</v>
      </c>
      <c r="N10" s="19">
        <f>COUNTIF(Расценки!$D$5:$D$2419,A10)</f>
        <v>141</v>
      </c>
    </row>
    <row r="11" spans="1:14" ht="30" x14ac:dyDescent="0.25">
      <c r="A11" s="19" t="s">
        <v>200</v>
      </c>
      <c r="B11" s="19" t="s">
        <v>4871</v>
      </c>
      <c r="C11" s="19" t="s">
        <v>4872</v>
      </c>
      <c r="D11" s="20">
        <v>900</v>
      </c>
      <c r="E11" s="20">
        <v>1080</v>
      </c>
      <c r="F11" s="21">
        <f>D11*Параметры!$B$3</f>
        <v>7200</v>
      </c>
      <c r="G11" s="21">
        <f>E11*Параметры!$B$3</f>
        <v>8640</v>
      </c>
      <c r="H11" s="21">
        <f>F11*Параметры!$B$4</f>
        <v>151200</v>
      </c>
      <c r="I11" s="21">
        <f>G11*Параметры!$B$4</f>
        <v>181440</v>
      </c>
      <c r="J11" s="22">
        <v>1700</v>
      </c>
      <c r="K11" s="22">
        <v>2000</v>
      </c>
      <c r="L11" s="23">
        <f>IF(J11=0,ROUND(ROUND(D11*(1+Параметры!$B$9),0)*(1+Параметры!$B$10),-1),IF(ROUND(ROUND(D11*(1+Параметры!$B$9),0)*(1+Параметры!$B$10),-1)&lt;=J11,ROUND(MAX(ROUND(ROUND(D11*(1+Параметры!$B$9),0)*(1+Параметры!$B$10),-1),J11*Параметры!$B$11),-1),ROUND(ROUND(D11*(1+Параметры!$B$9),0)*(1+Параметры!$B$10),-1)))</f>
        <v>1620</v>
      </c>
      <c r="M11" s="23">
        <f>IF(K11=0,ROUND(ROUND(E11*(1+Параметры!$B$9),0)*(1+Параметры!$B$10),-1),IF(ROUND(ROUND(E11*(1+Параметры!$B$9),0)*(1+Параметры!$B$10),-1)&lt;=K11,ROUND(MAX(ROUND(ROUND(E11*(1+Параметры!$B$9),0)*(1+Параметры!$B$10),-1),K11*Параметры!$B$11),-1),ROUND(ROUND(E11*(1+Параметры!$B$9),0)*(1+Параметры!$B$10),-1)))</f>
        <v>1900</v>
      </c>
      <c r="N11" s="19">
        <f>COUNTIF(Расценки!$D$5:$D$2419,A11)</f>
        <v>62</v>
      </c>
    </row>
    <row r="12" spans="1:14" ht="30" x14ac:dyDescent="0.25">
      <c r="A12" s="19" t="s">
        <v>88</v>
      </c>
      <c r="B12" s="19" t="s">
        <v>4873</v>
      </c>
      <c r="C12" s="19" t="s">
        <v>4874</v>
      </c>
      <c r="D12" s="20">
        <v>800</v>
      </c>
      <c r="E12" s="20">
        <v>950</v>
      </c>
      <c r="F12" s="21">
        <f>D12*Параметры!$B$3</f>
        <v>6400</v>
      </c>
      <c r="G12" s="21">
        <f>E12*Параметры!$B$3</f>
        <v>7600</v>
      </c>
      <c r="H12" s="21">
        <f>F12*Параметры!$B$4</f>
        <v>134400</v>
      </c>
      <c r="I12" s="21">
        <f>G12*Параметры!$B$4</f>
        <v>159600</v>
      </c>
      <c r="J12" s="22">
        <v>1600</v>
      </c>
      <c r="K12" s="22">
        <v>1900</v>
      </c>
      <c r="L12" s="23">
        <f>IF(J12=0,ROUND(ROUND(D12*(1+Параметры!$B$9),0)*(1+Параметры!$B$10),-1),IF(ROUND(ROUND(D12*(1+Параметры!$B$9),0)*(1+Параметры!$B$10),-1)&lt;=J12,ROUND(MAX(ROUND(ROUND(D12*(1+Параметры!$B$9),0)*(1+Параметры!$B$10),-1),J12*Параметры!$B$11),-1),ROUND(ROUND(D12*(1+Параметры!$B$9),0)*(1+Параметры!$B$10),-1)))</f>
        <v>1520</v>
      </c>
      <c r="M12" s="23">
        <f>IF(K12=0,ROUND(ROUND(E12*(1+Параметры!$B$9),0)*(1+Параметры!$B$10),-1),IF(ROUND(ROUND(E12*(1+Параметры!$B$9),0)*(1+Параметры!$B$10),-1)&lt;=K12,ROUND(MAX(ROUND(ROUND(E12*(1+Параметры!$B$9),0)*(1+Параметры!$B$10),-1),K12*Параметры!$B$11),-1),ROUND(ROUND(E12*(1+Параметры!$B$9),0)*(1+Параметры!$B$10),-1)))</f>
        <v>1810</v>
      </c>
      <c r="N12" s="19">
        <f>COUNTIF(Расценки!$D$5:$D$2419,A12)</f>
        <v>66</v>
      </c>
    </row>
    <row r="13" spans="1:14" ht="30" x14ac:dyDescent="0.25">
      <c r="A13" s="19" t="s">
        <v>91</v>
      </c>
      <c r="B13" s="19" t="s">
        <v>4875</v>
      </c>
      <c r="C13" s="19" t="s">
        <v>4876</v>
      </c>
      <c r="D13" s="20">
        <v>1100</v>
      </c>
      <c r="E13" s="20">
        <v>1300</v>
      </c>
      <c r="F13" s="21">
        <f>D13*Параметры!$B$3</f>
        <v>8800</v>
      </c>
      <c r="G13" s="21">
        <f>E13*Параметры!$B$3</f>
        <v>10400</v>
      </c>
      <c r="H13" s="21">
        <f>F13*Параметры!$B$4</f>
        <v>184800</v>
      </c>
      <c r="I13" s="21">
        <f>G13*Параметры!$B$4</f>
        <v>218400</v>
      </c>
      <c r="J13" s="22">
        <v>2400</v>
      </c>
      <c r="K13" s="22">
        <v>2800</v>
      </c>
      <c r="L13" s="23">
        <f>IF(J13=0,ROUND(ROUND(D13*(1+Параметры!$B$9),0)*(1+Параметры!$B$10),-1),IF(ROUND(ROUND(D13*(1+Параметры!$B$9),0)*(1+Параметры!$B$10),-1)&lt;=J13,ROUND(MAX(ROUND(ROUND(D13*(1+Параметры!$B$9),0)*(1+Параметры!$B$10),-1),J13*Параметры!$B$11),-1),ROUND(ROUND(D13*(1+Параметры!$B$9),0)*(1+Параметры!$B$10),-1)))</f>
        <v>2280</v>
      </c>
      <c r="M13" s="23">
        <f>IF(K13=0,ROUND(ROUND(E13*(1+Параметры!$B$9),0)*(1+Параметры!$B$10),-1),IF(ROUND(ROUND(E13*(1+Параметры!$B$9),0)*(1+Параметры!$B$10),-1)&lt;=K13,ROUND(MAX(ROUND(ROUND(E13*(1+Параметры!$B$9),0)*(1+Параметры!$B$10),-1),K13*Параметры!$B$11),-1),ROUND(ROUND(E13*(1+Параметры!$B$9),0)*(1+Параметры!$B$10),-1)))</f>
        <v>2660</v>
      </c>
      <c r="N13" s="19">
        <f>COUNTIF(Расценки!$D$5:$D$2419,A13)</f>
        <v>32</v>
      </c>
    </row>
    <row r="14" spans="1:14" ht="30" x14ac:dyDescent="0.25">
      <c r="A14" s="19" t="s">
        <v>64</v>
      </c>
      <c r="B14" s="19" t="s">
        <v>4877</v>
      </c>
      <c r="C14" s="19" t="s">
        <v>4878</v>
      </c>
      <c r="D14" s="20">
        <v>900</v>
      </c>
      <c r="E14" s="20">
        <v>1080</v>
      </c>
      <c r="F14" s="21">
        <f>D14*Параметры!$B$3</f>
        <v>7200</v>
      </c>
      <c r="G14" s="21">
        <f>E14*Параметры!$B$3</f>
        <v>8640</v>
      </c>
      <c r="H14" s="21">
        <f>F14*Параметры!$B$4</f>
        <v>151200</v>
      </c>
      <c r="I14" s="21">
        <f>G14*Параметры!$B$4</f>
        <v>181440</v>
      </c>
      <c r="J14" s="22">
        <v>2000</v>
      </c>
      <c r="K14" s="22">
        <v>2400</v>
      </c>
      <c r="L14" s="23">
        <f>IF(J14=0,ROUND(ROUND(D14*(1+Параметры!$B$9),0)*(1+Параметры!$B$10),-1),IF(ROUND(ROUND(D14*(1+Параметры!$B$9),0)*(1+Параметры!$B$10),-1)&lt;=J14,ROUND(MAX(ROUND(ROUND(D14*(1+Параметры!$B$9),0)*(1+Параметры!$B$10),-1),J14*Параметры!$B$11),-1),ROUND(ROUND(D14*(1+Параметры!$B$9),0)*(1+Параметры!$B$10),-1)))</f>
        <v>1900</v>
      </c>
      <c r="M14" s="23">
        <f>IF(K14=0,ROUND(ROUND(E14*(1+Параметры!$B$9),0)*(1+Параметры!$B$10),-1),IF(ROUND(ROUND(E14*(1+Параметры!$B$9),0)*(1+Параметры!$B$10),-1)&lt;=K14,ROUND(MAX(ROUND(ROUND(E14*(1+Параметры!$B$9),0)*(1+Параметры!$B$10),-1),K14*Параметры!$B$11),-1),ROUND(ROUND(E14*(1+Параметры!$B$9),0)*(1+Параметры!$B$10),-1)))</f>
        <v>2280</v>
      </c>
      <c r="N14" s="19">
        <f>COUNTIF(Расценки!$D$5:$D$2419,A14)</f>
        <v>132</v>
      </c>
    </row>
    <row r="15" spans="1:14" ht="30" x14ac:dyDescent="0.25">
      <c r="A15" s="19" t="s">
        <v>326</v>
      </c>
      <c r="B15" s="19" t="s">
        <v>4879</v>
      </c>
      <c r="C15" s="19" t="s">
        <v>4880</v>
      </c>
      <c r="D15" s="20">
        <v>850</v>
      </c>
      <c r="E15" s="20">
        <v>1020</v>
      </c>
      <c r="F15" s="21">
        <f>D15*Параметры!$B$3</f>
        <v>6800</v>
      </c>
      <c r="G15" s="21">
        <f>E15*Параметры!$B$3</f>
        <v>8160</v>
      </c>
      <c r="H15" s="21">
        <f>F15*Параметры!$B$4</f>
        <v>142800</v>
      </c>
      <c r="I15" s="21">
        <f>G15*Параметры!$B$4</f>
        <v>171360</v>
      </c>
      <c r="J15" s="22">
        <v>1900</v>
      </c>
      <c r="K15" s="22">
        <v>2200</v>
      </c>
      <c r="L15" s="23">
        <f>IF(J15=0,ROUND(ROUND(D15*(1+Параметры!$B$9),0)*(1+Параметры!$B$10),-1),IF(ROUND(ROUND(D15*(1+Параметры!$B$9),0)*(1+Параметры!$B$10),-1)&lt;=J15,ROUND(MAX(ROUND(ROUND(D15*(1+Параметры!$B$9),0)*(1+Параметры!$B$10),-1),J15*Параметры!$B$11),-1),ROUND(ROUND(D15*(1+Параметры!$B$9),0)*(1+Параметры!$B$10),-1)))</f>
        <v>1810</v>
      </c>
      <c r="M15" s="23">
        <f>IF(K15=0,ROUND(ROUND(E15*(1+Параметры!$B$9),0)*(1+Параметры!$B$10),-1),IF(ROUND(ROUND(E15*(1+Параметры!$B$9),0)*(1+Параметры!$B$10),-1)&lt;=K15,ROUND(MAX(ROUND(ROUND(E15*(1+Параметры!$B$9),0)*(1+Параметры!$B$10),-1),K15*Параметры!$B$11),-1),ROUND(ROUND(E15*(1+Параметры!$B$9),0)*(1+Параметры!$B$10),-1)))</f>
        <v>2090</v>
      </c>
      <c r="N15" s="19">
        <f>COUNTIF(Расценки!$D$5:$D$2419,A15)</f>
        <v>342</v>
      </c>
    </row>
    <row r="16" spans="1:14" ht="30" x14ac:dyDescent="0.25">
      <c r="A16" s="19" t="s">
        <v>288</v>
      </c>
      <c r="B16" s="19" t="s">
        <v>4881</v>
      </c>
      <c r="C16" s="19" t="s">
        <v>4882</v>
      </c>
      <c r="D16" s="20">
        <v>850</v>
      </c>
      <c r="E16" s="20">
        <v>1020</v>
      </c>
      <c r="F16" s="21">
        <f>D16*Параметры!$B$3</f>
        <v>6800</v>
      </c>
      <c r="G16" s="21">
        <f>E16*Параметры!$B$3</f>
        <v>8160</v>
      </c>
      <c r="H16" s="21">
        <f>F16*Параметры!$B$4</f>
        <v>142800</v>
      </c>
      <c r="I16" s="21">
        <f>G16*Параметры!$B$4</f>
        <v>171360</v>
      </c>
      <c r="J16" s="22">
        <v>2200</v>
      </c>
      <c r="K16" s="22">
        <v>2600</v>
      </c>
      <c r="L16" s="23">
        <f>IF(J16=0,ROUND(ROUND(D16*(1+Параметры!$B$9),0)*(1+Параметры!$B$10),-1),IF(ROUND(ROUND(D16*(1+Параметры!$B$9),0)*(1+Параметры!$B$10),-1)&lt;=J16,ROUND(MAX(ROUND(ROUND(D16*(1+Параметры!$B$9),0)*(1+Параметры!$B$10),-1),J16*Параметры!$B$11),-1),ROUND(ROUND(D16*(1+Параметры!$B$9),0)*(1+Параметры!$B$10),-1)))</f>
        <v>2090</v>
      </c>
      <c r="M16" s="23">
        <f>IF(K16=0,ROUND(ROUND(E16*(1+Параметры!$B$9),0)*(1+Параметры!$B$10),-1),IF(ROUND(ROUND(E16*(1+Параметры!$B$9),0)*(1+Параметры!$B$10),-1)&lt;=K16,ROUND(MAX(ROUND(ROUND(E16*(1+Параметры!$B$9),0)*(1+Параметры!$B$10),-1),K16*Параметры!$B$11),-1),ROUND(ROUND(E16*(1+Параметры!$B$9),0)*(1+Параметры!$B$10),-1)))</f>
        <v>2470</v>
      </c>
      <c r="N16" s="19">
        <f>COUNTIF(Расценки!$D$5:$D$2419,A16)</f>
        <v>124</v>
      </c>
    </row>
    <row r="17" spans="1:14" ht="30" x14ac:dyDescent="0.25">
      <c r="A17" s="19" t="s">
        <v>299</v>
      </c>
      <c r="B17" s="19" t="s">
        <v>4883</v>
      </c>
      <c r="C17" s="19" t="s">
        <v>4884</v>
      </c>
      <c r="D17" s="20">
        <v>1200</v>
      </c>
      <c r="E17" s="20">
        <v>1440</v>
      </c>
      <c r="F17" s="21">
        <f>D17*Параметры!$B$3</f>
        <v>9600</v>
      </c>
      <c r="G17" s="21">
        <f>E17*Параметры!$B$3</f>
        <v>11520</v>
      </c>
      <c r="H17" s="21">
        <f>F17*Параметры!$B$4</f>
        <v>201600</v>
      </c>
      <c r="I17" s="21">
        <f>G17*Параметры!$B$4</f>
        <v>241920</v>
      </c>
      <c r="J17" s="22">
        <v>3000</v>
      </c>
      <c r="K17" s="22">
        <v>3500</v>
      </c>
      <c r="L17" s="23">
        <f>IF(J17=0,ROUND(ROUND(D17*(1+Параметры!$B$9),0)*(1+Параметры!$B$10),-1),IF(ROUND(ROUND(D17*(1+Параметры!$B$9),0)*(1+Параметры!$B$10),-1)&lt;=J17,ROUND(MAX(ROUND(ROUND(D17*(1+Параметры!$B$9),0)*(1+Параметры!$B$10),-1),J17*Параметры!$B$11),-1),ROUND(ROUND(D17*(1+Параметры!$B$9),0)*(1+Параметры!$B$10),-1)))</f>
        <v>2850</v>
      </c>
      <c r="M17" s="23">
        <f>IF(K17=0,ROUND(ROUND(E17*(1+Параметры!$B$9),0)*(1+Параметры!$B$10),-1),IF(ROUND(ROUND(E17*(1+Параметры!$B$9),0)*(1+Параметры!$B$10),-1)&lt;=K17,ROUND(MAX(ROUND(ROUND(E17*(1+Параметры!$B$9),0)*(1+Параметры!$B$10),-1),K17*Параметры!$B$11),-1),ROUND(ROUND(E17*(1+Параметры!$B$9),0)*(1+Параметры!$B$10),-1)))</f>
        <v>3330</v>
      </c>
      <c r="N17" s="19">
        <f>COUNTIF(Расценки!$D$5:$D$2419,A17)</f>
        <v>122</v>
      </c>
    </row>
    <row r="18" spans="1:14" x14ac:dyDescent="0.25">
      <c r="A18" s="19" t="s">
        <v>273</v>
      </c>
      <c r="B18" s="19" t="s">
        <v>4885</v>
      </c>
      <c r="C18" s="19" t="s">
        <v>4886</v>
      </c>
      <c r="D18" s="20">
        <v>850</v>
      </c>
      <c r="E18" s="20">
        <v>1020</v>
      </c>
      <c r="F18" s="21">
        <f>D18*Параметры!$B$3</f>
        <v>6800</v>
      </c>
      <c r="G18" s="21">
        <f>E18*Параметры!$B$3</f>
        <v>8160</v>
      </c>
      <c r="H18" s="21">
        <f>F18*Параметры!$B$4</f>
        <v>142800</v>
      </c>
      <c r="I18" s="21">
        <f>G18*Параметры!$B$4</f>
        <v>171360</v>
      </c>
      <c r="J18" s="22">
        <v>1900</v>
      </c>
      <c r="K18" s="22">
        <v>2200</v>
      </c>
      <c r="L18" s="23">
        <f>IF(J18=0,ROUND(ROUND(D18*(1+Параметры!$B$9),0)*(1+Параметры!$B$10),-1),IF(ROUND(ROUND(D18*(1+Параметры!$B$9),0)*(1+Параметры!$B$10),-1)&lt;=J18,ROUND(MAX(ROUND(ROUND(D18*(1+Параметры!$B$9),0)*(1+Параметры!$B$10),-1),J18*Параметры!$B$11),-1),ROUND(ROUND(D18*(1+Параметры!$B$9),0)*(1+Параметры!$B$10),-1)))</f>
        <v>1810</v>
      </c>
      <c r="M18" s="23">
        <f>IF(K18=0,ROUND(ROUND(E18*(1+Параметры!$B$9),0)*(1+Параметры!$B$10),-1),IF(ROUND(ROUND(E18*(1+Параметры!$B$9),0)*(1+Параметры!$B$10),-1)&lt;=K18,ROUND(MAX(ROUND(ROUND(E18*(1+Параметры!$B$9),0)*(1+Параметры!$B$10),-1),K18*Параметры!$B$11),-1),ROUND(ROUND(E18*(1+Параметры!$B$9),0)*(1+Параметры!$B$10),-1)))</f>
        <v>2090</v>
      </c>
      <c r="N18" s="19">
        <f>COUNTIF(Расценки!$D$5:$D$2419,A18)</f>
        <v>219</v>
      </c>
    </row>
    <row r="19" spans="1:14" ht="30" x14ac:dyDescent="0.25">
      <c r="A19" s="19" t="s">
        <v>2663</v>
      </c>
      <c r="B19" s="19" t="s">
        <v>4887</v>
      </c>
      <c r="C19" s="19" t="s">
        <v>4888</v>
      </c>
      <c r="D19" s="20">
        <v>1400</v>
      </c>
      <c r="E19" s="20">
        <v>1680</v>
      </c>
      <c r="F19" s="21">
        <f>D19*Параметры!$B$3</f>
        <v>11200</v>
      </c>
      <c r="G19" s="21">
        <f>E19*Параметры!$B$3</f>
        <v>13440</v>
      </c>
      <c r="H19" s="21">
        <f>F19*Параметры!$B$4</f>
        <v>235200</v>
      </c>
      <c r="I19" s="21">
        <f>G19*Параметры!$B$4</f>
        <v>282240</v>
      </c>
      <c r="J19" s="22">
        <v>3000</v>
      </c>
      <c r="K19" s="22">
        <v>3500</v>
      </c>
      <c r="L19" s="23">
        <f>IF(J19=0,ROUND(ROUND(D19*(1+Параметры!$B$9),0)*(1+Параметры!$B$10),-1),IF(ROUND(ROUND(D19*(1+Параметры!$B$9),0)*(1+Параметры!$B$10),-1)&lt;=J19,ROUND(MAX(ROUND(ROUND(D19*(1+Параметры!$B$9),0)*(1+Параметры!$B$10),-1),J19*Параметры!$B$11),-1),ROUND(ROUND(D19*(1+Параметры!$B$9),0)*(1+Параметры!$B$10),-1)))</f>
        <v>2850</v>
      </c>
      <c r="M19" s="23">
        <f>IF(K19=0,ROUND(ROUND(E19*(1+Параметры!$B$9),0)*(1+Параметры!$B$10),-1),IF(ROUND(ROUND(E19*(1+Параметры!$B$9),0)*(1+Параметры!$B$10),-1)&lt;=K19,ROUND(MAX(ROUND(ROUND(E19*(1+Параметры!$B$9),0)*(1+Параметры!$B$10),-1),K19*Параметры!$B$11),-1),ROUND(ROUND(E19*(1+Параметры!$B$9),0)*(1+Параметры!$B$10),-1)))</f>
        <v>3330</v>
      </c>
      <c r="N19" s="19">
        <f>COUNTIF(Расценки!$D$5:$D$2419,A19)</f>
        <v>47</v>
      </c>
    </row>
    <row r="20" spans="1:14" ht="30" x14ac:dyDescent="0.25">
      <c r="A20" s="19" t="s">
        <v>276</v>
      </c>
      <c r="B20" s="19" t="s">
        <v>4889</v>
      </c>
      <c r="C20" s="19" t="s">
        <v>4890</v>
      </c>
      <c r="D20" s="20">
        <v>800</v>
      </c>
      <c r="E20" s="20">
        <v>950</v>
      </c>
      <c r="F20" s="21">
        <f>D20*Параметры!$B$3</f>
        <v>6400</v>
      </c>
      <c r="G20" s="21">
        <f>E20*Параметры!$B$3</f>
        <v>7600</v>
      </c>
      <c r="H20" s="21">
        <f>F20*Параметры!$B$4</f>
        <v>134400</v>
      </c>
      <c r="I20" s="21">
        <f>G20*Параметры!$B$4</f>
        <v>159600</v>
      </c>
      <c r="J20" s="22">
        <v>1700</v>
      </c>
      <c r="K20" s="22">
        <v>2000</v>
      </c>
      <c r="L20" s="23">
        <f>IF(J20=0,ROUND(ROUND(D20*(1+Параметры!$B$9),0)*(1+Параметры!$B$10),-1),IF(ROUND(ROUND(D20*(1+Параметры!$B$9),0)*(1+Параметры!$B$10),-1)&lt;=J20,ROUND(MAX(ROUND(ROUND(D20*(1+Параметры!$B$9),0)*(1+Параметры!$B$10),-1),J20*Параметры!$B$11),-1),ROUND(ROUND(D20*(1+Параметры!$B$9),0)*(1+Параметры!$B$10),-1)))</f>
        <v>1620</v>
      </c>
      <c r="M20" s="23">
        <f>IF(K20=0,ROUND(ROUND(E20*(1+Параметры!$B$9),0)*(1+Параметры!$B$10),-1),IF(ROUND(ROUND(E20*(1+Параметры!$B$9),0)*(1+Параметры!$B$10),-1)&lt;=K20,ROUND(MAX(ROUND(ROUND(E20*(1+Параметры!$B$9),0)*(1+Параметры!$B$10),-1),K20*Параметры!$B$11),-1),ROUND(ROUND(E20*(1+Параметры!$B$9),0)*(1+Параметры!$B$10),-1)))</f>
        <v>1900</v>
      </c>
      <c r="N20" s="19">
        <f>COUNTIF(Расценки!$D$5:$D$2419,A20)</f>
        <v>141</v>
      </c>
    </row>
    <row r="21" spans="1:14" ht="30" x14ac:dyDescent="0.25">
      <c r="A21" s="19" t="s">
        <v>545</v>
      </c>
      <c r="B21" s="19" t="s">
        <v>4891</v>
      </c>
      <c r="C21" s="19" t="s">
        <v>4892</v>
      </c>
      <c r="D21" s="20">
        <v>1200</v>
      </c>
      <c r="E21" s="20">
        <v>1440</v>
      </c>
      <c r="F21" s="21">
        <f>D21*Параметры!$B$3</f>
        <v>9600</v>
      </c>
      <c r="G21" s="21">
        <f>E21*Параметры!$B$3</f>
        <v>11520</v>
      </c>
      <c r="H21" s="21">
        <f>F21*Параметры!$B$4</f>
        <v>201600</v>
      </c>
      <c r="I21" s="21">
        <f>G21*Параметры!$B$4</f>
        <v>241920</v>
      </c>
      <c r="J21" s="22">
        <v>2800</v>
      </c>
      <c r="K21" s="22">
        <v>3300</v>
      </c>
      <c r="L21" s="23">
        <f>IF(J21=0,ROUND(ROUND(D21*(1+Параметры!$B$9),0)*(1+Параметры!$B$10),-1),IF(ROUND(ROUND(D21*(1+Параметры!$B$9),0)*(1+Параметры!$B$10),-1)&lt;=J21,ROUND(MAX(ROUND(ROUND(D21*(1+Параметры!$B$9),0)*(1+Параметры!$B$10),-1),J21*Параметры!$B$11),-1),ROUND(ROUND(D21*(1+Параметры!$B$9),0)*(1+Параметры!$B$10),-1)))</f>
        <v>2660</v>
      </c>
      <c r="M21" s="23">
        <f>IF(K21=0,ROUND(ROUND(E21*(1+Параметры!$B$9),0)*(1+Параметры!$B$10),-1),IF(ROUND(ROUND(E21*(1+Параметры!$B$9),0)*(1+Параметры!$B$10),-1)&lt;=K21,ROUND(MAX(ROUND(ROUND(E21*(1+Параметры!$B$9),0)*(1+Параметры!$B$10),-1),K21*Параметры!$B$11),-1),ROUND(ROUND(E21*(1+Параметры!$B$9),0)*(1+Параметры!$B$10),-1)))</f>
        <v>3140</v>
      </c>
      <c r="N21" s="19">
        <f>COUNTIF(Расценки!$D$5:$D$2419,A21)</f>
        <v>326</v>
      </c>
    </row>
    <row r="22" spans="1:14" ht="30" x14ac:dyDescent="0.25">
      <c r="A22" s="19" t="s">
        <v>747</v>
      </c>
      <c r="B22" s="19" t="s">
        <v>4893</v>
      </c>
      <c r="C22" s="19" t="s">
        <v>4894</v>
      </c>
      <c r="D22" s="20">
        <v>1500</v>
      </c>
      <c r="E22" s="20">
        <v>1800</v>
      </c>
      <c r="F22" s="21">
        <f>D22*Параметры!$B$3</f>
        <v>12000</v>
      </c>
      <c r="G22" s="21">
        <f>E22*Параметры!$B$3</f>
        <v>14400</v>
      </c>
      <c r="H22" s="21">
        <f>F22*Параметры!$B$4</f>
        <v>252000</v>
      </c>
      <c r="I22" s="21">
        <f>G22*Параметры!$B$4</f>
        <v>302400</v>
      </c>
      <c r="J22" s="22">
        <v>3200</v>
      </c>
      <c r="K22" s="22">
        <v>3800</v>
      </c>
      <c r="L22" s="23">
        <f>IF(J22=0,ROUND(ROUND(D22*(1+Параметры!$B$9),0)*(1+Параметры!$B$10),-1),IF(ROUND(ROUND(D22*(1+Параметры!$B$9),0)*(1+Параметры!$B$10),-1)&lt;=J22,ROUND(MAX(ROUND(ROUND(D22*(1+Параметры!$B$9),0)*(1+Параметры!$B$10),-1),J22*Параметры!$B$11),-1),ROUND(ROUND(D22*(1+Параметры!$B$9),0)*(1+Параметры!$B$10),-1)))</f>
        <v>3040</v>
      </c>
      <c r="M22" s="23">
        <f>IF(K22=0,ROUND(ROUND(E22*(1+Параметры!$B$9),0)*(1+Параметры!$B$10),-1),IF(ROUND(ROUND(E22*(1+Параметры!$B$9),0)*(1+Параметры!$B$10),-1)&lt;=K22,ROUND(MAX(ROUND(ROUND(E22*(1+Параметры!$B$9),0)*(1+Параметры!$B$10),-1),K22*Параметры!$B$11),-1),ROUND(ROUND(E22*(1+Параметры!$B$9),0)*(1+Параметры!$B$10),-1)))</f>
        <v>3610</v>
      </c>
      <c r="N22" s="19">
        <f>COUNTIF(Расценки!$D$5:$D$2419,A22)</f>
        <v>198</v>
      </c>
    </row>
    <row r="23" spans="1:14" ht="30" x14ac:dyDescent="0.25">
      <c r="A23" s="19" t="s">
        <v>3109</v>
      </c>
      <c r="B23" s="19" t="s">
        <v>4895</v>
      </c>
      <c r="C23" s="19" t="s">
        <v>4896</v>
      </c>
      <c r="D23" s="20">
        <v>850</v>
      </c>
      <c r="E23" s="20">
        <v>1020</v>
      </c>
      <c r="F23" s="21">
        <f>D23*Параметры!$B$3</f>
        <v>6800</v>
      </c>
      <c r="G23" s="21">
        <f>E23*Параметры!$B$3</f>
        <v>8160</v>
      </c>
      <c r="H23" s="21">
        <f>F23*Параметры!$B$4</f>
        <v>142800</v>
      </c>
      <c r="I23" s="21">
        <f>G23*Параметры!$B$4</f>
        <v>171360</v>
      </c>
      <c r="J23" s="22">
        <v>1800</v>
      </c>
      <c r="K23" s="22">
        <v>2100</v>
      </c>
      <c r="L23" s="23">
        <f>IF(J23=0,ROUND(ROUND(D23*(1+Параметры!$B$9),0)*(1+Параметры!$B$10),-1),IF(ROUND(ROUND(D23*(1+Параметры!$B$9),0)*(1+Параметры!$B$10),-1)&lt;=J23,ROUND(MAX(ROUND(ROUND(D23*(1+Параметры!$B$9),0)*(1+Параметры!$B$10),-1),J23*Параметры!$B$11),-1),ROUND(ROUND(D23*(1+Параметры!$B$9),0)*(1+Параметры!$B$10),-1)))</f>
        <v>1710</v>
      </c>
      <c r="M23" s="23">
        <f>IF(K23=0,ROUND(ROUND(E23*(1+Параметры!$B$9),0)*(1+Параметры!$B$10),-1),IF(ROUND(ROUND(E23*(1+Параметры!$B$9),0)*(1+Параметры!$B$10),-1)&lt;=K23,ROUND(MAX(ROUND(ROUND(E23*(1+Параметры!$B$9),0)*(1+Параметры!$B$10),-1),K23*Параметры!$B$11),-1),ROUND(ROUND(E23*(1+Параметры!$B$9),0)*(1+Параметры!$B$10),-1)))</f>
        <v>2000</v>
      </c>
      <c r="N23" s="19">
        <f>COUNTIF(Расценки!$D$5:$D$2419,A23)</f>
        <v>51</v>
      </c>
    </row>
    <row r="24" spans="1:14" ht="30" x14ac:dyDescent="0.25">
      <c r="A24" s="19" t="s">
        <v>2686</v>
      </c>
      <c r="B24" s="19" t="s">
        <v>4897</v>
      </c>
      <c r="C24" s="19" t="s">
        <v>4898</v>
      </c>
      <c r="D24" s="20">
        <v>850</v>
      </c>
      <c r="E24" s="20">
        <v>1020</v>
      </c>
      <c r="F24" s="21">
        <f>D24*Параметры!$B$3</f>
        <v>6800</v>
      </c>
      <c r="G24" s="21">
        <f>E24*Параметры!$B$3</f>
        <v>8160</v>
      </c>
      <c r="H24" s="21">
        <f>F24*Параметры!$B$4</f>
        <v>142800</v>
      </c>
      <c r="I24" s="21">
        <f>G24*Параметры!$B$4</f>
        <v>171360</v>
      </c>
      <c r="J24" s="22">
        <v>1800</v>
      </c>
      <c r="K24" s="22">
        <v>2100</v>
      </c>
      <c r="L24" s="23">
        <f>IF(J24=0,ROUND(ROUND(D24*(1+Параметры!$B$9),0)*(1+Параметры!$B$10),-1),IF(ROUND(ROUND(D24*(1+Параметры!$B$9),0)*(1+Параметры!$B$10),-1)&lt;=J24,ROUND(MAX(ROUND(ROUND(D24*(1+Параметры!$B$9),0)*(1+Параметры!$B$10),-1),J24*Параметры!$B$11),-1),ROUND(ROUND(D24*(1+Параметры!$B$9),0)*(1+Параметры!$B$10),-1)))</f>
        <v>1710</v>
      </c>
      <c r="M24" s="23">
        <f>IF(K24=0,ROUND(ROUND(E24*(1+Параметры!$B$9),0)*(1+Параметры!$B$10),-1),IF(ROUND(ROUND(E24*(1+Параметры!$B$9),0)*(1+Параметры!$B$10),-1)&lt;=K24,ROUND(MAX(ROUND(ROUND(E24*(1+Параметры!$B$9),0)*(1+Параметры!$B$10),-1),K24*Параметры!$B$11),-1),ROUND(ROUND(E24*(1+Параметры!$B$9),0)*(1+Параметры!$B$10),-1)))</f>
        <v>2000</v>
      </c>
      <c r="N24" s="19">
        <f>COUNTIF(Расценки!$D$5:$D$2419,A24)</f>
        <v>6</v>
      </c>
    </row>
    <row r="26" spans="1:14" x14ac:dyDescent="0.25">
      <c r="A26" s="24" t="s">
        <v>4899</v>
      </c>
    </row>
    <row r="27" spans="1:14" x14ac:dyDescent="0.25">
      <c r="A27" s="25" t="s">
        <v>4900</v>
      </c>
    </row>
    <row r="28" spans="1:14" x14ac:dyDescent="0.25">
      <c r="A28" s="25" t="s">
        <v>4901</v>
      </c>
    </row>
    <row r="29" spans="1:14" x14ac:dyDescent="0.25">
      <c r="A29" s="25" t="s">
        <v>4902</v>
      </c>
    </row>
    <row r="30" spans="1:14" x14ac:dyDescent="0.25">
      <c r="A30" s="25" t="s">
        <v>4903</v>
      </c>
    </row>
  </sheetData>
  <mergeCells count="1">
    <mergeCell ref="A2:N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pane xSplit="2" ySplit="4" topLeftCell="C5" activePane="bottomRight" state="frozen"/>
      <selection pane="topRight"/>
      <selection pane="bottomLeft"/>
      <selection pane="bottomRight"/>
    </sheetView>
  </sheetViews>
  <sheetFormatPr defaultRowHeight="15" x14ac:dyDescent="0.25"/>
  <cols>
    <col min="1" max="1" width="6" customWidth="1"/>
    <col min="2" max="2" width="30" customWidth="1"/>
    <col min="3" max="3" width="58" customWidth="1"/>
    <col min="4" max="4" width="13" customWidth="1"/>
    <col min="5" max="5" width="10" customWidth="1"/>
    <col min="6" max="6" width="13" customWidth="1"/>
    <col min="7" max="7" width="12" customWidth="1"/>
    <col min="8" max="8" width="13" customWidth="1"/>
    <col min="9" max="9" width="10" customWidth="1"/>
    <col min="10" max="11" width="12" customWidth="1"/>
    <col min="12" max="12" width="14" customWidth="1"/>
  </cols>
  <sheetData>
    <row r="1" spans="1:12" ht="18.75" x14ac:dyDescent="0.3">
      <c r="A1" s="6" t="s">
        <v>4904</v>
      </c>
    </row>
    <row r="2" spans="1:12" ht="45" customHeight="1" x14ac:dyDescent="0.25">
      <c r="A2" s="32" t="s">
        <v>4905</v>
      </c>
      <c r="B2" s="31"/>
      <c r="C2" s="31"/>
      <c r="D2" s="31"/>
      <c r="E2" s="31"/>
      <c r="F2" s="31"/>
      <c r="G2" s="31"/>
      <c r="H2" s="31"/>
      <c r="I2" s="31"/>
      <c r="J2" s="31"/>
      <c r="K2" s="31"/>
      <c r="L2" s="31"/>
    </row>
    <row r="4" spans="1:12" ht="95.1" customHeight="1" x14ac:dyDescent="0.25">
      <c r="A4" s="7" t="s">
        <v>37</v>
      </c>
      <c r="B4" s="7" t="s">
        <v>4846</v>
      </c>
      <c r="C4" s="7" t="s">
        <v>4906</v>
      </c>
      <c r="D4" s="7" t="s">
        <v>4907</v>
      </c>
      <c r="E4" s="7" t="s">
        <v>4908</v>
      </c>
      <c r="F4" s="7" t="s">
        <v>4909</v>
      </c>
      <c r="G4" s="7" t="s">
        <v>4910</v>
      </c>
      <c r="H4" s="7" t="s">
        <v>4911</v>
      </c>
      <c r="I4" s="7" t="s">
        <v>4908</v>
      </c>
      <c r="J4" s="7" t="s">
        <v>4912</v>
      </c>
      <c r="K4" s="7" t="s">
        <v>4910</v>
      </c>
      <c r="L4" s="7" t="s">
        <v>4913</v>
      </c>
    </row>
    <row r="5" spans="1:12" ht="30" x14ac:dyDescent="0.25">
      <c r="A5" s="19" t="s">
        <v>60</v>
      </c>
      <c r="B5" s="19" t="str">
        <f>'Почасовка — ставки и план'!B5</f>
        <v>Разнорабочий / демонтажник</v>
      </c>
      <c r="C5" s="19" t="s">
        <v>4914</v>
      </c>
      <c r="D5" s="26">
        <f>ROUND('Почасовка — ставки и план'!D5*Параметры!$B$8,-1)</f>
        <v>470</v>
      </c>
      <c r="E5" s="26">
        <f>'Почасовка — ставки и план'!D5</f>
        <v>550</v>
      </c>
      <c r="F5" s="21">
        <f>D5*Параметры!$B$3*Параметры!$B$4</f>
        <v>78960</v>
      </c>
      <c r="G5" s="21">
        <f>E5*Параметры!$B$3*Параметры!$B$4</f>
        <v>92400</v>
      </c>
      <c r="H5" s="26">
        <f>ROUND('Почасовка — ставки и план'!E5*Параметры!$B$8,-1)</f>
        <v>560</v>
      </c>
      <c r="I5" s="26">
        <f>'Почасовка — ставки и план'!E5</f>
        <v>660</v>
      </c>
      <c r="J5" s="21">
        <f>H5*Параметры!$B$3*Параметры!$B$4</f>
        <v>94080</v>
      </c>
      <c r="K5" s="21">
        <f>I5*Параметры!$B$3*Параметры!$B$4</f>
        <v>110880</v>
      </c>
      <c r="L5" s="19" t="s">
        <v>4915</v>
      </c>
    </row>
    <row r="6" spans="1:12" x14ac:dyDescent="0.25">
      <c r="A6" s="19" t="s">
        <v>947</v>
      </c>
      <c r="B6" s="19" t="str">
        <f>'Почасовка — ставки и план'!B6</f>
        <v>Землекоп / рабочий земляных работ</v>
      </c>
      <c r="C6" s="19" t="s">
        <v>4916</v>
      </c>
      <c r="D6" s="26">
        <f>ROUND('Почасовка — ставки и план'!D6*Параметры!$B$8,-1)</f>
        <v>470</v>
      </c>
      <c r="E6" s="26">
        <f>'Почасовка — ставки и план'!D6</f>
        <v>550</v>
      </c>
      <c r="F6" s="21">
        <f>D6*Параметры!$B$3*Параметры!$B$4</f>
        <v>78960</v>
      </c>
      <c r="G6" s="21">
        <f>E6*Параметры!$B$3*Параметры!$B$4</f>
        <v>92400</v>
      </c>
      <c r="H6" s="26">
        <f>ROUND('Почасовка — ставки и план'!E6*Параметры!$B$8,-1)</f>
        <v>560</v>
      </c>
      <c r="I6" s="26">
        <f>'Почасовка — ставки и план'!E6</f>
        <v>660</v>
      </c>
      <c r="J6" s="21">
        <f>H6*Параметры!$B$3*Параметры!$B$4</f>
        <v>94080</v>
      </c>
      <c r="K6" s="21">
        <f>I6*Параметры!$B$3*Параметры!$B$4</f>
        <v>110880</v>
      </c>
      <c r="L6" s="19" t="s">
        <v>4915</v>
      </c>
    </row>
    <row r="7" spans="1:12" x14ac:dyDescent="0.25">
      <c r="A7" s="19" t="s">
        <v>56</v>
      </c>
      <c r="B7" s="19" t="str">
        <f>'Почасовка — ставки и план'!B7</f>
        <v>Дорожный рабочий / благоустройство</v>
      </c>
      <c r="C7" s="19" t="s">
        <v>4917</v>
      </c>
      <c r="D7" s="26">
        <f>ROUND('Почасовка — ставки и план'!D7*Параметры!$B$8,-1)</f>
        <v>550</v>
      </c>
      <c r="E7" s="26">
        <f>'Почасовка — ставки и план'!D7</f>
        <v>650</v>
      </c>
      <c r="F7" s="21">
        <f>D7*Параметры!$B$3*Параметры!$B$4</f>
        <v>92400</v>
      </c>
      <c r="G7" s="21">
        <f>E7*Параметры!$B$3*Параметры!$B$4</f>
        <v>109200</v>
      </c>
      <c r="H7" s="26">
        <f>ROUND('Почасовка — ставки и план'!E7*Параметры!$B$8,-1)</f>
        <v>660</v>
      </c>
      <c r="I7" s="26">
        <f>'Почасовка — ставки и план'!E7</f>
        <v>780</v>
      </c>
      <c r="J7" s="21">
        <f>H7*Параметры!$B$3*Параметры!$B$4</f>
        <v>110880</v>
      </c>
      <c r="K7" s="21">
        <f>I7*Параметры!$B$3*Параметры!$B$4</f>
        <v>131040</v>
      </c>
      <c r="L7" s="19" t="s">
        <v>4918</v>
      </c>
    </row>
    <row r="8" spans="1:12" ht="30" x14ac:dyDescent="0.25">
      <c r="A8" s="19" t="s">
        <v>162</v>
      </c>
      <c r="B8" s="19" t="str">
        <f>'Почасовка — ставки и план'!B8</f>
        <v>Бетонщик / арматурщик</v>
      </c>
      <c r="C8" s="19" t="s">
        <v>4919</v>
      </c>
      <c r="D8" s="26">
        <f>ROUND('Почасовка — ставки и план'!D8*Параметры!$B$8,-1)</f>
        <v>680</v>
      </c>
      <c r="E8" s="26">
        <f>'Почасовка — ставки и план'!D8</f>
        <v>800</v>
      </c>
      <c r="F8" s="21">
        <f>D8*Параметры!$B$3*Параметры!$B$4</f>
        <v>114240</v>
      </c>
      <c r="G8" s="21">
        <f>E8*Параметры!$B$3*Параметры!$B$4</f>
        <v>134400</v>
      </c>
      <c r="H8" s="26">
        <f>ROUND('Почасовка — ставки и план'!E8*Параметры!$B$8,-1)</f>
        <v>810</v>
      </c>
      <c r="I8" s="26">
        <f>'Почасовка — ставки и план'!E8</f>
        <v>950</v>
      </c>
      <c r="J8" s="21">
        <f>H8*Параметры!$B$3*Параметры!$B$4</f>
        <v>136080</v>
      </c>
      <c r="K8" s="21">
        <f>I8*Параметры!$B$3*Параметры!$B$4</f>
        <v>159600</v>
      </c>
      <c r="L8" s="19" t="s">
        <v>4920</v>
      </c>
    </row>
    <row r="9" spans="1:12" x14ac:dyDescent="0.25">
      <c r="A9" s="19" t="s">
        <v>252</v>
      </c>
      <c r="B9" s="19" t="str">
        <f>'Почасовка — ставки и план'!B9</f>
        <v>Каменщик</v>
      </c>
      <c r="C9" s="19" t="s">
        <v>4921</v>
      </c>
      <c r="D9" s="26">
        <f>ROUND('Почасовка — ставки и план'!D9*Параметры!$B$8,-1)</f>
        <v>680</v>
      </c>
      <c r="E9" s="26">
        <f>'Почасовка — ставки и план'!D9</f>
        <v>800</v>
      </c>
      <c r="F9" s="21">
        <f>D9*Параметры!$B$3*Параметры!$B$4</f>
        <v>114240</v>
      </c>
      <c r="G9" s="21">
        <f>E9*Параметры!$B$3*Параметры!$B$4</f>
        <v>134400</v>
      </c>
      <c r="H9" s="26">
        <f>ROUND('Почасовка — ставки и план'!E9*Параметры!$B$8,-1)</f>
        <v>810</v>
      </c>
      <c r="I9" s="26">
        <f>'Почасовка — ставки и план'!E9</f>
        <v>950</v>
      </c>
      <c r="J9" s="21">
        <f>H9*Параметры!$B$3*Параметры!$B$4</f>
        <v>136080</v>
      </c>
      <c r="K9" s="21">
        <f>I9*Параметры!$B$3*Параметры!$B$4</f>
        <v>159600</v>
      </c>
      <c r="L9" s="19" t="s">
        <v>4922</v>
      </c>
    </row>
    <row r="10" spans="1:12" ht="30" x14ac:dyDescent="0.25">
      <c r="A10" s="19" t="s">
        <v>208</v>
      </c>
      <c r="B10" s="19" t="str">
        <f>'Почасовка — ставки и план'!B10</f>
        <v>Отделочник (штукатур, маляр, ГКЛ)</v>
      </c>
      <c r="C10" s="19" t="s">
        <v>4923</v>
      </c>
      <c r="D10" s="26">
        <f>ROUND('Почасовка — ставки и план'!D10*Параметры!$B$8,-1)</f>
        <v>640</v>
      </c>
      <c r="E10" s="26">
        <f>'Почасовка — ставки и план'!D10</f>
        <v>750</v>
      </c>
      <c r="F10" s="21">
        <f>D10*Параметры!$B$3*Параметры!$B$4</f>
        <v>107520</v>
      </c>
      <c r="G10" s="21">
        <f>E10*Параметры!$B$3*Параметры!$B$4</f>
        <v>126000</v>
      </c>
      <c r="H10" s="26">
        <f>ROUND('Почасовка — ставки и план'!E10*Параметры!$B$8,-1)</f>
        <v>770</v>
      </c>
      <c r="I10" s="26">
        <f>'Почасовка — ставки и план'!E10</f>
        <v>900</v>
      </c>
      <c r="J10" s="21">
        <f>H10*Параметры!$B$3*Параметры!$B$4</f>
        <v>129360</v>
      </c>
      <c r="K10" s="21">
        <f>I10*Параметры!$B$3*Параметры!$B$4</f>
        <v>151200</v>
      </c>
      <c r="L10" s="19" t="s">
        <v>4924</v>
      </c>
    </row>
    <row r="11" spans="1:12" x14ac:dyDescent="0.25">
      <c r="A11" s="19" t="s">
        <v>200</v>
      </c>
      <c r="B11" s="19" t="str">
        <f>'Почасовка — ставки и план'!B11</f>
        <v>Плиточник / укладчик полов</v>
      </c>
      <c r="C11" s="19" t="s">
        <v>4925</v>
      </c>
      <c r="D11" s="26">
        <f>ROUND('Почасовка — ставки и план'!D11*Параметры!$B$8,-1)</f>
        <v>770</v>
      </c>
      <c r="E11" s="26">
        <f>'Почасовка — ставки и план'!D11</f>
        <v>900</v>
      </c>
      <c r="F11" s="21">
        <f>D11*Параметры!$B$3*Параметры!$B$4</f>
        <v>129360</v>
      </c>
      <c r="G11" s="21">
        <f>E11*Параметры!$B$3*Параметры!$B$4</f>
        <v>151200</v>
      </c>
      <c r="H11" s="26">
        <f>ROUND('Почасовка — ставки и план'!E11*Параметры!$B$8,-1)</f>
        <v>920</v>
      </c>
      <c r="I11" s="26">
        <f>'Почасовка — ставки и план'!E11</f>
        <v>1080</v>
      </c>
      <c r="J11" s="21">
        <f>H11*Параметры!$B$3*Параметры!$B$4</f>
        <v>154560</v>
      </c>
      <c r="K11" s="21">
        <f>I11*Параметры!$B$3*Параметры!$B$4</f>
        <v>181440</v>
      </c>
      <c r="L11" s="19" t="s">
        <v>4926</v>
      </c>
    </row>
    <row r="12" spans="1:12" ht="30" x14ac:dyDescent="0.25">
      <c r="A12" s="19" t="s">
        <v>88</v>
      </c>
      <c r="B12" s="19" t="str">
        <f>'Почасовка — ставки и план'!B12</f>
        <v>Кровельщик</v>
      </c>
      <c r="C12" s="19" t="s">
        <v>4927</v>
      </c>
      <c r="D12" s="26">
        <f>ROUND('Почасовка — ставки и план'!D12*Параметры!$B$8,-1)</f>
        <v>680</v>
      </c>
      <c r="E12" s="26">
        <f>'Почасовка — ставки и план'!D12</f>
        <v>800</v>
      </c>
      <c r="F12" s="21">
        <f>D12*Параметры!$B$3*Параметры!$B$4</f>
        <v>114240</v>
      </c>
      <c r="G12" s="21">
        <f>E12*Параметры!$B$3*Параметры!$B$4</f>
        <v>134400</v>
      </c>
      <c r="H12" s="26">
        <f>ROUND('Почасовка — ставки и план'!E12*Параметры!$B$8,-1)</f>
        <v>810</v>
      </c>
      <c r="I12" s="26">
        <f>'Почасовка — ставки и план'!E12</f>
        <v>950</v>
      </c>
      <c r="J12" s="21">
        <f>H12*Параметры!$B$3*Параметры!$B$4</f>
        <v>136080</v>
      </c>
      <c r="K12" s="21">
        <f>I12*Параметры!$B$3*Параметры!$B$4</f>
        <v>159600</v>
      </c>
      <c r="L12" s="19" t="s">
        <v>4928</v>
      </c>
    </row>
    <row r="13" spans="1:12" ht="30" x14ac:dyDescent="0.25">
      <c r="A13" s="19" t="s">
        <v>91</v>
      </c>
      <c r="B13" s="19" t="str">
        <f>'Почасовка — ставки и план'!B13</f>
        <v>Фасадчик / промальпинист</v>
      </c>
      <c r="C13" s="19" t="s">
        <v>4929</v>
      </c>
      <c r="D13" s="26">
        <f>ROUND('Почасовка — ставки и план'!D13*Параметры!$B$8,-1)</f>
        <v>940</v>
      </c>
      <c r="E13" s="26">
        <f>'Почасовка — ставки и план'!D13</f>
        <v>1100</v>
      </c>
      <c r="F13" s="21">
        <f>D13*Параметры!$B$3*Параметры!$B$4</f>
        <v>157920</v>
      </c>
      <c r="G13" s="21">
        <f>E13*Параметры!$B$3*Параметры!$B$4</f>
        <v>184800</v>
      </c>
      <c r="H13" s="26">
        <f>ROUND('Почасовка — ставки и план'!E13*Параметры!$B$8,-1)</f>
        <v>1110</v>
      </c>
      <c r="I13" s="26">
        <f>'Почасовка — ставки и план'!E13</f>
        <v>1300</v>
      </c>
      <c r="J13" s="21">
        <f>H13*Параметры!$B$3*Параметры!$B$4</f>
        <v>186480</v>
      </c>
      <c r="K13" s="21">
        <f>I13*Параметры!$B$3*Параметры!$B$4</f>
        <v>218400</v>
      </c>
      <c r="L13" s="19" t="s">
        <v>4930</v>
      </c>
    </row>
    <row r="14" spans="1:12" ht="30" x14ac:dyDescent="0.25">
      <c r="A14" s="19" t="s">
        <v>64</v>
      </c>
      <c r="B14" s="19" t="str">
        <f>'Почасовка — ставки и план'!B14</f>
        <v>Сварщик / монтажник МК</v>
      </c>
      <c r="C14" s="19" t="s">
        <v>4931</v>
      </c>
      <c r="D14" s="26">
        <f>ROUND('Почасовка — ставки и план'!D14*Параметры!$B$8,-1)</f>
        <v>770</v>
      </c>
      <c r="E14" s="26">
        <f>'Почасовка — ставки и план'!D14</f>
        <v>900</v>
      </c>
      <c r="F14" s="21">
        <f>D14*Параметры!$B$3*Параметры!$B$4</f>
        <v>129360</v>
      </c>
      <c r="G14" s="21">
        <f>E14*Параметры!$B$3*Параметры!$B$4</f>
        <v>151200</v>
      </c>
      <c r="H14" s="26">
        <f>ROUND('Почасовка — ставки и план'!E14*Параметры!$B$8,-1)</f>
        <v>920</v>
      </c>
      <c r="I14" s="26">
        <f>'Почасовка — ставки и план'!E14</f>
        <v>1080</v>
      </c>
      <c r="J14" s="21">
        <f>H14*Параметры!$B$3*Параметры!$B$4</f>
        <v>154560</v>
      </c>
      <c r="K14" s="21">
        <f>I14*Параметры!$B$3*Параметры!$B$4</f>
        <v>181440</v>
      </c>
      <c r="L14" s="19" t="s">
        <v>4932</v>
      </c>
    </row>
    <row r="15" spans="1:12" ht="30" x14ac:dyDescent="0.25">
      <c r="A15" s="19" t="s">
        <v>326</v>
      </c>
      <c r="B15" s="19" t="str">
        <f>'Почасовка — ставки и план'!B15</f>
        <v>Сантехник</v>
      </c>
      <c r="C15" s="19" t="s">
        <v>4933</v>
      </c>
      <c r="D15" s="26">
        <f>ROUND('Почасовка — ставки и план'!D15*Параметры!$B$8,-1)</f>
        <v>720</v>
      </c>
      <c r="E15" s="26">
        <f>'Почасовка — ставки и план'!D15</f>
        <v>850</v>
      </c>
      <c r="F15" s="21">
        <f>D15*Параметры!$B$3*Параметры!$B$4</f>
        <v>120960</v>
      </c>
      <c r="G15" s="21">
        <f>E15*Параметры!$B$3*Параметры!$B$4</f>
        <v>142800</v>
      </c>
      <c r="H15" s="26">
        <f>ROUND('Почасовка — ставки и план'!E15*Параметры!$B$8,-1)</f>
        <v>870</v>
      </c>
      <c r="I15" s="26">
        <f>'Почасовка — ставки и план'!E15</f>
        <v>1020</v>
      </c>
      <c r="J15" s="21">
        <f>H15*Параметры!$B$3*Параметры!$B$4</f>
        <v>146160</v>
      </c>
      <c r="K15" s="21">
        <f>I15*Параметры!$B$3*Параметры!$B$4</f>
        <v>171360</v>
      </c>
      <c r="L15" s="19" t="s">
        <v>4928</v>
      </c>
    </row>
    <row r="16" spans="1:12" ht="30" x14ac:dyDescent="0.25">
      <c r="A16" s="19" t="s">
        <v>288</v>
      </c>
      <c r="B16" s="19" t="str">
        <f>'Почасовка — ставки и план'!B16</f>
        <v>Монтажник вентиляции</v>
      </c>
      <c r="C16" s="19" t="s">
        <v>4934</v>
      </c>
      <c r="D16" s="26">
        <f>ROUND('Почасовка — ставки и план'!D16*Параметры!$B$8,-1)</f>
        <v>720</v>
      </c>
      <c r="E16" s="26">
        <f>'Почасовка — ставки и план'!D16</f>
        <v>850</v>
      </c>
      <c r="F16" s="21">
        <f>D16*Параметры!$B$3*Параметры!$B$4</f>
        <v>120960</v>
      </c>
      <c r="G16" s="21">
        <f>E16*Параметры!$B$3*Параметры!$B$4</f>
        <v>142800</v>
      </c>
      <c r="H16" s="26">
        <f>ROUND('Почасовка — ставки и план'!E16*Параметры!$B$8,-1)</f>
        <v>870</v>
      </c>
      <c r="I16" s="26">
        <f>'Почасовка — ставки и план'!E16</f>
        <v>1020</v>
      </c>
      <c r="J16" s="21">
        <f>H16*Параметры!$B$3*Параметры!$B$4</f>
        <v>146160</v>
      </c>
      <c r="K16" s="21">
        <f>I16*Параметры!$B$3*Параметры!$B$4</f>
        <v>171360</v>
      </c>
      <c r="L16" s="19" t="s">
        <v>4926</v>
      </c>
    </row>
    <row r="17" spans="1:12" ht="45" x14ac:dyDescent="0.25">
      <c r="A17" s="19" t="s">
        <v>299</v>
      </c>
      <c r="B17" s="19" t="str">
        <f>'Почасовка — ставки и план'!B17</f>
        <v>Холодильщик / монтажник кондиционеров</v>
      </c>
      <c r="C17" s="19" t="s">
        <v>4935</v>
      </c>
      <c r="D17" s="26">
        <f>ROUND('Почасовка — ставки и план'!D17*Параметры!$B$8,-1)</f>
        <v>1020</v>
      </c>
      <c r="E17" s="26">
        <f>'Почасовка — ставки и план'!D17</f>
        <v>1200</v>
      </c>
      <c r="F17" s="21">
        <f>D17*Параметры!$B$3*Параметры!$B$4</f>
        <v>171360</v>
      </c>
      <c r="G17" s="21">
        <f>E17*Параметры!$B$3*Параметры!$B$4</f>
        <v>201600</v>
      </c>
      <c r="H17" s="26">
        <f>ROUND('Почасовка — ставки и план'!E17*Параметры!$B$8,-1)</f>
        <v>1220</v>
      </c>
      <c r="I17" s="26">
        <f>'Почасовка — ставки и план'!E17</f>
        <v>1440</v>
      </c>
      <c r="J17" s="21">
        <f>H17*Параметры!$B$3*Параметры!$B$4</f>
        <v>204960</v>
      </c>
      <c r="K17" s="21">
        <f>I17*Параметры!$B$3*Параметры!$B$4</f>
        <v>241920</v>
      </c>
      <c r="L17" s="19" t="s">
        <v>4936</v>
      </c>
    </row>
    <row r="18" spans="1:12" ht="30" x14ac:dyDescent="0.25">
      <c r="A18" s="19" t="s">
        <v>273</v>
      </c>
      <c r="B18" s="19" t="str">
        <f>'Почасовка — ставки и план'!B18</f>
        <v>Электромонтажник</v>
      </c>
      <c r="C18" s="19" t="s">
        <v>4937</v>
      </c>
      <c r="D18" s="26">
        <f>ROUND('Почасовка — ставки и план'!D18*Параметры!$B$8,-1)</f>
        <v>720</v>
      </c>
      <c r="E18" s="26">
        <f>'Почасовка — ставки и план'!D18</f>
        <v>850</v>
      </c>
      <c r="F18" s="21">
        <f>D18*Параметры!$B$3*Параметры!$B$4</f>
        <v>120960</v>
      </c>
      <c r="G18" s="21">
        <f>E18*Параметры!$B$3*Параметры!$B$4</f>
        <v>142800</v>
      </c>
      <c r="H18" s="26">
        <f>ROUND('Почасовка — ставки и план'!E18*Параметры!$B$8,-1)</f>
        <v>870</v>
      </c>
      <c r="I18" s="26">
        <f>'Почасовка — ставки и план'!E18</f>
        <v>1020</v>
      </c>
      <c r="J18" s="21">
        <f>H18*Параметры!$B$3*Параметры!$B$4</f>
        <v>146160</v>
      </c>
      <c r="K18" s="21">
        <f>I18*Параметры!$B$3*Параметры!$B$4</f>
        <v>171360</v>
      </c>
      <c r="L18" s="19" t="s">
        <v>4938</v>
      </c>
    </row>
    <row r="19" spans="1:12" ht="30" x14ac:dyDescent="0.25">
      <c r="A19" s="19" t="s">
        <v>2663</v>
      </c>
      <c r="B19" s="19" t="str">
        <f>'Почасовка — ставки и план'!B19</f>
        <v>Инженер электролаборатории / ПНР</v>
      </c>
      <c r="C19" s="19" t="s">
        <v>4939</v>
      </c>
      <c r="D19" s="26">
        <f>ROUND('Почасовка — ставки и план'!D19*Параметры!$B$8,-1)</f>
        <v>1190</v>
      </c>
      <c r="E19" s="26">
        <f>'Почасовка — ставки и план'!D19</f>
        <v>1400</v>
      </c>
      <c r="F19" s="21">
        <f>D19*Параметры!$B$3*Параметры!$B$4</f>
        <v>199920</v>
      </c>
      <c r="G19" s="21">
        <f>E19*Параметры!$B$3*Параметры!$B$4</f>
        <v>235200</v>
      </c>
      <c r="H19" s="26">
        <f>ROUND('Почасовка — ставки и план'!E19*Параметры!$B$8,-1)</f>
        <v>1430</v>
      </c>
      <c r="I19" s="26">
        <f>'Почасовка — ставки и план'!E19</f>
        <v>1680</v>
      </c>
      <c r="J19" s="21">
        <f>H19*Параметры!$B$3*Параметры!$B$4</f>
        <v>240240</v>
      </c>
      <c r="K19" s="21">
        <f>I19*Параметры!$B$3*Параметры!$B$4</f>
        <v>282240</v>
      </c>
      <c r="L19" s="19" t="s">
        <v>4936</v>
      </c>
    </row>
    <row r="20" spans="1:12" ht="30" x14ac:dyDescent="0.25">
      <c r="A20" s="19" t="s">
        <v>276</v>
      </c>
      <c r="B20" s="19" t="str">
        <f>'Почасовка — ставки и план'!B20</f>
        <v>Монтажник дверей, окон, перегородок</v>
      </c>
      <c r="C20" s="19" t="s">
        <v>4940</v>
      </c>
      <c r="D20" s="26">
        <f>ROUND('Почасовка — ставки и план'!D20*Параметры!$B$8,-1)</f>
        <v>680</v>
      </c>
      <c r="E20" s="26">
        <f>'Почасовка — ставки и план'!D20</f>
        <v>800</v>
      </c>
      <c r="F20" s="21">
        <f>D20*Параметры!$B$3*Параметры!$B$4</f>
        <v>114240</v>
      </c>
      <c r="G20" s="21">
        <f>E20*Параметры!$B$3*Параметры!$B$4</f>
        <v>134400</v>
      </c>
      <c r="H20" s="26">
        <f>ROUND('Почасовка — ставки и план'!E20*Параметры!$B$8,-1)</f>
        <v>810</v>
      </c>
      <c r="I20" s="26">
        <f>'Почасовка — ставки и план'!E20</f>
        <v>950</v>
      </c>
      <c r="J20" s="21">
        <f>H20*Параметры!$B$3*Параметры!$B$4</f>
        <v>136080</v>
      </c>
      <c r="K20" s="21">
        <f>I20*Параметры!$B$3*Параметры!$B$4</f>
        <v>159600</v>
      </c>
      <c r="L20" s="19" t="s">
        <v>4938</v>
      </c>
    </row>
    <row r="21" spans="1:12" ht="45" x14ac:dyDescent="0.25">
      <c r="A21" s="19" t="s">
        <v>545</v>
      </c>
      <c r="B21" s="19" t="str">
        <f>'Почасовка — ставки и план'!B21</f>
        <v>Сервисный инженер ворот и автоматики</v>
      </c>
      <c r="C21" s="19" t="s">
        <v>4941</v>
      </c>
      <c r="D21" s="26">
        <f>ROUND('Почасовка — ставки и план'!D21*Параметры!$B$8,-1)</f>
        <v>1020</v>
      </c>
      <c r="E21" s="26">
        <f>'Почасовка — ставки и план'!D21</f>
        <v>1200</v>
      </c>
      <c r="F21" s="21">
        <f>D21*Параметры!$B$3*Параметры!$B$4</f>
        <v>171360</v>
      </c>
      <c r="G21" s="21">
        <f>E21*Параметры!$B$3*Параметры!$B$4</f>
        <v>201600</v>
      </c>
      <c r="H21" s="26">
        <f>ROUND('Почасовка — ставки и план'!E21*Параметры!$B$8,-1)</f>
        <v>1220</v>
      </c>
      <c r="I21" s="26">
        <f>'Почасовка — ставки и план'!E21</f>
        <v>1440</v>
      </c>
      <c r="J21" s="21">
        <f>H21*Параметры!$B$3*Параметры!$B$4</f>
        <v>204960</v>
      </c>
      <c r="K21" s="21">
        <f>I21*Параметры!$B$3*Параметры!$B$4</f>
        <v>241920</v>
      </c>
      <c r="L21" s="19" t="s">
        <v>4942</v>
      </c>
    </row>
    <row r="22" spans="1:12" ht="30" x14ac:dyDescent="0.25">
      <c r="A22" s="19" t="s">
        <v>747</v>
      </c>
      <c r="B22" s="19" t="str">
        <f>'Почасовка — ставки и план'!B22</f>
        <v>Механик ПС / подъёмников / прессов / доков</v>
      </c>
      <c r="C22" s="19" t="s">
        <v>4943</v>
      </c>
      <c r="D22" s="26">
        <f>ROUND('Почасовка — ставки и план'!D22*Параметры!$B$8,-1)</f>
        <v>1280</v>
      </c>
      <c r="E22" s="26">
        <f>'Почасовка — ставки и план'!D22</f>
        <v>1500</v>
      </c>
      <c r="F22" s="21">
        <f>D22*Параметры!$B$3*Параметры!$B$4</f>
        <v>215040</v>
      </c>
      <c r="G22" s="21">
        <f>E22*Параметры!$B$3*Параметры!$B$4</f>
        <v>252000</v>
      </c>
      <c r="H22" s="26">
        <f>ROUND('Почасовка — ставки и план'!E22*Параметры!$B$8,-1)</f>
        <v>1530</v>
      </c>
      <c r="I22" s="26">
        <f>'Почасовка — ставки и план'!E22</f>
        <v>1800</v>
      </c>
      <c r="J22" s="21">
        <f>H22*Параметры!$B$3*Параметры!$B$4</f>
        <v>257040</v>
      </c>
      <c r="K22" s="21">
        <f>I22*Параметры!$B$3*Параметры!$B$4</f>
        <v>302400</v>
      </c>
      <c r="L22" s="19" t="s">
        <v>4936</v>
      </c>
    </row>
    <row r="23" spans="1:12" x14ac:dyDescent="0.25">
      <c r="A23" s="19" t="s">
        <v>3109</v>
      </c>
      <c r="B23" s="19" t="str">
        <f>'Почасовка — ставки и план'!B23</f>
        <v>Монтажник наружных сетей</v>
      </c>
      <c r="C23" s="19" t="s">
        <v>4944</v>
      </c>
      <c r="D23" s="26">
        <f>ROUND('Почасовка — ставки и план'!D23*Параметры!$B$8,-1)</f>
        <v>720</v>
      </c>
      <c r="E23" s="26">
        <f>'Почасовка — ставки и план'!D23</f>
        <v>850</v>
      </c>
      <c r="F23" s="21">
        <f>D23*Параметры!$B$3*Параметры!$B$4</f>
        <v>120960</v>
      </c>
      <c r="G23" s="21">
        <f>E23*Параметры!$B$3*Параметры!$B$4</f>
        <v>142800</v>
      </c>
      <c r="H23" s="26">
        <f>ROUND('Почасовка — ставки и план'!E23*Параметры!$B$8,-1)</f>
        <v>870</v>
      </c>
      <c r="I23" s="26">
        <f>'Почасовка — ставки и план'!E23</f>
        <v>1020</v>
      </c>
      <c r="J23" s="21">
        <f>H23*Параметры!$B$3*Параметры!$B$4</f>
        <v>146160</v>
      </c>
      <c r="K23" s="21">
        <f>I23*Параметры!$B$3*Параметры!$B$4</f>
        <v>171360</v>
      </c>
      <c r="L23" s="19" t="s">
        <v>4928</v>
      </c>
    </row>
    <row r="24" spans="1:12" x14ac:dyDescent="0.25">
      <c r="A24" s="19" t="s">
        <v>2686</v>
      </c>
      <c r="B24" s="19" t="str">
        <f>'Почасовка — ставки и план'!B24</f>
        <v>Дезинфектор (ОЗДС)</v>
      </c>
      <c r="C24" s="19" t="s">
        <v>4945</v>
      </c>
      <c r="D24" s="26">
        <f>ROUND('Почасовка — ставки и план'!D24*Параметры!$B$8,-1)</f>
        <v>720</v>
      </c>
      <c r="E24" s="26">
        <f>'Почасовка — ставки и план'!D24</f>
        <v>850</v>
      </c>
      <c r="F24" s="21">
        <f>D24*Параметры!$B$3*Параметры!$B$4</f>
        <v>120960</v>
      </c>
      <c r="G24" s="21">
        <f>E24*Параметры!$B$3*Параметры!$B$4</f>
        <v>142800</v>
      </c>
      <c r="H24" s="26">
        <f>ROUND('Почасовка — ставки и план'!E24*Параметры!$B$8,-1)</f>
        <v>870</v>
      </c>
      <c r="I24" s="26">
        <f>'Почасовка — ставки и план'!E24</f>
        <v>1020</v>
      </c>
      <c r="J24" s="21">
        <f>H24*Параметры!$B$3*Параметры!$B$4</f>
        <v>146160</v>
      </c>
      <c r="K24" s="21">
        <f>I24*Параметры!$B$3*Параметры!$B$4</f>
        <v>171360</v>
      </c>
      <c r="L24" s="19" t="s">
        <v>4920</v>
      </c>
    </row>
    <row r="26" spans="1:12" x14ac:dyDescent="0.25">
      <c r="A26" s="24" t="s">
        <v>4946</v>
      </c>
    </row>
    <row r="27" spans="1:12" x14ac:dyDescent="0.25">
      <c r="A27" s="25" t="s">
        <v>4947</v>
      </c>
    </row>
    <row r="28" spans="1:12" x14ac:dyDescent="0.25">
      <c r="A28" s="25" t="s">
        <v>4948</v>
      </c>
    </row>
    <row r="29" spans="1:12" x14ac:dyDescent="0.25">
      <c r="A29" s="25" t="s">
        <v>4949</v>
      </c>
    </row>
    <row r="30" spans="1:12" x14ac:dyDescent="0.25">
      <c r="A30" s="25" t="s">
        <v>4950</v>
      </c>
    </row>
    <row r="31" spans="1:12" x14ac:dyDescent="0.25">
      <c r="A31" s="25" t="s">
        <v>4951</v>
      </c>
    </row>
    <row r="32" spans="1:12" x14ac:dyDescent="0.25">
      <c r="A32" s="27" t="s">
        <v>4952</v>
      </c>
    </row>
  </sheetData>
  <mergeCells count="1">
    <mergeCell ref="A2:L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heetViews>
  <sheetFormatPr defaultRowHeight="15" x14ac:dyDescent="0.25"/>
  <cols>
    <col min="1" max="1" width="44" customWidth="1"/>
    <col min="2" max="2" width="11" customWidth="1"/>
    <col min="3" max="3" width="100" customWidth="1"/>
  </cols>
  <sheetData>
    <row r="1" spans="1:3" ht="18.75" x14ac:dyDescent="0.3">
      <c r="A1" s="6" t="s">
        <v>4953</v>
      </c>
    </row>
    <row r="2" spans="1:3" ht="21.95" customHeight="1" x14ac:dyDescent="0.25">
      <c r="A2" s="7" t="s">
        <v>4954</v>
      </c>
      <c r="B2" s="7" t="s">
        <v>4955</v>
      </c>
      <c r="C2" s="7" t="s">
        <v>4956</v>
      </c>
    </row>
    <row r="3" spans="1:3" x14ac:dyDescent="0.25">
      <c r="A3" s="13" t="s">
        <v>4957</v>
      </c>
      <c r="B3" s="28">
        <v>8</v>
      </c>
      <c r="C3" s="13" t="s">
        <v>4958</v>
      </c>
    </row>
    <row r="4" spans="1:3" x14ac:dyDescent="0.25">
      <c r="A4" s="13" t="s">
        <v>4959</v>
      </c>
      <c r="B4" s="28">
        <v>21</v>
      </c>
      <c r="C4" s="13" t="s">
        <v>4960</v>
      </c>
    </row>
    <row r="5" spans="1:3" x14ac:dyDescent="0.25">
      <c r="A5" s="13" t="s">
        <v>4961</v>
      </c>
      <c r="B5" s="29">
        <v>0.15</v>
      </c>
      <c r="C5" s="13" t="s">
        <v>4962</v>
      </c>
    </row>
    <row r="6" spans="1:3" x14ac:dyDescent="0.25">
      <c r="A6" s="13" t="s">
        <v>4963</v>
      </c>
      <c r="B6" s="29">
        <v>0.75</v>
      </c>
      <c r="C6" s="13" t="s">
        <v>4964</v>
      </c>
    </row>
    <row r="7" spans="1:3" x14ac:dyDescent="0.25">
      <c r="A7" s="13" t="s">
        <v>4965</v>
      </c>
      <c r="B7" s="29">
        <v>0.1</v>
      </c>
      <c r="C7" s="13" t="s">
        <v>4966</v>
      </c>
    </row>
    <row r="8" spans="1:3" x14ac:dyDescent="0.25">
      <c r="A8" s="13" t="s">
        <v>4967</v>
      </c>
      <c r="B8" s="29">
        <v>0.85</v>
      </c>
      <c r="C8" s="13" t="s">
        <v>4968</v>
      </c>
    </row>
    <row r="9" spans="1:3" x14ac:dyDescent="0.25">
      <c r="A9" s="13" t="s">
        <v>4969</v>
      </c>
      <c r="B9" s="29">
        <v>0.25</v>
      </c>
      <c r="C9" s="13" t="s">
        <v>4970</v>
      </c>
    </row>
    <row r="10" spans="1:3" x14ac:dyDescent="0.25">
      <c r="A10" s="13" t="s">
        <v>4971</v>
      </c>
      <c r="B10" s="29">
        <v>0.35</v>
      </c>
      <c r="C10" s="13" t="s">
        <v>4972</v>
      </c>
    </row>
    <row r="11" spans="1:3" x14ac:dyDescent="0.25">
      <c r="A11" s="13" t="s">
        <v>4973</v>
      </c>
      <c r="B11" s="29">
        <v>0.95</v>
      </c>
      <c r="C11" s="13" t="s">
        <v>4974</v>
      </c>
    </row>
    <row r="12" spans="1:3" x14ac:dyDescent="0.25">
      <c r="A12" s="13" t="s">
        <v>4975</v>
      </c>
      <c r="B12" s="29">
        <v>0.85</v>
      </c>
      <c r="C12" s="13" t="s">
        <v>4976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Как пользоваться</vt:lpstr>
      <vt:lpstr>Расценки</vt:lpstr>
      <vt:lpstr>Почасовка — ставки и план</vt:lpstr>
      <vt:lpstr>Для HR</vt:lpstr>
      <vt:lpstr>Параметры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Администратор</cp:lastModifiedBy>
  <dcterms:created xsi:type="dcterms:W3CDTF">2026-10-23T12:39:24Z</dcterms:created>
  <dcterms:modified xsi:type="dcterms:W3CDTF">2026-10-23T12:39:27Z</dcterms:modified>
</cp:coreProperties>
</file>