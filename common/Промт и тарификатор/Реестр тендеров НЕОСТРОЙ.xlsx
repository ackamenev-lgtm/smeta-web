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Сметы\Промт и тарификатор\"/>
    </mc:Choice>
  </mc:AlternateContent>
  <bookViews>
    <workbookView xWindow="0" yWindow="0" windowWidth="21570" windowHeight="10215"/>
  </bookViews>
  <sheets>
    <sheet name="Реестр" sheetId="1" r:id="rId1"/>
    <sheet name="Аналитика" sheetId="2" r:id="rId2"/>
    <sheet name="Как вести" sheetId="3" r:id="rId3"/>
    <sheet name="Списки" sheetId="4" state="hidden" r:id="rId4"/>
  </sheets>
  <definedNames>
    <definedName name="_FilterDatabase" localSheetId="0" hidden="1">Реестр!$A$4:$AE$318</definedName>
  </definedNames>
  <calcPr calcId="162913"/>
</workbook>
</file>

<file path=xl/calcChain.xml><?xml version="1.0" encoding="utf-8"?>
<calcChain xmlns="http://schemas.openxmlformats.org/spreadsheetml/2006/main">
  <c r="Z278" i="1" l="1"/>
  <c r="P278" i="1"/>
  <c r="O278" i="1"/>
  <c r="N278" i="1"/>
  <c r="L22" i="2" l="1"/>
  <c r="K22" i="2"/>
  <c r="J22" i="2"/>
  <c r="H22" i="2"/>
  <c r="G22" i="2"/>
  <c r="F22" i="2"/>
  <c r="C22" i="2"/>
  <c r="B22" i="2"/>
  <c r="L21" i="2"/>
  <c r="K21" i="2"/>
  <c r="J21" i="2"/>
  <c r="H21" i="2"/>
  <c r="G21" i="2"/>
  <c r="F21" i="2"/>
  <c r="C21" i="2"/>
  <c r="B21" i="2"/>
  <c r="L20" i="2"/>
  <c r="K20" i="2"/>
  <c r="J20" i="2"/>
  <c r="H20" i="2"/>
  <c r="G20" i="2"/>
  <c r="F20" i="2"/>
  <c r="C20" i="2"/>
  <c r="B20" i="2"/>
  <c r="L19" i="2"/>
  <c r="K19" i="2"/>
  <c r="J19" i="2"/>
  <c r="H19" i="2"/>
  <c r="G19" i="2"/>
  <c r="F19" i="2"/>
  <c r="C19" i="2"/>
  <c r="B19" i="2"/>
  <c r="J18" i="2"/>
  <c r="H18" i="2"/>
  <c r="G18" i="2"/>
  <c r="F18" i="2"/>
  <c r="C18" i="2"/>
  <c r="B18" i="2"/>
  <c r="L17" i="2"/>
  <c r="K17" i="2"/>
  <c r="J17" i="2"/>
  <c r="H17" i="2"/>
  <c r="G17" i="2"/>
  <c r="F17" i="2"/>
  <c r="C17" i="2"/>
  <c r="B17" i="2"/>
  <c r="L16" i="2"/>
  <c r="K16" i="2"/>
  <c r="J16" i="2"/>
  <c r="H16" i="2"/>
  <c r="G16" i="2"/>
  <c r="F16" i="2"/>
  <c r="C16" i="2"/>
  <c r="B16" i="2"/>
  <c r="L10" i="2"/>
  <c r="K10" i="2"/>
  <c r="J10" i="2"/>
  <c r="H10" i="2"/>
  <c r="G10" i="2"/>
  <c r="F10" i="2"/>
  <c r="C10" i="2"/>
  <c r="B10" i="2"/>
  <c r="J9" i="2"/>
  <c r="H9" i="2"/>
  <c r="G9" i="2"/>
  <c r="F9" i="2"/>
  <c r="C9" i="2"/>
  <c r="B9" i="2"/>
  <c r="L8" i="2"/>
  <c r="K8" i="2"/>
  <c r="J8" i="2"/>
  <c r="H8" i="2"/>
  <c r="G8" i="2"/>
  <c r="F8" i="2"/>
  <c r="C8" i="2"/>
  <c r="B8" i="2"/>
  <c r="L7" i="2"/>
  <c r="K7" i="2"/>
  <c r="J7" i="2"/>
  <c r="H7" i="2"/>
  <c r="G7" i="2"/>
  <c r="F7" i="2"/>
  <c r="C7" i="2"/>
  <c r="B7" i="2"/>
  <c r="L6" i="2"/>
  <c r="K6" i="2"/>
  <c r="J6" i="2"/>
  <c r="H6" i="2"/>
  <c r="G6" i="2"/>
  <c r="F6" i="2"/>
  <c r="C6" i="2"/>
  <c r="B6" i="2"/>
  <c r="Z318" i="1"/>
  <c r="P318" i="1"/>
  <c r="O318" i="1"/>
  <c r="N318" i="1"/>
  <c r="Z317" i="1"/>
  <c r="P317" i="1"/>
  <c r="O317" i="1"/>
  <c r="N317" i="1"/>
  <c r="Z316" i="1"/>
  <c r="P316" i="1"/>
  <c r="O316" i="1"/>
  <c r="N316" i="1"/>
  <c r="Z315" i="1"/>
  <c r="P315" i="1"/>
  <c r="O315" i="1"/>
  <c r="N315" i="1"/>
  <c r="Z314" i="1"/>
  <c r="P314" i="1"/>
  <c r="O314" i="1"/>
  <c r="N314" i="1"/>
  <c r="Z313" i="1"/>
  <c r="P313" i="1"/>
  <c r="O313" i="1"/>
  <c r="N313" i="1"/>
  <c r="Z312" i="1"/>
  <c r="P312" i="1"/>
  <c r="O312" i="1"/>
  <c r="N312" i="1"/>
  <c r="Z311" i="1"/>
  <c r="P311" i="1"/>
  <c r="O311" i="1"/>
  <c r="N311" i="1"/>
  <c r="Z310" i="1"/>
  <c r="P310" i="1"/>
  <c r="O310" i="1"/>
  <c r="N310" i="1"/>
  <c r="Z309" i="1"/>
  <c r="P309" i="1"/>
  <c r="O309" i="1"/>
  <c r="N309" i="1"/>
  <c r="Z308" i="1"/>
  <c r="P308" i="1"/>
  <c r="O308" i="1"/>
  <c r="N308" i="1"/>
  <c r="Z307" i="1"/>
  <c r="P307" i="1"/>
  <c r="O307" i="1"/>
  <c r="N307" i="1"/>
  <c r="Z306" i="1"/>
  <c r="P306" i="1"/>
  <c r="O306" i="1"/>
  <c r="N306" i="1"/>
  <c r="Z305" i="1"/>
  <c r="P305" i="1"/>
  <c r="O305" i="1"/>
  <c r="N305" i="1"/>
  <c r="Z304" i="1"/>
  <c r="P304" i="1"/>
  <c r="O304" i="1"/>
  <c r="N304" i="1"/>
  <c r="Z303" i="1"/>
  <c r="P303" i="1"/>
  <c r="O303" i="1"/>
  <c r="N303" i="1"/>
  <c r="Z302" i="1"/>
  <c r="P302" i="1"/>
  <c r="O302" i="1"/>
  <c r="N302" i="1"/>
  <c r="Z301" i="1"/>
  <c r="P301" i="1"/>
  <c r="O301" i="1"/>
  <c r="N301" i="1"/>
  <c r="Z300" i="1"/>
  <c r="P300" i="1"/>
  <c r="O300" i="1"/>
  <c r="N300" i="1"/>
  <c r="Z299" i="1"/>
  <c r="P299" i="1"/>
  <c r="O299" i="1"/>
  <c r="N299" i="1"/>
  <c r="Z298" i="1"/>
  <c r="P298" i="1"/>
  <c r="O298" i="1"/>
  <c r="N298" i="1"/>
  <c r="Z297" i="1"/>
  <c r="P297" i="1"/>
  <c r="O297" i="1"/>
  <c r="N297" i="1"/>
  <c r="Z296" i="1"/>
  <c r="P296" i="1"/>
  <c r="O296" i="1"/>
  <c r="N296" i="1"/>
  <c r="Z295" i="1"/>
  <c r="P295" i="1"/>
  <c r="O295" i="1"/>
  <c r="N295" i="1"/>
  <c r="Z294" i="1"/>
  <c r="P294" i="1"/>
  <c r="O294" i="1"/>
  <c r="N294" i="1"/>
  <c r="Z293" i="1"/>
  <c r="P293" i="1"/>
  <c r="O293" i="1"/>
  <c r="N293" i="1"/>
  <c r="Z292" i="1"/>
  <c r="P292" i="1"/>
  <c r="O292" i="1"/>
  <c r="N292" i="1"/>
  <c r="Z291" i="1"/>
  <c r="P291" i="1"/>
  <c r="O291" i="1"/>
  <c r="N291" i="1"/>
  <c r="Z290" i="1"/>
  <c r="P290" i="1"/>
  <c r="O290" i="1"/>
  <c r="N290" i="1"/>
  <c r="Z289" i="1"/>
  <c r="P289" i="1"/>
  <c r="O289" i="1"/>
  <c r="N289" i="1"/>
  <c r="Z288" i="1"/>
  <c r="P288" i="1"/>
  <c r="O288" i="1"/>
  <c r="N288" i="1"/>
  <c r="Z287" i="1"/>
  <c r="P287" i="1"/>
  <c r="O287" i="1"/>
  <c r="N287" i="1"/>
  <c r="Z286" i="1"/>
  <c r="P286" i="1"/>
  <c r="O286" i="1"/>
  <c r="N286" i="1"/>
  <c r="Z285" i="1"/>
  <c r="P285" i="1"/>
  <c r="O285" i="1"/>
  <c r="N285" i="1"/>
  <c r="Z284" i="1"/>
  <c r="P284" i="1"/>
  <c r="O284" i="1"/>
  <c r="N284" i="1"/>
  <c r="Z283" i="1"/>
  <c r="P283" i="1"/>
  <c r="O283" i="1"/>
  <c r="N283" i="1"/>
  <c r="Z282" i="1"/>
  <c r="P282" i="1"/>
  <c r="O282" i="1"/>
  <c r="N282" i="1"/>
  <c r="Z281" i="1"/>
  <c r="P281" i="1"/>
  <c r="O281" i="1"/>
  <c r="N281" i="1"/>
  <c r="Z280" i="1"/>
  <c r="P280" i="1"/>
  <c r="O280" i="1"/>
  <c r="N280" i="1"/>
  <c r="Z279" i="1"/>
  <c r="P279" i="1"/>
  <c r="O279" i="1"/>
  <c r="N279" i="1"/>
  <c r="Z277" i="1"/>
  <c r="P277" i="1"/>
  <c r="O277" i="1"/>
  <c r="N277" i="1"/>
  <c r="Z276" i="1"/>
  <c r="P276" i="1"/>
  <c r="O276" i="1"/>
  <c r="N276" i="1"/>
  <c r="Z275" i="1"/>
  <c r="P275" i="1"/>
  <c r="O275" i="1"/>
  <c r="N275" i="1"/>
  <c r="Z274" i="1"/>
  <c r="P274" i="1"/>
  <c r="O274" i="1"/>
  <c r="N274" i="1"/>
  <c r="Z273" i="1"/>
  <c r="P273" i="1"/>
  <c r="O273" i="1"/>
  <c r="N273" i="1"/>
  <c r="Z272" i="1"/>
  <c r="P272" i="1"/>
  <c r="O272" i="1"/>
  <c r="N272" i="1"/>
  <c r="Z271" i="1"/>
  <c r="P271" i="1"/>
  <c r="O271" i="1"/>
  <c r="N271" i="1"/>
  <c r="Z270" i="1"/>
  <c r="P270" i="1"/>
  <c r="O270" i="1"/>
  <c r="N270" i="1"/>
  <c r="Z269" i="1"/>
  <c r="P269" i="1"/>
  <c r="O269" i="1"/>
  <c r="N269" i="1"/>
  <c r="Z268" i="1"/>
  <c r="P268" i="1"/>
  <c r="O268" i="1"/>
  <c r="N268" i="1"/>
  <c r="Z267" i="1"/>
  <c r="P267" i="1"/>
  <c r="O267" i="1"/>
  <c r="N267" i="1"/>
  <c r="Z266" i="1"/>
  <c r="P266" i="1"/>
  <c r="O266" i="1"/>
  <c r="N266" i="1"/>
  <c r="Z265" i="1"/>
  <c r="P265" i="1"/>
  <c r="O265" i="1"/>
  <c r="N265" i="1"/>
  <c r="Z264" i="1"/>
  <c r="P264" i="1"/>
  <c r="O264" i="1"/>
  <c r="N264" i="1"/>
  <c r="Z263" i="1"/>
  <c r="P263" i="1"/>
  <c r="O263" i="1"/>
  <c r="N263" i="1"/>
  <c r="Z262" i="1"/>
  <c r="P262" i="1"/>
  <c r="O262" i="1"/>
  <c r="N262" i="1"/>
  <c r="Z261" i="1"/>
  <c r="P261" i="1"/>
  <c r="O261" i="1"/>
  <c r="N261" i="1"/>
  <c r="Z260" i="1"/>
  <c r="P260" i="1"/>
  <c r="O260" i="1"/>
  <c r="N260" i="1"/>
  <c r="Z259" i="1"/>
  <c r="P259" i="1"/>
  <c r="O259" i="1"/>
  <c r="N259" i="1"/>
  <c r="Z258" i="1"/>
  <c r="P258" i="1"/>
  <c r="O258" i="1"/>
  <c r="N258" i="1"/>
  <c r="Z257" i="1"/>
  <c r="P257" i="1"/>
  <c r="O257" i="1"/>
  <c r="N257" i="1"/>
  <c r="Z256" i="1"/>
  <c r="P256" i="1"/>
  <c r="O256" i="1"/>
  <c r="N256" i="1"/>
  <c r="Z255" i="1"/>
  <c r="P255" i="1"/>
  <c r="O255" i="1"/>
  <c r="N255" i="1"/>
  <c r="Z254" i="1"/>
  <c r="P254" i="1"/>
  <c r="O254" i="1"/>
  <c r="N254" i="1"/>
  <c r="Z253" i="1"/>
  <c r="P253" i="1"/>
  <c r="O253" i="1"/>
  <c r="N253" i="1"/>
  <c r="Z252" i="1"/>
  <c r="P252" i="1"/>
  <c r="O252" i="1"/>
  <c r="N252" i="1"/>
  <c r="Z251" i="1"/>
  <c r="P251" i="1"/>
  <c r="O251" i="1"/>
  <c r="N251" i="1"/>
  <c r="Z250" i="1"/>
  <c r="P250" i="1"/>
  <c r="O250" i="1"/>
  <c r="N250" i="1"/>
  <c r="Z249" i="1"/>
  <c r="P249" i="1"/>
  <c r="O249" i="1"/>
  <c r="N249" i="1"/>
  <c r="Z248" i="1"/>
  <c r="P248" i="1"/>
  <c r="O248" i="1"/>
  <c r="N248" i="1"/>
  <c r="Z247" i="1"/>
  <c r="P247" i="1"/>
  <c r="O247" i="1"/>
  <c r="N247" i="1"/>
  <c r="Z246" i="1"/>
  <c r="P246" i="1"/>
  <c r="O246" i="1"/>
  <c r="N246" i="1"/>
  <c r="Z245" i="1"/>
  <c r="P245" i="1"/>
  <c r="O245" i="1"/>
  <c r="N245" i="1"/>
  <c r="Z244" i="1"/>
  <c r="P244" i="1"/>
  <c r="O244" i="1"/>
  <c r="N244" i="1"/>
  <c r="Z243" i="1"/>
  <c r="P243" i="1"/>
  <c r="O243" i="1"/>
  <c r="N243" i="1"/>
  <c r="Z242" i="1"/>
  <c r="P242" i="1"/>
  <c r="O242" i="1"/>
  <c r="N242" i="1"/>
  <c r="Z241" i="1"/>
  <c r="P241" i="1"/>
  <c r="O241" i="1"/>
  <c r="N241" i="1"/>
  <c r="Z240" i="1"/>
  <c r="P240" i="1"/>
  <c r="O240" i="1"/>
  <c r="N240" i="1"/>
  <c r="Z239" i="1"/>
  <c r="P239" i="1"/>
  <c r="O239" i="1"/>
  <c r="N239" i="1"/>
  <c r="Z238" i="1"/>
  <c r="P238" i="1"/>
  <c r="O238" i="1"/>
  <c r="N238" i="1"/>
  <c r="Z237" i="1"/>
  <c r="P237" i="1"/>
  <c r="O237" i="1"/>
  <c r="N237" i="1"/>
  <c r="Z236" i="1"/>
  <c r="P236" i="1"/>
  <c r="O236" i="1"/>
  <c r="N236" i="1"/>
  <c r="Z235" i="1"/>
  <c r="P235" i="1"/>
  <c r="O235" i="1"/>
  <c r="N235" i="1"/>
  <c r="Z234" i="1"/>
  <c r="P234" i="1"/>
  <c r="O234" i="1"/>
  <c r="N234" i="1"/>
  <c r="Z233" i="1"/>
  <c r="P233" i="1"/>
  <c r="O233" i="1"/>
  <c r="N233" i="1"/>
  <c r="Z232" i="1"/>
  <c r="P232" i="1"/>
  <c r="O232" i="1"/>
  <c r="N232" i="1"/>
  <c r="Z231" i="1"/>
  <c r="P231" i="1"/>
  <c r="O231" i="1"/>
  <c r="N231" i="1"/>
  <c r="Z230" i="1"/>
  <c r="P230" i="1"/>
  <c r="O230" i="1"/>
  <c r="N230" i="1"/>
  <c r="Z229" i="1"/>
  <c r="P229" i="1"/>
  <c r="O229" i="1"/>
  <c r="N229" i="1"/>
  <c r="Z228" i="1"/>
  <c r="P228" i="1"/>
  <c r="O228" i="1"/>
  <c r="N228" i="1"/>
  <c r="Z227" i="1"/>
  <c r="P227" i="1"/>
  <c r="O227" i="1"/>
  <c r="N227" i="1"/>
  <c r="Z226" i="1"/>
  <c r="P226" i="1"/>
  <c r="O226" i="1"/>
  <c r="N226" i="1"/>
  <c r="Z225" i="1"/>
  <c r="P225" i="1"/>
  <c r="O225" i="1"/>
  <c r="N225" i="1"/>
  <c r="Z224" i="1"/>
  <c r="P224" i="1"/>
  <c r="O224" i="1"/>
  <c r="N224" i="1"/>
  <c r="Z223" i="1"/>
  <c r="P223" i="1"/>
  <c r="O223" i="1"/>
  <c r="N223" i="1"/>
  <c r="Z222" i="1"/>
  <c r="P222" i="1"/>
  <c r="O222" i="1"/>
  <c r="N222" i="1"/>
  <c r="Z221" i="1"/>
  <c r="P221" i="1"/>
  <c r="O221" i="1"/>
  <c r="N221" i="1"/>
  <c r="Z220" i="1"/>
  <c r="P220" i="1"/>
  <c r="O220" i="1"/>
  <c r="N220" i="1"/>
  <c r="Z219" i="1"/>
  <c r="P219" i="1"/>
  <c r="O219" i="1"/>
  <c r="N219" i="1"/>
  <c r="Z218" i="1"/>
  <c r="P218" i="1"/>
  <c r="O218" i="1"/>
  <c r="N218" i="1"/>
  <c r="Z217" i="1"/>
  <c r="P217" i="1"/>
  <c r="O217" i="1"/>
  <c r="N217" i="1"/>
  <c r="Z216" i="1"/>
  <c r="P216" i="1"/>
  <c r="O216" i="1"/>
  <c r="N216" i="1"/>
  <c r="Z215" i="1"/>
  <c r="P215" i="1"/>
  <c r="O215" i="1"/>
  <c r="N215" i="1"/>
  <c r="Z214" i="1"/>
  <c r="P214" i="1"/>
  <c r="O214" i="1"/>
  <c r="N214" i="1"/>
  <c r="Z213" i="1"/>
  <c r="P213" i="1"/>
  <c r="O213" i="1"/>
  <c r="N213" i="1"/>
  <c r="Z212" i="1"/>
  <c r="P212" i="1"/>
  <c r="O212" i="1"/>
  <c r="N212" i="1"/>
  <c r="Z211" i="1"/>
  <c r="P211" i="1"/>
  <c r="O211" i="1"/>
  <c r="N211" i="1"/>
  <c r="Z210" i="1"/>
  <c r="P210" i="1"/>
  <c r="O210" i="1"/>
  <c r="N210" i="1"/>
  <c r="Z209" i="1"/>
  <c r="P209" i="1"/>
  <c r="O209" i="1"/>
  <c r="N209" i="1"/>
  <c r="Z208" i="1"/>
  <c r="P208" i="1"/>
  <c r="O208" i="1"/>
  <c r="N208" i="1"/>
  <c r="Z207" i="1"/>
  <c r="P207" i="1"/>
  <c r="O207" i="1"/>
  <c r="N207" i="1"/>
  <c r="Z206" i="1"/>
  <c r="P206" i="1"/>
  <c r="O206" i="1"/>
  <c r="N206" i="1"/>
  <c r="Z205" i="1"/>
  <c r="P205" i="1"/>
  <c r="O205" i="1"/>
  <c r="N205" i="1"/>
  <c r="Z204" i="1"/>
  <c r="P204" i="1"/>
  <c r="O204" i="1"/>
  <c r="N204" i="1"/>
  <c r="Z203" i="1"/>
  <c r="P203" i="1"/>
  <c r="O203" i="1"/>
  <c r="N203" i="1"/>
  <c r="Z202" i="1"/>
  <c r="P202" i="1"/>
  <c r="O202" i="1"/>
  <c r="N202" i="1"/>
  <c r="Z201" i="1"/>
  <c r="P201" i="1"/>
  <c r="O201" i="1"/>
  <c r="N201" i="1"/>
  <c r="Z200" i="1"/>
  <c r="P200" i="1"/>
  <c r="O200" i="1"/>
  <c r="N200" i="1"/>
  <c r="Z199" i="1"/>
  <c r="P199" i="1"/>
  <c r="O199" i="1"/>
  <c r="N199" i="1"/>
  <c r="Z198" i="1"/>
  <c r="P198" i="1"/>
  <c r="O198" i="1"/>
  <c r="N198" i="1"/>
  <c r="Z197" i="1"/>
  <c r="P197" i="1"/>
  <c r="O197" i="1"/>
  <c r="N197" i="1"/>
  <c r="Z196" i="1"/>
  <c r="P196" i="1"/>
  <c r="O196" i="1"/>
  <c r="N196" i="1"/>
  <c r="Z195" i="1"/>
  <c r="P195" i="1"/>
  <c r="O195" i="1"/>
  <c r="N195" i="1"/>
  <c r="Z194" i="1"/>
  <c r="P194" i="1"/>
  <c r="O194" i="1"/>
  <c r="N194" i="1"/>
  <c r="Z193" i="1"/>
  <c r="P193" i="1"/>
  <c r="O193" i="1"/>
  <c r="N193" i="1"/>
  <c r="Z192" i="1"/>
  <c r="P192" i="1"/>
  <c r="O192" i="1"/>
  <c r="N192" i="1"/>
  <c r="Z191" i="1"/>
  <c r="P191" i="1"/>
  <c r="O191" i="1"/>
  <c r="N191" i="1"/>
  <c r="Z190" i="1"/>
  <c r="P190" i="1"/>
  <c r="O190" i="1"/>
  <c r="N190" i="1"/>
  <c r="Z189" i="1"/>
  <c r="P189" i="1"/>
  <c r="O189" i="1"/>
  <c r="N189" i="1"/>
  <c r="Z188" i="1"/>
  <c r="P188" i="1"/>
  <c r="O188" i="1"/>
  <c r="N188" i="1"/>
  <c r="Z187" i="1"/>
  <c r="P187" i="1"/>
  <c r="O187" i="1"/>
  <c r="N187" i="1"/>
  <c r="Z186" i="1"/>
  <c r="P186" i="1"/>
  <c r="O186" i="1"/>
  <c r="N186" i="1"/>
  <c r="Z185" i="1"/>
  <c r="P185" i="1"/>
  <c r="O185" i="1"/>
  <c r="N185" i="1"/>
  <c r="Z184" i="1"/>
  <c r="P184" i="1"/>
  <c r="O184" i="1"/>
  <c r="N184" i="1"/>
  <c r="Z183" i="1"/>
  <c r="P183" i="1"/>
  <c r="O183" i="1"/>
  <c r="N183" i="1"/>
  <c r="Z182" i="1"/>
  <c r="P182" i="1"/>
  <c r="O182" i="1"/>
  <c r="N182" i="1"/>
  <c r="Z181" i="1"/>
  <c r="P181" i="1"/>
  <c r="O181" i="1"/>
  <c r="N181" i="1"/>
  <c r="Z180" i="1"/>
  <c r="P180" i="1"/>
  <c r="O180" i="1"/>
  <c r="N180" i="1"/>
  <c r="Z179" i="1"/>
  <c r="P179" i="1"/>
  <c r="O179" i="1"/>
  <c r="N179" i="1"/>
  <c r="Z178" i="1"/>
  <c r="P178" i="1"/>
  <c r="O178" i="1"/>
  <c r="N178" i="1"/>
  <c r="Z177" i="1"/>
  <c r="P177" i="1"/>
  <c r="O177" i="1"/>
  <c r="N177" i="1"/>
  <c r="Z176" i="1"/>
  <c r="P176" i="1"/>
  <c r="O176" i="1"/>
  <c r="N176" i="1"/>
  <c r="Z175" i="1"/>
  <c r="P175" i="1"/>
  <c r="O175" i="1"/>
  <c r="N175" i="1"/>
  <c r="Z174" i="1"/>
  <c r="P174" i="1"/>
  <c r="O174" i="1"/>
  <c r="N174" i="1"/>
  <c r="Z173" i="1"/>
  <c r="P173" i="1"/>
  <c r="O173" i="1"/>
  <c r="N173" i="1"/>
  <c r="Z172" i="1"/>
  <c r="P172" i="1"/>
  <c r="O172" i="1"/>
  <c r="N172" i="1"/>
  <c r="Z171" i="1"/>
  <c r="P171" i="1"/>
  <c r="O171" i="1"/>
  <c r="N171" i="1"/>
  <c r="Z170" i="1"/>
  <c r="P170" i="1"/>
  <c r="O170" i="1"/>
  <c r="N170" i="1"/>
  <c r="Z169" i="1"/>
  <c r="P169" i="1"/>
  <c r="O169" i="1"/>
  <c r="N169" i="1"/>
  <c r="Z168" i="1"/>
  <c r="P168" i="1"/>
  <c r="O168" i="1"/>
  <c r="N168" i="1"/>
  <c r="Z167" i="1"/>
  <c r="P167" i="1"/>
  <c r="O167" i="1"/>
  <c r="N167" i="1"/>
  <c r="Z166" i="1"/>
  <c r="P166" i="1"/>
  <c r="O166" i="1"/>
  <c r="N166" i="1"/>
  <c r="Z165" i="1"/>
  <c r="P165" i="1"/>
  <c r="O165" i="1"/>
  <c r="N165" i="1"/>
  <c r="Z164" i="1"/>
  <c r="P164" i="1"/>
  <c r="O164" i="1"/>
  <c r="N164" i="1"/>
  <c r="Z163" i="1"/>
  <c r="P163" i="1"/>
  <c r="O163" i="1"/>
  <c r="E22" i="2" s="1"/>
  <c r="N163" i="1"/>
  <c r="D22" i="2" s="1"/>
  <c r="Z162" i="1"/>
  <c r="P162" i="1"/>
  <c r="O162" i="1"/>
  <c r="N162" i="1"/>
  <c r="Z161" i="1"/>
  <c r="P161" i="1"/>
  <c r="O161" i="1"/>
  <c r="N161" i="1"/>
  <c r="Z160" i="1"/>
  <c r="P160" i="1"/>
  <c r="O160" i="1"/>
  <c r="N160" i="1"/>
  <c r="Z159" i="1"/>
  <c r="P159" i="1"/>
  <c r="O159" i="1"/>
  <c r="N159" i="1"/>
  <c r="Z158" i="1"/>
  <c r="P158" i="1"/>
  <c r="O158" i="1"/>
  <c r="N158" i="1"/>
  <c r="Z157" i="1"/>
  <c r="P157" i="1"/>
  <c r="O157" i="1"/>
  <c r="N157" i="1"/>
  <c r="Z156" i="1"/>
  <c r="P156" i="1"/>
  <c r="O156" i="1"/>
  <c r="N156" i="1"/>
  <c r="Z155" i="1"/>
  <c r="P155" i="1"/>
  <c r="O155" i="1"/>
  <c r="N155" i="1"/>
  <c r="Z154" i="1"/>
  <c r="P154" i="1"/>
  <c r="O154" i="1"/>
  <c r="N154" i="1"/>
  <c r="Z153" i="1"/>
  <c r="P153" i="1"/>
  <c r="O153" i="1"/>
  <c r="N153" i="1"/>
  <c r="Z152" i="1"/>
  <c r="P152" i="1"/>
  <c r="O152" i="1"/>
  <c r="N152" i="1"/>
  <c r="Z151" i="1"/>
  <c r="P151" i="1"/>
  <c r="O151" i="1"/>
  <c r="N151" i="1"/>
  <c r="Z150" i="1"/>
  <c r="P150" i="1"/>
  <c r="O150" i="1"/>
  <c r="N150" i="1"/>
  <c r="Z149" i="1"/>
  <c r="P149" i="1"/>
  <c r="O149" i="1"/>
  <c r="N149" i="1"/>
  <c r="Z148" i="1"/>
  <c r="P148" i="1"/>
  <c r="O148" i="1"/>
  <c r="N148" i="1"/>
  <c r="Z147" i="1"/>
  <c r="P147" i="1"/>
  <c r="O147" i="1"/>
  <c r="N147" i="1"/>
  <c r="Z146" i="1"/>
  <c r="P146" i="1"/>
  <c r="O146" i="1"/>
  <c r="N146" i="1"/>
  <c r="Z145" i="1"/>
  <c r="P145" i="1"/>
  <c r="O145" i="1"/>
  <c r="N145" i="1"/>
  <c r="Z144" i="1"/>
  <c r="P144" i="1"/>
  <c r="O144" i="1"/>
  <c r="N144" i="1"/>
  <c r="Z143" i="1"/>
  <c r="P143" i="1"/>
  <c r="O143" i="1"/>
  <c r="N143" i="1"/>
  <c r="Z142" i="1"/>
  <c r="P142" i="1"/>
  <c r="O142" i="1"/>
  <c r="N142" i="1"/>
  <c r="Z141" i="1"/>
  <c r="P141" i="1"/>
  <c r="O141" i="1"/>
  <c r="N141" i="1"/>
  <c r="Z140" i="1"/>
  <c r="P140" i="1"/>
  <c r="O140" i="1"/>
  <c r="N140" i="1"/>
  <c r="Z139" i="1"/>
  <c r="P139" i="1"/>
  <c r="O139" i="1"/>
  <c r="N139" i="1"/>
  <c r="Z138" i="1"/>
  <c r="P138" i="1"/>
  <c r="O138" i="1"/>
  <c r="N138" i="1"/>
  <c r="Z137" i="1"/>
  <c r="P137" i="1"/>
  <c r="O137" i="1"/>
  <c r="N137" i="1"/>
  <c r="Z136" i="1"/>
  <c r="P136" i="1"/>
  <c r="O136" i="1"/>
  <c r="N136" i="1"/>
  <c r="Z135" i="1"/>
  <c r="P135" i="1"/>
  <c r="O135" i="1"/>
  <c r="N135" i="1"/>
  <c r="Z134" i="1"/>
  <c r="P134" i="1"/>
  <c r="O134" i="1"/>
  <c r="N134" i="1"/>
  <c r="Z133" i="1"/>
  <c r="P133" i="1"/>
  <c r="O133" i="1"/>
  <c r="N133" i="1"/>
  <c r="Z132" i="1"/>
  <c r="P132" i="1"/>
  <c r="O132" i="1"/>
  <c r="N132" i="1"/>
  <c r="Z131" i="1"/>
  <c r="P131" i="1"/>
  <c r="O131" i="1"/>
  <c r="N131" i="1"/>
  <c r="Z130" i="1"/>
  <c r="P130" i="1"/>
  <c r="O130" i="1"/>
  <c r="N130" i="1"/>
  <c r="Z129" i="1"/>
  <c r="P129" i="1"/>
  <c r="O129" i="1"/>
  <c r="N129" i="1"/>
  <c r="Z128" i="1"/>
  <c r="P128" i="1"/>
  <c r="O128" i="1"/>
  <c r="N128" i="1"/>
  <c r="Z127" i="1"/>
  <c r="P127" i="1"/>
  <c r="O127" i="1"/>
  <c r="N127" i="1"/>
  <c r="Z126" i="1"/>
  <c r="P126" i="1"/>
  <c r="O126" i="1"/>
  <c r="N126" i="1"/>
  <c r="Z125" i="1"/>
  <c r="P125" i="1"/>
  <c r="O125" i="1"/>
  <c r="N125" i="1"/>
  <c r="Z124" i="1"/>
  <c r="P124" i="1"/>
  <c r="O124" i="1"/>
  <c r="N124" i="1"/>
  <c r="Z123" i="1"/>
  <c r="P123" i="1"/>
  <c r="O123" i="1"/>
  <c r="N123" i="1"/>
  <c r="Z122" i="1"/>
  <c r="P122" i="1"/>
  <c r="O122" i="1"/>
  <c r="N122" i="1"/>
  <c r="Z121" i="1"/>
  <c r="P121" i="1"/>
  <c r="O121" i="1"/>
  <c r="N121" i="1"/>
  <c r="Z120" i="1"/>
  <c r="P120" i="1"/>
  <c r="O120" i="1"/>
  <c r="N120" i="1"/>
  <c r="Z119" i="1"/>
  <c r="P119" i="1"/>
  <c r="O119" i="1"/>
  <c r="N119" i="1"/>
  <c r="Z118" i="1"/>
  <c r="P118" i="1"/>
  <c r="O118" i="1"/>
  <c r="N118" i="1"/>
  <c r="Z117" i="1"/>
  <c r="P117" i="1"/>
  <c r="O117" i="1"/>
  <c r="N117" i="1"/>
  <c r="Z116" i="1"/>
  <c r="P116" i="1"/>
  <c r="O116" i="1"/>
  <c r="N116" i="1"/>
  <c r="Z115" i="1"/>
  <c r="P115" i="1"/>
  <c r="O115" i="1"/>
  <c r="N115" i="1"/>
  <c r="Z114" i="1"/>
  <c r="P114" i="1"/>
  <c r="O114" i="1"/>
  <c r="N114" i="1"/>
  <c r="Z113" i="1"/>
  <c r="P113" i="1"/>
  <c r="O113" i="1"/>
  <c r="N113" i="1"/>
  <c r="Z112" i="1"/>
  <c r="P112" i="1"/>
  <c r="O112" i="1"/>
  <c r="N112" i="1"/>
  <c r="Z111" i="1"/>
  <c r="P111" i="1"/>
  <c r="O111" i="1"/>
  <c r="N111" i="1"/>
  <c r="Z110" i="1"/>
  <c r="P110" i="1"/>
  <c r="O110" i="1"/>
  <c r="N110" i="1"/>
  <c r="Z109" i="1"/>
  <c r="P109" i="1"/>
  <c r="O109" i="1"/>
  <c r="N109" i="1"/>
  <c r="Z108" i="1"/>
  <c r="P108" i="1"/>
  <c r="O108" i="1"/>
  <c r="N108" i="1"/>
  <c r="Z107" i="1"/>
  <c r="P107" i="1"/>
  <c r="O107" i="1"/>
  <c r="N107" i="1"/>
  <c r="Z106" i="1"/>
  <c r="P106" i="1"/>
  <c r="O106" i="1"/>
  <c r="N106" i="1"/>
  <c r="Z105" i="1"/>
  <c r="P105" i="1"/>
  <c r="O105" i="1"/>
  <c r="N105" i="1"/>
  <c r="Z104" i="1"/>
  <c r="P104" i="1"/>
  <c r="O104" i="1"/>
  <c r="N104" i="1"/>
  <c r="Z103" i="1"/>
  <c r="P103" i="1"/>
  <c r="O103" i="1"/>
  <c r="N103" i="1"/>
  <c r="Z102" i="1"/>
  <c r="P102" i="1"/>
  <c r="O102" i="1"/>
  <c r="N102" i="1"/>
  <c r="Z101" i="1"/>
  <c r="P101" i="1"/>
  <c r="O101" i="1"/>
  <c r="N101" i="1"/>
  <c r="Z100" i="1"/>
  <c r="P100" i="1"/>
  <c r="O100" i="1"/>
  <c r="N100" i="1"/>
  <c r="Z99" i="1"/>
  <c r="P99" i="1"/>
  <c r="O99" i="1"/>
  <c r="N99" i="1"/>
  <c r="Z98" i="1"/>
  <c r="P98" i="1"/>
  <c r="O98" i="1"/>
  <c r="N98" i="1"/>
  <c r="Z97" i="1"/>
  <c r="P97" i="1"/>
  <c r="O97" i="1"/>
  <c r="N97" i="1"/>
  <c r="Z96" i="1"/>
  <c r="P96" i="1"/>
  <c r="O96" i="1"/>
  <c r="N96" i="1"/>
  <c r="Z95" i="1"/>
  <c r="P95" i="1"/>
  <c r="O95" i="1"/>
  <c r="N95" i="1"/>
  <c r="Z94" i="1"/>
  <c r="P94" i="1"/>
  <c r="O94" i="1"/>
  <c r="N94" i="1"/>
  <c r="Z93" i="1"/>
  <c r="P93" i="1"/>
  <c r="O93" i="1"/>
  <c r="N93" i="1"/>
  <c r="Z92" i="1"/>
  <c r="P92" i="1"/>
  <c r="O92" i="1"/>
  <c r="N92" i="1"/>
  <c r="Z91" i="1"/>
  <c r="P91" i="1"/>
  <c r="O91" i="1"/>
  <c r="N91" i="1"/>
  <c r="Z90" i="1"/>
  <c r="P90" i="1"/>
  <c r="O90" i="1"/>
  <c r="N90" i="1"/>
  <c r="Z89" i="1"/>
  <c r="P89" i="1"/>
  <c r="O89" i="1"/>
  <c r="N89" i="1"/>
  <c r="Z88" i="1"/>
  <c r="P88" i="1"/>
  <c r="O88" i="1"/>
  <c r="N88" i="1"/>
  <c r="Z87" i="1"/>
  <c r="P87" i="1"/>
  <c r="O87" i="1"/>
  <c r="N87" i="1"/>
  <c r="Z86" i="1"/>
  <c r="P86" i="1"/>
  <c r="O86" i="1"/>
  <c r="N86" i="1"/>
  <c r="Z85" i="1"/>
  <c r="P85" i="1"/>
  <c r="O85" i="1"/>
  <c r="N85" i="1"/>
  <c r="Z84" i="1"/>
  <c r="P84" i="1"/>
  <c r="O84" i="1"/>
  <c r="N84" i="1"/>
  <c r="Z83" i="1"/>
  <c r="P83" i="1"/>
  <c r="O83" i="1"/>
  <c r="N83" i="1"/>
  <c r="Z82" i="1"/>
  <c r="P82" i="1"/>
  <c r="O82" i="1"/>
  <c r="N82" i="1"/>
  <c r="Z81" i="1"/>
  <c r="P81" i="1"/>
  <c r="O81" i="1"/>
  <c r="N81" i="1"/>
  <c r="Z80" i="1"/>
  <c r="P80" i="1"/>
  <c r="O80" i="1"/>
  <c r="N80" i="1"/>
  <c r="Z79" i="1"/>
  <c r="P79" i="1"/>
  <c r="O79" i="1"/>
  <c r="N79" i="1"/>
  <c r="Z78" i="1"/>
  <c r="P78" i="1"/>
  <c r="O78" i="1"/>
  <c r="N78" i="1"/>
  <c r="Z77" i="1"/>
  <c r="P77" i="1"/>
  <c r="O77" i="1"/>
  <c r="N77" i="1"/>
  <c r="Z76" i="1"/>
  <c r="P76" i="1"/>
  <c r="O76" i="1"/>
  <c r="N76" i="1"/>
  <c r="Z75" i="1"/>
  <c r="P75" i="1"/>
  <c r="O75" i="1"/>
  <c r="N75" i="1"/>
  <c r="Z74" i="1"/>
  <c r="P74" i="1"/>
  <c r="O74" i="1"/>
  <c r="N74" i="1"/>
  <c r="Z73" i="1"/>
  <c r="P73" i="1"/>
  <c r="O73" i="1"/>
  <c r="N73" i="1"/>
  <c r="Z72" i="1"/>
  <c r="P72" i="1"/>
  <c r="O72" i="1"/>
  <c r="N72" i="1"/>
  <c r="Z71" i="1"/>
  <c r="P71" i="1"/>
  <c r="O71" i="1"/>
  <c r="N71" i="1"/>
  <c r="Z70" i="1"/>
  <c r="P70" i="1"/>
  <c r="O70" i="1"/>
  <c r="N70" i="1"/>
  <c r="Z69" i="1"/>
  <c r="P69" i="1"/>
  <c r="O69" i="1"/>
  <c r="N69" i="1"/>
  <c r="Z68" i="1"/>
  <c r="P68" i="1"/>
  <c r="O68" i="1"/>
  <c r="N68" i="1"/>
  <c r="Z67" i="1"/>
  <c r="P67" i="1"/>
  <c r="O67" i="1"/>
  <c r="N67" i="1"/>
  <c r="Z66" i="1"/>
  <c r="P66" i="1"/>
  <c r="O66" i="1"/>
  <c r="N66" i="1"/>
  <c r="Z65" i="1"/>
  <c r="P65" i="1"/>
  <c r="O65" i="1"/>
  <c r="N65" i="1"/>
  <c r="Z64" i="1"/>
  <c r="P64" i="1"/>
  <c r="O64" i="1"/>
  <c r="N64" i="1"/>
  <c r="Z63" i="1"/>
  <c r="P63" i="1"/>
  <c r="O63" i="1"/>
  <c r="N63" i="1"/>
  <c r="Z62" i="1"/>
  <c r="P62" i="1"/>
  <c r="O62" i="1"/>
  <c r="N62" i="1"/>
  <c r="Z61" i="1"/>
  <c r="P61" i="1"/>
  <c r="O61" i="1"/>
  <c r="N61" i="1"/>
  <c r="Z60" i="1"/>
  <c r="P60" i="1"/>
  <c r="O60" i="1"/>
  <c r="N60" i="1"/>
  <c r="Z59" i="1"/>
  <c r="P59" i="1"/>
  <c r="O59" i="1"/>
  <c r="N59" i="1"/>
  <c r="Z58" i="1"/>
  <c r="P58" i="1"/>
  <c r="O58" i="1"/>
  <c r="N58" i="1"/>
  <c r="Z57" i="1"/>
  <c r="P57" i="1"/>
  <c r="O57" i="1"/>
  <c r="N57" i="1"/>
  <c r="Z56" i="1"/>
  <c r="P56" i="1"/>
  <c r="O56" i="1"/>
  <c r="N56" i="1"/>
  <c r="Z55" i="1"/>
  <c r="P55" i="1"/>
  <c r="O55" i="1"/>
  <c r="N55" i="1"/>
  <c r="Z54" i="1"/>
  <c r="P54" i="1"/>
  <c r="O54" i="1"/>
  <c r="N54" i="1"/>
  <c r="Z53" i="1"/>
  <c r="P53" i="1"/>
  <c r="O53" i="1"/>
  <c r="N53" i="1"/>
  <c r="Z52" i="1"/>
  <c r="P52" i="1"/>
  <c r="O52" i="1"/>
  <c r="N52" i="1"/>
  <c r="Z51" i="1"/>
  <c r="P51" i="1"/>
  <c r="O51" i="1"/>
  <c r="N51" i="1"/>
  <c r="Z50" i="1"/>
  <c r="P50" i="1"/>
  <c r="O50" i="1"/>
  <c r="N50" i="1"/>
  <c r="Z49" i="1"/>
  <c r="P49" i="1"/>
  <c r="O49" i="1"/>
  <c r="N49" i="1"/>
  <c r="Z48" i="1"/>
  <c r="P48" i="1"/>
  <c r="O48" i="1"/>
  <c r="N48" i="1"/>
  <c r="Z47" i="1"/>
  <c r="P47" i="1"/>
  <c r="O47" i="1"/>
  <c r="N47" i="1"/>
  <c r="Z46" i="1"/>
  <c r="P46" i="1"/>
  <c r="O46" i="1"/>
  <c r="E20" i="2" s="1"/>
  <c r="N46" i="1"/>
  <c r="D20" i="2" s="1"/>
  <c r="Z45" i="1"/>
  <c r="P45" i="1"/>
  <c r="O45" i="1"/>
  <c r="N45" i="1"/>
  <c r="Z44" i="1"/>
  <c r="P44" i="1"/>
  <c r="O44" i="1"/>
  <c r="N44" i="1"/>
  <c r="Z43" i="1"/>
  <c r="P43" i="1"/>
  <c r="O43" i="1"/>
  <c r="E7" i="2" s="1"/>
  <c r="N43" i="1"/>
  <c r="D7" i="2" s="1"/>
  <c r="Z42" i="1"/>
  <c r="P42" i="1"/>
  <c r="O42" i="1"/>
  <c r="N42" i="1"/>
  <c r="Z41" i="1"/>
  <c r="P41" i="1"/>
  <c r="O41" i="1"/>
  <c r="N41" i="1"/>
  <c r="Z40" i="1"/>
  <c r="P40" i="1"/>
  <c r="O40" i="1"/>
  <c r="N40" i="1"/>
  <c r="Z39" i="1"/>
  <c r="P39" i="1"/>
  <c r="O39" i="1"/>
  <c r="N39" i="1"/>
  <c r="Z38" i="1"/>
  <c r="P38" i="1"/>
  <c r="O38" i="1"/>
  <c r="N38" i="1"/>
  <c r="Z37" i="1"/>
  <c r="P37" i="1"/>
  <c r="O37" i="1"/>
  <c r="N37" i="1"/>
  <c r="Z36" i="1"/>
  <c r="P36" i="1"/>
  <c r="O36" i="1"/>
  <c r="N36" i="1"/>
  <c r="Z35" i="1"/>
  <c r="P35" i="1"/>
  <c r="O35" i="1"/>
  <c r="N35" i="1"/>
  <c r="Z34" i="1"/>
  <c r="P34" i="1"/>
  <c r="O34" i="1"/>
  <c r="N34" i="1"/>
  <c r="Z33" i="1"/>
  <c r="P33" i="1"/>
  <c r="O33" i="1"/>
  <c r="N33" i="1"/>
  <c r="Z32" i="1"/>
  <c r="P32" i="1"/>
  <c r="O32" i="1"/>
  <c r="N32" i="1"/>
  <c r="Z31" i="1"/>
  <c r="P31" i="1"/>
  <c r="O31" i="1"/>
  <c r="E10" i="2" s="1"/>
  <c r="N31" i="1"/>
  <c r="D10" i="2" s="1"/>
  <c r="Z30" i="1"/>
  <c r="P30" i="1"/>
  <c r="O30" i="1"/>
  <c r="N30" i="1"/>
  <c r="Z29" i="1"/>
  <c r="P29" i="1"/>
  <c r="O29" i="1"/>
  <c r="N29" i="1"/>
  <c r="Z28" i="1"/>
  <c r="P28" i="1"/>
  <c r="O28" i="1"/>
  <c r="N28" i="1"/>
  <c r="Z27" i="1"/>
  <c r="P27" i="1"/>
  <c r="O27" i="1"/>
  <c r="N27" i="1"/>
  <c r="Z26" i="1"/>
  <c r="P26" i="1"/>
  <c r="O26" i="1"/>
  <c r="N26" i="1"/>
  <c r="Z25" i="1"/>
  <c r="P25" i="1"/>
  <c r="O25" i="1"/>
  <c r="N25" i="1"/>
  <c r="Z24" i="1"/>
  <c r="P24" i="1"/>
  <c r="O24" i="1"/>
  <c r="N24" i="1"/>
  <c r="Z23" i="1"/>
  <c r="P23" i="1"/>
  <c r="O23" i="1"/>
  <c r="N23" i="1"/>
  <c r="Z22" i="1"/>
  <c r="P22" i="1"/>
  <c r="O22" i="1"/>
  <c r="N22" i="1"/>
  <c r="Z21" i="1"/>
  <c r="P21" i="1"/>
  <c r="O21" i="1"/>
  <c r="N21" i="1"/>
  <c r="Z20" i="1"/>
  <c r="P20" i="1"/>
  <c r="O20" i="1"/>
  <c r="N20" i="1"/>
  <c r="Z19" i="1"/>
  <c r="P19" i="1"/>
  <c r="O19" i="1"/>
  <c r="N19" i="1"/>
  <c r="Z18" i="1"/>
  <c r="P18" i="1"/>
  <c r="O18" i="1"/>
  <c r="N18" i="1"/>
  <c r="Z17" i="1"/>
  <c r="P17" i="1"/>
  <c r="O17" i="1"/>
  <c r="N17" i="1"/>
  <c r="Z16" i="1"/>
  <c r="P16" i="1"/>
  <c r="O16" i="1"/>
  <c r="N16" i="1"/>
  <c r="Z15" i="1"/>
  <c r="P15" i="1"/>
  <c r="O15" i="1"/>
  <c r="N15" i="1"/>
  <c r="Z14" i="1"/>
  <c r="P14" i="1"/>
  <c r="O14" i="1"/>
  <c r="N14" i="1"/>
  <c r="Z13" i="1"/>
  <c r="P13" i="1"/>
  <c r="O13" i="1"/>
  <c r="N13" i="1"/>
  <c r="Z12" i="1"/>
  <c r="P12" i="1"/>
  <c r="O12" i="1"/>
  <c r="N12" i="1"/>
  <c r="Z11" i="1"/>
  <c r="P11" i="1"/>
  <c r="O11" i="1"/>
  <c r="N11" i="1"/>
  <c r="Z10" i="1"/>
  <c r="P10" i="1"/>
  <c r="O10" i="1"/>
  <c r="N10" i="1"/>
  <c r="Z9" i="1"/>
  <c r="P9" i="1"/>
  <c r="O9" i="1"/>
  <c r="N9" i="1"/>
  <c r="Z8" i="1"/>
  <c r="P8" i="1"/>
  <c r="O8" i="1"/>
  <c r="N8" i="1"/>
  <c r="Z7" i="1"/>
  <c r="P7" i="1"/>
  <c r="O7" i="1"/>
  <c r="N7" i="1"/>
  <c r="Z6" i="1"/>
  <c r="P6" i="1"/>
  <c r="O6" i="1"/>
  <c r="N6" i="1"/>
  <c r="Z5" i="1"/>
  <c r="P5" i="1"/>
  <c r="O5" i="1"/>
  <c r="N5" i="1"/>
  <c r="C11" i="2" l="1"/>
  <c r="I10" i="2"/>
  <c r="I17" i="2"/>
  <c r="F11" i="2"/>
  <c r="I19" i="2"/>
  <c r="D19" i="2"/>
  <c r="H11" i="2"/>
  <c r="F23" i="2"/>
  <c r="H23" i="2"/>
  <c r="I21" i="2"/>
  <c r="I9" i="2"/>
  <c r="I20" i="2"/>
  <c r="D16" i="2"/>
  <c r="I18" i="2"/>
  <c r="E16" i="2"/>
  <c r="L18" i="2"/>
  <c r="I7" i="2"/>
  <c r="B11" i="2"/>
  <c r="I6" i="2"/>
  <c r="B23" i="2"/>
  <c r="D21" i="2"/>
  <c r="C23" i="2"/>
  <c r="D18" i="2"/>
  <c r="D17" i="2"/>
  <c r="E18" i="2"/>
  <c r="E19" i="2"/>
  <c r="I22" i="2"/>
  <c r="E17" i="2"/>
  <c r="E21" i="2"/>
  <c r="G23" i="2"/>
  <c r="K18" i="2"/>
  <c r="I8" i="2"/>
  <c r="G11" i="2"/>
  <c r="D9" i="2"/>
  <c r="D8" i="2"/>
  <c r="E9" i="2"/>
  <c r="E8" i="2"/>
  <c r="D6" i="2"/>
  <c r="E6" i="2"/>
  <c r="K9" i="2"/>
  <c r="L9" i="2"/>
  <c r="I16" i="2"/>
</calcChain>
</file>

<file path=xl/sharedStrings.xml><?xml version="1.0" encoding="utf-8"?>
<sst xmlns="http://schemas.openxmlformats.org/spreadsheetml/2006/main" count="3340" uniqueCount="1495">
  <si>
    <t>РЕЕСТР ТЕНДЕРОВ НЕОСТРОЙ</t>
  </si>
  <si>
    <t>Синие колонки — расчёт (заполнено по расчётам с июля 2026). Жёлтые колонки — РЕЗУЛЬТАТ, заполняет отдел тендеров после подведения итогов. Наценка и маржа считаются формулами из с/с и КП. Цифры — руб. без НДС за период из колонки «Период». Аналитика — на листе «Аналитика».</t>
  </si>
  <si>
    <t>РАСЧЁТ</t>
  </si>
  <si>
    <t>ИТОГИ ТЕНДЕРА (заполнять)</t>
  </si>
  <si>
    <t>№</t>
  </si>
  <si>
    <t>Дата расчёта</t>
  </si>
  <si>
    <t>Заказчик</t>
  </si>
  <si>
    <t>Объект</t>
  </si>
  <si>
    <t>Предмет</t>
  </si>
  <si>
    <t>Регион</t>
  </si>
  <si>
    <t>Вид работ</t>
  </si>
  <si>
    <t>Тип тендера</t>
  </si>
  <si>
    <t>Период цены</t>
  </si>
  <si>
    <t>НМЦК б/НДС</t>
  </si>
  <si>
    <t>С/с б/НДС</t>
  </si>
  <si>
    <t>КП б/НДС</t>
  </si>
  <si>
    <t>КП с НДС</t>
  </si>
  <si>
    <t>Наценка
= КП ÷ с/с − 1</t>
  </si>
  <si>
    <t>Маржа
= 1 − с/с ÷ КП</t>
  </si>
  <si>
    <t>КП к НМЦК</t>
  </si>
  <si>
    <t>Наценка мат.</t>
  </si>
  <si>
    <t>Наценка раб.</t>
  </si>
  <si>
    <t>Решение по расчёту</t>
  </si>
  <si>
    <t>Переторжки (история)</t>
  </si>
  <si>
    <t>Подано, дата</t>
  </si>
  <si>
    <t>Наша финальная цена б/НДС</t>
  </si>
  <si>
    <t>РЕЗУЛЬТАТ</t>
  </si>
  <si>
    <t>Место</t>
  </si>
  <si>
    <t>Цена победителя б/НДС</t>
  </si>
  <si>
    <t>Наша цена к победителю
= наша ÷ победитель − 1</t>
  </si>
  <si>
    <t>Участников</t>
  </si>
  <si>
    <t>Причина / комментарий по итогам</t>
  </si>
  <si>
    <t>Папка</t>
  </si>
  <si>
    <t>Источник расчёта (память)</t>
  </si>
  <si>
    <t>Примечания</t>
  </si>
  <si>
    <t>ООО «Пулково Аэропорт Отель СПб»</t>
  </si>
  <si>
    <t>СПб, Пулковское ш. 41 лит. ЗД, 109 ед. оборудования</t>
  </si>
  <si>
    <t>ТО кухонного и холодильного оборудования точек питания</t>
  </si>
  <si>
    <t>СПб</t>
  </si>
  <si>
    <t>КТО / ТО</t>
  </si>
  <si>
    <t>ТО и абонентское обслуживание</t>
  </si>
  <si>
    <t>в месяц</t>
  </si>
  <si>
    <t>рассчитано</t>
  </si>
  <si>
    <t>project_pulkovo_hotel.md</t>
  </si>
  <si>
    <t>Форма с НДС 5 %, по решению пользователя НДС 22 %. Кол-во ед. 109 vs 103 в ТЗ.</t>
  </si>
  <si>
    <t>ООО «Лента»</t>
  </si>
  <si>
    <t>ТК-6</t>
  </si>
  <si>
    <t>Ремонт асфальтовой парковки ТК-6</t>
  </si>
  <si>
    <t>СМР / ремонт</t>
  </si>
  <si>
    <t>Крупные сети и девелоперы — конкурентный тендер</t>
  </si>
  <si>
    <t>разово</t>
  </si>
  <si>
    <t>project_lenta_parkovki.md</t>
  </si>
  <si>
    <t>Портфель 3 ТК: с/с 10,08 млн, КП 18,46 млн с НДС. ТЗ ТК-6 путаница (объём 85 vs 985 м²).</t>
  </si>
  <si>
    <t>ТК-48, Кудрово</t>
  </si>
  <si>
    <t>Ремонт асфальтовой парковки ТК-48</t>
  </si>
  <si>
    <t>ЛО</t>
  </si>
  <si>
    <t>Портфель 3 ТК: с/с 10,08 млн, КП 18,46 млн с НДС.</t>
  </si>
  <si>
    <t>ТК-270, Сосновый Бор</t>
  </si>
  <si>
    <t>Ремонт асфальтовой парковки ТК-270</t>
  </si>
  <si>
    <t>Столовая Центрального офиса Ленты</t>
  </si>
  <si>
    <t>ТОиР кухонного/пекарного оборудования столовой ЦО, 63 ед., 2026 г.</t>
  </si>
  <si>
    <t>project_lenta_stolovaya_co.md</t>
  </si>
  <si>
    <t>КП 115 650/мес с НДС (б/НДС = /1,22); нерегламент 3 100 руб/ч с НДС; запчасти отдельно; SL ≥ 96 %</t>
  </si>
  <si>
    <t>ОАО «КАРАВАЙ»</t>
  </si>
  <si>
    <t>ПП2 СПб, Политехническая 11 + ПП3 СПб, пр. Стачек 39</t>
  </si>
  <si>
    <t>Ремонт асфальтобетонного покрытия двух площадок</t>
  </si>
  <si>
    <t>project_karavay_asfalt.md</t>
  </si>
  <si>
    <t>B2B №4518138; ПП2 с/с 2 999 790 / КП 5 758 080, ПП3 909 970 / 1 746 330; первоначально КП 6 253 745 (+60 %), поднято +20 % до подачи</t>
  </si>
  <si>
    <t>ООО «ФЕНИКС-ОТЕЛЬ»</t>
  </si>
  <si>
    <t>Cosmos SPb Nevsky, Гончарная 4А, конференц-зал 115,6 м²</t>
  </si>
  <si>
    <t>Реновация конференц-зала с оснащением (мебель, АВ)</t>
  </si>
  <si>
    <t>Fit-out</t>
  </si>
  <si>
    <t>Fit-out, частный бизнес, малые объёмы</t>
  </si>
  <si>
    <t>Космос. Невский</t>
  </si>
  <si>
    <t>project_cosmos_nevsky.md</t>
  </si>
  <si>
    <t>Расхождения формы КП и РД: панели 36 vs 107 м² (~330К), ковролин, рейка. Срок до 01.09.2026.</t>
  </si>
  <si>
    <t>ООО «ГИПЕРГЛОБУС» (Глобус)</t>
  </si>
  <si>
    <t>ГМ «Глобус» Тверь, Октябрьский пр-т 101</t>
  </si>
  <si>
    <t>Полное ТО ГМ: электро, ОВиК, мех., холод, дежурство 24/7, Купава</t>
  </si>
  <si>
    <t>Тверь</t>
  </si>
  <si>
    <t>в год</t>
  </si>
  <si>
    <t>Сметы (корень, подпапки Встройка, ЦХМ)</t>
  </si>
  <si>
    <t>project_globus_to.md</t>
  </si>
  <si>
    <t>Финал v2 по ценам Митино; первый вариант 33,54 млн. Р1–Р3 по уровню Митино, Р4–Р6 с/с×1,3. Ремонты до 200 тыс/мес в цене, фиксация цены 1–3 года</t>
  </si>
  <si>
    <t>ГМ «Глобус» Тула 2, ул. Октябрьская 215</t>
  </si>
  <si>
    <t>Полное ТО ГМ: электро, ОВиК, механические системы</t>
  </si>
  <si>
    <t>Тула</t>
  </si>
  <si>
    <t>Сметы (корень)</t>
  </si>
  <si>
    <t>Финал v2 по ценам Митино; первый вариант 17,34 млн. По файлу итог двух ГМ 41,67 млн, «маржа 20,0 %» = фактически наценка (маржа 16,7 %)</t>
  </si>
  <si>
    <t>X5 (Агроторг)</t>
  </si>
  <si>
    <t>РЦ Калининград</t>
  </si>
  <si>
    <t>КТО РЦ, оптимизированный штат 8 чел. (вар. А)</t>
  </si>
  <si>
    <t>Калининград</t>
  </si>
  <si>
    <t>project_kaliningrad_budget.md</t>
  </si>
  <si>
    <t>Полный штат 17 чел. — с/с 4,74 млн/мес (убыток). Фикс 70 % (1,82 млн) с/с не покрывает; вар. Б 7 чел. маржа 24,2 %. Штраф 100 % мес.</t>
  </si>
  <si>
    <t>X5 / Агроторг («Пятёрочка»)</t>
  </si>
  <si>
    <t>РЦ «Пятёрочка» Ярославль</t>
  </si>
  <si>
    <t>Комплексное ТО распределительного центра, 24 мес (B2B 4507641)</t>
  </si>
  <si>
    <t>Ярославль</t>
  </si>
  <si>
    <t>подано</t>
  </si>
  <si>
    <t>проиграли</t>
  </si>
  <si>
    <t>По цене 1-е место в 5 лотах из 9; проиграли на квалификации (оборот 20–50 млн в анкете). Итог 12.08.2026.</t>
  </si>
  <si>
    <t>РЦ … (9 подпапок)</t>
  </si>
  <si>
    <t>project_pyaterochka_rc.md</t>
  </si>
  <si>
    <t>Итог 12.08.2026: проиграли все 9 лотов (по 5 лотам были 1-ми по цене). Слабая квал. анкета (оборот 20–50 млн). Плюс нормочасы РСР отдельно</t>
  </si>
  <si>
    <t>РЦ «Пятёрочка» Вятка</t>
  </si>
  <si>
    <t>Киров</t>
  </si>
  <si>
    <t>РЦ «Пятёрочка» В.Новгород</t>
  </si>
  <si>
    <t>Новгородская обл.</t>
  </si>
  <si>
    <t>РЦ «Пятёрочка» Калининград</t>
  </si>
  <si>
    <t>РЦ «Пятёрочка» Адамант</t>
  </si>
  <si>
    <t>РЦ «Пятёрочка» ЗТЛ лот 1</t>
  </si>
  <si>
    <t>РЦ «Пятёрочка» ЗТЛ лот 2</t>
  </si>
  <si>
    <t>РЦ «Пятёрочка» Уткина Заводь (УТЗ)</t>
  </si>
  <si>
    <t>переторжка</t>
  </si>
  <si>
    <t>1 150 000 → 1 100 000/мес (повторная переторжка 23.07.2026)</t>
  </si>
  <si>
    <t>РЦ «Пятёрочка» Петрозаводск</t>
  </si>
  <si>
    <t>Карелия</t>
  </si>
  <si>
    <t>1 200 000 → 1 140 000/мес (повторная переторжка 23.07.2026)</t>
  </si>
  <si>
    <t>X5 Group</t>
  </si>
  <si>
    <t>РЦ «Троицкий», СПб, пр. Обуховской Обороны 295БД, 16 742 м²</t>
  </si>
  <si>
    <t>КТОиР инж. сетей, зданий и РСР, 1 200 н-ч/мес (B2B-Center 4491892)</t>
  </si>
  <si>
    <t>РЦ БЕ ОКОЛО</t>
  </si>
  <si>
    <t>project_x5_troitsky.md</t>
  </si>
  <si>
    <t>Цена 2 030 руб/н-ч × 14 400 = 29 232 000/год; наценка 30 %. Пост 24/7, реакция 60 мин. Материалы по тарификатору ×1,3.</t>
  </si>
  <si>
    <t>АО «Балтийский берег»</t>
  </si>
  <si>
    <t>ЛО, Ломоносовский р-н, д. Пеники, Центральная 2Г — 3 цеха</t>
  </si>
  <si>
    <t>Ремонтно-отделочные работы 3 объектов (полы, лотки, трапы, покраска, освещение)</t>
  </si>
  <si>
    <t>Балтийский берег</t>
  </si>
  <si>
    <t>project_baltbereg_remont.md</t>
  </si>
  <si>
    <t>Объекты: КП 7,167 / 7,777 / 4,58 млн. Действующее производство; площади уточнить обмером</t>
  </si>
  <si>
    <t>X5 (АО «ТД «ПЕРЕКРЕСТОК»)</t>
  </si>
  <si>
    <t>РЦ «Троицкий», СПб, пр. Обуховской Обороны 295БД</t>
  </si>
  <si>
    <t>Лот 1: ТО и ремонт ХО/КО/ВО, full service</t>
  </si>
  <si>
    <t>РЦ БЕ ОКОЛО ХО</t>
  </si>
  <si>
    <t>project_x5_ho_troitsky_ufa.md</t>
  </si>
  <si>
    <t>с/с 710 050/мес ×12; ТО ХО 900 000/мес, н-ч 2 300; тарификатор ЗИП 3 174 поз. рынок ×1,30 (модельные цены); оффер на ЭТП заполнен</t>
  </si>
  <si>
    <t>РЦ Уфа, ул. Цветочная 36</t>
  </si>
  <si>
    <t>Лот 2: ТО и ремонт ХО/КО/ВО, full service</t>
  </si>
  <si>
    <t>Башкортостан (Уфа)</t>
  </si>
  <si>
    <t>с/с 347 325/мес ×12; уфимская ставка — допущение (альтернатива субподряд 350–400К/мес); риск неоплаты месяца при потере товара</t>
  </si>
  <si>
    <t>ООО «Гротекс» (Solopharm)</t>
  </si>
  <si>
    <t>Завод ЖЛФ, СПб, Индустриальный пр. 71 к.2 лит. А</t>
  </si>
  <si>
    <t>Ремонт плоской кровли ~350 м² (ПВХ-мембрана), Bidzaar 352-421</t>
  </si>
  <si>
    <t>project_grotex_krovlya.md</t>
  </si>
  <si>
    <t>С/с 1 116 235 с НДС /1,22. ВОР нет — объёмы по 2 фото; КП не делали. Демонтаж старого ковра не заложен</t>
  </si>
  <si>
    <t>ООО «Ладожская Форель»</t>
  </si>
  <si>
    <t>Склад-навес 18×24 м, пос. Хийденсельга, Питкярантский р-н</t>
  </si>
  <si>
    <t>Строительство склада-навеса (МК ~15 т, профнастил, фундаменты) с ПИР</t>
  </si>
  <si>
    <t>ПИР+СМР</t>
  </si>
  <si>
    <t>project_ladoga_sklad.md</t>
  </si>
  <si>
    <t>С/с 9 200 300 с НДС /1,22. КП б/НДС = 18,4 млн − НДС 3 318 032,79. Расхождения ТЗ/чертежей; полы, сети, электрика не включены</t>
  </si>
  <si>
    <t>SUNLIGHT / ООО «МЦЗ-Ритейл»</t>
  </si>
  <si>
    <t>Магазин МЦЗ, СПб, Балканская пл. 5, ТРК «Балканский-3», пом. 21-16 (153,2 м²)</t>
  </si>
  <si>
    <t>СМР магазина ювелирных украшений + монтаж ТО</t>
  </si>
  <si>
    <t>СанЛайт</t>
  </si>
  <si>
    <t>project_sunlight_balkansky.md</t>
  </si>
  <si>
    <t>КП 6 374 217 в т.ч. НДС (б/НДС = /1,22); с/с смешанная (работы без НДС, материалы с НДС) — наценка не считалась</t>
  </si>
  <si>
    <t>СПбГИКиТ</t>
  </si>
  <si>
    <t>Съёмочный павильон УЛК №3, СПб, Бухарестская 22 лит. А</t>
  </si>
  <si>
    <t>Текущий ремонт съёмочного павильона (ЛСР 02-17-01, 138 позиций)</t>
  </si>
  <si>
    <t>Госзакупки 44-ФЗ / 223-ФЗ</t>
  </si>
  <si>
    <t>project_gikit_pavilion.md</t>
  </si>
  <si>
    <t>НМЦ 2 618 968,53 с НДС; рыночный бюджет на 37,9 % ниже сметы</t>
  </si>
  <si>
    <t>СПбГУ</t>
  </si>
  <si>
    <t>СПб шоссе 109 (Петергоф)</t>
  </si>
  <si>
    <t>Ремонт ограждений: сварка, антикор, окраска 1 227 м²</t>
  </si>
  <si>
    <t>project_spbgu_ograzhdeniya.md</t>
  </si>
  <si>
    <t>Книга проекта по ЛСР 480-26/03-06-10; рыночный бюджет на 32,1 % ниже НМЦ. Доска для настила моста без стоимости</t>
  </si>
  <si>
    <t>АО «СЗ Ланселот»</t>
  </si>
  <si>
    <t>ОКН «Мастеровой двор» (CHEVAL COURT), СПб, Конюшенная пл. 2</t>
  </si>
  <si>
    <t>Отделочные и инженерные работы МОП, полная ВОР (463 поз.)</t>
  </si>
  <si>
    <t>Конюшня 2</t>
  </si>
  <si>
    <t>project_cheval_court_mop.md</t>
  </si>
  <si>
    <t>На 2,2 % ниже конкурента (60,26 млн с НДС). Первый вариант 54 560 000. Люкс-отделка, много давальческих, ГУ 5 %.</t>
  </si>
  <si>
    <t>ООО «СТД «Петрович»</t>
  </si>
  <si>
    <t>СПб, Южное ш. 39, лит. П, пом. 3.7 ~100 м²</t>
  </si>
  <si>
    <t>Косметический ремонт видеостудии (ЗА-523)</t>
  </si>
  <si>
    <t>project_petrovich_videostudia.md</t>
  </si>
  <si>
    <t>КП не сделано. Без аванса, оплата 15 к.д. после КС с ИД; выезд обязателен. НДС в с/с не уточнён.</t>
  </si>
  <si>
    <t>ООО «СТРОЙКОМПЛЕКС»</t>
  </si>
  <si>
    <t>Москва, ЦЗ №169, 1 и 4 этажи</t>
  </si>
  <si>
    <t>Отделка помещений 1 и 4 этажей (~133 поз.)</t>
  </si>
  <si>
    <t>Москва</t>
  </si>
  <si>
    <t>project_stroykompleks_otdelka_14.md</t>
  </si>
  <si>
    <t>С/с 105,9 млн принята с НДС (маржа = КП − с/с), ÷1,22. Km 1,37 / Kw 3,50. В заметке противоречие «КП не сделано».</t>
  </si>
  <si>
    <t>Объект ЦЗ №165, Москва, 2–3 этаж (фарма, ЧПП)</t>
  </si>
  <si>
    <t>Отделка помещений 2–3 этажа с ЧПП, ~150 позиций</t>
  </si>
  <si>
    <t>project_stroykompleks_otdelka.md</t>
  </si>
  <si>
    <t>КП 250,26 млн указан «с НДС», но = с/с×2 (мат 94,5 + раб 155,8) — вероятно без НДС; уточнить. Давальческие материалы, аванс 30 %, 240 к.д.</t>
  </si>
  <si>
    <t>ФСО (44-ФЗ)</t>
  </si>
  <si>
    <t>11 режимных объектов ФСО в СПб, 462 ед.</t>
  </si>
  <si>
    <t>ТОиР кухонного оборудования, 12 мес</t>
  </si>
  <si>
    <t>не участвовать</t>
  </si>
  <si>
    <t>не подавали</t>
  </si>
  <si>
    <t>project_to_fso.md</t>
  </si>
  <si>
    <t>С/с — сценарий Б (434 562/мес ×12); сценарий А −52,8 %. НМЦК под действующего исполнителя; участие только по НМЦК как вход.</t>
  </si>
  <si>
    <t>modi</t>
  </si>
  <si>
    <t>ТЦ «Экопарк», Мурино, Охтинская аллея 9, 112,5 м²</t>
  </si>
  <si>
    <t>Fit-out магазина modi</t>
  </si>
  <si>
    <t>Моди</t>
  </si>
  <si>
    <t>project_modi_ekopark.md</t>
  </si>
  <si>
    <t>Опция вывеска +330К; минус за сохранение треков −787 894 б/НДС. Вопросы: треки, готовый щит, вывеска.</t>
  </si>
  <si>
    <t>Отель Sofitel 5*</t>
  </si>
  <si>
    <t>Отель Sofitel, СПб, 16 сплит-систем</t>
  </si>
  <si>
    <t>Абонентское ТО 16 кондиционеров (Bidzaar 351-654)</t>
  </si>
  <si>
    <t>Софитель</t>
  </si>
  <si>
    <t>project_sofitel_kondicionery.md</t>
  </si>
  <si>
    <t>В форме: 96 000 за цикл раз в 2 мес (576К/год), выезд 6 000, н-ч 3 500. Пол торга ~80К/мес.</t>
  </si>
  <si>
    <t>Банный комплекс «Жар-Птица», ТЦ «Лапино Коллекшн», МО, Одинцовский г.о., д. Новодарьино</t>
  </si>
  <si>
    <t>Генподряд: реконструкция 1–2 эт. ТЦ под банный комплекс, 2 222 м²</t>
  </si>
  <si>
    <t>МО</t>
  </si>
  <si>
    <t>Лапино Баня</t>
  </si>
  <si>
    <t>project_lapino_banya.md</t>
  </si>
  <si>
    <t>с/с в тексте 138,0 млн С НДС (/1,22); КП = форма 244,92 + дополнение 18,03 млн с НДС; нет РД вентиляции, чистовые материалы — заказчика</t>
  </si>
  <si>
    <t>АО «АльфаСтрахование»</t>
  </si>
  <si>
    <t>Офис, МО, Сергиев Посад, пр-т Красной Армии 12</t>
  </si>
  <si>
    <t>Косметический ремонт клиентской зоны офиса (~110 м²)</t>
  </si>
  <si>
    <t>Альфа Сергиево</t>
  </si>
  <si>
    <t>project_alfa_sergiev.md</t>
  </si>
  <si>
    <t>с/с 608 005 с НДС /1,22; КП не считалось; командировка 160 тыс; смысл только с местным субподрядом</t>
  </si>
  <si>
    <t>АО «Дороги и Мосты» (ГП; заказчик ДКРС ОАО «РЖД»)</t>
  </si>
  <si>
    <t>Полигон №4 ПК2419 ВСМ СПб–Москва, Валдай</t>
  </si>
  <si>
    <t>Завод балок: 4 пакета ВОР (СМУ, ИТИС, СПИ, ГПСМ), укрупнённо ±20 %</t>
  </si>
  <si>
    <t>Переторжка / 2 тур / вход к новому заказчику</t>
  </si>
  <si>
    <t>П4</t>
  </si>
  <si>
    <t>project_polygon4_vsm.md</t>
  </si>
  <si>
    <t>С/с 1 865 млн с НДС ÷1,22. Песок 502 тыс. м³ принят давальческим (иначе +250–400 млн). Полный объект ~3,5–5 млрд, ВОР по остальным разделам не переданы.</t>
  </si>
  <si>
    <t>ООО «ЕвроХим Северо-Запад-2»</t>
  </si>
  <si>
    <t>Кингисепп, промзона «Фосфорит», Аммиак-2/Карбамид</t>
  </si>
  <si>
    <t>Монтаж наружных сетей, тендер NW2-0AUP-1746</t>
  </si>
  <si>
    <t>ЕвроХим</t>
  </si>
  <si>
    <t>project_evrohim_seti.md</t>
  </si>
  <si>
    <t>Вход в пул подрядчиков «Фосфорита». Действующий ОПО, НАКС, лаборатория НК; аванс 30 % с БГ. КП с НДС ≈25,58 млн.</t>
  </si>
  <si>
    <t>ТД «ЦУМ» (Mercury)</t>
  </si>
  <si>
    <t>ЦУМ Outlet, ТЦ «Гранд Марина», Сочи, Несебрская 1А, 805 м²</t>
  </si>
  <si>
    <t>Fit-out магазина 805 м²</t>
  </si>
  <si>
    <t>Краснодарский край</t>
  </si>
  <si>
    <t>Сочи ЦУМ</t>
  </si>
  <si>
    <t>project_sochi_tsum.md</t>
  </si>
  <si>
    <t>Командировка, ночные работы в действующем ТЦ; неустойка 0,3 %/день; гарантийное удержание; аванс 30 %</t>
  </si>
  <si>
    <t>ОАО «МЗ «Арсенал»</t>
  </si>
  <si>
    <t>СПб, Комсомола 1-3, здание 20 (КИЦ), h 21,6 м</t>
  </si>
  <si>
    <t>Поставка и монтаж освещения: 72 светильника PromLed, щит, кабели</t>
  </si>
  <si>
    <t>Поставка и монтаж</t>
  </si>
  <si>
    <t>Арсенал</t>
  </si>
  <si>
    <t>project_arsenal_osveshenie.md</t>
  </si>
  <si>
    <t>С/с 4,35 млн с НДС ÷1,22. Режимный объект; подъёмник 22–26 м; светорасчёт DIALux обязателен в ТКП.</t>
  </si>
  <si>
    <t>ООО «Рыбстандарт» (ГК «Балтийский берег»)</t>
  </si>
  <si>
    <t>РВУ №2, ЛО, Выборгский р-н, Каменногорское ГП (~380 м²)</t>
  </si>
  <si>
    <t>Проектирование и строительство общежития 32 чел из СИП-панелей, 30 дней</t>
  </si>
  <si>
    <t>ББ Каменогорск</t>
  </si>
  <si>
    <t>project_bb_kamenogorsk.md</t>
  </si>
  <si>
    <t>с/с 18 503 200 с НДС /1,22; КП не считалось; нет геологии (гранит); аванса нет; срок 30 дней</t>
  </si>
  <si>
    <t>Генподрядчик Лота 19 АГМ (реквизиты не заполнены)</t>
  </si>
  <si>
    <t>АБК Р7.1 автозавода АГМ, СПб, Шушары</t>
  </si>
  <si>
    <t>Субподряд: бригады монолит + МК + наружные сети без материалов (Сценарий А)</t>
  </si>
  <si>
    <t>АГМ АБК (Desktop\АГМ АБК)</t>
  </si>
  <si>
    <t>project_agm_abk.md</t>
  </si>
  <si>
    <t>Сценарий Б (всё наше): с/с 13,90 млн, цена 18,54 млн б/НДС; сети ±100 % (РД НВК нет); чел.-смена ~18 тыс. vs 9–12 у неоформленных бригад</t>
  </si>
  <si>
    <t>X5 Import (АО «АРВИАЙ»)</t>
  </si>
  <si>
    <t>ХАБ «Богородск», Ногинск — Лот 1</t>
  </si>
  <si>
    <t>КТО логистического ХАБа, 01.10.2026–30.09.2027</t>
  </si>
  <si>
    <t>Перекресток РЦ</t>
  </si>
  <si>
    <t>project_x5_arviay.md</t>
  </si>
  <si>
    <t>Цены — решение руководства; в сумме по 3 лотам −3 200/мес. Нормо-час 1 200 ниже с/с. Сценарий Б: с/с 1,70 млн, маржа 19,2 %</t>
  </si>
  <si>
    <t>ХАБ «Богородск», Ногинск — Лот 2</t>
  </si>
  <si>
    <t>ХАБ «Пулково», Виллози — Лот 3</t>
  </si>
  <si>
    <t>Только бригада: монолит, МК 717,8 т, наружные сети (материалы ГП), вар. А</t>
  </si>
  <si>
    <t>КП — ориентир при марже 19 %, не подано. Вар. Б (механизация ГП) с/с 122,45 / КП 145,7 млн. Риск: 43,9 км трубы ССД на 4,5 км трассы.</t>
  </si>
  <si>
    <t>ДОУ на 103 места, Папушево (5 608 м²)</t>
  </si>
  <si>
    <t>Строительство ДОУ, монолит, 107 позиций ВОР</t>
  </si>
  <si>
    <t>Папушево</t>
  </si>
  <si>
    <t>project_tendery_avgust_2026.md</t>
  </si>
  <si>
    <t>КП выпущено 14.08 на текстовой шапке (нужен бланк); фасад 1 925 vs 2 750 м², нет внутренних инженерных систем в ВОР</t>
  </si>
  <si>
    <t>ГК ФСК СЗ</t>
  </si>
  <si>
    <t>Пушкинец: ПМК + пункт полиции</t>
  </si>
  <si>
    <t>Лоты 141/142: отделка ПМК + пункт полиции (ресурсная ФКП 1 179 строк)</t>
  </si>
  <si>
    <t>Пушкинец</t>
  </si>
  <si>
    <t>Цена — расчётная (мат +20 %/раб +50 %), факт подачи не указан</t>
  </si>
  <si>
    <t>ЛЕМАНА ПРО</t>
  </si>
  <si>
    <t>12 ТЦ ЛЕМАНА ПРО</t>
  </si>
  <si>
    <t>Предквалификация: замена освещения 12 ТЦ</t>
  </si>
  <si>
    <t>Лемана светильники</t>
  </si>
  <si>
    <t>Цена — расчётная (мат +20 %/раб +50 %), факт подачи не указан; РД нет, оценка ±25 %; выгодно брать только 4 объекта в СПб (с/с 75,2 млн)</t>
  </si>
  <si>
    <t>МБМ Девел</t>
  </si>
  <si>
    <t>Офис «Копирка», 14 эт. БЦ «Линкор», Москва</t>
  </si>
  <si>
    <t>Отделка офиса (субподряд)</t>
  </si>
  <si>
    <t>Цена — расчётная (мат +20 %/раб +50 %), факт подачи не указан; в ЛСР нет перегородок ГКЛ и дверей из РД (+1,45 млн); командировочные 719 тыс</t>
  </si>
  <si>
    <t>ПП1, СПб, Херсонская 22 (башня ~30 м)</t>
  </si>
  <si>
    <t>Кровля 45 м² над баками воды</t>
  </si>
  <si>
    <t>Каравай кровля</t>
  </si>
  <si>
    <t>B2B № 4561866, до 20.08; цена с наценкой 30 %</t>
  </si>
  <si>
    <t>ОП «Пеники», ЛО, Ломоносовский р-н, 3 участка 837 м²</t>
  </si>
  <si>
    <t>Кислотоупорные полы, лотки AISI, окраска, освещение склада</t>
  </si>
  <si>
    <t>Пеники СМР</t>
  </si>
  <si>
    <t>project_peniki_smr.md</t>
  </si>
  <si>
    <t>Единый коэф. 1,6009 на работы и материалы. Гарантия 5 лет. Лоток AISI 304 2,8 млн — подтвердить КП поставщика. Аванс не оговорён.</t>
  </si>
  <si>
    <t>Корпус №3 ОП «Пеники», ЛО, д. Пеники, Центральная 2Г</t>
  </si>
  <si>
    <t>ПИР, поставка, монтаж, ПНР вентиляции и кондиционирования 5 зон (~1280 м²)</t>
  </si>
  <si>
    <t>ББ. Пеники. Вентиляция</t>
  </si>
  <si>
    <t>project_peniki_ventilation.md</t>
  </si>
  <si>
    <t>Ред.1 48,70 млн б/НДС → ред.2 49,67 млн. Оборуд. ×1,25. Холод 399 vs 481 кВт по РД; срок цены завода истёк; аванс 40 % при 100 % предоплате поставщику</t>
  </si>
  <si>
    <t>ООО «Русский Стандарт Водка»</t>
  </si>
  <si>
    <t>СПб, Пулковское ш. 46 к2, АБК и Котельная</t>
  </si>
  <si>
    <t>Ремонт ПВХ-кровли АБК и Котельной</t>
  </si>
  <si>
    <t>РС Водка</t>
  </si>
  <si>
    <t>project_rsv_krovlya.md</t>
  </si>
  <si>
    <t>Промальпинисты, Leister, Технониколь; отсрочка ≥45 к.д., аванса нет. Ошибки формы заказчика исправлены.</t>
  </si>
  <si>
    <t>ООО «Система ПБО» («Вкусно — и точка»)</t>
  </si>
  <si>
    <t>ПБО 21055, СПб, Индустриальный пр. 22А</t>
  </si>
  <si>
    <t>Полная замена кровельного пирога 980 м²</t>
  </si>
  <si>
    <t>Мак на индустриальном</t>
  </si>
  <si>
    <t>project_vit_industrialny.md</t>
  </si>
  <si>
    <t>Bidzaar, переторжка назначена 20.08 (итог не описан); ночной коэф. 1,20; рамочный договор 3 года с фиксацией цен</t>
  </si>
  <si>
    <t>ООО «ТТЦ Чапыгина 6» (орг. ООО «Медиа Бизнес Солюшенс»)</t>
  </si>
  <si>
    <t>КПП, СПб, ул. Чапыгина 6 лит. Х</t>
  </si>
  <si>
    <t>Ремонт КПП (46 позиций ВОР)</t>
  </si>
  <si>
    <t>ждём итогов</t>
  </si>
  <si>
    <t>project_mbs_chapygina.md</t>
  </si>
  <si>
    <t>Bidzaar 360-142, 2 этапа (финальное КП после выбора материалов); 40 к.д.; нет решения по усилению проёма</t>
  </si>
  <si>
    <t>Ozon (ООО «Интернет Решения»)</t>
  </si>
  <si>
    <t>ЛЦ «Горское», СПб, Парголово, Горское ш. 6 стр. 16</t>
  </si>
  <si>
    <t>СМР: отделка 14 санузлов и 4 комнат приёма пищи</t>
  </si>
  <si>
    <t>project_ozon_gorskoe.md</t>
  </si>
  <si>
    <t>Постоплата 45 к.д.; санфаянса нет в ВОР (ставим демонтированный, иначе +400–450 тыс)</t>
  </si>
  <si>
    <t>X5 Group / ООО «Найс Айс»</t>
  </si>
  <si>
    <t>Производственно-складское здание, ЛО, Всеволожский р-н, Порошкино, зд. 1734</t>
  </si>
  <si>
    <t>Реконструкция участка «ХотХит» 2 эт. (~600 м²): ПИР, узаконивание, СМР, инженерия</t>
  </si>
  <si>
    <t>Перек ТУ РЦ 20.08</t>
  </si>
  <si>
    <t>project_niceice_hothit.md</t>
  </si>
  <si>
    <t>ВОР не передана, объёмы ±20–25 %; 100 % постоплата 15 р.д., финансирование не в с/с; проектирование без наценки</t>
  </si>
  <si>
    <t>ООО «Компания БКС»</t>
  </si>
  <si>
    <t>Офис 419,7 м², Москва, пр-т Мира 69 стр. 1</t>
  </si>
  <si>
    <t>Ремонт офиса (РСР), закупка 26107, форма КОРР</t>
  </si>
  <si>
    <t>БКС</t>
  </si>
  <si>
    <t>project_bks_ofis.md</t>
  </si>
  <si>
    <t>С/с 22,55 млн с НДС ÷1,22. Версия 05.08 — 75 031 986 с НДС, 19.08 пересчёт по форме КОРР. В форме заказчика минус-формулы (~4,7 млн).</t>
  </si>
  <si>
    <t>ООО «ОПХ» филиал «Бочкарев»</t>
  </si>
  <si>
    <t>Пивзавод, СПб, Тельмана 24А</t>
  </si>
  <si>
    <t>Замена колодца К3 Ду1000, коллектора Ду250 3 м, ремонт асфальта</t>
  </si>
  <si>
    <t>Бочкарев</t>
  </si>
  <si>
    <t>project_opkh_bochkarev_k3.md</t>
  </si>
  <si>
    <t>Исследование рынка; ориентир КП 3,45/3,71/3,98 млн; постоплата 120 к.д., гарантия 5 лет, штраф 20 %</t>
  </si>
  <si>
    <t>ООО «Ультрамар»</t>
  </si>
  <si>
    <t>Северные парки 1 и 2, ЛО, Кингисеппский р-н, д. Вистино (порт Усть-Луга)</t>
  </si>
  <si>
    <t>ТО освещения ж/д парков: 596 светильников, 64 шкафа, 4 щита, СИП 4,5 км</t>
  </si>
  <si>
    <t>Кингисепп Северный парк</t>
  </si>
  <si>
    <t>project_ultramar_osveshenie.md</t>
  </si>
  <si>
    <t>Вариант 2 (ТО 1 раз/год) 6 222 300. Пол переторжки 6,81 млн. Периодичность и срок не заданы, режимный объект, штрафы до 5 млн</t>
  </si>
  <si>
    <t>АО «Балтийский Балкерный Терминал»</t>
  </si>
  <si>
    <t>ПС-6, СПб, Элеваторная пл. 28</t>
  </si>
  <si>
    <t>Ремонт ПС-6: АКЗ, профлист, МК, огнезащитные перегородки</t>
  </si>
  <si>
    <t>project_bbt_ps6_kg.md</t>
  </si>
  <si>
    <t>КП не указано; маржа к бюджету 46,3 %; нужна лицензия МЧС и согласование огнезащиты; доп. работы в счёт твёрдой цены</t>
  </si>
  <si>
    <t>Конвейерные галереи КГ-3/4/17, СПб, Элеваторная пл. 28</t>
  </si>
  <si>
    <t>Ремонт галерей: АКЗ, профлист, поручни</t>
  </si>
  <si>
    <t>КП не указано; маржа к бюджету 32,3 %; промальп + АГП вместо лесов</t>
  </si>
  <si>
    <t>696 супермаркетов, 11 лотов по дивизионам</t>
  </si>
  <si>
    <t>ТО систем канализации, жироуловителей, КНС (16 704 услуги/год)</t>
  </si>
  <si>
    <t>несколько регионов</t>
  </si>
  <si>
    <t>Канализация Х5</t>
  </si>
  <si>
    <t>project_x5_kanalizaciya.md</t>
  </si>
  <si>
    <t>КП нет; 21 936 руб за услугу; состав оборудования не передан; SLA 2 ч в договоре vs 3–4 ч в ТЗ</t>
  </si>
  <si>
    <t>АО «Раменский ГОК» (ГК ФСК)</t>
  </si>
  <si>
    <t>Центральный склад и склад АТН, МО, Раменский, ул. Карьерная</t>
  </si>
  <si>
    <t>Ремонт мягкой кровли 928,5 м²</t>
  </si>
  <si>
    <t>ФСК кровля</t>
  </si>
  <si>
    <t>project_ramgok_krovlya.md</t>
  </si>
  <si>
    <t>КП — ориентир; пол торга 3 174 204. Объём замены утеплителя не определён (до +1,7 млн), оплачивать по факту</t>
  </si>
  <si>
    <t>ФГБОУ ВО ПГУПС</t>
  </si>
  <si>
    <t>СПб, Московский пр. 9 лит. В (Фонтанки 115; Садовая 50-а)</t>
  </si>
  <si>
    <t>Текущий ремонт 14 металлических ворот (7 в границах ОКН)</t>
  </si>
  <si>
    <t>ПГУПС Ворота</t>
  </si>
  <si>
    <t>project_pgups_vorota.md</t>
  </si>
  <si>
    <t>Аукцион 223-ФЗ 03.09.2026; с/с — рыночный бюджет; маржа при НМЦ 43,2 %. Аванса нет, обеспечение 5 %, гарантия 3 года</t>
  </si>
  <si>
    <t>ООО «АГМ»</t>
  </si>
  <si>
    <t>Корпус Р100, автозавод АГМ, СПб, Шушары</t>
  </si>
  <si>
    <t>Лот 26: кухонная зона корпуса Р100 (столовая 68 мест)</t>
  </si>
  <si>
    <t>АГМ кухня</t>
  </si>
  <si>
    <t>project_agm_kuhnya_paneli.md</t>
  </si>
  <si>
    <t>Раздела ОВ нет (вентиляция 35 % бюджета); аванса нет, неустойка 0,1 %/день без потолка; расчёты через ГПБ</t>
  </si>
  <si>
    <t>Корпус Р60.1 (цех Сборки), автозавод АГМ, СПб, Шушары</t>
  </si>
  <si>
    <t>Замена 5 стеновых сэндвич-панелей (25 м²)</t>
  </si>
  <si>
    <t>АГМ стеновые панели</t>
  </si>
  <si>
    <t>Механизация 57 % с/с; ТЗ 4 панели vs форма 5; гарантия 6 мес в договоре vs 3 года в ТЗ</t>
  </si>
  <si>
    <t>ООО «АГС» (Автозавод АГР)</t>
  </si>
  <si>
    <t>Сестрорецк, Левашовское ш. 20 стр. 1, 4 958,55 м²</t>
  </si>
  <si>
    <t>Восстановление дорожной разметки 28 560 м.п.</t>
  </si>
  <si>
    <t>АГР разметка</t>
  </si>
  <si>
    <t>project_agr_razmetka.md</t>
  </si>
  <si>
    <t>КП не сделано. Аванса нет, оплата 30 дн.; гарантия 6 мес на зиму; объём очистки от ГСМ не задан.</t>
  </si>
  <si>
    <t>ООО «ЛЕ МОНЛИД» (Лемана ПРО)</t>
  </si>
  <si>
    <t>Магазин №137, СПб, Таллинское ш. 163</t>
  </si>
  <si>
    <t>Благоустройство парковки: ямочный ремонт 240 м², островки, ИДН, знаки, разметка</t>
  </si>
  <si>
    <t>ЛеМана парковка</t>
  </si>
  <si>
    <t>project_lemana_parkovka.md</t>
  </si>
  <si>
    <t>Ночные работы; гарантийное удержание 10 % в форме vs договор без удержания; толщина а/б не задана (70 мм +210 тыс.)</t>
  </si>
  <si>
    <t>ТК «Лента» ТК-1, СПб (адрес в ТЗ не указан)</t>
  </si>
  <si>
    <t>Капремонт асфальта парковки ~1 000 м²</t>
  </si>
  <si>
    <t>Лента ТК-1</t>
  </si>
  <si>
    <t>project_lenta_tk1_parkovka.md</t>
  </si>
  <si>
    <t>Объёмы в ТЗ не заданы — пиксельный обмер ±15 %; пол торга 3 114–3 397 тыс.</t>
  </si>
  <si>
    <t>АО «ПНТ-Сервис»</t>
  </si>
  <si>
    <t>Трасса 11, СПб, Элеваторная пл. 32А</t>
  </si>
  <si>
    <t>Ремонт трубопроводов, МК, ж/б колонн, АКЗ (ДВ Ав-04/26, Ав-09/26)</t>
  </si>
  <si>
    <t>Металл Дудко</t>
  </si>
  <si>
    <t>project_pnt_trassa11.md</t>
  </si>
  <si>
    <t>ОПО, СРО+НАКС, 240 к.д. круглосуточно; нет теплоизоляции в ДВ (+15–18 млн); краны DN800 120–150 дн.</t>
  </si>
  <si>
    <t>Вышки внутреннего контура H=55 м, 15 шт.</t>
  </si>
  <si>
    <t>Монтаж 15 вышек 55 м (МК давальческие)</t>
  </si>
  <si>
    <t>Цена = с/с ×1,3 / 0,79 (услуги ГП 21 % от цены); с НДС ~173,0 млн</t>
  </si>
  <si>
    <t>ООО «СК АЛЬЯНС» (ТКП на ООО «СТРОЙ АЛЬЯНС»)</t>
  </si>
  <si>
    <t>ПСК ИндастриалСити «Есипово-5», МО, г.о. Солнечногорск</t>
  </si>
  <si>
    <t>Отделка АББ + внутренние ОВ, ВК, ЭОМ, вентиляция, АУПТ (лот неделим)</t>
  </si>
  <si>
    <t>парк Есипово 5</t>
  </si>
  <si>
    <t>project_esipovo5_otdelka.md</t>
  </si>
  <si>
    <t>В Форме 4 ошибки объёмов (430 строк исправлено); удержания 7,74 % цены; РД только по внешней ссылке, цена твёрдая; переторжки не ограничены</t>
  </si>
  <si>
    <t>Отделка МОП по урезанной ВОР (95 поз., срок 6 мес)</t>
  </si>
  <si>
    <t>30.07 58 964 000 с НДС (полная ВОР) → 31.08 27 000 000 с НДС (урезанная ВОР)</t>
  </si>
  <si>
    <t>С/с по урезанной ВОР не посчитана; расценки из КП 30.07. ±1 мес срока = ±1,13 млн с НДС. Часть материалов стала давальческой.</t>
  </si>
  <si>
    <t>Даркстор ЛЕМАНА ПРО, СПб, Парнас (~12 000 м²)</t>
  </si>
  <si>
    <t>Заявка 139/2.2.1: КТО инженерных систем даркстора</t>
  </si>
  <si>
    <t>Лемана Парнас КТО</t>
  </si>
  <si>
    <t>project_lemana_parnas_kto.md</t>
  </si>
  <si>
    <t>Площадь и генплан не переданы; при max штрафе SLA −15 % маржа 16 %; прайс Прил. 2 (627 поз.) не заполнен</t>
  </si>
  <si>
    <t>ТЦ Екатеринбург Базовый 025 (~20 000 м²)</t>
  </si>
  <si>
    <t>КТО инженерных систем гипермаркета</t>
  </si>
  <si>
    <t>Екатеринбург</t>
  </si>
  <si>
    <t>Лемана ЕКБ</t>
  </si>
  <si>
    <t>project_lemana_4_gipermarketa.md</t>
  </si>
  <si>
    <t>Решение к подаче: наценка 20 % (5 лотов = 10,0 млн/мес). Варианты: 50 %, по лотам 30–45 %, по с/с. При штрафе SLA −15 % маржа 2 %. Площади оценочные</t>
  </si>
  <si>
    <t>Магазин Кемерово, Карболитовская 16б (~16 000 м²)</t>
  </si>
  <si>
    <t>Кемерово</t>
  </si>
  <si>
    <t>Лемана Кемерово</t>
  </si>
  <si>
    <t>ТЦ Краснодар СБС (~14 000 м²)</t>
  </si>
  <si>
    <t>Краснодар</t>
  </si>
  <si>
    <t>Лемана краснодар КТО</t>
  </si>
  <si>
    <t>ТЦ Челябинск, Копейское ш. 64 (~17 000 м²)</t>
  </si>
  <si>
    <t>Челябинск</t>
  </si>
  <si>
    <t>Лемана ЧЛБ</t>
  </si>
  <si>
    <t>Гипермаркет Липецк (Заявка 155)</t>
  </si>
  <si>
    <t>Липецк</t>
  </si>
  <si>
    <t>Лемана Липецк КТО</t>
  </si>
  <si>
    <t>ООО «СПАР Миддл Волга» (EUROSPAR)</t>
  </si>
  <si>
    <t>8 супермаркетов СПб, 15 016 м²</t>
  </si>
  <si>
    <t>ТОиР 8 супермаркетов (инж. системы, конструктив, электрика), 8 лотов</t>
  </si>
  <si>
    <t>Евроспар КТО</t>
  </si>
  <si>
    <t>project_spar_spb_toir.md</t>
  </si>
  <si>
    <t>Решение к подаче 25 000/мес за магазин (как Перекрёсток), н-ч 1 650, выезд 3 500. Вариант 165 200/мес при наценке 30 %. Кассовый разрыв ~2,5 мес.</t>
  </si>
  <si>
    <t>Лемана ПРО Парнас (139)</t>
  </si>
  <si>
    <t>КТО гипермаркета, разделы 1–12, Open Book</t>
  </si>
  <si>
    <t>КП-1 (с/с пакета 9,32 млн/мес) → КП-2 после раскрытия цен конкурента, ~−2 % к конкуренту; пакет 5 725 000/мес</t>
  </si>
  <si>
    <t>Леруа\КП-2 ниже конкурента</t>
  </si>
  <si>
    <t>project_lemana_6_objektov_kp2.md</t>
  </si>
  <si>
    <t>Пакет: с/с 5,23 млн/мес, маржа 10,3 %; по 4 лотам маржа 0,3–1,9 % (вход под ремонтный поток).</t>
  </si>
  <si>
    <t>Лемана ПРО Екатеринбург (025)</t>
  </si>
  <si>
    <t>Пакет: с/с 5,23 млн/мес, маржа 10,3 %; по 4 лотам маржа 0,3–1,9 % (вход под ремонтный поток). Раздел 13 (газовая котельная) отдельно 46 200/мес.</t>
  </si>
  <si>
    <t>Лемана ПРО Кемерово (128)</t>
  </si>
  <si>
    <t>Пакет: с/с 5,23 млн/мес, маржа 10,3 %; по 4 лотам маржа 0,3–1,9 % (вход под ремонтный поток). Раздел 13 (газовая котельная) отдельно 60 500/мес.</t>
  </si>
  <si>
    <t>Лемана ПРО Краснодар (008)</t>
  </si>
  <si>
    <t>Лемана ПРО Липецк (155)</t>
  </si>
  <si>
    <t>Лемана ПРО Челябинск (038)</t>
  </si>
  <si>
    <t>Пакет: с/с 5,23 млн/мес, маржа 10,3 %; по 4 лотам маржа 0,3–1,9 % (вход под ремонтный поток). КП-1 было 2 035 000 б/НДС; конкурент здесь дорогой.</t>
  </si>
  <si>
    <t>Lamoda (ООО «Купишуз»)</t>
  </si>
  <si>
    <t>793 объекта в 72 субъектах РФ (ПВЗ, магазины, ТВХ)</t>
  </si>
  <si>
    <t>ТОиР систем противопожарной защиты</t>
  </si>
  <si>
    <t>РФ (72 субъекта)</t>
  </si>
  <si>
    <t>Ламода КТО</t>
  </si>
  <si>
    <t>project_lamoda_spz.md</t>
  </si>
  <si>
    <t>Рынок ~26,3 млн/год — на 19 % ниже с/с; мин. цена при марже 12 % 36,4 млн. 1-й год с/с 37,37 млн. Штраф 10 %/день без лимита.</t>
  </si>
  <si>
    <t>ГК ФСК Северо-Запад</t>
  </si>
  <si>
    <t>ЖК Московское шоссе уч. 179, 3 этап, корпуса 4/5/6</t>
  </si>
  <si>
    <t>ЛОТ 126: электроснабжение ЖК, 572 позиции</t>
  </si>
  <si>
    <t>ФСК электросети</t>
  </si>
  <si>
    <t>project_budgets_sept2026_3folders.md</t>
  </si>
  <si>
    <t>Только бюджет с/с (КП — в project_fsk_lot126_kp). Риск двойного счёта работ в форме ФСК (+51 млн без поправки)</t>
  </si>
  <si>
    <t>Автозавод, СПб, пос. Шушары, Автозаводская 2</t>
  </si>
  <si>
    <t>ТО, диагностика и ремонт 65 ворот и 6 перегрузочных мостов</t>
  </si>
  <si>
    <t>АГМ Ворота</t>
  </si>
  <si>
    <t>project_agm_vorota.md</t>
  </si>
  <si>
    <t>Оплата по заявкам; периодичность ТО не задана; неустойка 0,1 % от цены договора без предела; бригадо-час 5 900; первый год 4 745 750</t>
  </si>
  <si>
    <t>Сестрорецк, Левашовское ш. 20 стр.1, серверная UPS</t>
  </si>
  <si>
    <t>Замена компрессоров 2 кондиционеров LG + ПНР</t>
  </si>
  <si>
    <t>АГМ кондеи</t>
  </si>
  <si>
    <t>Только бюджет с/с. Хладагент не указан (принят R22), оригинальных компрессоров LG нет, причина отказа не установлена</t>
  </si>
  <si>
    <t>АО «Тандер» (Магнит)</t>
  </si>
  <si>
    <t>ГМ «Магнит», Тосно (4 240 м²)</t>
  </si>
  <si>
    <t>Капремонт кровли</t>
  </si>
  <si>
    <t>Тосно Кровля</t>
  </si>
  <si>
    <t>project_tosno_krovlya_kp.md</t>
  </si>
  <si>
    <t>Критерий — мин. цена, маржа высокая: при переторжке снижать трудовую часть; толщина утеплителя не задана</t>
  </si>
  <si>
    <t>ГК ФСК СЗ (ГП ООО «Генеральный Подряд СПб», СЗ «Славянка»)</t>
  </si>
  <si>
    <t>ЖК СЗ «Славянка», корп. 4/5/6</t>
  </si>
  <si>
    <t>ЛОТ 126: электроснабжение ЖК по форме ФКП</t>
  </si>
  <si>
    <t>project_fsk_lot126_kp.md</t>
  </si>
  <si>
    <t>Наценка только на прямые, косвенные 47,3 млн по с/с; срок 01.09–31.12.2026 очень плотный; без аванса, гарантия 5 лет</t>
  </si>
  <si>
    <t>АО ГК «Медси»</t>
  </si>
  <si>
    <t>Клиника, Москва, Зелёный пр. 7, 3 572,6 м²</t>
  </si>
  <si>
    <t>ПИР+СМР+ПНР капремонта с перепланировкой (ТЗ вер.4)</t>
  </si>
  <si>
    <t>Медси</t>
  </si>
  <si>
    <t>project_medsi_zeleny7.md</t>
  </si>
  <si>
    <t>С/с 390,66 млн с НДС ÷1,22. Переторжка: шаг до ~500 млн, floor 488 млн с НДС. Риски: доля Б+ 18 %, монтаж агрегатов П/В, РД ЭС/ЭО пустые.</t>
  </si>
  <si>
    <t>Автозавод АГМ, АБК Р7.1, СПб, Шушары, Автозаводская 2</t>
  </si>
  <si>
    <t>Лот 19: генподряд СМР «под ключ» — расширение АБК Р7.1 (838 м²)</t>
  </si>
  <si>
    <t>заявка 162,9 млн с НДС (133,52 б/НДС, маржа 20 %) → проходная заказчика 103,8 млн → ред.2 103,79 млн с НДС (маржа 3,8 %)</t>
  </si>
  <si>
    <t>АГМ АБК</t>
  </si>
  <si>
    <t>12 условий исполнимости цены на 9,89 млн (аванс 30 %, кадастр на застройщике и др.) — без письменной фиксации не подписывать; расчёты через ГПБ</t>
  </si>
  <si>
    <t>ООО «АГН» (АГМ)</t>
  </si>
  <si>
    <t>Производственное здание, оси А-Д/5-47, Набережные Челны, Автосборочный пр. 60</t>
  </si>
  <si>
    <t>Лот Н4: ремонт кровли 25 425,84 м² (ПВХ-мембрана, утепление)</t>
  </si>
  <si>
    <t>Татарстан</t>
  </si>
  <si>
    <t>Desktop\АГМ Наб Челны (не в Сметы)</t>
  </si>
  <si>
    <t>project_agm_nabchelny_krovlya.md</t>
  </si>
  <si>
    <t>Ред.1 209,89 млн с НДС → ред.2 под проходную 104 млн с НДС. Бюджет заказчика 212 млн (НДС не уточнён). Объёмы ×1,2 — нужен обмер</t>
  </si>
  <si>
    <t>АО «ГРИНВУД»</t>
  </si>
  <si>
    <t>Путилково, МО</t>
  </si>
  <si>
    <t>Склад-ангар 1040 м² под ключ с проектированием</t>
  </si>
  <si>
    <t>ГринвудСклад 1040</t>
  </si>
  <si>
    <t>project_tendery_sentyabr_2026.md</t>
  </si>
  <si>
    <t>Срок 30 р.д. нереален; скрытый предельный бюджет; минимум при марже 15 % — 37,8 млн</t>
  </si>
  <si>
    <t>Глобус</t>
  </si>
  <si>
    <t>ГМ «Глобус» Ярославль</t>
  </si>
  <si>
    <t>Поставка и монтаж оборудования зоны раздачи ресторана</t>
  </si>
  <si>
    <t>Ярс Глобус</t>
  </si>
  <si>
    <t>Срок в ТЗ истёк — предложено 90+15 к.д.; поставка витрины принята на Подрядчика</t>
  </si>
  <si>
    <t>Цеха Р30/Р60/Р70, Шушары</t>
  </si>
  <si>
    <t>Восстановление 10 газовых АХУ Robatherm, 80 раб. дней</t>
  </si>
  <si>
    <t>АГМ газкотельная</t>
  </si>
  <si>
    <t>Материалы +10 %, остаток наценки в работы</t>
  </si>
  <si>
    <t>ООО «АГМ» (техзаказчик ООО «Савант Инжиниринг»)</t>
  </si>
  <si>
    <t>Корпус Р30.1 «Цех сварки», автозавод АГМ, СПб, Шушары, Автозаводская 2</t>
  </si>
  <si>
    <t>Лот 15.2: СМР выше отм. 0,000 корпуса Р30.1 (2 566 позиций, 17,5 мес)</t>
  </si>
  <si>
    <t>АГМ Завод</t>
  </si>
  <si>
    <t>project_agm_r301_lot152.md</t>
  </si>
  <si>
    <t>КП не сделано; индикативно 1 886,0 млн б/НДС при марже 15 %. Открытые вопросы на 245,7 млн (плиты пола 153 млн, огнезащита МК 53 млн, П1–П6)</t>
  </si>
  <si>
    <t>ТК-17, СПб, пр. Будённого 31 к.1 — 454 м² а/б</t>
  </si>
  <si>
    <t>Ремонт асфальтового покрытия парковки ТК-17</t>
  </si>
  <si>
    <t>Лента ТК 180,242,17 парковка</t>
  </si>
  <si>
    <t>project_lenta_tk17_180_242.md</t>
  </si>
  <si>
    <t>8 позиций форм «согласно ТЗ» без объёмов; ТК-242 щебень ТЗ 480 vs форма 680 м²; ТК-17 разметка по схеме всего комплекса</t>
  </si>
  <si>
    <t>ТК-180, Петрозаводск, Комсомольский 27 — 300 м² а/б, бордюр, ограждение</t>
  </si>
  <si>
    <t>Ремонт асфальтового покрытия парковки ТК-180</t>
  </si>
  <si>
    <t>ТК-242, Череповец, Кирилловское ш. 50А — 680 м² а/б + щебень</t>
  </si>
  <si>
    <t>Ремонт асфальтового покрытия парковки ТК-242</t>
  </si>
  <si>
    <t>Вологодская обл.</t>
  </si>
  <si>
    <t>ООО «ТКК» (Чижик)</t>
  </si>
  <si>
    <t>Посадочные площадки трамвайной сети, 28 адресов</t>
  </si>
  <si>
    <t>Ремонт асфальта 375,8 м²</t>
  </si>
  <si>
    <t>Чижик парковка</t>
  </si>
  <si>
    <t>&gt;40 % с/с — постоянные (ОДД, ордера ГАТИ, ночные окна)</t>
  </si>
  <si>
    <t>ООО «ФРЕШ-К» (FRESH Auto)</t>
  </si>
  <si>
    <t>Воронежская обл., Рамонский р-н, Московское ш. 14 — малярно-кузовной цех</t>
  </si>
  <si>
    <t>Прокладка КЛ от АВР ТП-270 до цеха (452 м 4х120, ГНБ) + щит ЩР</t>
  </si>
  <si>
    <t>Воронежская обл.</t>
  </si>
  <si>
    <t>ФРЕШ</t>
  </si>
  <si>
    <t>project_fresh_kl_voronezh.md</t>
  </si>
  <si>
    <t>КП не сделано (индикативно 4 960 713 при марже 25 %); командировка 32 % с/с; 7 расхождений ТЗ на 926,8 тыс; неустойка 0,5 %/день, аванса нет</t>
  </si>
  <si>
    <t>Фосфорит</t>
  </si>
  <si>
    <t>Фосфорит, Кингисепп</t>
  </si>
  <si>
    <t>ТО и устранение дефектов L1 на 2026 г., смета на единицу (146 позиций)</t>
  </si>
  <si>
    <t>Рамочные расценки</t>
  </si>
  <si>
    <t>Фосфорит Кингисепп</t>
  </si>
  <si>
    <t>Отсрочка 90 банковских дней; ОПО; в разд. 3 и 12 нет самих сэндвич-панелей</t>
  </si>
  <si>
    <t>Подъездная автодорога к Р90, Шушары</t>
  </si>
  <si>
    <t>Текущий ремонт дороги: а/б 1 445 м² + обочины 660 м²</t>
  </si>
  <si>
    <t>АГМ дорога</t>
  </si>
  <si>
    <t>Цена на 1,65 % ниже КП конкурента ТСК 13 319 545</t>
  </si>
  <si>
    <t>АО «Эйч энд Эн» (МК «Петмол»)</t>
  </si>
  <si>
    <t>СПб, 6-й Верхний пер. 1А, столовая ~95 м²</t>
  </si>
  <si>
    <t>Модернизация столовой под ключ: дизайн, РД, отделка, инженерия, мебель</t>
  </si>
  <si>
    <t>ЭйчЭнд</t>
  </si>
  <si>
    <t>project_petmol_stolovaya.md</t>
  </si>
  <si>
    <t>ВОР нет; площадь 95 м² под вопросом (+10 м² ≈ +0,75–0,80 млн). Аванс не определён.</t>
  </si>
  <si>
    <t>Шушары, газопроводы Р5–Р30/Р31 и эстакада Р31–Р90, 433 м²</t>
  </si>
  <si>
    <t>Окраска газопроводов и МК эстакады на высоте до 10 м</t>
  </si>
  <si>
    <t>АГМ газтруба</t>
  </si>
  <si>
    <t>project_tendery_3_sept08.md</t>
  </si>
  <si>
    <t>КП не сделано. Площадь эстакады принята 5 м²/м.п.; расценки рамочного договора не переданы; постоянные затраты 47,5 %.</t>
  </si>
  <si>
    <t>Кингисепп, здание U23.301 грануляции карбамида, 8 242,9 м²</t>
  </si>
  <si>
    <t>Монтаж вентиляции и отопления, 40 систем</t>
  </si>
  <si>
    <t>С/с выше ориентира на 6,5 %. Сталь AISI 321 по 660 руб/кг (±1,8 млн), срок ТЗ 30 к.д. нереализуем. КП не сделано.</t>
  </si>
  <si>
    <t>Яндекс (ООО «Маркет.Операции»)</t>
  </si>
  <si>
    <t>СЦ Троицкий, СПб, Запорожская 12</t>
  </si>
  <si>
    <t>КТО СЦ: 400 ед. оборудования, дежурные + мониторинг; тарификатор 445 расценок</t>
  </si>
  <si>
    <t>Яндекс Троицк</t>
  </si>
  <si>
    <t>project_yandex_sc_troitsky.md</t>
  </si>
  <si>
    <t>Часы дежурных не заданы; трактовка «2 чел. 3/3» может дать +3,6 млн/год; срок постоплаты не заполнен</t>
  </si>
  <si>
    <t>ЖК, СПб, Пушкинский р-н, Московское ш. уч. 179, корп. 4/5/6</t>
  </si>
  <si>
    <t>ЛОТ 141: предчистовая отделка квартир (штукатурка 84 737 м²)</t>
  </si>
  <si>
    <t>ФСК отделка квартир</t>
  </si>
  <si>
    <t>project_fsk_lot141_otdelka.md</t>
  </si>
  <si>
    <t>Срок в ТЗ не задан (ФГПР 240 дн.); зимний тепловой контур на подрядчике</t>
  </si>
  <si>
    <t>Шушары, АБК Р-7, 2 этаж, 631 м²</t>
  </si>
  <si>
    <t>Ремонт 2-го этажа АБК Р-7</t>
  </si>
  <si>
    <t>АГМ второй этаж</t>
  </si>
  <si>
    <t>project_agm_r7_2etazh.md</t>
  </si>
  <si>
    <t>Двойной счёт дверей и баг подытога потолков в форме исправлены. ГПР 01.10–31.12.2026.</t>
  </si>
  <si>
    <t>ООО «Сотэкс»</t>
  </si>
  <si>
    <t>СПбГУ, Хозяйственный корпус, СПб, Пушкинский р-н</t>
  </si>
  <si>
    <t>Лот ЭОМ: силовое электрооборудование и освещение</t>
  </si>
  <si>
    <t>Сотект освещение</t>
  </si>
  <si>
    <t>project_sotex_spbgu_hozblok.md</t>
  </si>
  <si>
    <t>Гарантийное удержание 7 % (в форме — нет); гарантия 5,5 лет; светильники давальческие</t>
  </si>
  <si>
    <t>Лот СС: 11 слаботочных систем</t>
  </si>
  <si>
    <t>33 ПК HP на пожарном посту — вероятная опечатка (~5,8 млн с НДС)</t>
  </si>
  <si>
    <t>Шушары, перегрузочная площадка Р-100, 1 104 м²</t>
  </si>
  <si>
    <t>Восстановление а/б и бетонного покрытия площадки Р-100</t>
  </si>
  <si>
    <t>АГМ Сортировка</t>
  </si>
  <si>
    <t>Доп. раздел «Рекомендовано» 757 500 б/НДС сверху. Аванса нет; гарантия ТЗ 24 мес vs договор 6. Толщина основания не задана.</t>
  </si>
  <si>
    <t>Яндекс</t>
  </si>
  <si>
    <t>Яндекс Хаб, 1 этаж и антресоль (~1 100 м²)</t>
  </si>
  <si>
    <t>Fit-out ~1 100 м² (501 позиция, объёмы по концепции)</t>
  </si>
  <si>
    <t>Яндекс Хаб</t>
  </si>
  <si>
    <t>project_yandex_hub_fitout.md</t>
  </si>
  <si>
    <t>ВОР и РД нет, объёмы ±20 % — предлагать фиксацию единичных расценок. СКС/СОТ/СКУД — поставка Заказчика</t>
  </si>
  <si>
    <t>Зона сортировки отходов Р71, автозавод АГМ, СПб, Шушары</t>
  </si>
  <si>
    <t>2 системы вытяжной вентиляции (зонты, Ду315)</t>
  </si>
  <si>
    <t>АГМ. Вентиляция</t>
  </si>
  <si>
    <t>project_agm_ventilyaciya_r71.md</t>
  </si>
  <si>
    <t>Ду315 не обеспечивает зонт 10,5 м² (нужно 9,5–19 тыс. м³/ч) — посчитано по ТЗ с замечанием; 14 к.д.; аванса нет</t>
  </si>
  <si>
    <t>АО «АМК» (группа АГР)</t>
  </si>
  <si>
    <t>Набережные Челны, Автосборочный пр. 60, Вентвставка</t>
  </si>
  <si>
    <t>Лот 3.5: сети теплоснабжения от ЦТП, 691 м</t>
  </si>
  <si>
    <t>АГМ. Сети тепло</t>
  </si>
  <si>
    <t>project_amk_seti_teplo.md</t>
  </si>
  <si>
    <t>Срок 25 к.д. на 691 м с изоляцией — 21 чел. без выходных; демонтаж старой магистрали не задан; 100 % РК +700 тыс.</t>
  </si>
  <si>
    <t>Администрация МО г. Донской</t>
  </si>
  <si>
    <t>Станция Михайловского водозабора, Тульская обл.</t>
  </si>
  <si>
    <t>Капремонт технологических трубопроводов и оборудования (аукцион 2026.098200)</t>
  </si>
  <si>
    <t>Тульская обл.</t>
  </si>
  <si>
    <t>Донской</t>
  </si>
  <si>
    <t>project_donskoy_vodozabor.md</t>
  </si>
  <si>
    <t>С/с на 10,7 % выше НМЦК; сценарий Б +1,0 %. Сметная ставка ОТ 425 vs 795 руб/чел-ч, цены IV кв. 2025</t>
  </si>
  <si>
    <t>Арбитражный суд СПб и ЛО</t>
  </si>
  <si>
    <t>СПб, ул. Смольного 6 стр. 1, 32 068,5 м²</t>
  </si>
  <si>
    <t>КТО здания 01.01–30.11.2027 (11 мес.), штат 17 чел.</t>
  </si>
  <si>
    <t>СУД. КТО</t>
  </si>
  <si>
    <t>project_arbitrazh_sud_kto.md</t>
  </si>
  <si>
    <t>За 11 мес. 61 559 694,68 б/НДС (75 102 827,51 с НДС). Уборка исключена; замена оборудования не лимитирована; мобилизация 17 чел. до 25.12.2026</t>
  </si>
  <si>
    <t>ГБУЗ ЛО «Гатчинская КМБ»</t>
  </si>
  <si>
    <t>69 зданий в Гатчине и районе</t>
  </si>
  <si>
    <t>Комплексное обслуживание 69 объектов, 10 к.д. (54 чел.)</t>
  </si>
  <si>
    <t>за срок контракта</t>
  </si>
  <si>
    <t>Гатчина. Клиническая КТО</t>
  </si>
  <si>
    <t>project_gatchina_kmb_kto.md</t>
  </si>
  <si>
    <t>44-ФЗ; при ОСНО полная маржа к НМЦК −28,7 %; НМЦК под исполнителя на УСН; нанять 54 чел. на 10 дней невозможно</t>
  </si>
  <si>
    <t>Цех сварки Р100, Шушары, Автозаводская 2</t>
  </si>
  <si>
    <t>Проектирование, изготовление, монтаж 2 зонтов и 2 ПВУ для сварочных постов</t>
  </si>
  <si>
    <t>АГМ. Забор воздуха</t>
  </si>
  <si>
    <t>project_agm_zabor_vozduha.md</t>
  </si>
  <si>
    <t>Только ночью; опция вар. 2 +997 331. Производительность существующих систем не подтверждена (замена вентиляторов 0,4–0,7 млн не в цене)</t>
  </si>
  <si>
    <t>ООО «АГН»</t>
  </si>
  <si>
    <t>Цех сборки, Набережные Челны, Автосборочный пр. 60</t>
  </si>
  <si>
    <t>Лот Н1.1: РД + устройство 5 приямков (93,5 м³ ж/б)</t>
  </si>
  <si>
    <t>АГМ. Приямки</t>
  </si>
  <si>
    <t>project_agn_priyamki.md</t>
  </si>
  <si>
    <t>Работы: коэф. 4,60 к прямым (вся косвенка); вывоз +20 %, РД +40 %. Нет гидрогеологии (+0,6–1,1 млн), гарантия 6 мес vs 3 года</t>
  </si>
  <si>
    <t>ООО «Биотек кампус»</t>
  </si>
  <si>
    <t>Москва, Миклухо-Маклая 16/10 корп. 16</t>
  </si>
  <si>
    <t>Лот 53: ТО и аварийный ремонт систем электроснабжения, 36 мес.</t>
  </si>
  <si>
    <t>БиоКампус ТО</t>
  </si>
  <si>
    <t>project_biotek_kampus_to_es.md</t>
  </si>
  <si>
    <t>За 36 мес. 9 928 800 б/НДС. Электрик 4 ч/день обязателен; нет перечня критичного оборудования; 3 года без индексации</t>
  </si>
  <si>
    <t>СПб ГБУ ДО СШОР «Динамо-юниор»</t>
  </si>
  <si>
    <t>Ледовая арена, СПб, Бутлерова 36А</t>
  </si>
  <si>
    <t>Сервис системы холодоснабжения YORK, 2027 год</t>
  </si>
  <si>
    <t>ХО Динамо</t>
  </si>
  <si>
    <t>project_dinamo_holodosnabzhenie.md</t>
  </si>
  <si>
    <t>44-ФЗ. Год: с/с 1 019 825, КП 1 377 000. Противоречие по материалам (+250–400 тыс/год); R22 дефицит; ремонт без лимита.</t>
  </si>
  <si>
    <t>АО «Сегежский ЦБК»</t>
  </si>
  <si>
    <t>Корпус СБО (главный, воздуходувный, котельный), Сегежа, Заводская 1</t>
  </si>
  <si>
    <t>Ремонт кровель 3 678 м² (СегЦБК-45-2026)</t>
  </si>
  <si>
    <t>Сегежа. Кровля</t>
  </si>
  <si>
    <t>project_segezha_krovlya.md</t>
  </si>
  <si>
    <t>Вахта; аванса нет, оплата 60 к.д., удержание 4 % на 2 года; смета по ТСН Карелии; подогрев воронок не включён</t>
  </si>
  <si>
    <t>ООО «СЗ ЭРБИАЙ-6» (RBI)</t>
  </si>
  <si>
    <t>ЖК Большой Смоленский пр. 6, паркинг</t>
  </si>
  <si>
    <t>Лот 33: отделка паркинга</t>
  </si>
  <si>
    <t>Отделка паркинга</t>
  </si>
  <si>
    <t>project_rbi_parking_lots.md</t>
  </si>
  <si>
    <t>Аванс 20 %, 100 к.дн. Опечатка срока в ТЗ; К4 в паркинге — предложено К3 выше 1,5 м.</t>
  </si>
  <si>
    <t>Лот 44: полы паркинга, разметка, знаки</t>
  </si>
  <si>
    <t>Полы паркинга Большой Смоленский 6</t>
  </si>
  <si>
    <t>118 к.дн. ТЗ требует поломоечную машину Karcher — строки в оферте нет.</t>
  </si>
  <si>
    <t>СЦ Тарный, Москва, Промышленная ул., 12А</t>
  </si>
  <si>
    <t>КТО СЦ: ТО, аварийные выезды, работы по заявкам + мониторинг 5 ставок</t>
  </si>
  <si>
    <t>Яндекс. СЦ Тарный</t>
  </si>
  <si>
    <t>project_yandex_sc_strogino_tarny.md</t>
  </si>
  <si>
    <t>Комплект идентичен Строгино; фактическая подача по Тарному не описана; электролаборатория разово 243 000</t>
  </si>
  <si>
    <t>Яндекс (Городские Сервисы / Яндекс.Микромобильность)</t>
  </si>
  <si>
    <t>Объекты Городских Сервисов Яндекса, СПб</t>
  </si>
  <si>
    <t>Рамочные расценки СПЗ до 30.12.2028: 180 работ ×4 цены по площади + прайс 1 463 материалов</t>
  </si>
  <si>
    <t>Яндекс. ПОС</t>
  </si>
  <si>
    <t>project_yandex_pos_spz.md</t>
  </si>
  <si>
    <t>Объектные работы ×1,61; нормо-час монтажника 3 910. Типовой объект 129 м² = 432 685 б/НДС. Оплата не задана, перечня объектов нет</t>
  </si>
  <si>
    <t>Шушары, корпус Р100</t>
  </si>
  <si>
    <t>Лот 28: усиление МК, 224,75 т</t>
  </si>
  <si>
    <t>Подано 125,39 млн (3-е место) → шаги переторжки 120/115/110/105/100 млн (маржа 22,6→7,1 %)</t>
  </si>
  <si>
    <t>АГМ. Металлоконструкции</t>
  </si>
  <si>
    <t>project_agm_lot28_usilenie_mk.md</t>
  </si>
  <si>
    <t>Итог переторжки неизвестен. Пол торга 92,88 млн. Гарантия: договор 6 мес vs ТЗ 3 года. Расчёты через ГПБ.</t>
  </si>
  <si>
    <t>ООО «СПАР Миддл Волга» (организатор ГК «Сладкая жизнь»)</t>
  </si>
  <si>
    <t>8 супермаркетов СПб, 174 ед. оборудования</t>
  </si>
  <si>
    <t>ТОиР вентиляции и кондиционирования 8 магазинов</t>
  </si>
  <si>
    <t>СПАР. КТО ОВиК</t>
  </si>
  <si>
    <t>project_spar_ovik_spb.md</t>
  </si>
  <si>
    <t>Исходно 310 900/мес (наценка 35 %); на ЭТП поданы цены = минимум участников ×0,97. Н-ч 3 385, выезд 7 857. Риск: дозаправка хладагента до 30 % без лимита.</t>
  </si>
  <si>
    <t>ООО «ТРК-Мытищи» (УК САМПА)</t>
  </si>
  <si>
    <t>МФТРиОЦ «ИЮНЬ», МО, г. Мытищи, ул. Мира, стр. 51 (GBA 174 753 м²)</t>
  </si>
  <si>
    <t>КТО, эксплуатационный контроль и аварийный ремонт (с вертикальным транспортом), 34 ставки</t>
  </si>
  <si>
    <t>13 080 000/мес б/НДС (наценка 35 %) → 25.09 версия 8 500 000/мес по указанию пользователя</t>
  </si>
  <si>
    <t>Мытищи. ТРК Июнь. КТО</t>
  </si>
  <si>
    <t>project_iyun_mytishchi_kto.md</t>
  </si>
  <si>
    <t>8,5 млн ниже с/с и ниже прямых затрат; в плюс только без вертикального транспорта + уточнение 50 000 м² воздуховодов; Сбер B2B</t>
  </si>
  <si>
    <t>МФТРиОЦ «ИЮНЬ», МО, г. Мытищи, ул. Мира, стр. 51</t>
  </si>
  <si>
    <t>КТО без вертикального транспорта (ТЗ 14.09.2026), 26 ставок</t>
  </si>
  <si>
    <t>Мытищи. ТРК Июнь. КТО (без вертикального)</t>
  </si>
  <si>
    <t>project_iyun_bez_vertikalnogo.md</t>
  </si>
  <si>
    <t>Маржа 5,6 %; подтвердить письменно, что эвакуация из лифтов и наблюдение за эскалаторами не наши</t>
  </si>
  <si>
    <t>Ozon</t>
  </si>
  <si>
    <t>Объекты Ozon</t>
  </si>
  <si>
    <t>Рамочные расценки ТСБ (СОТ/СКУД/СОТС), 188 расценок</t>
  </si>
  <si>
    <t>project_tendery_26sep2026.md</t>
  </si>
  <si>
    <t>Нормо-час с/с 1 300; по 157 из 188 расценок не выше медианы Ozon по СПб; материалы закупка +10 %</t>
  </si>
  <si>
    <t>RBI</t>
  </si>
  <si>
    <t>ПОС Луговая 6а, ДОУ 110, Репино</t>
  </si>
  <si>
    <t>Лоты 10/11/2 строительства ДОУ</t>
  </si>
  <si>
    <t>Наценка 35 %; услуги +45 %; срок подачи 25.09 уже прошёл</t>
  </si>
  <si>
    <t>Водоканал Гатчина</t>
  </si>
  <si>
    <t>Гатчина</t>
  </si>
  <si>
    <t>ГНБ Ду300 170 м</t>
  </si>
  <si>
    <t>Маржа к НМЦК 34,8 %; в ЛСР нет трубы (~1,16 млн) — если труба за подрядчиком, убыток</t>
  </si>
  <si>
    <t>ВсеИнструменты</t>
  </si>
  <si>
    <t>ПВЗ СЗФО + СПб</t>
  </si>
  <si>
    <t>Рамочные расценки эксплуатации ПВЗ (23 вида работ, ПДЦ 231 работа / 293 материала)</t>
  </si>
  <si>
    <t>СЗФО</t>
  </si>
  <si>
    <t>Цены = с/с ×1,35; выезд 4 050, минимальная заявка 5 400</t>
  </si>
  <si>
    <t>ЖКС № 2 Колпинского района</t>
  </si>
  <si>
    <t>СПб, Колпино, Металлургов 13</t>
  </si>
  <si>
    <t>Ремонт парадной</t>
  </si>
  <si>
    <t>Маржа к НМЦК 4,3 %</t>
  </si>
  <si>
    <t>ООО «ИнтеллектИнвестСервис»</t>
  </si>
  <si>
    <t>Ижорский завод, Колпино, цеха 33/34/66, 1 012,5 м²</t>
  </si>
  <si>
    <t>Поставка и монтаж 16 модульных зданий приёма пищи/отдыха</t>
  </si>
  <si>
    <t>Ижора. Модульные здания</t>
  </si>
  <si>
    <t>project_mz_kolpino.md</t>
  </si>
  <si>
    <t>Аванс 50 %, 55 к.д.; цена контракта не передана; КП ушло с письмом из 17 вопросов. Мебель/быттехника не включены.</t>
  </si>
  <si>
    <t>СОШ ЦО Кудрово</t>
  </si>
  <si>
    <t>Кудрово</t>
  </si>
  <si>
    <t>Ремонт по 11 ЛСР</t>
  </si>
  <si>
    <t>Маржа к НМЦК 23,5 %; сметы — сканы, объёмы из дефектных ведомостей</t>
  </si>
  <si>
    <t>ФТИ им. Иоффе</t>
  </si>
  <si>
    <t>ЛК, пом. 013</t>
  </si>
  <si>
    <t>Ремонт помещения 013</t>
  </si>
  <si>
    <t>Маржа к НМЦК 32,9 %; противопожарная дверь есть в ТЗ, нет в ВОР</t>
  </si>
  <si>
    <t>METRO</t>
  </si>
  <si>
    <t>«Дом связи-2»</t>
  </si>
  <si>
    <t>Мониторинг цен для НМЦК: монтаж нагревателя 90 кВт, кабель, лоток, огнезащита</t>
  </si>
  <si>
    <t>project_tendery_29sep2026.md</t>
  </si>
  <si>
    <t>КП ×1,35 (б/НДС = с НДС /1,22); риск: нагреватель 136,7 А при кабеле 4×4</t>
  </si>
  <si>
    <t>METRO Cash &amp; Carry</t>
  </si>
  <si>
    <t>ТЦ МЕТРО (базис СЗФО/СПб)</t>
  </si>
  <si>
    <t>Каталог единичных расценок СМР, 707 позиций</t>
  </si>
  <si>
    <t>Метро. СМР</t>
  </si>
  <si>
    <t>project_tendery_29sep2026_c.md</t>
  </si>
  <si>
    <t>Сумма по нормативной корзине. В сентябре при наценке 50 % было 16,85 млн (см. project_metro_katalog_smr) Первый вариант 11.09: с/с 11,23 млн, КП 16,85 млн б/НДС.</t>
  </si>
  <si>
    <t>X5</t>
  </si>
  <si>
    <t>БЦ «Дубининская, 39», Москва, 48 009 м²</t>
  </si>
  <si>
    <t>КТО бизнес-центра на 2027 г.</t>
  </si>
  <si>
    <t>По этапам 2,18 / 2,90 / 3,66 млн в месяц</t>
  </si>
  <si>
    <t>X5 («Перекрёсток»)</t>
  </si>
  <si>
    <t>Магазины СПб/ЛО, лоты 3–6</t>
  </si>
  <si>
    <t>ТО ХО 2027 (full service), лоты 3–6</t>
  </si>
  <si>
    <t>СПб, ЛО</t>
  </si>
  <si>
    <t>project_tendery_29sep2026_b.md</t>
  </si>
  <si>
    <t>Цены 67–224 тыс./мес на магазин; вероятно выше рынка (при 50 % выездов −35–40 %). Лоты вне СПб не заполнялись.</t>
  </si>
  <si>
    <t>АГН</t>
  </si>
  <si>
    <t>«Поль Мот» → Инспекционный центр, Набережные Челны</t>
  </si>
  <si>
    <t>Лот Н5.1: ПИР (склад ~3 600 м²)</t>
  </si>
  <si>
    <t>Татарстан (Набережные Челны)</t>
  </si>
  <si>
    <t>Только ПИР; техпаспорта нет; срок этапа 1 (25.10.2026) нереален</t>
  </si>
  <si>
    <t>Лот Н14 (объект не указан)</t>
  </si>
  <si>
    <t>Лот Н14: гидроочистка и окраска профнастила 50 486 м² и МК 60 584 м²</t>
  </si>
  <si>
    <t>Этап 2 могут отменить — общие затраты в этапе 1; риск ~5 000 м³ воды со шламом</t>
  </si>
  <si>
    <t>АЭМ-технологии «Ижора» (Росатом)</t>
  </si>
  <si>
    <t>Колпино, 4 лестничные клетки</t>
  </si>
  <si>
    <t>Капремонт 4 лестничных клеток (ЕОСЗ Росатом)</t>
  </si>
  <si>
    <t>Маржа −5,9 %; оплата через 45 дней после сдачи всего объёма.</t>
  </si>
  <si>
    <t>ГК ФСК</t>
  </si>
  <si>
    <t>Лот 142</t>
  </si>
  <si>
    <t>Чистовая отделка</t>
  </si>
  <si>
    <t>КП б/НДС рассчитан из 11 660 618,25 с НДС /1,22. В форме исправлен итог (не учитывал «Клининг»). Подача до 02.10</t>
  </si>
  <si>
    <t>Горэлектротранс</t>
  </si>
  <si>
    <t>8 ворот</t>
  </si>
  <si>
    <t>Маржа к НМЦК 19,3 %; подача до 08:00 02.10; суммы не записаны</t>
  </si>
  <si>
    <t>ЖК-18</t>
  </si>
  <si>
    <t>3 здания</t>
  </si>
  <si>
    <t>ТО 3 зданий</t>
  </si>
  <si>
    <t>Маржа к НМЦК −56,7 %; суммы не записаны</t>
  </si>
  <si>
    <t>ЖКС-1 Невского р-на</t>
  </si>
  <si>
    <t>Невский р-н</t>
  </si>
  <si>
    <t>Герметизация 1 650 м</t>
  </si>
  <si>
    <t>Маржа к НМЦК 24,6 %; суммы в памяти не записаны</t>
  </si>
  <si>
    <t>ИжораРемСервис</t>
  </si>
  <si>
    <t>Цех 33 (ТЗ № 151)</t>
  </si>
  <si>
    <t>Вентиляция цеха 33</t>
  </si>
  <si>
    <t>ЭТКП</t>
  </si>
  <si>
    <t>Леноблводоканал</t>
  </si>
  <si>
    <t>Тихвин</t>
  </si>
  <si>
    <t>Поставка ППУ-труб, отводов, кранов (223-ФЗ аукцион)</t>
  </si>
  <si>
    <t>Другое</t>
  </si>
  <si>
    <t>Только поставка. Маржа 1,4 %; для 10 % нужна скидка заводов ~9 %.</t>
  </si>
  <si>
    <t>Ваганово</t>
  </si>
  <si>
    <t>Водовод ППУ/ГНБ</t>
  </si>
  <si>
    <t>Маржа к НМЦК 25,1 %</t>
  </si>
  <si>
    <t>МСГ</t>
  </si>
  <si>
    <t>Общежития</t>
  </si>
  <si>
    <t>ЭОМ кухонь общежитий</t>
  </si>
  <si>
    <t>Маржа к НМЦК −10,3 %; суммы не записаны</t>
  </si>
  <si>
    <t>Автозавод АГМ, Шушары</t>
  </si>
  <si>
    <t>Покупка и вывоз 1 730 бетонных плит (мы покупатель)</t>
  </si>
  <si>
    <t>Предложено 10 руб/шт; затраты на вывоз ~5,0 млн, выручка от перепродажи ~6,69 млн; kp_wo_vat = 1 730 × 10</t>
  </si>
  <si>
    <t>Р100, Шушары</t>
  </si>
  <si>
    <t>Лот 29: ВК/НВК/ЭОМ Р100</t>
  </si>
  <si>
    <t>2 133 светильника — перенос; в форме исправлен двойной счёт подитога НВК</t>
  </si>
  <si>
    <t>ТБанк</t>
  </si>
  <si>
    <t>209 офисов, 8 ФО</t>
  </si>
  <si>
    <t>RFI: мелкосрочный ремонт — 199 расценок × 8 ФО</t>
  </si>
  <si>
    <t>8 ФО</t>
  </si>
  <si>
    <t>Базовая ставка 900 руб/чел-ч (СПб), индексы 0,75–1,10; итоговой суммы нет</t>
  </si>
  <si>
    <t>Корпус 5, крыльцо</t>
  </si>
  <si>
    <t>Ремонт крыльца корп. 5 (ЭЗК44-36-26)</t>
  </si>
  <si>
    <t>Маржа −12,6 %; металл в ЛСР ~50 тыс./т, облицовка «Тесс» 13,7–14,5 тыс./м².</t>
  </si>
  <si>
    <t>Бассейн, Сходня (Химки)</t>
  </si>
  <si>
    <t>Облицовка бассейна</t>
  </si>
  <si>
    <t>Без плитки 15 440 168,32 (плитка — опция). 29.09 при 35 % было 18,70 млн</t>
  </si>
  <si>
    <t>АО «АЭРО-Шереметьево»</t>
  </si>
  <si>
    <t>БС и ОЗК, МО, Химки</t>
  </si>
  <si>
    <t>Закупка 2026-98-ГИ-ЗП: ТО и ремонт вентиляции и кондиционирования, 12 мес</t>
  </si>
  <si>
    <t>Шереметьево</t>
  </si>
  <si>
    <t>project_sheremetyevo_ovik.md</t>
  </si>
  <si>
    <t>Маржа к НМЦ −36,7 %; перечня оборудования нет (восстановлен 77 ед.); рекомендовано не участвовать или запросить ведомость</t>
  </si>
  <si>
    <t>Балтика</t>
  </si>
  <si>
    <t>«Тульский пивзавод»</t>
  </si>
  <si>
    <t>ТО вентиляции 2027–2029 (528 ед.)</t>
  </si>
  <si>
    <t>ТКП 29 911 462/год → 30.09 поднято до 45 865 000/год б/НДС (мин. предложение по заводу в СПб было 49 млн)</t>
  </si>
  <si>
    <t>с/с среднегодовая; штат 5 техников + 2 механика + ИТР</t>
  </si>
  <si>
    <t>Лот 156.1, Зеленогорск</t>
  </si>
  <si>
    <t>Благоустройство</t>
  </si>
  <si>
    <t>Первый вариант 29.09 при наценке 35 %: 3 507 688,01 с НДС; 30.09 поднято до 100 %</t>
  </si>
  <si>
    <t>Монтаж 16 модульных зданий — только работы (материалы заказчика)</t>
  </si>
  <si>
    <t>26.09 56 225 754 б/НДС (с материалами) → 30.09 17 341 047 б/НДС (только работы)</t>
  </si>
  <si>
    <t>Аванс 30 %, срок 40 к.д.; лестницы из металла заказчика.</t>
  </si>
  <si>
    <t>7 РЦ: Тосно 8023 (ЛО) + 8114, 8117, 8123, 8402, 8401, 8400 (Москва/МО)</t>
  </si>
  <si>
    <t>КТО РЦ выездное + ТР 1000 ч на РЦ (Шаблон №7)</t>
  </si>
  <si>
    <t>ЛО / Москва и МО</t>
  </si>
  <si>
    <t>Лента. КТО РЦ</t>
  </si>
  <si>
    <t>project_lenta_kto_14rc.md</t>
  </si>
  <si>
    <t>Версия на 14 РЦ: с/с 77,54 / КП 104,68 млн. Маржа зависит от 1000 ч ТР: при 750 ч 15,8 %, при 500 ч 2,6 %</t>
  </si>
  <si>
    <t>ООО «Партия Еды» (Яндекс)</t>
  </si>
  <si>
    <t>Студия RnD пом. 309/310, завод «Арсенал», СПб, ул. Комсомола 1-3</t>
  </si>
  <si>
    <t>Замена приточно-вытяжной вентиляции с кондиционированием (72,4 м²)</t>
  </si>
  <si>
    <t>Яндекс. Вентиляция</t>
  </si>
  <si>
    <t>project_partiya_edy_ventilyaciya.md</t>
  </si>
  <si>
    <t>Первоначально 40 % (5 896 577,09); установка и ККБ — оценка по аналогам, нужны КП поставщиков</t>
  </si>
  <si>
    <t>X5: АО «Перекресток вкусов» / ООО «Найс Айс»</t>
  </si>
  <si>
    <t>Долгопрудный, Новое ш. 40 (МО) и Порошкино зд. 1734 (ЛО)</t>
  </si>
  <si>
    <t>СМР и ремонт бытовых и производственных помещений, 90 позиций × 2 площадки</t>
  </si>
  <si>
    <t>МО / ЛО</t>
  </si>
  <si>
    <t>1 тур 186,67 млн (14.08) → 2 тур 181,07 млн (07.09, −3 %) → правки 02.10: 181,98 млн; новая форма 77,93 млн</t>
  </si>
  <si>
    <t>Х5. НайсАйс. СМР</t>
  </si>
  <si>
    <t>project_perekrestok_smr_rc.md</t>
  </si>
  <si>
    <t>B2B 4559631. Аванса нет, действующее пищевое пр-во; цены — оферта для других закупок X5. Восстановленная формула: мат ×1,20, раб ×1,50 к с/с с косвенными</t>
  </si>
  <si>
    <t>СЦ Строгино, Москва</t>
  </si>
  <si>
    <t>КТО СЦ: ТО, аварийные выезды, работы по заявкам + дежурный мониторинг</t>
  </si>
  <si>
    <t>модель 2 036 726 → подано 760 326 → переторжка 30.09 714 706,05 → финал 02.10 744 406,05/мес (+ПБ 29 700)</t>
  </si>
  <si>
    <t>Яндекс. СЦ Строгино</t>
  </si>
  <si>
    <t>с/с 1,51 млн — модель на 5 ставок дежурных; в финале выбрано 1×5/2 + 2×2/2, поэтому наценка к с/с не сопоставима (не считалась)</t>
  </si>
  <si>
    <t>Антоненко 4, СПб</t>
  </si>
  <si>
    <t>КТО 12 мес. с 30.01.2027</t>
  </si>
  <si>
    <t>project_tendery_06oct2026_c.md</t>
  </si>
  <si>
    <t>С/с 1,49 млн/мес ×12. Риск п. 2.6 ТЗ — расходники до 50 тыс./мес на систему</t>
  </si>
  <si>
    <t>АЭМ</t>
  </si>
  <si>
    <t>Корпус БИК, 4–5 эт., Колпино</t>
  </si>
  <si>
    <t>Капремонт БИК 4–5 этажей</t>
  </si>
  <si>
    <t>project_tendery_06oct2026.md</t>
  </si>
  <si>
    <t>Архив ЛРС/ССРСС не приложен</t>
  </si>
  <si>
    <t>Убежище ЗС ГО 2318</t>
  </si>
  <si>
    <t>Ремонт защитного сооружения ГО</t>
  </si>
  <si>
    <t>Маржа к НМЦК 11,8 %; подача до 08.10 10:00</t>
  </si>
  <si>
    <t>Пивзавод, СПб</t>
  </si>
  <si>
    <t>Депаллетизатор ЛР-0</t>
  </si>
  <si>
    <t>project_tendery_06oct2026_b.md</t>
  </si>
  <si>
    <t>ВОР сэндвич 149 vs 36,7 м²</t>
  </si>
  <si>
    <t>Балтика / Ярпиво</t>
  </si>
  <si>
    <t>Пивзавод, Ярославль</t>
  </si>
  <si>
    <t>Нория: 0,6 т МК по ВОР</t>
  </si>
  <si>
    <t>В ВОР 12 болтов вместо 32</t>
  </si>
  <si>
    <t>Новгородская 8А</t>
  </si>
  <si>
    <t>ЛОТ 150.1: вводы/выпуски НВК (наружные сети)</t>
  </si>
  <si>
    <t>ФСК. Новгородская. НВК (дубль …Наружные сети)</t>
  </si>
  <si>
    <t>Подача до 09.10</t>
  </si>
  <si>
    <t>Магнитогорская 11</t>
  </si>
  <si>
    <t>ГРЩ</t>
  </si>
  <si>
    <t>Подача до 09.10 18:00; лотки/огнезащита по РД не в ФКП (+0,45–0,6 млн)</t>
  </si>
  <si>
    <t>ГП-48</t>
  </si>
  <si>
    <t>КТО на 7 мес.</t>
  </si>
  <si>
    <t>Маржа −40 %</t>
  </si>
  <si>
    <t>ГПАБ</t>
  </si>
  <si>
    <t>10 зданий, СПб</t>
  </si>
  <si>
    <t>КТО 10 зданий на 5 мес.</t>
  </si>
  <si>
    <t>С/с в 3,4 раза выше НМЦК (маржа −235 %)</t>
  </si>
  <si>
    <t>ЗАГС Выборгского р-на</t>
  </si>
  <si>
    <t>ЗАГС</t>
  </si>
  <si>
    <t>СПС/СОУЭ</t>
  </si>
  <si>
    <t>Маржа к НМЦК 21,9 %; 06.10 решено подавать (лицензия МЧС есть)</t>
  </si>
  <si>
    <t>Инжпетрострой</t>
  </si>
  <si>
    <t>Энтузиастов</t>
  </si>
  <si>
    <t>НВК (наружные сети)</t>
  </si>
  <si>
    <t>Риск засыпки песком +4 млн, дренажа нет в Оферте</t>
  </si>
  <si>
    <t>Тепловые сети (ТС)</t>
  </si>
  <si>
    <t>Красная Заря</t>
  </si>
  <si>
    <t>Водоотведение</t>
  </si>
  <si>
    <t>Маржа к НМЦК 5,5 %; SN16 по РД vs SN8 в ЛСР</t>
  </si>
  <si>
    <t>Красногвардейский р-н (ГП-17)</t>
  </si>
  <si>
    <t>17 адресов</t>
  </si>
  <si>
    <t>КТО</t>
  </si>
  <si>
    <t>Маржа −127 %</t>
  </si>
  <si>
    <t>ЛСК (Федоров)</t>
  </si>
  <si>
    <t>Сергиев Посад</t>
  </si>
  <si>
    <t>Работы по компрессору Bitzer CSH8573</t>
  </si>
  <si>
    <t>С/с почти вдвое выше НМЦД (−88 %)</t>
  </si>
  <si>
    <t>ММЦ ВТ «Белоостров»</t>
  </si>
  <si>
    <t>ТО холодильных машин</t>
  </si>
  <si>
    <t>ТЗ пустое</t>
  </si>
  <si>
    <t>МТС</t>
  </si>
  <si>
    <t>Офис, СПб, Малый пр. В.О. 54, 101 м²</t>
  </si>
  <si>
    <t>Модернизация (СМР) офиса 101 м²</t>
  </si>
  <si>
    <t>МТС. Модернизация помещений (дубль МТС. СМР офис)</t>
  </si>
  <si>
    <t>С резервом 5 % формы — 2 324 936,19 (предельная цена). Вопрос стекла EI30 (+1,5 млн), осмотр обязателен</t>
  </si>
  <si>
    <t>МосОблКанал</t>
  </si>
  <si>
    <t>КНС-1, Электросталь</t>
  </si>
  <si>
    <t>Работы на КНС-1</t>
  </si>
  <si>
    <t>С/с выше НМЦК: маржа −7,9 %; подача до 07.10 11:00</t>
  </si>
  <si>
    <t>Шушары</t>
  </si>
  <si>
    <t>Изготовление 10 скидов (кол-во в ТЗ нет)</t>
  </si>
  <si>
    <t>АГМ Скиды</t>
  </si>
  <si>
    <t>Количество скидов в ТЗ не задано</t>
  </si>
  <si>
    <t>Петрович</t>
  </si>
  <si>
    <t>Серверная БКЗ, Приморский пр. 70</t>
  </si>
  <si>
    <t>Серверная (СМР)</t>
  </si>
  <si>
    <t>Выезд на объект обязателен</t>
  </si>
  <si>
    <t>Почта России</t>
  </si>
  <si>
    <t>Павелецкий ПЖДП, Москва, 23 604 м²</t>
  </si>
  <si>
    <t>КТО ПЖДП 12 мес.</t>
  </si>
  <si>
    <t>В ТЗ «15 (двенадцати) месяцев» — срок неясен</t>
  </si>
  <si>
    <t>РНПК</t>
  </si>
  <si>
    <t>НПЗ, Рязань</t>
  </si>
  <si>
    <t>ТО холодильного оборудования, 36 мес.</t>
  </si>
  <si>
    <t>Рязанская обл.</t>
  </si>
  <si>
    <t>ТО ежемесячно vs 7 раз/год — противоречие</t>
  </si>
  <si>
    <t>СКА</t>
  </si>
  <si>
    <t>Сплит-системы 4 шт. Kentatsu</t>
  </si>
  <si>
    <t>МАФ</t>
  </si>
  <si>
    <t>Маржа к лимиту 0,8 %</t>
  </si>
  <si>
    <t>Т2</t>
  </si>
  <si>
    <t>Базовые станции, Москва</t>
  </si>
  <si>
    <t>ОВиК БС (5 позиций), 24 мес.</t>
  </si>
  <si>
    <t>Маржа −301 %; подача 07.10 12:00; вариант только сдельный субподряд. Явного решения не участвовать нет</t>
  </si>
  <si>
    <t>Т2 Мобайл</t>
  </si>
  <si>
    <t>Базовые станции, Ивановская обл.</t>
  </si>
  <si>
    <t>ТО и АВР БС Иваново, кластер 60 % (326 БС), 24 мес</t>
  </si>
  <si>
    <t>Ивановская обл.</t>
  </si>
  <si>
    <t>Т2 Иваново ТО и АВР БС</t>
  </si>
  <si>
    <t>project_t2_ivanovo_skv_4lota.md</t>
  </si>
  <si>
    <t>Запрос котировок, минимальная цена; аванса нет, реальный лаг оплаты 5–7 недель. Подача 09.10.2026.</t>
  </si>
  <si>
    <t>ТО и АВР БС Иваново, кластер 40 % (217 БС), 24 мес</t>
  </si>
  <si>
    <t>Базовые станции, Архангельская обл.</t>
  </si>
  <si>
    <t>ТО/АВР СКВ на БС, Л1 Архангельск</t>
  </si>
  <si>
    <t>Архангельская обл.</t>
  </si>
  <si>
    <t>Т2 СКВ БС 4 лота</t>
  </si>
  <si>
    <t>Подача 08.10.2026; решение об участии не принималось.</t>
  </si>
  <si>
    <t>Базовые станции, Калининград</t>
  </si>
  <si>
    <t>ТО/АВР СКВ на БС, Л2 Калининград</t>
  </si>
  <si>
    <t>87 % НМЦ — 20 т антивандальных ограждений. Подача 08.10.2026; решение об участии не принималось.</t>
  </si>
  <si>
    <t>Базовые станции, Карелия</t>
  </si>
  <si>
    <t>ТО/АВР СКВ на БС, Л3 Карелия</t>
  </si>
  <si>
    <t>Базовые станции, Псковская обл.</t>
  </si>
  <si>
    <t>ТО/АВР СКВ на БС, Л4 Псков</t>
  </si>
  <si>
    <t>Псковская обл.</t>
  </si>
  <si>
    <t>ТРК «ГОРОД»</t>
  </si>
  <si>
    <t>ТРК «ГОРОД», Москва, 3 ТП</t>
  </si>
  <si>
    <t>ТО ЭОМ (3 ТП)</t>
  </si>
  <si>
    <t>Требование опыта 10 лет не проходим</t>
  </si>
  <si>
    <t>УФПС (Почта России)</t>
  </si>
  <si>
    <t>Внуково-2</t>
  </si>
  <si>
    <t>ТО систем противопожарной защиты (СОПЗ)</t>
  </si>
  <si>
    <t>Объёмы «1 усл. ед.»</t>
  </si>
  <si>
    <t>Чудотворец</t>
  </si>
  <si>
    <t>Мойка 126</t>
  </si>
  <si>
    <t>Обслуживание ПБ, 12 мес.</t>
  </si>
  <si>
    <t>ЖК RBI, паркинг (лот 46)</t>
  </si>
  <si>
    <t>ОВ/ВК паркинга, лот 46</t>
  </si>
  <si>
    <t>project_tendery_08oct2026.md</t>
  </si>
  <si>
    <t>Оферта с НДС 22 %.</t>
  </si>
  <si>
    <t>ВТБ (МиМО)</t>
  </si>
  <si>
    <t>Объекты ВТБ</t>
  </si>
  <si>
    <t>Текущий ремонт, скидка к расценкам</t>
  </si>
  <si>
    <t>С/с = 71,4 % расценок → при ×1,40 скидка 0 %; при скидке 10/15/20 % маржа 20,6/15,9/10,7 %. «СМСП: да» проверить.</t>
  </si>
  <si>
    <t>Вояж («Тануки»)</t>
  </si>
  <si>
    <t>Рестораны «Тануки»</t>
  </si>
  <si>
    <t>ТО ресторанов, цена за ресторан</t>
  </si>
  <si>
    <t>Цена за 1 ресторан в месяц.</t>
  </si>
  <si>
    <t>Газпром нефтехим Салават</t>
  </si>
  <si>
    <t>Салават</t>
  </si>
  <si>
    <t>ТО АУПТ/АППЗ + перезарядка</t>
  </si>
  <si>
    <t>Башкортостан</t>
  </si>
  <si>
    <t>ТО 25,87 + перезарядка 13,24 млн; хладон 23 — 5,5 млн с/с. В Прил. 29 исправлен итог.</t>
  </si>
  <si>
    <t>Гатчинская КМБ</t>
  </si>
  <si>
    <t>Гатчина, объекты КМБ</t>
  </si>
  <si>
    <t>КТО (повтор сентябрьской закупки)</t>
  </si>
  <si>
    <t>Маржа −41,7 % к НМЦК.</t>
  </si>
  <si>
    <t>ДС 80</t>
  </si>
  <si>
    <t>Детский сад 80</t>
  </si>
  <si>
    <t>Ремонт туалетов</t>
  </si>
  <si>
    <t>Маржа −13,3 % к НМЦК.</t>
  </si>
  <si>
    <t>ИКЦ</t>
  </si>
  <si>
    <t>Москва, Тверская 9 с4</t>
  </si>
  <si>
    <t>Обслуживание здания + кровля/вывоз снега по заявкам</t>
  </si>
  <si>
    <t>Плюс кровля 53 900 и вывоз снега 34 034 за заявку.</t>
  </si>
  <si>
    <t>Лемана ПРО</t>
  </si>
  <si>
    <t>ГМ Новая Рига, 24 руфтопа</t>
  </si>
  <si>
    <t>24 руфтопа ВАЙБОС</t>
  </si>
  <si>
    <t>Цены ВАЙБОС ориентировочные.</t>
  </si>
  <si>
    <t>Лента</t>
  </si>
  <si>
    <t>ТК 569 «Супер Лента», МО, Дмитровский р-н, пос. Останкино, 954,8 м²</t>
  </si>
  <si>
    <t>СМР «под ключ» супермаркета за 35 дней</t>
  </si>
  <si>
    <t>ВОР нет, объёмы по ТП; в форме Ленты итог не включал ВиК — исправлено.</t>
  </si>
  <si>
    <t>ММЦ «Белоостров»</t>
  </si>
  <si>
    <t>ТО ОВиК</t>
  </si>
  <si>
    <t>ТЗ пустое, состав оборудования принят допущением.</t>
  </si>
  <si>
    <t>Мурманскнефтепродукт</t>
  </si>
  <si>
    <t>Объекты Мурманскнефтепродукта</t>
  </si>
  <si>
    <t>Обслуживание, 54,09 руб/м²/мес, 24 мес.</t>
  </si>
  <si>
    <t>Мурманская обл.</t>
  </si>
  <si>
    <t>НМИЦ им. Бехтерева</t>
  </si>
  <si>
    <t>Бехтерева</t>
  </si>
  <si>
    <t>Текущий ремонт по ЛСР</t>
  </si>
  <si>
    <t>Маржа −4,9 % к НМЦК.</t>
  </si>
  <si>
    <t>Невская администрация (СОШ 338)</t>
  </si>
  <si>
    <t>СОШ 338, СПб</t>
  </si>
  <si>
    <t>ИТП, ОВиК, бассейн, 25 мес.</t>
  </si>
  <si>
    <t>Обеспечение 30 %.</t>
  </si>
  <si>
    <t>Дорожки</t>
  </si>
  <si>
    <t>71 ГМ: СПб/ЛО (50 ТК) и Москва/МО (21 ТК)</t>
  </si>
  <si>
    <t>ТОиР холодильного оборудования ГМ с мониторингом</t>
  </si>
  <si>
    <t>СПб/ЛО + Москва/МО</t>
  </si>
  <si>
    <t>Сметы (КП_НЕОСТРОЙ_Лента ТОиР ХО 71 ГМ … ×1,5)</t>
  </si>
  <si>
    <t>Бидзар 380-739. 142 ГМ 47,97 млн/мес → 71 ГМ 27,16 млн (×1,40) → 08.10 ×1,5 = 40,74 млн/мес, доп. час 5 715; с/с 19,40 млн относится к 71 ГМ</t>
  </si>
  <si>
    <t>АОПП Пулково</t>
  </si>
  <si>
    <t>Обслуживание АОПП Пулково</t>
  </si>
  <si>
    <t>В ТЗ требуется лицензия ФСБ на гостайну.</t>
  </si>
  <si>
    <t>РАСЦ + Б. Морская, СПб</t>
  </si>
  <si>
    <t>ТО ДГУ (прайс формы)</t>
  </si>
  <si>
    <t>Период суммы в заметке не указан.</t>
  </si>
  <si>
    <t>Почта России (УФПС МО)</t>
  </si>
  <si>
    <t>Объекты УФПС МО</t>
  </si>
  <si>
    <t>Ремонт кровель, единичные цены</t>
  </si>
  <si>
    <t>Единичные цены (периметр 103,49 руб/м² и т. д.).</t>
  </si>
  <si>
    <t>РЧК / ЦДП</t>
  </si>
  <si>
    <t>Москва, Покровка 47</t>
  </si>
  <si>
    <t>Обслуживание по ценам НМЦД</t>
  </si>
  <si>
    <t>Маржа −83,9 %; цены НМЦД = демпинг прошлого договора.</t>
  </si>
  <si>
    <t>Росатом (Техакадемия)</t>
  </si>
  <si>
    <t>Техакадемия Росатома</t>
  </si>
  <si>
    <t>Хозяйственное обслуживание 2027</t>
  </si>
  <si>
    <t>Ставки хозперсонала 50–75 тыс. на руки.</t>
  </si>
  <si>
    <t>Росгранстрой</t>
  </si>
  <si>
    <t>СПб, ул. А. Кони 5, 330 м²</t>
  </si>
  <si>
    <t>Обслуживание объекта</t>
  </si>
  <si>
    <t>Русский Стандарт</t>
  </si>
  <si>
    <t>Объект Русский Стандарт</t>
  </si>
  <si>
    <t>ТО 8 ИБП</t>
  </si>
  <si>
    <t>ТрансКонтейнер</t>
  </si>
  <si>
    <t>Москва, Оружейный пер. 19</t>
  </si>
  <si>
    <t>Обслуживание здания заданным штатом, 36 мес.</t>
  </si>
  <si>
    <t>Маржа −30,9 %; один ФОТ заданного штата 2,92 млн/мес.</t>
  </si>
  <si>
    <t>ФСК</t>
  </si>
  <si>
    <t>Лот 121, корпуса 4–6</t>
  </si>
  <si>
    <t>ВК корпусов 4–6, лот 121</t>
  </si>
  <si>
    <t>Подача до 14.10 18:00; в листах К5/К6 нет графы «Пересчёт».</t>
  </si>
  <si>
    <t>Яндекс (Яндекс.Еда, Яндекс.Такси, Микромобильность)</t>
  </si>
  <si>
    <t>45 объектов (хабы, зарядные, лавки) Москва+МО 27 / СПб 18, 16 532,8 м²</t>
  </si>
  <si>
    <t>ТО инженерных систем 45 объектов, TAXIBUY-27825 Лот 1</t>
  </si>
  <si>
    <t>Москва, МО, СПб</t>
  </si>
  <si>
    <t>КП 28.08 37 989 711/год → редукцион Bidzaar 07.10 (мин. 11 525 352,55): 11,5 → 11,41 → 13,25 млн → подано D9 16 048 317,46 (09.10)</t>
  </si>
  <si>
    <t>Яндекс. 45 объектов переторжка</t>
  </si>
  <si>
    <t>project_yandex_to_lot1.md</t>
  </si>
  <si>
    <t>С/с полного сервиса 40,90 млн/год (вкл. заявки) несопоставима с D9; маржа 25,3 % база, плохой случай 2,82 млн. Поток заявок 70/30 только устно, отсрочка 60 к.д.</t>
  </si>
  <si>
    <t>ОАО «РЖД» (АХЦ Октябрьской ЖД)</t>
  </si>
  <si>
    <t>Административные здания, лот 1</t>
  </si>
  <si>
    <t>Работы по заявкам 2027 г. по 1 256 расценкам (конкурс МСП 2091/ОКЭ-ОКТ/26)</t>
  </si>
  <si>
    <t>project_tendery_12oct2026.md</t>
  </si>
  <si>
    <t>Маржа к НМЦ 33,8 %; при −24,99 % — 12,3 %, с 25 % антидемпинг. Нужен лицензиат Минкультуры. Подача до 28.10 09:00</t>
  </si>
  <si>
    <t>Административные здания, лот 2 Петрозаводск</t>
  </si>
  <si>
    <t>Работы по заявкам 2027 г. по расценкам</t>
  </si>
  <si>
    <t>Маржа к НМЦ 29,9 %</t>
  </si>
  <si>
    <t>ООО «РГО» (Cosmos Selection Moscow Arbat)</t>
  </si>
  <si>
    <t>Отель Cosmos Arbat, Москва</t>
  </si>
  <si>
    <t>КТО ОВиК/холода, 9 007 чел.-ч/год</t>
  </si>
  <si>
    <t>08.10 КП ×1,40 28 978 026/год → 12.10 вариант 18 000 000/год (1,5 млн/мес)</t>
  </si>
  <si>
    <t>Космос. Арбат. КТО</t>
  </si>
  <si>
    <t>project_cosmos_arbat_kto.md</t>
  </si>
  <si>
    <t>Вариант 18 млн ниже с/с на 15 % — убыток без сокращения штата (5 + 0,5 инж.).</t>
  </si>
  <si>
    <t>ТРК «Июнь»</t>
  </si>
  <si>
    <t>ТРК «Июнь», Мытищи</t>
  </si>
  <si>
    <t>КТО ТРК с НМЦД, включая вертикальный транспорт</t>
  </si>
  <si>
    <t>Плюс 7,2 млн/год на материалы и ремонты. Маржа −118 %; около нуля только при мин. штате и ВТ у Заказчика</t>
  </si>
  <si>
    <t>8 ТЦ Москва и Тверь</t>
  </si>
  <si>
    <t>ТО АППЗ 8 ТЦ, ежеквартально</t>
  </si>
  <si>
    <t>Москва, Тверь</t>
  </si>
  <si>
    <t>Метро. МСК и Тверь</t>
  </si>
  <si>
    <t>project_tendery_21oct2026_b.md</t>
  </si>
  <si>
    <t>Отсрочка 45 дней. Требование «опыт ≥5 лет» не закрыто (компания с 2023 г.).</t>
  </si>
  <si>
    <t>Адмиралтейские Верфи</t>
  </si>
  <si>
    <t>Цех 22, СПб</t>
  </si>
  <si>
    <t>Капремонт электрики цеха 22</t>
  </si>
  <si>
    <t>Адмиралтейские Верфи. Капремонт электрика</t>
  </si>
  <si>
    <t>ТЗ 2022 г. (скан), НМЦК и формы нет — письмо по разделам.</t>
  </si>
  <si>
    <t>Внуково (аэропорт)</t>
  </si>
  <si>
    <t>Москва, 1-я Рейсовая 12</t>
  </si>
  <si>
    <t>Ремонт фасада</t>
  </si>
  <si>
    <t>Внуково. Фасад</t>
  </si>
  <si>
    <t>Ценовой запрос без НМЦК, 90 к.д.; работы уйдут на зиму.</t>
  </si>
  <si>
    <t>Москва, УТЦ-21</t>
  </si>
  <si>
    <t>Двери и поликарбонат козырька</t>
  </si>
  <si>
    <t>Внуково. Козырьки</t>
  </si>
  <si>
    <t>40 к.д.</t>
  </si>
  <si>
    <t>Амбер Сити К4, Москва</t>
  </si>
  <si>
    <t>Отделка 1 этажа К4 по форме 1С</t>
  </si>
  <si>
    <t>Амбер К4</t>
  </si>
  <si>
    <t>project_tendery_21oct2026.md</t>
  </si>
  <si>
    <t>Работы ×3,9 к бригадным расценкам — риск при проверке РТУ; РД не скачана; номинированные материалы ФСК по цене заказчика</t>
  </si>
  <si>
    <t>Амбер Сити К5, Москва</t>
  </si>
  <si>
    <t>Отделка 1 этажа К5 по форме 1С</t>
  </si>
  <si>
    <t>Амбер К5</t>
  </si>
  <si>
    <t>Работы ×4,5 к бригадным расценкам — риск при проверке РТУ; решения об участии нет</t>
  </si>
  <si>
    <t>Гатчина (здравоохранение, заказчик не назван)</t>
  </si>
  <si>
    <t>Приёмное отделение, этап 2, Гатчина</t>
  </si>
  <si>
    <t>Текущий ремонт приёмного отделения (44-ФЗ)</t>
  </si>
  <si>
    <t>Гатчина. Здрав ремонт</t>
  </si>
  <si>
    <t>Маржа к НМЦК 16,8 % (при −10 % на торгах 7,6 %, при −15 % 2,2 %)</t>
  </si>
  <si>
    <t>Москва, Благовещенский, 4 этаж, 9 кабинетов 163,8 м²</t>
  </si>
  <si>
    <t>Ремонт 9 кабинетов</t>
  </si>
  <si>
    <t>Медси. Благовещенский</t>
  </si>
  <si>
    <t>60 к.д., аванса нет, удержание 3 %. ВОР пом. 22 скопирована с пом. 20 — посчитано по факту 20,9 м².</t>
  </si>
  <si>
    <t>Москва, Ленинский, коридор 3 этажа 140,1 м²</t>
  </si>
  <si>
    <t>Ремонт коридора</t>
  </si>
  <si>
    <t>Медси. Ленинский</t>
  </si>
  <si>
    <t>Срок подачи 15.10.2026 уже прошёл; основного ТЗ в папке нет.</t>
  </si>
  <si>
    <t>Шушары, тоннель</t>
  </si>
  <si>
    <t>Асфальт ≈135 м² за 24 ч простоя (ТЗ 05/10/26)</t>
  </si>
  <si>
    <t>АГМ. Тунель</t>
  </si>
  <si>
    <t>В форме перемещение мусора 272,5 м³ при факте ≈10 м³.</t>
  </si>
  <si>
    <t>177→320 ТК СПб/ЛО</t>
  </si>
  <si>
    <t>ТО холодильного оборудования со встроенными агрегатами, раз в квартал</t>
  </si>
  <si>
    <t>СПб/ЛО</t>
  </si>
  <si>
    <t>Лента. ХО гааж-винтаж</t>
  </si>
  <si>
    <t>Цены за 1 ТК в месяц; за год 27,28 млн б/НДС; нормо-час 4 380; ТЗ требует сертификат «Ридан» и авторизованный СЦ</t>
  </si>
  <si>
    <t>ТК СПб/ЛО (гараж-винтаж)</t>
  </si>
  <si>
    <t>ТОиР ВиК: сплиты 2 раза в год, завесы</t>
  </si>
  <si>
    <t>Лента. ТОиР гараж-винтаж</t>
  </si>
  <si>
    <t>Цены за 1 ТК в месяц; за год 16,57 млн; пик сентябрь ~1 770 ч/мес — сезонные бригады</t>
  </si>
  <si>
    <t>Росатом (ВНИИНМ)</t>
  </si>
  <si>
    <t>Склад, Москва</t>
  </si>
  <si>
    <t>Ремонт вентиляции склада (кабель 5×35 200 м, траншея)</t>
  </si>
  <si>
    <t>ВНИИНМ. КТО вентиляция</t>
  </si>
  <si>
    <t>32 к.д., постоплата 45 дней, субподряд запрещён. Решение об участии не принималось.</t>
  </si>
  <si>
    <t>Цемрос</t>
  </si>
  <si>
    <t>Сланцы, разгрузочная площадка ж/д 4</t>
  </si>
  <si>
    <t>Устройство площадок (цена = ЛСР × ТК)</t>
  </si>
  <si>
    <t>Цемрос. Площадки</t>
  </si>
  <si>
    <t>Маржа −74 % к ЛСР; подача была до 09.09.2026.</t>
  </si>
  <si>
    <t>СЦ Грибки</t>
  </si>
  <si>
    <t>КТО СЦ + мониторинг 1 чел. 5/2; тарификатор Прил. 5</t>
  </si>
  <si>
    <t>Яндекс. Грибки</t>
  </si>
  <si>
    <t>12.10 вариант по уровню Строгино 451 811,40 (с/с 569 359, маржа −26 %); 21.10 пересчёт ×1,40. Нормо-час техника 3 160</t>
  </si>
  <si>
    <t>Яндекс (TAXIBUY-28789)</t>
  </si>
  <si>
    <t>СЦ Домодедово, склад</t>
  </si>
  <si>
    <t>РД + отбойники, витражи, зарядка ПРТ</t>
  </si>
  <si>
    <t>Яндекс. Домодедово</t>
  </si>
  <si>
    <t>project_yandex_domodedovo_sc.md</t>
  </si>
  <si>
    <t>Расхождения ВОР: щит мал, автомат C16 для ЗУ 20 кВт, нет питающего кабеля и отделки ГКЛ</t>
  </si>
  <si>
    <t>ГК ФСК Северо-Запад (ГП ООО «Генеральный Подряд СПб», СЗ БН Девелопмент)</t>
  </si>
  <si>
    <t>МКД, СПб, пр. Тореза 42 к.1 лит. А</t>
  </si>
  <si>
    <t>Лот 072 — демонтаж автостоянки 44 296 м³ + вывоз 11 025 т; Лот 059 — ПОС</t>
  </si>
  <si>
    <t>Сметы\ФСК. Терезы</t>
  </si>
  <si>
    <t>расчёт по промту 23.10.2026</t>
  </si>
  <si>
    <t>Срок подачи 20.10 истёк. Лот 072 маржа 33,6 %, лот 059 — 3,8 % (материалы ПОС почти без наценки). Риск: 11 025 т без подземной части (+3,5 млн с НДС).</t>
  </si>
  <si>
    <t>АНАЛИТИКА: ПРИ КАКОЙ НАЦЕНКЕ МЫ ВЫИГРЫВАЕМ</t>
  </si>
  <si>
    <t>Считается формулами по листу «Реестр». Колонки результата заполнятся, когда в реестре будут проставлены итоги (РЕЗУЛЬТАТ, цена победителя). Цель — через 15–20 закрытых тендеров откалибровать диапазоны наценки на листе «Тип тендера» файла материалов.</t>
  </si>
  <si>
    <t>По типу тендера</t>
  </si>
  <si>
    <t>Расчётов</t>
  </si>
  <si>
    <t>Не участвовали</t>
  </si>
  <si>
    <t>Средняя наценка (все)</t>
  </si>
  <si>
    <t>Средняя маржа (все)</t>
  </si>
  <si>
    <t>Ждём итогов</t>
  </si>
  <si>
    <t>Выиграли</t>
  </si>
  <si>
    <t>Проиграли</t>
  </si>
  <si>
    <t>Доля побед</t>
  </si>
  <si>
    <t>Средняя наценка — выигранные</t>
  </si>
  <si>
    <t>Средняя наценка — проигранные</t>
  </si>
  <si>
    <t>Наша цена к победителю (проигранные), среднее</t>
  </si>
  <si>
    <t>ИТОГО</t>
  </si>
  <si>
    <t>По виду работ</t>
  </si>
  <si>
    <t>Как читать: если «средняя наценка — выигранные» стабильно ниже целевого диапазона — диапазон завышен; если проигрываем с ценой выше победителя на 5–10 % — снижать наценку на работы в этом типе тендеров.</t>
  </si>
  <si>
    <t>КАК ВЕСТИ РЕЕСТР</t>
  </si>
  <si>
    <t>1. Новый тендер добавляется в реестр после каждого расчёта (шаг 12 промта «Расчёт тендера и КП»): дата, заказчик, объект, тип, с/с, КП, наценка, решение.</t>
  </si>
  <si>
    <t>2. После подачи — отдел тендеров ставит дату подачи и нашу финальную цену (после переторжки — последнюю).</t>
  </si>
  <si>
    <t>3. После итогов — РЕЗУЛЬТАТ (выиграли / проиграли / отменён), место, цену победителя и число участников, причину проигрыша (цена, квалификация, сроки, отказ заказчика).</t>
  </si>
  <si>
    <t>4. Цену победителя спрашивать у организатора или смотреть в протоколе (на ЭТП она обычно публикуется). Без неё нельзя понять, насколько мы дороже рынка.</t>
  </si>
  <si>
    <t>5. Раз в месяц смотреть лист «Аналитика»: доля побед и наценка выигранных тендеров по типам — по ним корректируем целевые диапазоны наценки.</t>
  </si>
  <si>
    <t>Синие колонки заполнены по расчётам в памяти Claude (июль–октябрь 2026). Решение «подано» стоит только там, где подача была явно зафиксирована; РЕЗУЛЬТАТ пуст, если неизвестно, подавали ли; по остальным «рассчитано» — проверьте и поправьте статус.</t>
  </si>
  <si>
    <t>Наценка/маржа: формула из с/с и КП; если какой-то из сумм нет — подставлено значение из расчёта. Периоды разные (разово / в месяц / в год) — суммы между строками не складывать.</t>
  </si>
  <si>
    <t>ООО «АГМ» (автозавод, Шушары)</t>
  </si>
  <si>
    <t>Кухонные зоны корпусов Р5 и Р100, Автозаводская 2</t>
  </si>
  <si>
    <t>Лот 26.1: пандус, перенос линии раздачи, углы (Р5); кабель к бойлеру, ХВС/ГВС, унитаз+душ, жироуловитель, демонтаж/окраска (Р100)</t>
  </si>
  <si>
    <t>Сметы\Лоты 26.10.-28.10\АГМ. Кухня Р5</t>
  </si>
  <si>
    <t>НМЦК нет; срок подачи ~26–28.10 не истёк. Наценка 40 %, маржа 28,6 %, мин. цена 878 805. В форме Р100 итог без разд. 5–6 и НДС 20/105 — исправлено в копии.</t>
  </si>
  <si>
    <t>Площадка у здания Р40, Автозаводская 2</t>
  </si>
  <si>
    <t>Асфальтированная площадка 75×13 м под рефконтейнеры: выемка 0,84 м, песок 50 см, щебень/ЩПС по 20 см, георешетка, а/б 7+5 см (ТЗ 13/10/26)</t>
  </si>
  <si>
    <t>Сметы\Лоты 26.10.-28.10\АГМ. Площадка под рефы</t>
  </si>
  <si>
    <t>НМЦК нет, срок подачи не указан. Наценка 30 %, маржа 23,1 %, мин. цена 6 793 183. Риски: асфальт в ноябре, грунт на полигон +693 тыс., нет бортового камня.</t>
  </si>
  <si>
    <t>АО «Апатит» (ФосАгро), Волховский филиал</t>
  </si>
  <si>
    <t>ВФ АО «Апатит», г. Волхов, тепловая сеть (6 ВД, ~1 180 м труб)</t>
  </si>
  <si>
    <t>Ремонт трубопроводов тепловой сети, тендер № 249980</t>
  </si>
  <si>
    <t>Сметы\Лоты 26.10.-28.10\Апатит. Теплосеть</t>
  </si>
  <si>
    <t>Подача 28.10.2026 15:00 ЭТП ФосАгро. НМЦК нет; оплата по ЛСР ФСНБ ≤ предельной, только после всех работ +45 дн. Мин. цена (15 %) 14,62 млн. Нерж. 89х6 182 м — запросить КП.</t>
  </si>
  <si>
    <t>АО «АЭМ-технологии» (Росатом), филиал «АЭМ-Спецсталь»</t>
  </si>
  <si>
    <t>Кузнечнопрессовый цех №20, Ижорский завод, Колпино</t>
  </si>
  <si>
    <t>Реконструкция остекления главного фасада: витраж Realit RF50 432 м², МК фахверка ~13,5 т, демонтаж</t>
  </si>
  <si>
    <t>Сметы\Лоты 26.10.-28.10\АЭМ. Реконструкция</t>
  </si>
  <si>
    <t>Закупка у ЕП (ЕОСЗ 6.4 ч.5 в), поставщик определён, заявки не принимаются. С/с выше НМЦ на 15,4 % (−1,95 млн). Цены Realit/СПД — оценки</t>
  </si>
  <si>
    <t>ООО «ПК «Балтика» (филиал «Тульский пивзавод»)</t>
  </si>
  <si>
    <t>Тульский пивзавод, Одоевское ш. 85 — 15 ТЗ (БФО, ГПК, ИЛК, АБК, солодовня, элеватор)</t>
  </si>
  <si>
    <t>Текущий ремонт общестрой: окраска, полы/плитка, ГКЛ, 6 ворот, дверь, деф. шов, бетон, трубы нерж. (B2110261119383)</t>
  </si>
  <si>
    <t>Сметы\Лоты 26.10.-28.10\Балтика. Тула общестрой</t>
  </si>
  <si>
    <t>НМЦК нет. Наценка 26,8 % (ниже 30–40 %), мин. цена 7,98 млн. Ворота и Dewmark — оценка, запросить КП. Ошибки ВОР 7 поз. Срок оплаты не указан (60 дн.)</t>
  </si>
  <si>
    <t>ООО «Биотек кампус» (группа ПАО «НК «Роснефть»)</t>
  </si>
  <si>
    <t>Москва, ул. Миклухо-Маклая 16/10 к.16 — система водоподготовки (предподготовка, УВОИ-«МФ»-2540-3-2, УФ, ёмкость)</t>
  </si>
  <si>
    <t>ТО системы водоподготовки 01.2027–12.2028, лот 58: 8 ежекв. этапов, замены загрузок, мембран, помп PA 411/601</t>
  </si>
  <si>
    <t>Сметы\Лоты 26.10.-28.10\Биотек. Водоподготовка</t>
  </si>
  <si>
    <t>НМЦК нет. 24 мес., 41 257/мес б/НДС, наценка 35 %, мин. цена 843 тыс. ЗИП (мембраны, помпы PA, УФ, ФД) — оценки, запросить КП. Мембран 3 или 5? J30 формы исправлен</t>
  </si>
  <si>
    <t>ООО «СПС» (Wildberries / РВБ)</t>
  </si>
  <si>
    <t>СК «Тверь», ОЭЗ ППТ «Эммаусс» 1, пр-т Технологий, зд. 2 — склад ~153 тыс. м², пристройки РУ/ТП, ДГУ-1.1/1.2</t>
  </si>
  <si>
    <t>Восстановление ППЗ: АУГПТ РУ/ТП (ПД+РД, 9 напр.), АУППТ ДГУ, СОУЭ 3 типа (оценка без ТЗ), замена 9 штор на ворота EI60</t>
  </si>
  <si>
    <t>Сметы\Лоты 26.10.-28.10\ВБ. Тверь восстановление</t>
  </si>
  <si>
    <t>НМЦК нет. Наценка 24 % (лоты 25/30/30/18 %), мин. 31,66 млн. ТЗ СОУЭ недоступно — лот 3 оценка 12,39 млн; без СОУЭ 21,75 млн. Оборудование — запросить КП</t>
  </si>
  <si>
    <t>ООО «Газпром ЦПС»</t>
  </si>
  <si>
    <t>СПб, Университетская наб. 7-9-11 к5, БЦ «Юниверс»: серверная 6 эт. (Stulz CRS 251 ×6, конденсаторы ×6) и аккумуляторная −1 эт. (MDV канальные ×2)</t>
  </si>
  <si>
    <t>ТО и аварийно-восстановительный ремонт системы кондиционирования, 2027 г. (КО 223-ФЗ, ЭТП ГПБ)</t>
  </si>
  <si>
    <t>Сметы\Лоты 26.10.-28.10\Газпром ЦПС. КТО</t>
  </si>
  <si>
    <t>НМЦК 1,04 млн/год; КП −4,1 %, наценка 15,2 %; мин. 995 929. Опыт с отзывами = 24 балла из 100 — решает исход. Подача до 28.10 14:00. Ошибка H10 в Форме 1.1 исправлена.</t>
  </si>
  <si>
    <t>69 объектов больницы: Гатчина и Гатчинский р-н (стационары, поликлиники, ФАПы)</t>
  </si>
  <si>
    <t>Комплексное обслуживание 69 объектов, 10 к.д.; обязательный штат 54 места (6 постов 24/7 + 36 чел.)</t>
  </si>
  <si>
    <t>Лоты 26.10.-28.10\Гатчина Клиническая. КТО</t>
  </si>
  <si>
    <t>Аукцион 44-ФЗ, 3-я публикация. С/с 2,57× НМЦК: при НМЦК убыток 3,84 млн (−157 %), мин. сценарий ИП/СЗ −70 %. L = с/с×1,15 выше НМЦК — подача невозможна</t>
  </si>
  <si>
    <t>ГУП «Леноблводоканал»</t>
  </si>
  <si>
    <t>43 объекта ВКХ (КНС, ВНС, КОС) в 5 районах ЛО, 5 991 м² кровель</t>
  </si>
  <si>
    <t>Текущий ремонт крыш по заявкам (наплавляемая кровля 2 слоя, стяжки), цена за 1 м²</t>
  </si>
  <si>
    <t>Лоты 26.10.-28.10\ЛенОблВодоканал. Кровли</t>
  </si>
  <si>
    <t>223-ФЗ МСП, подача до 03.11.26. 9 667,13 руб/м² с НДС (−5 %), маржа 18,4 %; мин. 9 073,97 (−10,8 %). Неценовые 60 % (опыт + ГОСТ Р 66.1.03) — без них шанс низкий</t>
  </si>
  <si>
    <t>Мясная лавка МЛ-575, Москва, Ленинградское ш. 229А (87,7 м²)</t>
  </si>
  <si>
    <t>Строительство магазина под ключ: РД ЭОМ/АПС, отделка, вентиляция, кондиционирование, электрика, ВК с КНС, АПС/СОУЭ, неон фасада</t>
  </si>
  <si>
    <t>C:\Users\Администратор\Desktop\Сметы\Лоты 26.10.-28.10\Лента. СМР. МСК Ленинградское</t>
  </si>
  <si>
    <t>Наценка 31,5 %, маржа 24,0 %. В форме Ленты F47 и F94 были 0 (не в итоге) — исправлено. Нет РД, неустойка 0,7 %/день, аванса нет, удержание 15 %. Мин. цена 5,05 млн.</t>
  </si>
  <si>
    <t>ГБУЗ ЛОКБ (Ленинградская областная клиническая больница)</t>
  </si>
  <si>
    <t>СПб, пр. Луначарского 45 к.2 лит. А, Главный корпус (Блок 7), 1 этаж + подвал, 97,6 м2</t>
  </si>
  <si>
    <t>Капремонт помещений для размещения ангиографа (ЭА-1163-26, 44-ФЗ): АР/РЗ, ОВиК, ЭОМ, СС, мед. газы, НЭС</t>
  </si>
  <si>
    <t>Сметы\Лоты 26.10.-28.10\Луначарского. Капремонт 1 этаж</t>
  </si>
  <si>
    <t>С/с 91 % НМЦК: наценка 15 % недостижима, маржа при НМЦК 9 %, безубыток −9 %. Нет аванса, оплата после всего объёма (фин. 4,26 млн). Подача — только решением ГД без снижения.</t>
  </si>
  <si>
    <t>АО «Группа компаний «Медси»</t>
  </si>
  <si>
    <t>КДЦ Медси, Москва, ул. Солянка 12 стр. 1 — форкамера на кровле</t>
  </si>
  <si>
    <t>Капремонт основной форкамеры на крыше + безопасное ограждение кровли 140 мп с заземлением</t>
  </si>
  <si>
    <t>Сметы\Лоты 26.10.-28.10\Медси. СМР МСК Солянка</t>
  </si>
  <si>
    <t>НМЦК нет; наценка 32 %, мин. цена 7,14 млн б/НДС; в форме исправлены итоги (SUM ед. расценок, выпал разд. 9); ограждение вар.1, вар.2 +0,62 млн с НДС; зима, ночь</t>
  </si>
  <si>
    <t>АО «Петербургский нефтяной терминал» (АО «ПНТ»)</t>
  </si>
  <si>
    <t>Насосная №15 отгрузки нефтепродуктов в танкеры (инв. 4/1951), Угольная гавань, Элеваторная пл. 32</t>
  </si>
  <si>
    <t>Лот 169: ремонт МК после пожара (демонтаж/изготовление/монтаж 39,2 т), профлист кровли и стен 1 237 м², АКЗ 1 165 м², монтаж давальческого крана 5 т</t>
  </si>
  <si>
    <t>C:\Users\Администратор\Desktop\Сметы\Лоты 26.10.-28.10\ПНТ. Насосы 15</t>
  </si>
  <si>
    <t>НМЦ−1 %, наценка 11,7 % &lt;15 % — согласование ГД; мин. 15 % = 21,86 млн &gt; НМЦ; нужны СРО ОПО, НАКС, ЛНК, опыт ≥13,1 млн на ОПО; подача до 30.10.2026 10:00</t>
  </si>
  <si>
    <t>АО «Почта России» (УФПС г. Санкт-Петербурга и ЛО)</t>
  </si>
  <si>
    <t>Объекты почтовой связи СПб: ул. Софийская 56, ул. Софийская 81, Пулковское ш. 39 (3 объекта, режимные)</t>
  </si>
  <si>
    <t>ТО и ТР КТСБ (СОТС, СКУД, СОТ) и систем ППЗ (АПС, СОУЭ, АУПТ) на 2027 г.: плановое ТО + единичные цены ТР (110 ед. оборудования) и ТР/АВР (20 работ)</t>
  </si>
  <si>
    <t>Сметы\Лоты 26.10.-28.10\Почта. Софийская КСОБ</t>
  </si>
  <si>
    <t>ценовой запрос (НМЦД), закупка ноябрь 2026; наценка 43 %, маржа 30 %, 202 тыс./мес б/НДС; ТР — цены за ед.; нет лицензии ФСБ (гостайна) — нужен партнёр</t>
  </si>
  <si>
    <t>РХ (полное наименование в документах не указано)</t>
  </si>
  <si>
    <t>Офис в БЦ «Башня 2000», Москва, наб. Тараса Шевченко, 23А</t>
  </si>
  <si>
    <t>Косметический ремонт офиса по заявкам: 69 единичных расценок на работы (без материалов) + коэффициент ночных работ</t>
  </si>
  <si>
    <t>разово (типовая заявка ~150 м², условно)</t>
  </si>
  <si>
    <t>C:\Users\Администратор\Desktop\Сметы\Лоты 26.10.-28.10\РХ. Ремонт офиса</t>
  </si>
  <si>
    <t>Рамочные расценки, объёмов нет; тариф Мск ×1,19, наценка 46 %, маржа 32 % на условной заявке; ночь ×1,5; материалы по смете отдельно; мин. цена −21 %; заказчик не идентифицирован</t>
  </si>
  <si>
    <t>ФГБОУ ВО МГАВМиБ – МВА им. К.И. Скрябина (Минсельхоз)</t>
  </si>
  <si>
    <t>Клинический корпус (Виварий), Москва, ул. Академика Скрябина, д. 23, стр. 9</t>
  </si>
  <si>
    <t>Капремонт клинического корпуса: терраццо 287 м2, ГКЛ, плитка, потолки, маятниковые двери, ЭОМ, сантехника, тельфер, Wi-Fi/видео (аукцион МСП 223-ФЗ)</t>
  </si>
  <si>
    <t>Сметы\Лоты 26.10.-28.10\Скрябина. Капремонт корпуса</t>
  </si>
  <si>
    <t>С/с 95,6 % НМЦК; мин. цена +15 % выше НМЦК на 0,78 млн, безубыток при снижении ≤4,4 %. Нет аванса, оплата после всех работ. В ЛСР нет материалов терраццо/кассет/ГКЛ (+0,65 млн)</t>
  </si>
  <si>
    <t>АО «Концерн «ЦНИИ «Электроприбор»</t>
  </si>
  <si>
    <t>Площадка в пос. Лебяжье (Ломоносовский р-н ЛО), ул. Комсомольская, 14 — 40 кондиционеров</t>
  </si>
  <si>
    <t>Ежеквартальное ТО 40 кондиционеров (сплиты и полупром. до 14 кВт) на 2027 г., B2B-Center B2110261449401</t>
  </si>
  <si>
    <t>Сметы\Лоты 26.10.-28.10\ЦНИИЭ</t>
  </si>
  <si>
    <t>НМЦК не раскрыта. Тариф. 5000/6500/8000 за ТО, 4 визита; наценка 30,9 %, мин. цена 1,05 млн. Удалённость 65 км, автовышка 12 бл., хладагент в цене (лимит 20 кг)</t>
  </si>
  <si>
    <t>ГБОУ школа № 449 Пушкинского района СПб (организатор совместной закупки 38 ГБОУ)</t>
  </si>
  <si>
    <t>38 ГБОУ Пушкинского района СПб, 59 зданий, 467 393 м²</t>
  </si>
  <si>
    <t>Комплексное обслуживание помещений 2027: АТО ХВС/ГВС/ОТ/КАН/ЭЛ, ТО УУТЭ, поверка 696 СИ, сан. содержание ИТП</t>
  </si>
  <si>
    <t>Сметы\Лоты 26.10.-28.10\Школа 449</t>
  </si>
  <si>
    <t>Запрос КП для НМЦК (44-ФЗ), срок 26.10.2026. АТО 18,06 руб/м²/мес с НДС, УУТЭ 9 322,76/мес. Прил. 2 нет; 2028 +6 %: 98,27 млн б/НДС.</t>
  </si>
  <si>
    <t>ООО «АГМ» (AGR Automotive Group)</t>
  </si>
  <si>
    <t>Энергоблок Р90.2 в осях U7–U15/UA0–UB, СПб, пос. Шушары, ул. Автозаводская, 2 (≈754 м² АБК)</t>
  </si>
  <si>
    <t>Модернизация АБК: реконструкция энергоблока под 2-этажный АБК «под ключ» по РД (АР, КЖ, КМ ≈29 т, ЭОМ, ОВ, ВК, СПЗ, слаботочка), ВОР 912 позиций, ЭТП «Бидзаар»</t>
  </si>
  <si>
    <t>Сметы\Лоты 27.10.2026-04.11.2026\АГМ. Модернизация АБК</t>
  </si>
  <si>
    <t>расчёт по промту 27.10.2026</t>
  </si>
  <si>
    <t>НМЦК нет. Наценка 30 %, маржа 23,1 %; мин. цена (+15 %) 79,39 млн. Аванса нет, оплата после приёмки всех работ, ГПБ, неустойка 0,1 %/день, гарантия 6 мес. AIRNED M20L/M6L (4,65 млн) и ИБП 30 кВт — оценка, запросить КП. Опции вне ВОР 2,49 млн (огнезащита/АКЗ МК и др.), ТХ не входит.</t>
  </si>
  <si>
    <t>Цех завода АГМ, СПб, пос. Шушары, ул. Автозаводская, 2 — опорная рама 8,6 × 12 м</t>
  </si>
  <si>
    <t>Поставка и монтаж опорной рамы (МК ≈4,1 т) с монорельсовой системой (2 подвесных крана 0,5 т), 2 электротали с радиоуправлением, 2 ГЗП, паспортизация и ввод; ЭТП «Бидзаар»</t>
  </si>
  <si>
    <t>МК + грузоподъёмное оборудование</t>
  </si>
  <si>
    <t>нет</t>
  </si>
  <si>
    <t>Сметы\Лоты 27.10.2026-04.11.2026\АГМ. Монорельс</t>
  </si>
  <si>
    <t>НМЦК нет. Наценка 24,5 % (ниже цели 30–40 %: 57 % с/с — материалы/оборудование с наценкой 10 %), маржа 19,7 %; мин. цена (+15 %) 3,25 млн. Наценка раб. — к оплате бригадам+расходникам (с косвенными 43 %). Срок ТЗ до 23.11.2026 нереален — в КП 7 недель. Кран-балки 0,5 т и токоподводы — оценка, запросить КП; постоплата 30 дн., аванса нет.</t>
  </si>
  <si>
    <t>3 площадки: СПб Софийская 8; Сестрорецк, Воскова 2; Пушкин, Тиньков пер. 7</t>
  </si>
  <si>
    <t>Абонентский хендимен-сервис офисных и производственных помещений (355-604 Bidzaar)</t>
  </si>
  <si>
    <t>project_handyman_3ploshchadki.md</t>
  </si>
  <si>
    <t>С/с ≈93К при присоединении к бригадам (отдельным мастером ≈143К). Пол торга 150К. Лимит 60 н-ч/мес, сверх 3 000/н-ч</t>
  </si>
  <si>
    <t>АО «АБ «РОССИЯ» (АКБ «Россия»)</t>
  </si>
  <si>
    <t>Офис банка (СПб, адрес не указан): проём с противопожарной шторой, лестничная клетка с входной группой, помещение</t>
  </si>
  <si>
    <t>Демонтаж автоматической противопожарной шторы, ремонт лестничной площадки и отделка помещения (декоративная штукатурка, кварцвинил, окраска, люки, столешница); запрос КП B2310261132376</t>
  </si>
  <si>
    <t>Сметы\Лоты 27.10.2026-04.11.2026\АКБ Россия. офис СМР</t>
  </si>
  <si>
    <t>расчёт по промту 27.10.2026 (lot05)</t>
  </si>
  <si>
    <t>Форма КП с НДС, 3 раздела. Нет адреса, сроков, условий оплаты и характеристик позиций. Отключение шторы от АПС не в объёме. Полосы камня и декор. штукатурка на оценке — запросить КП. Косвенные ×2,0 в разделах — рычаг торга. Мин. цена 281 792,91 б/НДС.</t>
  </si>
  <si>
    <t>АО «Айсорс» (для ООО «Газпромнефть-Промышленные инновации»)</t>
  </si>
  <si>
    <t>СПб, ул. Парашютная 89 к2 с1, Лабораторно-пилотный комплекс</t>
  </si>
  <si>
    <t>Завершение СМР по изоляции трубопроводов (реечный потолок, цилиндры), гидроизоляция точек вентфасада/кровли, с обследованием и ВОР; ЭТП ГПБ</t>
  </si>
  <si>
    <t>Сметы\Лоты 27.10.2026-04.11.2026\Айрос. Кровля и труба</t>
  </si>
  <si>
    <t>расчёт по промту 27.10.2026 (lot04)</t>
  </si>
  <si>
    <t>ВОР/РД нет — объём-допущение (потолок 150 м², K-Flex 250 мп, цилиндры 80 мп, 20 точек), ±350 тыс.; критерий — мин. срок (5 к.д.); НДС в форме ×1,2 исправлен на 22 %; мин. цена (+15 %) 590 144; нужна аккредитация ГПН и Бизнес ID ур. 4; кровельный ковёр не в цене (+200–500 тыс.).</t>
  </si>
  <si>
    <t>ГБОУ школа № 684 «Берегиня» Московского района СПб</t>
  </si>
  <si>
    <t>2 здания: Пулковское ш. 5 к. 3; ул. Краснопутиловская 60</t>
  </si>
  <si>
    <t>Комплекс регламентных работ 2026–2028: ТО ИТП/АТП и УУТЭ, подготовка к сезону, промывка ПТО, поверка 131 прибора</t>
  </si>
  <si>
    <t>за весь срок (24 мес., 01.12.2026–30.11.2028)</t>
  </si>
  <si>
    <t>торги: минимум 1 751 692,19 с НДС / 1 435 813,27 б/НДС (наценка 15 %)</t>
  </si>
  <si>
    <t>Сметы\Лоты 27.10.2026-04.11.2026\Берегиня. КТО</t>
  </si>
  <si>
    <t>расчёт по промту 27.10.2026 (lot09)</t>
  </si>
  <si>
    <t>44-ФЗ, конкурс для СМП (цена 60 %, качество 20 %, опыт 20 %). Допуск только при договоре ТО по 44/223-ФЗ от 379,6 тыс. (ПП 2571) — проверить наличие. Единая цена (наценка на полную с/с 20 %). Нет перечня оборудования; промывка ПТО в НМЦК ниже рынка; цены поверки — оценка.</t>
  </si>
  <si>
    <t>ЗОК зданий и сооружений ВФ АО «Апатит», г. Волхов, Кировский пр., 20</t>
  </si>
  <si>
    <t>Ремонт и ТО защитных ограждающих конструкций (леса, сетка, канаты, талрепы, геодезический контроль, перестановка ФБС), 11 единичных расценок, тендер № 250453</t>
  </si>
  <si>
    <t>за весь срок (24 мес., 2027–2028)</t>
  </si>
  <si>
    <t>Сметы\Лоты 27.10.2026-04.11.2026\Апатит. КТО ограждающих конструкций</t>
  </si>
  <si>
    <t>расчёт по промту 27.10.2026 (lot06)</t>
  </si>
  <si>
    <t>Подача 02.11.2026 15:00 МСК ЭТП ФосАгро; без аванса, оплата 45 дн., удержание 10 %; 62 % с/с — постоянные (специалист ОТ 24 мес.); наценка раб. — к прямой с/с работ (косвенные распределены), техника +25 %; мин. цена 18,38 млн; единицы п.1.10/1.11 уточнить; аренда вышки/манипулятора — оценка.</t>
  </si>
  <si>
    <t>АО «ПО «Баррикада»</t>
  </si>
  <si>
    <t>Здание РМЦ, Ленинградская обл., г. Гатчина, проезд Энергетиков, д. 2, стр. 50</t>
  </si>
  <si>
    <t>Ремонт кровли и узлов примыкания: верхний слой Техноэласт ЭКП 1 528 м², примыкания 315 мп, прижимная планка 73 мп, парапетные крышки 252 мп</t>
  </si>
  <si>
    <t>Сметы\Лоты 27.10.2026-04.11.2026\Баррикада. Кровля</t>
  </si>
  <si>
    <t>расчёт по промту 27.10.2026 (lot08)</t>
  </si>
  <si>
    <t>Формы заказчика нет, КП по форме НЕОСТРОЙ + письмо (2 037 руб/м²). Выезд на объект обязателен до КП. Цена фиксированная при ориентировочных объёмах. Аванс 100 % материалов + 30 % работ, 14 р.д., гарантия 36 мес. Наценка раб. — к бригадам+расходникам+услугам, с распределёнными косвенными. Мин. цена 2 753 582 б/НДС.</t>
  </si>
  <si>
    <t>Здание Р60 (станция ADAS), СПб, пос. Шушары, ул. Автозаводская, д. 2</t>
  </si>
  <si>
    <t>РД, изготовление и монтаж МК (каркас 6×3×8 м, монорельс, площадка +4,0) для хранения эталонного калибра, электроталь 250 кг, электромонтаж, ИД; Bidzaar</t>
  </si>
  <si>
    <t>Сметы\Лоты 27.10.2026-04.11.2026\АГМ. Склад для эталоного калибра</t>
  </si>
  <si>
    <t>расчёт по промту 27.10.2026 (lot03)</t>
  </si>
  <si>
    <t>РД нет, масса МК 4,08 т по эскизу; таль OCALIFT 0,5 т; «2 оси» — риск кран-балки +350 тыс.; срок 31.12.2026 (в ТЗ опечатка 2025); постоплата 30 дн., аванса нет; страхование ГО 10 млн обязательно; в форме дописан НДС 22 %; наценка раб. — к бригадам+субподряду; мин. цена 1 758 669.</t>
  </si>
  <si>
    <t>АО «Инжиниринговая компания «АЭМ-технологии» (филиал «Атоммаш», Росатом)</t>
  </si>
  <si>
    <t>Волгодонск, Жуковское ш. 10, корпус № 4, пролёты 8-11/А-Т, 11-14/А-Т</t>
  </si>
  <si>
    <t>Реконструкция верхнего освещения: 280 LED-светильников ЭфЛайт 200 Вт на 19,2 м, щиты, лотки, кабель, PLC КУЛОН, ИБП, ПНР; демонтаж ШРА/ШОС и ДРЛ; ЕОСЗ Росатом, подача 02.11 10:00 мск</t>
  </si>
  <si>
    <t>Ростовская обл.</t>
  </si>
  <si>
    <t>СМР / электромонтаж (освещение)</t>
  </si>
  <si>
    <t>Сметы\Лоты 27.10.2026-04.11.2026\АЭМ. Освещение</t>
  </si>
  <si>
    <t>расчёт по промту 27.10.2026 (lot07)</t>
  </si>
  <si>
    <t>С командировкой из СПб мин. цена (+15 %) 37,53 млн &gt; НМЦК → не участвовать. Только с местной бригадой: с/с 29,44 млн, наценка 23,9 %, пол 33,86 млн. Цена 100 %, без аванса, оплата этапа +30 дн., обеспечение заявки 2,2 млн; ЭфЛайт/КУЛОН/ИБП ДКС ≈60 % закупки — оценка; требования: опыт ≥14,9 млн, кран 16 т, Zi ≥ 30, СРО.</t>
  </si>
  <si>
    <t>Комплексное обслуживание 69 объектов, 10 к.д. с 20.11.2026; обязательный штат 42 места / 54 физлица (6 постов 24/7 + 36 чел.); 44-ФЗ аукцион</t>
  </si>
  <si>
    <t>за срок контракта (10 дней)</t>
  </si>
  <si>
    <t>Сметы\Лоты 27.10.2026-04.11.2026\Гатчина. КТО ГБУЗ</t>
  </si>
  <si>
    <t>расчёт по промту 27.10.2026 (lot11); project_gatchina_kmb_kto.md</t>
  </si>
  <si>
    <t>Повтор того же тендера (реестр стр. 129, 217, 267), ИКЗ …107080018110244. С/с 2,33× НМЦК, убыток при НМЦК 3,25 млн (−133 %), вариант ИП/СЗ −93 %; НМЦК ≈773 руб/чел.-ч. Подготовлено письмо заказчику о снижении численности.</t>
  </si>
  <si>
    <t>«Волна»</t>
  </si>
  <si>
    <t>СПб, Измайловский пр. 17 лит. А (ОКН «Солдатская казарма»), 4 этажа, 2 754,7 м²</t>
  </si>
  <si>
    <t>Демонтаж (strip-out) этажей, ПВУ и наружных блоков, лифта с шахтой, вывоз и утилизация мусора</t>
  </si>
  <si>
    <t>СМР / демонтаж</t>
  </si>
  <si>
    <t>Сметы\Лоты 27.10.2026-04.11.2026\Волна. СМР Косыгина</t>
  </si>
  <si>
    <t>расчёт по промту 27.10.2026 (lot10)</t>
  </si>
  <si>
    <t>4 624 руб/м². Объёмы «компл.» и 13 позиций без количества — по допущениям (±2,6 млн); мусор 1 241 м³ по 1 350 руб/м³; ОКН — разрешение КГИОП за заказчиком; итог формы исправлен (не включал «Прочие»); адрес Измайловский 17, не Косыгина; мин. цена 10,92 млн.</t>
  </si>
  <si>
    <t>СПб ГБУЗ «Городская поликлиника № 54»</t>
  </si>
  <si>
    <t>8 зданий поликлиники, Калининский/Красногвардейский р-ны СПб (Васенко 9 и др.), 29 284 м², 7 ИТП</t>
  </si>
  <si>
    <t>ТО инженерных сетей зданий в 2027 г. (ежедневная бригада электрик + сантехник + плотник, заявочный ремонт, подготовка к ОЗП); 44-ФЗ аукцион</t>
  </si>
  <si>
    <t>Сметы\Лоты 27.10.2026-04.11.2026\ГП 54. КТО</t>
  </si>
  <si>
    <t>расчёт по промту 27.10.2026 (lot12)</t>
  </si>
  <si>
    <t>ИКЗ 262780400690478040100100080360000244. НМЦК 6,03 руб/м²·мес б/НДС; с/с 4,96× НМЦК; при цене = НМЦК убыток 8,40 млн; без линейного штата с/с = 140 % НМЦК. Обязательная ежедневная бригада 3 чел. (ФОТ 7,56 млн). Опыт ПП 2571 ≥ 517 632 руб.</t>
  </si>
  <si>
    <t>Банк ГПБ (АО), Филиал «Северо-Западный»</t>
  </si>
  <si>
    <t>Действующий доп. офис, г. Петрозаводск, ул. Ленина, 25 (304,8 м², пом. 101–107)</t>
  </si>
  <si>
    <t>Ремонтно-отделочные и электромонтажные работы: окраска стен, замена плит Armstrong, рольставни Р4, простенок ГКЛ, 2 рабочих места ЭОМ+СКС</t>
  </si>
  <si>
    <t>Карелия (Петрозаводск)</t>
  </si>
  <si>
    <t>мин. 1 371 756 б/НДС (наценка 15 %); с местным субподрядчиком ≈1,29 млн</t>
  </si>
  <si>
    <t>Сметы\Лоты 27.10.2026-04.11.2026\ГПБ. СМР офиса</t>
  </si>
  <si>
    <t>расчёт по промту 27.10.2026 (lot13)</t>
  </si>
  <si>
    <t>Работы только сб с 16:00 и вс, 5 выездов из СПб, косвенные 35 % с/с. Рольставни Р4 и цены материалов — оценка, нужны КП поставщиков. Сроки подачи и оплаты не указаны.</t>
  </si>
  <si>
    <t>ТК-292, г. Москва, п. Московский, МКАД 47 км, вл. 31, стр. 1 — торговый зал</t>
  </si>
  <si>
    <t>Замена освещения торгового зала: демонтаж 400 светильников с утилизацией, поставка и монтаж 400 LED Selects S-System Profile Line 1500 57W IP54, ПНР, вывоз</t>
  </si>
  <si>
    <t>Электромонтаж / освещение</t>
  </si>
  <si>
    <t>Сметы\Лоты 27.10.2026-04.11.2026\Лента. МСК. Замена освещения ТК 292</t>
  </si>
  <si>
    <t>расчёт по промту 27.10.2026 (lot16)</t>
  </si>
  <si>
    <t>19 197 руб/светильник под ключ. Только ТЗ, без ВОР, формы, договора и НМЦК. Цена светильника Selects оценочная (11 000 б/НДС, 78 % с/с; ±1 000 = ±0,46 млн) — запросить КП. Не подтверждена совместимость с магистралью (+1,0–1,5 млн). Наценка раб. — к оплате бригадам, косвенные распределены. Мин. цена (15 %) 7 399 683,27.</t>
  </si>
  <si>
    <t>ГК «Ригла» (аптечная сеть), Калининградский филиал</t>
  </si>
  <si>
    <t>более 250 аптек и офис, г. Калининград и Калининградская обл.</t>
  </si>
  <si>
    <t>Эксплуатация помещений, мелкий ремонт, ликвидация аварий, огнетушители, курьерская доставка ТМЦ и документов</t>
  </si>
  <si>
    <t>Калининградская обл.</t>
  </si>
  <si>
    <t>Сметы\Лоты 27.10.2026-04.11.2026\Ригла. Аварийка</t>
  </si>
  <si>
    <t>расчёт по промту 27.10.2026 (lot19)</t>
  </si>
  <si>
    <t>10 497 руб/аптеку/мес б/НДС, 31,49 млн/год; местный штат 5 техников + курьер + мастер, 6 машин; поток заявок 0,9/аптеку — допущение (загрузка 97 %); сверх абонентки прайс 55 поз., н-ч 1 500; мин. цена 2 321 396/мес; подача до 02.11.2026 17:00.</t>
  </si>
  <si>
    <t>11 ТК: 010 Колонтай, 011 Испытателей, 135 Московское, 136 Петергофское, 028 Ногинск, 912 Южные врата, 142 Калуга, 046 Казань 2, 094 Ростов 3, 082 Красноярск 3, 075 Владивосток</t>
  </si>
  <si>
    <t>Реконструкция освещения (LOOM): демонтаж, светильники Philips, кабельные трассы, щиты, DALI, ПНР, ИД</t>
  </si>
  <si>
    <t>СПб + регионы</t>
  </si>
  <si>
    <t>Сметы\Лоты 27.10.2026-04.11.2026\Лемана. 12 объектов освещение</t>
  </si>
  <si>
    <t>project_lemana_osveshenie_11.md</t>
  </si>
  <si>
    <t>11 форм (не 12). Philips — 73 % с/с, цены оценочные, ±15 % = ±61,8 млн. «Монтаж светильника…» в 5 формах — если светильники давальческие, КП −165,3 млн. В форме Ростов 3 исправлен двойной счёт раздела 7 (+51,3 млн). Гарантия 24 мес. / 5 лет — противоречие. Без аванса, удержание 10 %, разрыв до 580 млн. Мин. цена 789,28 млн.</t>
  </si>
  <si>
    <t>АО «Микрон»</t>
  </si>
  <si>
    <t>Технопарк, Зеленоград, ул. Академика Валиева 6 стр. 6, оси 30-37/А1-В2, отм. +14,400</t>
  </si>
  <si>
    <t>Монтаж ПВУ 31 000 м³/ч (давальческая) и демонтаж систем вентиляции, проём в фасаде, площадка, восстановление фасада сэндвич-панелями</t>
  </si>
  <si>
    <t>СМР / ОВиК</t>
  </si>
  <si>
    <t>Сметы\Лоты 27.10.2026-04.11.2026\Микрон. Вентиляция</t>
  </si>
  <si>
    <t>расчёт по промту 27.10.2026 (lot17)</t>
  </si>
  <si>
    <t>Нет ТР ОВ-ТП-002, ВОР и РД — объёмы допущениями (МК ±169 тыс.); ПВУ давальческая; обвязка/автоматика не включены; срок 25 р.д., гарантия 24 мес., аванс 30 %; мин. цена 2 057 484; подача 29.10.2026 12:00, осмотр 28.10.</t>
  </si>
  <si>
    <t>ООО «Ленинградская АЭС-Авто» (АО «Концерн Росэнергоатом»)</t>
  </si>
  <si>
    <t>Ленобласть, г. Сосновый Бор, Копорское ш., з/у № 100 (КН 47:15:0112001:11)</t>
  </si>
  <si>
    <t>Изготовление, доставка, монтаж офисно-бытового модульного здания 6000×9600×2500 (57,6 м², 4 модуля), основание ФБС, электрика, вентиляция, ПНР; запрос ТКП для НМЦ</t>
  </si>
  <si>
    <t>СМР / модульное здание</t>
  </si>
  <si>
    <t>Сметы\Лоты 27.10.2026-04.11.2026\Ленинградская АЭС. модельные здания</t>
  </si>
  <si>
    <t>расчёт по промту 27.10.2026 (lot15)</t>
  </si>
  <si>
    <t>ТКП Росатом по форме Прил. 3; ВОР нет — объёмы по ТЗ и схемам; рынок ≈56,3 тыс./м² с НДС, наш расчёт 65,2 тыс. — для торгов нужны КП заводов модулей (сценарий Б с/с ≈2,40 млн); мин. цена 2 952 146; нет ИГИ; аванс 40 %, срок 60 к.д., гарантия 24 мес.</t>
  </si>
  <si>
    <t>АО «Тандер» (сеть «Магнит»)</t>
  </si>
  <si>
    <t>РЦ СПб BTS, 306 ед. ЭМО (секционные 122, уравнительные платформы 72, герметизаторы 72, скоростные Hörmann V 37, откатные 3)</t>
  </si>
  <si>
    <t>ТО, текущий и аварийный ремонт ворот и докового оборудования: абонплата (Лот 1) + доп. работы (Лот 2) + запчасти (Лот 3); B2B-Center</t>
  </si>
  <si>
    <t>Сметы\Лоты 27.10.2026-04.11.2026\Тандер. ТБО РЦ</t>
  </si>
  <si>
    <t>расчёт по промту 27.10.2026 (lot22)</t>
  </si>
  <si>
    <t>Предмет — ворота и доки, не ТБО. 12,56 млн/год. Прил. №3 (прайс запчастей) не приложен — Лот 3 «скидка 10 %»; Регламент ТО и статистика отказов не даны; 2 электромеханика в штате + аварийка 24/7; оплата 61 день; SLA-скидки до 15 %; мин. цена 925 672,57/мес; требования: опыт 3 года, штат ≥15, выручка ≥30 млн.</t>
  </si>
  <si>
    <t>ПАО «МТС»</t>
  </si>
  <si>
    <t>БЦ «Декарт», Москва, пр-т Андропова 18 к. 9, санузлы 1–8 эт. (17 помещений)</t>
  </si>
  <si>
    <t>Ремонт санузлов «под ключ» (демонтаж, стяжка, ВГКЛ, керамогранит, Грильято, двери, сантехника, электрика), ЗП № 233755</t>
  </si>
  <si>
    <t>Сметы\Лоты 27.10.2026-04.11.2026\МТС. МСК. Санузлы</t>
  </si>
  <si>
    <t>расчёт по промту 27.10.2026 (lot18)</t>
  </si>
  <si>
    <t>Вариант 1 аванс 50 % под БГ; вариант 2 без аванса 39 975 189 б/НДС. ВГКЛ 209,658 м²/эт. по ВОР против ~25 по РД (−6,2 млн при оплате по факту); кабины HPL не в ВОР (~2,2 млн); исправлена формула итогов формы; цены материалов — оценки; риск отсечения по опыту (3 года, договор ≥40 млн; ОГРН 2023); мин. цена 34 176 357.</t>
  </si>
  <si>
    <t>ООО «Ситилинк»</t>
  </si>
  <si>
    <t>СПб, Пулковское ш. 43 к.2, дарк-стор КБТ</t>
  </si>
  <si>
    <t>СМР перепланировки: демонтаж ГКЛ, перегородки С112 EI60, сетчатое ограждение, 4 двери EI60, окраска, столешницы, электромонтаж</t>
  </si>
  <si>
    <t>Сметы\Лоты 27.10.2026-04.11.2026\Ситилинк. СМР Пулковское</t>
  </si>
  <si>
    <t>расчёт по промту 27.10.2026 (lot20)</t>
  </si>
  <si>
    <t>Форма с НДС; 3 % непредвиденных по факту (без них наценка 31,4 %, маржа 23,9 %); наценка раб. — тариф v2 ×1,20; объёмы по форме, расхождения с ТЗ по кабелю/розеткам; двери EI60 1200×2350 — запросить КП; срок 20 к.д., штраф 50 000/сутки по каждой позиции графика; мин. цена 2 055 824.</t>
  </si>
  <si>
    <t>АО «ФК «Спартак-Москва»</t>
  </si>
  <si>
    <t>УТБ «Сокольники», зал ОФП, Москва, Малый Олений пер., д. 23, стр. 1А</t>
  </si>
  <si>
    <t>Ремонт зала ОФП: потолок с ригелями 329 м², стены 543 м², замена окон ПВХ 40,7 м², отопление (8 радиаторов, 47 м труб), леса Н = 8 м; ТКП Росэлторг B2610261055294</t>
  </si>
  <si>
    <t>Сметы\Лоты 27.10.2026-04.11.2026\Спартак. реконструкция зала</t>
  </si>
  <si>
    <t>расчёт по промту 27.10.2026 (lot21)</t>
  </si>
  <si>
    <t>Постоплата 60 дн., срок 30 к.д.; окна Rehau (~23 % КП) по оценке — запросить КП дилеров; обязательный осмотр с актом (Прил. 3); 4 позиции «усл.» по допущениям; шлифовка отдельно (~51 тыс.) — первая на торг; цены в Прил. 4 без НДС; мин. цена 2 946 262.</t>
  </si>
  <si>
    <t>АО «ТВЭЛ-СТРОЙ» (конечный — АО ЧМЗ, Росатом)</t>
  </si>
  <si>
    <t>Центральная заводская лаборатория, промплощадка АО ЧМЗ корп. 754, г. Глазов, ул. Белова 7А</t>
  </si>
  <si>
    <t>СМР и ПНР вхолостую вытяжной вентиляции В1–В5 (ВИР, воздуховоды 12Х18Н10Т с ПТФЭ), закупка № 249094; подача 02.11 10:00 МСК</t>
  </si>
  <si>
    <t>Удмуртия (Глазов)</t>
  </si>
  <si>
    <t>рассчитано — только при лицензии РТН</t>
  </si>
  <si>
    <t>Сметы\Лоты 27.10.2026-04.11.2026\ТВЭЛ. ОВиК 249094</t>
  </si>
  <si>
    <t>расчёт по промту 27.10.2026 (lot23)</t>
  </si>
  <si>
    <t>Обязательна лицензия РТН (ЯУ), субподряд запрещён — без лицензии не участвовать; опыт ≥ 28,99 млн; наценка раб. — k к тарификатору; спецматериалы (ПТФЭ, Веза) — оценки ±6,9 млн; мин. цена 44,19 млн; услуги ГП 6 %, оплата после ЧМЗ; разъяснения до 28.10 00:01; тот же корп. 754, что «отопление, вентиляция, кондеи».</t>
  </si>
  <si>
    <t>Центральная заводская лаборатория, АО ЧМЗ корп. 754, г. Глазов, ул. Белова 7А</t>
  </si>
  <si>
    <t>СМР и ПНР вхолостую: отопление (БТП Ридан), вентиляция (П1–П13, ВЕ, АВ/АП, противодымная), кондиционирование VRF; закупка № 248989; подача 02.11 10:00 МСК</t>
  </si>
  <si>
    <t>Сметы\Лоты 27.10.2026-04.11.2026\ТВЭЛ. отопление, вентиляция, кондеи</t>
  </si>
  <si>
    <t>расчёт по промту 27.10.2026 (lot24)</t>
  </si>
  <si>
    <t>С/с выше НМЦК на 22,99 млн (+34,2 %), даже оптимистично 120 % НМЦК; нужна лицензия РТН (ЯУ); оборудование 80 % НМЦ, услуги ГП 6 %; оплата после ЧМЗ; трассы и ПНР VRF не в ВОР; связанный лот «ТВЭЛ. ОВиК 249094» (тот же корп. 754).</t>
  </si>
  <si>
    <t>X5 Group (ТД «Перекрёсток»)</t>
  </si>
  <si>
    <t>РЦ «Вёшки», МО, г.о. Мытищи, п. Вёшки, 2-й км Липкинского ш., стр. 8; 18 951 м²</t>
  </si>
  <si>
    <t>ТО и аварийный ремонт ХО (3 ЦХМ, 149 воздухоохладителей) + 14 сплитов, 16 вентустановок, 9 ККБ; 01.12.2026–30.11.2027; B2B-Center</t>
  </si>
  <si>
    <t>Сметы\Лоты 27.10.2026-04.11.2026\Х5. КТО Вешанки ХО</t>
  </si>
  <si>
    <t>расчёт по промту 27.10.2026 (lot27)</t>
  </si>
  <si>
    <t>ТО 1 623 325,70/мес × 12 + н.ч. 3 330 × 672 (н.ч. +90 %); с/с ТО 1 248 712/мес, штат 3 линейных + дежурства 24/7; мин. цена ТО 1 362 239/мес; ТО на +74 % выше оценки по тарификатору без дежурства; промывка ВО 2 р/год (если ежемесячно +3,15 млн); подача 30.10 16:00, осмотр обязателен.</t>
  </si>
  <si>
    <t>ООО «Зодиак» (ПАО «Трехгорная мануфактура» / АО «Профис Недвижимость»)</t>
  </si>
  <si>
    <t>Москва, ул. Кольская д.2 с.6, кровля 17 эт.: 15 надстроек вентшахт, парапет, выход на кровлю, фасад «башни»</t>
  </si>
  <si>
    <t>Текущий ремонт кровли: надстройки вентшахт, отливы, парапет, наплавляемая кровля выхода, ограждение</t>
  </si>
  <si>
    <t>Сметы\Лоты 27.10.2026-04.11.2026\Трехгорная. Кровля</t>
  </si>
  <si>
    <t>расчёт по промту 27.10.2026 (lot25)</t>
  </si>
  <si>
    <t>60 к.д. от аванса 50 % — зима (штукатурка/окраска при +5 °C, иначе перенос; тепляки ~150 тыс.); пеня 0,5 %/день без лимита; парапет 15 м² по форме против 43,6 м² по ВОР (+115 тыс.); удержание 5 % на 36 мес.; в форме исправлены формулы, НДС и дубль п. 233; мин. цена 2 171 745.</t>
  </si>
  <si>
    <t>ГК «ФСК Северо-Запад» (ООО «Генеральный Подряд СПб» / СЗ «Новгородская»)</t>
  </si>
  <si>
    <t>МКД с подземной автостоянкой, СПб, ул. Новгородская, д. 8, лит. А — технические помещения подвала и тех. пространство 2 этажа</t>
  </si>
  <si>
    <t>Лот 139: отделка технических помещений (ГКЛВ по каркасу с минплитой, цементная штукатурка, окраска, плитка, обеспыливание)</t>
  </si>
  <si>
    <t>СМР / отделка</t>
  </si>
  <si>
    <t>разово (15.12.2026–01.05.2027)</t>
  </si>
  <si>
    <t>Сметы\Лоты 27.10.2026-04.11.2026\ФСК. Новгородвская</t>
  </si>
  <si>
    <t>расчёт по промту 27.10.2026 (lot26)</t>
  </si>
  <si>
    <t>Форма с НДС 22 %; работы по тарификатору + косвенные (k = 0,52); РД нет (только ссылка bitrix24), объёмы по форме, твёрдая цена; норма штукатурки в форме занижена (+8 кг/м² учтено); обогрев 246 тыс.; гарантийное удержание 5 %, оплата 30 р.д.; мин. цена 6 941 133; подача 30.10.2026.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</si>
</sst>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.mm\.yyyy"/>
    <numFmt numFmtId="165" formatCode="#,##0;\-#,##0;&quot;–&quot;"/>
    <numFmt numFmtId="166" formatCode="0.0%;\-0.0%;&quot;–&quot;"/>
    <numFmt numFmtId="167" formatCode="\d\d\.\m\m\.\y\y\y\y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b/>
      <sz val="11"/>
      <color rgb="FF7F6000"/>
      <name val="Calibri"/>
    </font>
    <font>
      <b/>
      <sz val="12"/>
      <color rgb="FF1F3864"/>
      <name val="Calibri"/>
    </font>
    <font>
      <b/>
      <sz val="11"/>
      <name val="Calibri"/>
    </font>
    <font>
      <i/>
      <sz val="11"/>
      <color rgb="FF595959"/>
      <name val="Calibri"/>
    </font>
    <font>
      <b/>
      <sz val="14"/>
      <color rgb="FF1F3864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F6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165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166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5" fillId="0" borderId="0" xfId="0" applyFont="1"/>
    <xf numFmtId="0" fontId="0" fillId="0" borderId="1" xfId="0" applyBorder="1"/>
    <xf numFmtId="166" fontId="0" fillId="0" borderId="1" xfId="0" applyNumberFormat="1" applyBorder="1"/>
    <xf numFmtId="9" fontId="0" fillId="0" borderId="1" xfId="0" applyNumberFormat="1" applyBorder="1"/>
    <xf numFmtId="0" fontId="6" fillId="0" borderId="0" xfId="0" applyFont="1"/>
    <xf numFmtId="0" fontId="6" fillId="0" borderId="1" xfId="0" applyFont="1" applyBorder="1"/>
    <xf numFmtId="0" fontId="7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164" fontId="0" fillId="0" borderId="1" xfId="0" applyNumberFormat="1" applyBorder="1" applyAlignment="1">
      <alignment vertical="top"/>
    </xf>
    <xf numFmtId="167" fontId="0" fillId="0" borderId="1" xfId="0" applyNumberForma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Обычный" xfId="0" builtinId="0"/>
  </cellStyles>
  <dxfs count="10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8"/>
  <sheetViews>
    <sheetView tabSelected="1" workbookViewId="0">
      <pane xSplit="3" ySplit="4" topLeftCell="D276" activePane="bottomRight" state="frozen"/>
      <selection pane="topRight"/>
      <selection pane="bottomLeft"/>
      <selection pane="bottomRight" activeCell="A278" sqref="A278:AE278"/>
    </sheetView>
  </sheetViews>
  <sheetFormatPr defaultRowHeight="15" x14ac:dyDescent="0.25"/>
  <cols>
    <col min="1" max="1" width="5" customWidth="1"/>
    <col min="2" max="2" width="11" customWidth="1"/>
    <col min="3" max="3" width="22" customWidth="1"/>
    <col min="4" max="4" width="30" customWidth="1"/>
    <col min="5" max="5" width="40" customWidth="1"/>
    <col min="6" max="6" width="10" customWidth="1"/>
    <col min="7" max="7" width="14" customWidth="1"/>
    <col min="8" max="8" width="28" customWidth="1"/>
    <col min="9" max="9" width="10" customWidth="1"/>
    <col min="10" max="13" width="14" customWidth="1"/>
    <col min="14" max="15" width="10" customWidth="1"/>
    <col min="16" max="16" width="9" customWidth="1"/>
    <col min="17" max="18" width="8" customWidth="1"/>
    <col min="19" max="19" width="13" customWidth="1"/>
    <col min="20" max="20" width="30" customWidth="1"/>
    <col min="21" max="21" width="11" customWidth="1"/>
    <col min="22" max="22" width="14" customWidth="1"/>
    <col min="23" max="23" width="13" customWidth="1"/>
    <col min="24" max="24" width="7" customWidth="1"/>
    <col min="25" max="25" width="14" customWidth="1"/>
    <col min="26" max="26" width="12" customWidth="1"/>
    <col min="27" max="27" width="9" customWidth="1"/>
    <col min="28" max="28" width="34" customWidth="1"/>
    <col min="29" max="29" width="22" customWidth="1"/>
    <col min="30" max="30" width="26" customWidth="1"/>
    <col min="31" max="31" width="50" customWidth="1"/>
  </cols>
  <sheetData>
    <row r="1" spans="1:31" ht="18.75" x14ac:dyDescent="0.3">
      <c r="A1" s="1" t="s">
        <v>0</v>
      </c>
    </row>
    <row r="2" spans="1:31" ht="32.1" customHeight="1" x14ac:dyDescent="0.25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31" x14ac:dyDescent="0.25">
      <c r="A3" s="2" t="s">
        <v>2</v>
      </c>
      <c r="U3" s="3" t="s">
        <v>3</v>
      </c>
    </row>
    <row r="4" spans="1:31" ht="80.099999999999994" customHeight="1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5" t="s">
        <v>24</v>
      </c>
      <c r="V4" s="5" t="s">
        <v>25</v>
      </c>
      <c r="W4" s="5" t="s">
        <v>26</v>
      </c>
      <c r="X4" s="5" t="s">
        <v>27</v>
      </c>
      <c r="Y4" s="5" t="s">
        <v>28</v>
      </c>
      <c r="Z4" s="5" t="s">
        <v>29</v>
      </c>
      <c r="AA4" s="5" t="s">
        <v>30</v>
      </c>
      <c r="AB4" s="5" t="s">
        <v>31</v>
      </c>
      <c r="AC4" s="4" t="s">
        <v>32</v>
      </c>
      <c r="AD4" s="4" t="s">
        <v>33</v>
      </c>
      <c r="AE4" s="4" t="s">
        <v>34</v>
      </c>
    </row>
    <row r="5" spans="1:31" ht="30" x14ac:dyDescent="0.25">
      <c r="A5" s="6">
        <v>1</v>
      </c>
      <c r="B5" s="7">
        <v>46212</v>
      </c>
      <c r="C5" s="6" t="s">
        <v>35</v>
      </c>
      <c r="D5" s="8" t="s">
        <v>36</v>
      </c>
      <c r="E5" s="8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9"/>
      <c r="K5" s="9">
        <v>241132</v>
      </c>
      <c r="L5" s="9">
        <v>361698</v>
      </c>
      <c r="M5" s="9">
        <v>441263</v>
      </c>
      <c r="N5" s="10">
        <f>IF(AND(ISNUMBER(K5),ISNUMBER(L5),K5&gt;0),L5/K5-1,0.5)</f>
        <v>0.5</v>
      </c>
      <c r="O5" s="10">
        <f>IF(AND(ISNUMBER(K5),ISNUMBER(L5),L5&gt;0),1-K5/L5,0.3333)</f>
        <v>0.33333333333333337</v>
      </c>
      <c r="P5" s="10" t="str">
        <f t="shared" ref="P5:P68" si="0">IF(AND(ISNUMBER(J5),ISNUMBER(L5),J5&gt;0),L5/J5-1,"")</f>
        <v/>
      </c>
      <c r="Q5" s="10"/>
      <c r="R5" s="10"/>
      <c r="S5" s="6" t="s">
        <v>42</v>
      </c>
      <c r="T5" s="8"/>
      <c r="U5" s="11"/>
      <c r="V5" s="12"/>
      <c r="W5" s="13"/>
      <c r="X5" s="13"/>
      <c r="Y5" s="12"/>
      <c r="Z5" s="14" t="str">
        <f t="shared" ref="Z5:Z68" si="1">IF(AND(ISNUMBER(V5),ISNUMBER(Y5),Y5&gt;0),V5/Y5-1,"")</f>
        <v/>
      </c>
      <c r="AA5" s="13"/>
      <c r="AB5" s="15"/>
      <c r="AC5" s="6"/>
      <c r="AD5" s="6" t="s">
        <v>43</v>
      </c>
      <c r="AE5" s="8" t="s">
        <v>44</v>
      </c>
    </row>
    <row r="6" spans="1:31" ht="30" x14ac:dyDescent="0.25">
      <c r="A6" s="6">
        <v>2</v>
      </c>
      <c r="B6" s="7">
        <v>46213</v>
      </c>
      <c r="C6" s="6" t="s">
        <v>45</v>
      </c>
      <c r="D6" s="8" t="s">
        <v>46</v>
      </c>
      <c r="E6" s="8" t="s">
        <v>47</v>
      </c>
      <c r="F6" s="6" t="s">
        <v>38</v>
      </c>
      <c r="G6" s="6" t="s">
        <v>48</v>
      </c>
      <c r="H6" s="6" t="s">
        <v>49</v>
      </c>
      <c r="I6" s="6" t="s">
        <v>50</v>
      </c>
      <c r="J6" s="9"/>
      <c r="K6" s="9">
        <v>2710000</v>
      </c>
      <c r="L6" s="9">
        <v>4073770.49</v>
      </c>
      <c r="M6" s="9">
        <v>4970000</v>
      </c>
      <c r="N6" s="10">
        <f>IF(AND(ISNUMBER(K6),ISNUMBER(L6),K6&gt;0),L6/K6-1,0.5)</f>
        <v>0.50323634317343191</v>
      </c>
      <c r="O6" s="10">
        <f>IF(AND(ISNUMBER(K6),ISNUMBER(L6),L6&gt;0),1-K6/L6,0.3348)</f>
        <v>0.33476861137555158</v>
      </c>
      <c r="P6" s="10" t="str">
        <f t="shared" si="0"/>
        <v/>
      </c>
      <c r="Q6" s="10"/>
      <c r="R6" s="10"/>
      <c r="S6" s="6" t="s">
        <v>42</v>
      </c>
      <c r="T6" s="8"/>
      <c r="U6" s="11"/>
      <c r="V6" s="12"/>
      <c r="W6" s="13"/>
      <c r="X6" s="13"/>
      <c r="Y6" s="12"/>
      <c r="Z6" s="14" t="str">
        <f t="shared" si="1"/>
        <v/>
      </c>
      <c r="AA6" s="13"/>
      <c r="AB6" s="15"/>
      <c r="AC6" s="6"/>
      <c r="AD6" s="6" t="s">
        <v>51</v>
      </c>
      <c r="AE6" s="8" t="s">
        <v>52</v>
      </c>
    </row>
    <row r="7" spans="1:31" x14ac:dyDescent="0.25">
      <c r="A7" s="6">
        <v>3</v>
      </c>
      <c r="B7" s="7">
        <v>46213</v>
      </c>
      <c r="C7" s="6" t="s">
        <v>45</v>
      </c>
      <c r="D7" s="8" t="s">
        <v>53</v>
      </c>
      <c r="E7" s="8" t="s">
        <v>54</v>
      </c>
      <c r="F7" s="6" t="s">
        <v>55</v>
      </c>
      <c r="G7" s="6" t="s">
        <v>48</v>
      </c>
      <c r="H7" s="6" t="s">
        <v>49</v>
      </c>
      <c r="I7" s="6" t="s">
        <v>50</v>
      </c>
      <c r="J7" s="9"/>
      <c r="K7" s="9">
        <v>3870000</v>
      </c>
      <c r="L7" s="9">
        <v>5811475.4100000001</v>
      </c>
      <c r="M7" s="9">
        <v>7090000</v>
      </c>
      <c r="N7" s="10">
        <f>IF(AND(ISNUMBER(K7),ISNUMBER(L7),K7&gt;0),L7/K7-1,0.5)</f>
        <v>0.50167323255813967</v>
      </c>
      <c r="O7" s="10">
        <f>IF(AND(ISNUMBER(K7),ISNUMBER(L7),L7&gt;0),1-K7/L7,0.3341)</f>
        <v>0.33407616362950421</v>
      </c>
      <c r="P7" s="10" t="str">
        <f t="shared" si="0"/>
        <v/>
      </c>
      <c r="Q7" s="10"/>
      <c r="R7" s="10"/>
      <c r="S7" s="6" t="s">
        <v>42</v>
      </c>
      <c r="T7" s="8"/>
      <c r="U7" s="11"/>
      <c r="V7" s="12"/>
      <c r="W7" s="13"/>
      <c r="X7" s="13"/>
      <c r="Y7" s="12"/>
      <c r="Z7" s="14" t="str">
        <f t="shared" si="1"/>
        <v/>
      </c>
      <c r="AA7" s="13"/>
      <c r="AB7" s="15"/>
      <c r="AC7" s="6"/>
      <c r="AD7" s="6" t="s">
        <v>51</v>
      </c>
      <c r="AE7" s="8" t="s">
        <v>56</v>
      </c>
    </row>
    <row r="8" spans="1:31" x14ac:dyDescent="0.25">
      <c r="A8" s="6">
        <v>4</v>
      </c>
      <c r="B8" s="7">
        <v>46213</v>
      </c>
      <c r="C8" s="6" t="s">
        <v>45</v>
      </c>
      <c r="D8" s="8" t="s">
        <v>57</v>
      </c>
      <c r="E8" s="8" t="s">
        <v>58</v>
      </c>
      <c r="F8" s="6" t="s">
        <v>55</v>
      </c>
      <c r="G8" s="6" t="s">
        <v>48</v>
      </c>
      <c r="H8" s="6" t="s">
        <v>49</v>
      </c>
      <c r="I8" s="6" t="s">
        <v>50</v>
      </c>
      <c r="J8" s="9"/>
      <c r="K8" s="9">
        <v>3500000</v>
      </c>
      <c r="L8" s="9">
        <v>5245901.6399999997</v>
      </c>
      <c r="M8" s="9">
        <v>6400000</v>
      </c>
      <c r="N8" s="10">
        <f>IF(AND(ISNUMBER(K8),ISNUMBER(L8),K8&gt;0),L8/K8-1,0.5)</f>
        <v>0.49882903999999995</v>
      </c>
      <c r="O8" s="10">
        <f>IF(AND(ISNUMBER(K8),ISNUMBER(L8),L8&gt;0),1-K8/L8,0.3328)</f>
        <v>0.33281250008339835</v>
      </c>
      <c r="P8" s="10" t="str">
        <f t="shared" si="0"/>
        <v/>
      </c>
      <c r="Q8" s="10"/>
      <c r="R8" s="10"/>
      <c r="S8" s="6" t="s">
        <v>42</v>
      </c>
      <c r="T8" s="8"/>
      <c r="U8" s="11"/>
      <c r="V8" s="12"/>
      <c r="W8" s="13"/>
      <c r="X8" s="13"/>
      <c r="Y8" s="12"/>
      <c r="Z8" s="14" t="str">
        <f t="shared" si="1"/>
        <v/>
      </c>
      <c r="AA8" s="13"/>
      <c r="AB8" s="15"/>
      <c r="AC8" s="6"/>
      <c r="AD8" s="6" t="s">
        <v>51</v>
      </c>
      <c r="AE8" s="8" t="s">
        <v>56</v>
      </c>
    </row>
    <row r="9" spans="1:31" ht="45" x14ac:dyDescent="0.25">
      <c r="A9" s="6">
        <v>5</v>
      </c>
      <c r="B9" s="7">
        <v>46216</v>
      </c>
      <c r="C9" s="6" t="s">
        <v>45</v>
      </c>
      <c r="D9" s="8" t="s">
        <v>59</v>
      </c>
      <c r="E9" s="8" t="s">
        <v>60</v>
      </c>
      <c r="F9" s="6" t="s">
        <v>38</v>
      </c>
      <c r="G9" s="6" t="s">
        <v>39</v>
      </c>
      <c r="H9" s="6" t="s">
        <v>40</v>
      </c>
      <c r="I9" s="6" t="s">
        <v>41</v>
      </c>
      <c r="J9" s="9"/>
      <c r="K9" s="9">
        <v>63242</v>
      </c>
      <c r="L9" s="9">
        <v>94795.08</v>
      </c>
      <c r="M9" s="9">
        <v>115650</v>
      </c>
      <c r="N9" s="10">
        <f>IF(AND(ISNUMBER(K9),ISNUMBER(L9),K9&gt;0),L9/K9-1,0.5)</f>
        <v>0.49892603016982395</v>
      </c>
      <c r="O9" s="10">
        <f>IF(AND(ISNUMBER(K9),ISNUMBER(L9),L9&gt;0),1-K9/L9,0.3329)</f>
        <v>0.33285567141248262</v>
      </c>
      <c r="P9" s="10" t="str">
        <f t="shared" si="0"/>
        <v/>
      </c>
      <c r="Q9" s="10"/>
      <c r="R9" s="10"/>
      <c r="S9" s="6" t="s">
        <v>42</v>
      </c>
      <c r="T9" s="8"/>
      <c r="U9" s="11"/>
      <c r="V9" s="12"/>
      <c r="W9" s="13"/>
      <c r="X9" s="13"/>
      <c r="Y9" s="12"/>
      <c r="Z9" s="14" t="str">
        <f t="shared" si="1"/>
        <v/>
      </c>
      <c r="AA9" s="13"/>
      <c r="AB9" s="15"/>
      <c r="AC9" s="6"/>
      <c r="AD9" s="6" t="s">
        <v>61</v>
      </c>
      <c r="AE9" s="8" t="s">
        <v>62</v>
      </c>
    </row>
    <row r="10" spans="1:31" ht="45" x14ac:dyDescent="0.25">
      <c r="A10" s="6">
        <v>6</v>
      </c>
      <c r="B10" s="7">
        <v>46220</v>
      </c>
      <c r="C10" s="6" t="s">
        <v>63</v>
      </c>
      <c r="D10" s="8" t="s">
        <v>64</v>
      </c>
      <c r="E10" s="8" t="s">
        <v>65</v>
      </c>
      <c r="F10" s="6" t="s">
        <v>38</v>
      </c>
      <c r="G10" s="6" t="s">
        <v>48</v>
      </c>
      <c r="H10" s="6" t="s">
        <v>49</v>
      </c>
      <c r="I10" s="6" t="s">
        <v>50</v>
      </c>
      <c r="J10" s="9"/>
      <c r="K10" s="9">
        <v>3909760</v>
      </c>
      <c r="L10" s="9">
        <v>7504410</v>
      </c>
      <c r="M10" s="9">
        <v>9155380.1999999993</v>
      </c>
      <c r="N10" s="10">
        <f>IF(AND(ISNUMBER(K10),ISNUMBER(L10),K10&gt;0),L10/K10-1,0.9194)</f>
        <v>0.91940426010803722</v>
      </c>
      <c r="O10" s="10">
        <f>IF(AND(ISNUMBER(K10),ISNUMBER(L10),L10&gt;0),1-K10/L10,0.479)</f>
        <v>0.47900501171977539</v>
      </c>
      <c r="P10" s="10" t="str">
        <f t="shared" si="0"/>
        <v/>
      </c>
      <c r="Q10" s="10"/>
      <c r="R10" s="10"/>
      <c r="S10" s="6" t="s">
        <v>42</v>
      </c>
      <c r="T10" s="8"/>
      <c r="U10" s="11"/>
      <c r="V10" s="12"/>
      <c r="W10" s="13"/>
      <c r="X10" s="13"/>
      <c r="Y10" s="12"/>
      <c r="Z10" s="14" t="str">
        <f t="shared" si="1"/>
        <v/>
      </c>
      <c r="AA10" s="13"/>
      <c r="AB10" s="15"/>
      <c r="AC10" s="6"/>
      <c r="AD10" s="6" t="s">
        <v>66</v>
      </c>
      <c r="AE10" s="8" t="s">
        <v>67</v>
      </c>
    </row>
    <row r="11" spans="1:31" ht="30" x14ac:dyDescent="0.25">
      <c r="A11" s="6">
        <v>7</v>
      </c>
      <c r="B11" s="7">
        <v>46223</v>
      </c>
      <c r="C11" s="6" t="s">
        <v>68</v>
      </c>
      <c r="D11" s="8" t="s">
        <v>69</v>
      </c>
      <c r="E11" s="8" t="s">
        <v>70</v>
      </c>
      <c r="F11" s="6" t="s">
        <v>38</v>
      </c>
      <c r="G11" s="6" t="s">
        <v>71</v>
      </c>
      <c r="H11" s="6" t="s">
        <v>72</v>
      </c>
      <c r="I11" s="6" t="s">
        <v>50</v>
      </c>
      <c r="J11" s="9"/>
      <c r="K11" s="9">
        <v>6966150</v>
      </c>
      <c r="L11" s="9">
        <v>10125740</v>
      </c>
      <c r="M11" s="9"/>
      <c r="N11" s="10">
        <f>IF(AND(ISNUMBER(K11),ISNUMBER(L11),K11&gt;0),L11/K11-1,0.4536)</f>
        <v>0.45356330254157595</v>
      </c>
      <c r="O11" s="10">
        <f>IF(AND(ISNUMBER(K11),ISNUMBER(L11),L11&gt;0),1-K11/L11,0.312)</f>
        <v>0.31203546604988874</v>
      </c>
      <c r="P11" s="10" t="str">
        <f t="shared" si="0"/>
        <v/>
      </c>
      <c r="Q11" s="10">
        <v>0.2</v>
      </c>
      <c r="R11" s="10">
        <v>1</v>
      </c>
      <c r="S11" s="6" t="s">
        <v>42</v>
      </c>
      <c r="T11" s="8"/>
      <c r="U11" s="11"/>
      <c r="V11" s="12"/>
      <c r="W11" s="13"/>
      <c r="X11" s="13"/>
      <c r="Y11" s="12"/>
      <c r="Z11" s="14" t="str">
        <f t="shared" si="1"/>
        <v/>
      </c>
      <c r="AA11" s="13"/>
      <c r="AB11" s="15"/>
      <c r="AC11" s="6" t="s">
        <v>73</v>
      </c>
      <c r="AD11" s="6" t="s">
        <v>74</v>
      </c>
      <c r="AE11" s="8" t="s">
        <v>75</v>
      </c>
    </row>
    <row r="12" spans="1:31" ht="60" x14ac:dyDescent="0.25">
      <c r="A12" s="6">
        <v>8</v>
      </c>
      <c r="B12" s="7">
        <v>46225</v>
      </c>
      <c r="C12" s="6" t="s">
        <v>76</v>
      </c>
      <c r="D12" s="8" t="s">
        <v>77</v>
      </c>
      <c r="E12" s="8" t="s">
        <v>78</v>
      </c>
      <c r="F12" s="6" t="s">
        <v>79</v>
      </c>
      <c r="G12" s="6" t="s">
        <v>39</v>
      </c>
      <c r="H12" s="6" t="s">
        <v>40</v>
      </c>
      <c r="I12" s="6" t="s">
        <v>80</v>
      </c>
      <c r="J12" s="9"/>
      <c r="K12" s="9">
        <v>22965000</v>
      </c>
      <c r="L12" s="9">
        <v>27999000</v>
      </c>
      <c r="M12" s="9"/>
      <c r="N12" s="10">
        <f>IF(AND(ISNUMBER(K12),ISNUMBER(L12),K12&gt;0),L12/K12-1,0.2192)</f>
        <v>0.21920313520574797</v>
      </c>
      <c r="O12" s="10">
        <f>IF(AND(ISNUMBER(K12),ISNUMBER(L12),L12&gt;0),1-K12/L12,0.1798)</f>
        <v>0.17979213543340833</v>
      </c>
      <c r="P12" s="10" t="str">
        <f t="shared" si="0"/>
        <v/>
      </c>
      <c r="Q12" s="10"/>
      <c r="R12" s="10"/>
      <c r="S12" s="6" t="s">
        <v>42</v>
      </c>
      <c r="T12" s="8"/>
      <c r="U12" s="11"/>
      <c r="V12" s="12"/>
      <c r="W12" s="13"/>
      <c r="X12" s="13"/>
      <c r="Y12" s="12"/>
      <c r="Z12" s="14" t="str">
        <f t="shared" si="1"/>
        <v/>
      </c>
      <c r="AA12" s="13"/>
      <c r="AB12" s="15"/>
      <c r="AC12" s="6" t="s">
        <v>81</v>
      </c>
      <c r="AD12" s="6" t="s">
        <v>82</v>
      </c>
      <c r="AE12" s="8" t="s">
        <v>83</v>
      </c>
    </row>
    <row r="13" spans="1:31" ht="45" x14ac:dyDescent="0.25">
      <c r="A13" s="6">
        <v>9</v>
      </c>
      <c r="B13" s="7">
        <v>46225</v>
      </c>
      <c r="C13" s="6" t="s">
        <v>76</v>
      </c>
      <c r="D13" s="8" t="s">
        <v>84</v>
      </c>
      <c r="E13" s="8" t="s">
        <v>85</v>
      </c>
      <c r="F13" s="6" t="s">
        <v>86</v>
      </c>
      <c r="G13" s="6" t="s">
        <v>39</v>
      </c>
      <c r="H13" s="6" t="s">
        <v>40</v>
      </c>
      <c r="I13" s="6" t="s">
        <v>80</v>
      </c>
      <c r="J13" s="9"/>
      <c r="K13" s="9">
        <v>11765000</v>
      </c>
      <c r="L13" s="9">
        <v>13673000</v>
      </c>
      <c r="M13" s="9"/>
      <c r="N13" s="10">
        <f>IF(AND(ISNUMBER(K13),ISNUMBER(L13),K13&gt;0),L13/K13-1,0.1622)</f>
        <v>0.16217594560136006</v>
      </c>
      <c r="O13" s="10">
        <f>IF(AND(ISNUMBER(K13),ISNUMBER(L13),L13&gt;0),1-K13/L13,0.1395)</f>
        <v>0.13954508886125938</v>
      </c>
      <c r="P13" s="10" t="str">
        <f t="shared" si="0"/>
        <v/>
      </c>
      <c r="Q13" s="10"/>
      <c r="R13" s="10"/>
      <c r="S13" s="6" t="s">
        <v>42</v>
      </c>
      <c r="T13" s="8"/>
      <c r="U13" s="11"/>
      <c r="V13" s="12"/>
      <c r="W13" s="13"/>
      <c r="X13" s="13"/>
      <c r="Y13" s="12"/>
      <c r="Z13" s="14" t="str">
        <f t="shared" si="1"/>
        <v/>
      </c>
      <c r="AA13" s="13"/>
      <c r="AB13" s="15"/>
      <c r="AC13" s="6" t="s">
        <v>87</v>
      </c>
      <c r="AD13" s="6" t="s">
        <v>82</v>
      </c>
      <c r="AE13" s="8" t="s">
        <v>88</v>
      </c>
    </row>
    <row r="14" spans="1:31" ht="45" x14ac:dyDescent="0.25">
      <c r="A14" s="6">
        <v>10</v>
      </c>
      <c r="B14" s="7">
        <v>46226</v>
      </c>
      <c r="C14" s="6" t="s">
        <v>89</v>
      </c>
      <c r="D14" s="8" t="s">
        <v>90</v>
      </c>
      <c r="E14" s="8" t="s">
        <v>91</v>
      </c>
      <c r="F14" s="6" t="s">
        <v>92</v>
      </c>
      <c r="G14" s="6" t="s">
        <v>39</v>
      </c>
      <c r="H14" s="6" t="s">
        <v>40</v>
      </c>
      <c r="I14" s="6" t="s">
        <v>41</v>
      </c>
      <c r="J14" s="9">
        <v>2600000</v>
      </c>
      <c r="K14" s="9">
        <v>2111750</v>
      </c>
      <c r="L14" s="9">
        <v>2600000</v>
      </c>
      <c r="M14" s="9"/>
      <c r="N14" s="10">
        <f>IF(AND(ISNUMBER(K14),ISNUMBER(L14),K14&gt;0),L14/K14-1,0.231)</f>
        <v>0.23120634544808816</v>
      </c>
      <c r="O14" s="10">
        <f>IF(AND(ISNUMBER(K14),ISNUMBER(L14),L14&gt;0),1-K14/L14,0.188)</f>
        <v>0.18778846153846152</v>
      </c>
      <c r="P14" s="10">
        <f t="shared" si="0"/>
        <v>0</v>
      </c>
      <c r="Q14" s="10"/>
      <c r="R14" s="10"/>
      <c r="S14" s="6" t="s">
        <v>42</v>
      </c>
      <c r="T14" s="8"/>
      <c r="U14" s="11"/>
      <c r="V14" s="12"/>
      <c r="W14" s="13"/>
      <c r="X14" s="13"/>
      <c r="Y14" s="12"/>
      <c r="Z14" s="14" t="str">
        <f t="shared" si="1"/>
        <v/>
      </c>
      <c r="AA14" s="13"/>
      <c r="AB14" s="15"/>
      <c r="AC14" s="6" t="s">
        <v>90</v>
      </c>
      <c r="AD14" s="6" t="s">
        <v>93</v>
      </c>
      <c r="AE14" s="8" t="s">
        <v>94</v>
      </c>
    </row>
    <row r="15" spans="1:31" ht="60" x14ac:dyDescent="0.25">
      <c r="A15" s="6">
        <v>11</v>
      </c>
      <c r="B15" s="7">
        <v>46226</v>
      </c>
      <c r="C15" s="6" t="s">
        <v>95</v>
      </c>
      <c r="D15" s="8" t="s">
        <v>96</v>
      </c>
      <c r="E15" s="8" t="s">
        <v>97</v>
      </c>
      <c r="F15" s="6" t="s">
        <v>98</v>
      </c>
      <c r="G15" s="6" t="s">
        <v>39</v>
      </c>
      <c r="H15" s="6" t="s">
        <v>40</v>
      </c>
      <c r="I15" s="6" t="s">
        <v>41</v>
      </c>
      <c r="J15" s="9"/>
      <c r="K15" s="9"/>
      <c r="L15" s="9">
        <v>1300000</v>
      </c>
      <c r="M15" s="9"/>
      <c r="N15" s="10" t="str">
        <f t="shared" ref="N15:N23" si="2">IF(AND(ISNUMBER(K15),ISNUMBER(L15),K15&gt;0),L15/K15-1,"")</f>
        <v/>
      </c>
      <c r="O15" s="10" t="str">
        <f t="shared" ref="O15:O23" si="3">IF(AND(ISNUMBER(K15),ISNUMBER(L15),L15&gt;0),1-K15/L15,"")</f>
        <v/>
      </c>
      <c r="P15" s="10" t="str">
        <f t="shared" si="0"/>
        <v/>
      </c>
      <c r="Q15" s="10"/>
      <c r="R15" s="10"/>
      <c r="S15" s="6" t="s">
        <v>99</v>
      </c>
      <c r="T15" s="8"/>
      <c r="U15" s="11"/>
      <c r="V15" s="12">
        <v>1300000</v>
      </c>
      <c r="W15" s="13" t="s">
        <v>100</v>
      </c>
      <c r="X15" s="13"/>
      <c r="Y15" s="12"/>
      <c r="Z15" s="14" t="str">
        <f t="shared" si="1"/>
        <v/>
      </c>
      <c r="AA15" s="13"/>
      <c r="AB15" s="15" t="s">
        <v>101</v>
      </c>
      <c r="AC15" s="6" t="s">
        <v>102</v>
      </c>
      <c r="AD15" s="6" t="s">
        <v>103</v>
      </c>
      <c r="AE15" s="8" t="s">
        <v>104</v>
      </c>
    </row>
    <row r="16" spans="1:31" ht="60" x14ac:dyDescent="0.25">
      <c r="A16" s="6">
        <v>12</v>
      </c>
      <c r="B16" s="7">
        <v>46226</v>
      </c>
      <c r="C16" s="6" t="s">
        <v>95</v>
      </c>
      <c r="D16" s="8" t="s">
        <v>105</v>
      </c>
      <c r="E16" s="8" t="s">
        <v>97</v>
      </c>
      <c r="F16" s="6" t="s">
        <v>106</v>
      </c>
      <c r="G16" s="6" t="s">
        <v>39</v>
      </c>
      <c r="H16" s="6" t="s">
        <v>40</v>
      </c>
      <c r="I16" s="6" t="s">
        <v>41</v>
      </c>
      <c r="J16" s="9"/>
      <c r="K16" s="9"/>
      <c r="L16" s="9">
        <v>1200000</v>
      </c>
      <c r="M16" s="9"/>
      <c r="N16" s="10" t="str">
        <f t="shared" si="2"/>
        <v/>
      </c>
      <c r="O16" s="10" t="str">
        <f t="shared" si="3"/>
        <v/>
      </c>
      <c r="P16" s="10" t="str">
        <f t="shared" si="0"/>
        <v/>
      </c>
      <c r="Q16" s="10"/>
      <c r="R16" s="10"/>
      <c r="S16" s="6" t="s">
        <v>99</v>
      </c>
      <c r="T16" s="8"/>
      <c r="U16" s="11"/>
      <c r="V16" s="12">
        <v>1200000</v>
      </c>
      <c r="W16" s="13" t="s">
        <v>100</v>
      </c>
      <c r="X16" s="13"/>
      <c r="Y16" s="12"/>
      <c r="Z16" s="14" t="str">
        <f t="shared" si="1"/>
        <v/>
      </c>
      <c r="AA16" s="13"/>
      <c r="AB16" s="15" t="s">
        <v>101</v>
      </c>
      <c r="AC16" s="6" t="s">
        <v>102</v>
      </c>
      <c r="AD16" s="6" t="s">
        <v>103</v>
      </c>
      <c r="AE16" s="8" t="s">
        <v>104</v>
      </c>
    </row>
    <row r="17" spans="1:31" ht="60" x14ac:dyDescent="0.25">
      <c r="A17" s="6">
        <v>13</v>
      </c>
      <c r="B17" s="7">
        <v>46226</v>
      </c>
      <c r="C17" s="6" t="s">
        <v>95</v>
      </c>
      <c r="D17" s="8" t="s">
        <v>107</v>
      </c>
      <c r="E17" s="8" t="s">
        <v>97</v>
      </c>
      <c r="F17" s="6" t="s">
        <v>108</v>
      </c>
      <c r="G17" s="6" t="s">
        <v>39</v>
      </c>
      <c r="H17" s="6" t="s">
        <v>40</v>
      </c>
      <c r="I17" s="6" t="s">
        <v>41</v>
      </c>
      <c r="J17" s="9"/>
      <c r="K17" s="9"/>
      <c r="L17" s="9">
        <v>1200000</v>
      </c>
      <c r="M17" s="9"/>
      <c r="N17" s="10" t="str">
        <f t="shared" si="2"/>
        <v/>
      </c>
      <c r="O17" s="10" t="str">
        <f t="shared" si="3"/>
        <v/>
      </c>
      <c r="P17" s="10" t="str">
        <f t="shared" si="0"/>
        <v/>
      </c>
      <c r="Q17" s="10"/>
      <c r="R17" s="10"/>
      <c r="S17" s="6" t="s">
        <v>99</v>
      </c>
      <c r="T17" s="8"/>
      <c r="U17" s="11"/>
      <c r="V17" s="12">
        <v>1200000</v>
      </c>
      <c r="W17" s="13" t="s">
        <v>100</v>
      </c>
      <c r="X17" s="13"/>
      <c r="Y17" s="12"/>
      <c r="Z17" s="14" t="str">
        <f t="shared" si="1"/>
        <v/>
      </c>
      <c r="AA17" s="13"/>
      <c r="AB17" s="15" t="s">
        <v>101</v>
      </c>
      <c r="AC17" s="6" t="s">
        <v>102</v>
      </c>
      <c r="AD17" s="6" t="s">
        <v>103</v>
      </c>
      <c r="AE17" s="8" t="s">
        <v>104</v>
      </c>
    </row>
    <row r="18" spans="1:31" ht="60" x14ac:dyDescent="0.25">
      <c r="A18" s="6">
        <v>14</v>
      </c>
      <c r="B18" s="7">
        <v>46226</v>
      </c>
      <c r="C18" s="6" t="s">
        <v>95</v>
      </c>
      <c r="D18" s="8" t="s">
        <v>109</v>
      </c>
      <c r="E18" s="8" t="s">
        <v>97</v>
      </c>
      <c r="F18" s="6" t="s">
        <v>92</v>
      </c>
      <c r="G18" s="6" t="s">
        <v>39</v>
      </c>
      <c r="H18" s="6" t="s">
        <v>40</v>
      </c>
      <c r="I18" s="6" t="s">
        <v>41</v>
      </c>
      <c r="J18" s="9"/>
      <c r="K18" s="9"/>
      <c r="L18" s="9">
        <v>2600000</v>
      </c>
      <c r="M18" s="9"/>
      <c r="N18" s="10" t="str">
        <f t="shared" si="2"/>
        <v/>
      </c>
      <c r="O18" s="10" t="str">
        <f t="shared" si="3"/>
        <v/>
      </c>
      <c r="P18" s="10" t="str">
        <f t="shared" si="0"/>
        <v/>
      </c>
      <c r="Q18" s="10"/>
      <c r="R18" s="10"/>
      <c r="S18" s="6" t="s">
        <v>99</v>
      </c>
      <c r="T18" s="8"/>
      <c r="U18" s="11"/>
      <c r="V18" s="12">
        <v>2600000</v>
      </c>
      <c r="W18" s="13" t="s">
        <v>100</v>
      </c>
      <c r="X18" s="13"/>
      <c r="Y18" s="12"/>
      <c r="Z18" s="14" t="str">
        <f t="shared" si="1"/>
        <v/>
      </c>
      <c r="AA18" s="13"/>
      <c r="AB18" s="15" t="s">
        <v>101</v>
      </c>
      <c r="AC18" s="6" t="s">
        <v>102</v>
      </c>
      <c r="AD18" s="6" t="s">
        <v>103</v>
      </c>
      <c r="AE18" s="8" t="s">
        <v>104</v>
      </c>
    </row>
    <row r="19" spans="1:31" ht="60" x14ac:dyDescent="0.25">
      <c r="A19" s="6">
        <v>15</v>
      </c>
      <c r="B19" s="7">
        <v>46226</v>
      </c>
      <c r="C19" s="6" t="s">
        <v>95</v>
      </c>
      <c r="D19" s="8" t="s">
        <v>110</v>
      </c>
      <c r="E19" s="8" t="s">
        <v>97</v>
      </c>
      <c r="F19" s="6"/>
      <c r="G19" s="6" t="s">
        <v>39</v>
      </c>
      <c r="H19" s="6" t="s">
        <v>40</v>
      </c>
      <c r="I19" s="6" t="s">
        <v>41</v>
      </c>
      <c r="J19" s="9"/>
      <c r="K19" s="9"/>
      <c r="L19" s="9">
        <v>1550000</v>
      </c>
      <c r="M19" s="9"/>
      <c r="N19" s="10" t="str">
        <f t="shared" si="2"/>
        <v/>
      </c>
      <c r="O19" s="10" t="str">
        <f t="shared" si="3"/>
        <v/>
      </c>
      <c r="P19" s="10" t="str">
        <f t="shared" si="0"/>
        <v/>
      </c>
      <c r="Q19" s="10"/>
      <c r="R19" s="10"/>
      <c r="S19" s="6" t="s">
        <v>99</v>
      </c>
      <c r="T19" s="8"/>
      <c r="U19" s="11"/>
      <c r="V19" s="12">
        <v>1550000</v>
      </c>
      <c r="W19" s="13" t="s">
        <v>100</v>
      </c>
      <c r="X19" s="13"/>
      <c r="Y19" s="12"/>
      <c r="Z19" s="14" t="str">
        <f t="shared" si="1"/>
        <v/>
      </c>
      <c r="AA19" s="13"/>
      <c r="AB19" s="15" t="s">
        <v>101</v>
      </c>
      <c r="AC19" s="6" t="s">
        <v>102</v>
      </c>
      <c r="AD19" s="6" t="s">
        <v>103</v>
      </c>
      <c r="AE19" s="8" t="s">
        <v>104</v>
      </c>
    </row>
    <row r="20" spans="1:31" ht="60" x14ac:dyDescent="0.25">
      <c r="A20" s="6">
        <v>16</v>
      </c>
      <c r="B20" s="7">
        <v>46226</v>
      </c>
      <c r="C20" s="6" t="s">
        <v>95</v>
      </c>
      <c r="D20" s="8" t="s">
        <v>111</v>
      </c>
      <c r="E20" s="8" t="s">
        <v>97</v>
      </c>
      <c r="F20" s="6"/>
      <c r="G20" s="6" t="s">
        <v>39</v>
      </c>
      <c r="H20" s="6" t="s">
        <v>40</v>
      </c>
      <c r="I20" s="6" t="s">
        <v>41</v>
      </c>
      <c r="J20" s="9"/>
      <c r="K20" s="9"/>
      <c r="L20" s="9">
        <v>1050000</v>
      </c>
      <c r="M20" s="9"/>
      <c r="N20" s="10" t="str">
        <f t="shared" si="2"/>
        <v/>
      </c>
      <c r="O20" s="10" t="str">
        <f t="shared" si="3"/>
        <v/>
      </c>
      <c r="P20" s="10" t="str">
        <f t="shared" si="0"/>
        <v/>
      </c>
      <c r="Q20" s="10"/>
      <c r="R20" s="10"/>
      <c r="S20" s="6" t="s">
        <v>99</v>
      </c>
      <c r="T20" s="8"/>
      <c r="U20" s="11"/>
      <c r="V20" s="12">
        <v>1050000</v>
      </c>
      <c r="W20" s="13" t="s">
        <v>100</v>
      </c>
      <c r="X20" s="13"/>
      <c r="Y20" s="12"/>
      <c r="Z20" s="14" t="str">
        <f t="shared" si="1"/>
        <v/>
      </c>
      <c r="AA20" s="13"/>
      <c r="AB20" s="15" t="s">
        <v>101</v>
      </c>
      <c r="AC20" s="6" t="s">
        <v>102</v>
      </c>
      <c r="AD20" s="6" t="s">
        <v>103</v>
      </c>
      <c r="AE20" s="8" t="s">
        <v>104</v>
      </c>
    </row>
    <row r="21" spans="1:31" ht="60" x14ac:dyDescent="0.25">
      <c r="A21" s="6">
        <v>17</v>
      </c>
      <c r="B21" s="7">
        <v>46226</v>
      </c>
      <c r="C21" s="6" t="s">
        <v>95</v>
      </c>
      <c r="D21" s="8" t="s">
        <v>112</v>
      </c>
      <c r="E21" s="8" t="s">
        <v>97</v>
      </c>
      <c r="F21" s="6"/>
      <c r="G21" s="6" t="s">
        <v>39</v>
      </c>
      <c r="H21" s="6" t="s">
        <v>40</v>
      </c>
      <c r="I21" s="6" t="s">
        <v>41</v>
      </c>
      <c r="J21" s="9"/>
      <c r="K21" s="9"/>
      <c r="L21" s="9">
        <v>1235000</v>
      </c>
      <c r="M21" s="9"/>
      <c r="N21" s="10" t="str">
        <f t="shared" si="2"/>
        <v/>
      </c>
      <c r="O21" s="10" t="str">
        <f t="shared" si="3"/>
        <v/>
      </c>
      <c r="P21" s="10" t="str">
        <f t="shared" si="0"/>
        <v/>
      </c>
      <c r="Q21" s="10"/>
      <c r="R21" s="10"/>
      <c r="S21" s="6" t="s">
        <v>99</v>
      </c>
      <c r="T21" s="8"/>
      <c r="U21" s="11"/>
      <c r="V21" s="12">
        <v>1235000</v>
      </c>
      <c r="W21" s="13" t="s">
        <v>100</v>
      </c>
      <c r="X21" s="13"/>
      <c r="Y21" s="12"/>
      <c r="Z21" s="14" t="str">
        <f t="shared" si="1"/>
        <v/>
      </c>
      <c r="AA21" s="13"/>
      <c r="AB21" s="15" t="s">
        <v>101</v>
      </c>
      <c r="AC21" s="6" t="s">
        <v>102</v>
      </c>
      <c r="AD21" s="6" t="s">
        <v>103</v>
      </c>
      <c r="AE21" s="8" t="s">
        <v>104</v>
      </c>
    </row>
    <row r="22" spans="1:31" ht="60" x14ac:dyDescent="0.25">
      <c r="A22" s="6">
        <v>18</v>
      </c>
      <c r="B22" s="7">
        <v>46226</v>
      </c>
      <c r="C22" s="6" t="s">
        <v>95</v>
      </c>
      <c r="D22" s="8" t="s">
        <v>113</v>
      </c>
      <c r="E22" s="8" t="s">
        <v>97</v>
      </c>
      <c r="F22" s="6" t="s">
        <v>55</v>
      </c>
      <c r="G22" s="6" t="s">
        <v>39</v>
      </c>
      <c r="H22" s="6" t="s">
        <v>40</v>
      </c>
      <c r="I22" s="6" t="s">
        <v>41</v>
      </c>
      <c r="J22" s="9"/>
      <c r="K22" s="9"/>
      <c r="L22" s="9">
        <v>1100000</v>
      </c>
      <c r="M22" s="9"/>
      <c r="N22" s="10" t="str">
        <f t="shared" si="2"/>
        <v/>
      </c>
      <c r="O22" s="10" t="str">
        <f t="shared" si="3"/>
        <v/>
      </c>
      <c r="P22" s="10" t="str">
        <f t="shared" si="0"/>
        <v/>
      </c>
      <c r="Q22" s="10"/>
      <c r="R22" s="10"/>
      <c r="S22" s="6" t="s">
        <v>114</v>
      </c>
      <c r="T22" s="8" t="s">
        <v>115</v>
      </c>
      <c r="U22" s="11"/>
      <c r="V22" s="12">
        <v>1100000</v>
      </c>
      <c r="W22" s="13" t="s">
        <v>100</v>
      </c>
      <c r="X22" s="13"/>
      <c r="Y22" s="12"/>
      <c r="Z22" s="14" t="str">
        <f t="shared" si="1"/>
        <v/>
      </c>
      <c r="AA22" s="13"/>
      <c r="AB22" s="15" t="s">
        <v>101</v>
      </c>
      <c r="AC22" s="6" t="s">
        <v>102</v>
      </c>
      <c r="AD22" s="6" t="s">
        <v>103</v>
      </c>
      <c r="AE22" s="8" t="s">
        <v>104</v>
      </c>
    </row>
    <row r="23" spans="1:31" ht="60" x14ac:dyDescent="0.25">
      <c r="A23" s="6">
        <v>19</v>
      </c>
      <c r="B23" s="7">
        <v>46226</v>
      </c>
      <c r="C23" s="6" t="s">
        <v>95</v>
      </c>
      <c r="D23" s="8" t="s">
        <v>116</v>
      </c>
      <c r="E23" s="8" t="s">
        <v>97</v>
      </c>
      <c r="F23" s="6" t="s">
        <v>117</v>
      </c>
      <c r="G23" s="6" t="s">
        <v>39</v>
      </c>
      <c r="H23" s="6" t="s">
        <v>40</v>
      </c>
      <c r="I23" s="6" t="s">
        <v>41</v>
      </c>
      <c r="J23" s="9"/>
      <c r="K23" s="9"/>
      <c r="L23" s="9">
        <v>1140000</v>
      </c>
      <c r="M23" s="9"/>
      <c r="N23" s="10" t="str">
        <f t="shared" si="2"/>
        <v/>
      </c>
      <c r="O23" s="10" t="str">
        <f t="shared" si="3"/>
        <v/>
      </c>
      <c r="P23" s="10" t="str">
        <f t="shared" si="0"/>
        <v/>
      </c>
      <c r="Q23" s="10"/>
      <c r="R23" s="10"/>
      <c r="S23" s="6" t="s">
        <v>114</v>
      </c>
      <c r="T23" s="8" t="s">
        <v>118</v>
      </c>
      <c r="U23" s="11"/>
      <c r="V23" s="12">
        <v>1140000</v>
      </c>
      <c r="W23" s="13" t="s">
        <v>100</v>
      </c>
      <c r="X23" s="13"/>
      <c r="Y23" s="12"/>
      <c r="Z23" s="14" t="str">
        <f t="shared" si="1"/>
        <v/>
      </c>
      <c r="AA23" s="13"/>
      <c r="AB23" s="15" t="s">
        <v>101</v>
      </c>
      <c r="AC23" s="6" t="s">
        <v>102</v>
      </c>
      <c r="AD23" s="6" t="s">
        <v>103</v>
      </c>
      <c r="AE23" s="8" t="s">
        <v>104</v>
      </c>
    </row>
    <row r="24" spans="1:31" ht="45" x14ac:dyDescent="0.25">
      <c r="A24" s="6">
        <v>20</v>
      </c>
      <c r="B24" s="7">
        <v>46227</v>
      </c>
      <c r="C24" s="6" t="s">
        <v>119</v>
      </c>
      <c r="D24" s="8" t="s">
        <v>120</v>
      </c>
      <c r="E24" s="8" t="s">
        <v>121</v>
      </c>
      <c r="F24" s="6" t="s">
        <v>38</v>
      </c>
      <c r="G24" s="6" t="s">
        <v>39</v>
      </c>
      <c r="H24" s="6" t="s">
        <v>40</v>
      </c>
      <c r="I24" s="6" t="s">
        <v>41</v>
      </c>
      <c r="J24" s="9"/>
      <c r="K24" s="9">
        <v>1876875</v>
      </c>
      <c r="L24" s="9">
        <v>2436000</v>
      </c>
      <c r="M24" s="9"/>
      <c r="N24" s="10">
        <f>IF(AND(ISNUMBER(K24),ISNUMBER(L24),K24&gt;0),L24/K24-1,0.2979)</f>
        <v>0.29790209790209787</v>
      </c>
      <c r="O24" s="10">
        <f>IF(AND(ISNUMBER(K24),ISNUMBER(L24),L24&gt;0),1-K24/L24,0.2295)</f>
        <v>0.22952586206896552</v>
      </c>
      <c r="P24" s="10" t="str">
        <f t="shared" si="0"/>
        <v/>
      </c>
      <c r="Q24" s="10"/>
      <c r="R24" s="10"/>
      <c r="S24" s="6" t="s">
        <v>42</v>
      </c>
      <c r="T24" s="8"/>
      <c r="U24" s="11"/>
      <c r="V24" s="12"/>
      <c r="W24" s="13"/>
      <c r="X24" s="13"/>
      <c r="Y24" s="12"/>
      <c r="Z24" s="14" t="str">
        <f t="shared" si="1"/>
        <v/>
      </c>
      <c r="AA24" s="13"/>
      <c r="AB24" s="15"/>
      <c r="AC24" s="6" t="s">
        <v>122</v>
      </c>
      <c r="AD24" s="6" t="s">
        <v>123</v>
      </c>
      <c r="AE24" s="8" t="s">
        <v>124</v>
      </c>
    </row>
    <row r="25" spans="1:31" ht="45" x14ac:dyDescent="0.25">
      <c r="A25" s="6">
        <v>21</v>
      </c>
      <c r="B25" s="7">
        <v>46227</v>
      </c>
      <c r="C25" s="6" t="s">
        <v>125</v>
      </c>
      <c r="D25" s="8" t="s">
        <v>126</v>
      </c>
      <c r="E25" s="8" t="s">
        <v>127</v>
      </c>
      <c r="F25" s="6" t="s">
        <v>55</v>
      </c>
      <c r="G25" s="6" t="s">
        <v>48</v>
      </c>
      <c r="H25" s="6" t="s">
        <v>49</v>
      </c>
      <c r="I25" s="6" t="s">
        <v>50</v>
      </c>
      <c r="J25" s="9"/>
      <c r="K25" s="9">
        <v>13010000</v>
      </c>
      <c r="L25" s="9">
        <v>19524000</v>
      </c>
      <c r="M25" s="9"/>
      <c r="N25" s="10">
        <f>IF(AND(ISNUMBER(K25),ISNUMBER(L25),K25&gt;0),L25/K25-1,0.5)</f>
        <v>0.50069177555726374</v>
      </c>
      <c r="O25" s="10">
        <f>IF(AND(ISNUMBER(K25),ISNUMBER(L25),L25&gt;0),1-K25/L25,0.3336)</f>
        <v>0.333640647408318</v>
      </c>
      <c r="P25" s="10" t="str">
        <f t="shared" si="0"/>
        <v/>
      </c>
      <c r="Q25" s="10"/>
      <c r="R25" s="10"/>
      <c r="S25" s="6" t="s">
        <v>42</v>
      </c>
      <c r="T25" s="8"/>
      <c r="U25" s="11"/>
      <c r="V25" s="12"/>
      <c r="W25" s="13"/>
      <c r="X25" s="13"/>
      <c r="Y25" s="12"/>
      <c r="Z25" s="14" t="str">
        <f t="shared" si="1"/>
        <v/>
      </c>
      <c r="AA25" s="13"/>
      <c r="AB25" s="15"/>
      <c r="AC25" s="6" t="s">
        <v>128</v>
      </c>
      <c r="AD25" s="6" t="s">
        <v>129</v>
      </c>
      <c r="AE25" s="8" t="s">
        <v>130</v>
      </c>
    </row>
    <row r="26" spans="1:31" ht="45" x14ac:dyDescent="0.25">
      <c r="A26" s="6">
        <v>22</v>
      </c>
      <c r="B26" s="7">
        <v>46230</v>
      </c>
      <c r="C26" s="6" t="s">
        <v>131</v>
      </c>
      <c r="D26" s="8" t="s">
        <v>132</v>
      </c>
      <c r="E26" s="8" t="s">
        <v>133</v>
      </c>
      <c r="F26" s="6" t="s">
        <v>38</v>
      </c>
      <c r="G26" s="6" t="s">
        <v>39</v>
      </c>
      <c r="H26" s="6" t="s">
        <v>40</v>
      </c>
      <c r="I26" s="6" t="s">
        <v>80</v>
      </c>
      <c r="J26" s="9"/>
      <c r="K26" s="9">
        <v>8520600</v>
      </c>
      <c r="L26" s="9">
        <v>11159000</v>
      </c>
      <c r="M26" s="9"/>
      <c r="N26" s="10">
        <f>IF(AND(ISNUMBER(K26),ISNUMBER(L26),K26&gt;0),L26/K26-1,0.3096)</f>
        <v>0.30964955519564352</v>
      </c>
      <c r="O26" s="10">
        <f>IF(AND(ISNUMBER(K26),ISNUMBER(L26),L26&gt;0),1-K26/L26,0.2364)</f>
        <v>0.23643695671655163</v>
      </c>
      <c r="P26" s="10" t="str">
        <f t="shared" si="0"/>
        <v/>
      </c>
      <c r="Q26" s="10"/>
      <c r="R26" s="10"/>
      <c r="S26" s="6" t="s">
        <v>42</v>
      </c>
      <c r="T26" s="8"/>
      <c r="U26" s="11"/>
      <c r="V26" s="12"/>
      <c r="W26" s="13"/>
      <c r="X26" s="13"/>
      <c r="Y26" s="12"/>
      <c r="Z26" s="14" t="str">
        <f t="shared" si="1"/>
        <v/>
      </c>
      <c r="AA26" s="13"/>
      <c r="AB26" s="15"/>
      <c r="AC26" s="6" t="s">
        <v>134</v>
      </c>
      <c r="AD26" s="6" t="s">
        <v>135</v>
      </c>
      <c r="AE26" s="8" t="s">
        <v>136</v>
      </c>
    </row>
    <row r="27" spans="1:31" ht="45" x14ac:dyDescent="0.25">
      <c r="A27" s="6">
        <v>23</v>
      </c>
      <c r="B27" s="7">
        <v>46230</v>
      </c>
      <c r="C27" s="6" t="s">
        <v>131</v>
      </c>
      <c r="D27" s="8" t="s">
        <v>137</v>
      </c>
      <c r="E27" s="8" t="s">
        <v>138</v>
      </c>
      <c r="F27" s="6" t="s">
        <v>139</v>
      </c>
      <c r="G27" s="6" t="s">
        <v>39</v>
      </c>
      <c r="H27" s="6" t="s">
        <v>40</v>
      </c>
      <c r="I27" s="6" t="s">
        <v>80</v>
      </c>
      <c r="J27" s="9"/>
      <c r="K27" s="9">
        <v>4167900</v>
      </c>
      <c r="L27" s="9">
        <v>5465500</v>
      </c>
      <c r="M27" s="9"/>
      <c r="N27" s="10">
        <f>IF(AND(ISNUMBER(K27),ISNUMBER(L27),K27&gt;0),L27/K27-1,0.3113)</f>
        <v>0.31133184577365092</v>
      </c>
      <c r="O27" s="10">
        <f>IF(AND(ISNUMBER(K27),ISNUMBER(L27),L27&gt;0),1-K27/L27,0.2374)</f>
        <v>0.23741652181868078</v>
      </c>
      <c r="P27" s="10" t="str">
        <f t="shared" si="0"/>
        <v/>
      </c>
      <c r="Q27" s="10"/>
      <c r="R27" s="10"/>
      <c r="S27" s="6" t="s">
        <v>42</v>
      </c>
      <c r="T27" s="8"/>
      <c r="U27" s="11"/>
      <c r="V27" s="12"/>
      <c r="W27" s="13"/>
      <c r="X27" s="13"/>
      <c r="Y27" s="12"/>
      <c r="Z27" s="14" t="str">
        <f t="shared" si="1"/>
        <v/>
      </c>
      <c r="AA27" s="13"/>
      <c r="AB27" s="15"/>
      <c r="AC27" s="6" t="s">
        <v>134</v>
      </c>
      <c r="AD27" s="6" t="s">
        <v>135</v>
      </c>
      <c r="AE27" s="8" t="s">
        <v>140</v>
      </c>
    </row>
    <row r="28" spans="1:31" ht="45" x14ac:dyDescent="0.25">
      <c r="A28" s="6">
        <v>24</v>
      </c>
      <c r="B28" s="7">
        <v>46230</v>
      </c>
      <c r="C28" s="6" t="s">
        <v>141</v>
      </c>
      <c r="D28" s="8" t="s">
        <v>142</v>
      </c>
      <c r="E28" s="8" t="s">
        <v>143</v>
      </c>
      <c r="F28" s="6" t="s">
        <v>38</v>
      </c>
      <c r="G28" s="6" t="s">
        <v>48</v>
      </c>
      <c r="H28" s="6" t="s">
        <v>72</v>
      </c>
      <c r="I28" s="6" t="s">
        <v>50</v>
      </c>
      <c r="J28" s="9"/>
      <c r="K28" s="9">
        <v>914947</v>
      </c>
      <c r="L28" s="9"/>
      <c r="M28" s="9"/>
      <c r="N28" s="10" t="str">
        <f>IF(AND(ISNUMBER(K28),ISNUMBER(L28),K28&gt;0),L28/K28-1,"")</f>
        <v/>
      </c>
      <c r="O28" s="10" t="str">
        <f>IF(AND(ISNUMBER(K28),ISNUMBER(L28),L28&gt;0),1-K28/L28,"")</f>
        <v/>
      </c>
      <c r="P28" s="10" t="str">
        <f t="shared" si="0"/>
        <v/>
      </c>
      <c r="Q28" s="10"/>
      <c r="R28" s="10"/>
      <c r="S28" s="6" t="s">
        <v>42</v>
      </c>
      <c r="T28" s="8"/>
      <c r="U28" s="11"/>
      <c r="V28" s="12"/>
      <c r="W28" s="13"/>
      <c r="X28" s="13"/>
      <c r="Y28" s="12"/>
      <c r="Z28" s="14" t="str">
        <f t="shared" si="1"/>
        <v/>
      </c>
      <c r="AA28" s="13"/>
      <c r="AB28" s="15"/>
      <c r="AC28" s="6" t="s">
        <v>87</v>
      </c>
      <c r="AD28" s="6" t="s">
        <v>144</v>
      </c>
      <c r="AE28" s="8" t="s">
        <v>145</v>
      </c>
    </row>
    <row r="29" spans="1:31" ht="45" x14ac:dyDescent="0.25">
      <c r="A29" s="6">
        <v>25</v>
      </c>
      <c r="B29" s="7">
        <v>46230</v>
      </c>
      <c r="C29" s="6" t="s">
        <v>146</v>
      </c>
      <c r="D29" s="8" t="s">
        <v>147</v>
      </c>
      <c r="E29" s="8" t="s">
        <v>148</v>
      </c>
      <c r="F29" s="6" t="s">
        <v>117</v>
      </c>
      <c r="G29" s="6" t="s">
        <v>149</v>
      </c>
      <c r="H29" s="6" t="s">
        <v>72</v>
      </c>
      <c r="I29" s="6" t="s">
        <v>50</v>
      </c>
      <c r="J29" s="9"/>
      <c r="K29" s="9">
        <v>7541230</v>
      </c>
      <c r="L29" s="9">
        <v>15081967.210000001</v>
      </c>
      <c r="M29" s="9">
        <v>18400000</v>
      </c>
      <c r="N29" s="10">
        <f>IF(AND(ISNUMBER(K29),ISNUMBER(L29),K29&gt;0),L29/K29-1,1)</f>
        <v>0.99993465389598257</v>
      </c>
      <c r="O29" s="10">
        <f>IF(AND(ISNUMBER(K29),ISNUMBER(L29),L29&gt;0),1-K29/L29,0.5)</f>
        <v>0.49998366294021401</v>
      </c>
      <c r="P29" s="10" t="str">
        <f t="shared" si="0"/>
        <v/>
      </c>
      <c r="Q29" s="10"/>
      <c r="R29" s="10"/>
      <c r="S29" s="6" t="s">
        <v>42</v>
      </c>
      <c r="T29" s="8"/>
      <c r="U29" s="11"/>
      <c r="V29" s="12"/>
      <c r="W29" s="13"/>
      <c r="X29" s="13"/>
      <c r="Y29" s="12"/>
      <c r="Z29" s="14" t="str">
        <f t="shared" si="1"/>
        <v/>
      </c>
      <c r="AA29" s="13"/>
      <c r="AB29" s="15"/>
      <c r="AC29" s="6" t="s">
        <v>87</v>
      </c>
      <c r="AD29" s="6" t="s">
        <v>150</v>
      </c>
      <c r="AE29" s="8" t="s">
        <v>151</v>
      </c>
    </row>
    <row r="30" spans="1:31" ht="45" x14ac:dyDescent="0.25">
      <c r="A30" s="6">
        <v>26</v>
      </c>
      <c r="B30" s="7">
        <v>46231</v>
      </c>
      <c r="C30" s="6" t="s">
        <v>152</v>
      </c>
      <c r="D30" s="8" t="s">
        <v>153</v>
      </c>
      <c r="E30" s="8" t="s">
        <v>154</v>
      </c>
      <c r="F30" s="6" t="s">
        <v>38</v>
      </c>
      <c r="G30" s="6" t="s">
        <v>71</v>
      </c>
      <c r="H30" s="6" t="s">
        <v>72</v>
      </c>
      <c r="I30" s="6" t="s">
        <v>50</v>
      </c>
      <c r="J30" s="9"/>
      <c r="K30" s="9">
        <v>4376359</v>
      </c>
      <c r="L30" s="9">
        <v>5224768.03</v>
      </c>
      <c r="M30" s="9">
        <v>6374217</v>
      </c>
      <c r="N30" s="10">
        <f>IF(AND(ISNUMBER(K30),ISNUMBER(L30),K30&gt;0),L30/K30-1,"")</f>
        <v>0.19386184497204195</v>
      </c>
      <c r="O30" s="10">
        <f>IF(AND(ISNUMBER(K30),ISNUMBER(L30),L30&gt;0),1-K30/L30,"")</f>
        <v>0.16238214311688781</v>
      </c>
      <c r="P30" s="10" t="str">
        <f t="shared" si="0"/>
        <v/>
      </c>
      <c r="Q30" s="10">
        <v>0.2</v>
      </c>
      <c r="R30" s="10">
        <v>0.7</v>
      </c>
      <c r="S30" s="6" t="s">
        <v>42</v>
      </c>
      <c r="T30" s="8"/>
      <c r="U30" s="11"/>
      <c r="V30" s="12"/>
      <c r="W30" s="13"/>
      <c r="X30" s="13"/>
      <c r="Y30" s="12"/>
      <c r="Z30" s="14" t="str">
        <f t="shared" si="1"/>
        <v/>
      </c>
      <c r="AA30" s="13"/>
      <c r="AB30" s="15"/>
      <c r="AC30" s="6" t="s">
        <v>155</v>
      </c>
      <c r="AD30" s="6" t="s">
        <v>156</v>
      </c>
      <c r="AE30" s="8" t="s">
        <v>157</v>
      </c>
    </row>
    <row r="31" spans="1:31" ht="30" x14ac:dyDescent="0.25">
      <c r="A31" s="6">
        <v>27</v>
      </c>
      <c r="B31" s="7">
        <v>46232</v>
      </c>
      <c r="C31" s="6" t="s">
        <v>158</v>
      </c>
      <c r="D31" s="8" t="s">
        <v>159</v>
      </c>
      <c r="E31" s="8" t="s">
        <v>160</v>
      </c>
      <c r="F31" s="6" t="s">
        <v>38</v>
      </c>
      <c r="G31" s="6" t="s">
        <v>48</v>
      </c>
      <c r="H31" s="6" t="s">
        <v>161</v>
      </c>
      <c r="I31" s="6" t="s">
        <v>50</v>
      </c>
      <c r="J31" s="9">
        <v>2146695.52</v>
      </c>
      <c r="K31" s="9">
        <v>1332034</v>
      </c>
      <c r="L31" s="9"/>
      <c r="M31" s="9"/>
      <c r="N31" s="10" t="str">
        <f>IF(AND(ISNUMBER(K31),ISNUMBER(L31),K31&gt;0),L31/K31-1,"")</f>
        <v/>
      </c>
      <c r="O31" s="10" t="str">
        <f>IF(AND(ISNUMBER(K31),ISNUMBER(L31),L31&gt;0),1-K31/L31,"")</f>
        <v/>
      </c>
      <c r="P31" s="10" t="str">
        <f t="shared" si="0"/>
        <v/>
      </c>
      <c r="Q31" s="10"/>
      <c r="R31" s="10"/>
      <c r="S31" s="6" t="s">
        <v>42</v>
      </c>
      <c r="T31" s="8"/>
      <c r="U31" s="11"/>
      <c r="V31" s="12"/>
      <c r="W31" s="13"/>
      <c r="X31" s="13"/>
      <c r="Y31" s="12"/>
      <c r="Z31" s="14" t="str">
        <f t="shared" si="1"/>
        <v/>
      </c>
      <c r="AA31" s="13"/>
      <c r="AB31" s="15"/>
      <c r="AC31" s="6"/>
      <c r="AD31" s="6" t="s">
        <v>162</v>
      </c>
      <c r="AE31" s="8" t="s">
        <v>163</v>
      </c>
    </row>
    <row r="32" spans="1:31" ht="45" x14ac:dyDescent="0.25">
      <c r="A32" s="6">
        <v>28</v>
      </c>
      <c r="B32" s="7">
        <v>46232</v>
      </c>
      <c r="C32" s="6" t="s">
        <v>164</v>
      </c>
      <c r="D32" s="8" t="s">
        <v>165</v>
      </c>
      <c r="E32" s="8" t="s">
        <v>166</v>
      </c>
      <c r="F32" s="6" t="s">
        <v>38</v>
      </c>
      <c r="G32" s="6" t="s">
        <v>48</v>
      </c>
      <c r="H32" s="6" t="s">
        <v>161</v>
      </c>
      <c r="I32" s="6" t="s">
        <v>50</v>
      </c>
      <c r="J32" s="9">
        <v>944874.04</v>
      </c>
      <c r="K32" s="9">
        <v>641998</v>
      </c>
      <c r="L32" s="9"/>
      <c r="M32" s="9"/>
      <c r="N32" s="10" t="str">
        <f>IF(AND(ISNUMBER(K32),ISNUMBER(L32),K32&gt;0),L32/K32-1,"")</f>
        <v/>
      </c>
      <c r="O32" s="10" t="str">
        <f>IF(AND(ISNUMBER(K32),ISNUMBER(L32),L32&gt;0),1-K32/L32,"")</f>
        <v/>
      </c>
      <c r="P32" s="10" t="str">
        <f t="shared" si="0"/>
        <v/>
      </c>
      <c r="Q32" s="10"/>
      <c r="R32" s="10"/>
      <c r="S32" s="6" t="s">
        <v>42</v>
      </c>
      <c r="T32" s="8"/>
      <c r="U32" s="11"/>
      <c r="V32" s="12"/>
      <c r="W32" s="13"/>
      <c r="X32" s="13"/>
      <c r="Y32" s="12"/>
      <c r="Z32" s="14" t="str">
        <f t="shared" si="1"/>
        <v/>
      </c>
      <c r="AA32" s="13"/>
      <c r="AB32" s="15"/>
      <c r="AC32" s="6" t="s">
        <v>87</v>
      </c>
      <c r="AD32" s="6" t="s">
        <v>167</v>
      </c>
      <c r="AE32" s="8" t="s">
        <v>168</v>
      </c>
    </row>
    <row r="33" spans="1:31" ht="45" x14ac:dyDescent="0.25">
      <c r="A33" s="6">
        <v>29</v>
      </c>
      <c r="B33" s="7">
        <v>46233</v>
      </c>
      <c r="C33" s="6" t="s">
        <v>169</v>
      </c>
      <c r="D33" s="8" t="s">
        <v>170</v>
      </c>
      <c r="E33" s="8" t="s">
        <v>171</v>
      </c>
      <c r="F33" s="6" t="s">
        <v>38</v>
      </c>
      <c r="G33" s="6" t="s">
        <v>48</v>
      </c>
      <c r="H33" s="6" t="s">
        <v>49</v>
      </c>
      <c r="I33" s="6" t="s">
        <v>50</v>
      </c>
      <c r="J33" s="9"/>
      <c r="K33" s="9">
        <v>25900000</v>
      </c>
      <c r="L33" s="9">
        <v>48331148</v>
      </c>
      <c r="M33" s="9">
        <v>58964000</v>
      </c>
      <c r="N33" s="10">
        <f>IF(AND(ISNUMBER(K33),ISNUMBER(L33),K33&gt;0),L33/K33-1,0.8661)</f>
        <v>0.86606749034749031</v>
      </c>
      <c r="O33" s="10">
        <f>IF(AND(ISNUMBER(K33),ISNUMBER(L33),L33&gt;0),1-K33/L33,0.465)</f>
        <v>0.46411370158225917</v>
      </c>
      <c r="P33" s="10" t="str">
        <f t="shared" si="0"/>
        <v/>
      </c>
      <c r="Q33" s="10"/>
      <c r="R33" s="10"/>
      <c r="S33" s="6" t="s">
        <v>42</v>
      </c>
      <c r="T33" s="8"/>
      <c r="U33" s="11"/>
      <c r="V33" s="12"/>
      <c r="W33" s="13"/>
      <c r="X33" s="13"/>
      <c r="Y33" s="12"/>
      <c r="Z33" s="14" t="str">
        <f t="shared" si="1"/>
        <v/>
      </c>
      <c r="AA33" s="13"/>
      <c r="AB33" s="15"/>
      <c r="AC33" s="6" t="s">
        <v>172</v>
      </c>
      <c r="AD33" s="6" t="s">
        <v>173</v>
      </c>
      <c r="AE33" s="8" t="s">
        <v>174</v>
      </c>
    </row>
    <row r="34" spans="1:31" ht="30" x14ac:dyDescent="0.25">
      <c r="A34" s="6">
        <v>30</v>
      </c>
      <c r="B34" s="7">
        <v>46233</v>
      </c>
      <c r="C34" s="6" t="s">
        <v>175</v>
      </c>
      <c r="D34" s="8" t="s">
        <v>176</v>
      </c>
      <c r="E34" s="8" t="s">
        <v>177</v>
      </c>
      <c r="F34" s="6" t="s">
        <v>38</v>
      </c>
      <c r="G34" s="6" t="s">
        <v>71</v>
      </c>
      <c r="H34" s="6" t="s">
        <v>72</v>
      </c>
      <c r="I34" s="6" t="s">
        <v>50</v>
      </c>
      <c r="J34" s="9"/>
      <c r="K34" s="9">
        <v>1258232</v>
      </c>
      <c r="L34" s="9"/>
      <c r="M34" s="9"/>
      <c r="N34" s="10" t="str">
        <f>IF(AND(ISNUMBER(K34),ISNUMBER(L34),K34&gt;0),L34/K34-1,"")</f>
        <v/>
      </c>
      <c r="O34" s="10" t="str">
        <f>IF(AND(ISNUMBER(K34),ISNUMBER(L34),L34&gt;0),1-K34/L34,"")</f>
        <v/>
      </c>
      <c r="P34" s="10" t="str">
        <f t="shared" si="0"/>
        <v/>
      </c>
      <c r="Q34" s="10"/>
      <c r="R34" s="10"/>
      <c r="S34" s="6" t="s">
        <v>42</v>
      </c>
      <c r="T34" s="8"/>
      <c r="U34" s="11"/>
      <c r="V34" s="12"/>
      <c r="W34" s="13"/>
      <c r="X34" s="13"/>
      <c r="Y34" s="12"/>
      <c r="Z34" s="14" t="str">
        <f t="shared" si="1"/>
        <v/>
      </c>
      <c r="AA34" s="13"/>
      <c r="AB34" s="15"/>
      <c r="AC34" s="6"/>
      <c r="AD34" s="6" t="s">
        <v>178</v>
      </c>
      <c r="AE34" s="8" t="s">
        <v>179</v>
      </c>
    </row>
    <row r="35" spans="1:31" ht="45" x14ac:dyDescent="0.25">
      <c r="A35" s="6">
        <v>31</v>
      </c>
      <c r="B35" s="7">
        <v>46233</v>
      </c>
      <c r="C35" s="6" t="s">
        <v>180</v>
      </c>
      <c r="D35" s="8" t="s">
        <v>181</v>
      </c>
      <c r="E35" s="8" t="s">
        <v>182</v>
      </c>
      <c r="F35" s="6" t="s">
        <v>183</v>
      </c>
      <c r="G35" s="6" t="s">
        <v>48</v>
      </c>
      <c r="H35" s="6" t="s">
        <v>49</v>
      </c>
      <c r="I35" s="6" t="s">
        <v>50</v>
      </c>
      <c r="J35" s="9"/>
      <c r="K35" s="9">
        <v>86803278.689999998</v>
      </c>
      <c r="L35" s="9">
        <v>173646186.06999999</v>
      </c>
      <c r="M35" s="9">
        <v>211848347</v>
      </c>
      <c r="N35" s="10">
        <f>IF(AND(ISNUMBER(K35),ISNUMBER(L35),K35&gt;0),L35/K35-1,1)</f>
        <v>1.0004565344834671</v>
      </c>
      <c r="O35" s="10">
        <f>IF(AND(ISNUMBER(K35),ISNUMBER(L35),L35&gt;0),1-K35/L35,0.5001)</f>
        <v>0.50011410757384567</v>
      </c>
      <c r="P35" s="10" t="str">
        <f t="shared" si="0"/>
        <v/>
      </c>
      <c r="Q35" s="10"/>
      <c r="R35" s="10"/>
      <c r="S35" s="6" t="s">
        <v>42</v>
      </c>
      <c r="T35" s="8"/>
      <c r="U35" s="11"/>
      <c r="V35" s="12"/>
      <c r="W35" s="13"/>
      <c r="X35" s="13"/>
      <c r="Y35" s="12"/>
      <c r="Z35" s="14" t="str">
        <f t="shared" si="1"/>
        <v/>
      </c>
      <c r="AA35" s="13"/>
      <c r="AB35" s="15"/>
      <c r="AC35" s="6"/>
      <c r="AD35" s="6" t="s">
        <v>184</v>
      </c>
      <c r="AE35" s="8" t="s">
        <v>185</v>
      </c>
    </row>
    <row r="36" spans="1:31" ht="45" x14ac:dyDescent="0.25">
      <c r="A36" s="6">
        <v>32</v>
      </c>
      <c r="B36" s="7">
        <v>46233</v>
      </c>
      <c r="C36" s="6" t="s">
        <v>180</v>
      </c>
      <c r="D36" s="8" t="s">
        <v>186</v>
      </c>
      <c r="E36" s="8" t="s">
        <v>187</v>
      </c>
      <c r="F36" s="6" t="s">
        <v>183</v>
      </c>
      <c r="G36" s="6" t="s">
        <v>48</v>
      </c>
      <c r="H36" s="6" t="s">
        <v>49</v>
      </c>
      <c r="I36" s="6" t="s">
        <v>50</v>
      </c>
      <c r="J36" s="9"/>
      <c r="K36" s="9">
        <v>125100000</v>
      </c>
      <c r="L36" s="9"/>
      <c r="M36" s="9">
        <v>250261091</v>
      </c>
      <c r="N36" s="10">
        <f>IF(AND(ISNUMBER(K36),ISNUMBER(L36),K36&gt;0),L36/K36-1,1)</f>
        <v>1</v>
      </c>
      <c r="O36" s="10">
        <f>IF(AND(ISNUMBER(K36),ISNUMBER(L36),L36&gt;0),1-K36/L36,0.5)</f>
        <v>0.5</v>
      </c>
      <c r="P36" s="10" t="str">
        <f t="shared" si="0"/>
        <v/>
      </c>
      <c r="Q36" s="10">
        <v>0.36</v>
      </c>
      <c r="R36" s="10">
        <v>2.4300000000000002</v>
      </c>
      <c r="S36" s="6" t="s">
        <v>42</v>
      </c>
      <c r="T36" s="8"/>
      <c r="U36" s="11"/>
      <c r="V36" s="12"/>
      <c r="W36" s="13"/>
      <c r="X36" s="13"/>
      <c r="Y36" s="12"/>
      <c r="Z36" s="14" t="str">
        <f t="shared" si="1"/>
        <v/>
      </c>
      <c r="AA36" s="13"/>
      <c r="AB36" s="15"/>
      <c r="AC36" s="6"/>
      <c r="AD36" s="6" t="s">
        <v>188</v>
      </c>
      <c r="AE36" s="8" t="s">
        <v>189</v>
      </c>
    </row>
    <row r="37" spans="1:31" ht="45" x14ac:dyDescent="0.25">
      <c r="A37" s="6">
        <v>33</v>
      </c>
      <c r="B37" s="7">
        <v>46233</v>
      </c>
      <c r="C37" s="6" t="s">
        <v>190</v>
      </c>
      <c r="D37" s="8" t="s">
        <v>191</v>
      </c>
      <c r="E37" s="8" t="s">
        <v>192</v>
      </c>
      <c r="F37" s="6" t="s">
        <v>38</v>
      </c>
      <c r="G37" s="6" t="s">
        <v>39</v>
      </c>
      <c r="H37" s="6" t="s">
        <v>161</v>
      </c>
      <c r="I37" s="6" t="s">
        <v>80</v>
      </c>
      <c r="J37" s="9">
        <v>4657400.04</v>
      </c>
      <c r="K37" s="9">
        <v>5214744</v>
      </c>
      <c r="L37" s="9"/>
      <c r="M37" s="9"/>
      <c r="N37" s="10" t="str">
        <f>IF(AND(ISNUMBER(K37),ISNUMBER(L37),K37&gt;0),L37/K37-1,"")</f>
        <v/>
      </c>
      <c r="O37" s="10">
        <f>IF(AND(ISNUMBER(K37),ISNUMBER(L37),L37&gt;0),1-K37/L37,-0.12)</f>
        <v>-0.12</v>
      </c>
      <c r="P37" s="10" t="str">
        <f t="shared" si="0"/>
        <v/>
      </c>
      <c r="Q37" s="10"/>
      <c r="R37" s="10"/>
      <c r="S37" s="6" t="s">
        <v>193</v>
      </c>
      <c r="T37" s="8"/>
      <c r="U37" s="11"/>
      <c r="V37" s="12"/>
      <c r="W37" s="13" t="s">
        <v>194</v>
      </c>
      <c r="X37" s="13"/>
      <c r="Y37" s="12"/>
      <c r="Z37" s="14" t="str">
        <f t="shared" si="1"/>
        <v/>
      </c>
      <c r="AA37" s="13"/>
      <c r="AB37" s="15"/>
      <c r="AC37" s="6"/>
      <c r="AD37" s="6" t="s">
        <v>195</v>
      </c>
      <c r="AE37" s="8" t="s">
        <v>196</v>
      </c>
    </row>
    <row r="38" spans="1:31" ht="45" x14ac:dyDescent="0.25">
      <c r="A38" s="6">
        <v>34</v>
      </c>
      <c r="B38" s="26">
        <v>46234</v>
      </c>
      <c r="C38" s="6"/>
      <c r="D38" s="8" t="s">
        <v>1330</v>
      </c>
      <c r="E38" s="8" t="s">
        <v>1331</v>
      </c>
      <c r="F38" s="6" t="s">
        <v>38</v>
      </c>
      <c r="G38" s="6" t="s">
        <v>39</v>
      </c>
      <c r="H38" s="6" t="s">
        <v>40</v>
      </c>
      <c r="I38" s="6" t="s">
        <v>41</v>
      </c>
      <c r="J38" s="9"/>
      <c r="K38" s="9">
        <v>93000</v>
      </c>
      <c r="L38" s="9">
        <v>195000</v>
      </c>
      <c r="M38" s="9">
        <v>237900</v>
      </c>
      <c r="N38" s="10">
        <f>IF(AND(ISNUMBER(K38),ISNUMBER(L38),K38&gt;0),L38/K38-1,1.0968)</f>
        <v>1.096774193548387</v>
      </c>
      <c r="O38" s="10">
        <f>IF(AND(ISNUMBER(K38),ISNUMBER(L38),L38&gt;0),1-K38/L38,0.5231)</f>
        <v>0.52307692307692299</v>
      </c>
      <c r="P38" s="10" t="str">
        <f t="shared" si="0"/>
        <v/>
      </c>
      <c r="Q38" s="10"/>
      <c r="R38" s="10"/>
      <c r="S38" s="6" t="s">
        <v>42</v>
      </c>
      <c r="T38" s="8"/>
      <c r="U38" s="11"/>
      <c r="V38" s="12"/>
      <c r="W38" s="13"/>
      <c r="X38" s="13"/>
      <c r="Y38" s="12"/>
      <c r="Z38" s="14" t="str">
        <f t="shared" si="1"/>
        <v/>
      </c>
      <c r="AA38" s="13"/>
      <c r="AB38" s="15"/>
      <c r="AC38" s="6" t="s">
        <v>87</v>
      </c>
      <c r="AD38" s="6" t="s">
        <v>1332</v>
      </c>
      <c r="AE38" s="8" t="s">
        <v>1333</v>
      </c>
    </row>
    <row r="39" spans="1:31" ht="45" x14ac:dyDescent="0.25">
      <c r="A39" s="6">
        <v>35</v>
      </c>
      <c r="B39" s="7">
        <v>46234</v>
      </c>
      <c r="C39" s="6" t="s">
        <v>197</v>
      </c>
      <c r="D39" s="8" t="s">
        <v>198</v>
      </c>
      <c r="E39" s="8" t="s">
        <v>199</v>
      </c>
      <c r="F39" s="6" t="s">
        <v>55</v>
      </c>
      <c r="G39" s="6" t="s">
        <v>71</v>
      </c>
      <c r="H39" s="6" t="s">
        <v>72</v>
      </c>
      <c r="I39" s="6" t="s">
        <v>50</v>
      </c>
      <c r="J39" s="9"/>
      <c r="K39" s="9">
        <v>2230201</v>
      </c>
      <c r="L39" s="9">
        <v>3345301</v>
      </c>
      <c r="M39" s="9">
        <v>4081267</v>
      </c>
      <c r="N39" s="10">
        <f>IF(AND(ISNUMBER(K39),ISNUMBER(L39),K39&gt;0),L39/K39-1,0.5)</f>
        <v>0.49999977580496102</v>
      </c>
      <c r="O39" s="10">
        <f>IF(AND(ISNUMBER(K39),ISNUMBER(L39),L39&gt;0),1-K39/L39,0.3333)</f>
        <v>0.33333323369107892</v>
      </c>
      <c r="P39" s="10" t="str">
        <f t="shared" si="0"/>
        <v/>
      </c>
      <c r="Q39" s="10"/>
      <c r="R39" s="10"/>
      <c r="S39" s="6" t="s">
        <v>42</v>
      </c>
      <c r="T39" s="8"/>
      <c r="U39" s="11"/>
      <c r="V39" s="12"/>
      <c r="W39" s="13"/>
      <c r="X39" s="13"/>
      <c r="Y39" s="12"/>
      <c r="Z39" s="14" t="str">
        <f t="shared" si="1"/>
        <v/>
      </c>
      <c r="AA39" s="13"/>
      <c r="AB39" s="15"/>
      <c r="AC39" s="6" t="s">
        <v>200</v>
      </c>
      <c r="AD39" s="6" t="s">
        <v>201</v>
      </c>
      <c r="AE39" s="8" t="s">
        <v>202</v>
      </c>
    </row>
    <row r="40" spans="1:31" ht="30" x14ac:dyDescent="0.25">
      <c r="A40" s="6">
        <v>36</v>
      </c>
      <c r="B40" s="7">
        <v>46234</v>
      </c>
      <c r="C40" s="6" t="s">
        <v>203</v>
      </c>
      <c r="D40" s="8" t="s">
        <v>204</v>
      </c>
      <c r="E40" s="8" t="s">
        <v>205</v>
      </c>
      <c r="F40" s="6" t="s">
        <v>38</v>
      </c>
      <c r="G40" s="6" t="s">
        <v>39</v>
      </c>
      <c r="H40" s="6" t="s">
        <v>40</v>
      </c>
      <c r="I40" s="6" t="s">
        <v>41</v>
      </c>
      <c r="J40" s="9"/>
      <c r="K40" s="9">
        <v>55272</v>
      </c>
      <c r="L40" s="9">
        <v>98000</v>
      </c>
      <c r="M40" s="9">
        <v>119560</v>
      </c>
      <c r="N40" s="10">
        <f>IF(AND(ISNUMBER(K40),ISNUMBER(L40),K40&gt;0),L40/K40-1,0.773)</f>
        <v>0.77304964539007082</v>
      </c>
      <c r="O40" s="10">
        <f>IF(AND(ISNUMBER(K40),ISNUMBER(L40),L40&gt;0),1-K40/L40,0.436)</f>
        <v>0.43600000000000005</v>
      </c>
      <c r="P40" s="10" t="str">
        <f t="shared" si="0"/>
        <v/>
      </c>
      <c r="Q40" s="10"/>
      <c r="R40" s="10"/>
      <c r="S40" s="6" t="s">
        <v>42</v>
      </c>
      <c r="T40" s="8"/>
      <c r="U40" s="11"/>
      <c r="V40" s="12"/>
      <c r="W40" s="13"/>
      <c r="X40" s="13"/>
      <c r="Y40" s="12"/>
      <c r="Z40" s="14" t="str">
        <f t="shared" si="1"/>
        <v/>
      </c>
      <c r="AA40" s="13"/>
      <c r="AB40" s="15"/>
      <c r="AC40" s="6" t="s">
        <v>206</v>
      </c>
      <c r="AD40" s="6" t="s">
        <v>207</v>
      </c>
      <c r="AE40" s="8" t="s">
        <v>208</v>
      </c>
    </row>
    <row r="41" spans="1:31" ht="60" x14ac:dyDescent="0.25">
      <c r="A41" s="6">
        <v>37</v>
      </c>
      <c r="B41" s="7">
        <v>46239</v>
      </c>
      <c r="C41" s="6"/>
      <c r="D41" s="8" t="s">
        <v>209</v>
      </c>
      <c r="E41" s="8" t="s">
        <v>210</v>
      </c>
      <c r="F41" s="6" t="s">
        <v>211</v>
      </c>
      <c r="G41" s="6" t="s">
        <v>71</v>
      </c>
      <c r="H41" s="6" t="s">
        <v>72</v>
      </c>
      <c r="I41" s="6" t="s">
        <v>50</v>
      </c>
      <c r="J41" s="9"/>
      <c r="K41" s="9">
        <v>113114754</v>
      </c>
      <c r="L41" s="9">
        <v>215531587.69999999</v>
      </c>
      <c r="M41" s="9">
        <v>262948537</v>
      </c>
      <c r="N41" s="10">
        <f>IF(AND(ISNUMBER(K41),ISNUMBER(L41),K41&gt;0),L41/K41-1,0.9054)</f>
        <v>0.90542418277283243</v>
      </c>
      <c r="O41" s="10">
        <f>IF(AND(ISNUMBER(K41),ISNUMBER(L41),L41&gt;0),1-K41/L41,0.475)</f>
        <v>0.47518247693027127</v>
      </c>
      <c r="P41" s="10" t="str">
        <f t="shared" si="0"/>
        <v/>
      </c>
      <c r="Q41" s="10">
        <v>0.3</v>
      </c>
      <c r="R41" s="10">
        <v>2.5</v>
      </c>
      <c r="S41" s="6" t="s">
        <v>42</v>
      </c>
      <c r="T41" s="8"/>
      <c r="U41" s="11"/>
      <c r="V41" s="12"/>
      <c r="W41" s="13"/>
      <c r="X41" s="13"/>
      <c r="Y41" s="12"/>
      <c r="Z41" s="14" t="str">
        <f t="shared" si="1"/>
        <v/>
      </c>
      <c r="AA41" s="13"/>
      <c r="AB41" s="15"/>
      <c r="AC41" s="6" t="s">
        <v>212</v>
      </c>
      <c r="AD41" s="6" t="s">
        <v>213</v>
      </c>
      <c r="AE41" s="8" t="s">
        <v>214</v>
      </c>
    </row>
    <row r="42" spans="1:31" ht="45" x14ac:dyDescent="0.25">
      <c r="A42" s="6">
        <v>38</v>
      </c>
      <c r="B42" s="7">
        <v>46240</v>
      </c>
      <c r="C42" s="6" t="s">
        <v>215</v>
      </c>
      <c r="D42" s="8" t="s">
        <v>216</v>
      </c>
      <c r="E42" s="8" t="s">
        <v>217</v>
      </c>
      <c r="F42" s="6" t="s">
        <v>211</v>
      </c>
      <c r="G42" s="6" t="s">
        <v>71</v>
      </c>
      <c r="H42" s="6" t="s">
        <v>72</v>
      </c>
      <c r="I42" s="6" t="s">
        <v>50</v>
      </c>
      <c r="J42" s="9"/>
      <c r="K42" s="9">
        <v>498365</v>
      </c>
      <c r="L42" s="9"/>
      <c r="M42" s="9"/>
      <c r="N42" s="10" t="str">
        <f>IF(AND(ISNUMBER(K42),ISNUMBER(L42),K42&gt;0),L42/K42-1,"")</f>
        <v/>
      </c>
      <c r="O42" s="10" t="str">
        <f>IF(AND(ISNUMBER(K42),ISNUMBER(L42),L42&gt;0),1-K42/L42,"")</f>
        <v/>
      </c>
      <c r="P42" s="10" t="str">
        <f t="shared" si="0"/>
        <v/>
      </c>
      <c r="Q42" s="10"/>
      <c r="R42" s="10"/>
      <c r="S42" s="6" t="s">
        <v>42</v>
      </c>
      <c r="T42" s="8"/>
      <c r="U42" s="11"/>
      <c r="V42" s="12"/>
      <c r="W42" s="13"/>
      <c r="X42" s="13"/>
      <c r="Y42" s="12"/>
      <c r="Z42" s="14" t="str">
        <f t="shared" si="1"/>
        <v/>
      </c>
      <c r="AA42" s="13"/>
      <c r="AB42" s="15"/>
      <c r="AC42" s="6" t="s">
        <v>218</v>
      </c>
      <c r="AD42" s="6" t="s">
        <v>219</v>
      </c>
      <c r="AE42" s="8" t="s">
        <v>220</v>
      </c>
    </row>
    <row r="43" spans="1:31" ht="60" x14ac:dyDescent="0.25">
      <c r="A43" s="6">
        <v>39</v>
      </c>
      <c r="B43" s="7">
        <v>46240</v>
      </c>
      <c r="C43" s="6" t="s">
        <v>221</v>
      </c>
      <c r="D43" s="8" t="s">
        <v>222</v>
      </c>
      <c r="E43" s="8" t="s">
        <v>223</v>
      </c>
      <c r="F43" s="6" t="s">
        <v>108</v>
      </c>
      <c r="G43" s="6" t="s">
        <v>48</v>
      </c>
      <c r="H43" s="6" t="s">
        <v>224</v>
      </c>
      <c r="I43" s="6" t="s">
        <v>50</v>
      </c>
      <c r="J43" s="9"/>
      <c r="K43" s="9">
        <v>1528688524.5899999</v>
      </c>
      <c r="L43" s="9"/>
      <c r="M43" s="9"/>
      <c r="N43" s="10" t="str">
        <f>IF(AND(ISNUMBER(K43),ISNUMBER(L43),K43&gt;0),L43/K43-1,"")</f>
        <v/>
      </c>
      <c r="O43" s="10" t="str">
        <f>IF(AND(ISNUMBER(K43),ISNUMBER(L43),L43&gt;0),1-K43/L43,"")</f>
        <v/>
      </c>
      <c r="P43" s="10" t="str">
        <f t="shared" si="0"/>
        <v/>
      </c>
      <c r="Q43" s="10"/>
      <c r="R43" s="10"/>
      <c r="S43" s="6" t="s">
        <v>42</v>
      </c>
      <c r="T43" s="8"/>
      <c r="U43" s="11"/>
      <c r="V43" s="12"/>
      <c r="W43" s="13"/>
      <c r="X43" s="13"/>
      <c r="Y43" s="12"/>
      <c r="Z43" s="14" t="str">
        <f t="shared" si="1"/>
        <v/>
      </c>
      <c r="AA43" s="13"/>
      <c r="AB43" s="15"/>
      <c r="AC43" s="6" t="s">
        <v>225</v>
      </c>
      <c r="AD43" s="6" t="s">
        <v>226</v>
      </c>
      <c r="AE43" s="8" t="s">
        <v>227</v>
      </c>
    </row>
    <row r="44" spans="1:31" ht="45" x14ac:dyDescent="0.25">
      <c r="A44" s="6">
        <v>40</v>
      </c>
      <c r="B44" s="7">
        <v>46240</v>
      </c>
      <c r="C44" s="6" t="s">
        <v>228</v>
      </c>
      <c r="D44" s="8" t="s">
        <v>229</v>
      </c>
      <c r="E44" s="8" t="s">
        <v>230</v>
      </c>
      <c r="F44" s="6" t="s">
        <v>55</v>
      </c>
      <c r="G44" s="6" t="s">
        <v>48</v>
      </c>
      <c r="H44" s="6" t="s">
        <v>224</v>
      </c>
      <c r="I44" s="6" t="s">
        <v>50</v>
      </c>
      <c r="J44" s="9"/>
      <c r="K44" s="9">
        <v>11862660</v>
      </c>
      <c r="L44" s="9">
        <v>20968499</v>
      </c>
      <c r="M44" s="9">
        <v>25580000</v>
      </c>
      <c r="N44" s="10">
        <f>IF(AND(ISNUMBER(K44),ISNUMBER(L44),K44&gt;0),L44/K44-1,0.7676)</f>
        <v>0.76760515769650306</v>
      </c>
      <c r="O44" s="10">
        <f>IF(AND(ISNUMBER(K44),ISNUMBER(L44),L44&gt;0),1-K44/L44,0.434)</f>
        <v>0.4342627958252997</v>
      </c>
      <c r="P44" s="10" t="str">
        <f t="shared" si="0"/>
        <v/>
      </c>
      <c r="Q44" s="10">
        <v>0.35</v>
      </c>
      <c r="R44" s="10">
        <v>1</v>
      </c>
      <c r="S44" s="6" t="s">
        <v>42</v>
      </c>
      <c r="T44" s="8"/>
      <c r="U44" s="11"/>
      <c r="V44" s="12"/>
      <c r="W44" s="13"/>
      <c r="X44" s="13"/>
      <c r="Y44" s="12"/>
      <c r="Z44" s="14" t="str">
        <f t="shared" si="1"/>
        <v/>
      </c>
      <c r="AA44" s="13"/>
      <c r="AB44" s="15"/>
      <c r="AC44" s="6" t="s">
        <v>231</v>
      </c>
      <c r="AD44" s="6" t="s">
        <v>232</v>
      </c>
      <c r="AE44" s="8" t="s">
        <v>233</v>
      </c>
    </row>
    <row r="45" spans="1:31" ht="45" x14ac:dyDescent="0.25">
      <c r="A45" s="6">
        <v>41</v>
      </c>
      <c r="B45" s="7">
        <v>46240</v>
      </c>
      <c r="C45" s="6" t="s">
        <v>234</v>
      </c>
      <c r="D45" s="8" t="s">
        <v>235</v>
      </c>
      <c r="E45" s="8" t="s">
        <v>236</v>
      </c>
      <c r="F45" s="6" t="s">
        <v>237</v>
      </c>
      <c r="G45" s="6" t="s">
        <v>71</v>
      </c>
      <c r="H45" s="6" t="s">
        <v>72</v>
      </c>
      <c r="I45" s="6" t="s">
        <v>50</v>
      </c>
      <c r="J45" s="9"/>
      <c r="K45" s="9">
        <v>21262178</v>
      </c>
      <c r="L45" s="9">
        <v>32373269</v>
      </c>
      <c r="M45" s="9"/>
      <c r="N45" s="10">
        <f>IF(AND(ISNUMBER(K45),ISNUMBER(L45),K45&gt;0),L45/K45-1,0.5226)</f>
        <v>0.52257539185308288</v>
      </c>
      <c r="O45" s="10">
        <f>IF(AND(ISNUMBER(K45),ISNUMBER(L45),L45&gt;0),1-K45/L45,0.343)</f>
        <v>0.34321807291070916</v>
      </c>
      <c r="P45" s="10" t="str">
        <f t="shared" si="0"/>
        <v/>
      </c>
      <c r="Q45" s="10">
        <v>0.3</v>
      </c>
      <c r="R45" s="10">
        <v>2</v>
      </c>
      <c r="S45" s="6" t="s">
        <v>42</v>
      </c>
      <c r="T45" s="8"/>
      <c r="U45" s="11"/>
      <c r="V45" s="12"/>
      <c r="W45" s="13"/>
      <c r="X45" s="13"/>
      <c r="Y45" s="12"/>
      <c r="Z45" s="14" t="str">
        <f t="shared" si="1"/>
        <v/>
      </c>
      <c r="AA45" s="13"/>
      <c r="AB45" s="15"/>
      <c r="AC45" s="6" t="s">
        <v>238</v>
      </c>
      <c r="AD45" s="6" t="s">
        <v>239</v>
      </c>
      <c r="AE45" s="8" t="s">
        <v>240</v>
      </c>
    </row>
    <row r="46" spans="1:31" ht="45" x14ac:dyDescent="0.25">
      <c r="A46" s="6">
        <v>42</v>
      </c>
      <c r="B46" s="7">
        <v>46241</v>
      </c>
      <c r="C46" s="6" t="s">
        <v>241</v>
      </c>
      <c r="D46" s="8" t="s">
        <v>242</v>
      </c>
      <c r="E46" s="8" t="s">
        <v>243</v>
      </c>
      <c r="F46" s="6" t="s">
        <v>38</v>
      </c>
      <c r="G46" s="6" t="s">
        <v>244</v>
      </c>
      <c r="H46" s="6" t="s">
        <v>161</v>
      </c>
      <c r="I46" s="6" t="s">
        <v>50</v>
      </c>
      <c r="J46" s="9"/>
      <c r="K46" s="9">
        <v>3561885.25</v>
      </c>
      <c r="L46" s="9">
        <v>5102459.0199999996</v>
      </c>
      <c r="M46" s="9">
        <v>6225000</v>
      </c>
      <c r="N46" s="10">
        <f>IF(AND(ISNUMBER(K46),ISNUMBER(L46),K46&gt;0),L46/K46-1,0.4325)</f>
        <v>0.43251639563627142</v>
      </c>
      <c r="O46" s="10">
        <f>IF(AND(ISNUMBER(K46),ISNUMBER(L46),L46&gt;0),1-K46/L46,0.302)</f>
        <v>0.30192771053357714</v>
      </c>
      <c r="P46" s="10" t="str">
        <f t="shared" si="0"/>
        <v/>
      </c>
      <c r="Q46" s="10">
        <v>0.3</v>
      </c>
      <c r="R46" s="10">
        <v>0.7</v>
      </c>
      <c r="S46" s="6" t="s">
        <v>42</v>
      </c>
      <c r="T46" s="8"/>
      <c r="U46" s="11"/>
      <c r="V46" s="12"/>
      <c r="W46" s="13"/>
      <c r="X46" s="13"/>
      <c r="Y46" s="12"/>
      <c r="Z46" s="14" t="str">
        <f t="shared" si="1"/>
        <v/>
      </c>
      <c r="AA46" s="13"/>
      <c r="AB46" s="15"/>
      <c r="AC46" s="6" t="s">
        <v>245</v>
      </c>
      <c r="AD46" s="6" t="s">
        <v>246</v>
      </c>
      <c r="AE46" s="8" t="s">
        <v>247</v>
      </c>
    </row>
    <row r="47" spans="1:31" ht="45" x14ac:dyDescent="0.25">
      <c r="A47" s="6">
        <v>43</v>
      </c>
      <c r="B47" s="7">
        <v>46241</v>
      </c>
      <c r="C47" s="6" t="s">
        <v>248</v>
      </c>
      <c r="D47" s="8" t="s">
        <v>249</v>
      </c>
      <c r="E47" s="8" t="s">
        <v>250</v>
      </c>
      <c r="F47" s="6" t="s">
        <v>55</v>
      </c>
      <c r="G47" s="6" t="s">
        <v>149</v>
      </c>
      <c r="H47" s="6" t="s">
        <v>72</v>
      </c>
      <c r="I47" s="6" t="s">
        <v>50</v>
      </c>
      <c r="J47" s="9"/>
      <c r="K47" s="9">
        <v>15166557</v>
      </c>
      <c r="L47" s="9"/>
      <c r="M47" s="9"/>
      <c r="N47" s="10" t="str">
        <f>IF(AND(ISNUMBER(K47),ISNUMBER(L47),K47&gt;0),L47/K47-1,"")</f>
        <v/>
      </c>
      <c r="O47" s="10" t="str">
        <f>IF(AND(ISNUMBER(K47),ISNUMBER(L47),L47&gt;0),1-K47/L47,"")</f>
        <v/>
      </c>
      <c r="P47" s="10" t="str">
        <f t="shared" si="0"/>
        <v/>
      </c>
      <c r="Q47" s="10"/>
      <c r="R47" s="10"/>
      <c r="S47" s="6" t="s">
        <v>42</v>
      </c>
      <c r="T47" s="8"/>
      <c r="U47" s="11"/>
      <c r="V47" s="12"/>
      <c r="W47" s="13"/>
      <c r="X47" s="13"/>
      <c r="Y47" s="12"/>
      <c r="Z47" s="14" t="str">
        <f t="shared" si="1"/>
        <v/>
      </c>
      <c r="AA47" s="13"/>
      <c r="AB47" s="15"/>
      <c r="AC47" s="6" t="s">
        <v>251</v>
      </c>
      <c r="AD47" s="6" t="s">
        <v>252</v>
      </c>
      <c r="AE47" s="8" t="s">
        <v>253</v>
      </c>
    </row>
    <row r="48" spans="1:31" ht="45" x14ac:dyDescent="0.25">
      <c r="A48" s="6">
        <v>44</v>
      </c>
      <c r="B48" s="7">
        <v>46245</v>
      </c>
      <c r="C48" s="6" t="s">
        <v>254</v>
      </c>
      <c r="D48" s="8" t="s">
        <v>255</v>
      </c>
      <c r="E48" s="8" t="s">
        <v>256</v>
      </c>
      <c r="F48" s="6" t="s">
        <v>38</v>
      </c>
      <c r="G48" s="6" t="s">
        <v>48</v>
      </c>
      <c r="H48" s="6" t="s">
        <v>224</v>
      </c>
      <c r="I48" s="6" t="s">
        <v>50</v>
      </c>
      <c r="J48" s="9"/>
      <c r="K48" s="9">
        <v>8350000</v>
      </c>
      <c r="L48" s="9">
        <v>11048979</v>
      </c>
      <c r="M48" s="9">
        <v>13479754.380000001</v>
      </c>
      <c r="N48" s="10">
        <f>IF(AND(ISNUMBER(K48),ISNUMBER(L48),K48&gt;0),L48/K48-1,0.3232)</f>
        <v>0.32323101796407183</v>
      </c>
      <c r="O48" s="10">
        <f>IF(AND(ISNUMBER(K48),ISNUMBER(L48),L48&gt;0),1-K48/L48,0.2443)</f>
        <v>0.24427406369403004</v>
      </c>
      <c r="P48" s="10" t="str">
        <f t="shared" si="0"/>
        <v/>
      </c>
      <c r="Q48" s="10"/>
      <c r="R48" s="10"/>
      <c r="S48" s="6" t="s">
        <v>42</v>
      </c>
      <c r="T48" s="8"/>
      <c r="U48" s="11"/>
      <c r="V48" s="12"/>
      <c r="W48" s="13"/>
      <c r="X48" s="13"/>
      <c r="Y48" s="12"/>
      <c r="Z48" s="14" t="str">
        <f t="shared" si="1"/>
        <v/>
      </c>
      <c r="AA48" s="13"/>
      <c r="AB48" s="15"/>
      <c r="AC48" s="6" t="s">
        <v>257</v>
      </c>
      <c r="AD48" s="6" t="s">
        <v>258</v>
      </c>
      <c r="AE48" s="8" t="s">
        <v>259</v>
      </c>
    </row>
    <row r="49" spans="1:31" ht="45" x14ac:dyDescent="0.25">
      <c r="A49" s="6">
        <v>45</v>
      </c>
      <c r="B49" s="7">
        <v>46246</v>
      </c>
      <c r="C49" s="6" t="s">
        <v>260</v>
      </c>
      <c r="D49" s="8" t="s">
        <v>261</v>
      </c>
      <c r="E49" s="8" t="s">
        <v>262</v>
      </c>
      <c r="F49" s="6" t="s">
        <v>211</v>
      </c>
      <c r="G49" s="6" t="s">
        <v>39</v>
      </c>
      <c r="H49" s="6" t="s">
        <v>40</v>
      </c>
      <c r="I49" s="6" t="s">
        <v>41</v>
      </c>
      <c r="J49" s="9"/>
      <c r="K49" s="9">
        <v>851675</v>
      </c>
      <c r="L49" s="9">
        <v>850000</v>
      </c>
      <c r="M49" s="9"/>
      <c r="N49" s="10">
        <f>IF(AND(ISNUMBER(K49),ISNUMBER(L49),K49&gt;0),L49/K49-1,-0.002)</f>
        <v>-1.9667126544750113E-3</v>
      </c>
      <c r="O49" s="10">
        <f>IF(AND(ISNUMBER(K49),ISNUMBER(L49),L49&gt;0),1-K49/L49,-0.002)</f>
        <v>-1.9705882352940574E-3</v>
      </c>
      <c r="P49" s="10" t="str">
        <f t="shared" si="0"/>
        <v/>
      </c>
      <c r="Q49" s="10"/>
      <c r="R49" s="10"/>
      <c r="S49" s="6" t="s">
        <v>42</v>
      </c>
      <c r="T49" s="8"/>
      <c r="U49" s="11"/>
      <c r="V49" s="12"/>
      <c r="W49" s="13"/>
      <c r="X49" s="13"/>
      <c r="Y49" s="12"/>
      <c r="Z49" s="14" t="str">
        <f t="shared" si="1"/>
        <v/>
      </c>
      <c r="AA49" s="13"/>
      <c r="AB49" s="15"/>
      <c r="AC49" s="6" t="s">
        <v>263</v>
      </c>
      <c r="AD49" s="6" t="s">
        <v>264</v>
      </c>
      <c r="AE49" s="8" t="s">
        <v>265</v>
      </c>
    </row>
    <row r="50" spans="1:31" ht="45" x14ac:dyDescent="0.25">
      <c r="A50" s="6">
        <v>46</v>
      </c>
      <c r="B50" s="7">
        <v>46246</v>
      </c>
      <c r="C50" s="6" t="s">
        <v>260</v>
      </c>
      <c r="D50" s="8" t="s">
        <v>266</v>
      </c>
      <c r="E50" s="8" t="s">
        <v>262</v>
      </c>
      <c r="F50" s="6" t="s">
        <v>211</v>
      </c>
      <c r="G50" s="6" t="s">
        <v>39</v>
      </c>
      <c r="H50" s="6" t="s">
        <v>40</v>
      </c>
      <c r="I50" s="6" t="s">
        <v>41</v>
      </c>
      <c r="J50" s="9"/>
      <c r="K50" s="9">
        <v>253550</v>
      </c>
      <c r="L50" s="9">
        <v>400000</v>
      </c>
      <c r="M50" s="9"/>
      <c r="N50" s="10">
        <f>IF(AND(ISNUMBER(K50),ISNUMBER(L50),K50&gt;0),L50/K50-1,0.5776)</f>
        <v>0.57759810688227176</v>
      </c>
      <c r="O50" s="10">
        <f>IF(AND(ISNUMBER(K50),ISNUMBER(L50),L50&gt;0),1-K50/L50,0.3661)</f>
        <v>0.36612500000000003</v>
      </c>
      <c r="P50" s="10" t="str">
        <f t="shared" si="0"/>
        <v/>
      </c>
      <c r="Q50" s="10"/>
      <c r="R50" s="10"/>
      <c r="S50" s="6" t="s">
        <v>42</v>
      </c>
      <c r="T50" s="8"/>
      <c r="U50" s="11"/>
      <c r="V50" s="12"/>
      <c r="W50" s="13"/>
      <c r="X50" s="13"/>
      <c r="Y50" s="12"/>
      <c r="Z50" s="14" t="str">
        <f t="shared" si="1"/>
        <v/>
      </c>
      <c r="AA50" s="13"/>
      <c r="AB50" s="15"/>
      <c r="AC50" s="6" t="s">
        <v>263</v>
      </c>
      <c r="AD50" s="6" t="s">
        <v>264</v>
      </c>
      <c r="AE50" s="8" t="s">
        <v>265</v>
      </c>
    </row>
    <row r="51" spans="1:31" ht="45" x14ac:dyDescent="0.25">
      <c r="A51" s="6">
        <v>47</v>
      </c>
      <c r="B51" s="7">
        <v>46246</v>
      </c>
      <c r="C51" s="6" t="s">
        <v>260</v>
      </c>
      <c r="D51" s="8" t="s">
        <v>267</v>
      </c>
      <c r="E51" s="8" t="s">
        <v>262</v>
      </c>
      <c r="F51" s="6" t="s">
        <v>55</v>
      </c>
      <c r="G51" s="6" t="s">
        <v>39</v>
      </c>
      <c r="H51" s="6" t="s">
        <v>40</v>
      </c>
      <c r="I51" s="6" t="s">
        <v>41</v>
      </c>
      <c r="J51" s="9"/>
      <c r="K51" s="9">
        <v>997975</v>
      </c>
      <c r="L51" s="9">
        <v>850000</v>
      </c>
      <c r="M51" s="9"/>
      <c r="N51" s="10">
        <f>IF(AND(ISNUMBER(K51),ISNUMBER(L51),K51&gt;0),L51/K51-1,-0.1483)</f>
        <v>-0.14827525739622738</v>
      </c>
      <c r="O51" s="10">
        <f>IF(AND(ISNUMBER(K51),ISNUMBER(L51),L51&gt;0),1-K51/L51,-0.1741)</f>
        <v>-0.17408823529411754</v>
      </c>
      <c r="P51" s="10" t="str">
        <f t="shared" si="0"/>
        <v/>
      </c>
      <c r="Q51" s="10"/>
      <c r="R51" s="10"/>
      <c r="S51" s="6" t="s">
        <v>42</v>
      </c>
      <c r="T51" s="8"/>
      <c r="U51" s="11"/>
      <c r="V51" s="12"/>
      <c r="W51" s="13"/>
      <c r="X51" s="13"/>
      <c r="Y51" s="12"/>
      <c r="Z51" s="14" t="str">
        <f t="shared" si="1"/>
        <v/>
      </c>
      <c r="AA51" s="13"/>
      <c r="AB51" s="15"/>
      <c r="AC51" s="6" t="s">
        <v>263</v>
      </c>
      <c r="AD51" s="6" t="s">
        <v>264</v>
      </c>
      <c r="AE51" s="8" t="s">
        <v>265</v>
      </c>
    </row>
    <row r="52" spans="1:31" ht="45" x14ac:dyDescent="0.25">
      <c r="A52" s="6">
        <v>48</v>
      </c>
      <c r="B52" s="7">
        <v>46247</v>
      </c>
      <c r="C52" s="6" t="s">
        <v>221</v>
      </c>
      <c r="D52" s="8" t="s">
        <v>222</v>
      </c>
      <c r="E52" s="8" t="s">
        <v>268</v>
      </c>
      <c r="F52" s="6" t="s">
        <v>108</v>
      </c>
      <c r="G52" s="6" t="s">
        <v>48</v>
      </c>
      <c r="H52" s="6" t="s">
        <v>224</v>
      </c>
      <c r="I52" s="6" t="s">
        <v>50</v>
      </c>
      <c r="J52" s="9"/>
      <c r="K52" s="9">
        <v>166470000</v>
      </c>
      <c r="L52" s="9">
        <v>198100000</v>
      </c>
      <c r="M52" s="9">
        <v>241700000</v>
      </c>
      <c r="N52" s="10">
        <f>IF(AND(ISNUMBER(K52),ISNUMBER(L52),K52&gt;0),L52/K52-1,0.19)</f>
        <v>0.19000420496185488</v>
      </c>
      <c r="O52" s="10">
        <f>IF(AND(ISNUMBER(K52),ISNUMBER(L52),L52&gt;0),1-K52/L52,0.19)</f>
        <v>0.15966683493185263</v>
      </c>
      <c r="P52" s="10" t="str">
        <f t="shared" si="0"/>
        <v/>
      </c>
      <c r="Q52" s="10"/>
      <c r="R52" s="10"/>
      <c r="S52" s="6" t="s">
        <v>42</v>
      </c>
      <c r="T52" s="8"/>
      <c r="U52" s="11"/>
      <c r="V52" s="12"/>
      <c r="W52" s="13"/>
      <c r="X52" s="13"/>
      <c r="Y52" s="12"/>
      <c r="Z52" s="14" t="str">
        <f t="shared" si="1"/>
        <v/>
      </c>
      <c r="AA52" s="13"/>
      <c r="AB52" s="15"/>
      <c r="AC52" s="6" t="s">
        <v>225</v>
      </c>
      <c r="AD52" s="6" t="s">
        <v>226</v>
      </c>
      <c r="AE52" s="8" t="s">
        <v>269</v>
      </c>
    </row>
    <row r="53" spans="1:31" ht="45" x14ac:dyDescent="0.25">
      <c r="A53" s="6">
        <v>49</v>
      </c>
      <c r="B53" s="7">
        <v>46248</v>
      </c>
      <c r="C53" s="6"/>
      <c r="D53" s="8" t="s">
        <v>270</v>
      </c>
      <c r="E53" s="8" t="s">
        <v>271</v>
      </c>
      <c r="F53" s="6"/>
      <c r="G53" s="6" t="s">
        <v>48</v>
      </c>
      <c r="H53" s="6" t="s">
        <v>49</v>
      </c>
      <c r="I53" s="6" t="s">
        <v>50</v>
      </c>
      <c r="J53" s="9"/>
      <c r="K53" s="9">
        <v>299810658</v>
      </c>
      <c r="L53" s="9">
        <v>449715987</v>
      </c>
      <c r="M53" s="9">
        <v>548653504</v>
      </c>
      <c r="N53" s="10">
        <f>IF(AND(ISNUMBER(K53),ISNUMBER(L53),K53&gt;0),L53/K53-1,0.5)</f>
        <v>0.5</v>
      </c>
      <c r="O53" s="10">
        <f>IF(AND(ISNUMBER(K53),ISNUMBER(L53),L53&gt;0),1-K53/L53,0.333)</f>
        <v>0.33333333333333337</v>
      </c>
      <c r="P53" s="10" t="str">
        <f t="shared" si="0"/>
        <v/>
      </c>
      <c r="Q53" s="10"/>
      <c r="R53" s="10"/>
      <c r="S53" s="6" t="s">
        <v>42</v>
      </c>
      <c r="T53" s="8"/>
      <c r="U53" s="11"/>
      <c r="V53" s="12"/>
      <c r="W53" s="13"/>
      <c r="X53" s="13"/>
      <c r="Y53" s="12"/>
      <c r="Z53" s="14" t="str">
        <f t="shared" si="1"/>
        <v/>
      </c>
      <c r="AA53" s="13"/>
      <c r="AB53" s="15"/>
      <c r="AC53" s="6" t="s">
        <v>272</v>
      </c>
      <c r="AD53" s="6" t="s">
        <v>273</v>
      </c>
      <c r="AE53" s="8" t="s">
        <v>274</v>
      </c>
    </row>
    <row r="54" spans="1:31" ht="30" x14ac:dyDescent="0.25">
      <c r="A54" s="6">
        <v>50</v>
      </c>
      <c r="B54" s="7">
        <v>46248</v>
      </c>
      <c r="C54" s="6" t="s">
        <v>275</v>
      </c>
      <c r="D54" s="8" t="s">
        <v>276</v>
      </c>
      <c r="E54" s="8" t="s">
        <v>277</v>
      </c>
      <c r="F54" s="6"/>
      <c r="G54" s="6" t="s">
        <v>48</v>
      </c>
      <c r="H54" s="6" t="s">
        <v>49</v>
      </c>
      <c r="I54" s="6" t="s">
        <v>50</v>
      </c>
      <c r="J54" s="9"/>
      <c r="K54" s="9">
        <v>5829971</v>
      </c>
      <c r="L54" s="9">
        <v>7847760</v>
      </c>
      <c r="M54" s="9"/>
      <c r="N54" s="10">
        <f>IF(AND(ISNUMBER(K54),ISNUMBER(L54),K54&gt;0),L54/K54-1,0.3461)</f>
        <v>0.34610618131719684</v>
      </c>
      <c r="O54" s="10">
        <f>IF(AND(ISNUMBER(K54),ISNUMBER(L54),L54&gt;0),1-K54/L54,0.2571)</f>
        <v>0.25711655300365965</v>
      </c>
      <c r="P54" s="10" t="str">
        <f t="shared" si="0"/>
        <v/>
      </c>
      <c r="Q54" s="10"/>
      <c r="R54" s="10"/>
      <c r="S54" s="6" t="s">
        <v>42</v>
      </c>
      <c r="T54" s="8"/>
      <c r="U54" s="11"/>
      <c r="V54" s="12"/>
      <c r="W54" s="13"/>
      <c r="X54" s="13"/>
      <c r="Y54" s="12"/>
      <c r="Z54" s="14" t="str">
        <f t="shared" si="1"/>
        <v/>
      </c>
      <c r="AA54" s="13"/>
      <c r="AB54" s="15"/>
      <c r="AC54" s="6" t="s">
        <v>278</v>
      </c>
      <c r="AD54" s="6" t="s">
        <v>273</v>
      </c>
      <c r="AE54" s="8" t="s">
        <v>279</v>
      </c>
    </row>
    <row r="55" spans="1:31" ht="45" x14ac:dyDescent="0.25">
      <c r="A55" s="6">
        <v>51</v>
      </c>
      <c r="B55" s="7">
        <v>46248</v>
      </c>
      <c r="C55" s="6" t="s">
        <v>280</v>
      </c>
      <c r="D55" s="8" t="s">
        <v>281</v>
      </c>
      <c r="E55" s="8" t="s">
        <v>282</v>
      </c>
      <c r="F55" s="6"/>
      <c r="G55" s="6" t="s">
        <v>244</v>
      </c>
      <c r="H55" s="6" t="s">
        <v>49</v>
      </c>
      <c r="I55" s="6" t="s">
        <v>50</v>
      </c>
      <c r="J55" s="9"/>
      <c r="K55" s="9">
        <v>307742346</v>
      </c>
      <c r="L55" s="9">
        <v>386818000</v>
      </c>
      <c r="M55" s="9"/>
      <c r="N55" s="10">
        <f>IF(AND(ISNUMBER(K55),ISNUMBER(L55),K55&gt;0),L55/K55-1,0.257)</f>
        <v>0.25695408846983958</v>
      </c>
      <c r="O55" s="10">
        <f>IF(AND(ISNUMBER(K55),ISNUMBER(L55),L55&gt;0),1-K55/L55,0.2044)</f>
        <v>0.20442599361973846</v>
      </c>
      <c r="P55" s="10" t="str">
        <f t="shared" si="0"/>
        <v/>
      </c>
      <c r="Q55" s="10"/>
      <c r="R55" s="10"/>
      <c r="S55" s="6" t="s">
        <v>42</v>
      </c>
      <c r="T55" s="8"/>
      <c r="U55" s="11"/>
      <c r="V55" s="12"/>
      <c r="W55" s="13"/>
      <c r="X55" s="13"/>
      <c r="Y55" s="12"/>
      <c r="Z55" s="14" t="str">
        <f t="shared" si="1"/>
        <v/>
      </c>
      <c r="AA55" s="13"/>
      <c r="AB55" s="15"/>
      <c r="AC55" s="6" t="s">
        <v>283</v>
      </c>
      <c r="AD55" s="6" t="s">
        <v>273</v>
      </c>
      <c r="AE55" s="8" t="s">
        <v>284</v>
      </c>
    </row>
    <row r="56" spans="1:31" ht="60" x14ac:dyDescent="0.25">
      <c r="A56" s="6">
        <v>52</v>
      </c>
      <c r="B56" s="7">
        <v>46248</v>
      </c>
      <c r="C56" s="6" t="s">
        <v>285</v>
      </c>
      <c r="D56" s="8" t="s">
        <v>286</v>
      </c>
      <c r="E56" s="8" t="s">
        <v>287</v>
      </c>
      <c r="F56" s="6" t="s">
        <v>183</v>
      </c>
      <c r="G56" s="6" t="s">
        <v>71</v>
      </c>
      <c r="H56" s="6" t="s">
        <v>72</v>
      </c>
      <c r="I56" s="6" t="s">
        <v>50</v>
      </c>
      <c r="J56" s="9"/>
      <c r="K56" s="9">
        <v>3765163</v>
      </c>
      <c r="L56" s="9">
        <v>5181908</v>
      </c>
      <c r="M56" s="9"/>
      <c r="N56" s="10">
        <f>IF(AND(ISNUMBER(K56),ISNUMBER(L56),K56&gt;0),L56/K56-1,0.3763)</f>
        <v>0.37627720234157191</v>
      </c>
      <c r="O56" s="10">
        <f>IF(AND(ISNUMBER(K56),ISNUMBER(L56),L56&gt;0),1-K56/L56,0.2734)</f>
        <v>0.27340219085325324</v>
      </c>
      <c r="P56" s="10" t="str">
        <f t="shared" si="0"/>
        <v/>
      </c>
      <c r="Q56" s="10"/>
      <c r="R56" s="10"/>
      <c r="S56" s="6" t="s">
        <v>42</v>
      </c>
      <c r="T56" s="8"/>
      <c r="U56" s="11"/>
      <c r="V56" s="12"/>
      <c r="W56" s="13"/>
      <c r="X56" s="13"/>
      <c r="Y56" s="12"/>
      <c r="Z56" s="14" t="str">
        <f t="shared" si="1"/>
        <v/>
      </c>
      <c r="AA56" s="13"/>
      <c r="AB56" s="15"/>
      <c r="AC56" s="6" t="s">
        <v>285</v>
      </c>
      <c r="AD56" s="6" t="s">
        <v>273</v>
      </c>
      <c r="AE56" s="8" t="s">
        <v>288</v>
      </c>
    </row>
    <row r="57" spans="1:31" ht="30" x14ac:dyDescent="0.25">
      <c r="A57" s="6">
        <v>53</v>
      </c>
      <c r="B57" s="7">
        <v>46248</v>
      </c>
      <c r="C57" s="6" t="s">
        <v>63</v>
      </c>
      <c r="D57" s="8" t="s">
        <v>289</v>
      </c>
      <c r="E57" s="8" t="s">
        <v>290</v>
      </c>
      <c r="F57" s="6" t="s">
        <v>38</v>
      </c>
      <c r="G57" s="6" t="s">
        <v>48</v>
      </c>
      <c r="H57" s="6" t="s">
        <v>49</v>
      </c>
      <c r="I57" s="6" t="s">
        <v>50</v>
      </c>
      <c r="J57" s="9"/>
      <c r="K57" s="9">
        <v>866935</v>
      </c>
      <c r="L57" s="9">
        <v>1127000</v>
      </c>
      <c r="M57" s="9"/>
      <c r="N57" s="10">
        <f>IF(AND(ISNUMBER(K57),ISNUMBER(L57),K57&gt;0),L57/K57-1,0.3)</f>
        <v>0.29998212092025356</v>
      </c>
      <c r="O57" s="10">
        <f>IF(AND(ISNUMBER(K57),ISNUMBER(L57),L57&gt;0),1-K57/L57,0.2308)</f>
        <v>0.23075865128660156</v>
      </c>
      <c r="P57" s="10" t="str">
        <f t="shared" si="0"/>
        <v/>
      </c>
      <c r="Q57" s="10"/>
      <c r="R57" s="10"/>
      <c r="S57" s="6" t="s">
        <v>42</v>
      </c>
      <c r="T57" s="8"/>
      <c r="U57" s="11"/>
      <c r="V57" s="12"/>
      <c r="W57" s="13"/>
      <c r="X57" s="13"/>
      <c r="Y57" s="12"/>
      <c r="Z57" s="14" t="str">
        <f t="shared" si="1"/>
        <v/>
      </c>
      <c r="AA57" s="13"/>
      <c r="AB57" s="15"/>
      <c r="AC57" s="6" t="s">
        <v>291</v>
      </c>
      <c r="AD57" s="6" t="s">
        <v>273</v>
      </c>
      <c r="AE57" s="8" t="s">
        <v>292</v>
      </c>
    </row>
    <row r="58" spans="1:31" ht="45" x14ac:dyDescent="0.25">
      <c r="A58" s="6">
        <v>54</v>
      </c>
      <c r="B58" s="7">
        <v>46251</v>
      </c>
      <c r="C58" s="6" t="s">
        <v>125</v>
      </c>
      <c r="D58" s="8" t="s">
        <v>293</v>
      </c>
      <c r="E58" s="8" t="s">
        <v>294</v>
      </c>
      <c r="F58" s="6" t="s">
        <v>55</v>
      </c>
      <c r="G58" s="6" t="s">
        <v>48</v>
      </c>
      <c r="H58" s="6" t="s">
        <v>49</v>
      </c>
      <c r="I58" s="6" t="s">
        <v>50</v>
      </c>
      <c r="J58" s="9"/>
      <c r="K58" s="9">
        <v>16338060</v>
      </c>
      <c r="L58" s="9">
        <v>22056388</v>
      </c>
      <c r="M58" s="9">
        <v>26908793</v>
      </c>
      <c r="N58" s="10">
        <f>IF(AND(ISNUMBER(K58),ISNUMBER(L58),K58&gt;0),L58/K58-1,0.35)</f>
        <v>0.35000042844744117</v>
      </c>
      <c r="O58" s="10">
        <f>IF(AND(ISNUMBER(K58),ISNUMBER(L58),L58&gt;0),1-K58/L58,0.2593)</f>
        <v>0.25925949434694384</v>
      </c>
      <c r="P58" s="10" t="str">
        <f t="shared" si="0"/>
        <v/>
      </c>
      <c r="Q58" s="10"/>
      <c r="R58" s="10"/>
      <c r="S58" s="6" t="s">
        <v>42</v>
      </c>
      <c r="T58" s="8"/>
      <c r="U58" s="11"/>
      <c r="V58" s="12"/>
      <c r="W58" s="13"/>
      <c r="X58" s="13"/>
      <c r="Y58" s="12"/>
      <c r="Z58" s="14" t="str">
        <f t="shared" si="1"/>
        <v/>
      </c>
      <c r="AA58" s="13"/>
      <c r="AB58" s="15"/>
      <c r="AC58" s="6" t="s">
        <v>295</v>
      </c>
      <c r="AD58" s="6" t="s">
        <v>296</v>
      </c>
      <c r="AE58" s="8" t="s">
        <v>297</v>
      </c>
    </row>
    <row r="59" spans="1:31" ht="45" x14ac:dyDescent="0.25">
      <c r="A59" s="6">
        <v>55</v>
      </c>
      <c r="B59" s="7">
        <v>46251</v>
      </c>
      <c r="C59" s="6" t="s">
        <v>125</v>
      </c>
      <c r="D59" s="8" t="s">
        <v>298</v>
      </c>
      <c r="E59" s="8" t="s">
        <v>299</v>
      </c>
      <c r="F59" s="6" t="s">
        <v>55</v>
      </c>
      <c r="G59" s="6" t="s">
        <v>149</v>
      </c>
      <c r="H59" s="6" t="s">
        <v>49</v>
      </c>
      <c r="I59" s="6" t="s">
        <v>50</v>
      </c>
      <c r="J59" s="9"/>
      <c r="K59" s="9">
        <v>34553224</v>
      </c>
      <c r="L59" s="9">
        <v>49670000</v>
      </c>
      <c r="M59" s="9">
        <v>60597400</v>
      </c>
      <c r="N59" s="10">
        <f>IF(AND(ISNUMBER(K59),ISNUMBER(L59),K59&gt;0),L59/K59-1,0.4375)</f>
        <v>0.43749248984696765</v>
      </c>
      <c r="O59" s="10">
        <f>IF(AND(ISNUMBER(K59),ISNUMBER(L59),L59&gt;0),1-K59/L59,0.3043)</f>
        <v>0.30434419166498894</v>
      </c>
      <c r="P59" s="10" t="str">
        <f t="shared" si="0"/>
        <v/>
      </c>
      <c r="Q59" s="10">
        <v>0.35</v>
      </c>
      <c r="R59" s="10">
        <v>1</v>
      </c>
      <c r="S59" s="6" t="s">
        <v>42</v>
      </c>
      <c r="T59" s="8"/>
      <c r="U59" s="11"/>
      <c r="V59" s="12"/>
      <c r="W59" s="13"/>
      <c r="X59" s="13"/>
      <c r="Y59" s="12"/>
      <c r="Z59" s="14" t="str">
        <f t="shared" si="1"/>
        <v/>
      </c>
      <c r="AA59" s="13"/>
      <c r="AB59" s="15"/>
      <c r="AC59" s="6" t="s">
        <v>300</v>
      </c>
      <c r="AD59" s="6" t="s">
        <v>301</v>
      </c>
      <c r="AE59" s="8" t="s">
        <v>302</v>
      </c>
    </row>
    <row r="60" spans="1:31" ht="45" x14ac:dyDescent="0.25">
      <c r="A60" s="6">
        <v>56</v>
      </c>
      <c r="B60" s="7">
        <v>46251</v>
      </c>
      <c r="C60" s="6" t="s">
        <v>303</v>
      </c>
      <c r="D60" s="8" t="s">
        <v>304</v>
      </c>
      <c r="E60" s="8" t="s">
        <v>305</v>
      </c>
      <c r="F60" s="6" t="s">
        <v>38</v>
      </c>
      <c r="G60" s="6" t="s">
        <v>48</v>
      </c>
      <c r="H60" s="6" t="s">
        <v>72</v>
      </c>
      <c r="I60" s="6" t="s">
        <v>50</v>
      </c>
      <c r="J60" s="9"/>
      <c r="K60" s="9">
        <v>427747</v>
      </c>
      <c r="L60" s="9">
        <v>933850</v>
      </c>
      <c r="M60" s="9">
        <v>1139297</v>
      </c>
      <c r="N60" s="10">
        <f>IF(AND(ISNUMBER(K60),ISNUMBER(L60),K60&gt;0),L60/K60-1,1.1832)</f>
        <v>1.1831830497934526</v>
      </c>
      <c r="O60" s="10">
        <f>IF(AND(ISNUMBER(K60),ISNUMBER(L60),L60&gt;0),1-K60/L60,0.542)</f>
        <v>0.54195320447609352</v>
      </c>
      <c r="P60" s="10" t="str">
        <f t="shared" si="0"/>
        <v/>
      </c>
      <c r="Q60" s="10">
        <v>0.3</v>
      </c>
      <c r="R60" s="10">
        <v>1.5</v>
      </c>
      <c r="S60" s="6" t="s">
        <v>42</v>
      </c>
      <c r="T60" s="8"/>
      <c r="U60" s="11"/>
      <c r="V60" s="12"/>
      <c r="W60" s="13"/>
      <c r="X60" s="13"/>
      <c r="Y60" s="12"/>
      <c r="Z60" s="14" t="str">
        <f t="shared" si="1"/>
        <v/>
      </c>
      <c r="AA60" s="13"/>
      <c r="AB60" s="15"/>
      <c r="AC60" s="6" t="s">
        <v>306</v>
      </c>
      <c r="AD60" s="6" t="s">
        <v>307</v>
      </c>
      <c r="AE60" s="8" t="s">
        <v>308</v>
      </c>
    </row>
    <row r="61" spans="1:31" ht="45" x14ac:dyDescent="0.25">
      <c r="A61" s="6">
        <v>57</v>
      </c>
      <c r="B61" s="7">
        <v>46251</v>
      </c>
      <c r="C61" s="6" t="s">
        <v>309</v>
      </c>
      <c r="D61" s="8" t="s">
        <v>310</v>
      </c>
      <c r="E61" s="8" t="s">
        <v>311</v>
      </c>
      <c r="F61" s="6" t="s">
        <v>38</v>
      </c>
      <c r="G61" s="6" t="s">
        <v>48</v>
      </c>
      <c r="H61" s="6" t="s">
        <v>49</v>
      </c>
      <c r="I61" s="6" t="s">
        <v>50</v>
      </c>
      <c r="J61" s="9"/>
      <c r="K61" s="9">
        <v>10469802</v>
      </c>
      <c r="L61" s="9">
        <v>14500000</v>
      </c>
      <c r="M61" s="9">
        <v>17690000</v>
      </c>
      <c r="N61" s="10">
        <f>IF(AND(ISNUMBER(K61),ISNUMBER(L61),K61&gt;0),L61/K61-1,0.3849)</f>
        <v>0.38493545532188667</v>
      </c>
      <c r="O61" s="10">
        <f>IF(AND(ISNUMBER(K61),ISNUMBER(L61),L61&gt;0),1-K61/L61,0.278)</f>
        <v>0.27794468965517238</v>
      </c>
      <c r="P61" s="10" t="str">
        <f t="shared" si="0"/>
        <v/>
      </c>
      <c r="Q61" s="10"/>
      <c r="R61" s="10"/>
      <c r="S61" s="6" t="s">
        <v>42</v>
      </c>
      <c r="T61" s="8"/>
      <c r="U61" s="11"/>
      <c r="V61" s="12"/>
      <c r="W61" s="13"/>
      <c r="X61" s="13"/>
      <c r="Y61" s="12"/>
      <c r="Z61" s="14" t="str">
        <f t="shared" si="1"/>
        <v/>
      </c>
      <c r="AA61" s="13"/>
      <c r="AB61" s="15"/>
      <c r="AC61" s="6" t="s">
        <v>312</v>
      </c>
      <c r="AD61" s="6" t="s">
        <v>313</v>
      </c>
      <c r="AE61" s="8" t="s">
        <v>314</v>
      </c>
    </row>
    <row r="62" spans="1:31" ht="45" x14ac:dyDescent="0.25">
      <c r="A62" s="6">
        <v>58</v>
      </c>
      <c r="B62" s="7">
        <v>46252</v>
      </c>
      <c r="C62" s="6" t="s">
        <v>315</v>
      </c>
      <c r="D62" s="8" t="s">
        <v>316</v>
      </c>
      <c r="E62" s="8" t="s">
        <v>317</v>
      </c>
      <c r="F62" s="6" t="s">
        <v>38</v>
      </c>
      <c r="G62" s="6" t="s">
        <v>48</v>
      </c>
      <c r="H62" s="6" t="s">
        <v>72</v>
      </c>
      <c r="I62" s="6" t="s">
        <v>50</v>
      </c>
      <c r="J62" s="9"/>
      <c r="K62" s="9">
        <v>1821221</v>
      </c>
      <c r="L62" s="9">
        <v>2731832</v>
      </c>
      <c r="M62" s="9">
        <v>3332835</v>
      </c>
      <c r="N62" s="10">
        <f>IF(AND(ISNUMBER(K62),ISNUMBER(L62),K62&gt;0),L62/K62-1,0.5)</f>
        <v>0.50000027454109075</v>
      </c>
      <c r="O62" s="10">
        <f>IF(AND(ISNUMBER(K62),ISNUMBER(L62),L62&gt;0),1-K62/L62,0.33)</f>
        <v>0.33333345535157355</v>
      </c>
      <c r="P62" s="10" t="str">
        <f t="shared" si="0"/>
        <v/>
      </c>
      <c r="Q62" s="10"/>
      <c r="R62" s="10"/>
      <c r="S62" s="6" t="s">
        <v>99</v>
      </c>
      <c r="T62" s="8"/>
      <c r="U62" s="11"/>
      <c r="V62" s="12"/>
      <c r="W62" s="13" t="s">
        <v>318</v>
      </c>
      <c r="X62" s="13"/>
      <c r="Y62" s="12"/>
      <c r="Z62" s="14" t="str">
        <f t="shared" si="1"/>
        <v/>
      </c>
      <c r="AA62" s="13"/>
      <c r="AB62" s="15"/>
      <c r="AC62" s="6"/>
      <c r="AD62" s="6" t="s">
        <v>319</v>
      </c>
      <c r="AE62" s="8" t="s">
        <v>320</v>
      </c>
    </row>
    <row r="63" spans="1:31" ht="30" x14ac:dyDescent="0.25">
      <c r="A63" s="6">
        <v>59</v>
      </c>
      <c r="B63" s="7">
        <v>46253</v>
      </c>
      <c r="C63" s="6" t="s">
        <v>321</v>
      </c>
      <c r="D63" s="8" t="s">
        <v>322</v>
      </c>
      <c r="E63" s="8" t="s">
        <v>323</v>
      </c>
      <c r="F63" s="6" t="s">
        <v>38</v>
      </c>
      <c r="G63" s="6" t="s">
        <v>48</v>
      </c>
      <c r="H63" s="6" t="s">
        <v>49</v>
      </c>
      <c r="I63" s="6" t="s">
        <v>50</v>
      </c>
      <c r="J63" s="9"/>
      <c r="K63" s="9">
        <v>4055407</v>
      </c>
      <c r="L63" s="9">
        <v>5474799</v>
      </c>
      <c r="M63" s="9">
        <v>6679255</v>
      </c>
      <c r="N63" s="10">
        <f>IF(AND(ISNUMBER(K63),ISNUMBER(L63),K63&gt;0),L63/K63-1,0.35)</f>
        <v>0.34999988903703128</v>
      </c>
      <c r="O63" s="10">
        <f>IF(AND(ISNUMBER(K63),ISNUMBER(L63),L63&gt;0),1-K63/L63,0.259)</f>
        <v>0.2592591983742234</v>
      </c>
      <c r="P63" s="10" t="str">
        <f t="shared" si="0"/>
        <v/>
      </c>
      <c r="Q63" s="10">
        <v>0.25</v>
      </c>
      <c r="R63" s="10">
        <v>1.7527999999999999</v>
      </c>
      <c r="S63" s="6" t="s">
        <v>99</v>
      </c>
      <c r="T63" s="8"/>
      <c r="U63" s="11"/>
      <c r="V63" s="12"/>
      <c r="W63" s="13" t="s">
        <v>318</v>
      </c>
      <c r="X63" s="13"/>
      <c r="Y63" s="12"/>
      <c r="Z63" s="14" t="str">
        <f t="shared" si="1"/>
        <v/>
      </c>
      <c r="AA63" s="13"/>
      <c r="AB63" s="15"/>
      <c r="AC63" s="6"/>
      <c r="AD63" s="6" t="s">
        <v>324</v>
      </c>
      <c r="AE63" s="8" t="s">
        <v>325</v>
      </c>
    </row>
    <row r="64" spans="1:31" ht="45" x14ac:dyDescent="0.25">
      <c r="A64" s="6">
        <v>60</v>
      </c>
      <c r="B64" s="7">
        <v>46253</v>
      </c>
      <c r="C64" s="6" t="s">
        <v>326</v>
      </c>
      <c r="D64" s="8" t="s">
        <v>327</v>
      </c>
      <c r="E64" s="8" t="s">
        <v>328</v>
      </c>
      <c r="F64" s="6" t="s">
        <v>55</v>
      </c>
      <c r="G64" s="6" t="s">
        <v>149</v>
      </c>
      <c r="H64" s="6" t="s">
        <v>49</v>
      </c>
      <c r="I64" s="6" t="s">
        <v>50</v>
      </c>
      <c r="J64" s="9"/>
      <c r="K64" s="9">
        <v>32646810</v>
      </c>
      <c r="L64" s="9">
        <v>41630000</v>
      </c>
      <c r="M64" s="9">
        <v>50788600</v>
      </c>
      <c r="N64" s="10">
        <f>IF(AND(ISNUMBER(K64),ISNUMBER(L64),K64&gt;0),L64/K64-1,0.275)</f>
        <v>0.27516287196206912</v>
      </c>
      <c r="O64" s="10">
        <f>IF(AND(ISNUMBER(K64),ISNUMBER(L64),L64&gt;0),1-K64/L64,0.216)</f>
        <v>0.21578645207782854</v>
      </c>
      <c r="P64" s="10" t="str">
        <f t="shared" si="0"/>
        <v/>
      </c>
      <c r="Q64" s="10"/>
      <c r="R64" s="10"/>
      <c r="S64" s="6" t="s">
        <v>42</v>
      </c>
      <c r="T64" s="8"/>
      <c r="U64" s="11"/>
      <c r="V64" s="12"/>
      <c r="W64" s="13"/>
      <c r="X64" s="13"/>
      <c r="Y64" s="12"/>
      <c r="Z64" s="14" t="str">
        <f t="shared" si="1"/>
        <v/>
      </c>
      <c r="AA64" s="13"/>
      <c r="AB64" s="15"/>
      <c r="AC64" s="6" t="s">
        <v>329</v>
      </c>
      <c r="AD64" s="6" t="s">
        <v>330</v>
      </c>
      <c r="AE64" s="8" t="s">
        <v>331</v>
      </c>
    </row>
    <row r="65" spans="1:31" ht="45" x14ac:dyDescent="0.25">
      <c r="A65" s="6">
        <v>61</v>
      </c>
      <c r="B65" s="7">
        <v>46253</v>
      </c>
      <c r="C65" s="6" t="s">
        <v>332</v>
      </c>
      <c r="D65" s="8" t="s">
        <v>333</v>
      </c>
      <c r="E65" s="8" t="s">
        <v>334</v>
      </c>
      <c r="F65" s="6" t="s">
        <v>183</v>
      </c>
      <c r="G65" s="6" t="s">
        <v>71</v>
      </c>
      <c r="H65" s="6" t="s">
        <v>72</v>
      </c>
      <c r="I65" s="6" t="s">
        <v>50</v>
      </c>
      <c r="J65" s="9"/>
      <c r="K65" s="9">
        <v>18483606.559999999</v>
      </c>
      <c r="L65" s="9">
        <v>68814902.459999993</v>
      </c>
      <c r="M65" s="9">
        <v>83954181</v>
      </c>
      <c r="N65" s="10">
        <f>IF(AND(ISNUMBER(K65),ISNUMBER(L65),K65&gt;0),L65/K65-1,2.723)</f>
        <v>2.7230235471967328</v>
      </c>
      <c r="O65" s="10">
        <f>IF(AND(ISNUMBER(K65),ISNUMBER(L65),L65&gt;0),1-K65/L65,0.731)</f>
        <v>0.73140110791054369</v>
      </c>
      <c r="P65" s="10" t="str">
        <f t="shared" si="0"/>
        <v/>
      </c>
      <c r="Q65" s="10">
        <v>1.9</v>
      </c>
      <c r="R65" s="10">
        <v>5</v>
      </c>
      <c r="S65" s="6" t="s">
        <v>42</v>
      </c>
      <c r="T65" s="8"/>
      <c r="U65" s="11"/>
      <c r="V65" s="12"/>
      <c r="W65" s="13"/>
      <c r="X65" s="13"/>
      <c r="Y65" s="12"/>
      <c r="Z65" s="14" t="str">
        <f t="shared" si="1"/>
        <v/>
      </c>
      <c r="AA65" s="13"/>
      <c r="AB65" s="15"/>
      <c r="AC65" s="6" t="s">
        <v>335</v>
      </c>
      <c r="AD65" s="6" t="s">
        <v>336</v>
      </c>
      <c r="AE65" s="8" t="s">
        <v>337</v>
      </c>
    </row>
    <row r="66" spans="1:31" ht="30" x14ac:dyDescent="0.25">
      <c r="A66" s="6">
        <v>62</v>
      </c>
      <c r="B66" s="7">
        <v>46253</v>
      </c>
      <c r="C66" s="6" t="s">
        <v>338</v>
      </c>
      <c r="D66" s="8" t="s">
        <v>339</v>
      </c>
      <c r="E66" s="8" t="s">
        <v>340</v>
      </c>
      <c r="F66" s="6" t="s">
        <v>38</v>
      </c>
      <c r="G66" s="6" t="s">
        <v>48</v>
      </c>
      <c r="H66" s="6" t="s">
        <v>72</v>
      </c>
      <c r="I66" s="6" t="s">
        <v>50</v>
      </c>
      <c r="J66" s="9"/>
      <c r="K66" s="9">
        <v>2650838</v>
      </c>
      <c r="L66" s="9"/>
      <c r="M66" s="9"/>
      <c r="N66" s="10" t="str">
        <f>IF(AND(ISNUMBER(K66),ISNUMBER(L66),K66&gt;0),L66/K66-1,"")</f>
        <v/>
      </c>
      <c r="O66" s="10" t="str">
        <f>IF(AND(ISNUMBER(K66),ISNUMBER(L66),L66&gt;0),1-K66/L66,"")</f>
        <v/>
      </c>
      <c r="P66" s="10" t="str">
        <f t="shared" si="0"/>
        <v/>
      </c>
      <c r="Q66" s="10"/>
      <c r="R66" s="10"/>
      <c r="S66" s="6" t="s">
        <v>42</v>
      </c>
      <c r="T66" s="8"/>
      <c r="U66" s="11"/>
      <c r="V66" s="12"/>
      <c r="W66" s="13"/>
      <c r="X66" s="13"/>
      <c r="Y66" s="12"/>
      <c r="Z66" s="14" t="str">
        <f t="shared" si="1"/>
        <v/>
      </c>
      <c r="AA66" s="13"/>
      <c r="AB66" s="15"/>
      <c r="AC66" s="6" t="s">
        <v>341</v>
      </c>
      <c r="AD66" s="6" t="s">
        <v>342</v>
      </c>
      <c r="AE66" s="8" t="s">
        <v>343</v>
      </c>
    </row>
    <row r="67" spans="1:31" ht="45" x14ac:dyDescent="0.25">
      <c r="A67" s="6">
        <v>63</v>
      </c>
      <c r="B67" s="7">
        <v>46253</v>
      </c>
      <c r="C67" s="6" t="s">
        <v>344</v>
      </c>
      <c r="D67" s="8" t="s">
        <v>345</v>
      </c>
      <c r="E67" s="8" t="s">
        <v>346</v>
      </c>
      <c r="F67" s="6" t="s">
        <v>55</v>
      </c>
      <c r="G67" s="6" t="s">
        <v>39</v>
      </c>
      <c r="H67" s="6" t="s">
        <v>40</v>
      </c>
      <c r="I67" s="6" t="s">
        <v>80</v>
      </c>
      <c r="J67" s="9"/>
      <c r="K67" s="9">
        <v>5449320</v>
      </c>
      <c r="L67" s="9">
        <v>8069900</v>
      </c>
      <c r="M67" s="9">
        <v>9845278</v>
      </c>
      <c r="N67" s="10">
        <f>IF(AND(ISNUMBER(K67),ISNUMBER(L67),K67&gt;0),L67/K67-1,0.4809)</f>
        <v>0.48090036922037971</v>
      </c>
      <c r="O67" s="10">
        <f>IF(AND(ISNUMBER(K67),ISNUMBER(L67),L67&gt;0),1-K67/L67,0.325)</f>
        <v>0.3247351268293287</v>
      </c>
      <c r="P67" s="10" t="str">
        <f t="shared" si="0"/>
        <v/>
      </c>
      <c r="Q67" s="10"/>
      <c r="R67" s="10"/>
      <c r="S67" s="6" t="s">
        <v>42</v>
      </c>
      <c r="T67" s="8"/>
      <c r="U67" s="11"/>
      <c r="V67" s="12"/>
      <c r="W67" s="13"/>
      <c r="X67" s="13"/>
      <c r="Y67" s="12"/>
      <c r="Z67" s="14" t="str">
        <f t="shared" si="1"/>
        <v/>
      </c>
      <c r="AA67" s="13"/>
      <c r="AB67" s="15"/>
      <c r="AC67" s="6" t="s">
        <v>347</v>
      </c>
      <c r="AD67" s="6" t="s">
        <v>348</v>
      </c>
      <c r="AE67" s="8" t="s">
        <v>349</v>
      </c>
    </row>
    <row r="68" spans="1:31" ht="45" x14ac:dyDescent="0.25">
      <c r="A68" s="6">
        <v>64</v>
      </c>
      <c r="B68" s="7">
        <v>46254</v>
      </c>
      <c r="C68" s="6" t="s">
        <v>350</v>
      </c>
      <c r="D68" s="8" t="s">
        <v>351</v>
      </c>
      <c r="E68" s="8" t="s">
        <v>352</v>
      </c>
      <c r="F68" s="6" t="s">
        <v>38</v>
      </c>
      <c r="G68" s="6" t="s">
        <v>48</v>
      </c>
      <c r="H68" s="6" t="s">
        <v>49</v>
      </c>
      <c r="I68" s="6" t="s">
        <v>50</v>
      </c>
      <c r="J68" s="9">
        <v>50000000</v>
      </c>
      <c r="K68" s="9">
        <v>26840000</v>
      </c>
      <c r="L68" s="9"/>
      <c r="M68" s="9"/>
      <c r="N68" s="10" t="str">
        <f>IF(AND(ISNUMBER(K68),ISNUMBER(L68),K68&gt;0),L68/K68-1,"")</f>
        <v/>
      </c>
      <c r="O68" s="10" t="str">
        <f>IF(AND(ISNUMBER(K68),ISNUMBER(L68),L68&gt;0),1-K68/L68,"")</f>
        <v/>
      </c>
      <c r="P68" s="10" t="str">
        <f t="shared" si="0"/>
        <v/>
      </c>
      <c r="Q68" s="10"/>
      <c r="R68" s="10"/>
      <c r="S68" s="6" t="s">
        <v>42</v>
      </c>
      <c r="T68" s="8"/>
      <c r="U68" s="11"/>
      <c r="V68" s="12"/>
      <c r="W68" s="13"/>
      <c r="X68" s="13"/>
      <c r="Y68" s="12"/>
      <c r="Z68" s="14" t="str">
        <f t="shared" si="1"/>
        <v/>
      </c>
      <c r="AA68" s="13"/>
      <c r="AB68" s="15"/>
      <c r="AC68" s="6"/>
      <c r="AD68" s="6" t="s">
        <v>353</v>
      </c>
      <c r="AE68" s="8" t="s">
        <v>354</v>
      </c>
    </row>
    <row r="69" spans="1:31" ht="45" x14ac:dyDescent="0.25">
      <c r="A69" s="6">
        <v>65</v>
      </c>
      <c r="B69" s="7">
        <v>46254</v>
      </c>
      <c r="C69" s="6" t="s">
        <v>350</v>
      </c>
      <c r="D69" s="8" t="s">
        <v>355</v>
      </c>
      <c r="E69" s="8" t="s">
        <v>356</v>
      </c>
      <c r="F69" s="6" t="s">
        <v>38</v>
      </c>
      <c r="G69" s="6" t="s">
        <v>48</v>
      </c>
      <c r="H69" s="6" t="s">
        <v>49</v>
      </c>
      <c r="I69" s="6" t="s">
        <v>50</v>
      </c>
      <c r="J69" s="9">
        <v>38770000</v>
      </c>
      <c r="K69" s="9">
        <v>26250000</v>
      </c>
      <c r="L69" s="9"/>
      <c r="M69" s="9"/>
      <c r="N69" s="10" t="str">
        <f>IF(AND(ISNUMBER(K69),ISNUMBER(L69),K69&gt;0),L69/K69-1,"")</f>
        <v/>
      </c>
      <c r="O69" s="10" t="str">
        <f>IF(AND(ISNUMBER(K69),ISNUMBER(L69),L69&gt;0),1-K69/L69,"")</f>
        <v/>
      </c>
      <c r="P69" s="10" t="str">
        <f t="shared" ref="P69:P132" si="4">IF(AND(ISNUMBER(J69),ISNUMBER(L69),J69&gt;0),L69/J69-1,"")</f>
        <v/>
      </c>
      <c r="Q69" s="10"/>
      <c r="R69" s="10"/>
      <c r="S69" s="6" t="s">
        <v>42</v>
      </c>
      <c r="T69" s="8"/>
      <c r="U69" s="11"/>
      <c r="V69" s="12"/>
      <c r="W69" s="13"/>
      <c r="X69" s="13"/>
      <c r="Y69" s="12"/>
      <c r="Z69" s="14" t="str">
        <f t="shared" ref="Z69:Z132" si="5">IF(AND(ISNUMBER(V69),ISNUMBER(Y69),Y69&gt;0),V69/Y69-1,"")</f>
        <v/>
      </c>
      <c r="AA69" s="13"/>
      <c r="AB69" s="15"/>
      <c r="AC69" s="6"/>
      <c r="AD69" s="6" t="s">
        <v>353</v>
      </c>
      <c r="AE69" s="8" t="s">
        <v>357</v>
      </c>
    </row>
    <row r="70" spans="1:31" ht="30" x14ac:dyDescent="0.25">
      <c r="A70" s="6">
        <v>66</v>
      </c>
      <c r="B70" s="7">
        <v>46255</v>
      </c>
      <c r="C70" s="6" t="s">
        <v>131</v>
      </c>
      <c r="D70" s="8" t="s">
        <v>358</v>
      </c>
      <c r="E70" s="8" t="s">
        <v>359</v>
      </c>
      <c r="F70" s="6" t="s">
        <v>360</v>
      </c>
      <c r="G70" s="6" t="s">
        <v>39</v>
      </c>
      <c r="H70" s="6" t="s">
        <v>40</v>
      </c>
      <c r="I70" s="6" t="s">
        <v>80</v>
      </c>
      <c r="J70" s="9"/>
      <c r="K70" s="9">
        <v>366400000</v>
      </c>
      <c r="L70" s="9"/>
      <c r="M70" s="9"/>
      <c r="N70" s="10" t="str">
        <f>IF(AND(ISNUMBER(K70),ISNUMBER(L70),K70&gt;0),L70/K70-1,"")</f>
        <v/>
      </c>
      <c r="O70" s="10" t="str">
        <f>IF(AND(ISNUMBER(K70),ISNUMBER(L70),L70&gt;0),1-K70/L70,"")</f>
        <v/>
      </c>
      <c r="P70" s="10" t="str">
        <f t="shared" si="4"/>
        <v/>
      </c>
      <c r="Q70" s="10"/>
      <c r="R70" s="10"/>
      <c r="S70" s="6" t="s">
        <v>42</v>
      </c>
      <c r="T70" s="8"/>
      <c r="U70" s="11"/>
      <c r="V70" s="12"/>
      <c r="W70" s="13"/>
      <c r="X70" s="13"/>
      <c r="Y70" s="12"/>
      <c r="Z70" s="14" t="str">
        <f t="shared" si="5"/>
        <v/>
      </c>
      <c r="AA70" s="13"/>
      <c r="AB70" s="15"/>
      <c r="AC70" s="6" t="s">
        <v>361</v>
      </c>
      <c r="AD70" s="6" t="s">
        <v>362</v>
      </c>
      <c r="AE70" s="8" t="s">
        <v>363</v>
      </c>
    </row>
    <row r="71" spans="1:31" ht="45" x14ac:dyDescent="0.25">
      <c r="A71" s="6">
        <v>67</v>
      </c>
      <c r="B71" s="7">
        <v>46255</v>
      </c>
      <c r="C71" s="6" t="s">
        <v>364</v>
      </c>
      <c r="D71" s="8" t="s">
        <v>365</v>
      </c>
      <c r="E71" s="8" t="s">
        <v>366</v>
      </c>
      <c r="F71" s="6" t="s">
        <v>211</v>
      </c>
      <c r="G71" s="6" t="s">
        <v>48</v>
      </c>
      <c r="H71" s="6" t="s">
        <v>49</v>
      </c>
      <c r="I71" s="6" t="s">
        <v>50</v>
      </c>
      <c r="J71" s="9"/>
      <c r="K71" s="9">
        <v>2643130</v>
      </c>
      <c r="L71" s="9">
        <v>3395281</v>
      </c>
      <c r="M71" s="9">
        <v>4142243</v>
      </c>
      <c r="N71" s="10">
        <f>IF(AND(ISNUMBER(K71),ISNUMBER(L71),K71&gt;0),L71/K71-1,0.2846)</f>
        <v>0.28456829592188049</v>
      </c>
      <c r="O71" s="10">
        <f>IF(AND(ISNUMBER(K71),ISNUMBER(L71),L71&gt;0),1-K71/L71,0.222)</f>
        <v>0.22152835067259524</v>
      </c>
      <c r="P71" s="10" t="str">
        <f t="shared" si="4"/>
        <v/>
      </c>
      <c r="Q71" s="10">
        <v>0.15</v>
      </c>
      <c r="R71" s="10">
        <v>0.35</v>
      </c>
      <c r="S71" s="6" t="s">
        <v>42</v>
      </c>
      <c r="T71" s="8"/>
      <c r="U71" s="11"/>
      <c r="V71" s="12"/>
      <c r="W71" s="13"/>
      <c r="X71" s="13"/>
      <c r="Y71" s="12"/>
      <c r="Z71" s="14" t="str">
        <f t="shared" si="5"/>
        <v/>
      </c>
      <c r="AA71" s="13"/>
      <c r="AB71" s="15"/>
      <c r="AC71" s="6" t="s">
        <v>367</v>
      </c>
      <c r="AD71" s="6" t="s">
        <v>368</v>
      </c>
      <c r="AE71" s="8" t="s">
        <v>369</v>
      </c>
    </row>
    <row r="72" spans="1:31" ht="45" x14ac:dyDescent="0.25">
      <c r="A72" s="6">
        <v>68</v>
      </c>
      <c r="B72" s="7">
        <v>46255</v>
      </c>
      <c r="C72" s="6" t="s">
        <v>370</v>
      </c>
      <c r="D72" s="8" t="s">
        <v>371</v>
      </c>
      <c r="E72" s="8" t="s">
        <v>372</v>
      </c>
      <c r="F72" s="6" t="s">
        <v>38</v>
      </c>
      <c r="G72" s="6" t="s">
        <v>48</v>
      </c>
      <c r="H72" s="6" t="s">
        <v>161</v>
      </c>
      <c r="I72" s="6" t="s">
        <v>50</v>
      </c>
      <c r="J72" s="9">
        <v>3964220.42</v>
      </c>
      <c r="K72" s="9">
        <v>2251740</v>
      </c>
      <c r="L72" s="9"/>
      <c r="M72" s="9"/>
      <c r="N72" s="10" t="str">
        <f>IF(AND(ISNUMBER(K72),ISNUMBER(L72),K72&gt;0),L72/K72-1,"")</f>
        <v/>
      </c>
      <c r="O72" s="10" t="str">
        <f>IF(AND(ISNUMBER(K72),ISNUMBER(L72),L72&gt;0),1-K72/L72,"")</f>
        <v/>
      </c>
      <c r="P72" s="10" t="str">
        <f t="shared" si="4"/>
        <v/>
      </c>
      <c r="Q72" s="10"/>
      <c r="R72" s="10"/>
      <c r="S72" s="6" t="s">
        <v>42</v>
      </c>
      <c r="T72" s="8"/>
      <c r="U72" s="11"/>
      <c r="V72" s="12"/>
      <c r="W72" s="13"/>
      <c r="X72" s="13"/>
      <c r="Y72" s="12"/>
      <c r="Z72" s="14" t="str">
        <f t="shared" si="5"/>
        <v/>
      </c>
      <c r="AA72" s="13"/>
      <c r="AB72" s="15"/>
      <c r="AC72" s="6" t="s">
        <v>373</v>
      </c>
      <c r="AD72" s="6" t="s">
        <v>374</v>
      </c>
      <c r="AE72" s="8" t="s">
        <v>375</v>
      </c>
    </row>
    <row r="73" spans="1:31" ht="45" x14ac:dyDescent="0.25">
      <c r="A73" s="6">
        <v>69</v>
      </c>
      <c r="B73" s="7">
        <v>46258</v>
      </c>
      <c r="C73" s="6" t="s">
        <v>376</v>
      </c>
      <c r="D73" s="8" t="s">
        <v>377</v>
      </c>
      <c r="E73" s="8" t="s">
        <v>378</v>
      </c>
      <c r="F73" s="6" t="s">
        <v>38</v>
      </c>
      <c r="G73" s="6" t="s">
        <v>48</v>
      </c>
      <c r="H73" s="6" t="s">
        <v>49</v>
      </c>
      <c r="I73" s="6" t="s">
        <v>50</v>
      </c>
      <c r="J73" s="9"/>
      <c r="K73" s="9">
        <v>5200462</v>
      </c>
      <c r="L73" s="9">
        <v>7800694</v>
      </c>
      <c r="M73" s="9">
        <v>9516847</v>
      </c>
      <c r="N73" s="10">
        <f>IF(AND(ISNUMBER(K73),ISNUMBER(L73),K73&gt;0),L73/K73-1,0.5)</f>
        <v>0.5000001922906081</v>
      </c>
      <c r="O73" s="10">
        <f>IF(AND(ISNUMBER(K73),ISNUMBER(L73),L73&gt;0),1-K73/L73,0.333)</f>
        <v>0.3333334187958148</v>
      </c>
      <c r="P73" s="10" t="str">
        <f t="shared" si="4"/>
        <v/>
      </c>
      <c r="Q73" s="10">
        <v>0.45</v>
      </c>
      <c r="R73" s="10">
        <v>2.3532999999999999</v>
      </c>
      <c r="S73" s="6" t="s">
        <v>99</v>
      </c>
      <c r="T73" s="8"/>
      <c r="U73" s="11"/>
      <c r="V73" s="12"/>
      <c r="W73" s="13" t="s">
        <v>318</v>
      </c>
      <c r="X73" s="13"/>
      <c r="Y73" s="12"/>
      <c r="Z73" s="14" t="str">
        <f t="shared" si="5"/>
        <v/>
      </c>
      <c r="AA73" s="13"/>
      <c r="AB73" s="15"/>
      <c r="AC73" s="6" t="s">
        <v>379</v>
      </c>
      <c r="AD73" s="6" t="s">
        <v>380</v>
      </c>
      <c r="AE73" s="8" t="s">
        <v>381</v>
      </c>
    </row>
    <row r="74" spans="1:31" ht="30" x14ac:dyDescent="0.25">
      <c r="A74" s="6">
        <v>70</v>
      </c>
      <c r="B74" s="7">
        <v>46258</v>
      </c>
      <c r="C74" s="6" t="s">
        <v>376</v>
      </c>
      <c r="D74" s="8" t="s">
        <v>382</v>
      </c>
      <c r="E74" s="8" t="s">
        <v>383</v>
      </c>
      <c r="F74" s="6" t="s">
        <v>38</v>
      </c>
      <c r="G74" s="6" t="s">
        <v>48</v>
      </c>
      <c r="H74" s="6" t="s">
        <v>49</v>
      </c>
      <c r="I74" s="6" t="s">
        <v>50</v>
      </c>
      <c r="J74" s="9"/>
      <c r="K74" s="9">
        <v>803609</v>
      </c>
      <c r="L74" s="9">
        <v>1205413</v>
      </c>
      <c r="M74" s="9">
        <v>1470604</v>
      </c>
      <c r="N74" s="10">
        <f>IF(AND(ISNUMBER(K74),ISNUMBER(L74),K74&gt;0),L74/K74-1,0.5)</f>
        <v>0.49999937780686876</v>
      </c>
      <c r="O74" s="10">
        <f>IF(AND(ISNUMBER(K74),ISNUMBER(L74),L74&gt;0),1-K74/L74,0.333)</f>
        <v>0.33333305680293812</v>
      </c>
      <c r="P74" s="10" t="str">
        <f t="shared" si="4"/>
        <v/>
      </c>
      <c r="Q74" s="10">
        <v>0.3</v>
      </c>
      <c r="R74" s="10">
        <v>0.75480000000000003</v>
      </c>
      <c r="S74" s="6" t="s">
        <v>99</v>
      </c>
      <c r="T74" s="8"/>
      <c r="U74" s="11"/>
      <c r="V74" s="12"/>
      <c r="W74" s="13" t="s">
        <v>318</v>
      </c>
      <c r="X74" s="13"/>
      <c r="Y74" s="12"/>
      <c r="Z74" s="14" t="str">
        <f t="shared" si="5"/>
        <v/>
      </c>
      <c r="AA74" s="13"/>
      <c r="AB74" s="15"/>
      <c r="AC74" s="6" t="s">
        <v>384</v>
      </c>
      <c r="AD74" s="6" t="s">
        <v>380</v>
      </c>
      <c r="AE74" s="8" t="s">
        <v>385</v>
      </c>
    </row>
    <row r="75" spans="1:31" ht="30" x14ac:dyDescent="0.25">
      <c r="A75" s="6">
        <v>71</v>
      </c>
      <c r="B75" s="7">
        <v>46258</v>
      </c>
      <c r="C75" s="6" t="s">
        <v>386</v>
      </c>
      <c r="D75" s="8" t="s">
        <v>387</v>
      </c>
      <c r="E75" s="8" t="s">
        <v>388</v>
      </c>
      <c r="F75" s="6" t="s">
        <v>38</v>
      </c>
      <c r="G75" s="6" t="s">
        <v>48</v>
      </c>
      <c r="H75" s="6" t="s">
        <v>49</v>
      </c>
      <c r="I75" s="6" t="s">
        <v>50</v>
      </c>
      <c r="J75" s="9"/>
      <c r="K75" s="9">
        <v>3053665</v>
      </c>
      <c r="L75" s="9"/>
      <c r="M75" s="9"/>
      <c r="N75" s="10" t="str">
        <f>IF(AND(ISNUMBER(K75),ISNUMBER(L75),K75&gt;0),L75/K75-1,"")</f>
        <v/>
      </c>
      <c r="O75" s="10" t="str">
        <f>IF(AND(ISNUMBER(K75),ISNUMBER(L75),L75&gt;0),1-K75/L75,"")</f>
        <v/>
      </c>
      <c r="P75" s="10" t="str">
        <f t="shared" si="4"/>
        <v/>
      </c>
      <c r="Q75" s="10"/>
      <c r="R75" s="10"/>
      <c r="S75" s="6" t="s">
        <v>42</v>
      </c>
      <c r="T75" s="8"/>
      <c r="U75" s="11"/>
      <c r="V75" s="12"/>
      <c r="W75" s="13"/>
      <c r="X75" s="13"/>
      <c r="Y75" s="12"/>
      <c r="Z75" s="14" t="str">
        <f t="shared" si="5"/>
        <v/>
      </c>
      <c r="AA75" s="13"/>
      <c r="AB75" s="15"/>
      <c r="AC75" s="6" t="s">
        <v>389</v>
      </c>
      <c r="AD75" s="6" t="s">
        <v>390</v>
      </c>
      <c r="AE75" s="8" t="s">
        <v>391</v>
      </c>
    </row>
    <row r="76" spans="1:31" ht="45" x14ac:dyDescent="0.25">
      <c r="A76" s="6">
        <v>72</v>
      </c>
      <c r="B76" s="7">
        <v>46261</v>
      </c>
      <c r="C76" s="6" t="s">
        <v>392</v>
      </c>
      <c r="D76" s="8" t="s">
        <v>393</v>
      </c>
      <c r="E76" s="8" t="s">
        <v>394</v>
      </c>
      <c r="F76" s="6" t="s">
        <v>38</v>
      </c>
      <c r="G76" s="6" t="s">
        <v>48</v>
      </c>
      <c r="H76" s="6" t="s">
        <v>49</v>
      </c>
      <c r="I76" s="6" t="s">
        <v>50</v>
      </c>
      <c r="J76" s="9"/>
      <c r="K76" s="9">
        <v>3089414</v>
      </c>
      <c r="L76" s="9">
        <v>4325000</v>
      </c>
      <c r="M76" s="9">
        <v>5276500</v>
      </c>
      <c r="N76" s="10">
        <f>IF(AND(ISNUMBER(K76),ISNUMBER(L76),K76&gt;0),L76/K76-1,0.4)</f>
        <v>0.39994186599788817</v>
      </c>
      <c r="O76" s="10">
        <f>IF(AND(ISNUMBER(K76),ISNUMBER(L76),L76&gt;0),1-K76/L76,0.286)</f>
        <v>0.28568462427745667</v>
      </c>
      <c r="P76" s="10" t="str">
        <f t="shared" si="4"/>
        <v/>
      </c>
      <c r="Q76" s="10">
        <v>0.2</v>
      </c>
      <c r="R76" s="10">
        <v>0.54400000000000004</v>
      </c>
      <c r="S76" s="6" t="s">
        <v>42</v>
      </c>
      <c r="T76" s="8"/>
      <c r="U76" s="11"/>
      <c r="V76" s="12"/>
      <c r="W76" s="13"/>
      <c r="X76" s="13"/>
      <c r="Y76" s="12"/>
      <c r="Z76" s="14" t="str">
        <f t="shared" si="5"/>
        <v/>
      </c>
      <c r="AA76" s="13"/>
      <c r="AB76" s="15"/>
      <c r="AC76" s="6" t="s">
        <v>395</v>
      </c>
      <c r="AD76" s="6" t="s">
        <v>396</v>
      </c>
      <c r="AE76" s="8" t="s">
        <v>397</v>
      </c>
    </row>
    <row r="77" spans="1:31" ht="30" x14ac:dyDescent="0.25">
      <c r="A77" s="6">
        <v>73</v>
      </c>
      <c r="B77" s="7">
        <v>46261</v>
      </c>
      <c r="C77" s="6" t="s">
        <v>45</v>
      </c>
      <c r="D77" s="8" t="s">
        <v>398</v>
      </c>
      <c r="E77" s="8" t="s">
        <v>399</v>
      </c>
      <c r="F77" s="6" t="s">
        <v>38</v>
      </c>
      <c r="G77" s="6" t="s">
        <v>48</v>
      </c>
      <c r="H77" s="6" t="s">
        <v>49</v>
      </c>
      <c r="I77" s="6" t="s">
        <v>50</v>
      </c>
      <c r="J77" s="9"/>
      <c r="K77" s="9">
        <v>2830715</v>
      </c>
      <c r="L77" s="9">
        <v>3680000</v>
      </c>
      <c r="M77" s="9">
        <v>4489600</v>
      </c>
      <c r="N77" s="10">
        <f>IF(AND(ISNUMBER(K77),ISNUMBER(L77),K77&gt;0),L77/K77-1,0.3)</f>
        <v>0.30002490536843163</v>
      </c>
      <c r="O77" s="10">
        <f>IF(AND(ISNUMBER(K77),ISNUMBER(L77),L77&gt;0),1-K77/L77,0.231)</f>
        <v>0.23078396739130436</v>
      </c>
      <c r="P77" s="10" t="str">
        <f t="shared" si="4"/>
        <v/>
      </c>
      <c r="Q77" s="10"/>
      <c r="R77" s="10"/>
      <c r="S77" s="6" t="s">
        <v>42</v>
      </c>
      <c r="T77" s="8"/>
      <c r="U77" s="11"/>
      <c r="V77" s="12"/>
      <c r="W77" s="13"/>
      <c r="X77" s="13"/>
      <c r="Y77" s="12"/>
      <c r="Z77" s="14" t="str">
        <f t="shared" si="5"/>
        <v/>
      </c>
      <c r="AA77" s="13"/>
      <c r="AB77" s="15"/>
      <c r="AC77" s="6" t="s">
        <v>400</v>
      </c>
      <c r="AD77" s="6" t="s">
        <v>401</v>
      </c>
      <c r="AE77" s="8" t="s">
        <v>402</v>
      </c>
    </row>
    <row r="78" spans="1:31" ht="45" x14ac:dyDescent="0.25">
      <c r="A78" s="6">
        <v>74</v>
      </c>
      <c r="B78" s="7">
        <v>46262</v>
      </c>
      <c r="C78" s="6" t="s">
        <v>403</v>
      </c>
      <c r="D78" s="8" t="s">
        <v>404</v>
      </c>
      <c r="E78" s="8" t="s">
        <v>405</v>
      </c>
      <c r="F78" s="6" t="s">
        <v>38</v>
      </c>
      <c r="G78" s="6" t="s">
        <v>48</v>
      </c>
      <c r="H78" s="6" t="s">
        <v>49</v>
      </c>
      <c r="I78" s="6" t="s">
        <v>50</v>
      </c>
      <c r="J78" s="9"/>
      <c r="K78" s="9">
        <v>291441193</v>
      </c>
      <c r="L78" s="9">
        <v>378873551</v>
      </c>
      <c r="M78" s="9">
        <v>462225732</v>
      </c>
      <c r="N78" s="10">
        <f>IF(AND(ISNUMBER(K78),ISNUMBER(L78),K78&gt;0),L78/K78-1,0.3)</f>
        <v>0.30000000034312246</v>
      </c>
      <c r="O78" s="10">
        <f>IF(AND(ISNUMBER(K78),ISNUMBER(L78),L78&gt;0),1-K78/L78,0.2308)</f>
        <v>0.23076923097226176</v>
      </c>
      <c r="P78" s="10" t="str">
        <f t="shared" si="4"/>
        <v/>
      </c>
      <c r="Q78" s="10"/>
      <c r="R78" s="10"/>
      <c r="S78" s="6" t="s">
        <v>42</v>
      </c>
      <c r="T78" s="8"/>
      <c r="U78" s="11"/>
      <c r="V78" s="12"/>
      <c r="W78" s="13"/>
      <c r="X78" s="13"/>
      <c r="Y78" s="12"/>
      <c r="Z78" s="14" t="str">
        <f t="shared" si="5"/>
        <v/>
      </c>
      <c r="AA78" s="13"/>
      <c r="AB78" s="15"/>
      <c r="AC78" s="6" t="s">
        <v>406</v>
      </c>
      <c r="AD78" s="6" t="s">
        <v>407</v>
      </c>
      <c r="AE78" s="8" t="s">
        <v>408</v>
      </c>
    </row>
    <row r="79" spans="1:31" ht="30" x14ac:dyDescent="0.25">
      <c r="A79" s="6">
        <v>75</v>
      </c>
      <c r="B79" s="7">
        <v>46262</v>
      </c>
      <c r="C79" s="6" t="s">
        <v>403</v>
      </c>
      <c r="D79" s="8" t="s">
        <v>409</v>
      </c>
      <c r="E79" s="8" t="s">
        <v>410</v>
      </c>
      <c r="F79" s="6" t="s">
        <v>38</v>
      </c>
      <c r="G79" s="6" t="s">
        <v>48</v>
      </c>
      <c r="H79" s="6" t="s">
        <v>49</v>
      </c>
      <c r="I79" s="6" t="s">
        <v>50</v>
      </c>
      <c r="J79" s="9"/>
      <c r="K79" s="9">
        <v>86175796</v>
      </c>
      <c r="L79" s="9">
        <v>141808989</v>
      </c>
      <c r="M79" s="9"/>
      <c r="N79" s="10">
        <f>IF(AND(ISNUMBER(K79),ISNUMBER(L79),K79&gt;0),L79/K79-1,0.6456)</f>
        <v>0.64557794162992121</v>
      </c>
      <c r="O79" s="10">
        <f>IF(AND(ISNUMBER(K79),ISNUMBER(L79),L79&gt;0),1-K79/L79,0.3923)</f>
        <v>0.39231076529288278</v>
      </c>
      <c r="P79" s="10" t="str">
        <f t="shared" si="4"/>
        <v/>
      </c>
      <c r="Q79" s="10"/>
      <c r="R79" s="10"/>
      <c r="S79" s="6" t="s">
        <v>42</v>
      </c>
      <c r="T79" s="8"/>
      <c r="U79" s="11"/>
      <c r="V79" s="12"/>
      <c r="W79" s="13"/>
      <c r="X79" s="13"/>
      <c r="Y79" s="12"/>
      <c r="Z79" s="14" t="str">
        <f t="shared" si="5"/>
        <v/>
      </c>
      <c r="AA79" s="13"/>
      <c r="AB79" s="15"/>
      <c r="AC79" s="6" t="s">
        <v>406</v>
      </c>
      <c r="AD79" s="6" t="s">
        <v>407</v>
      </c>
      <c r="AE79" s="8" t="s">
        <v>411</v>
      </c>
    </row>
    <row r="80" spans="1:31" ht="45" x14ac:dyDescent="0.25">
      <c r="A80" s="6">
        <v>76</v>
      </c>
      <c r="B80" s="7">
        <v>46262</v>
      </c>
      <c r="C80" s="6" t="s">
        <v>412</v>
      </c>
      <c r="D80" s="8" t="s">
        <v>413</v>
      </c>
      <c r="E80" s="8" t="s">
        <v>414</v>
      </c>
      <c r="F80" s="6" t="s">
        <v>211</v>
      </c>
      <c r="G80" s="6" t="s">
        <v>48</v>
      </c>
      <c r="H80" s="6" t="s">
        <v>49</v>
      </c>
      <c r="I80" s="6" t="s">
        <v>50</v>
      </c>
      <c r="J80" s="9"/>
      <c r="K80" s="9">
        <v>429170059</v>
      </c>
      <c r="L80" s="9">
        <v>557920900</v>
      </c>
      <c r="M80" s="9">
        <v>680663498</v>
      </c>
      <c r="N80" s="10">
        <f>IF(AND(ISNUMBER(K80),ISNUMBER(L80),K80&gt;0),L80/K80-1,0.3)</f>
        <v>0.2999995882750992</v>
      </c>
      <c r="O80" s="10">
        <f>IF(AND(ISNUMBER(K80),ISNUMBER(L80),L80&gt;0),1-K80/L80,0.231)</f>
        <v>0.23076898714495186</v>
      </c>
      <c r="P80" s="10" t="str">
        <f t="shared" si="4"/>
        <v/>
      </c>
      <c r="Q80" s="10"/>
      <c r="R80" s="10"/>
      <c r="S80" s="6" t="s">
        <v>42</v>
      </c>
      <c r="T80" s="8"/>
      <c r="U80" s="11"/>
      <c r="V80" s="12"/>
      <c r="W80" s="13"/>
      <c r="X80" s="13"/>
      <c r="Y80" s="12"/>
      <c r="Z80" s="14" t="str">
        <f t="shared" si="5"/>
        <v/>
      </c>
      <c r="AA80" s="13"/>
      <c r="AB80" s="15"/>
      <c r="AC80" s="6" t="s">
        <v>415</v>
      </c>
      <c r="AD80" s="6" t="s">
        <v>416</v>
      </c>
      <c r="AE80" s="8" t="s">
        <v>417</v>
      </c>
    </row>
    <row r="81" spans="1:31" ht="45" x14ac:dyDescent="0.25">
      <c r="A81" s="6">
        <v>77</v>
      </c>
      <c r="B81" s="7">
        <v>46265</v>
      </c>
      <c r="C81" s="6" t="s">
        <v>169</v>
      </c>
      <c r="D81" s="8" t="s">
        <v>170</v>
      </c>
      <c r="E81" s="8" t="s">
        <v>418</v>
      </c>
      <c r="F81" s="6" t="s">
        <v>38</v>
      </c>
      <c r="G81" s="6" t="s">
        <v>48</v>
      </c>
      <c r="H81" s="6" t="s">
        <v>224</v>
      </c>
      <c r="I81" s="6" t="s">
        <v>50</v>
      </c>
      <c r="J81" s="9"/>
      <c r="K81" s="9"/>
      <c r="L81" s="9">
        <v>22131148</v>
      </c>
      <c r="M81" s="9">
        <v>27000000</v>
      </c>
      <c r="N81" s="10" t="str">
        <f>IF(AND(ISNUMBER(K81),ISNUMBER(L81),K81&gt;0),L81/K81-1,"")</f>
        <v/>
      </c>
      <c r="O81" s="10" t="str">
        <f>IF(AND(ISNUMBER(K81),ISNUMBER(L81),L81&gt;0),1-K81/L81,"")</f>
        <v/>
      </c>
      <c r="P81" s="10" t="str">
        <f t="shared" si="4"/>
        <v/>
      </c>
      <c r="Q81" s="10"/>
      <c r="R81" s="10"/>
      <c r="S81" s="6" t="s">
        <v>42</v>
      </c>
      <c r="T81" s="8" t="s">
        <v>419</v>
      </c>
      <c r="U81" s="11"/>
      <c r="V81" s="12"/>
      <c r="W81" s="13"/>
      <c r="X81" s="13"/>
      <c r="Y81" s="12"/>
      <c r="Z81" s="14" t="str">
        <f t="shared" si="5"/>
        <v/>
      </c>
      <c r="AA81" s="13"/>
      <c r="AB81" s="15"/>
      <c r="AC81" s="6" t="s">
        <v>172</v>
      </c>
      <c r="AD81" s="6" t="s">
        <v>173</v>
      </c>
      <c r="AE81" s="8" t="s">
        <v>420</v>
      </c>
    </row>
    <row r="82" spans="1:31" ht="45" x14ac:dyDescent="0.25">
      <c r="A82" s="6">
        <v>78</v>
      </c>
      <c r="B82" s="7">
        <v>46265</v>
      </c>
      <c r="C82" s="6" t="s">
        <v>392</v>
      </c>
      <c r="D82" s="8" t="s">
        <v>421</v>
      </c>
      <c r="E82" s="8" t="s">
        <v>422</v>
      </c>
      <c r="F82" s="6" t="s">
        <v>38</v>
      </c>
      <c r="G82" s="6" t="s">
        <v>39</v>
      </c>
      <c r="H82" s="6" t="s">
        <v>40</v>
      </c>
      <c r="I82" s="6" t="s">
        <v>41</v>
      </c>
      <c r="J82" s="9"/>
      <c r="K82" s="9">
        <v>989789</v>
      </c>
      <c r="L82" s="9">
        <v>1386000</v>
      </c>
      <c r="M82" s="9">
        <v>1690920</v>
      </c>
      <c r="N82" s="10">
        <f>IF(AND(ISNUMBER(K82),ISNUMBER(L82),K82&gt;0),L82/K82-1,0.4)</f>
        <v>0.40029844744688003</v>
      </c>
      <c r="O82" s="10">
        <f>IF(AND(ISNUMBER(K82),ISNUMBER(L82),L82&gt;0),1-K82/L82,0.2859)</f>
        <v>0.28586652236652232</v>
      </c>
      <c r="P82" s="10" t="str">
        <f t="shared" si="4"/>
        <v/>
      </c>
      <c r="Q82" s="10"/>
      <c r="R82" s="10"/>
      <c r="S82" s="6" t="s">
        <v>42</v>
      </c>
      <c r="T82" s="8"/>
      <c r="U82" s="11"/>
      <c r="V82" s="12"/>
      <c r="W82" s="13"/>
      <c r="X82" s="13"/>
      <c r="Y82" s="12"/>
      <c r="Z82" s="14" t="str">
        <f t="shared" si="5"/>
        <v/>
      </c>
      <c r="AA82" s="13"/>
      <c r="AB82" s="15"/>
      <c r="AC82" s="6" t="s">
        <v>423</v>
      </c>
      <c r="AD82" s="6" t="s">
        <v>424</v>
      </c>
      <c r="AE82" s="8" t="s">
        <v>425</v>
      </c>
    </row>
    <row r="83" spans="1:31" ht="60" x14ac:dyDescent="0.25">
      <c r="A83" s="6">
        <v>79</v>
      </c>
      <c r="B83" s="7">
        <v>46265</v>
      </c>
      <c r="C83" s="6" t="s">
        <v>392</v>
      </c>
      <c r="D83" s="8" t="s">
        <v>426</v>
      </c>
      <c r="E83" s="8" t="s">
        <v>427</v>
      </c>
      <c r="F83" s="6" t="s">
        <v>428</v>
      </c>
      <c r="G83" s="6" t="s">
        <v>39</v>
      </c>
      <c r="H83" s="6" t="s">
        <v>40</v>
      </c>
      <c r="I83" s="6" t="s">
        <v>41</v>
      </c>
      <c r="J83" s="9"/>
      <c r="K83" s="9">
        <v>1842131</v>
      </c>
      <c r="L83" s="9">
        <v>2211000</v>
      </c>
      <c r="M83" s="9"/>
      <c r="N83" s="10">
        <f>IF(AND(ISNUMBER(K83),ISNUMBER(L83),K83&gt;0),L83/K83-1,0.2)</f>
        <v>0.200240373784492</v>
      </c>
      <c r="O83" s="10">
        <f>IF(AND(ISNUMBER(K83),ISNUMBER(L83),L83&gt;0),1-K83/L83,0.1668)</f>
        <v>0.1668335594753505</v>
      </c>
      <c r="P83" s="10" t="str">
        <f t="shared" si="4"/>
        <v/>
      </c>
      <c r="Q83" s="10"/>
      <c r="R83" s="10"/>
      <c r="S83" s="6" t="s">
        <v>42</v>
      </c>
      <c r="T83" s="8"/>
      <c r="U83" s="11"/>
      <c r="V83" s="12"/>
      <c r="W83" s="13"/>
      <c r="X83" s="13"/>
      <c r="Y83" s="12"/>
      <c r="Z83" s="14" t="str">
        <f t="shared" si="5"/>
        <v/>
      </c>
      <c r="AA83" s="13"/>
      <c r="AB83" s="15"/>
      <c r="AC83" s="6" t="s">
        <v>429</v>
      </c>
      <c r="AD83" s="6" t="s">
        <v>430</v>
      </c>
      <c r="AE83" s="8" t="s">
        <v>431</v>
      </c>
    </row>
    <row r="84" spans="1:31" ht="60" x14ac:dyDescent="0.25">
      <c r="A84" s="6">
        <v>80</v>
      </c>
      <c r="B84" s="7">
        <v>46265</v>
      </c>
      <c r="C84" s="6" t="s">
        <v>392</v>
      </c>
      <c r="D84" s="8" t="s">
        <v>432</v>
      </c>
      <c r="E84" s="8" t="s">
        <v>427</v>
      </c>
      <c r="F84" s="6" t="s">
        <v>433</v>
      </c>
      <c r="G84" s="6" t="s">
        <v>39</v>
      </c>
      <c r="H84" s="6" t="s">
        <v>40</v>
      </c>
      <c r="I84" s="6" t="s">
        <v>41</v>
      </c>
      <c r="J84" s="9"/>
      <c r="K84" s="9">
        <v>1749724</v>
      </c>
      <c r="L84" s="9">
        <v>2100000</v>
      </c>
      <c r="M84" s="9"/>
      <c r="N84" s="10">
        <f>IF(AND(ISNUMBER(K84),ISNUMBER(L84),K84&gt;0),L84/K84-1,0.2)</f>
        <v>0.2001892869961206</v>
      </c>
      <c r="O84" s="10">
        <f>IF(AND(ISNUMBER(K84),ISNUMBER(L84),L84&gt;0),1-K84/L84,0.1668)</f>
        <v>0.16679809523809519</v>
      </c>
      <c r="P84" s="10" t="str">
        <f t="shared" si="4"/>
        <v/>
      </c>
      <c r="Q84" s="10"/>
      <c r="R84" s="10"/>
      <c r="S84" s="6" t="s">
        <v>42</v>
      </c>
      <c r="T84" s="8"/>
      <c r="U84" s="11"/>
      <c r="V84" s="12"/>
      <c r="W84" s="13"/>
      <c r="X84" s="13"/>
      <c r="Y84" s="12"/>
      <c r="Z84" s="14" t="str">
        <f t="shared" si="5"/>
        <v/>
      </c>
      <c r="AA84" s="13"/>
      <c r="AB84" s="15"/>
      <c r="AC84" s="6" t="s">
        <v>434</v>
      </c>
      <c r="AD84" s="6" t="s">
        <v>430</v>
      </c>
      <c r="AE84" s="8" t="s">
        <v>431</v>
      </c>
    </row>
    <row r="85" spans="1:31" ht="60" x14ac:dyDescent="0.25">
      <c r="A85" s="6">
        <v>81</v>
      </c>
      <c r="B85" s="7">
        <v>46265</v>
      </c>
      <c r="C85" s="6" t="s">
        <v>392</v>
      </c>
      <c r="D85" s="8" t="s">
        <v>435</v>
      </c>
      <c r="E85" s="8" t="s">
        <v>427</v>
      </c>
      <c r="F85" s="6" t="s">
        <v>436</v>
      </c>
      <c r="G85" s="6" t="s">
        <v>39</v>
      </c>
      <c r="H85" s="6" t="s">
        <v>40</v>
      </c>
      <c r="I85" s="6" t="s">
        <v>41</v>
      </c>
      <c r="J85" s="9"/>
      <c r="K85" s="9">
        <v>1409990</v>
      </c>
      <c r="L85" s="9">
        <v>1692000</v>
      </c>
      <c r="M85" s="9"/>
      <c r="N85" s="10">
        <f>IF(AND(ISNUMBER(K85),ISNUMBER(L85),K85&gt;0),L85/K85-1,0.2)</f>
        <v>0.20000851069865733</v>
      </c>
      <c r="O85" s="10">
        <f>IF(AND(ISNUMBER(K85),ISNUMBER(L85),L85&gt;0),1-K85/L85,0.1667)</f>
        <v>0.16667257683215131</v>
      </c>
      <c r="P85" s="10" t="str">
        <f t="shared" si="4"/>
        <v/>
      </c>
      <c r="Q85" s="10"/>
      <c r="R85" s="10"/>
      <c r="S85" s="6" t="s">
        <v>42</v>
      </c>
      <c r="T85" s="8"/>
      <c r="U85" s="11"/>
      <c r="V85" s="12"/>
      <c r="W85" s="13"/>
      <c r="X85" s="13"/>
      <c r="Y85" s="12"/>
      <c r="Z85" s="14" t="str">
        <f t="shared" si="5"/>
        <v/>
      </c>
      <c r="AA85" s="13"/>
      <c r="AB85" s="15"/>
      <c r="AC85" s="6" t="s">
        <v>437</v>
      </c>
      <c r="AD85" s="6" t="s">
        <v>430</v>
      </c>
      <c r="AE85" s="8" t="s">
        <v>431</v>
      </c>
    </row>
    <row r="86" spans="1:31" ht="60" x14ac:dyDescent="0.25">
      <c r="A86" s="6">
        <v>82</v>
      </c>
      <c r="B86" s="7">
        <v>46265</v>
      </c>
      <c r="C86" s="6" t="s">
        <v>392</v>
      </c>
      <c r="D86" s="8" t="s">
        <v>438</v>
      </c>
      <c r="E86" s="8" t="s">
        <v>427</v>
      </c>
      <c r="F86" s="6" t="s">
        <v>439</v>
      </c>
      <c r="G86" s="6" t="s">
        <v>39</v>
      </c>
      <c r="H86" s="6" t="s">
        <v>40</v>
      </c>
      <c r="I86" s="6" t="s">
        <v>41</v>
      </c>
      <c r="J86" s="9"/>
      <c r="K86" s="9">
        <v>1695949</v>
      </c>
      <c r="L86" s="9">
        <v>2035000</v>
      </c>
      <c r="M86" s="9"/>
      <c r="N86" s="10">
        <f>IF(AND(ISNUMBER(K86),ISNUMBER(L86),K86&gt;0),L86/K86-1,0.2)</f>
        <v>0.19991815791630518</v>
      </c>
      <c r="O86" s="10">
        <f>IF(AND(ISNUMBER(K86),ISNUMBER(L86),L86&gt;0),1-K86/L86,0.1666)</f>
        <v>0.16660982800982804</v>
      </c>
      <c r="P86" s="10" t="str">
        <f t="shared" si="4"/>
        <v/>
      </c>
      <c r="Q86" s="10"/>
      <c r="R86" s="10"/>
      <c r="S86" s="6" t="s">
        <v>42</v>
      </c>
      <c r="T86" s="8"/>
      <c r="U86" s="11"/>
      <c r="V86" s="12"/>
      <c r="W86" s="13"/>
      <c r="X86" s="13"/>
      <c r="Y86" s="12"/>
      <c r="Z86" s="14" t="str">
        <f t="shared" si="5"/>
        <v/>
      </c>
      <c r="AA86" s="13"/>
      <c r="AB86" s="15"/>
      <c r="AC86" s="6" t="s">
        <v>440</v>
      </c>
      <c r="AD86" s="6" t="s">
        <v>430</v>
      </c>
      <c r="AE86" s="8" t="s">
        <v>431</v>
      </c>
    </row>
    <row r="87" spans="1:31" ht="60" x14ac:dyDescent="0.25">
      <c r="A87" s="6">
        <v>83</v>
      </c>
      <c r="B87" s="7">
        <v>46265</v>
      </c>
      <c r="C87" s="6" t="s">
        <v>392</v>
      </c>
      <c r="D87" s="8" t="s">
        <v>441</v>
      </c>
      <c r="E87" s="8" t="s">
        <v>427</v>
      </c>
      <c r="F87" s="6" t="s">
        <v>442</v>
      </c>
      <c r="G87" s="6" t="s">
        <v>39</v>
      </c>
      <c r="H87" s="6" t="s">
        <v>40</v>
      </c>
      <c r="I87" s="6" t="s">
        <v>41</v>
      </c>
      <c r="J87" s="9"/>
      <c r="K87" s="9">
        <v>1635088</v>
      </c>
      <c r="L87" s="9">
        <v>1962000</v>
      </c>
      <c r="M87" s="9"/>
      <c r="N87" s="10">
        <f>IF(AND(ISNUMBER(K87),ISNUMBER(L87),K87&gt;0),L87/K87-1,0.2)</f>
        <v>0.19993541632010015</v>
      </c>
      <c r="O87" s="10">
        <f>IF(AND(ISNUMBER(K87),ISNUMBER(L87),L87&gt;0),1-K87/L87,0.1666)</f>
        <v>0.16662181447502544</v>
      </c>
      <c r="P87" s="10" t="str">
        <f t="shared" si="4"/>
        <v/>
      </c>
      <c r="Q87" s="10"/>
      <c r="R87" s="10"/>
      <c r="S87" s="6" t="s">
        <v>42</v>
      </c>
      <c r="T87" s="8"/>
      <c r="U87" s="11"/>
      <c r="V87" s="12"/>
      <c r="W87" s="13"/>
      <c r="X87" s="13"/>
      <c r="Y87" s="12"/>
      <c r="Z87" s="14" t="str">
        <f t="shared" si="5"/>
        <v/>
      </c>
      <c r="AA87" s="13"/>
      <c r="AB87" s="15"/>
      <c r="AC87" s="6" t="s">
        <v>443</v>
      </c>
      <c r="AD87" s="6" t="s">
        <v>430</v>
      </c>
      <c r="AE87" s="8" t="s">
        <v>431</v>
      </c>
    </row>
    <row r="88" spans="1:31" ht="60" x14ac:dyDescent="0.25">
      <c r="A88" s="6">
        <v>84</v>
      </c>
      <c r="B88" s="7">
        <v>46265</v>
      </c>
      <c r="C88" s="6" t="s">
        <v>444</v>
      </c>
      <c r="D88" s="8" t="s">
        <v>445</v>
      </c>
      <c r="E88" s="8" t="s">
        <v>446</v>
      </c>
      <c r="F88" s="6" t="s">
        <v>38</v>
      </c>
      <c r="G88" s="6" t="s">
        <v>39</v>
      </c>
      <c r="H88" s="6" t="s">
        <v>40</v>
      </c>
      <c r="I88" s="6" t="s">
        <v>41</v>
      </c>
      <c r="J88" s="9"/>
      <c r="K88" s="9">
        <v>127134</v>
      </c>
      <c r="L88" s="9">
        <v>200000</v>
      </c>
      <c r="M88" s="9">
        <v>244000</v>
      </c>
      <c r="N88" s="10">
        <f>IF(AND(ISNUMBER(K88),ISNUMBER(L88),K88&gt;0),L88/K88-1,0.573)</f>
        <v>0.57314329762298044</v>
      </c>
      <c r="O88" s="10">
        <f>IF(AND(ISNUMBER(K88),ISNUMBER(L88),L88&gt;0),1-K88/L88,0.364)</f>
        <v>0.36433000000000004</v>
      </c>
      <c r="P88" s="10" t="str">
        <f t="shared" si="4"/>
        <v/>
      </c>
      <c r="Q88" s="10"/>
      <c r="R88" s="10"/>
      <c r="S88" s="6" t="s">
        <v>42</v>
      </c>
      <c r="T88" s="8"/>
      <c r="U88" s="11"/>
      <c r="V88" s="12"/>
      <c r="W88" s="13"/>
      <c r="X88" s="13"/>
      <c r="Y88" s="12"/>
      <c r="Z88" s="14" t="str">
        <f t="shared" si="5"/>
        <v/>
      </c>
      <c r="AA88" s="13"/>
      <c r="AB88" s="15"/>
      <c r="AC88" s="6" t="s">
        <v>447</v>
      </c>
      <c r="AD88" s="6" t="s">
        <v>448</v>
      </c>
      <c r="AE88" s="8" t="s">
        <v>449</v>
      </c>
    </row>
    <row r="89" spans="1:31" ht="75" x14ac:dyDescent="0.25">
      <c r="A89" s="6">
        <v>85</v>
      </c>
      <c r="B89" s="7">
        <v>46266</v>
      </c>
      <c r="C89" s="6" t="s">
        <v>392</v>
      </c>
      <c r="D89" s="8" t="s">
        <v>450</v>
      </c>
      <c r="E89" s="8" t="s">
        <v>451</v>
      </c>
      <c r="F89" s="6" t="s">
        <v>38</v>
      </c>
      <c r="G89" s="6" t="s">
        <v>39</v>
      </c>
      <c r="H89" s="6" t="s">
        <v>40</v>
      </c>
      <c r="I89" s="6" t="s">
        <v>41</v>
      </c>
      <c r="J89" s="9"/>
      <c r="K89" s="9"/>
      <c r="L89" s="9">
        <v>738000</v>
      </c>
      <c r="M89" s="9"/>
      <c r="N89" s="10" t="str">
        <f t="shared" ref="N89:N96" si="6">IF(AND(ISNUMBER(K89),ISNUMBER(L89),K89&gt;0),L89/K89-1,"")</f>
        <v/>
      </c>
      <c r="O89" s="10" t="str">
        <f>IF(AND(ISNUMBER(K89),ISNUMBER(L89),L89&gt;0),1-K89/L89,"")</f>
        <v/>
      </c>
      <c r="P89" s="10" t="str">
        <f t="shared" si="4"/>
        <v/>
      </c>
      <c r="Q89" s="10"/>
      <c r="R89" s="10"/>
      <c r="S89" s="6" t="s">
        <v>114</v>
      </c>
      <c r="T89" s="8" t="s">
        <v>452</v>
      </c>
      <c r="U89" s="11"/>
      <c r="V89" s="12"/>
      <c r="W89" s="13" t="s">
        <v>318</v>
      </c>
      <c r="X89" s="13"/>
      <c r="Y89" s="12"/>
      <c r="Z89" s="14" t="str">
        <f t="shared" si="5"/>
        <v/>
      </c>
      <c r="AA89" s="13"/>
      <c r="AB89" s="15"/>
      <c r="AC89" s="6" t="s">
        <v>453</v>
      </c>
      <c r="AD89" s="6" t="s">
        <v>454</v>
      </c>
      <c r="AE89" s="8" t="s">
        <v>455</v>
      </c>
    </row>
    <row r="90" spans="1:31" ht="75" x14ac:dyDescent="0.25">
      <c r="A90" s="6">
        <v>86</v>
      </c>
      <c r="B90" s="7">
        <v>46266</v>
      </c>
      <c r="C90" s="6" t="s">
        <v>392</v>
      </c>
      <c r="D90" s="8" t="s">
        <v>456</v>
      </c>
      <c r="E90" s="8" t="s">
        <v>451</v>
      </c>
      <c r="F90" s="6" t="s">
        <v>428</v>
      </c>
      <c r="G90" s="6" t="s">
        <v>39</v>
      </c>
      <c r="H90" s="6" t="s">
        <v>40</v>
      </c>
      <c r="I90" s="6" t="s">
        <v>41</v>
      </c>
      <c r="J90" s="9"/>
      <c r="K90" s="9"/>
      <c r="L90" s="9">
        <v>957000</v>
      </c>
      <c r="M90" s="9"/>
      <c r="N90" s="10" t="str">
        <f t="shared" si="6"/>
        <v/>
      </c>
      <c r="O90" s="10" t="str">
        <f>IF(AND(ISNUMBER(K90),ISNUMBER(L90),L90&gt;0),1-K90/L90,"")</f>
        <v/>
      </c>
      <c r="P90" s="10" t="str">
        <f t="shared" si="4"/>
        <v/>
      </c>
      <c r="Q90" s="10"/>
      <c r="R90" s="10"/>
      <c r="S90" s="6" t="s">
        <v>114</v>
      </c>
      <c r="T90" s="8" t="s">
        <v>452</v>
      </c>
      <c r="U90" s="11"/>
      <c r="V90" s="12"/>
      <c r="W90" s="13" t="s">
        <v>318</v>
      </c>
      <c r="X90" s="13"/>
      <c r="Y90" s="12"/>
      <c r="Z90" s="14" t="str">
        <f t="shared" si="5"/>
        <v/>
      </c>
      <c r="AA90" s="13"/>
      <c r="AB90" s="15"/>
      <c r="AC90" s="6" t="s">
        <v>453</v>
      </c>
      <c r="AD90" s="6" t="s">
        <v>454</v>
      </c>
      <c r="AE90" s="8" t="s">
        <v>457</v>
      </c>
    </row>
    <row r="91" spans="1:31" ht="75" x14ac:dyDescent="0.25">
      <c r="A91" s="6">
        <v>87</v>
      </c>
      <c r="B91" s="7">
        <v>46266</v>
      </c>
      <c r="C91" s="6" t="s">
        <v>392</v>
      </c>
      <c r="D91" s="8" t="s">
        <v>458</v>
      </c>
      <c r="E91" s="8" t="s">
        <v>451</v>
      </c>
      <c r="F91" s="6" t="s">
        <v>433</v>
      </c>
      <c r="G91" s="6" t="s">
        <v>39</v>
      </c>
      <c r="H91" s="6" t="s">
        <v>40</v>
      </c>
      <c r="I91" s="6" t="s">
        <v>41</v>
      </c>
      <c r="J91" s="9"/>
      <c r="K91" s="9"/>
      <c r="L91" s="9">
        <v>834000</v>
      </c>
      <c r="M91" s="9"/>
      <c r="N91" s="10" t="str">
        <f t="shared" si="6"/>
        <v/>
      </c>
      <c r="O91" s="10" t="str">
        <f>IF(AND(ISNUMBER(K91),ISNUMBER(L91),L91&gt;0),1-K91/L91,"")</f>
        <v/>
      </c>
      <c r="P91" s="10" t="str">
        <f t="shared" si="4"/>
        <v/>
      </c>
      <c r="Q91" s="10"/>
      <c r="R91" s="10"/>
      <c r="S91" s="6" t="s">
        <v>114</v>
      </c>
      <c r="T91" s="8" t="s">
        <v>452</v>
      </c>
      <c r="U91" s="11"/>
      <c r="V91" s="12"/>
      <c r="W91" s="13" t="s">
        <v>318</v>
      </c>
      <c r="X91" s="13"/>
      <c r="Y91" s="12"/>
      <c r="Z91" s="14" t="str">
        <f t="shared" si="5"/>
        <v/>
      </c>
      <c r="AA91" s="13"/>
      <c r="AB91" s="15"/>
      <c r="AC91" s="6" t="s">
        <v>453</v>
      </c>
      <c r="AD91" s="6" t="s">
        <v>454</v>
      </c>
      <c r="AE91" s="8" t="s">
        <v>459</v>
      </c>
    </row>
    <row r="92" spans="1:31" ht="75" x14ac:dyDescent="0.25">
      <c r="A92" s="6">
        <v>88</v>
      </c>
      <c r="B92" s="7">
        <v>46266</v>
      </c>
      <c r="C92" s="6" t="s">
        <v>392</v>
      </c>
      <c r="D92" s="8" t="s">
        <v>460</v>
      </c>
      <c r="E92" s="8" t="s">
        <v>451</v>
      </c>
      <c r="F92" s="6" t="s">
        <v>436</v>
      </c>
      <c r="G92" s="6" t="s">
        <v>39</v>
      </c>
      <c r="H92" s="6" t="s">
        <v>40</v>
      </c>
      <c r="I92" s="6" t="s">
        <v>41</v>
      </c>
      <c r="J92" s="9"/>
      <c r="K92" s="9"/>
      <c r="L92" s="9">
        <v>828000</v>
      </c>
      <c r="M92" s="9"/>
      <c r="N92" s="10" t="str">
        <f t="shared" si="6"/>
        <v/>
      </c>
      <c r="O92" s="10" t="str">
        <f>IF(AND(ISNUMBER(K92),ISNUMBER(L92),L92&gt;0),1-K92/L92,"")</f>
        <v/>
      </c>
      <c r="P92" s="10" t="str">
        <f t="shared" si="4"/>
        <v/>
      </c>
      <c r="Q92" s="10"/>
      <c r="R92" s="10"/>
      <c r="S92" s="6" t="s">
        <v>114</v>
      </c>
      <c r="T92" s="8" t="s">
        <v>452</v>
      </c>
      <c r="U92" s="11"/>
      <c r="V92" s="12"/>
      <c r="W92" s="13" t="s">
        <v>318</v>
      </c>
      <c r="X92" s="13"/>
      <c r="Y92" s="12"/>
      <c r="Z92" s="14" t="str">
        <f t="shared" si="5"/>
        <v/>
      </c>
      <c r="AA92" s="13"/>
      <c r="AB92" s="15"/>
      <c r="AC92" s="6" t="s">
        <v>453</v>
      </c>
      <c r="AD92" s="6" t="s">
        <v>454</v>
      </c>
      <c r="AE92" s="8" t="s">
        <v>455</v>
      </c>
    </row>
    <row r="93" spans="1:31" ht="75" x14ac:dyDescent="0.25">
      <c r="A93" s="6">
        <v>89</v>
      </c>
      <c r="B93" s="7">
        <v>46266</v>
      </c>
      <c r="C93" s="6" t="s">
        <v>392</v>
      </c>
      <c r="D93" s="8" t="s">
        <v>461</v>
      </c>
      <c r="E93" s="8" t="s">
        <v>451</v>
      </c>
      <c r="F93" s="6" t="s">
        <v>442</v>
      </c>
      <c r="G93" s="6" t="s">
        <v>39</v>
      </c>
      <c r="H93" s="6" t="s">
        <v>40</v>
      </c>
      <c r="I93" s="6" t="s">
        <v>41</v>
      </c>
      <c r="J93" s="9"/>
      <c r="K93" s="9"/>
      <c r="L93" s="9">
        <v>903000</v>
      </c>
      <c r="M93" s="9"/>
      <c r="N93" s="10" t="str">
        <f t="shared" si="6"/>
        <v/>
      </c>
      <c r="O93" s="10" t="str">
        <f>IF(AND(ISNUMBER(K93),ISNUMBER(L93),L93&gt;0),1-K93/L93,"")</f>
        <v/>
      </c>
      <c r="P93" s="10" t="str">
        <f t="shared" si="4"/>
        <v/>
      </c>
      <c r="Q93" s="10"/>
      <c r="R93" s="10"/>
      <c r="S93" s="6" t="s">
        <v>114</v>
      </c>
      <c r="T93" s="8" t="s">
        <v>452</v>
      </c>
      <c r="U93" s="11"/>
      <c r="V93" s="12"/>
      <c r="W93" s="13" t="s">
        <v>318</v>
      </c>
      <c r="X93" s="13"/>
      <c r="Y93" s="12"/>
      <c r="Z93" s="14" t="str">
        <f t="shared" si="5"/>
        <v/>
      </c>
      <c r="AA93" s="13"/>
      <c r="AB93" s="15"/>
      <c r="AC93" s="6" t="s">
        <v>453</v>
      </c>
      <c r="AD93" s="6" t="s">
        <v>454</v>
      </c>
      <c r="AE93" s="8" t="s">
        <v>455</v>
      </c>
    </row>
    <row r="94" spans="1:31" ht="75" x14ac:dyDescent="0.25">
      <c r="A94" s="6">
        <v>90</v>
      </c>
      <c r="B94" s="7">
        <v>46266</v>
      </c>
      <c r="C94" s="6" t="s">
        <v>392</v>
      </c>
      <c r="D94" s="8" t="s">
        <v>462</v>
      </c>
      <c r="E94" s="8" t="s">
        <v>451</v>
      </c>
      <c r="F94" s="6" t="s">
        <v>439</v>
      </c>
      <c r="G94" s="6" t="s">
        <v>39</v>
      </c>
      <c r="H94" s="6" t="s">
        <v>40</v>
      </c>
      <c r="I94" s="6" t="s">
        <v>41</v>
      </c>
      <c r="J94" s="9"/>
      <c r="K94" s="9"/>
      <c r="L94" s="9">
        <v>1465000</v>
      </c>
      <c r="M94" s="9"/>
      <c r="N94" s="10" t="str">
        <f t="shared" si="6"/>
        <v/>
      </c>
      <c r="O94" s="10">
        <f>IF(AND(ISNUMBER(K94),ISNUMBER(L94),L94&gt;0),1-K94/L94,0.346)</f>
        <v>0.34599999999999997</v>
      </c>
      <c r="P94" s="10" t="str">
        <f t="shared" si="4"/>
        <v/>
      </c>
      <c r="Q94" s="10"/>
      <c r="R94" s="10"/>
      <c r="S94" s="6" t="s">
        <v>114</v>
      </c>
      <c r="T94" s="8" t="s">
        <v>452</v>
      </c>
      <c r="U94" s="11"/>
      <c r="V94" s="12"/>
      <c r="W94" s="13" t="s">
        <v>318</v>
      </c>
      <c r="X94" s="13"/>
      <c r="Y94" s="12"/>
      <c r="Z94" s="14" t="str">
        <f t="shared" si="5"/>
        <v/>
      </c>
      <c r="AA94" s="13"/>
      <c r="AB94" s="15"/>
      <c r="AC94" s="6" t="s">
        <v>453</v>
      </c>
      <c r="AD94" s="6" t="s">
        <v>454</v>
      </c>
      <c r="AE94" s="8" t="s">
        <v>463</v>
      </c>
    </row>
    <row r="95" spans="1:31" ht="45" x14ac:dyDescent="0.25">
      <c r="A95" s="6">
        <v>91</v>
      </c>
      <c r="B95" s="7">
        <v>46267</v>
      </c>
      <c r="C95" s="6" t="s">
        <v>464</v>
      </c>
      <c r="D95" s="8" t="s">
        <v>465</v>
      </c>
      <c r="E95" s="8" t="s">
        <v>466</v>
      </c>
      <c r="F95" s="6" t="s">
        <v>467</v>
      </c>
      <c r="G95" s="6" t="s">
        <v>39</v>
      </c>
      <c r="H95" s="6" t="s">
        <v>40</v>
      </c>
      <c r="I95" s="6" t="s">
        <v>80</v>
      </c>
      <c r="J95" s="9"/>
      <c r="K95" s="9">
        <v>32523780</v>
      </c>
      <c r="L95" s="9"/>
      <c r="M95" s="9"/>
      <c r="N95" s="10" t="str">
        <f t="shared" si="6"/>
        <v/>
      </c>
      <c r="O95" s="10" t="str">
        <f>IF(AND(ISNUMBER(K95),ISNUMBER(L95),L95&gt;0),1-K95/L95,"")</f>
        <v/>
      </c>
      <c r="P95" s="10" t="str">
        <f t="shared" si="4"/>
        <v/>
      </c>
      <c r="Q95" s="10"/>
      <c r="R95" s="10"/>
      <c r="S95" s="6" t="s">
        <v>42</v>
      </c>
      <c r="T95" s="8"/>
      <c r="U95" s="11"/>
      <c r="V95" s="12"/>
      <c r="W95" s="13"/>
      <c r="X95" s="13"/>
      <c r="Y95" s="12"/>
      <c r="Z95" s="14" t="str">
        <f t="shared" si="5"/>
        <v/>
      </c>
      <c r="AA95" s="13"/>
      <c r="AB95" s="15"/>
      <c r="AC95" s="6" t="s">
        <v>468</v>
      </c>
      <c r="AD95" s="6" t="s">
        <v>469</v>
      </c>
      <c r="AE95" s="8" t="s">
        <v>470</v>
      </c>
    </row>
    <row r="96" spans="1:31" ht="45" x14ac:dyDescent="0.25">
      <c r="A96" s="6">
        <v>92</v>
      </c>
      <c r="B96" s="7">
        <v>46267</v>
      </c>
      <c r="C96" s="6" t="s">
        <v>471</v>
      </c>
      <c r="D96" s="8" t="s">
        <v>472</v>
      </c>
      <c r="E96" s="8" t="s">
        <v>473</v>
      </c>
      <c r="F96" s="6" t="s">
        <v>38</v>
      </c>
      <c r="G96" s="6" t="s">
        <v>48</v>
      </c>
      <c r="H96" s="6" t="s">
        <v>49</v>
      </c>
      <c r="I96" s="6" t="s">
        <v>50</v>
      </c>
      <c r="J96" s="9"/>
      <c r="K96" s="9">
        <v>162847922</v>
      </c>
      <c r="L96" s="9"/>
      <c r="M96" s="9"/>
      <c r="N96" s="10" t="str">
        <f t="shared" si="6"/>
        <v/>
      </c>
      <c r="O96" s="10" t="str">
        <f>IF(AND(ISNUMBER(K96),ISNUMBER(L96),L96&gt;0),1-K96/L96,"")</f>
        <v/>
      </c>
      <c r="P96" s="10" t="str">
        <f t="shared" si="4"/>
        <v/>
      </c>
      <c r="Q96" s="10"/>
      <c r="R96" s="10"/>
      <c r="S96" s="6" t="s">
        <v>42</v>
      </c>
      <c r="T96" s="8"/>
      <c r="U96" s="11"/>
      <c r="V96" s="12"/>
      <c r="W96" s="13"/>
      <c r="X96" s="13"/>
      <c r="Y96" s="12"/>
      <c r="Z96" s="14" t="str">
        <f t="shared" si="5"/>
        <v/>
      </c>
      <c r="AA96" s="13"/>
      <c r="AB96" s="15"/>
      <c r="AC96" s="6" t="s">
        <v>474</v>
      </c>
      <c r="AD96" s="6" t="s">
        <v>475</v>
      </c>
      <c r="AE96" s="8" t="s">
        <v>476</v>
      </c>
    </row>
    <row r="97" spans="1:31" ht="45" x14ac:dyDescent="0.25">
      <c r="A97" s="6">
        <v>93</v>
      </c>
      <c r="B97" s="7">
        <v>46267</v>
      </c>
      <c r="C97" s="6" t="s">
        <v>376</v>
      </c>
      <c r="D97" s="8" t="s">
        <v>477</v>
      </c>
      <c r="E97" s="8" t="s">
        <v>478</v>
      </c>
      <c r="F97" s="6" t="s">
        <v>38</v>
      </c>
      <c r="G97" s="6" t="s">
        <v>39</v>
      </c>
      <c r="H97" s="6" t="s">
        <v>40</v>
      </c>
      <c r="I97" s="6" t="s">
        <v>80</v>
      </c>
      <c r="J97" s="9"/>
      <c r="K97" s="9">
        <v>3234097</v>
      </c>
      <c r="L97" s="9">
        <v>4204750</v>
      </c>
      <c r="M97" s="9">
        <v>5129795</v>
      </c>
      <c r="N97" s="10">
        <f>IF(AND(ISNUMBER(K97),ISNUMBER(L97),K97&gt;0),L97/K97-1,0.3)</f>
        <v>0.30013107213543688</v>
      </c>
      <c r="O97" s="10">
        <f>IF(AND(ISNUMBER(K97),ISNUMBER(L97),L97&gt;0),1-K97/L97,0.231)</f>
        <v>0.2308467804268981</v>
      </c>
      <c r="P97" s="10" t="str">
        <f t="shared" si="4"/>
        <v/>
      </c>
      <c r="Q97" s="10"/>
      <c r="R97" s="10"/>
      <c r="S97" s="6" t="s">
        <v>42</v>
      </c>
      <c r="T97" s="8"/>
      <c r="U97" s="11"/>
      <c r="V97" s="12"/>
      <c r="W97" s="13"/>
      <c r="X97" s="13"/>
      <c r="Y97" s="12"/>
      <c r="Z97" s="14" t="str">
        <f t="shared" si="5"/>
        <v/>
      </c>
      <c r="AA97" s="13"/>
      <c r="AB97" s="15"/>
      <c r="AC97" s="6" t="s">
        <v>479</v>
      </c>
      <c r="AD97" s="6" t="s">
        <v>480</v>
      </c>
      <c r="AE97" s="8" t="s">
        <v>481</v>
      </c>
    </row>
    <row r="98" spans="1:31" ht="45" x14ac:dyDescent="0.25">
      <c r="A98" s="6">
        <v>94</v>
      </c>
      <c r="B98" s="7">
        <v>46267</v>
      </c>
      <c r="C98" s="6" t="s">
        <v>386</v>
      </c>
      <c r="D98" s="8" t="s">
        <v>482</v>
      </c>
      <c r="E98" s="8" t="s">
        <v>483</v>
      </c>
      <c r="F98" s="6" t="s">
        <v>38</v>
      </c>
      <c r="G98" s="6" t="s">
        <v>48</v>
      </c>
      <c r="H98" s="6" t="s">
        <v>72</v>
      </c>
      <c r="I98" s="6" t="s">
        <v>50</v>
      </c>
      <c r="J98" s="9"/>
      <c r="K98" s="9">
        <v>403978</v>
      </c>
      <c r="L98" s="9"/>
      <c r="M98" s="9"/>
      <c r="N98" s="10" t="str">
        <f>IF(AND(ISNUMBER(K98),ISNUMBER(L98),K98&gt;0),L98/K98-1,"")</f>
        <v/>
      </c>
      <c r="O98" s="10" t="str">
        <f>IF(AND(ISNUMBER(K98),ISNUMBER(L98),L98&gt;0),1-K98/L98,"")</f>
        <v/>
      </c>
      <c r="P98" s="10" t="str">
        <f t="shared" si="4"/>
        <v/>
      </c>
      <c r="Q98" s="10"/>
      <c r="R98" s="10"/>
      <c r="S98" s="6" t="s">
        <v>42</v>
      </c>
      <c r="T98" s="8"/>
      <c r="U98" s="11"/>
      <c r="V98" s="12"/>
      <c r="W98" s="13"/>
      <c r="X98" s="13"/>
      <c r="Y98" s="12"/>
      <c r="Z98" s="14" t="str">
        <f t="shared" si="5"/>
        <v/>
      </c>
      <c r="AA98" s="13"/>
      <c r="AB98" s="15"/>
      <c r="AC98" s="6" t="s">
        <v>484</v>
      </c>
      <c r="AD98" s="6" t="s">
        <v>475</v>
      </c>
      <c r="AE98" s="8" t="s">
        <v>485</v>
      </c>
    </row>
    <row r="99" spans="1:31" ht="45" x14ac:dyDescent="0.25">
      <c r="A99" s="6">
        <v>95</v>
      </c>
      <c r="B99" s="7">
        <v>46268</v>
      </c>
      <c r="C99" s="6" t="s">
        <v>486</v>
      </c>
      <c r="D99" s="8" t="s">
        <v>487</v>
      </c>
      <c r="E99" s="8" t="s">
        <v>488</v>
      </c>
      <c r="F99" s="6" t="s">
        <v>55</v>
      </c>
      <c r="G99" s="6" t="s">
        <v>48</v>
      </c>
      <c r="H99" s="6" t="s">
        <v>49</v>
      </c>
      <c r="I99" s="6" t="s">
        <v>50</v>
      </c>
      <c r="J99" s="9"/>
      <c r="K99" s="9">
        <v>13523845.82</v>
      </c>
      <c r="L99" s="9">
        <v>19875899.120000001</v>
      </c>
      <c r="M99" s="9">
        <v>24248596.93</v>
      </c>
      <c r="N99" s="10">
        <f>IF(AND(ISNUMBER(K99),ISNUMBER(L99),K99&gt;0),L99/K99-1,0.47)</f>
        <v>0.46969282144625923</v>
      </c>
      <c r="O99" s="10">
        <f>IF(AND(ISNUMBER(K99),ISNUMBER(L99),L99&gt;0),1-K99/L99,0.32)</f>
        <v>0.31958570838228328</v>
      </c>
      <c r="P99" s="10" t="str">
        <f t="shared" si="4"/>
        <v/>
      </c>
      <c r="Q99" s="10">
        <v>0.3</v>
      </c>
      <c r="R99" s="10">
        <v>0.7</v>
      </c>
      <c r="S99" s="6" t="s">
        <v>42</v>
      </c>
      <c r="T99" s="8"/>
      <c r="U99" s="11"/>
      <c r="V99" s="12"/>
      <c r="W99" s="13"/>
      <c r="X99" s="13"/>
      <c r="Y99" s="12"/>
      <c r="Z99" s="14" t="str">
        <f t="shared" si="5"/>
        <v/>
      </c>
      <c r="AA99" s="13"/>
      <c r="AB99" s="15"/>
      <c r="AC99" s="6" t="s">
        <v>489</v>
      </c>
      <c r="AD99" s="6" t="s">
        <v>490</v>
      </c>
      <c r="AE99" s="8" t="s">
        <v>491</v>
      </c>
    </row>
    <row r="100" spans="1:31" ht="45" x14ac:dyDescent="0.25">
      <c r="A100" s="6">
        <v>96</v>
      </c>
      <c r="B100" s="7">
        <v>46268</v>
      </c>
      <c r="C100" s="6" t="s">
        <v>492</v>
      </c>
      <c r="D100" s="8" t="s">
        <v>493</v>
      </c>
      <c r="E100" s="8" t="s">
        <v>494</v>
      </c>
      <c r="F100" s="6" t="s">
        <v>38</v>
      </c>
      <c r="G100" s="6" t="s">
        <v>48</v>
      </c>
      <c r="H100" s="6" t="s">
        <v>49</v>
      </c>
      <c r="I100" s="6" t="s">
        <v>50</v>
      </c>
      <c r="J100" s="9"/>
      <c r="K100" s="9">
        <v>162847921.91</v>
      </c>
      <c r="L100" s="9">
        <v>191126171</v>
      </c>
      <c r="M100" s="9">
        <v>233173928.88999999</v>
      </c>
      <c r="N100" s="10">
        <f>IF(AND(ISNUMBER(K100),ISNUMBER(L100),K100&gt;0),L100/K100-1,0.174)</f>
        <v>0.1736482035406528</v>
      </c>
      <c r="O100" s="10">
        <f>IF(AND(ISNUMBER(K100),ISNUMBER(L100),L100&gt;0),1-K100/L100,0.148)</f>
        <v>0.14795592326285867</v>
      </c>
      <c r="P100" s="10" t="str">
        <f t="shared" si="4"/>
        <v/>
      </c>
      <c r="Q100" s="10">
        <v>0.2</v>
      </c>
      <c r="R100" s="10">
        <v>0.35</v>
      </c>
      <c r="S100" s="6" t="s">
        <v>42</v>
      </c>
      <c r="T100" s="8"/>
      <c r="U100" s="11"/>
      <c r="V100" s="12"/>
      <c r="W100" s="13"/>
      <c r="X100" s="13"/>
      <c r="Y100" s="12"/>
      <c r="Z100" s="14" t="str">
        <f t="shared" si="5"/>
        <v/>
      </c>
      <c r="AA100" s="13"/>
      <c r="AB100" s="15"/>
      <c r="AC100" s="6" t="s">
        <v>474</v>
      </c>
      <c r="AD100" s="6" t="s">
        <v>495</v>
      </c>
      <c r="AE100" s="8" t="s">
        <v>496</v>
      </c>
    </row>
    <row r="101" spans="1:31" ht="45" x14ac:dyDescent="0.25">
      <c r="A101" s="6">
        <v>97</v>
      </c>
      <c r="B101" s="7">
        <v>46269</v>
      </c>
      <c r="C101" s="6" t="s">
        <v>497</v>
      </c>
      <c r="D101" s="8" t="s">
        <v>498</v>
      </c>
      <c r="E101" s="8" t="s">
        <v>499</v>
      </c>
      <c r="F101" s="6" t="s">
        <v>183</v>
      </c>
      <c r="G101" s="6" t="s">
        <v>149</v>
      </c>
      <c r="H101" s="6" t="s">
        <v>49</v>
      </c>
      <c r="I101" s="6" t="s">
        <v>50</v>
      </c>
      <c r="J101" s="9"/>
      <c r="K101" s="9">
        <v>320212394.25999999</v>
      </c>
      <c r="L101" s="9">
        <v>427874005.74000001</v>
      </c>
      <c r="M101" s="9">
        <v>522006287</v>
      </c>
      <c r="N101" s="10">
        <f>IF(AND(ISNUMBER(K101),ISNUMBER(L101),K101&gt;0),L101/K101-1,0.336)</f>
        <v>0.33621937629491927</v>
      </c>
      <c r="O101" s="10">
        <f>IF(AND(ISNUMBER(K101),ISNUMBER(L101),L101&gt;0),1-K101/L101,0.252)</f>
        <v>0.25161989285561126</v>
      </c>
      <c r="P101" s="10" t="str">
        <f t="shared" si="4"/>
        <v/>
      </c>
      <c r="Q101" s="10"/>
      <c r="R101" s="10"/>
      <c r="S101" s="6" t="s">
        <v>42</v>
      </c>
      <c r="T101" s="8"/>
      <c r="U101" s="11"/>
      <c r="V101" s="12"/>
      <c r="W101" s="13"/>
      <c r="X101" s="13"/>
      <c r="Y101" s="12"/>
      <c r="Z101" s="14" t="str">
        <f t="shared" si="5"/>
        <v/>
      </c>
      <c r="AA101" s="13"/>
      <c r="AB101" s="15"/>
      <c r="AC101" s="6" t="s">
        <v>500</v>
      </c>
      <c r="AD101" s="6" t="s">
        <v>501</v>
      </c>
      <c r="AE101" s="8" t="s">
        <v>502</v>
      </c>
    </row>
    <row r="102" spans="1:31" ht="75" x14ac:dyDescent="0.25">
      <c r="A102" s="6">
        <v>98</v>
      </c>
      <c r="B102" s="7">
        <v>46269</v>
      </c>
      <c r="C102" s="6" t="s">
        <v>376</v>
      </c>
      <c r="D102" s="8" t="s">
        <v>503</v>
      </c>
      <c r="E102" s="8" t="s">
        <v>504</v>
      </c>
      <c r="F102" s="6" t="s">
        <v>38</v>
      </c>
      <c r="G102" s="6" t="s">
        <v>48</v>
      </c>
      <c r="H102" s="6" t="s">
        <v>224</v>
      </c>
      <c r="I102" s="6" t="s">
        <v>50</v>
      </c>
      <c r="J102" s="9">
        <v>85081967.209999993</v>
      </c>
      <c r="K102" s="9">
        <v>81846308</v>
      </c>
      <c r="L102" s="9">
        <v>85073770.489999995</v>
      </c>
      <c r="M102" s="9">
        <v>103790000</v>
      </c>
      <c r="N102" s="10">
        <f>IF(AND(ISNUMBER(K102),ISNUMBER(L102),K102&gt;0),L102/K102-1,0.0394)</f>
        <v>3.9433208031814937E-2</v>
      </c>
      <c r="O102" s="10">
        <f>IF(AND(ISNUMBER(K102),ISNUMBER(L102),L102&gt;0),1-K102/L102,0.0379)</f>
        <v>3.7937221677266209E-2</v>
      </c>
      <c r="P102" s="10">
        <f t="shared" si="4"/>
        <v>-9.6339098269448975E-5</v>
      </c>
      <c r="Q102" s="10">
        <v>0.08</v>
      </c>
      <c r="R102" s="10">
        <v>0.92369999999999997</v>
      </c>
      <c r="S102" s="6" t="s">
        <v>114</v>
      </c>
      <c r="T102" s="8" t="s">
        <v>505</v>
      </c>
      <c r="U102" s="11"/>
      <c r="V102" s="12"/>
      <c r="W102" s="13" t="s">
        <v>318</v>
      </c>
      <c r="X102" s="13"/>
      <c r="Y102" s="12"/>
      <c r="Z102" s="14" t="str">
        <f t="shared" si="5"/>
        <v/>
      </c>
      <c r="AA102" s="13"/>
      <c r="AB102" s="15"/>
      <c r="AC102" s="6" t="s">
        <v>506</v>
      </c>
      <c r="AD102" s="6" t="s">
        <v>258</v>
      </c>
      <c r="AE102" s="8" t="s">
        <v>507</v>
      </c>
    </row>
    <row r="103" spans="1:31" ht="45" x14ac:dyDescent="0.25">
      <c r="A103" s="6">
        <v>99</v>
      </c>
      <c r="B103" s="7">
        <v>46269</v>
      </c>
      <c r="C103" s="6" t="s">
        <v>508</v>
      </c>
      <c r="D103" s="8" t="s">
        <v>509</v>
      </c>
      <c r="E103" s="8" t="s">
        <v>510</v>
      </c>
      <c r="F103" s="6" t="s">
        <v>511</v>
      </c>
      <c r="G103" s="6" t="s">
        <v>48</v>
      </c>
      <c r="H103" s="6" t="s">
        <v>49</v>
      </c>
      <c r="I103" s="6" t="s">
        <v>50</v>
      </c>
      <c r="J103" s="9"/>
      <c r="K103" s="9">
        <v>80707415</v>
      </c>
      <c r="L103" s="9">
        <v>85079774.260000005</v>
      </c>
      <c r="M103" s="9">
        <v>103797324.59</v>
      </c>
      <c r="N103" s="10">
        <f>IF(AND(ISNUMBER(K103),ISNUMBER(L103),K103&gt;0),L103/K103-1,0.0542)</f>
        <v>5.4175434314182924E-2</v>
      </c>
      <c r="O103" s="10">
        <f>IF(AND(ISNUMBER(K103),ISNUMBER(L103),L103&gt;0),1-K103/L103,0.051)</f>
        <v>5.1391288917131739E-2</v>
      </c>
      <c r="P103" s="10" t="str">
        <f t="shared" si="4"/>
        <v/>
      </c>
      <c r="Q103" s="10">
        <v>0.03</v>
      </c>
      <c r="R103" s="10">
        <v>9.8000000000000004E-2</v>
      </c>
      <c r="S103" s="6" t="s">
        <v>42</v>
      </c>
      <c r="T103" s="8"/>
      <c r="U103" s="11"/>
      <c r="V103" s="12"/>
      <c r="W103" s="13"/>
      <c r="X103" s="13"/>
      <c r="Y103" s="12"/>
      <c r="Z103" s="14" t="str">
        <f t="shared" si="5"/>
        <v/>
      </c>
      <c r="AA103" s="13"/>
      <c r="AB103" s="15"/>
      <c r="AC103" s="6" t="s">
        <v>512</v>
      </c>
      <c r="AD103" s="6" t="s">
        <v>513</v>
      </c>
      <c r="AE103" s="8" t="s">
        <v>514</v>
      </c>
    </row>
    <row r="104" spans="1:31" ht="30" x14ac:dyDescent="0.25">
      <c r="A104" s="6">
        <v>100</v>
      </c>
      <c r="B104" s="7">
        <v>46270</v>
      </c>
      <c r="C104" s="6" t="s">
        <v>515</v>
      </c>
      <c r="D104" s="8" t="s">
        <v>516</v>
      </c>
      <c r="E104" s="8" t="s">
        <v>517</v>
      </c>
      <c r="F104" s="6" t="s">
        <v>211</v>
      </c>
      <c r="G104" s="6" t="s">
        <v>149</v>
      </c>
      <c r="H104" s="6" t="s">
        <v>49</v>
      </c>
      <c r="I104" s="6" t="s">
        <v>50</v>
      </c>
      <c r="J104" s="9"/>
      <c r="K104" s="9">
        <v>32120550</v>
      </c>
      <c r="L104" s="9">
        <v>44968770</v>
      </c>
      <c r="M104" s="9"/>
      <c r="N104" s="10">
        <f>IF(AND(ISNUMBER(K104),ISNUMBER(L104),K104&gt;0),L104/K104-1,0.4)</f>
        <v>0.39999999999999991</v>
      </c>
      <c r="O104" s="10">
        <f>IF(AND(ISNUMBER(K104),ISNUMBER(L104),L104&gt;0),1-K104/L104,0.2857)</f>
        <v>0.2857142857142857</v>
      </c>
      <c r="P104" s="10" t="str">
        <f t="shared" si="4"/>
        <v/>
      </c>
      <c r="Q104" s="10">
        <v>0.4</v>
      </c>
      <c r="R104" s="10">
        <v>0.4</v>
      </c>
      <c r="S104" s="6" t="s">
        <v>42</v>
      </c>
      <c r="T104" s="8"/>
      <c r="U104" s="11"/>
      <c r="V104" s="12"/>
      <c r="W104" s="13"/>
      <c r="X104" s="13"/>
      <c r="Y104" s="12"/>
      <c r="Z104" s="14" t="str">
        <f t="shared" si="5"/>
        <v/>
      </c>
      <c r="AA104" s="13"/>
      <c r="AB104" s="15"/>
      <c r="AC104" s="6" t="s">
        <v>518</v>
      </c>
      <c r="AD104" s="6" t="s">
        <v>519</v>
      </c>
      <c r="AE104" s="8" t="s">
        <v>520</v>
      </c>
    </row>
    <row r="105" spans="1:31" ht="30" x14ac:dyDescent="0.25">
      <c r="A105" s="6">
        <v>101</v>
      </c>
      <c r="B105" s="7">
        <v>46270</v>
      </c>
      <c r="C105" s="6" t="s">
        <v>521</v>
      </c>
      <c r="D105" s="8" t="s">
        <v>522</v>
      </c>
      <c r="E105" s="8" t="s">
        <v>523</v>
      </c>
      <c r="F105" s="6" t="s">
        <v>98</v>
      </c>
      <c r="G105" s="6" t="s">
        <v>244</v>
      </c>
      <c r="H105" s="6" t="s">
        <v>49</v>
      </c>
      <c r="I105" s="6" t="s">
        <v>50</v>
      </c>
      <c r="J105" s="9"/>
      <c r="K105" s="9">
        <v>21129202</v>
      </c>
      <c r="L105" s="9">
        <v>29580883</v>
      </c>
      <c r="M105" s="9"/>
      <c r="N105" s="10">
        <f>IF(AND(ISNUMBER(K105),ISNUMBER(L105),K105&gt;0),L105/K105-1,0.4)</f>
        <v>0.4000000094655729</v>
      </c>
      <c r="O105" s="10">
        <f>IF(AND(ISNUMBER(K105),ISNUMBER(L105),L105&gt;0),1-K105/L105,0.2857)</f>
        <v>0.2857142905436596</v>
      </c>
      <c r="P105" s="10" t="str">
        <f t="shared" si="4"/>
        <v/>
      </c>
      <c r="Q105" s="10">
        <v>0.4</v>
      </c>
      <c r="R105" s="10">
        <v>0.4</v>
      </c>
      <c r="S105" s="6" t="s">
        <v>42</v>
      </c>
      <c r="T105" s="8"/>
      <c r="U105" s="11"/>
      <c r="V105" s="12"/>
      <c r="W105" s="13"/>
      <c r="X105" s="13"/>
      <c r="Y105" s="12"/>
      <c r="Z105" s="14" t="str">
        <f t="shared" si="5"/>
        <v/>
      </c>
      <c r="AA105" s="13"/>
      <c r="AB105" s="15"/>
      <c r="AC105" s="6" t="s">
        <v>524</v>
      </c>
      <c r="AD105" s="6" t="s">
        <v>519</v>
      </c>
      <c r="AE105" s="8" t="s">
        <v>525</v>
      </c>
    </row>
    <row r="106" spans="1:31" ht="30" x14ac:dyDescent="0.25">
      <c r="A106" s="6">
        <v>102</v>
      </c>
      <c r="B106" s="7">
        <v>46270</v>
      </c>
      <c r="C106" s="6" t="s">
        <v>376</v>
      </c>
      <c r="D106" s="8" t="s">
        <v>526</v>
      </c>
      <c r="E106" s="8" t="s">
        <v>527</v>
      </c>
      <c r="F106" s="6" t="s">
        <v>38</v>
      </c>
      <c r="G106" s="6" t="s">
        <v>48</v>
      </c>
      <c r="H106" s="6" t="s">
        <v>49</v>
      </c>
      <c r="I106" s="6" t="s">
        <v>50</v>
      </c>
      <c r="J106" s="9"/>
      <c r="K106" s="9">
        <v>18468000</v>
      </c>
      <c r="L106" s="9">
        <v>25855200</v>
      </c>
      <c r="M106" s="9"/>
      <c r="N106" s="10">
        <f>IF(AND(ISNUMBER(K106),ISNUMBER(L106),K106&gt;0),L106/K106-1,0.4)</f>
        <v>0.39999999999999991</v>
      </c>
      <c r="O106" s="10">
        <f>IF(AND(ISNUMBER(K106),ISNUMBER(L106),L106&gt;0),1-K106/L106,0.2857)</f>
        <v>0.2857142857142857</v>
      </c>
      <c r="P106" s="10" t="str">
        <f t="shared" si="4"/>
        <v/>
      </c>
      <c r="Q106" s="10">
        <v>0.1</v>
      </c>
      <c r="R106" s="10"/>
      <c r="S106" s="6" t="s">
        <v>42</v>
      </c>
      <c r="T106" s="8"/>
      <c r="U106" s="11"/>
      <c r="V106" s="12"/>
      <c r="W106" s="13"/>
      <c r="X106" s="13"/>
      <c r="Y106" s="12"/>
      <c r="Z106" s="14" t="str">
        <f t="shared" si="5"/>
        <v/>
      </c>
      <c r="AA106" s="13"/>
      <c r="AB106" s="15"/>
      <c r="AC106" s="6" t="s">
        <v>528</v>
      </c>
      <c r="AD106" s="6" t="s">
        <v>519</v>
      </c>
      <c r="AE106" s="8" t="s">
        <v>529</v>
      </c>
    </row>
    <row r="107" spans="1:31" ht="45" x14ac:dyDescent="0.25">
      <c r="A107" s="6">
        <v>103</v>
      </c>
      <c r="B107" s="7">
        <v>46270</v>
      </c>
      <c r="C107" s="6" t="s">
        <v>530</v>
      </c>
      <c r="D107" s="8" t="s">
        <v>531</v>
      </c>
      <c r="E107" s="8" t="s">
        <v>532</v>
      </c>
      <c r="F107" s="6" t="s">
        <v>38</v>
      </c>
      <c r="G107" s="6" t="s">
        <v>48</v>
      </c>
      <c r="H107" s="6" t="s">
        <v>49</v>
      </c>
      <c r="I107" s="6" t="s">
        <v>50</v>
      </c>
      <c r="J107" s="9"/>
      <c r="K107" s="9">
        <v>1603100000</v>
      </c>
      <c r="L107" s="9"/>
      <c r="M107" s="9"/>
      <c r="N107" s="10" t="str">
        <f>IF(AND(ISNUMBER(K107),ISNUMBER(L107),K107&gt;0),L107/K107-1,"")</f>
        <v/>
      </c>
      <c r="O107" s="10" t="str">
        <f>IF(AND(ISNUMBER(K107),ISNUMBER(L107),L107&gt;0),1-K107/L107,"")</f>
        <v/>
      </c>
      <c r="P107" s="10" t="str">
        <f t="shared" si="4"/>
        <v/>
      </c>
      <c r="Q107" s="10"/>
      <c r="R107" s="10"/>
      <c r="S107" s="6" t="s">
        <v>42</v>
      </c>
      <c r="T107" s="8"/>
      <c r="U107" s="11"/>
      <c r="V107" s="12"/>
      <c r="W107" s="13"/>
      <c r="X107" s="13"/>
      <c r="Y107" s="12"/>
      <c r="Z107" s="14" t="str">
        <f t="shared" si="5"/>
        <v/>
      </c>
      <c r="AA107" s="13"/>
      <c r="AB107" s="15"/>
      <c r="AC107" s="6" t="s">
        <v>533</v>
      </c>
      <c r="AD107" s="6" t="s">
        <v>534</v>
      </c>
      <c r="AE107" s="8" t="s">
        <v>535</v>
      </c>
    </row>
    <row r="108" spans="1:31" ht="45" x14ac:dyDescent="0.25">
      <c r="A108" s="6">
        <v>104</v>
      </c>
      <c r="B108" s="7">
        <v>46270</v>
      </c>
      <c r="C108" s="6" t="s">
        <v>45</v>
      </c>
      <c r="D108" s="8" t="s">
        <v>536</v>
      </c>
      <c r="E108" s="8" t="s">
        <v>537</v>
      </c>
      <c r="F108" s="6" t="s">
        <v>38</v>
      </c>
      <c r="G108" s="6" t="s">
        <v>48</v>
      </c>
      <c r="H108" s="6" t="s">
        <v>49</v>
      </c>
      <c r="I108" s="6" t="s">
        <v>50</v>
      </c>
      <c r="J108" s="9"/>
      <c r="K108" s="9">
        <v>1535885</v>
      </c>
      <c r="L108" s="9">
        <v>2303828</v>
      </c>
      <c r="M108" s="9">
        <v>2810671</v>
      </c>
      <c r="N108" s="10">
        <f>IF(AND(ISNUMBER(K108),ISNUMBER(L108),K108&gt;0),L108/K108-1,0.5)</f>
        <v>0.50000032554520679</v>
      </c>
      <c r="O108" s="10">
        <f>IF(AND(ISNUMBER(K108),ISNUMBER(L108),L108&gt;0),1-K108/L108,0.3333)</f>
        <v>0.33333347802006053</v>
      </c>
      <c r="P108" s="10" t="str">
        <f t="shared" si="4"/>
        <v/>
      </c>
      <c r="Q108" s="10"/>
      <c r="R108" s="10"/>
      <c r="S108" s="6" t="s">
        <v>42</v>
      </c>
      <c r="T108" s="8"/>
      <c r="U108" s="11"/>
      <c r="V108" s="12"/>
      <c r="W108" s="13"/>
      <c r="X108" s="13"/>
      <c r="Y108" s="12"/>
      <c r="Z108" s="14" t="str">
        <f t="shared" si="5"/>
        <v/>
      </c>
      <c r="AA108" s="13"/>
      <c r="AB108" s="15"/>
      <c r="AC108" s="6" t="s">
        <v>538</v>
      </c>
      <c r="AD108" s="6" t="s">
        <v>539</v>
      </c>
      <c r="AE108" s="8" t="s">
        <v>540</v>
      </c>
    </row>
    <row r="109" spans="1:31" ht="45" x14ac:dyDescent="0.25">
      <c r="A109" s="6">
        <v>105</v>
      </c>
      <c r="B109" s="7">
        <v>46270</v>
      </c>
      <c r="C109" s="6" t="s">
        <v>45</v>
      </c>
      <c r="D109" s="8" t="s">
        <v>541</v>
      </c>
      <c r="E109" s="8" t="s">
        <v>542</v>
      </c>
      <c r="F109" s="6" t="s">
        <v>117</v>
      </c>
      <c r="G109" s="6" t="s">
        <v>48</v>
      </c>
      <c r="H109" s="6" t="s">
        <v>49</v>
      </c>
      <c r="I109" s="6" t="s">
        <v>50</v>
      </c>
      <c r="J109" s="9"/>
      <c r="K109" s="9">
        <v>2074090</v>
      </c>
      <c r="L109" s="9">
        <v>3111135</v>
      </c>
      <c r="M109" s="9">
        <v>3795585</v>
      </c>
      <c r="N109" s="10">
        <f>IF(AND(ISNUMBER(K109),ISNUMBER(L109),K109&gt;0),L109/K109-1,0.5)</f>
        <v>0.5</v>
      </c>
      <c r="O109" s="10">
        <f>IF(AND(ISNUMBER(K109),ISNUMBER(L109),L109&gt;0),1-K109/L109,0.3333)</f>
        <v>0.33333333333333337</v>
      </c>
      <c r="P109" s="10" t="str">
        <f t="shared" si="4"/>
        <v/>
      </c>
      <c r="Q109" s="10"/>
      <c r="R109" s="10"/>
      <c r="S109" s="6" t="s">
        <v>42</v>
      </c>
      <c r="T109" s="8"/>
      <c r="U109" s="11"/>
      <c r="V109" s="12"/>
      <c r="W109" s="13"/>
      <c r="X109" s="13"/>
      <c r="Y109" s="12"/>
      <c r="Z109" s="14" t="str">
        <f t="shared" si="5"/>
        <v/>
      </c>
      <c r="AA109" s="13"/>
      <c r="AB109" s="15"/>
      <c r="AC109" s="6" t="s">
        <v>538</v>
      </c>
      <c r="AD109" s="6" t="s">
        <v>539</v>
      </c>
      <c r="AE109" s="8" t="s">
        <v>540</v>
      </c>
    </row>
    <row r="110" spans="1:31" ht="45" x14ac:dyDescent="0.25">
      <c r="A110" s="6">
        <v>106</v>
      </c>
      <c r="B110" s="7">
        <v>46270</v>
      </c>
      <c r="C110" s="6" t="s">
        <v>45</v>
      </c>
      <c r="D110" s="8" t="s">
        <v>543</v>
      </c>
      <c r="E110" s="8" t="s">
        <v>544</v>
      </c>
      <c r="F110" s="6" t="s">
        <v>545</v>
      </c>
      <c r="G110" s="6" t="s">
        <v>48</v>
      </c>
      <c r="H110" s="6" t="s">
        <v>49</v>
      </c>
      <c r="I110" s="6" t="s">
        <v>50</v>
      </c>
      <c r="J110" s="9"/>
      <c r="K110" s="9">
        <v>3245840</v>
      </c>
      <c r="L110" s="9">
        <v>4868761</v>
      </c>
      <c r="M110" s="9">
        <v>5939888</v>
      </c>
      <c r="N110" s="10">
        <f>IF(AND(ISNUMBER(K110),ISNUMBER(L110),K110&gt;0),L110/K110-1,0.5)</f>
        <v>0.50000030808665863</v>
      </c>
      <c r="O110" s="10">
        <f>IF(AND(ISNUMBER(K110),ISNUMBER(L110),L110&gt;0),1-K110/L110,0.3333)</f>
        <v>0.33333347026070903</v>
      </c>
      <c r="P110" s="10" t="str">
        <f t="shared" si="4"/>
        <v/>
      </c>
      <c r="Q110" s="10"/>
      <c r="R110" s="10"/>
      <c r="S110" s="6" t="s">
        <v>42</v>
      </c>
      <c r="T110" s="8"/>
      <c r="U110" s="11"/>
      <c r="V110" s="12"/>
      <c r="W110" s="13"/>
      <c r="X110" s="13"/>
      <c r="Y110" s="12"/>
      <c r="Z110" s="14" t="str">
        <f t="shared" si="5"/>
        <v/>
      </c>
      <c r="AA110" s="13"/>
      <c r="AB110" s="15"/>
      <c r="AC110" s="6" t="s">
        <v>538</v>
      </c>
      <c r="AD110" s="6" t="s">
        <v>539</v>
      </c>
      <c r="AE110" s="8" t="s">
        <v>540</v>
      </c>
    </row>
    <row r="111" spans="1:31" ht="30" x14ac:dyDescent="0.25">
      <c r="A111" s="6">
        <v>107</v>
      </c>
      <c r="B111" s="7">
        <v>46270</v>
      </c>
      <c r="C111" s="6" t="s">
        <v>546</v>
      </c>
      <c r="D111" s="8" t="s">
        <v>547</v>
      </c>
      <c r="E111" s="8" t="s">
        <v>548</v>
      </c>
      <c r="F111" s="6" t="s">
        <v>38</v>
      </c>
      <c r="G111" s="6" t="s">
        <v>48</v>
      </c>
      <c r="H111" s="6" t="s">
        <v>49</v>
      </c>
      <c r="I111" s="6" t="s">
        <v>50</v>
      </c>
      <c r="J111" s="9"/>
      <c r="K111" s="9">
        <v>5388066</v>
      </c>
      <c r="L111" s="9">
        <v>7543292</v>
      </c>
      <c r="M111" s="9"/>
      <c r="N111" s="10">
        <f>IF(AND(ISNUMBER(K111),ISNUMBER(L111),K111&gt;0),L111/K111-1,0.4)</f>
        <v>0.39999992576185961</v>
      </c>
      <c r="O111" s="10">
        <f>IF(AND(ISNUMBER(K111),ISNUMBER(L111),L111&gt;0),1-K111/L111,0.2857)</f>
        <v>0.28571424783768151</v>
      </c>
      <c r="P111" s="10" t="str">
        <f t="shared" si="4"/>
        <v/>
      </c>
      <c r="Q111" s="10">
        <v>0.1</v>
      </c>
      <c r="R111" s="10"/>
      <c r="S111" s="6" t="s">
        <v>42</v>
      </c>
      <c r="T111" s="8"/>
      <c r="U111" s="11"/>
      <c r="V111" s="12"/>
      <c r="W111" s="13"/>
      <c r="X111" s="13"/>
      <c r="Y111" s="12"/>
      <c r="Z111" s="14" t="str">
        <f t="shared" si="5"/>
        <v/>
      </c>
      <c r="AA111" s="13"/>
      <c r="AB111" s="15"/>
      <c r="AC111" s="6" t="s">
        <v>549</v>
      </c>
      <c r="AD111" s="6" t="s">
        <v>519</v>
      </c>
      <c r="AE111" s="8" t="s">
        <v>550</v>
      </c>
    </row>
    <row r="112" spans="1:31" ht="45" x14ac:dyDescent="0.25">
      <c r="A112" s="6">
        <v>108</v>
      </c>
      <c r="B112" s="7">
        <v>46270</v>
      </c>
      <c r="C112" s="6" t="s">
        <v>551</v>
      </c>
      <c r="D112" s="8" t="s">
        <v>552</v>
      </c>
      <c r="E112" s="8" t="s">
        <v>553</v>
      </c>
      <c r="F112" s="6" t="s">
        <v>554</v>
      </c>
      <c r="G112" s="6" t="s">
        <v>48</v>
      </c>
      <c r="H112" s="6" t="s">
        <v>49</v>
      </c>
      <c r="I112" s="6" t="s">
        <v>50</v>
      </c>
      <c r="J112" s="9"/>
      <c r="K112" s="9">
        <v>3720535</v>
      </c>
      <c r="L112" s="9"/>
      <c r="M112" s="9"/>
      <c r="N112" s="10" t="str">
        <f>IF(AND(ISNUMBER(K112),ISNUMBER(L112),K112&gt;0),L112/K112-1,"")</f>
        <v/>
      </c>
      <c r="O112" s="10" t="str">
        <f>IF(AND(ISNUMBER(K112),ISNUMBER(L112),L112&gt;0),1-K112/L112,"")</f>
        <v/>
      </c>
      <c r="P112" s="10" t="str">
        <f t="shared" si="4"/>
        <v/>
      </c>
      <c r="Q112" s="10"/>
      <c r="R112" s="10"/>
      <c r="S112" s="6" t="s">
        <v>42</v>
      </c>
      <c r="T112" s="8"/>
      <c r="U112" s="11"/>
      <c r="V112" s="12"/>
      <c r="W112" s="13"/>
      <c r="X112" s="13"/>
      <c r="Y112" s="12"/>
      <c r="Z112" s="14" t="str">
        <f t="shared" si="5"/>
        <v/>
      </c>
      <c r="AA112" s="13"/>
      <c r="AB112" s="15"/>
      <c r="AC112" s="6" t="s">
        <v>555</v>
      </c>
      <c r="AD112" s="6" t="s">
        <v>556</v>
      </c>
      <c r="AE112" s="8" t="s">
        <v>557</v>
      </c>
    </row>
    <row r="113" spans="1:31" ht="30" x14ac:dyDescent="0.25">
      <c r="A113" s="6">
        <v>109</v>
      </c>
      <c r="B113" s="7">
        <v>46270</v>
      </c>
      <c r="C113" s="6" t="s">
        <v>558</v>
      </c>
      <c r="D113" s="8" t="s">
        <v>559</v>
      </c>
      <c r="E113" s="8" t="s">
        <v>560</v>
      </c>
      <c r="F113" s="6" t="s">
        <v>55</v>
      </c>
      <c r="G113" s="6" t="s">
        <v>561</v>
      </c>
      <c r="H113" s="6" t="s">
        <v>49</v>
      </c>
      <c r="I113" s="6" t="s">
        <v>50</v>
      </c>
      <c r="J113" s="9"/>
      <c r="K113" s="9">
        <v>1548217</v>
      </c>
      <c r="L113" s="9">
        <v>2167504</v>
      </c>
      <c r="M113" s="9"/>
      <c r="N113" s="10">
        <f>IF(AND(ISNUMBER(K113),ISNUMBER(L113),K113&gt;0),L113/K113-1,0.4)</f>
        <v>0.4000001291808577</v>
      </c>
      <c r="O113" s="10">
        <f>IF(AND(ISNUMBER(K113),ISNUMBER(L113),L113&gt;0),1-K113/L113,0.2857)</f>
        <v>0.2857143516228805</v>
      </c>
      <c r="P113" s="10" t="str">
        <f t="shared" si="4"/>
        <v/>
      </c>
      <c r="Q113" s="10">
        <v>0.4</v>
      </c>
      <c r="R113" s="10">
        <v>0.4</v>
      </c>
      <c r="S113" s="6" t="s">
        <v>42</v>
      </c>
      <c r="T113" s="8"/>
      <c r="U113" s="11"/>
      <c r="V113" s="12"/>
      <c r="W113" s="13"/>
      <c r="X113" s="13"/>
      <c r="Y113" s="12"/>
      <c r="Z113" s="14" t="str">
        <f t="shared" si="5"/>
        <v/>
      </c>
      <c r="AA113" s="13"/>
      <c r="AB113" s="15"/>
      <c r="AC113" s="6" t="s">
        <v>562</v>
      </c>
      <c r="AD113" s="6" t="s">
        <v>519</v>
      </c>
      <c r="AE113" s="8" t="s">
        <v>563</v>
      </c>
    </row>
    <row r="114" spans="1:31" ht="30" x14ac:dyDescent="0.25">
      <c r="A114" s="6">
        <v>110</v>
      </c>
      <c r="B114" s="7">
        <v>46271</v>
      </c>
      <c r="C114" s="6" t="s">
        <v>376</v>
      </c>
      <c r="D114" s="8" t="s">
        <v>564</v>
      </c>
      <c r="E114" s="8" t="s">
        <v>565</v>
      </c>
      <c r="F114" s="6" t="s">
        <v>38</v>
      </c>
      <c r="G114" s="6" t="s">
        <v>48</v>
      </c>
      <c r="H114" s="6" t="s">
        <v>49</v>
      </c>
      <c r="I114" s="6" t="s">
        <v>50</v>
      </c>
      <c r="J114" s="9"/>
      <c r="K114" s="9">
        <v>9782724</v>
      </c>
      <c r="L114" s="9">
        <v>13100000</v>
      </c>
      <c r="M114" s="9"/>
      <c r="N114" s="10">
        <f>IF(AND(ISNUMBER(K114),ISNUMBER(L114),K114&gt;0),L114/K114-1,0.339)</f>
        <v>0.33909532764084926</v>
      </c>
      <c r="O114" s="10">
        <f>IF(AND(ISNUMBER(K114),ISNUMBER(L114),L114&gt;0),1-K114/L114,0.253)</f>
        <v>0.25322717557251906</v>
      </c>
      <c r="P114" s="10" t="str">
        <f t="shared" si="4"/>
        <v/>
      </c>
      <c r="Q114" s="10">
        <v>0.1</v>
      </c>
      <c r="R114" s="10"/>
      <c r="S114" s="6" t="s">
        <v>42</v>
      </c>
      <c r="T114" s="8"/>
      <c r="U114" s="11"/>
      <c r="V114" s="12"/>
      <c r="W114" s="13"/>
      <c r="X114" s="13"/>
      <c r="Y114" s="12"/>
      <c r="Z114" s="14" t="str">
        <f t="shared" si="5"/>
        <v/>
      </c>
      <c r="AA114" s="13"/>
      <c r="AB114" s="15"/>
      <c r="AC114" s="6" t="s">
        <v>566</v>
      </c>
      <c r="AD114" s="6" t="s">
        <v>519</v>
      </c>
      <c r="AE114" s="8" t="s">
        <v>567</v>
      </c>
    </row>
    <row r="115" spans="1:31" ht="30" x14ac:dyDescent="0.25">
      <c r="A115" s="6">
        <v>111</v>
      </c>
      <c r="B115" s="7">
        <v>46273</v>
      </c>
      <c r="C115" s="6" t="s">
        <v>568</v>
      </c>
      <c r="D115" s="8" t="s">
        <v>569</v>
      </c>
      <c r="E115" s="8" t="s">
        <v>570</v>
      </c>
      <c r="F115" s="6" t="s">
        <v>38</v>
      </c>
      <c r="G115" s="6" t="s">
        <v>149</v>
      </c>
      <c r="H115" s="6" t="s">
        <v>72</v>
      </c>
      <c r="I115" s="6" t="s">
        <v>50</v>
      </c>
      <c r="J115" s="9"/>
      <c r="K115" s="9">
        <v>8335385</v>
      </c>
      <c r="L115" s="9">
        <v>11669661.539999999</v>
      </c>
      <c r="M115" s="9">
        <v>14236987.08</v>
      </c>
      <c r="N115" s="10">
        <f>IF(AND(ISNUMBER(K115),ISNUMBER(L115),K115&gt;0),L115/K115-1,0.4)</f>
        <v>0.40001470118056925</v>
      </c>
      <c r="O115" s="10">
        <f>IF(AND(ISNUMBER(K115),ISNUMBER(L115),L115&gt;0),1-K115/L115,0.2857)</f>
        <v>0.28572178623785516</v>
      </c>
      <c r="P115" s="10" t="str">
        <f t="shared" si="4"/>
        <v/>
      </c>
      <c r="Q115" s="10">
        <v>0.2</v>
      </c>
      <c r="R115" s="10">
        <v>0.64190000000000003</v>
      </c>
      <c r="S115" s="6" t="s">
        <v>42</v>
      </c>
      <c r="T115" s="8"/>
      <c r="U115" s="11"/>
      <c r="V115" s="12"/>
      <c r="W115" s="13"/>
      <c r="X115" s="13"/>
      <c r="Y115" s="12"/>
      <c r="Z115" s="14" t="str">
        <f t="shared" si="5"/>
        <v/>
      </c>
      <c r="AA115" s="13"/>
      <c r="AB115" s="15"/>
      <c r="AC115" s="6" t="s">
        <v>571</v>
      </c>
      <c r="AD115" s="6" t="s">
        <v>572</v>
      </c>
      <c r="AE115" s="8" t="s">
        <v>573</v>
      </c>
    </row>
    <row r="116" spans="1:31" ht="45" x14ac:dyDescent="0.25">
      <c r="A116" s="6">
        <v>112</v>
      </c>
      <c r="B116" s="7">
        <v>46273</v>
      </c>
      <c r="C116" s="6" t="s">
        <v>376</v>
      </c>
      <c r="D116" s="8" t="s">
        <v>574</v>
      </c>
      <c r="E116" s="8" t="s">
        <v>575</v>
      </c>
      <c r="F116" s="6" t="s">
        <v>38</v>
      </c>
      <c r="G116" s="6" t="s">
        <v>48</v>
      </c>
      <c r="H116" s="6" t="s">
        <v>49</v>
      </c>
      <c r="I116" s="6" t="s">
        <v>50</v>
      </c>
      <c r="J116" s="9"/>
      <c r="K116" s="9">
        <v>1075733</v>
      </c>
      <c r="L116" s="9"/>
      <c r="M116" s="9"/>
      <c r="N116" s="10" t="str">
        <f>IF(AND(ISNUMBER(K116),ISNUMBER(L116),K116&gt;0),L116/K116-1,"")</f>
        <v/>
      </c>
      <c r="O116" s="10" t="str">
        <f>IF(AND(ISNUMBER(K116),ISNUMBER(L116),L116&gt;0),1-K116/L116,"")</f>
        <v/>
      </c>
      <c r="P116" s="10" t="str">
        <f t="shared" si="4"/>
        <v/>
      </c>
      <c r="Q116" s="10"/>
      <c r="R116" s="10"/>
      <c r="S116" s="6" t="s">
        <v>42</v>
      </c>
      <c r="T116" s="8"/>
      <c r="U116" s="11"/>
      <c r="V116" s="12"/>
      <c r="W116" s="13"/>
      <c r="X116" s="13"/>
      <c r="Y116" s="12"/>
      <c r="Z116" s="14" t="str">
        <f t="shared" si="5"/>
        <v/>
      </c>
      <c r="AA116" s="13"/>
      <c r="AB116" s="15"/>
      <c r="AC116" s="6" t="s">
        <v>576</v>
      </c>
      <c r="AD116" s="6" t="s">
        <v>577</v>
      </c>
      <c r="AE116" s="8" t="s">
        <v>578</v>
      </c>
    </row>
    <row r="117" spans="1:31" ht="45" x14ac:dyDescent="0.25">
      <c r="A117" s="6">
        <v>113</v>
      </c>
      <c r="B117" s="7">
        <v>46273</v>
      </c>
      <c r="C117" s="6" t="s">
        <v>228</v>
      </c>
      <c r="D117" s="8" t="s">
        <v>579</v>
      </c>
      <c r="E117" s="8" t="s">
        <v>580</v>
      </c>
      <c r="F117" s="6" t="s">
        <v>55</v>
      </c>
      <c r="G117" s="6" t="s">
        <v>48</v>
      </c>
      <c r="H117" s="6" t="s">
        <v>49</v>
      </c>
      <c r="I117" s="6" t="s">
        <v>50</v>
      </c>
      <c r="J117" s="9">
        <v>57482156</v>
      </c>
      <c r="K117" s="9">
        <v>61213607</v>
      </c>
      <c r="L117" s="9"/>
      <c r="M117" s="9"/>
      <c r="N117" s="10" t="str">
        <f>IF(AND(ISNUMBER(K117),ISNUMBER(L117),K117&gt;0),L117/K117-1,"")</f>
        <v/>
      </c>
      <c r="O117" s="10" t="str">
        <f>IF(AND(ISNUMBER(K117),ISNUMBER(L117),L117&gt;0),1-K117/L117,"")</f>
        <v/>
      </c>
      <c r="P117" s="10" t="str">
        <f t="shared" si="4"/>
        <v/>
      </c>
      <c r="Q117" s="10"/>
      <c r="R117" s="10"/>
      <c r="S117" s="6" t="s">
        <v>42</v>
      </c>
      <c r="T117" s="8"/>
      <c r="U117" s="11"/>
      <c r="V117" s="12"/>
      <c r="W117" s="13"/>
      <c r="X117" s="13"/>
      <c r="Y117" s="12"/>
      <c r="Z117" s="14" t="str">
        <f t="shared" si="5"/>
        <v/>
      </c>
      <c r="AA117" s="13"/>
      <c r="AB117" s="15"/>
      <c r="AC117" s="6" t="s">
        <v>558</v>
      </c>
      <c r="AD117" s="6" t="s">
        <v>577</v>
      </c>
      <c r="AE117" s="8" t="s">
        <v>581</v>
      </c>
    </row>
    <row r="118" spans="1:31" ht="45" x14ac:dyDescent="0.25">
      <c r="A118" s="6">
        <v>114</v>
      </c>
      <c r="B118" s="7">
        <v>46274</v>
      </c>
      <c r="C118" s="6" t="s">
        <v>582</v>
      </c>
      <c r="D118" s="8" t="s">
        <v>583</v>
      </c>
      <c r="E118" s="8" t="s">
        <v>584</v>
      </c>
      <c r="F118" s="6" t="s">
        <v>38</v>
      </c>
      <c r="G118" s="6" t="s">
        <v>39</v>
      </c>
      <c r="H118" s="6" t="s">
        <v>40</v>
      </c>
      <c r="I118" s="6" t="s">
        <v>41</v>
      </c>
      <c r="J118" s="9"/>
      <c r="K118" s="9">
        <v>841678</v>
      </c>
      <c r="L118" s="9">
        <v>1094181</v>
      </c>
      <c r="M118" s="9">
        <v>1334901</v>
      </c>
      <c r="N118" s="10">
        <f>IF(AND(ISNUMBER(K118),ISNUMBER(L118),K118&gt;0),L118/K118-1,0.3)</f>
        <v>0.29999952475887448</v>
      </c>
      <c r="O118" s="10">
        <f>IF(AND(ISNUMBER(K118),ISNUMBER(L118),L118&gt;0),1-K118/L118,0.231)</f>
        <v>0.2307689495613614</v>
      </c>
      <c r="P118" s="10" t="str">
        <f t="shared" si="4"/>
        <v/>
      </c>
      <c r="Q118" s="10"/>
      <c r="R118" s="10"/>
      <c r="S118" s="6" t="s">
        <v>42</v>
      </c>
      <c r="T118" s="8"/>
      <c r="U118" s="11"/>
      <c r="V118" s="12"/>
      <c r="W118" s="13"/>
      <c r="X118" s="13"/>
      <c r="Y118" s="12"/>
      <c r="Z118" s="14" t="str">
        <f t="shared" si="5"/>
        <v/>
      </c>
      <c r="AA118" s="13"/>
      <c r="AB118" s="15"/>
      <c r="AC118" s="6" t="s">
        <v>585</v>
      </c>
      <c r="AD118" s="6" t="s">
        <v>586</v>
      </c>
      <c r="AE118" s="8" t="s">
        <v>587</v>
      </c>
    </row>
    <row r="119" spans="1:31" ht="45" x14ac:dyDescent="0.25">
      <c r="A119" s="6">
        <v>115</v>
      </c>
      <c r="B119" s="7">
        <v>46276</v>
      </c>
      <c r="C119" s="6" t="s">
        <v>492</v>
      </c>
      <c r="D119" s="8" t="s">
        <v>588</v>
      </c>
      <c r="E119" s="8" t="s">
        <v>589</v>
      </c>
      <c r="F119" s="6" t="s">
        <v>38</v>
      </c>
      <c r="G119" s="6" t="s">
        <v>48</v>
      </c>
      <c r="H119" s="6" t="s">
        <v>49</v>
      </c>
      <c r="I119" s="6" t="s">
        <v>50</v>
      </c>
      <c r="J119" s="9"/>
      <c r="K119" s="9">
        <v>80757578</v>
      </c>
      <c r="L119" s="9">
        <v>104985600</v>
      </c>
      <c r="M119" s="9">
        <v>128082432</v>
      </c>
      <c r="N119" s="10">
        <f>IF(AND(ISNUMBER(K119),ISNUMBER(L119),K119&gt;0),L119/K119-1,0.3)</f>
        <v>0.30000926971831676</v>
      </c>
      <c r="O119" s="10">
        <f>IF(AND(ISNUMBER(K119),ISNUMBER(L119),L119&gt;0),1-K119/L119,0.2308)</f>
        <v>0.23077471577054376</v>
      </c>
      <c r="P119" s="10" t="str">
        <f t="shared" si="4"/>
        <v/>
      </c>
      <c r="Q119" s="10">
        <v>0.2</v>
      </c>
      <c r="R119" s="10">
        <v>0.3221</v>
      </c>
      <c r="S119" s="6" t="s">
        <v>42</v>
      </c>
      <c r="T119" s="8"/>
      <c r="U119" s="11"/>
      <c r="V119" s="12"/>
      <c r="W119" s="13"/>
      <c r="X119" s="13"/>
      <c r="Y119" s="12"/>
      <c r="Z119" s="14" t="str">
        <f t="shared" si="5"/>
        <v/>
      </c>
      <c r="AA119" s="13"/>
      <c r="AB119" s="15"/>
      <c r="AC119" s="6" t="s">
        <v>590</v>
      </c>
      <c r="AD119" s="6" t="s">
        <v>591</v>
      </c>
      <c r="AE119" s="8" t="s">
        <v>592</v>
      </c>
    </row>
    <row r="120" spans="1:31" ht="30" x14ac:dyDescent="0.25">
      <c r="A120" s="6">
        <v>116</v>
      </c>
      <c r="B120" s="7">
        <v>46276</v>
      </c>
      <c r="C120" s="6" t="s">
        <v>376</v>
      </c>
      <c r="D120" s="8" t="s">
        <v>593</v>
      </c>
      <c r="E120" s="8" t="s">
        <v>594</v>
      </c>
      <c r="F120" s="6" t="s">
        <v>38</v>
      </c>
      <c r="G120" s="6" t="s">
        <v>48</v>
      </c>
      <c r="H120" s="6" t="s">
        <v>49</v>
      </c>
      <c r="I120" s="6" t="s">
        <v>50</v>
      </c>
      <c r="J120" s="9"/>
      <c r="K120" s="9">
        <v>13725990</v>
      </c>
      <c r="L120" s="9">
        <v>19216405</v>
      </c>
      <c r="M120" s="9">
        <v>23444014</v>
      </c>
      <c r="N120" s="10">
        <f>IF(AND(ISNUMBER(K120),ISNUMBER(L120),K120&gt;0),L120/K120-1,0.4)</f>
        <v>0.40000138423530829</v>
      </c>
      <c r="O120" s="10">
        <f>IF(AND(ISNUMBER(K120),ISNUMBER(L120),L120&gt;0),1-K120/L120,0.2857)</f>
        <v>0.28571499195609174</v>
      </c>
      <c r="P120" s="10" t="str">
        <f t="shared" si="4"/>
        <v/>
      </c>
      <c r="Q120" s="10">
        <v>0.25</v>
      </c>
      <c r="R120" s="10">
        <v>0.54710000000000003</v>
      </c>
      <c r="S120" s="6" t="s">
        <v>42</v>
      </c>
      <c r="T120" s="8"/>
      <c r="U120" s="11"/>
      <c r="V120" s="12"/>
      <c r="W120" s="13"/>
      <c r="X120" s="13"/>
      <c r="Y120" s="12"/>
      <c r="Z120" s="14" t="str">
        <f t="shared" si="5"/>
        <v/>
      </c>
      <c r="AA120" s="13"/>
      <c r="AB120" s="15"/>
      <c r="AC120" s="6" t="s">
        <v>595</v>
      </c>
      <c r="AD120" s="6" t="s">
        <v>596</v>
      </c>
      <c r="AE120" s="8" t="s">
        <v>597</v>
      </c>
    </row>
    <row r="121" spans="1:31" ht="30" x14ac:dyDescent="0.25">
      <c r="A121" s="6">
        <v>117</v>
      </c>
      <c r="B121" s="7">
        <v>46276</v>
      </c>
      <c r="C121" s="6" t="s">
        <v>598</v>
      </c>
      <c r="D121" s="8" t="s">
        <v>599</v>
      </c>
      <c r="E121" s="8" t="s">
        <v>600</v>
      </c>
      <c r="F121" s="6" t="s">
        <v>38</v>
      </c>
      <c r="G121" s="6" t="s">
        <v>244</v>
      </c>
      <c r="H121" s="6" t="s">
        <v>49</v>
      </c>
      <c r="I121" s="6" t="s">
        <v>50</v>
      </c>
      <c r="J121" s="9"/>
      <c r="K121" s="9">
        <v>22276700</v>
      </c>
      <c r="L121" s="9">
        <v>28964695</v>
      </c>
      <c r="M121" s="9">
        <v>35336928</v>
      </c>
      <c r="N121" s="10">
        <f>IF(AND(ISNUMBER(K121),ISNUMBER(L121),K121&gt;0),L121/K121-1,0.3)</f>
        <v>0.30022377641212561</v>
      </c>
      <c r="O121" s="10">
        <f>IF(AND(ISNUMBER(K121),ISNUMBER(L121),L121&gt;0),1-K121/L121,0.2309)</f>
        <v>0.23090162005848847</v>
      </c>
      <c r="P121" s="10" t="str">
        <f t="shared" si="4"/>
        <v/>
      </c>
      <c r="Q121" s="10">
        <v>0.25</v>
      </c>
      <c r="R121" s="10">
        <v>0.44479999999999997</v>
      </c>
      <c r="S121" s="6" t="s">
        <v>42</v>
      </c>
      <c r="T121" s="8"/>
      <c r="U121" s="11"/>
      <c r="V121" s="12"/>
      <c r="W121" s="13"/>
      <c r="X121" s="13"/>
      <c r="Y121" s="12"/>
      <c r="Z121" s="14" t="str">
        <f t="shared" si="5"/>
        <v/>
      </c>
      <c r="AA121" s="13"/>
      <c r="AB121" s="15"/>
      <c r="AC121" s="6" t="s">
        <v>601</v>
      </c>
      <c r="AD121" s="6" t="s">
        <v>602</v>
      </c>
      <c r="AE121" s="8" t="s">
        <v>603</v>
      </c>
    </row>
    <row r="122" spans="1:31" ht="30" x14ac:dyDescent="0.25">
      <c r="A122" s="6">
        <v>118</v>
      </c>
      <c r="B122" s="7">
        <v>46276</v>
      </c>
      <c r="C122" s="6" t="s">
        <v>598</v>
      </c>
      <c r="D122" s="8" t="s">
        <v>599</v>
      </c>
      <c r="E122" s="8" t="s">
        <v>604</v>
      </c>
      <c r="F122" s="6" t="s">
        <v>38</v>
      </c>
      <c r="G122" s="6" t="s">
        <v>244</v>
      </c>
      <c r="H122" s="6" t="s">
        <v>49</v>
      </c>
      <c r="I122" s="6" t="s">
        <v>50</v>
      </c>
      <c r="J122" s="9"/>
      <c r="K122" s="9">
        <v>185665129</v>
      </c>
      <c r="L122" s="9">
        <v>241357148</v>
      </c>
      <c r="M122" s="9">
        <v>294455720</v>
      </c>
      <c r="N122" s="10">
        <f>IF(AND(ISNUMBER(K122),ISNUMBER(L122),K122&gt;0),L122/K122-1,0.3)</f>
        <v>0.29995949858737347</v>
      </c>
      <c r="O122" s="10">
        <f>IF(AND(ISNUMBER(K122),ISNUMBER(L122),L122&gt;0),1-K122/L122,0.2307)</f>
        <v>0.23074526468965406</v>
      </c>
      <c r="P122" s="10" t="str">
        <f t="shared" si="4"/>
        <v/>
      </c>
      <c r="Q122" s="10">
        <v>0.25</v>
      </c>
      <c r="R122" s="10">
        <v>0.79700000000000004</v>
      </c>
      <c r="S122" s="6" t="s">
        <v>42</v>
      </c>
      <c r="T122" s="8"/>
      <c r="U122" s="11"/>
      <c r="V122" s="12"/>
      <c r="W122" s="13"/>
      <c r="X122" s="13"/>
      <c r="Y122" s="12"/>
      <c r="Z122" s="14" t="str">
        <f t="shared" si="5"/>
        <v/>
      </c>
      <c r="AA122" s="13"/>
      <c r="AB122" s="15"/>
      <c r="AC122" s="6" t="s">
        <v>601</v>
      </c>
      <c r="AD122" s="6" t="s">
        <v>602</v>
      </c>
      <c r="AE122" s="8" t="s">
        <v>605</v>
      </c>
    </row>
    <row r="123" spans="1:31" ht="45" x14ac:dyDescent="0.25">
      <c r="A123" s="6">
        <v>119</v>
      </c>
      <c r="B123" s="7">
        <v>46279</v>
      </c>
      <c r="C123" s="6" t="s">
        <v>376</v>
      </c>
      <c r="D123" s="8" t="s">
        <v>606</v>
      </c>
      <c r="E123" s="8" t="s">
        <v>607</v>
      </c>
      <c r="F123" s="6" t="s">
        <v>38</v>
      </c>
      <c r="G123" s="6" t="s">
        <v>48</v>
      </c>
      <c r="H123" s="6" t="s">
        <v>49</v>
      </c>
      <c r="I123" s="6" t="s">
        <v>50</v>
      </c>
      <c r="J123" s="9"/>
      <c r="K123" s="9">
        <v>3899716</v>
      </c>
      <c r="L123" s="9">
        <v>5849571.9800000004</v>
      </c>
      <c r="M123" s="9">
        <v>7136477.8200000003</v>
      </c>
      <c r="N123" s="10">
        <f>IF(AND(ISNUMBER(K123),ISNUMBER(L123),K123&gt;0),L123/K123-1,0.5)</f>
        <v>0.49999948201356204</v>
      </c>
      <c r="O123" s="10">
        <f>IF(AND(ISNUMBER(K123),ISNUMBER(L123),L123&gt;0),1-K123/L123,0.3333)</f>
        <v>0.33333310311705922</v>
      </c>
      <c r="P123" s="10" t="str">
        <f t="shared" si="4"/>
        <v/>
      </c>
      <c r="Q123" s="10">
        <v>0.25</v>
      </c>
      <c r="R123" s="10">
        <v>1.0387999999999999</v>
      </c>
      <c r="S123" s="6" t="s">
        <v>42</v>
      </c>
      <c r="T123" s="8"/>
      <c r="U123" s="11"/>
      <c r="V123" s="12"/>
      <c r="W123" s="13"/>
      <c r="X123" s="13"/>
      <c r="Y123" s="12"/>
      <c r="Z123" s="14" t="str">
        <f t="shared" si="5"/>
        <v/>
      </c>
      <c r="AA123" s="13"/>
      <c r="AB123" s="15"/>
      <c r="AC123" s="6" t="s">
        <v>608</v>
      </c>
      <c r="AD123" s="6" t="s">
        <v>577</v>
      </c>
      <c r="AE123" s="8" t="s">
        <v>609</v>
      </c>
    </row>
    <row r="124" spans="1:31" ht="45" x14ac:dyDescent="0.25">
      <c r="A124" s="6">
        <v>120</v>
      </c>
      <c r="B124" s="7">
        <v>46279</v>
      </c>
      <c r="C124" s="6" t="s">
        <v>610</v>
      </c>
      <c r="D124" s="8" t="s">
        <v>611</v>
      </c>
      <c r="E124" s="8" t="s">
        <v>612</v>
      </c>
      <c r="F124" s="6"/>
      <c r="G124" s="6" t="s">
        <v>71</v>
      </c>
      <c r="H124" s="6" t="s">
        <v>72</v>
      </c>
      <c r="I124" s="6" t="s">
        <v>50</v>
      </c>
      <c r="J124" s="9"/>
      <c r="K124" s="9">
        <v>62196244</v>
      </c>
      <c r="L124" s="9">
        <v>83964956.189999998</v>
      </c>
      <c r="M124" s="9">
        <v>102437246.56</v>
      </c>
      <c r="N124" s="10">
        <f>IF(AND(ISNUMBER(K124),ISNUMBER(L124),K124&gt;0),L124/K124-1,0.35)</f>
        <v>0.3500004307334057</v>
      </c>
      <c r="O124" s="10">
        <f>IF(AND(ISNUMBER(K124),ISNUMBER(L124),L124&gt;0),1-K124/L124,0.259)</f>
        <v>0.25925949560124462</v>
      </c>
      <c r="P124" s="10" t="str">
        <f t="shared" si="4"/>
        <v/>
      </c>
      <c r="Q124" s="10">
        <v>0.2</v>
      </c>
      <c r="R124" s="10">
        <v>0.96299999999999997</v>
      </c>
      <c r="S124" s="6" t="s">
        <v>42</v>
      </c>
      <c r="T124" s="8"/>
      <c r="U124" s="11"/>
      <c r="V124" s="12"/>
      <c r="W124" s="13"/>
      <c r="X124" s="13"/>
      <c r="Y124" s="12"/>
      <c r="Z124" s="14" t="str">
        <f t="shared" si="5"/>
        <v/>
      </c>
      <c r="AA124" s="13"/>
      <c r="AB124" s="15"/>
      <c r="AC124" s="6" t="s">
        <v>613</v>
      </c>
      <c r="AD124" s="6" t="s">
        <v>614</v>
      </c>
      <c r="AE124" s="8" t="s">
        <v>615</v>
      </c>
    </row>
    <row r="125" spans="1:31" ht="45" x14ac:dyDescent="0.25">
      <c r="A125" s="6">
        <v>121</v>
      </c>
      <c r="B125" s="7">
        <v>46283</v>
      </c>
      <c r="C125" s="6" t="s">
        <v>376</v>
      </c>
      <c r="D125" s="8" t="s">
        <v>616</v>
      </c>
      <c r="E125" s="8" t="s">
        <v>617</v>
      </c>
      <c r="F125" s="6" t="s">
        <v>38</v>
      </c>
      <c r="G125" s="6" t="s">
        <v>244</v>
      </c>
      <c r="H125" s="6" t="s">
        <v>49</v>
      </c>
      <c r="I125" s="6" t="s">
        <v>50</v>
      </c>
      <c r="J125" s="9"/>
      <c r="K125" s="9">
        <v>1437492</v>
      </c>
      <c r="L125" s="9">
        <v>1868739.47</v>
      </c>
      <c r="M125" s="9">
        <v>2279862.15</v>
      </c>
      <c r="N125" s="10">
        <f>IF(AND(ISNUMBER(K125),ISNUMBER(L125),K125&gt;0),L125/K125-1,0.3)</f>
        <v>0.29999990956471412</v>
      </c>
      <c r="O125" s="10">
        <f>IF(AND(ISNUMBER(K125),ISNUMBER(L125),L125&gt;0),1-K125/L125,0.231)</f>
        <v>0.23076917725722357</v>
      </c>
      <c r="P125" s="10" t="str">
        <f t="shared" si="4"/>
        <v/>
      </c>
      <c r="Q125" s="10">
        <v>0.12</v>
      </c>
      <c r="R125" s="10">
        <v>0.37790000000000001</v>
      </c>
      <c r="S125" s="6" t="s">
        <v>42</v>
      </c>
      <c r="T125" s="8"/>
      <c r="U125" s="11"/>
      <c r="V125" s="12"/>
      <c r="W125" s="13"/>
      <c r="X125" s="13"/>
      <c r="Y125" s="12"/>
      <c r="Z125" s="14" t="str">
        <f t="shared" si="5"/>
        <v/>
      </c>
      <c r="AA125" s="13"/>
      <c r="AB125" s="15"/>
      <c r="AC125" s="6" t="s">
        <v>618</v>
      </c>
      <c r="AD125" s="6" t="s">
        <v>619</v>
      </c>
      <c r="AE125" s="8" t="s">
        <v>620</v>
      </c>
    </row>
    <row r="126" spans="1:31" ht="45" x14ac:dyDescent="0.25">
      <c r="A126" s="6">
        <v>122</v>
      </c>
      <c r="B126" s="7">
        <v>46287</v>
      </c>
      <c r="C126" s="6" t="s">
        <v>621</v>
      </c>
      <c r="D126" s="8" t="s">
        <v>622</v>
      </c>
      <c r="E126" s="8" t="s">
        <v>623</v>
      </c>
      <c r="F126" s="6" t="s">
        <v>511</v>
      </c>
      <c r="G126" s="6" t="s">
        <v>48</v>
      </c>
      <c r="H126" s="6" t="s">
        <v>49</v>
      </c>
      <c r="I126" s="6" t="s">
        <v>50</v>
      </c>
      <c r="J126" s="9"/>
      <c r="K126" s="9">
        <v>19882457</v>
      </c>
      <c r="L126" s="9">
        <v>26841336.149999999</v>
      </c>
      <c r="M126" s="9">
        <v>32746430.100000001</v>
      </c>
      <c r="N126" s="10">
        <f>IF(AND(ISNUMBER(K126),ISNUMBER(L126),K126&gt;0),L126/K126-1,0.35)</f>
        <v>0.35000096567541927</v>
      </c>
      <c r="O126" s="10">
        <f>IF(AND(ISNUMBER(K126),ISNUMBER(L126),L126&gt;0),1-K126/L126,0.2593)</f>
        <v>0.25925978912193604</v>
      </c>
      <c r="P126" s="10" t="str">
        <f t="shared" si="4"/>
        <v/>
      </c>
      <c r="Q126" s="10">
        <v>0.15</v>
      </c>
      <c r="R126" s="10"/>
      <c r="S126" s="6" t="s">
        <v>42</v>
      </c>
      <c r="T126" s="8"/>
      <c r="U126" s="11"/>
      <c r="V126" s="12"/>
      <c r="W126" s="13"/>
      <c r="X126" s="13"/>
      <c r="Y126" s="12"/>
      <c r="Z126" s="14" t="str">
        <f t="shared" si="5"/>
        <v/>
      </c>
      <c r="AA126" s="13"/>
      <c r="AB126" s="15"/>
      <c r="AC126" s="6" t="s">
        <v>624</v>
      </c>
      <c r="AD126" s="6" t="s">
        <v>625</v>
      </c>
      <c r="AE126" s="8" t="s">
        <v>626</v>
      </c>
    </row>
    <row r="127" spans="1:31" ht="45" x14ac:dyDescent="0.25">
      <c r="A127" s="6">
        <v>123</v>
      </c>
      <c r="B127" s="7">
        <v>46287</v>
      </c>
      <c r="C127" s="6" t="s">
        <v>627</v>
      </c>
      <c r="D127" s="8" t="s">
        <v>628</v>
      </c>
      <c r="E127" s="8" t="s">
        <v>629</v>
      </c>
      <c r="F127" s="6" t="s">
        <v>630</v>
      </c>
      <c r="G127" s="6" t="s">
        <v>48</v>
      </c>
      <c r="H127" s="6" t="s">
        <v>161</v>
      </c>
      <c r="I127" s="6" t="s">
        <v>50</v>
      </c>
      <c r="J127" s="9">
        <v>60392600</v>
      </c>
      <c r="K127" s="9">
        <v>66848000</v>
      </c>
      <c r="L127" s="9"/>
      <c r="M127" s="9"/>
      <c r="N127" s="10" t="str">
        <f>IF(AND(ISNUMBER(K127),ISNUMBER(L127),K127&gt;0),L127/K127-1,"")</f>
        <v/>
      </c>
      <c r="O127" s="10" t="str">
        <f>IF(AND(ISNUMBER(K127),ISNUMBER(L127),L127&gt;0),1-K127/L127,"")</f>
        <v/>
      </c>
      <c r="P127" s="10" t="str">
        <f t="shared" si="4"/>
        <v/>
      </c>
      <c r="Q127" s="10"/>
      <c r="R127" s="10"/>
      <c r="S127" s="6" t="s">
        <v>193</v>
      </c>
      <c r="T127" s="8"/>
      <c r="U127" s="11"/>
      <c r="V127" s="12"/>
      <c r="W127" s="13" t="s">
        <v>194</v>
      </c>
      <c r="X127" s="13"/>
      <c r="Y127" s="12"/>
      <c r="Z127" s="14" t="str">
        <f t="shared" si="5"/>
        <v/>
      </c>
      <c r="AA127" s="13"/>
      <c r="AB127" s="15"/>
      <c r="AC127" s="6" t="s">
        <v>631</v>
      </c>
      <c r="AD127" s="6" t="s">
        <v>632</v>
      </c>
      <c r="AE127" s="8" t="s">
        <v>633</v>
      </c>
    </row>
    <row r="128" spans="1:31" ht="45" x14ac:dyDescent="0.25">
      <c r="A128" s="6">
        <v>124</v>
      </c>
      <c r="B128" s="7">
        <v>46287</v>
      </c>
      <c r="C128" s="6" t="s">
        <v>634</v>
      </c>
      <c r="D128" s="8" t="s">
        <v>635</v>
      </c>
      <c r="E128" s="8" t="s">
        <v>636</v>
      </c>
      <c r="F128" s="6" t="s">
        <v>38</v>
      </c>
      <c r="G128" s="6" t="s">
        <v>39</v>
      </c>
      <c r="H128" s="6" t="s">
        <v>161</v>
      </c>
      <c r="I128" s="6" t="s">
        <v>41</v>
      </c>
      <c r="J128" s="9"/>
      <c r="K128" s="9">
        <v>4145434</v>
      </c>
      <c r="L128" s="9">
        <v>5596335.8799999999</v>
      </c>
      <c r="M128" s="9"/>
      <c r="N128" s="10">
        <f>IF(AND(ISNUMBER(K128),ISNUMBER(L128),K128&gt;0),L128/K128-1,0.35)</f>
        <v>0.34999999517541469</v>
      </c>
      <c r="O128" s="10">
        <f>IF(AND(ISNUMBER(K128),ISNUMBER(L128),L128&gt;0),1-K128/L128,0.259)</f>
        <v>0.25925925661202454</v>
      </c>
      <c r="P128" s="10" t="str">
        <f t="shared" si="4"/>
        <v/>
      </c>
      <c r="Q128" s="10"/>
      <c r="R128" s="10"/>
      <c r="S128" s="6" t="s">
        <v>42</v>
      </c>
      <c r="T128" s="8"/>
      <c r="U128" s="11"/>
      <c r="V128" s="12"/>
      <c r="W128" s="13"/>
      <c r="X128" s="13"/>
      <c r="Y128" s="12"/>
      <c r="Z128" s="14" t="str">
        <f t="shared" si="5"/>
        <v/>
      </c>
      <c r="AA128" s="13"/>
      <c r="AB128" s="15"/>
      <c r="AC128" s="6" t="s">
        <v>637</v>
      </c>
      <c r="AD128" s="6" t="s">
        <v>638</v>
      </c>
      <c r="AE128" s="8" t="s">
        <v>639</v>
      </c>
    </row>
    <row r="129" spans="1:31" ht="45" x14ac:dyDescent="0.25">
      <c r="A129" s="6">
        <v>125</v>
      </c>
      <c r="B129" s="7">
        <v>46287</v>
      </c>
      <c r="C129" s="6" t="s">
        <v>640</v>
      </c>
      <c r="D129" s="8" t="s">
        <v>641</v>
      </c>
      <c r="E129" s="8" t="s">
        <v>642</v>
      </c>
      <c r="F129" s="6" t="s">
        <v>55</v>
      </c>
      <c r="G129" s="6" t="s">
        <v>39</v>
      </c>
      <c r="H129" s="6" t="s">
        <v>161</v>
      </c>
      <c r="I129" s="6" t="s">
        <v>643</v>
      </c>
      <c r="J129" s="9">
        <v>2450000</v>
      </c>
      <c r="K129" s="9">
        <v>3152660</v>
      </c>
      <c r="L129" s="9"/>
      <c r="M129" s="9"/>
      <c r="N129" s="10" t="str">
        <f>IF(AND(ISNUMBER(K129),ISNUMBER(L129),K129&gt;0),L129/K129-1,"")</f>
        <v/>
      </c>
      <c r="O129" s="10" t="str">
        <f>IF(AND(ISNUMBER(K129),ISNUMBER(L129),L129&gt;0),1-K129/L129,"")</f>
        <v/>
      </c>
      <c r="P129" s="10" t="str">
        <f t="shared" si="4"/>
        <v/>
      </c>
      <c r="Q129" s="10"/>
      <c r="R129" s="10"/>
      <c r="S129" s="6" t="s">
        <v>193</v>
      </c>
      <c r="T129" s="8"/>
      <c r="U129" s="11"/>
      <c r="V129" s="12"/>
      <c r="W129" s="13" t="s">
        <v>194</v>
      </c>
      <c r="X129" s="13"/>
      <c r="Y129" s="12"/>
      <c r="Z129" s="14" t="str">
        <f t="shared" si="5"/>
        <v/>
      </c>
      <c r="AA129" s="13"/>
      <c r="AB129" s="15"/>
      <c r="AC129" s="6" t="s">
        <v>644</v>
      </c>
      <c r="AD129" s="6" t="s">
        <v>645</v>
      </c>
      <c r="AE129" s="8" t="s">
        <v>646</v>
      </c>
    </row>
    <row r="130" spans="1:31" ht="60" x14ac:dyDescent="0.25">
      <c r="A130" s="6">
        <v>126</v>
      </c>
      <c r="B130" s="7">
        <v>46287</v>
      </c>
      <c r="C130" s="6" t="s">
        <v>376</v>
      </c>
      <c r="D130" s="8" t="s">
        <v>647</v>
      </c>
      <c r="E130" s="8" t="s">
        <v>648</v>
      </c>
      <c r="F130" s="6" t="s">
        <v>38</v>
      </c>
      <c r="G130" s="6" t="s">
        <v>244</v>
      </c>
      <c r="H130" s="6" t="s">
        <v>49</v>
      </c>
      <c r="I130" s="6" t="s">
        <v>50</v>
      </c>
      <c r="J130" s="9"/>
      <c r="K130" s="9">
        <v>2786627</v>
      </c>
      <c r="L130" s="9">
        <v>3762000</v>
      </c>
      <c r="M130" s="9">
        <v>4589640</v>
      </c>
      <c r="N130" s="10">
        <f>IF(AND(ISNUMBER(K130),ISNUMBER(L130),K130&gt;0),L130/K130-1,0.35)</f>
        <v>0.35001921678071723</v>
      </c>
      <c r="O130" s="10">
        <f>IF(AND(ISNUMBER(K130),ISNUMBER(L130),L130&gt;0),1-K130/L130,0.259)</f>
        <v>0.25926980329611904</v>
      </c>
      <c r="P130" s="10" t="str">
        <f t="shared" si="4"/>
        <v/>
      </c>
      <c r="Q130" s="10">
        <v>0.15</v>
      </c>
      <c r="R130" s="10">
        <v>0.56399999999999995</v>
      </c>
      <c r="S130" s="6" t="s">
        <v>42</v>
      </c>
      <c r="T130" s="8"/>
      <c r="U130" s="11"/>
      <c r="V130" s="12"/>
      <c r="W130" s="13"/>
      <c r="X130" s="13"/>
      <c r="Y130" s="12"/>
      <c r="Z130" s="14" t="str">
        <f t="shared" si="5"/>
        <v/>
      </c>
      <c r="AA130" s="13"/>
      <c r="AB130" s="15"/>
      <c r="AC130" s="6" t="s">
        <v>649</v>
      </c>
      <c r="AD130" s="6" t="s">
        <v>650</v>
      </c>
      <c r="AE130" s="8" t="s">
        <v>651</v>
      </c>
    </row>
    <row r="131" spans="1:31" ht="45" x14ac:dyDescent="0.25">
      <c r="A131" s="6">
        <v>127</v>
      </c>
      <c r="B131" s="7">
        <v>46287</v>
      </c>
      <c r="C131" s="6" t="s">
        <v>652</v>
      </c>
      <c r="D131" s="8" t="s">
        <v>653</v>
      </c>
      <c r="E131" s="8" t="s">
        <v>654</v>
      </c>
      <c r="F131" s="6" t="s">
        <v>511</v>
      </c>
      <c r="G131" s="6" t="s">
        <v>149</v>
      </c>
      <c r="H131" s="6" t="s">
        <v>49</v>
      </c>
      <c r="I131" s="6" t="s">
        <v>50</v>
      </c>
      <c r="J131" s="9"/>
      <c r="K131" s="9">
        <v>10969358</v>
      </c>
      <c r="L131" s="9">
        <v>14808631.279999999</v>
      </c>
      <c r="M131" s="9">
        <v>18066530.16</v>
      </c>
      <c r="N131" s="10">
        <f>IF(AND(ISNUMBER(K131),ISNUMBER(L131),K131&gt;0),L131/K131-1,0.35)</f>
        <v>0.3499998158506632</v>
      </c>
      <c r="O131" s="10">
        <f>IF(AND(ISNUMBER(K131),ISNUMBER(L131),L131&gt;0),1-K131/L131,0.259)</f>
        <v>0.25925915821708534</v>
      </c>
      <c r="P131" s="10" t="str">
        <f t="shared" si="4"/>
        <v/>
      </c>
      <c r="Q131" s="10">
        <v>0.15</v>
      </c>
      <c r="R131" s="10"/>
      <c r="S131" s="6" t="s">
        <v>42</v>
      </c>
      <c r="T131" s="8"/>
      <c r="U131" s="11"/>
      <c r="V131" s="12"/>
      <c r="W131" s="13"/>
      <c r="X131" s="13"/>
      <c r="Y131" s="12"/>
      <c r="Z131" s="14" t="str">
        <f t="shared" si="5"/>
        <v/>
      </c>
      <c r="AA131" s="13"/>
      <c r="AB131" s="15"/>
      <c r="AC131" s="6" t="s">
        <v>655</v>
      </c>
      <c r="AD131" s="6" t="s">
        <v>656</v>
      </c>
      <c r="AE131" s="8" t="s">
        <v>657</v>
      </c>
    </row>
    <row r="132" spans="1:31" ht="45" x14ac:dyDescent="0.25">
      <c r="A132" s="6">
        <v>128</v>
      </c>
      <c r="B132" s="7">
        <v>46287</v>
      </c>
      <c r="C132" s="6" t="s">
        <v>658</v>
      </c>
      <c r="D132" s="8" t="s">
        <v>659</v>
      </c>
      <c r="E132" s="8" t="s">
        <v>660</v>
      </c>
      <c r="F132" s="6" t="s">
        <v>183</v>
      </c>
      <c r="G132" s="6" t="s">
        <v>39</v>
      </c>
      <c r="H132" s="6" t="s">
        <v>40</v>
      </c>
      <c r="I132" s="6" t="s">
        <v>41</v>
      </c>
      <c r="J132" s="9"/>
      <c r="K132" s="9">
        <v>204292</v>
      </c>
      <c r="L132" s="9">
        <v>275800</v>
      </c>
      <c r="M132" s="9">
        <v>336476</v>
      </c>
      <c r="N132" s="10">
        <f>IF(AND(ISNUMBER(K132),ISNUMBER(L132),K132&gt;0),L132/K132-1,0.35)</f>
        <v>0.3500283907348305</v>
      </c>
      <c r="O132" s="10">
        <f>IF(AND(ISNUMBER(K132),ISNUMBER(L132),L132&gt;0),1-K132/L132,0.259)</f>
        <v>0.25927483683828867</v>
      </c>
      <c r="P132" s="10" t="str">
        <f t="shared" si="4"/>
        <v/>
      </c>
      <c r="Q132" s="10"/>
      <c r="R132" s="10"/>
      <c r="S132" s="6" t="s">
        <v>42</v>
      </c>
      <c r="T132" s="8"/>
      <c r="U132" s="11"/>
      <c r="V132" s="12"/>
      <c r="W132" s="13"/>
      <c r="X132" s="13"/>
      <c r="Y132" s="12"/>
      <c r="Z132" s="14" t="str">
        <f t="shared" si="5"/>
        <v/>
      </c>
      <c r="AA132" s="13"/>
      <c r="AB132" s="15"/>
      <c r="AC132" s="6" t="s">
        <v>661</v>
      </c>
      <c r="AD132" s="6" t="s">
        <v>662</v>
      </c>
      <c r="AE132" s="8" t="s">
        <v>663</v>
      </c>
    </row>
    <row r="133" spans="1:31" ht="45" x14ac:dyDescent="0.25">
      <c r="A133" s="6">
        <v>129</v>
      </c>
      <c r="B133" s="7">
        <v>46287</v>
      </c>
      <c r="C133" s="6" t="s">
        <v>664</v>
      </c>
      <c r="D133" s="8" t="s">
        <v>665</v>
      </c>
      <c r="E133" s="8" t="s">
        <v>666</v>
      </c>
      <c r="F133" s="6" t="s">
        <v>38</v>
      </c>
      <c r="G133" s="6" t="s">
        <v>39</v>
      </c>
      <c r="H133" s="6" t="s">
        <v>161</v>
      </c>
      <c r="I133" s="6" t="s">
        <v>41</v>
      </c>
      <c r="J133" s="9"/>
      <c r="K133" s="9">
        <v>84985</v>
      </c>
      <c r="L133" s="9">
        <v>114750</v>
      </c>
      <c r="M133" s="9">
        <v>139995</v>
      </c>
      <c r="N133" s="10">
        <f>IF(AND(ISNUMBER(K133),ISNUMBER(L133),K133&gt;0),L133/K133-1,0.3502)</f>
        <v>0.35023827734306057</v>
      </c>
      <c r="O133" s="10">
        <f>IF(AND(ISNUMBER(K133),ISNUMBER(L133),L133&gt;0),1-K133/L133,0.2594)</f>
        <v>0.25938997821350762</v>
      </c>
      <c r="P133" s="10" t="str">
        <f t="shared" ref="P133:P196" si="7">IF(AND(ISNUMBER(J133),ISNUMBER(L133),J133&gt;0),L133/J133-1,"")</f>
        <v/>
      </c>
      <c r="Q133" s="10"/>
      <c r="R133" s="10"/>
      <c r="S133" s="6" t="s">
        <v>42</v>
      </c>
      <c r="T133" s="8"/>
      <c r="U133" s="11"/>
      <c r="V133" s="12"/>
      <c r="W133" s="13"/>
      <c r="X133" s="13"/>
      <c r="Y133" s="12"/>
      <c r="Z133" s="14" t="str">
        <f t="shared" ref="Z133:Z196" si="8">IF(AND(ISNUMBER(V133),ISNUMBER(Y133),Y133&gt;0),V133/Y133-1,"")</f>
        <v/>
      </c>
      <c r="AA133" s="13"/>
      <c r="AB133" s="15"/>
      <c r="AC133" s="6" t="s">
        <v>667</v>
      </c>
      <c r="AD133" s="6" t="s">
        <v>668</v>
      </c>
      <c r="AE133" s="8" t="s">
        <v>669</v>
      </c>
    </row>
    <row r="134" spans="1:31" ht="45" x14ac:dyDescent="0.25">
      <c r="A134" s="6">
        <v>130</v>
      </c>
      <c r="B134" s="7">
        <v>46289</v>
      </c>
      <c r="C134" s="6" t="s">
        <v>670</v>
      </c>
      <c r="D134" s="8" t="s">
        <v>671</v>
      </c>
      <c r="E134" s="8" t="s">
        <v>672</v>
      </c>
      <c r="F134" s="6" t="s">
        <v>117</v>
      </c>
      <c r="G134" s="6" t="s">
        <v>48</v>
      </c>
      <c r="H134" s="6" t="s">
        <v>49</v>
      </c>
      <c r="I134" s="6" t="s">
        <v>50</v>
      </c>
      <c r="J134" s="9"/>
      <c r="K134" s="9">
        <v>23605631</v>
      </c>
      <c r="L134" s="9">
        <v>33047884</v>
      </c>
      <c r="M134" s="9">
        <v>40318418.5</v>
      </c>
      <c r="N134" s="10">
        <f>IF(AND(ISNUMBER(K134),ISNUMBER(L134),K134&gt;0),L134/K134-1,0.4)</f>
        <v>0.40000002541766411</v>
      </c>
      <c r="O134" s="10">
        <f>IF(AND(ISNUMBER(K134),ISNUMBER(L134),L134&gt;0),1-K134/L134,0.286)</f>
        <v>0.28571429868248144</v>
      </c>
      <c r="P134" s="10" t="str">
        <f t="shared" si="7"/>
        <v/>
      </c>
      <c r="Q134" s="10">
        <v>0.15</v>
      </c>
      <c r="R134" s="10">
        <v>0.52800000000000002</v>
      </c>
      <c r="S134" s="6" t="s">
        <v>42</v>
      </c>
      <c r="T134" s="8"/>
      <c r="U134" s="11"/>
      <c r="V134" s="12"/>
      <c r="W134" s="13"/>
      <c r="X134" s="13"/>
      <c r="Y134" s="12"/>
      <c r="Z134" s="14" t="str">
        <f t="shared" si="8"/>
        <v/>
      </c>
      <c r="AA134" s="13"/>
      <c r="AB134" s="15"/>
      <c r="AC134" s="6" t="s">
        <v>673</v>
      </c>
      <c r="AD134" s="6" t="s">
        <v>674</v>
      </c>
      <c r="AE134" s="8" t="s">
        <v>675</v>
      </c>
    </row>
    <row r="135" spans="1:31" ht="30" x14ac:dyDescent="0.25">
      <c r="A135" s="6">
        <v>131</v>
      </c>
      <c r="B135" s="7">
        <v>46289</v>
      </c>
      <c r="C135" s="6" t="s">
        <v>676</v>
      </c>
      <c r="D135" s="8" t="s">
        <v>677</v>
      </c>
      <c r="E135" s="8" t="s">
        <v>678</v>
      </c>
      <c r="F135" s="6" t="s">
        <v>38</v>
      </c>
      <c r="G135" s="6" t="s">
        <v>48</v>
      </c>
      <c r="H135" s="6" t="s">
        <v>49</v>
      </c>
      <c r="I135" s="6" t="s">
        <v>50</v>
      </c>
      <c r="J135" s="9"/>
      <c r="K135" s="9">
        <v>4493613</v>
      </c>
      <c r="L135" s="9">
        <v>6291058</v>
      </c>
      <c r="M135" s="9">
        <v>7675091.3399999999</v>
      </c>
      <c r="N135" s="10">
        <f>IF(AND(ISNUMBER(K135),ISNUMBER(L135),K135&gt;0),L135/K135-1,0.4)</f>
        <v>0.39999995549238432</v>
      </c>
      <c r="O135" s="10">
        <f>IF(AND(ISNUMBER(K135),ISNUMBER(L135),L135&gt;0),1-K135/L135,0.2857)</f>
        <v>0.28571426300631786</v>
      </c>
      <c r="P135" s="10" t="str">
        <f t="shared" si="7"/>
        <v/>
      </c>
      <c r="Q135" s="10">
        <v>0.4</v>
      </c>
      <c r="R135" s="10">
        <v>0.4</v>
      </c>
      <c r="S135" s="6" t="s">
        <v>42</v>
      </c>
      <c r="T135" s="8"/>
      <c r="U135" s="11"/>
      <c r="V135" s="12"/>
      <c r="W135" s="13"/>
      <c r="X135" s="13"/>
      <c r="Y135" s="12"/>
      <c r="Z135" s="14" t="str">
        <f t="shared" si="8"/>
        <v/>
      </c>
      <c r="AA135" s="13"/>
      <c r="AB135" s="15"/>
      <c r="AC135" s="6" t="s">
        <v>679</v>
      </c>
      <c r="AD135" s="6" t="s">
        <v>680</v>
      </c>
      <c r="AE135" s="8" t="s">
        <v>681</v>
      </c>
    </row>
    <row r="136" spans="1:31" ht="30" x14ac:dyDescent="0.25">
      <c r="A136" s="6">
        <v>132</v>
      </c>
      <c r="B136" s="7">
        <v>46289</v>
      </c>
      <c r="C136" s="6" t="s">
        <v>676</v>
      </c>
      <c r="D136" s="8" t="s">
        <v>677</v>
      </c>
      <c r="E136" s="8" t="s">
        <v>682</v>
      </c>
      <c r="F136" s="6" t="s">
        <v>38</v>
      </c>
      <c r="G136" s="6" t="s">
        <v>48</v>
      </c>
      <c r="H136" s="6" t="s">
        <v>49</v>
      </c>
      <c r="I136" s="6" t="s">
        <v>50</v>
      </c>
      <c r="J136" s="9"/>
      <c r="K136" s="9">
        <v>18263968</v>
      </c>
      <c r="L136" s="9">
        <v>25569555</v>
      </c>
      <c r="M136" s="9">
        <v>31194857.550000001</v>
      </c>
      <c r="N136" s="10">
        <f>IF(AND(ISNUMBER(K136),ISNUMBER(L136),K136&gt;0),L136/K136-1,0.4)</f>
        <v>0.3999999890494772</v>
      </c>
      <c r="O136" s="10">
        <f>IF(AND(ISNUMBER(K136),ISNUMBER(L136),L136&gt;0),1-K136/L136,0.2857)</f>
        <v>0.28571428012728417</v>
      </c>
      <c r="P136" s="10" t="str">
        <f t="shared" si="7"/>
        <v/>
      </c>
      <c r="Q136" s="10">
        <v>0.4</v>
      </c>
      <c r="R136" s="10">
        <v>0.4</v>
      </c>
      <c r="S136" s="6" t="s">
        <v>42</v>
      </c>
      <c r="T136" s="8"/>
      <c r="U136" s="11"/>
      <c r="V136" s="12"/>
      <c r="W136" s="13"/>
      <c r="X136" s="13"/>
      <c r="Y136" s="12"/>
      <c r="Z136" s="14" t="str">
        <f t="shared" si="8"/>
        <v/>
      </c>
      <c r="AA136" s="13"/>
      <c r="AB136" s="15"/>
      <c r="AC136" s="6" t="s">
        <v>683</v>
      </c>
      <c r="AD136" s="6" t="s">
        <v>680</v>
      </c>
      <c r="AE136" s="8" t="s">
        <v>684</v>
      </c>
    </row>
    <row r="137" spans="1:31" ht="45" x14ac:dyDescent="0.25">
      <c r="A137" s="6">
        <v>133</v>
      </c>
      <c r="B137" s="7">
        <v>46289</v>
      </c>
      <c r="C137" s="6" t="s">
        <v>610</v>
      </c>
      <c r="D137" s="8" t="s">
        <v>685</v>
      </c>
      <c r="E137" s="8" t="s">
        <v>686</v>
      </c>
      <c r="F137" s="6" t="s">
        <v>183</v>
      </c>
      <c r="G137" s="6" t="s">
        <v>39</v>
      </c>
      <c r="H137" s="6" t="s">
        <v>40</v>
      </c>
      <c r="I137" s="6" t="s">
        <v>41</v>
      </c>
      <c r="J137" s="9"/>
      <c r="K137" s="9">
        <v>1508687</v>
      </c>
      <c r="L137" s="9">
        <v>2036726</v>
      </c>
      <c r="M137" s="9">
        <v>2484806</v>
      </c>
      <c r="N137" s="10">
        <f>IF(AND(ISNUMBER(K137),ISNUMBER(L137),K137&gt;0),L137/K137-1,0.35)</f>
        <v>0.34999903889938744</v>
      </c>
      <c r="O137" s="10">
        <f>IF(AND(ISNUMBER(K137),ISNUMBER(L137),L137&gt;0),1-K137/L137,0.259)</f>
        <v>0.2592587319060099</v>
      </c>
      <c r="P137" s="10" t="str">
        <f t="shared" si="7"/>
        <v/>
      </c>
      <c r="Q137" s="10"/>
      <c r="R137" s="10"/>
      <c r="S137" s="6" t="s">
        <v>42</v>
      </c>
      <c r="T137" s="8"/>
      <c r="U137" s="11"/>
      <c r="V137" s="12"/>
      <c r="W137" s="13"/>
      <c r="X137" s="13"/>
      <c r="Y137" s="12"/>
      <c r="Z137" s="14" t="str">
        <f t="shared" si="8"/>
        <v/>
      </c>
      <c r="AA137" s="13"/>
      <c r="AB137" s="15"/>
      <c r="AC137" s="6" t="s">
        <v>687</v>
      </c>
      <c r="AD137" s="6" t="s">
        <v>688</v>
      </c>
      <c r="AE137" s="8" t="s">
        <v>689</v>
      </c>
    </row>
    <row r="138" spans="1:31" ht="45" x14ac:dyDescent="0.25">
      <c r="A138" s="6">
        <v>134</v>
      </c>
      <c r="B138" s="7">
        <v>46289</v>
      </c>
      <c r="C138" s="6" t="s">
        <v>690</v>
      </c>
      <c r="D138" s="8" t="s">
        <v>691</v>
      </c>
      <c r="E138" s="8" t="s">
        <v>692</v>
      </c>
      <c r="F138" s="6" t="s">
        <v>38</v>
      </c>
      <c r="G138" s="6" t="s">
        <v>561</v>
      </c>
      <c r="H138" s="6" t="s">
        <v>49</v>
      </c>
      <c r="I138" s="6" t="s">
        <v>643</v>
      </c>
      <c r="J138" s="9"/>
      <c r="K138" s="9"/>
      <c r="L138" s="9"/>
      <c r="M138" s="9"/>
      <c r="N138" s="10" t="str">
        <f>IF(AND(ISNUMBER(K138),ISNUMBER(L138),K138&gt;0),L138/K138-1,"")</f>
        <v/>
      </c>
      <c r="O138" s="10" t="str">
        <f>IF(AND(ISNUMBER(K138),ISNUMBER(L138),L138&gt;0),1-K138/L138,"")</f>
        <v/>
      </c>
      <c r="P138" s="10" t="str">
        <f t="shared" si="7"/>
        <v/>
      </c>
      <c r="Q138" s="10">
        <v>0.68</v>
      </c>
      <c r="R138" s="10">
        <v>1.1000000000000001</v>
      </c>
      <c r="S138" s="6" t="s">
        <v>42</v>
      </c>
      <c r="T138" s="8"/>
      <c r="U138" s="11"/>
      <c r="V138" s="12"/>
      <c r="W138" s="13"/>
      <c r="X138" s="13"/>
      <c r="Y138" s="12"/>
      <c r="Z138" s="14" t="str">
        <f t="shared" si="8"/>
        <v/>
      </c>
      <c r="AA138" s="13"/>
      <c r="AB138" s="15"/>
      <c r="AC138" s="6" t="s">
        <v>693</v>
      </c>
      <c r="AD138" s="6" t="s">
        <v>694</v>
      </c>
      <c r="AE138" s="8" t="s">
        <v>695</v>
      </c>
    </row>
    <row r="139" spans="1:31" ht="60" x14ac:dyDescent="0.25">
      <c r="A139" s="6">
        <v>135</v>
      </c>
      <c r="B139" s="7">
        <v>46290</v>
      </c>
      <c r="C139" s="6" t="s">
        <v>376</v>
      </c>
      <c r="D139" s="8" t="s">
        <v>696</v>
      </c>
      <c r="E139" s="8" t="s">
        <v>697</v>
      </c>
      <c r="F139" s="6" t="s">
        <v>38</v>
      </c>
      <c r="G139" s="6" t="s">
        <v>48</v>
      </c>
      <c r="H139" s="6" t="s">
        <v>49</v>
      </c>
      <c r="I139" s="6" t="s">
        <v>50</v>
      </c>
      <c r="J139" s="9"/>
      <c r="K139" s="9">
        <v>92881934</v>
      </c>
      <c r="L139" s="9">
        <v>125390854.09999999</v>
      </c>
      <c r="M139" s="9">
        <v>152976842</v>
      </c>
      <c r="N139" s="10">
        <f>IF(AND(ISNUMBER(K139),ISNUMBER(L139),K139&gt;0),L139/K139-1,0.35)</f>
        <v>0.35000261837786439</v>
      </c>
      <c r="O139" s="10">
        <f>IF(AND(ISNUMBER(K139),ISNUMBER(L139),L139&gt;0),1-K139/L139,0.2593)</f>
        <v>0.25926069595214596</v>
      </c>
      <c r="P139" s="10" t="str">
        <f t="shared" si="7"/>
        <v/>
      </c>
      <c r="Q139" s="10">
        <v>0.15</v>
      </c>
      <c r="R139" s="10">
        <v>0.41499999999999998</v>
      </c>
      <c r="S139" s="6" t="s">
        <v>114</v>
      </c>
      <c r="T139" s="8" t="s">
        <v>698</v>
      </c>
      <c r="U139" s="11"/>
      <c r="V139" s="12"/>
      <c r="W139" s="13" t="s">
        <v>318</v>
      </c>
      <c r="X139" s="13"/>
      <c r="Y139" s="12"/>
      <c r="Z139" s="14" t="str">
        <f t="shared" si="8"/>
        <v/>
      </c>
      <c r="AA139" s="13"/>
      <c r="AB139" s="15"/>
      <c r="AC139" s="6" t="s">
        <v>699</v>
      </c>
      <c r="AD139" s="6" t="s">
        <v>700</v>
      </c>
      <c r="AE139" s="8" t="s">
        <v>701</v>
      </c>
    </row>
    <row r="140" spans="1:31" ht="60" x14ac:dyDescent="0.25">
      <c r="A140" s="6">
        <v>136</v>
      </c>
      <c r="B140" s="7">
        <v>46290</v>
      </c>
      <c r="C140" s="6" t="s">
        <v>702</v>
      </c>
      <c r="D140" s="8" t="s">
        <v>703</v>
      </c>
      <c r="E140" s="8" t="s">
        <v>704</v>
      </c>
      <c r="F140" s="6" t="s">
        <v>38</v>
      </c>
      <c r="G140" s="6" t="s">
        <v>39</v>
      </c>
      <c r="H140" s="6" t="s">
        <v>40</v>
      </c>
      <c r="I140" s="6" t="s">
        <v>41</v>
      </c>
      <c r="J140" s="9"/>
      <c r="K140" s="9">
        <v>230340</v>
      </c>
      <c r="L140" s="9">
        <v>353050.33</v>
      </c>
      <c r="M140" s="9">
        <v>430721.41</v>
      </c>
      <c r="N140" s="10">
        <f>IF(AND(ISNUMBER(K140),ISNUMBER(L140),K140&gt;0),L140/K140-1,0.5327)</f>
        <v>0.53273565164539383</v>
      </c>
      <c r="O140" s="10">
        <f>IF(AND(ISNUMBER(K140),ISNUMBER(L140),L140&gt;0),1-K140/L140,0.348)</f>
        <v>0.3475717753896449</v>
      </c>
      <c r="P140" s="10" t="str">
        <f t="shared" si="7"/>
        <v/>
      </c>
      <c r="Q140" s="10"/>
      <c r="R140" s="10"/>
      <c r="S140" s="6" t="s">
        <v>99</v>
      </c>
      <c r="T140" s="8"/>
      <c r="U140" s="11"/>
      <c r="V140" s="12"/>
      <c r="W140" s="13" t="s">
        <v>318</v>
      </c>
      <c r="X140" s="13"/>
      <c r="Y140" s="12"/>
      <c r="Z140" s="14" t="str">
        <f t="shared" si="8"/>
        <v/>
      </c>
      <c r="AA140" s="13"/>
      <c r="AB140" s="15"/>
      <c r="AC140" s="6" t="s">
        <v>705</v>
      </c>
      <c r="AD140" s="6" t="s">
        <v>706</v>
      </c>
      <c r="AE140" s="8" t="s">
        <v>707</v>
      </c>
    </row>
    <row r="141" spans="1:31" ht="60" x14ac:dyDescent="0.25">
      <c r="A141" s="6">
        <v>137</v>
      </c>
      <c r="B141" s="7">
        <v>46290</v>
      </c>
      <c r="C141" s="6" t="s">
        <v>708</v>
      </c>
      <c r="D141" s="8" t="s">
        <v>709</v>
      </c>
      <c r="E141" s="8" t="s">
        <v>710</v>
      </c>
      <c r="F141" s="6" t="s">
        <v>211</v>
      </c>
      <c r="G141" s="6" t="s">
        <v>39</v>
      </c>
      <c r="H141" s="6" t="s">
        <v>40</v>
      </c>
      <c r="I141" s="6" t="s">
        <v>41</v>
      </c>
      <c r="J141" s="9"/>
      <c r="K141" s="9">
        <v>9691314</v>
      </c>
      <c r="L141" s="9">
        <v>8500000</v>
      </c>
      <c r="M141" s="9">
        <v>10370000</v>
      </c>
      <c r="N141" s="10">
        <f>IF(AND(ISNUMBER(K141),ISNUMBER(L141),K141&gt;0),L141/K141-1,-0.1229)</f>
        <v>-0.12292595204324197</v>
      </c>
      <c r="O141" s="10">
        <f>IF(AND(ISNUMBER(K141),ISNUMBER(L141),L141&gt;0),1-K141/L141,-0.1402)</f>
        <v>-0.14015458823529414</v>
      </c>
      <c r="P141" s="10" t="str">
        <f t="shared" si="7"/>
        <v/>
      </c>
      <c r="Q141" s="10"/>
      <c r="R141" s="10"/>
      <c r="S141" s="6" t="s">
        <v>99</v>
      </c>
      <c r="T141" s="8" t="s">
        <v>711</v>
      </c>
      <c r="U141" s="11"/>
      <c r="V141" s="12"/>
      <c r="W141" s="13" t="s">
        <v>318</v>
      </c>
      <c r="X141" s="13"/>
      <c r="Y141" s="12"/>
      <c r="Z141" s="14" t="str">
        <f t="shared" si="8"/>
        <v/>
      </c>
      <c r="AA141" s="13"/>
      <c r="AB141" s="15"/>
      <c r="AC141" s="6" t="s">
        <v>712</v>
      </c>
      <c r="AD141" s="6" t="s">
        <v>713</v>
      </c>
      <c r="AE141" s="8" t="s">
        <v>714</v>
      </c>
    </row>
    <row r="142" spans="1:31" ht="45" x14ac:dyDescent="0.25">
      <c r="A142" s="6">
        <v>138</v>
      </c>
      <c r="B142" s="7">
        <v>46290</v>
      </c>
      <c r="C142" s="6" t="s">
        <v>708</v>
      </c>
      <c r="D142" s="8" t="s">
        <v>715</v>
      </c>
      <c r="E142" s="8" t="s">
        <v>716</v>
      </c>
      <c r="F142" s="6" t="s">
        <v>211</v>
      </c>
      <c r="G142" s="6" t="s">
        <v>39</v>
      </c>
      <c r="H142" s="6" t="s">
        <v>40</v>
      </c>
      <c r="I142" s="6" t="s">
        <v>41</v>
      </c>
      <c r="J142" s="9"/>
      <c r="K142" s="9">
        <v>7551329</v>
      </c>
      <c r="L142" s="9">
        <v>8000000</v>
      </c>
      <c r="M142" s="9">
        <v>9760000</v>
      </c>
      <c r="N142" s="10">
        <f>IF(AND(ISNUMBER(K142),ISNUMBER(L142),K142&gt;0),L142/K142-1,0.0594)</f>
        <v>5.9416163697807445E-2</v>
      </c>
      <c r="O142" s="10">
        <f>IF(AND(ISNUMBER(K142),ISNUMBER(L142),L142&gt;0),1-K142/L142,0.0561)</f>
        <v>5.6083875000000005E-2</v>
      </c>
      <c r="P142" s="10" t="str">
        <f t="shared" si="7"/>
        <v/>
      </c>
      <c r="Q142" s="10"/>
      <c r="R142" s="10"/>
      <c r="S142" s="6" t="s">
        <v>42</v>
      </c>
      <c r="T142" s="8"/>
      <c r="U142" s="11"/>
      <c r="V142" s="12"/>
      <c r="W142" s="13"/>
      <c r="X142" s="13"/>
      <c r="Y142" s="12"/>
      <c r="Z142" s="14" t="str">
        <f t="shared" si="8"/>
        <v/>
      </c>
      <c r="AA142" s="13"/>
      <c r="AB142" s="15"/>
      <c r="AC142" s="6" t="s">
        <v>717</v>
      </c>
      <c r="AD142" s="6" t="s">
        <v>718</v>
      </c>
      <c r="AE142" s="8" t="s">
        <v>719</v>
      </c>
    </row>
    <row r="143" spans="1:31" ht="30" x14ac:dyDescent="0.25">
      <c r="A143" s="6">
        <v>139</v>
      </c>
      <c r="B143" s="7">
        <v>46291</v>
      </c>
      <c r="C143" s="6" t="s">
        <v>720</v>
      </c>
      <c r="D143" s="8" t="s">
        <v>721</v>
      </c>
      <c r="E143" s="8" t="s">
        <v>722</v>
      </c>
      <c r="F143" s="6" t="s">
        <v>38</v>
      </c>
      <c r="G143" s="6" t="s">
        <v>561</v>
      </c>
      <c r="H143" s="6" t="s">
        <v>49</v>
      </c>
      <c r="I143" s="6"/>
      <c r="J143" s="9"/>
      <c r="K143" s="9"/>
      <c r="L143" s="9"/>
      <c r="M143" s="9"/>
      <c r="N143" s="10" t="str">
        <f>IF(AND(ISNUMBER(K143),ISNUMBER(L143),K143&gt;0),L143/K143-1,"")</f>
        <v/>
      </c>
      <c r="O143" s="10" t="str">
        <f>IF(AND(ISNUMBER(K143),ISNUMBER(L143),L143&gt;0),1-K143/L143,"")</f>
        <v/>
      </c>
      <c r="P143" s="10" t="str">
        <f t="shared" si="7"/>
        <v/>
      </c>
      <c r="Q143" s="10"/>
      <c r="R143" s="10"/>
      <c r="S143" s="6" t="s">
        <v>42</v>
      </c>
      <c r="T143" s="8"/>
      <c r="U143" s="11"/>
      <c r="V143" s="12"/>
      <c r="W143" s="13"/>
      <c r="X143" s="13"/>
      <c r="Y143" s="12"/>
      <c r="Z143" s="14" t="str">
        <f t="shared" si="8"/>
        <v/>
      </c>
      <c r="AA143" s="13"/>
      <c r="AB143" s="15"/>
      <c r="AC143" s="6"/>
      <c r="AD143" s="6" t="s">
        <v>723</v>
      </c>
      <c r="AE143" s="8" t="s">
        <v>724</v>
      </c>
    </row>
    <row r="144" spans="1:31" ht="30" x14ac:dyDescent="0.25">
      <c r="A144" s="6">
        <v>140</v>
      </c>
      <c r="B144" s="7">
        <v>46291</v>
      </c>
      <c r="C144" s="6" t="s">
        <v>725</v>
      </c>
      <c r="D144" s="8" t="s">
        <v>726</v>
      </c>
      <c r="E144" s="8" t="s">
        <v>727</v>
      </c>
      <c r="F144" s="6" t="s">
        <v>38</v>
      </c>
      <c r="G144" s="6" t="s">
        <v>48</v>
      </c>
      <c r="H144" s="6" t="s">
        <v>49</v>
      </c>
      <c r="I144" s="6" t="s">
        <v>50</v>
      </c>
      <c r="J144" s="9"/>
      <c r="K144" s="9">
        <v>44840000</v>
      </c>
      <c r="L144" s="9">
        <v>60540000</v>
      </c>
      <c r="M144" s="9">
        <v>73853757</v>
      </c>
      <c r="N144" s="10">
        <f>IF(AND(ISNUMBER(K144),ISNUMBER(L144),K144&gt;0),L144/K144-1,0.3501)</f>
        <v>0.3501338090990187</v>
      </c>
      <c r="O144" s="10">
        <f>IF(AND(ISNUMBER(K144),ISNUMBER(L144),L144&gt;0),1-K144/L144,0.2593)</f>
        <v>0.2593326726131483</v>
      </c>
      <c r="P144" s="10" t="str">
        <f t="shared" si="7"/>
        <v/>
      </c>
      <c r="Q144" s="10">
        <v>0.25</v>
      </c>
      <c r="R144" s="10">
        <v>0.98</v>
      </c>
      <c r="S144" s="6" t="s">
        <v>42</v>
      </c>
      <c r="T144" s="8"/>
      <c r="U144" s="11"/>
      <c r="V144" s="12"/>
      <c r="W144" s="13"/>
      <c r="X144" s="13"/>
      <c r="Y144" s="12"/>
      <c r="Z144" s="14" t="str">
        <f t="shared" si="8"/>
        <v/>
      </c>
      <c r="AA144" s="13"/>
      <c r="AB144" s="15"/>
      <c r="AC144" s="6"/>
      <c r="AD144" s="6" t="s">
        <v>723</v>
      </c>
      <c r="AE144" s="8" t="s">
        <v>728</v>
      </c>
    </row>
    <row r="145" spans="1:31" ht="30" x14ac:dyDescent="0.25">
      <c r="A145" s="6">
        <v>141</v>
      </c>
      <c r="B145" s="7">
        <v>46291</v>
      </c>
      <c r="C145" s="6" t="s">
        <v>729</v>
      </c>
      <c r="D145" s="8" t="s">
        <v>730</v>
      </c>
      <c r="E145" s="8" t="s">
        <v>731</v>
      </c>
      <c r="F145" s="6" t="s">
        <v>55</v>
      </c>
      <c r="G145" s="6" t="s">
        <v>48</v>
      </c>
      <c r="H145" s="6" t="s">
        <v>161</v>
      </c>
      <c r="I145" s="6" t="s">
        <v>50</v>
      </c>
      <c r="J145" s="9"/>
      <c r="K145" s="9">
        <v>1790000</v>
      </c>
      <c r="L145" s="9"/>
      <c r="M145" s="9"/>
      <c r="N145" s="10" t="str">
        <f>IF(AND(ISNUMBER(K145),ISNUMBER(L145),K145&gt;0),L145/K145-1,"")</f>
        <v/>
      </c>
      <c r="O145" s="10" t="str">
        <f>IF(AND(ISNUMBER(K145),ISNUMBER(L145),L145&gt;0),1-K145/L145,"")</f>
        <v/>
      </c>
      <c r="P145" s="10" t="str">
        <f t="shared" si="7"/>
        <v/>
      </c>
      <c r="Q145" s="10"/>
      <c r="R145" s="10"/>
      <c r="S145" s="6" t="s">
        <v>42</v>
      </c>
      <c r="T145" s="8"/>
      <c r="U145" s="11"/>
      <c r="V145" s="12"/>
      <c r="W145" s="13"/>
      <c r="X145" s="13"/>
      <c r="Y145" s="12"/>
      <c r="Z145" s="14" t="str">
        <f t="shared" si="8"/>
        <v/>
      </c>
      <c r="AA145" s="13"/>
      <c r="AB145" s="15"/>
      <c r="AC145" s="6"/>
      <c r="AD145" s="6" t="s">
        <v>723</v>
      </c>
      <c r="AE145" s="8" t="s">
        <v>732</v>
      </c>
    </row>
    <row r="146" spans="1:31" ht="45" x14ac:dyDescent="0.25">
      <c r="A146" s="6">
        <v>142</v>
      </c>
      <c r="B146" s="7">
        <v>46291</v>
      </c>
      <c r="C146" s="6" t="s">
        <v>733</v>
      </c>
      <c r="D146" s="8" t="s">
        <v>734</v>
      </c>
      <c r="E146" s="8" t="s">
        <v>735</v>
      </c>
      <c r="F146" s="6" t="s">
        <v>736</v>
      </c>
      <c r="G146" s="6" t="s">
        <v>561</v>
      </c>
      <c r="H146" s="6" t="s">
        <v>49</v>
      </c>
      <c r="I146" s="6"/>
      <c r="J146" s="9"/>
      <c r="K146" s="9"/>
      <c r="L146" s="9"/>
      <c r="M146" s="9"/>
      <c r="N146" s="10">
        <f>IF(AND(ISNUMBER(K146),ISNUMBER(L146),K146&gt;0),L146/K146-1,0.35)</f>
        <v>0.35</v>
      </c>
      <c r="O146" s="10" t="str">
        <f>IF(AND(ISNUMBER(K146),ISNUMBER(L146),L146&gt;0),1-K146/L146,"")</f>
        <v/>
      </c>
      <c r="P146" s="10" t="str">
        <f t="shared" si="7"/>
        <v/>
      </c>
      <c r="Q146" s="10"/>
      <c r="R146" s="10"/>
      <c r="S146" s="6" t="s">
        <v>42</v>
      </c>
      <c r="T146" s="8"/>
      <c r="U146" s="11"/>
      <c r="V146" s="12"/>
      <c r="W146" s="13"/>
      <c r="X146" s="13"/>
      <c r="Y146" s="12"/>
      <c r="Z146" s="14" t="str">
        <f t="shared" si="8"/>
        <v/>
      </c>
      <c r="AA146" s="13"/>
      <c r="AB146" s="15"/>
      <c r="AC146" s="6"/>
      <c r="AD146" s="6" t="s">
        <v>723</v>
      </c>
      <c r="AE146" s="8" t="s">
        <v>737</v>
      </c>
    </row>
    <row r="147" spans="1:31" x14ac:dyDescent="0.25">
      <c r="A147" s="6">
        <v>143</v>
      </c>
      <c r="B147" s="7">
        <v>46291</v>
      </c>
      <c r="C147" s="6" t="s">
        <v>738</v>
      </c>
      <c r="D147" s="8" t="s">
        <v>739</v>
      </c>
      <c r="E147" s="8" t="s">
        <v>740</v>
      </c>
      <c r="F147" s="6" t="s">
        <v>38</v>
      </c>
      <c r="G147" s="6" t="s">
        <v>48</v>
      </c>
      <c r="H147" s="6" t="s">
        <v>161</v>
      </c>
      <c r="I147" s="6" t="s">
        <v>50</v>
      </c>
      <c r="J147" s="9"/>
      <c r="K147" s="9">
        <v>1340000</v>
      </c>
      <c r="L147" s="9"/>
      <c r="M147" s="9"/>
      <c r="N147" s="10" t="str">
        <f>IF(AND(ISNUMBER(K147),ISNUMBER(L147),K147&gt;0),L147/K147-1,"")</f>
        <v/>
      </c>
      <c r="O147" s="10" t="str">
        <f>IF(AND(ISNUMBER(K147),ISNUMBER(L147),L147&gt;0),1-K147/L147,"")</f>
        <v/>
      </c>
      <c r="P147" s="10" t="str">
        <f t="shared" si="7"/>
        <v/>
      </c>
      <c r="Q147" s="10"/>
      <c r="R147" s="10"/>
      <c r="S147" s="6" t="s">
        <v>42</v>
      </c>
      <c r="T147" s="8"/>
      <c r="U147" s="11"/>
      <c r="V147" s="12"/>
      <c r="W147" s="13"/>
      <c r="X147" s="13"/>
      <c r="Y147" s="12"/>
      <c r="Z147" s="14" t="str">
        <f t="shared" si="8"/>
        <v/>
      </c>
      <c r="AA147" s="13"/>
      <c r="AB147" s="15"/>
      <c r="AC147" s="6"/>
      <c r="AD147" s="6" t="s">
        <v>723</v>
      </c>
      <c r="AE147" s="8" t="s">
        <v>741</v>
      </c>
    </row>
    <row r="148" spans="1:31" ht="45" x14ac:dyDescent="0.25">
      <c r="A148" s="6">
        <v>144</v>
      </c>
      <c r="B148" s="7">
        <v>46291</v>
      </c>
      <c r="C148" s="6" t="s">
        <v>742</v>
      </c>
      <c r="D148" s="8" t="s">
        <v>743</v>
      </c>
      <c r="E148" s="8" t="s">
        <v>744</v>
      </c>
      <c r="F148" s="6" t="s">
        <v>38</v>
      </c>
      <c r="G148" s="6" t="s">
        <v>244</v>
      </c>
      <c r="H148" s="6" t="s">
        <v>49</v>
      </c>
      <c r="I148" s="6" t="s">
        <v>50</v>
      </c>
      <c r="J148" s="9"/>
      <c r="K148" s="9">
        <v>41650000</v>
      </c>
      <c r="L148" s="9">
        <v>56225754</v>
      </c>
      <c r="M148" s="9">
        <v>68595420</v>
      </c>
      <c r="N148" s="10">
        <f>IF(AND(ISNUMBER(K148),ISNUMBER(L148),K148&gt;0),L148/K148-1,0.35)</f>
        <v>0.34995807923169275</v>
      </c>
      <c r="O148" s="10">
        <f>IF(AND(ISNUMBER(K148),ISNUMBER(L148),L148&gt;0),1-K148/L148,0.2592)</f>
        <v>0.25923625675166584</v>
      </c>
      <c r="P148" s="10" t="str">
        <f t="shared" si="7"/>
        <v/>
      </c>
      <c r="Q148" s="10"/>
      <c r="R148" s="10"/>
      <c r="S148" s="6" t="s">
        <v>99</v>
      </c>
      <c r="T148" s="8"/>
      <c r="U148" s="11"/>
      <c r="V148" s="12"/>
      <c r="W148" s="13" t="s">
        <v>318</v>
      </c>
      <c r="X148" s="13"/>
      <c r="Y148" s="12"/>
      <c r="Z148" s="14" t="str">
        <f t="shared" si="8"/>
        <v/>
      </c>
      <c r="AA148" s="13"/>
      <c r="AB148" s="15"/>
      <c r="AC148" s="6" t="s">
        <v>745</v>
      </c>
      <c r="AD148" s="6" t="s">
        <v>746</v>
      </c>
      <c r="AE148" s="8" t="s">
        <v>747</v>
      </c>
    </row>
    <row r="149" spans="1:31" ht="30" x14ac:dyDescent="0.25">
      <c r="A149" s="6">
        <v>145</v>
      </c>
      <c r="B149" s="7">
        <v>46291</v>
      </c>
      <c r="C149" s="6" t="s">
        <v>748</v>
      </c>
      <c r="D149" s="8" t="s">
        <v>749</v>
      </c>
      <c r="E149" s="8" t="s">
        <v>750</v>
      </c>
      <c r="F149" s="6" t="s">
        <v>55</v>
      </c>
      <c r="G149" s="6" t="s">
        <v>48</v>
      </c>
      <c r="H149" s="6" t="s">
        <v>161</v>
      </c>
      <c r="I149" s="6" t="s">
        <v>50</v>
      </c>
      <c r="J149" s="9"/>
      <c r="K149" s="9">
        <v>1660000</v>
      </c>
      <c r="L149" s="9"/>
      <c r="M149" s="9"/>
      <c r="N149" s="10" t="str">
        <f>IF(AND(ISNUMBER(K149),ISNUMBER(L149),K149&gt;0),L149/K149-1,"")</f>
        <v/>
      </c>
      <c r="O149" s="10" t="str">
        <f>IF(AND(ISNUMBER(K149),ISNUMBER(L149),L149&gt;0),1-K149/L149,"")</f>
        <v/>
      </c>
      <c r="P149" s="10" t="str">
        <f t="shared" si="7"/>
        <v/>
      </c>
      <c r="Q149" s="10"/>
      <c r="R149" s="10"/>
      <c r="S149" s="6" t="s">
        <v>42</v>
      </c>
      <c r="T149" s="8"/>
      <c r="U149" s="11"/>
      <c r="V149" s="12"/>
      <c r="W149" s="13"/>
      <c r="X149" s="13"/>
      <c r="Y149" s="12"/>
      <c r="Z149" s="14" t="str">
        <f t="shared" si="8"/>
        <v/>
      </c>
      <c r="AA149" s="13"/>
      <c r="AB149" s="15"/>
      <c r="AC149" s="6"/>
      <c r="AD149" s="6" t="s">
        <v>723</v>
      </c>
      <c r="AE149" s="8" t="s">
        <v>751</v>
      </c>
    </row>
    <row r="150" spans="1:31" ht="30" x14ac:dyDescent="0.25">
      <c r="A150" s="6">
        <v>146</v>
      </c>
      <c r="B150" s="7">
        <v>46291</v>
      </c>
      <c r="C150" s="6" t="s">
        <v>752</v>
      </c>
      <c r="D150" s="8" t="s">
        <v>753</v>
      </c>
      <c r="E150" s="8" t="s">
        <v>754</v>
      </c>
      <c r="F150" s="6" t="s">
        <v>38</v>
      </c>
      <c r="G150" s="6" t="s">
        <v>48</v>
      </c>
      <c r="H150" s="6" t="s">
        <v>161</v>
      </c>
      <c r="I150" s="6" t="s">
        <v>50</v>
      </c>
      <c r="J150" s="9"/>
      <c r="K150" s="9">
        <v>940000</v>
      </c>
      <c r="L150" s="9"/>
      <c r="M150" s="9"/>
      <c r="N150" s="10" t="str">
        <f>IF(AND(ISNUMBER(K150),ISNUMBER(L150),K150&gt;0),L150/K150-1,"")</f>
        <v/>
      </c>
      <c r="O150" s="10" t="str">
        <f>IF(AND(ISNUMBER(K150),ISNUMBER(L150),L150&gt;0),1-K150/L150,"")</f>
        <v/>
      </c>
      <c r="P150" s="10" t="str">
        <f t="shared" si="7"/>
        <v/>
      </c>
      <c r="Q150" s="10"/>
      <c r="R150" s="10"/>
      <c r="S150" s="6" t="s">
        <v>42</v>
      </c>
      <c r="T150" s="8"/>
      <c r="U150" s="11"/>
      <c r="V150" s="12"/>
      <c r="W150" s="13"/>
      <c r="X150" s="13"/>
      <c r="Y150" s="12"/>
      <c r="Z150" s="14" t="str">
        <f t="shared" si="8"/>
        <v/>
      </c>
      <c r="AA150" s="13"/>
      <c r="AB150" s="15"/>
      <c r="AC150" s="6"/>
      <c r="AD150" s="6" t="s">
        <v>723</v>
      </c>
      <c r="AE150" s="8" t="s">
        <v>755</v>
      </c>
    </row>
    <row r="151" spans="1:31" ht="45" x14ac:dyDescent="0.25">
      <c r="A151" s="6">
        <v>147</v>
      </c>
      <c r="B151" s="7">
        <v>46294</v>
      </c>
      <c r="C151" s="6" t="s">
        <v>756</v>
      </c>
      <c r="D151" s="8" t="s">
        <v>757</v>
      </c>
      <c r="E151" s="8" t="s">
        <v>758</v>
      </c>
      <c r="F151" s="6"/>
      <c r="G151" s="6" t="s">
        <v>244</v>
      </c>
      <c r="H151" s="6" t="s">
        <v>49</v>
      </c>
      <c r="I151" s="6" t="s">
        <v>50</v>
      </c>
      <c r="J151" s="9"/>
      <c r="K151" s="9">
        <v>1564325</v>
      </c>
      <c r="L151" s="9">
        <v>2111838.09</v>
      </c>
      <c r="M151" s="9">
        <v>2576442.4700000002</v>
      </c>
      <c r="N151" s="10">
        <f>IF(AND(ISNUMBER(K151),ISNUMBER(L151),K151&gt;0),L151/K151-1,0.35)</f>
        <v>0.34999957809278759</v>
      </c>
      <c r="O151" s="10">
        <f>IF(AND(ISNUMBER(K151),ISNUMBER(L151),L151&gt;0),1-K151/L151,0.2593)</f>
        <v>0.25925902776003051</v>
      </c>
      <c r="P151" s="10" t="str">
        <f t="shared" si="7"/>
        <v/>
      </c>
      <c r="Q151" s="10"/>
      <c r="R151" s="10"/>
      <c r="S151" s="6" t="s">
        <v>42</v>
      </c>
      <c r="T151" s="8"/>
      <c r="U151" s="11"/>
      <c r="V151" s="12"/>
      <c r="W151" s="13"/>
      <c r="X151" s="13"/>
      <c r="Y151" s="12"/>
      <c r="Z151" s="14" t="str">
        <f t="shared" si="8"/>
        <v/>
      </c>
      <c r="AA151" s="13"/>
      <c r="AB151" s="15"/>
      <c r="AC151" s="6"/>
      <c r="AD151" s="6" t="s">
        <v>759</v>
      </c>
      <c r="AE151" s="8" t="s">
        <v>760</v>
      </c>
    </row>
    <row r="152" spans="1:31" ht="60" x14ac:dyDescent="0.25">
      <c r="A152" s="6">
        <v>148</v>
      </c>
      <c r="B152" s="7">
        <v>46294</v>
      </c>
      <c r="C152" s="6" t="s">
        <v>761</v>
      </c>
      <c r="D152" s="8" t="s">
        <v>762</v>
      </c>
      <c r="E152" s="8" t="s">
        <v>763</v>
      </c>
      <c r="F152" s="6" t="s">
        <v>38</v>
      </c>
      <c r="G152" s="6" t="s">
        <v>561</v>
      </c>
      <c r="H152" s="6" t="s">
        <v>49</v>
      </c>
      <c r="I152" s="6" t="s">
        <v>643</v>
      </c>
      <c r="J152" s="9"/>
      <c r="K152" s="9">
        <v>11310000</v>
      </c>
      <c r="L152" s="9">
        <v>15273494.609999999</v>
      </c>
      <c r="M152" s="9"/>
      <c r="N152" s="10">
        <f>IF(AND(ISNUMBER(K152),ISNUMBER(L152),K152&gt;0),L152/K152-1,0.35)</f>
        <v>0.35044161007957553</v>
      </c>
      <c r="O152" s="10">
        <f>IF(AND(ISNUMBER(K152),ISNUMBER(L152),L152&gt;0),1-K152/L152,0.2595)</f>
        <v>0.25950149007843859</v>
      </c>
      <c r="P152" s="10" t="str">
        <f t="shared" si="7"/>
        <v/>
      </c>
      <c r="Q152" s="10"/>
      <c r="R152" s="10"/>
      <c r="S152" s="6" t="s">
        <v>42</v>
      </c>
      <c r="T152" s="8"/>
      <c r="U152" s="11"/>
      <c r="V152" s="12"/>
      <c r="W152" s="13"/>
      <c r="X152" s="13"/>
      <c r="Y152" s="12"/>
      <c r="Z152" s="14" t="str">
        <f t="shared" si="8"/>
        <v/>
      </c>
      <c r="AA152" s="13"/>
      <c r="AB152" s="15"/>
      <c r="AC152" s="6" t="s">
        <v>764</v>
      </c>
      <c r="AD152" s="6" t="s">
        <v>765</v>
      </c>
      <c r="AE152" s="8" t="s">
        <v>766</v>
      </c>
    </row>
    <row r="153" spans="1:31" ht="30" x14ac:dyDescent="0.25">
      <c r="A153" s="6">
        <v>149</v>
      </c>
      <c r="B153" s="7">
        <v>46294</v>
      </c>
      <c r="C153" s="6" t="s">
        <v>767</v>
      </c>
      <c r="D153" s="8" t="s">
        <v>768</v>
      </c>
      <c r="E153" s="8" t="s">
        <v>769</v>
      </c>
      <c r="F153" s="6" t="s">
        <v>183</v>
      </c>
      <c r="G153" s="6" t="s">
        <v>39</v>
      </c>
      <c r="H153" s="6" t="s">
        <v>40</v>
      </c>
      <c r="I153" s="6" t="s">
        <v>80</v>
      </c>
      <c r="J153" s="9"/>
      <c r="K153" s="9"/>
      <c r="L153" s="9">
        <v>32100000</v>
      </c>
      <c r="M153" s="9"/>
      <c r="N153" s="10">
        <f>IF(AND(ISNUMBER(K153),ISNUMBER(L153),K153&gt;0),L153/K153-1,0.35)</f>
        <v>0.35</v>
      </c>
      <c r="O153" s="10">
        <f>IF(AND(ISNUMBER(K153),ISNUMBER(L153),L153&gt;0),1-K153/L153,0.259)</f>
        <v>0.25900000000000001</v>
      </c>
      <c r="P153" s="10" t="str">
        <f t="shared" si="7"/>
        <v/>
      </c>
      <c r="Q153" s="10"/>
      <c r="R153" s="10"/>
      <c r="S153" s="6" t="s">
        <v>42</v>
      </c>
      <c r="T153" s="8"/>
      <c r="U153" s="11"/>
      <c r="V153" s="12"/>
      <c r="W153" s="13"/>
      <c r="X153" s="13"/>
      <c r="Y153" s="12"/>
      <c r="Z153" s="14" t="str">
        <f t="shared" si="8"/>
        <v/>
      </c>
      <c r="AA153" s="13"/>
      <c r="AB153" s="15"/>
      <c r="AC153" s="6"/>
      <c r="AD153" s="6" t="s">
        <v>765</v>
      </c>
      <c r="AE153" s="8" t="s">
        <v>770</v>
      </c>
    </row>
    <row r="154" spans="1:31" ht="45" x14ac:dyDescent="0.25">
      <c r="A154" s="6">
        <v>150</v>
      </c>
      <c r="B154" s="7">
        <v>46294</v>
      </c>
      <c r="C154" s="6" t="s">
        <v>771</v>
      </c>
      <c r="D154" s="8" t="s">
        <v>772</v>
      </c>
      <c r="E154" s="8" t="s">
        <v>773</v>
      </c>
      <c r="F154" s="6" t="s">
        <v>774</v>
      </c>
      <c r="G154" s="6" t="s">
        <v>39</v>
      </c>
      <c r="H154" s="6" t="s">
        <v>40</v>
      </c>
      <c r="I154" s="6" t="s">
        <v>80</v>
      </c>
      <c r="J154" s="9"/>
      <c r="K154" s="9"/>
      <c r="L154" s="9">
        <v>623000000</v>
      </c>
      <c r="M154" s="9"/>
      <c r="N154" s="10" t="str">
        <f>IF(AND(ISNUMBER(K154),ISNUMBER(L154),K154&gt;0),L154/K154-1,"")</f>
        <v/>
      </c>
      <c r="O154" s="10">
        <f>IF(AND(ISNUMBER(K154),ISNUMBER(L154),L154&gt;0),1-K154/L154,0.259)</f>
        <v>0.25900000000000001</v>
      </c>
      <c r="P154" s="10" t="str">
        <f t="shared" si="7"/>
        <v/>
      </c>
      <c r="Q154" s="10"/>
      <c r="R154" s="10"/>
      <c r="S154" s="6" t="s">
        <v>42</v>
      </c>
      <c r="T154" s="8"/>
      <c r="U154" s="11"/>
      <c r="V154" s="12"/>
      <c r="W154" s="13"/>
      <c r="X154" s="13"/>
      <c r="Y154" s="12"/>
      <c r="Z154" s="14" t="str">
        <f t="shared" si="8"/>
        <v/>
      </c>
      <c r="AA154" s="13"/>
      <c r="AB154" s="15"/>
      <c r="AC154" s="6"/>
      <c r="AD154" s="6" t="s">
        <v>775</v>
      </c>
      <c r="AE154" s="8" t="s">
        <v>776</v>
      </c>
    </row>
    <row r="155" spans="1:31" ht="45" x14ac:dyDescent="0.25">
      <c r="A155" s="6">
        <v>151</v>
      </c>
      <c r="B155" s="7">
        <v>46294</v>
      </c>
      <c r="C155" s="6" t="s">
        <v>777</v>
      </c>
      <c r="D155" s="8" t="s">
        <v>778</v>
      </c>
      <c r="E155" s="8" t="s">
        <v>779</v>
      </c>
      <c r="F155" s="6" t="s">
        <v>780</v>
      </c>
      <c r="G155" s="6" t="s">
        <v>149</v>
      </c>
      <c r="H155" s="6" t="s">
        <v>49</v>
      </c>
      <c r="I155" s="6" t="s">
        <v>50</v>
      </c>
      <c r="J155" s="9"/>
      <c r="K155" s="9">
        <v>20600000</v>
      </c>
      <c r="L155" s="9">
        <v>27813325.59</v>
      </c>
      <c r="M155" s="9"/>
      <c r="N155" s="10">
        <f>IF(AND(ISNUMBER(K155),ISNUMBER(L155),K155&gt;0),L155/K155-1,0.3502)</f>
        <v>0.35016143640776698</v>
      </c>
      <c r="O155" s="10">
        <f>IF(AND(ISNUMBER(K155),ISNUMBER(L155),L155&gt;0),1-K155/L155,0.2593)</f>
        <v>0.25934782831555669</v>
      </c>
      <c r="P155" s="10" t="str">
        <f t="shared" si="7"/>
        <v/>
      </c>
      <c r="Q155" s="10"/>
      <c r="R155" s="10"/>
      <c r="S155" s="6" t="s">
        <v>42</v>
      </c>
      <c r="T155" s="8"/>
      <c r="U155" s="11"/>
      <c r="V155" s="12"/>
      <c r="W155" s="13"/>
      <c r="X155" s="13"/>
      <c r="Y155" s="12"/>
      <c r="Z155" s="14" t="str">
        <f t="shared" si="8"/>
        <v/>
      </c>
      <c r="AA155" s="13"/>
      <c r="AB155" s="15"/>
      <c r="AC155" s="6"/>
      <c r="AD155" s="6" t="s">
        <v>759</v>
      </c>
      <c r="AE155" s="8" t="s">
        <v>781</v>
      </c>
    </row>
    <row r="156" spans="1:31" ht="30" x14ac:dyDescent="0.25">
      <c r="A156" s="6">
        <v>152</v>
      </c>
      <c r="B156" s="7">
        <v>46294</v>
      </c>
      <c r="C156" s="6" t="s">
        <v>777</v>
      </c>
      <c r="D156" s="8" t="s">
        <v>782</v>
      </c>
      <c r="E156" s="8" t="s">
        <v>783</v>
      </c>
      <c r="F156" s="6"/>
      <c r="G156" s="6" t="s">
        <v>48</v>
      </c>
      <c r="H156" s="6" t="s">
        <v>49</v>
      </c>
      <c r="I156" s="6" t="s">
        <v>50</v>
      </c>
      <c r="J156" s="9"/>
      <c r="K156" s="9">
        <v>88520000</v>
      </c>
      <c r="L156" s="9">
        <v>119505134.02</v>
      </c>
      <c r="M156" s="9"/>
      <c r="N156" s="10">
        <f>IF(AND(ISNUMBER(K156),ISNUMBER(L156),K156&gt;0),L156/K156-1,0.35)</f>
        <v>0.35003540465431526</v>
      </c>
      <c r="O156" s="10">
        <f>IF(AND(ISNUMBER(K156),ISNUMBER(L156),L156&gt;0),1-K156/L156,0.2593)</f>
        <v>0.25927868517192265</v>
      </c>
      <c r="P156" s="10" t="str">
        <f t="shared" si="7"/>
        <v/>
      </c>
      <c r="Q156" s="10"/>
      <c r="R156" s="10"/>
      <c r="S156" s="6" t="s">
        <v>42</v>
      </c>
      <c r="T156" s="8"/>
      <c r="U156" s="11"/>
      <c r="V156" s="12"/>
      <c r="W156" s="13"/>
      <c r="X156" s="13"/>
      <c r="Y156" s="12"/>
      <c r="Z156" s="14" t="str">
        <f t="shared" si="8"/>
        <v/>
      </c>
      <c r="AA156" s="13"/>
      <c r="AB156" s="15"/>
      <c r="AC156" s="6"/>
      <c r="AD156" s="6" t="s">
        <v>759</v>
      </c>
      <c r="AE156" s="8" t="s">
        <v>784</v>
      </c>
    </row>
    <row r="157" spans="1:31" ht="30" x14ac:dyDescent="0.25">
      <c r="A157" s="6">
        <v>153</v>
      </c>
      <c r="B157" s="7">
        <v>46294</v>
      </c>
      <c r="C157" s="6" t="s">
        <v>785</v>
      </c>
      <c r="D157" s="8" t="s">
        <v>786</v>
      </c>
      <c r="E157" s="8" t="s">
        <v>787</v>
      </c>
      <c r="F157" s="6" t="s">
        <v>38</v>
      </c>
      <c r="G157" s="6" t="s">
        <v>48</v>
      </c>
      <c r="H157" s="6" t="s">
        <v>161</v>
      </c>
      <c r="I157" s="6" t="s">
        <v>50</v>
      </c>
      <c r="J157" s="9">
        <v>6553747.9800000004</v>
      </c>
      <c r="K157" s="9">
        <v>6940000</v>
      </c>
      <c r="L157" s="9"/>
      <c r="M157" s="9"/>
      <c r="N157" s="10" t="str">
        <f>IF(AND(ISNUMBER(K157),ISNUMBER(L157),K157&gt;0),L157/K157-1,"")</f>
        <v/>
      </c>
      <c r="O157" s="10" t="str">
        <f>IF(AND(ISNUMBER(K157),ISNUMBER(L157),L157&gt;0),1-K157/L157,"")</f>
        <v/>
      </c>
      <c r="P157" s="10" t="str">
        <f t="shared" si="7"/>
        <v/>
      </c>
      <c r="Q157" s="10"/>
      <c r="R157" s="10"/>
      <c r="S157" s="6" t="s">
        <v>42</v>
      </c>
      <c r="T157" s="8"/>
      <c r="U157" s="11"/>
      <c r="V157" s="12"/>
      <c r="W157" s="13"/>
      <c r="X157" s="13"/>
      <c r="Y157" s="12"/>
      <c r="Z157" s="14" t="str">
        <f t="shared" si="8"/>
        <v/>
      </c>
      <c r="AA157" s="13"/>
      <c r="AB157" s="15"/>
      <c r="AC157" s="6"/>
      <c r="AD157" s="6" t="s">
        <v>775</v>
      </c>
      <c r="AE157" s="8" t="s">
        <v>788</v>
      </c>
    </row>
    <row r="158" spans="1:31" ht="45" x14ac:dyDescent="0.25">
      <c r="A158" s="6">
        <v>154</v>
      </c>
      <c r="B158" s="7">
        <v>46294</v>
      </c>
      <c r="C158" s="6" t="s">
        <v>789</v>
      </c>
      <c r="D158" s="8" t="s">
        <v>790</v>
      </c>
      <c r="E158" s="8" t="s">
        <v>791</v>
      </c>
      <c r="F158" s="6"/>
      <c r="G158" s="6" t="s">
        <v>48</v>
      </c>
      <c r="H158" s="6" t="s">
        <v>49</v>
      </c>
      <c r="I158" s="6" t="s">
        <v>50</v>
      </c>
      <c r="J158" s="9"/>
      <c r="K158" s="9">
        <v>7080000</v>
      </c>
      <c r="L158" s="9">
        <v>9557883.8100000005</v>
      </c>
      <c r="M158" s="9">
        <v>11660618.25</v>
      </c>
      <c r="N158" s="10">
        <f>IF(AND(ISNUMBER(K158),ISNUMBER(L158),K158&gt;0),L158/K158-1,0.35)</f>
        <v>0.34998358898305093</v>
      </c>
      <c r="O158" s="10">
        <f>IF(AND(ISNUMBER(K158),ISNUMBER(L158),L158&gt;0),1-K158/L158,0.2593)</f>
        <v>0.25925025447657124</v>
      </c>
      <c r="P158" s="10" t="str">
        <f t="shared" si="7"/>
        <v/>
      </c>
      <c r="Q158" s="10"/>
      <c r="R158" s="10"/>
      <c r="S158" s="6" t="s">
        <v>42</v>
      </c>
      <c r="T158" s="8"/>
      <c r="U158" s="11"/>
      <c r="V158" s="12"/>
      <c r="W158" s="13"/>
      <c r="X158" s="13"/>
      <c r="Y158" s="12"/>
      <c r="Z158" s="14" t="str">
        <f t="shared" si="8"/>
        <v/>
      </c>
      <c r="AA158" s="13"/>
      <c r="AB158" s="15"/>
      <c r="AC158" s="6"/>
      <c r="AD158" s="6" t="s">
        <v>765</v>
      </c>
      <c r="AE158" s="8" t="s">
        <v>792</v>
      </c>
    </row>
    <row r="159" spans="1:31" ht="30" x14ac:dyDescent="0.25">
      <c r="A159" s="6">
        <v>155</v>
      </c>
      <c r="B159" s="7">
        <v>46294</v>
      </c>
      <c r="C159" s="6" t="s">
        <v>793</v>
      </c>
      <c r="D159" s="8"/>
      <c r="E159" s="8" t="s">
        <v>794</v>
      </c>
      <c r="F159" s="6" t="s">
        <v>38</v>
      </c>
      <c r="G159" s="6" t="s">
        <v>48</v>
      </c>
      <c r="H159" s="6" t="s">
        <v>161</v>
      </c>
      <c r="I159" s="6" t="s">
        <v>50</v>
      </c>
      <c r="J159" s="9"/>
      <c r="K159" s="9"/>
      <c r="L159" s="9"/>
      <c r="M159" s="9"/>
      <c r="N159" s="10" t="str">
        <f>IF(AND(ISNUMBER(K159),ISNUMBER(L159),K159&gt;0),L159/K159-1,"")</f>
        <v/>
      </c>
      <c r="O159" s="10" t="str">
        <f>IF(AND(ISNUMBER(K159),ISNUMBER(L159),L159&gt;0),1-K159/L159,"")</f>
        <v/>
      </c>
      <c r="P159" s="10" t="str">
        <f t="shared" si="7"/>
        <v/>
      </c>
      <c r="Q159" s="10"/>
      <c r="R159" s="10"/>
      <c r="S159" s="6" t="s">
        <v>42</v>
      </c>
      <c r="T159" s="8"/>
      <c r="U159" s="11"/>
      <c r="V159" s="12"/>
      <c r="W159" s="13"/>
      <c r="X159" s="13"/>
      <c r="Y159" s="12"/>
      <c r="Z159" s="14" t="str">
        <f t="shared" si="8"/>
        <v/>
      </c>
      <c r="AA159" s="13"/>
      <c r="AB159" s="15"/>
      <c r="AC159" s="6"/>
      <c r="AD159" s="6" t="s">
        <v>765</v>
      </c>
      <c r="AE159" s="8" t="s">
        <v>795</v>
      </c>
    </row>
    <row r="160" spans="1:31" x14ac:dyDescent="0.25">
      <c r="A160" s="6">
        <v>156</v>
      </c>
      <c r="B160" s="7">
        <v>46294</v>
      </c>
      <c r="C160" s="6" t="s">
        <v>796</v>
      </c>
      <c r="D160" s="8" t="s">
        <v>797</v>
      </c>
      <c r="E160" s="8" t="s">
        <v>798</v>
      </c>
      <c r="F160" s="6"/>
      <c r="G160" s="6" t="s">
        <v>39</v>
      </c>
      <c r="H160" s="6" t="s">
        <v>161</v>
      </c>
      <c r="I160" s="6"/>
      <c r="J160" s="9"/>
      <c r="K160" s="9"/>
      <c r="L160" s="9"/>
      <c r="M160" s="9"/>
      <c r="N160" s="10" t="str">
        <f>IF(AND(ISNUMBER(K160),ISNUMBER(L160),K160&gt;0),L160/K160-1,"")</f>
        <v/>
      </c>
      <c r="O160" s="10" t="str">
        <f>IF(AND(ISNUMBER(K160),ISNUMBER(L160),L160&gt;0),1-K160/L160,"")</f>
        <v/>
      </c>
      <c r="P160" s="10" t="str">
        <f t="shared" si="7"/>
        <v/>
      </c>
      <c r="Q160" s="10"/>
      <c r="R160" s="10"/>
      <c r="S160" s="6" t="s">
        <v>42</v>
      </c>
      <c r="T160" s="8"/>
      <c r="U160" s="11"/>
      <c r="V160" s="12"/>
      <c r="W160" s="13"/>
      <c r="X160" s="13"/>
      <c r="Y160" s="12"/>
      <c r="Z160" s="14" t="str">
        <f t="shared" si="8"/>
        <v/>
      </c>
      <c r="AA160" s="13"/>
      <c r="AB160" s="15"/>
      <c r="AC160" s="6"/>
      <c r="AD160" s="6" t="s">
        <v>765</v>
      </c>
      <c r="AE160" s="8" t="s">
        <v>799</v>
      </c>
    </row>
    <row r="161" spans="1:31" x14ac:dyDescent="0.25">
      <c r="A161" s="6">
        <v>157</v>
      </c>
      <c r="B161" s="7">
        <v>46294</v>
      </c>
      <c r="C161" s="6" t="s">
        <v>800</v>
      </c>
      <c r="D161" s="8" t="s">
        <v>801</v>
      </c>
      <c r="E161" s="8" t="s">
        <v>802</v>
      </c>
      <c r="F161" s="6" t="s">
        <v>38</v>
      </c>
      <c r="G161" s="6" t="s">
        <v>48</v>
      </c>
      <c r="H161" s="6" t="s">
        <v>161</v>
      </c>
      <c r="I161" s="6" t="s">
        <v>50</v>
      </c>
      <c r="J161" s="9"/>
      <c r="K161" s="9"/>
      <c r="L161" s="9"/>
      <c r="M161" s="9"/>
      <c r="N161" s="10" t="str">
        <f>IF(AND(ISNUMBER(K161),ISNUMBER(L161),K161&gt;0),L161/K161-1,"")</f>
        <v/>
      </c>
      <c r="O161" s="10" t="str">
        <f>IF(AND(ISNUMBER(K161),ISNUMBER(L161),L161&gt;0),1-K161/L161,"")</f>
        <v/>
      </c>
      <c r="P161" s="10" t="str">
        <f t="shared" si="7"/>
        <v/>
      </c>
      <c r="Q161" s="10"/>
      <c r="R161" s="10"/>
      <c r="S161" s="6" t="s">
        <v>42</v>
      </c>
      <c r="T161" s="8"/>
      <c r="U161" s="11"/>
      <c r="V161" s="12"/>
      <c r="W161" s="13"/>
      <c r="X161" s="13"/>
      <c r="Y161" s="12"/>
      <c r="Z161" s="14" t="str">
        <f t="shared" si="8"/>
        <v/>
      </c>
      <c r="AA161" s="13"/>
      <c r="AB161" s="15"/>
      <c r="AC161" s="6"/>
      <c r="AD161" s="6" t="s">
        <v>765</v>
      </c>
      <c r="AE161" s="8" t="s">
        <v>803</v>
      </c>
    </row>
    <row r="162" spans="1:31" x14ac:dyDescent="0.25">
      <c r="A162" s="6">
        <v>158</v>
      </c>
      <c r="B162" s="7">
        <v>46294</v>
      </c>
      <c r="C162" s="6" t="s">
        <v>804</v>
      </c>
      <c r="D162" s="8" t="s">
        <v>805</v>
      </c>
      <c r="E162" s="8" t="s">
        <v>806</v>
      </c>
      <c r="F162" s="6"/>
      <c r="G162" s="6" t="s">
        <v>48</v>
      </c>
      <c r="H162" s="6" t="s">
        <v>49</v>
      </c>
      <c r="I162" s="6" t="s">
        <v>50</v>
      </c>
      <c r="J162" s="9"/>
      <c r="K162" s="9">
        <v>1840000</v>
      </c>
      <c r="L162" s="9">
        <v>2477713.17</v>
      </c>
      <c r="M162" s="9"/>
      <c r="N162" s="10">
        <f>IF(AND(ISNUMBER(K162),ISNUMBER(L162),K162&gt;0),L162/K162-1,0.35)</f>
        <v>0.34658324456521727</v>
      </c>
      <c r="O162" s="10">
        <f>IF(AND(ISNUMBER(K162),ISNUMBER(L162),L162&gt;0),1-K162/L162,0.2574)</f>
        <v>0.25737973939897163</v>
      </c>
      <c r="P162" s="10" t="str">
        <f t="shared" si="7"/>
        <v/>
      </c>
      <c r="Q162" s="10"/>
      <c r="R162" s="10"/>
      <c r="S162" s="6" t="s">
        <v>42</v>
      </c>
      <c r="T162" s="8"/>
      <c r="U162" s="11"/>
      <c r="V162" s="12"/>
      <c r="W162" s="13"/>
      <c r="X162" s="13"/>
      <c r="Y162" s="12"/>
      <c r="Z162" s="14" t="str">
        <f t="shared" si="8"/>
        <v/>
      </c>
      <c r="AA162" s="13"/>
      <c r="AB162" s="15"/>
      <c r="AC162" s="6"/>
      <c r="AD162" s="6" t="s">
        <v>765</v>
      </c>
      <c r="AE162" s="8" t="s">
        <v>807</v>
      </c>
    </row>
    <row r="163" spans="1:31" ht="30" x14ac:dyDescent="0.25">
      <c r="A163" s="6">
        <v>159</v>
      </c>
      <c r="B163" s="7">
        <v>46294</v>
      </c>
      <c r="C163" s="6" t="s">
        <v>808</v>
      </c>
      <c r="D163" s="8" t="s">
        <v>809</v>
      </c>
      <c r="E163" s="8" t="s">
        <v>810</v>
      </c>
      <c r="F163" s="6" t="s">
        <v>55</v>
      </c>
      <c r="G163" s="6" t="s">
        <v>811</v>
      </c>
      <c r="H163" s="6" t="s">
        <v>161</v>
      </c>
      <c r="I163" s="6" t="s">
        <v>50</v>
      </c>
      <c r="J163" s="9">
        <v>7509549</v>
      </c>
      <c r="K163" s="9">
        <v>7400000</v>
      </c>
      <c r="L163" s="9"/>
      <c r="M163" s="9"/>
      <c r="N163" s="10" t="str">
        <f>IF(AND(ISNUMBER(K163),ISNUMBER(L163),K163&gt;0),L163/K163-1,"")</f>
        <v/>
      </c>
      <c r="O163" s="10" t="str">
        <f>IF(AND(ISNUMBER(K163),ISNUMBER(L163),L163&gt;0),1-K163/L163,"")</f>
        <v/>
      </c>
      <c r="P163" s="10" t="str">
        <f t="shared" si="7"/>
        <v/>
      </c>
      <c r="Q163" s="10"/>
      <c r="R163" s="10"/>
      <c r="S163" s="6" t="s">
        <v>42</v>
      </c>
      <c r="T163" s="8"/>
      <c r="U163" s="11"/>
      <c r="V163" s="12"/>
      <c r="W163" s="13"/>
      <c r="X163" s="13"/>
      <c r="Y163" s="12"/>
      <c r="Z163" s="14" t="str">
        <f t="shared" si="8"/>
        <v/>
      </c>
      <c r="AA163" s="13"/>
      <c r="AB163" s="15"/>
      <c r="AC163" s="6"/>
      <c r="AD163" s="6" t="s">
        <v>775</v>
      </c>
      <c r="AE163" s="8" t="s">
        <v>812</v>
      </c>
    </row>
    <row r="164" spans="1:31" x14ac:dyDescent="0.25">
      <c r="A164" s="6">
        <v>160</v>
      </c>
      <c r="B164" s="7">
        <v>46294</v>
      </c>
      <c r="C164" s="6" t="s">
        <v>808</v>
      </c>
      <c r="D164" s="8" t="s">
        <v>813</v>
      </c>
      <c r="E164" s="8" t="s">
        <v>814</v>
      </c>
      <c r="F164" s="6" t="s">
        <v>55</v>
      </c>
      <c r="G164" s="6" t="s">
        <v>48</v>
      </c>
      <c r="H164" s="6" t="s">
        <v>161</v>
      </c>
      <c r="I164" s="6" t="s">
        <v>50</v>
      </c>
      <c r="J164" s="9">
        <v>156700000</v>
      </c>
      <c r="K164" s="9">
        <v>117400000</v>
      </c>
      <c r="L164" s="9"/>
      <c r="M164" s="9"/>
      <c r="N164" s="10" t="str">
        <f>IF(AND(ISNUMBER(K164),ISNUMBER(L164),K164&gt;0),L164/K164-1,"")</f>
        <v/>
      </c>
      <c r="O164" s="10" t="str">
        <f>IF(AND(ISNUMBER(K164),ISNUMBER(L164),L164&gt;0),1-K164/L164,"")</f>
        <v/>
      </c>
      <c r="P164" s="10" t="str">
        <f t="shared" si="7"/>
        <v/>
      </c>
      <c r="Q164" s="10"/>
      <c r="R164" s="10"/>
      <c r="S164" s="6" t="s">
        <v>42</v>
      </c>
      <c r="T164" s="8"/>
      <c r="U164" s="11"/>
      <c r="V164" s="12"/>
      <c r="W164" s="13"/>
      <c r="X164" s="13"/>
      <c r="Y164" s="12"/>
      <c r="Z164" s="14" t="str">
        <f t="shared" si="8"/>
        <v/>
      </c>
      <c r="AA164" s="13"/>
      <c r="AB164" s="15"/>
      <c r="AC164" s="6"/>
      <c r="AD164" s="6" t="s">
        <v>765</v>
      </c>
      <c r="AE164" s="8" t="s">
        <v>815</v>
      </c>
    </row>
    <row r="165" spans="1:31" x14ac:dyDescent="0.25">
      <c r="A165" s="6">
        <v>161</v>
      </c>
      <c r="B165" s="7">
        <v>46294</v>
      </c>
      <c r="C165" s="6" t="s">
        <v>816</v>
      </c>
      <c r="D165" s="8" t="s">
        <v>817</v>
      </c>
      <c r="E165" s="8" t="s">
        <v>818</v>
      </c>
      <c r="F165" s="6"/>
      <c r="G165" s="6" t="s">
        <v>48</v>
      </c>
      <c r="H165" s="6" t="s">
        <v>161</v>
      </c>
      <c r="I165" s="6" t="s">
        <v>50</v>
      </c>
      <c r="J165" s="9"/>
      <c r="K165" s="9"/>
      <c r="L165" s="9"/>
      <c r="M165" s="9"/>
      <c r="N165" s="10" t="str">
        <f>IF(AND(ISNUMBER(K165),ISNUMBER(L165),K165&gt;0),L165/K165-1,"")</f>
        <v/>
      </c>
      <c r="O165" s="10" t="str">
        <f>IF(AND(ISNUMBER(K165),ISNUMBER(L165),L165&gt;0),1-K165/L165,"")</f>
        <v/>
      </c>
      <c r="P165" s="10" t="str">
        <f t="shared" si="7"/>
        <v/>
      </c>
      <c r="Q165" s="10"/>
      <c r="R165" s="10"/>
      <c r="S165" s="6" t="s">
        <v>42</v>
      </c>
      <c r="T165" s="8"/>
      <c r="U165" s="11"/>
      <c r="V165" s="12"/>
      <c r="W165" s="13"/>
      <c r="X165" s="13"/>
      <c r="Y165" s="12"/>
      <c r="Z165" s="14" t="str">
        <f t="shared" si="8"/>
        <v/>
      </c>
      <c r="AA165" s="13"/>
      <c r="AB165" s="15"/>
      <c r="AC165" s="6"/>
      <c r="AD165" s="6" t="s">
        <v>765</v>
      </c>
      <c r="AE165" s="8" t="s">
        <v>819</v>
      </c>
    </row>
    <row r="166" spans="1:31" ht="45" x14ac:dyDescent="0.25">
      <c r="A166" s="6">
        <v>162</v>
      </c>
      <c r="B166" s="7">
        <v>46294</v>
      </c>
      <c r="C166" s="6" t="s">
        <v>376</v>
      </c>
      <c r="D166" s="8" t="s">
        <v>820</v>
      </c>
      <c r="E166" s="8" t="s">
        <v>821</v>
      </c>
      <c r="F166" s="6" t="s">
        <v>38</v>
      </c>
      <c r="G166" s="6" t="s">
        <v>811</v>
      </c>
      <c r="H166" s="6" t="s">
        <v>49</v>
      </c>
      <c r="I166" s="6" t="s">
        <v>50</v>
      </c>
      <c r="J166" s="9"/>
      <c r="K166" s="9"/>
      <c r="L166" s="9">
        <v>17300</v>
      </c>
      <c r="M166" s="9">
        <v>21106</v>
      </c>
      <c r="N166" s="10">
        <f>IF(AND(ISNUMBER(K166),ISNUMBER(L166),K166&gt;0),L166/K166-1,0.338)</f>
        <v>0.33800000000000002</v>
      </c>
      <c r="O166" s="10" t="str">
        <f>IF(AND(ISNUMBER(K166),ISNUMBER(L166),L166&gt;0),1-K166/L166,"")</f>
        <v/>
      </c>
      <c r="P166" s="10" t="str">
        <f t="shared" si="7"/>
        <v/>
      </c>
      <c r="Q166" s="10"/>
      <c r="R166" s="10"/>
      <c r="S166" s="6" t="s">
        <v>42</v>
      </c>
      <c r="T166" s="8"/>
      <c r="U166" s="11"/>
      <c r="V166" s="12"/>
      <c r="W166" s="13"/>
      <c r="X166" s="13"/>
      <c r="Y166" s="12"/>
      <c r="Z166" s="14" t="str">
        <f t="shared" si="8"/>
        <v/>
      </c>
      <c r="AA166" s="13"/>
      <c r="AB166" s="15"/>
      <c r="AC166" s="6"/>
      <c r="AD166" s="6" t="s">
        <v>759</v>
      </c>
      <c r="AE166" s="8" t="s">
        <v>822</v>
      </c>
    </row>
    <row r="167" spans="1:31" ht="30" x14ac:dyDescent="0.25">
      <c r="A167" s="6">
        <v>163</v>
      </c>
      <c r="B167" s="7">
        <v>46294</v>
      </c>
      <c r="C167" s="6" t="s">
        <v>376</v>
      </c>
      <c r="D167" s="8" t="s">
        <v>823</v>
      </c>
      <c r="E167" s="8" t="s">
        <v>824</v>
      </c>
      <c r="F167" s="6" t="s">
        <v>38</v>
      </c>
      <c r="G167" s="6" t="s">
        <v>48</v>
      </c>
      <c r="H167" s="6" t="s">
        <v>49</v>
      </c>
      <c r="I167" s="6" t="s">
        <v>50</v>
      </c>
      <c r="J167" s="9"/>
      <c r="K167" s="9">
        <v>51850000</v>
      </c>
      <c r="L167" s="9">
        <v>69999042.489999995</v>
      </c>
      <c r="M167" s="9"/>
      <c r="N167" s="10">
        <f>IF(AND(ISNUMBER(K167),ISNUMBER(L167),K167&gt;0),L167/K167-1,0.35)</f>
        <v>0.35002974908389572</v>
      </c>
      <c r="O167" s="10">
        <f>IF(AND(ISNUMBER(K167),ISNUMBER(L167),L167&gt;0),1-K167/L167,0.2593)</f>
        <v>0.2592755821280377</v>
      </c>
      <c r="P167" s="10" t="str">
        <f t="shared" si="7"/>
        <v/>
      </c>
      <c r="Q167" s="10"/>
      <c r="R167" s="10"/>
      <c r="S167" s="6" t="s">
        <v>42</v>
      </c>
      <c r="T167" s="8"/>
      <c r="U167" s="11"/>
      <c r="V167" s="12"/>
      <c r="W167" s="13"/>
      <c r="X167" s="13"/>
      <c r="Y167" s="12"/>
      <c r="Z167" s="14" t="str">
        <f t="shared" si="8"/>
        <v/>
      </c>
      <c r="AA167" s="13"/>
      <c r="AB167" s="15"/>
      <c r="AC167" s="6"/>
      <c r="AD167" s="6" t="s">
        <v>765</v>
      </c>
      <c r="AE167" s="8" t="s">
        <v>825</v>
      </c>
    </row>
    <row r="168" spans="1:31" ht="30" x14ac:dyDescent="0.25">
      <c r="A168" s="6">
        <v>164</v>
      </c>
      <c r="B168" s="7">
        <v>46294</v>
      </c>
      <c r="C168" s="6" t="s">
        <v>826</v>
      </c>
      <c r="D168" s="8" t="s">
        <v>827</v>
      </c>
      <c r="E168" s="8" t="s">
        <v>828</v>
      </c>
      <c r="F168" s="6" t="s">
        <v>829</v>
      </c>
      <c r="G168" s="6" t="s">
        <v>561</v>
      </c>
      <c r="H168" s="6" t="s">
        <v>49</v>
      </c>
      <c r="I168" s="6"/>
      <c r="J168" s="9"/>
      <c r="K168" s="9"/>
      <c r="L168" s="9"/>
      <c r="M168" s="9"/>
      <c r="N168" s="10" t="str">
        <f>IF(AND(ISNUMBER(K168),ISNUMBER(L168),K168&gt;0),L168/K168-1,"")</f>
        <v/>
      </c>
      <c r="O168" s="10" t="str">
        <f>IF(AND(ISNUMBER(K168),ISNUMBER(L168),L168&gt;0),1-K168/L168,"")</f>
        <v/>
      </c>
      <c r="P168" s="10" t="str">
        <f t="shared" si="7"/>
        <v/>
      </c>
      <c r="Q168" s="10"/>
      <c r="R168" s="10"/>
      <c r="S168" s="6" t="s">
        <v>42</v>
      </c>
      <c r="T168" s="8"/>
      <c r="U168" s="11"/>
      <c r="V168" s="12"/>
      <c r="W168" s="13"/>
      <c r="X168" s="13"/>
      <c r="Y168" s="12"/>
      <c r="Z168" s="14" t="str">
        <f t="shared" si="8"/>
        <v/>
      </c>
      <c r="AA168" s="13"/>
      <c r="AB168" s="15"/>
      <c r="AC168" s="6"/>
      <c r="AD168" s="6" t="s">
        <v>759</v>
      </c>
      <c r="AE168" s="8" t="s">
        <v>830</v>
      </c>
    </row>
    <row r="169" spans="1:31" ht="30" x14ac:dyDescent="0.25">
      <c r="A169" s="6">
        <v>165</v>
      </c>
      <c r="B169" s="7">
        <v>46294</v>
      </c>
      <c r="C169" s="6" t="s">
        <v>752</v>
      </c>
      <c r="D169" s="8" t="s">
        <v>831</v>
      </c>
      <c r="E169" s="8" t="s">
        <v>832</v>
      </c>
      <c r="F169" s="6" t="s">
        <v>38</v>
      </c>
      <c r="G169" s="6" t="s">
        <v>48</v>
      </c>
      <c r="H169" s="6" t="s">
        <v>161</v>
      </c>
      <c r="I169" s="6" t="s">
        <v>50</v>
      </c>
      <c r="J169" s="9">
        <v>1465700</v>
      </c>
      <c r="K169" s="9">
        <v>1650000</v>
      </c>
      <c r="L169" s="9"/>
      <c r="M169" s="9"/>
      <c r="N169" s="10" t="str">
        <f>IF(AND(ISNUMBER(K169),ISNUMBER(L169),K169&gt;0),L169/K169-1,"")</f>
        <v/>
      </c>
      <c r="O169" s="10" t="str">
        <f>IF(AND(ISNUMBER(K169),ISNUMBER(L169),L169&gt;0),1-K169/L169,"")</f>
        <v/>
      </c>
      <c r="P169" s="10" t="str">
        <f t="shared" si="7"/>
        <v/>
      </c>
      <c r="Q169" s="10"/>
      <c r="R169" s="10"/>
      <c r="S169" s="6" t="s">
        <v>42</v>
      </c>
      <c r="T169" s="8"/>
      <c r="U169" s="11"/>
      <c r="V169" s="12"/>
      <c r="W169" s="13"/>
      <c r="X169" s="13"/>
      <c r="Y169" s="12"/>
      <c r="Z169" s="14" t="str">
        <f t="shared" si="8"/>
        <v/>
      </c>
      <c r="AA169" s="13"/>
      <c r="AB169" s="15"/>
      <c r="AC169" s="6"/>
      <c r="AD169" s="6" t="s">
        <v>775</v>
      </c>
      <c r="AE169" s="8" t="s">
        <v>833</v>
      </c>
    </row>
    <row r="170" spans="1:31" ht="30" x14ac:dyDescent="0.25">
      <c r="A170" s="6">
        <v>166</v>
      </c>
      <c r="B170" s="7">
        <v>46295</v>
      </c>
      <c r="C170" s="6"/>
      <c r="D170" s="8" t="s">
        <v>834</v>
      </c>
      <c r="E170" s="8" t="s">
        <v>835</v>
      </c>
      <c r="F170" s="6" t="s">
        <v>211</v>
      </c>
      <c r="G170" s="6" t="s">
        <v>48</v>
      </c>
      <c r="H170" s="6" t="s">
        <v>49</v>
      </c>
      <c r="I170" s="6" t="s">
        <v>50</v>
      </c>
      <c r="J170" s="9"/>
      <c r="K170" s="9">
        <v>13850000</v>
      </c>
      <c r="L170" s="9">
        <v>20781284.32</v>
      </c>
      <c r="M170" s="9"/>
      <c r="N170" s="10">
        <f>IF(AND(ISNUMBER(K170),ISNUMBER(L170),K170&gt;0),L170/K170-1,0.5)</f>
        <v>0.50045374151624555</v>
      </c>
      <c r="O170" s="10">
        <f>IF(AND(ISNUMBER(K170),ISNUMBER(L170),L170&gt;0),1-K170/L170,0.3335)</f>
        <v>0.33353493524600408</v>
      </c>
      <c r="P170" s="10" t="str">
        <f t="shared" si="7"/>
        <v/>
      </c>
      <c r="Q170" s="10"/>
      <c r="R170" s="10"/>
      <c r="S170" s="6" t="s">
        <v>42</v>
      </c>
      <c r="T170" s="8"/>
      <c r="U170" s="11"/>
      <c r="V170" s="12"/>
      <c r="W170" s="13"/>
      <c r="X170" s="13"/>
      <c r="Y170" s="12"/>
      <c r="Z170" s="14" t="str">
        <f t="shared" si="8"/>
        <v/>
      </c>
      <c r="AA170" s="13"/>
      <c r="AB170" s="15"/>
      <c r="AC170" s="6"/>
      <c r="AD170" s="6" t="s">
        <v>765</v>
      </c>
      <c r="AE170" s="8" t="s">
        <v>836</v>
      </c>
    </row>
    <row r="171" spans="1:31" ht="45" x14ac:dyDescent="0.25">
      <c r="A171" s="6">
        <v>167</v>
      </c>
      <c r="B171" s="7">
        <v>46295</v>
      </c>
      <c r="C171" s="6" t="s">
        <v>837</v>
      </c>
      <c r="D171" s="8" t="s">
        <v>838</v>
      </c>
      <c r="E171" s="8" t="s">
        <v>839</v>
      </c>
      <c r="F171" s="6" t="s">
        <v>211</v>
      </c>
      <c r="G171" s="6" t="s">
        <v>39</v>
      </c>
      <c r="H171" s="6" t="s">
        <v>161</v>
      </c>
      <c r="I171" s="6" t="s">
        <v>80</v>
      </c>
      <c r="J171" s="9">
        <v>2421634.42</v>
      </c>
      <c r="K171" s="9">
        <v>3311347</v>
      </c>
      <c r="L171" s="9"/>
      <c r="M171" s="9"/>
      <c r="N171" s="10" t="str">
        <f>IF(AND(ISNUMBER(K171),ISNUMBER(L171),K171&gt;0),L171/K171-1,"")</f>
        <v/>
      </c>
      <c r="O171" s="10" t="str">
        <f>IF(AND(ISNUMBER(K171),ISNUMBER(L171),L171&gt;0),1-K171/L171,"")</f>
        <v/>
      </c>
      <c r="P171" s="10" t="str">
        <f t="shared" si="7"/>
        <v/>
      </c>
      <c r="Q171" s="10"/>
      <c r="R171" s="10"/>
      <c r="S171" s="6" t="s">
        <v>193</v>
      </c>
      <c r="T171" s="8"/>
      <c r="U171" s="11"/>
      <c r="V171" s="12"/>
      <c r="W171" s="13" t="s">
        <v>194</v>
      </c>
      <c r="X171" s="13"/>
      <c r="Y171" s="12"/>
      <c r="Z171" s="14" t="str">
        <f t="shared" si="8"/>
        <v/>
      </c>
      <c r="AA171" s="13"/>
      <c r="AB171" s="15"/>
      <c r="AC171" s="6" t="s">
        <v>840</v>
      </c>
      <c r="AD171" s="6" t="s">
        <v>841</v>
      </c>
      <c r="AE171" s="8" t="s">
        <v>842</v>
      </c>
    </row>
    <row r="172" spans="1:31" ht="60" x14ac:dyDescent="0.25">
      <c r="A172" s="6">
        <v>168</v>
      </c>
      <c r="B172" s="7">
        <v>46295</v>
      </c>
      <c r="C172" s="6" t="s">
        <v>843</v>
      </c>
      <c r="D172" s="8" t="s">
        <v>844</v>
      </c>
      <c r="E172" s="8" t="s">
        <v>845</v>
      </c>
      <c r="F172" s="6" t="s">
        <v>630</v>
      </c>
      <c r="G172" s="6" t="s">
        <v>39</v>
      </c>
      <c r="H172" s="6" t="s">
        <v>40</v>
      </c>
      <c r="I172" s="6" t="s">
        <v>80</v>
      </c>
      <c r="J172" s="9"/>
      <c r="K172" s="9">
        <v>22280000</v>
      </c>
      <c r="L172" s="9">
        <v>45865000</v>
      </c>
      <c r="M172" s="9"/>
      <c r="N172" s="10">
        <f>IF(AND(ISNUMBER(K172),ISNUMBER(L172),K172&gt;0),L172/K172-1,1.0586)</f>
        <v>1.0585727109515259</v>
      </c>
      <c r="O172" s="10">
        <f>IF(AND(ISNUMBER(K172),ISNUMBER(L172),L172&gt;0),1-K172/L172,0.514)</f>
        <v>0.51422653439441834</v>
      </c>
      <c r="P172" s="10" t="str">
        <f t="shared" si="7"/>
        <v/>
      </c>
      <c r="Q172" s="10"/>
      <c r="R172" s="10"/>
      <c r="S172" s="6" t="s">
        <v>42</v>
      </c>
      <c r="T172" s="8" t="s">
        <v>846</v>
      </c>
      <c r="U172" s="11"/>
      <c r="V172" s="12"/>
      <c r="W172" s="13"/>
      <c r="X172" s="13"/>
      <c r="Y172" s="12"/>
      <c r="Z172" s="14" t="str">
        <f t="shared" si="8"/>
        <v/>
      </c>
      <c r="AA172" s="13"/>
      <c r="AB172" s="15"/>
      <c r="AC172" s="6"/>
      <c r="AD172" s="6" t="s">
        <v>759</v>
      </c>
      <c r="AE172" s="8" t="s">
        <v>847</v>
      </c>
    </row>
    <row r="173" spans="1:31" ht="30" x14ac:dyDescent="0.25">
      <c r="A173" s="6">
        <v>169</v>
      </c>
      <c r="B173" s="7">
        <v>46295</v>
      </c>
      <c r="C173" s="6" t="s">
        <v>789</v>
      </c>
      <c r="D173" s="8" t="s">
        <v>848</v>
      </c>
      <c r="E173" s="8" t="s">
        <v>849</v>
      </c>
      <c r="F173" s="6" t="s">
        <v>38</v>
      </c>
      <c r="G173" s="6" t="s">
        <v>48</v>
      </c>
      <c r="H173" s="6" t="s">
        <v>49</v>
      </c>
      <c r="I173" s="6" t="s">
        <v>50</v>
      </c>
      <c r="J173" s="9"/>
      <c r="K173" s="9">
        <v>2130000</v>
      </c>
      <c r="L173" s="9">
        <v>4259484.0999999996</v>
      </c>
      <c r="M173" s="9">
        <v>5196570.5999999996</v>
      </c>
      <c r="N173" s="10">
        <f>IF(AND(ISNUMBER(K173),ISNUMBER(L173),K173&gt;0),L173/K173-1,1)</f>
        <v>0.99975779342722992</v>
      </c>
      <c r="O173" s="10">
        <f>IF(AND(ISNUMBER(K173),ISNUMBER(L173),L173&gt;0),1-K173/L173,0.4999)</f>
        <v>0.49993944102291632</v>
      </c>
      <c r="P173" s="10" t="str">
        <f t="shared" si="7"/>
        <v/>
      </c>
      <c r="Q173" s="10">
        <v>0.15</v>
      </c>
      <c r="R173" s="10">
        <v>3.82</v>
      </c>
      <c r="S173" s="6" t="s">
        <v>42</v>
      </c>
      <c r="T173" s="8"/>
      <c r="U173" s="11"/>
      <c r="V173" s="12"/>
      <c r="W173" s="13"/>
      <c r="X173" s="13"/>
      <c r="Y173" s="12"/>
      <c r="Z173" s="14" t="str">
        <f t="shared" si="8"/>
        <v/>
      </c>
      <c r="AA173" s="13"/>
      <c r="AB173" s="15"/>
      <c r="AC173" s="6"/>
      <c r="AD173" s="6" t="s">
        <v>765</v>
      </c>
      <c r="AE173" s="8" t="s">
        <v>850</v>
      </c>
    </row>
    <row r="174" spans="1:31" ht="45" x14ac:dyDescent="0.25">
      <c r="A174" s="6">
        <v>170</v>
      </c>
      <c r="B174" s="7">
        <v>46295</v>
      </c>
      <c r="C174" s="6" t="s">
        <v>742</v>
      </c>
      <c r="D174" s="8" t="s">
        <v>743</v>
      </c>
      <c r="E174" s="8" t="s">
        <v>851</v>
      </c>
      <c r="F174" s="6" t="s">
        <v>38</v>
      </c>
      <c r="G174" s="6" t="s">
        <v>48</v>
      </c>
      <c r="H174" s="6" t="s">
        <v>224</v>
      </c>
      <c r="I174" s="6" t="s">
        <v>50</v>
      </c>
      <c r="J174" s="9"/>
      <c r="K174" s="9">
        <v>12845220</v>
      </c>
      <c r="L174" s="9">
        <v>17341047</v>
      </c>
      <c r="M174" s="9">
        <v>21156077</v>
      </c>
      <c r="N174" s="10">
        <f>IF(AND(ISNUMBER(K174),ISNUMBER(L174),K174&gt;0),L174/K174-1,0.35)</f>
        <v>0.35000000000000009</v>
      </c>
      <c r="O174" s="10">
        <f>IF(AND(ISNUMBER(K174),ISNUMBER(L174),L174&gt;0),1-K174/L174,0.2593)</f>
        <v>0.2592592592592593</v>
      </c>
      <c r="P174" s="10" t="str">
        <f t="shared" si="7"/>
        <v/>
      </c>
      <c r="Q174" s="10"/>
      <c r="R174" s="10"/>
      <c r="S174" s="6" t="s">
        <v>42</v>
      </c>
      <c r="T174" s="8" t="s">
        <v>852</v>
      </c>
      <c r="U174" s="11"/>
      <c r="V174" s="12"/>
      <c r="W174" s="13"/>
      <c r="X174" s="13"/>
      <c r="Y174" s="12"/>
      <c r="Z174" s="14" t="str">
        <f t="shared" si="8"/>
        <v/>
      </c>
      <c r="AA174" s="13"/>
      <c r="AB174" s="15"/>
      <c r="AC174" s="6" t="s">
        <v>745</v>
      </c>
      <c r="AD174" s="6" t="s">
        <v>746</v>
      </c>
      <c r="AE174" s="8" t="s">
        <v>853</v>
      </c>
    </row>
    <row r="175" spans="1:31" ht="45" x14ac:dyDescent="0.25">
      <c r="A175" s="6">
        <v>171</v>
      </c>
      <c r="B175" s="7">
        <v>46295</v>
      </c>
      <c r="C175" s="6" t="s">
        <v>45</v>
      </c>
      <c r="D175" s="8" t="s">
        <v>854</v>
      </c>
      <c r="E175" s="8" t="s">
        <v>855</v>
      </c>
      <c r="F175" s="6" t="s">
        <v>856</v>
      </c>
      <c r="G175" s="6" t="s">
        <v>39</v>
      </c>
      <c r="H175" s="6" t="s">
        <v>40</v>
      </c>
      <c r="I175" s="6" t="s">
        <v>80</v>
      </c>
      <c r="J175" s="9"/>
      <c r="K175" s="9">
        <v>43156099</v>
      </c>
      <c r="L175" s="9">
        <v>58260753.479999997</v>
      </c>
      <c r="M175" s="9">
        <v>71080000</v>
      </c>
      <c r="N175" s="10">
        <f>IF(AND(ISNUMBER(K175),ISNUMBER(L175),K175&gt;0),L175/K175-1,0.35)</f>
        <v>0.35000045949472858</v>
      </c>
      <c r="O175" s="10">
        <f>IF(AND(ISNUMBER(K175),ISNUMBER(L175),L175&gt;0),1-K175/L175,0.259)</f>
        <v>0.25925951138248127</v>
      </c>
      <c r="P175" s="10" t="str">
        <f t="shared" si="7"/>
        <v/>
      </c>
      <c r="Q175" s="10"/>
      <c r="R175" s="10"/>
      <c r="S175" s="6" t="s">
        <v>42</v>
      </c>
      <c r="T175" s="8"/>
      <c r="U175" s="11"/>
      <c r="V175" s="12"/>
      <c r="W175" s="13"/>
      <c r="X175" s="13"/>
      <c r="Y175" s="12"/>
      <c r="Z175" s="14" t="str">
        <f t="shared" si="8"/>
        <v/>
      </c>
      <c r="AA175" s="13"/>
      <c r="AB175" s="15"/>
      <c r="AC175" s="6" t="s">
        <v>857</v>
      </c>
      <c r="AD175" s="6" t="s">
        <v>858</v>
      </c>
      <c r="AE175" s="8" t="s">
        <v>859</v>
      </c>
    </row>
    <row r="176" spans="1:31" ht="45" x14ac:dyDescent="0.25">
      <c r="A176" s="6">
        <v>172</v>
      </c>
      <c r="B176" s="7">
        <v>46295</v>
      </c>
      <c r="C176" s="6" t="s">
        <v>860</v>
      </c>
      <c r="D176" s="8" t="s">
        <v>861</v>
      </c>
      <c r="E176" s="8" t="s">
        <v>862</v>
      </c>
      <c r="F176" s="6" t="s">
        <v>38</v>
      </c>
      <c r="G176" s="6" t="s">
        <v>244</v>
      </c>
      <c r="H176" s="6" t="s">
        <v>72</v>
      </c>
      <c r="I176" s="6" t="s">
        <v>50</v>
      </c>
      <c r="J176" s="9"/>
      <c r="K176" s="9">
        <v>4211840</v>
      </c>
      <c r="L176" s="9">
        <v>6317760.6799999997</v>
      </c>
      <c r="M176" s="9">
        <v>7707668.0300000003</v>
      </c>
      <c r="N176" s="10">
        <f>IF(AND(ISNUMBER(K176),ISNUMBER(L176),K176&gt;0),L176/K176-1,0.5)</f>
        <v>0.50000016144962767</v>
      </c>
      <c r="O176" s="10">
        <f>IF(AND(ISNUMBER(K176),ISNUMBER(L176),L176&gt;0),1-K176/L176,0.333)</f>
        <v>0.33333340508871567</v>
      </c>
      <c r="P176" s="10" t="str">
        <f t="shared" si="7"/>
        <v/>
      </c>
      <c r="Q176" s="10">
        <v>0.1</v>
      </c>
      <c r="R176" s="10">
        <v>0.98499999999999999</v>
      </c>
      <c r="S176" s="6" t="s">
        <v>42</v>
      </c>
      <c r="T176" s="8"/>
      <c r="U176" s="11"/>
      <c r="V176" s="12"/>
      <c r="W176" s="13"/>
      <c r="X176" s="13"/>
      <c r="Y176" s="12"/>
      <c r="Z176" s="14" t="str">
        <f t="shared" si="8"/>
        <v/>
      </c>
      <c r="AA176" s="13"/>
      <c r="AB176" s="15"/>
      <c r="AC176" s="6" t="s">
        <v>863</v>
      </c>
      <c r="AD176" s="6" t="s">
        <v>864</v>
      </c>
      <c r="AE176" s="8" t="s">
        <v>865</v>
      </c>
    </row>
    <row r="177" spans="1:31" ht="60" x14ac:dyDescent="0.25">
      <c r="A177" s="6">
        <v>173</v>
      </c>
      <c r="B177" s="7">
        <v>46297</v>
      </c>
      <c r="C177" s="6" t="s">
        <v>866</v>
      </c>
      <c r="D177" s="8" t="s">
        <v>867</v>
      </c>
      <c r="E177" s="8" t="s">
        <v>868</v>
      </c>
      <c r="F177" s="6" t="s">
        <v>869</v>
      </c>
      <c r="G177" s="6" t="s">
        <v>561</v>
      </c>
      <c r="H177" s="6" t="s">
        <v>224</v>
      </c>
      <c r="I177" s="6" t="s">
        <v>643</v>
      </c>
      <c r="J177" s="9"/>
      <c r="K177" s="9">
        <v>145730000</v>
      </c>
      <c r="L177" s="9">
        <v>181980000</v>
      </c>
      <c r="M177" s="9"/>
      <c r="N177" s="10">
        <f>IF(AND(ISNUMBER(K177),ISNUMBER(L177),K177&gt;0),L177/K177-1,0.2487)</f>
        <v>0.24874768407328629</v>
      </c>
      <c r="O177" s="10">
        <f>IF(AND(ISNUMBER(K177),ISNUMBER(L177),L177&gt;0),1-K177/L177,0.1992)</f>
        <v>0.19919771403450925</v>
      </c>
      <c r="P177" s="10" t="str">
        <f t="shared" si="7"/>
        <v/>
      </c>
      <c r="Q177" s="10">
        <v>0.19</v>
      </c>
      <c r="R177" s="10">
        <v>0.5</v>
      </c>
      <c r="S177" s="6" t="s">
        <v>114</v>
      </c>
      <c r="T177" s="8" t="s">
        <v>870</v>
      </c>
      <c r="U177" s="11"/>
      <c r="V177" s="12"/>
      <c r="W177" s="13" t="s">
        <v>318</v>
      </c>
      <c r="X177" s="13"/>
      <c r="Y177" s="12"/>
      <c r="Z177" s="14" t="str">
        <f t="shared" si="8"/>
        <v/>
      </c>
      <c r="AA177" s="13"/>
      <c r="AB177" s="15"/>
      <c r="AC177" s="6" t="s">
        <v>871</v>
      </c>
      <c r="AD177" s="6" t="s">
        <v>872</v>
      </c>
      <c r="AE177" s="8" t="s">
        <v>873</v>
      </c>
    </row>
    <row r="178" spans="1:31" ht="60" x14ac:dyDescent="0.25">
      <c r="A178" s="6">
        <v>174</v>
      </c>
      <c r="B178" s="7">
        <v>46297</v>
      </c>
      <c r="C178" s="6" t="s">
        <v>610</v>
      </c>
      <c r="D178" s="8" t="s">
        <v>874</v>
      </c>
      <c r="E178" s="8" t="s">
        <v>875</v>
      </c>
      <c r="F178" s="6" t="s">
        <v>183</v>
      </c>
      <c r="G178" s="6" t="s">
        <v>39</v>
      </c>
      <c r="H178" s="6" t="s">
        <v>40</v>
      </c>
      <c r="I178" s="6" t="s">
        <v>41</v>
      </c>
      <c r="J178" s="9"/>
      <c r="K178" s="9">
        <v>1508687</v>
      </c>
      <c r="L178" s="9">
        <v>744406.05</v>
      </c>
      <c r="M178" s="9"/>
      <c r="N178" s="10">
        <f>IF(AND(ISNUMBER(K178),ISNUMBER(L178),K178&gt;0),L178/K178-1,"")</f>
        <v>-0.50658682019530887</v>
      </c>
      <c r="O178" s="10">
        <f>IF(AND(ISNUMBER(K178),ISNUMBER(L178),L178&gt;0),1-K178/L178,"")</f>
        <v>-1.0266990038568333</v>
      </c>
      <c r="P178" s="10" t="str">
        <f t="shared" si="7"/>
        <v/>
      </c>
      <c r="Q178" s="10"/>
      <c r="R178" s="10"/>
      <c r="S178" s="6" t="s">
        <v>114</v>
      </c>
      <c r="T178" s="8" t="s">
        <v>876</v>
      </c>
      <c r="U178" s="11"/>
      <c r="V178" s="12"/>
      <c r="W178" s="13" t="s">
        <v>318</v>
      </c>
      <c r="X178" s="13"/>
      <c r="Y178" s="12"/>
      <c r="Z178" s="14" t="str">
        <f t="shared" si="8"/>
        <v/>
      </c>
      <c r="AA178" s="13"/>
      <c r="AB178" s="15"/>
      <c r="AC178" s="6" t="s">
        <v>877</v>
      </c>
      <c r="AD178" s="6" t="s">
        <v>688</v>
      </c>
      <c r="AE178" s="8" t="s">
        <v>878</v>
      </c>
    </row>
    <row r="179" spans="1:31" ht="30" x14ac:dyDescent="0.25">
      <c r="A179" s="6">
        <v>175</v>
      </c>
      <c r="B179" s="7">
        <v>46301</v>
      </c>
      <c r="C179" s="6"/>
      <c r="D179" s="8" t="s">
        <v>879</v>
      </c>
      <c r="E179" s="8" t="s">
        <v>880</v>
      </c>
      <c r="F179" s="6" t="s">
        <v>38</v>
      </c>
      <c r="G179" s="6" t="s">
        <v>39</v>
      </c>
      <c r="H179" s="6" t="s">
        <v>40</v>
      </c>
      <c r="I179" s="6" t="s">
        <v>80</v>
      </c>
      <c r="J179" s="9"/>
      <c r="K179" s="9">
        <v>17880000</v>
      </c>
      <c r="L179" s="9">
        <v>25098876.960000001</v>
      </c>
      <c r="M179" s="9"/>
      <c r="N179" s="10">
        <f>IF(AND(ISNUMBER(K179),ISNUMBER(L179),K179&gt;0),L179/K179-1,0.4)</f>
        <v>0.40374032214765099</v>
      </c>
      <c r="O179" s="10">
        <f>IF(AND(ISNUMBER(K179),ISNUMBER(L179),L179&gt;0),1-K179/L179,0.2876)</f>
        <v>0.28761752852546751</v>
      </c>
      <c r="P179" s="10" t="str">
        <f t="shared" si="7"/>
        <v/>
      </c>
      <c r="Q179" s="10"/>
      <c r="R179" s="10"/>
      <c r="S179" s="6" t="s">
        <v>42</v>
      </c>
      <c r="T179" s="8"/>
      <c r="U179" s="11"/>
      <c r="V179" s="12"/>
      <c r="W179" s="13"/>
      <c r="X179" s="13"/>
      <c r="Y179" s="12"/>
      <c r="Z179" s="14" t="str">
        <f t="shared" si="8"/>
        <v/>
      </c>
      <c r="AA179" s="13"/>
      <c r="AB179" s="15"/>
      <c r="AC179" s="6"/>
      <c r="AD179" s="6" t="s">
        <v>881</v>
      </c>
      <c r="AE179" s="8" t="s">
        <v>882</v>
      </c>
    </row>
    <row r="180" spans="1:31" x14ac:dyDescent="0.25">
      <c r="A180" s="6">
        <v>176</v>
      </c>
      <c r="B180" s="7">
        <v>46301</v>
      </c>
      <c r="C180" s="6" t="s">
        <v>883</v>
      </c>
      <c r="D180" s="8" t="s">
        <v>884</v>
      </c>
      <c r="E180" s="8" t="s">
        <v>885</v>
      </c>
      <c r="F180" s="6" t="s">
        <v>38</v>
      </c>
      <c r="G180" s="6" t="s">
        <v>48</v>
      </c>
      <c r="H180" s="6" t="s">
        <v>49</v>
      </c>
      <c r="I180" s="6" t="s">
        <v>50</v>
      </c>
      <c r="J180" s="9"/>
      <c r="K180" s="9">
        <v>29950000</v>
      </c>
      <c r="L180" s="9">
        <v>41924475.799999997</v>
      </c>
      <c r="M180" s="9"/>
      <c r="N180" s="10">
        <f>IF(AND(ISNUMBER(K180),ISNUMBER(L180),K180&gt;0),L180/K180-1,0.4)</f>
        <v>0.39981555258764589</v>
      </c>
      <c r="O180" s="10">
        <f>IF(AND(ISNUMBER(K180),ISNUMBER(L180),L180&gt;0),1-K180/L180,0.2856)</f>
        <v>0.28562016749175423</v>
      </c>
      <c r="P180" s="10" t="str">
        <f t="shared" si="7"/>
        <v/>
      </c>
      <c r="Q180" s="10"/>
      <c r="R180" s="10"/>
      <c r="S180" s="6" t="s">
        <v>42</v>
      </c>
      <c r="T180" s="8"/>
      <c r="U180" s="11"/>
      <c r="V180" s="12"/>
      <c r="W180" s="13"/>
      <c r="X180" s="13"/>
      <c r="Y180" s="12"/>
      <c r="Z180" s="14" t="str">
        <f t="shared" si="8"/>
        <v/>
      </c>
      <c r="AA180" s="13"/>
      <c r="AB180" s="15"/>
      <c r="AC180" s="6"/>
      <c r="AD180" s="6" t="s">
        <v>886</v>
      </c>
      <c r="AE180" s="8" t="s">
        <v>887</v>
      </c>
    </row>
    <row r="181" spans="1:31" x14ac:dyDescent="0.25">
      <c r="A181" s="6">
        <v>177</v>
      </c>
      <c r="B181" s="7">
        <v>46301</v>
      </c>
      <c r="C181" s="6" t="s">
        <v>883</v>
      </c>
      <c r="D181" s="8" t="s">
        <v>888</v>
      </c>
      <c r="E181" s="8" t="s">
        <v>889</v>
      </c>
      <c r="F181" s="6"/>
      <c r="G181" s="6" t="s">
        <v>48</v>
      </c>
      <c r="H181" s="6" t="s">
        <v>161</v>
      </c>
      <c r="I181" s="6" t="s">
        <v>50</v>
      </c>
      <c r="J181" s="9">
        <v>19690000</v>
      </c>
      <c r="K181" s="9">
        <v>17360000</v>
      </c>
      <c r="L181" s="9"/>
      <c r="M181" s="9"/>
      <c r="N181" s="10" t="str">
        <f>IF(AND(ISNUMBER(K181),ISNUMBER(L181),K181&gt;0),L181/K181-1,"")</f>
        <v/>
      </c>
      <c r="O181" s="10" t="str">
        <f>IF(AND(ISNUMBER(K181),ISNUMBER(L181),L181&gt;0),1-K181/L181,"")</f>
        <v/>
      </c>
      <c r="P181" s="10" t="str">
        <f t="shared" si="7"/>
        <v/>
      </c>
      <c r="Q181" s="10"/>
      <c r="R181" s="10"/>
      <c r="S181" s="6" t="s">
        <v>42</v>
      </c>
      <c r="T181" s="8"/>
      <c r="U181" s="11"/>
      <c r="V181" s="12"/>
      <c r="W181" s="13"/>
      <c r="X181" s="13"/>
      <c r="Y181" s="12"/>
      <c r="Z181" s="14" t="str">
        <f t="shared" si="8"/>
        <v/>
      </c>
      <c r="AA181" s="13"/>
      <c r="AB181" s="15"/>
      <c r="AC181" s="6"/>
      <c r="AD181" s="6" t="s">
        <v>886</v>
      </c>
      <c r="AE181" s="8" t="s">
        <v>890</v>
      </c>
    </row>
    <row r="182" spans="1:31" x14ac:dyDescent="0.25">
      <c r="A182" s="6">
        <v>178</v>
      </c>
      <c r="B182" s="7">
        <v>46301</v>
      </c>
      <c r="C182" s="6" t="s">
        <v>843</v>
      </c>
      <c r="D182" s="8" t="s">
        <v>891</v>
      </c>
      <c r="E182" s="8" t="s">
        <v>892</v>
      </c>
      <c r="F182" s="6" t="s">
        <v>38</v>
      </c>
      <c r="G182" s="6" t="s">
        <v>48</v>
      </c>
      <c r="H182" s="6" t="s">
        <v>49</v>
      </c>
      <c r="I182" s="6" t="s">
        <v>50</v>
      </c>
      <c r="J182" s="9"/>
      <c r="K182" s="9">
        <v>5330000</v>
      </c>
      <c r="L182" s="9">
        <v>7465311.3600000003</v>
      </c>
      <c r="M182" s="9"/>
      <c r="N182" s="10">
        <f>IF(AND(ISNUMBER(K182),ISNUMBER(L182),K182&gt;0),L182/K182-1,0.4)</f>
        <v>0.40062126829268307</v>
      </c>
      <c r="O182" s="10">
        <f>IF(AND(ISNUMBER(K182),ISNUMBER(L182),L182&gt;0),1-K182/L182,0.286)</f>
        <v>0.28603111873420917</v>
      </c>
      <c r="P182" s="10" t="str">
        <f t="shared" si="7"/>
        <v/>
      </c>
      <c r="Q182" s="10"/>
      <c r="R182" s="10"/>
      <c r="S182" s="6" t="s">
        <v>42</v>
      </c>
      <c r="T182" s="8"/>
      <c r="U182" s="11"/>
      <c r="V182" s="12"/>
      <c r="W182" s="13"/>
      <c r="X182" s="13"/>
      <c r="Y182" s="12"/>
      <c r="Z182" s="14" t="str">
        <f t="shared" si="8"/>
        <v/>
      </c>
      <c r="AA182" s="13"/>
      <c r="AB182" s="15"/>
      <c r="AC182" s="6"/>
      <c r="AD182" s="6" t="s">
        <v>893</v>
      </c>
      <c r="AE182" s="8" t="s">
        <v>894</v>
      </c>
    </row>
    <row r="183" spans="1:31" x14ac:dyDescent="0.25">
      <c r="A183" s="6">
        <v>179</v>
      </c>
      <c r="B183" s="7">
        <v>46301</v>
      </c>
      <c r="C183" s="6" t="s">
        <v>895</v>
      </c>
      <c r="D183" s="8" t="s">
        <v>896</v>
      </c>
      <c r="E183" s="8" t="s">
        <v>897</v>
      </c>
      <c r="F183" s="6" t="s">
        <v>98</v>
      </c>
      <c r="G183" s="6" t="s">
        <v>48</v>
      </c>
      <c r="H183" s="6" t="s">
        <v>49</v>
      </c>
      <c r="I183" s="6" t="s">
        <v>50</v>
      </c>
      <c r="J183" s="9"/>
      <c r="K183" s="9">
        <v>1140000</v>
      </c>
      <c r="L183" s="9">
        <v>1596644.92</v>
      </c>
      <c r="M183" s="9"/>
      <c r="N183" s="10">
        <f>IF(AND(ISNUMBER(K183),ISNUMBER(L183),K183&gt;0),L183/K183-1,0.4)</f>
        <v>0.40056571929824547</v>
      </c>
      <c r="O183" s="10">
        <f>IF(AND(ISNUMBER(K183),ISNUMBER(L183),L183&gt;0),1-K183/L183,0.286)</f>
        <v>0.28600280142437673</v>
      </c>
      <c r="P183" s="10" t="str">
        <f t="shared" si="7"/>
        <v/>
      </c>
      <c r="Q183" s="10"/>
      <c r="R183" s="10"/>
      <c r="S183" s="6" t="s">
        <v>42</v>
      </c>
      <c r="T183" s="8"/>
      <c r="U183" s="11"/>
      <c r="V183" s="12"/>
      <c r="W183" s="13"/>
      <c r="X183" s="13"/>
      <c r="Y183" s="12"/>
      <c r="Z183" s="14" t="str">
        <f t="shared" si="8"/>
        <v/>
      </c>
      <c r="AA183" s="13"/>
      <c r="AB183" s="15"/>
      <c r="AC183" s="6"/>
      <c r="AD183" s="6" t="s">
        <v>886</v>
      </c>
      <c r="AE183" s="8" t="s">
        <v>898</v>
      </c>
    </row>
    <row r="184" spans="1:31" ht="30" x14ac:dyDescent="0.25">
      <c r="A184" s="6">
        <v>180</v>
      </c>
      <c r="B184" s="7">
        <v>46301</v>
      </c>
      <c r="C184" s="6" t="s">
        <v>789</v>
      </c>
      <c r="D184" s="8" t="s">
        <v>899</v>
      </c>
      <c r="E184" s="8" t="s">
        <v>900</v>
      </c>
      <c r="F184" s="6" t="s">
        <v>38</v>
      </c>
      <c r="G184" s="6" t="s">
        <v>48</v>
      </c>
      <c r="H184" s="6" t="s">
        <v>49</v>
      </c>
      <c r="I184" s="6" t="s">
        <v>50</v>
      </c>
      <c r="J184" s="9"/>
      <c r="K184" s="9">
        <v>2610000</v>
      </c>
      <c r="L184" s="9">
        <v>3654294</v>
      </c>
      <c r="M184" s="9">
        <v>4458238.68</v>
      </c>
      <c r="N184" s="10">
        <f>IF(AND(ISNUMBER(K184),ISNUMBER(L184),K184&gt;0),L184/K184-1,0.4)</f>
        <v>0.40011264367816102</v>
      </c>
      <c r="O184" s="10">
        <f>IF(AND(ISNUMBER(K184),ISNUMBER(L184),L184&gt;0),1-K184/L184,0.2858)</f>
        <v>0.28577175235490082</v>
      </c>
      <c r="P184" s="10" t="str">
        <f t="shared" si="7"/>
        <v/>
      </c>
      <c r="Q184" s="10"/>
      <c r="R184" s="10"/>
      <c r="S184" s="6" t="s">
        <v>42</v>
      </c>
      <c r="T184" s="8"/>
      <c r="U184" s="11"/>
      <c r="V184" s="12"/>
      <c r="W184" s="13"/>
      <c r="X184" s="13"/>
      <c r="Y184" s="12"/>
      <c r="Z184" s="14" t="str">
        <f t="shared" si="8"/>
        <v/>
      </c>
      <c r="AA184" s="13"/>
      <c r="AB184" s="15"/>
      <c r="AC184" s="6" t="s">
        <v>901</v>
      </c>
      <c r="AD184" s="6" t="s">
        <v>881</v>
      </c>
      <c r="AE184" s="8" t="s">
        <v>902</v>
      </c>
    </row>
    <row r="185" spans="1:31" ht="30" x14ac:dyDescent="0.25">
      <c r="A185" s="6">
        <v>181</v>
      </c>
      <c r="B185" s="7">
        <v>46301</v>
      </c>
      <c r="C185" s="6" t="s">
        <v>789</v>
      </c>
      <c r="D185" s="8" t="s">
        <v>903</v>
      </c>
      <c r="E185" s="8" t="s">
        <v>904</v>
      </c>
      <c r="F185" s="6" t="s">
        <v>38</v>
      </c>
      <c r="G185" s="6" t="s">
        <v>48</v>
      </c>
      <c r="H185" s="6" t="s">
        <v>49</v>
      </c>
      <c r="I185" s="6" t="s">
        <v>50</v>
      </c>
      <c r="J185" s="9"/>
      <c r="K185" s="9">
        <v>3430000</v>
      </c>
      <c r="L185" s="9">
        <v>4800449.9000000004</v>
      </c>
      <c r="M185" s="9"/>
      <c r="N185" s="10">
        <f>IF(AND(ISNUMBER(K185),ISNUMBER(L185),K185&gt;0),L185/K185-1,0.4)</f>
        <v>0.39954807580174934</v>
      </c>
      <c r="O185" s="10">
        <f>IF(AND(ISNUMBER(K185),ISNUMBER(L185),L185&gt;0),1-K185/L185,0.2855)</f>
        <v>0.28548363768987572</v>
      </c>
      <c r="P185" s="10" t="str">
        <f t="shared" si="7"/>
        <v/>
      </c>
      <c r="Q185" s="10"/>
      <c r="R185" s="10"/>
      <c r="S185" s="6" t="s">
        <v>42</v>
      </c>
      <c r="T185" s="8"/>
      <c r="U185" s="11"/>
      <c r="V185" s="12"/>
      <c r="W185" s="13"/>
      <c r="X185" s="13"/>
      <c r="Y185" s="12"/>
      <c r="Z185" s="14" t="str">
        <f t="shared" si="8"/>
        <v/>
      </c>
      <c r="AA185" s="13"/>
      <c r="AB185" s="15"/>
      <c r="AC185" s="6"/>
      <c r="AD185" s="6" t="s">
        <v>893</v>
      </c>
      <c r="AE185" s="8" t="s">
        <v>905</v>
      </c>
    </row>
    <row r="186" spans="1:31" x14ac:dyDescent="0.25">
      <c r="A186" s="6">
        <v>182</v>
      </c>
      <c r="B186" s="7">
        <v>46301</v>
      </c>
      <c r="C186" s="6" t="s">
        <v>906</v>
      </c>
      <c r="D186" s="8"/>
      <c r="E186" s="8" t="s">
        <v>907</v>
      </c>
      <c r="F186" s="6"/>
      <c r="G186" s="6" t="s">
        <v>39</v>
      </c>
      <c r="H186" s="6" t="s">
        <v>161</v>
      </c>
      <c r="I186" s="6" t="s">
        <v>643</v>
      </c>
      <c r="J186" s="9">
        <v>2460000</v>
      </c>
      <c r="K186" s="9">
        <v>3440000</v>
      </c>
      <c r="L186" s="9"/>
      <c r="M186" s="9"/>
      <c r="N186" s="10" t="str">
        <f>IF(AND(ISNUMBER(K186),ISNUMBER(L186),K186&gt;0),L186/K186-1,"")</f>
        <v/>
      </c>
      <c r="O186" s="10" t="str">
        <f>IF(AND(ISNUMBER(K186),ISNUMBER(L186),L186&gt;0),1-K186/L186,"")</f>
        <v/>
      </c>
      <c r="P186" s="10" t="str">
        <f t="shared" si="7"/>
        <v/>
      </c>
      <c r="Q186" s="10"/>
      <c r="R186" s="10"/>
      <c r="S186" s="6" t="s">
        <v>193</v>
      </c>
      <c r="T186" s="8"/>
      <c r="U186" s="11"/>
      <c r="V186" s="12"/>
      <c r="W186" s="13" t="s">
        <v>194</v>
      </c>
      <c r="X186" s="13"/>
      <c r="Y186" s="12"/>
      <c r="Z186" s="14" t="str">
        <f t="shared" si="8"/>
        <v/>
      </c>
      <c r="AA186" s="13"/>
      <c r="AB186" s="15"/>
      <c r="AC186" s="6"/>
      <c r="AD186" s="6" t="s">
        <v>893</v>
      </c>
      <c r="AE186" s="8" t="s">
        <v>908</v>
      </c>
    </row>
    <row r="187" spans="1:31" x14ac:dyDescent="0.25">
      <c r="A187" s="6">
        <v>183</v>
      </c>
      <c r="B187" s="7">
        <v>46301</v>
      </c>
      <c r="C187" s="6" t="s">
        <v>909</v>
      </c>
      <c r="D187" s="8" t="s">
        <v>910</v>
      </c>
      <c r="E187" s="8" t="s">
        <v>911</v>
      </c>
      <c r="F187" s="6" t="s">
        <v>38</v>
      </c>
      <c r="G187" s="6" t="s">
        <v>39</v>
      </c>
      <c r="H187" s="6" t="s">
        <v>161</v>
      </c>
      <c r="I187" s="6" t="s">
        <v>643</v>
      </c>
      <c r="J187" s="9">
        <v>2970000</v>
      </c>
      <c r="K187" s="9">
        <v>9970000</v>
      </c>
      <c r="L187" s="9"/>
      <c r="M187" s="9"/>
      <c r="N187" s="10" t="str">
        <f>IF(AND(ISNUMBER(K187),ISNUMBER(L187),K187&gt;0),L187/K187-1,"")</f>
        <v/>
      </c>
      <c r="O187" s="10" t="str">
        <f>IF(AND(ISNUMBER(K187),ISNUMBER(L187),L187&gt;0),1-K187/L187,"")</f>
        <v/>
      </c>
      <c r="P187" s="10" t="str">
        <f t="shared" si="7"/>
        <v/>
      </c>
      <c r="Q187" s="10"/>
      <c r="R187" s="10"/>
      <c r="S187" s="6" t="s">
        <v>193</v>
      </c>
      <c r="T187" s="8"/>
      <c r="U187" s="11"/>
      <c r="V187" s="12"/>
      <c r="W187" s="13" t="s">
        <v>194</v>
      </c>
      <c r="X187" s="13"/>
      <c r="Y187" s="12"/>
      <c r="Z187" s="14" t="str">
        <f t="shared" si="8"/>
        <v/>
      </c>
      <c r="AA187" s="13"/>
      <c r="AB187" s="15"/>
      <c r="AC187" s="6"/>
      <c r="AD187" s="6" t="s">
        <v>886</v>
      </c>
      <c r="AE187" s="8" t="s">
        <v>912</v>
      </c>
    </row>
    <row r="188" spans="1:31" ht="30" x14ac:dyDescent="0.25">
      <c r="A188" s="6">
        <v>184</v>
      </c>
      <c r="B188" s="7">
        <v>46301</v>
      </c>
      <c r="C188" s="6" t="s">
        <v>913</v>
      </c>
      <c r="D188" s="8" t="s">
        <v>914</v>
      </c>
      <c r="E188" s="8" t="s">
        <v>915</v>
      </c>
      <c r="F188" s="6" t="s">
        <v>38</v>
      </c>
      <c r="G188" s="6" t="s">
        <v>48</v>
      </c>
      <c r="H188" s="6" t="s">
        <v>161</v>
      </c>
      <c r="I188" s="6" t="s">
        <v>50</v>
      </c>
      <c r="J188" s="9">
        <v>2100000</v>
      </c>
      <c r="K188" s="9">
        <v>1640000</v>
      </c>
      <c r="L188" s="9"/>
      <c r="M188" s="9"/>
      <c r="N188" s="10" t="str">
        <f>IF(AND(ISNUMBER(K188),ISNUMBER(L188),K188&gt;0),L188/K188-1,"")</f>
        <v/>
      </c>
      <c r="O188" s="10" t="str">
        <f>IF(AND(ISNUMBER(K188),ISNUMBER(L188),L188&gt;0),1-K188/L188,"")</f>
        <v/>
      </c>
      <c r="P188" s="10" t="str">
        <f t="shared" si="7"/>
        <v/>
      </c>
      <c r="Q188" s="10"/>
      <c r="R188" s="10"/>
      <c r="S188" s="6" t="s">
        <v>42</v>
      </c>
      <c r="T188" s="8"/>
      <c r="U188" s="11"/>
      <c r="V188" s="12"/>
      <c r="W188" s="13"/>
      <c r="X188" s="13"/>
      <c r="Y188" s="12"/>
      <c r="Z188" s="14" t="str">
        <f t="shared" si="8"/>
        <v/>
      </c>
      <c r="AA188" s="13"/>
      <c r="AB188" s="15"/>
      <c r="AC188" s="6"/>
      <c r="AD188" s="6" t="s">
        <v>893</v>
      </c>
      <c r="AE188" s="8" t="s">
        <v>916</v>
      </c>
    </row>
    <row r="189" spans="1:31" x14ac:dyDescent="0.25">
      <c r="A189" s="6">
        <v>185</v>
      </c>
      <c r="B189" s="7">
        <v>46301</v>
      </c>
      <c r="C189" s="6" t="s">
        <v>917</v>
      </c>
      <c r="D189" s="8" t="s">
        <v>918</v>
      </c>
      <c r="E189" s="8" t="s">
        <v>919</v>
      </c>
      <c r="F189" s="6" t="s">
        <v>38</v>
      </c>
      <c r="G189" s="6" t="s">
        <v>48</v>
      </c>
      <c r="H189" s="6" t="s">
        <v>49</v>
      </c>
      <c r="I189" s="6" t="s">
        <v>50</v>
      </c>
      <c r="J189" s="9"/>
      <c r="K189" s="9">
        <v>16630000</v>
      </c>
      <c r="L189" s="9">
        <v>23285722.32</v>
      </c>
      <c r="M189" s="9"/>
      <c r="N189" s="10">
        <f>IF(AND(ISNUMBER(K189),ISNUMBER(L189),K189&gt;0),L189/K189-1,0.4)</f>
        <v>0.40022383162958519</v>
      </c>
      <c r="O189" s="10">
        <f>IF(AND(ISNUMBER(K189),ISNUMBER(L189),L189&gt;0),1-K189/L189,0.2858)</f>
        <v>0.28582846726998157</v>
      </c>
      <c r="P189" s="10" t="str">
        <f t="shared" si="7"/>
        <v/>
      </c>
      <c r="Q189" s="10"/>
      <c r="R189" s="10"/>
      <c r="S189" s="6" t="s">
        <v>42</v>
      </c>
      <c r="T189" s="8"/>
      <c r="U189" s="11"/>
      <c r="V189" s="12"/>
      <c r="W189" s="13"/>
      <c r="X189" s="13"/>
      <c r="Y189" s="12"/>
      <c r="Z189" s="14" t="str">
        <f t="shared" si="8"/>
        <v/>
      </c>
      <c r="AA189" s="13"/>
      <c r="AB189" s="15"/>
      <c r="AC189" s="6"/>
      <c r="AD189" s="6" t="s">
        <v>893</v>
      </c>
      <c r="AE189" s="8" t="s">
        <v>920</v>
      </c>
    </row>
    <row r="190" spans="1:31" x14ac:dyDescent="0.25">
      <c r="A190" s="6">
        <v>186</v>
      </c>
      <c r="B190" s="7">
        <v>46301</v>
      </c>
      <c r="C190" s="6" t="s">
        <v>917</v>
      </c>
      <c r="D190" s="8" t="s">
        <v>918</v>
      </c>
      <c r="E190" s="8" t="s">
        <v>921</v>
      </c>
      <c r="F190" s="6" t="s">
        <v>38</v>
      </c>
      <c r="G190" s="6" t="s">
        <v>48</v>
      </c>
      <c r="H190" s="6" t="s">
        <v>49</v>
      </c>
      <c r="I190" s="6" t="s">
        <v>50</v>
      </c>
      <c r="J190" s="9"/>
      <c r="K190" s="9">
        <v>9100000</v>
      </c>
      <c r="L190" s="9">
        <v>12734080</v>
      </c>
      <c r="M190" s="9"/>
      <c r="N190" s="10">
        <f>IF(AND(ISNUMBER(K190),ISNUMBER(L190),K190&gt;0),L190/K190-1,0.4)</f>
        <v>0.39934945054945059</v>
      </c>
      <c r="O190" s="10">
        <f>IF(AND(ISNUMBER(K190),ISNUMBER(L190),L190&gt;0),1-K190/L190,0.2854)</f>
        <v>0.2853822184248882</v>
      </c>
      <c r="P190" s="10" t="str">
        <f t="shared" si="7"/>
        <v/>
      </c>
      <c r="Q190" s="10"/>
      <c r="R190" s="10"/>
      <c r="S190" s="6" t="s">
        <v>42</v>
      </c>
      <c r="T190" s="8"/>
      <c r="U190" s="11"/>
      <c r="V190" s="12"/>
      <c r="W190" s="13"/>
      <c r="X190" s="13"/>
      <c r="Y190" s="12"/>
      <c r="Z190" s="14" t="str">
        <f t="shared" si="8"/>
        <v/>
      </c>
      <c r="AA190" s="13"/>
      <c r="AB190" s="15"/>
      <c r="AC190" s="6"/>
      <c r="AD190" s="6" t="s">
        <v>893</v>
      </c>
      <c r="AE190" s="8"/>
    </row>
    <row r="191" spans="1:31" x14ac:dyDescent="0.25">
      <c r="A191" s="6">
        <v>187</v>
      </c>
      <c r="B191" s="7">
        <v>46301</v>
      </c>
      <c r="C191" s="6" t="s">
        <v>922</v>
      </c>
      <c r="D191" s="8"/>
      <c r="E191" s="8" t="s">
        <v>923</v>
      </c>
      <c r="F191" s="6" t="s">
        <v>55</v>
      </c>
      <c r="G191" s="6" t="s">
        <v>48</v>
      </c>
      <c r="H191" s="6" t="s">
        <v>161</v>
      </c>
      <c r="I191" s="6" t="s">
        <v>50</v>
      </c>
      <c r="J191" s="9">
        <v>10910000</v>
      </c>
      <c r="K191" s="9">
        <v>10310000</v>
      </c>
      <c r="L191" s="9"/>
      <c r="M191" s="9"/>
      <c r="N191" s="10" t="str">
        <f>IF(AND(ISNUMBER(K191),ISNUMBER(L191),K191&gt;0),L191/K191-1,"")</f>
        <v/>
      </c>
      <c r="O191" s="10" t="str">
        <f>IF(AND(ISNUMBER(K191),ISNUMBER(L191),L191&gt;0),1-K191/L191,"")</f>
        <v/>
      </c>
      <c r="P191" s="10" t="str">
        <f t="shared" si="7"/>
        <v/>
      </c>
      <c r="Q191" s="10"/>
      <c r="R191" s="10"/>
      <c r="S191" s="6" t="s">
        <v>42</v>
      </c>
      <c r="T191" s="8"/>
      <c r="U191" s="11"/>
      <c r="V191" s="12"/>
      <c r="W191" s="13"/>
      <c r="X191" s="13"/>
      <c r="Y191" s="12"/>
      <c r="Z191" s="14" t="str">
        <f t="shared" si="8"/>
        <v/>
      </c>
      <c r="AA191" s="13"/>
      <c r="AB191" s="15"/>
      <c r="AC191" s="6"/>
      <c r="AD191" s="6" t="s">
        <v>893</v>
      </c>
      <c r="AE191" s="8" t="s">
        <v>924</v>
      </c>
    </row>
    <row r="192" spans="1:31" x14ac:dyDescent="0.25">
      <c r="A192" s="6">
        <v>188</v>
      </c>
      <c r="B192" s="7">
        <v>46301</v>
      </c>
      <c r="C192" s="6" t="s">
        <v>925</v>
      </c>
      <c r="D192" s="8" t="s">
        <v>926</v>
      </c>
      <c r="E192" s="8" t="s">
        <v>927</v>
      </c>
      <c r="F192" s="6" t="s">
        <v>38</v>
      </c>
      <c r="G192" s="6" t="s">
        <v>39</v>
      </c>
      <c r="H192" s="6" t="s">
        <v>161</v>
      </c>
      <c r="I192" s="6" t="s">
        <v>80</v>
      </c>
      <c r="J192" s="9">
        <v>8160000</v>
      </c>
      <c r="K192" s="9">
        <v>18550000</v>
      </c>
      <c r="L192" s="9"/>
      <c r="M192" s="9"/>
      <c r="N192" s="10" t="str">
        <f>IF(AND(ISNUMBER(K192),ISNUMBER(L192),K192&gt;0),L192/K192-1,"")</f>
        <v/>
      </c>
      <c r="O192" s="10" t="str">
        <f>IF(AND(ISNUMBER(K192),ISNUMBER(L192),L192&gt;0),1-K192/L192,"")</f>
        <v/>
      </c>
      <c r="P192" s="10" t="str">
        <f t="shared" si="7"/>
        <v/>
      </c>
      <c r="Q192" s="10"/>
      <c r="R192" s="10"/>
      <c r="S192" s="6" t="s">
        <v>193</v>
      </c>
      <c r="T192" s="8"/>
      <c r="U192" s="11"/>
      <c r="V192" s="12"/>
      <c r="W192" s="13" t="s">
        <v>194</v>
      </c>
      <c r="X192" s="13"/>
      <c r="Y192" s="12"/>
      <c r="Z192" s="14" t="str">
        <f t="shared" si="8"/>
        <v/>
      </c>
      <c r="AA192" s="13"/>
      <c r="AB192" s="15"/>
      <c r="AC192" s="6"/>
      <c r="AD192" s="6" t="s">
        <v>893</v>
      </c>
      <c r="AE192" s="8" t="s">
        <v>928</v>
      </c>
    </row>
    <row r="193" spans="1:31" x14ac:dyDescent="0.25">
      <c r="A193" s="6">
        <v>189</v>
      </c>
      <c r="B193" s="7">
        <v>46301</v>
      </c>
      <c r="C193" s="6" t="s">
        <v>929</v>
      </c>
      <c r="D193" s="8" t="s">
        <v>930</v>
      </c>
      <c r="E193" s="8" t="s">
        <v>931</v>
      </c>
      <c r="F193" s="6" t="s">
        <v>211</v>
      </c>
      <c r="G193" s="6" t="s">
        <v>48</v>
      </c>
      <c r="H193" s="6" t="s">
        <v>161</v>
      </c>
      <c r="I193" s="6" t="s">
        <v>50</v>
      </c>
      <c r="J193" s="9">
        <v>484852</v>
      </c>
      <c r="K193" s="9">
        <v>911623</v>
      </c>
      <c r="L193" s="9"/>
      <c r="M193" s="9"/>
      <c r="N193" s="10" t="str">
        <f>IF(AND(ISNUMBER(K193),ISNUMBER(L193),K193&gt;0),L193/K193-1,"")</f>
        <v/>
      </c>
      <c r="O193" s="10" t="str">
        <f>IF(AND(ISNUMBER(K193),ISNUMBER(L193),L193&gt;0),1-K193/L193,"")</f>
        <v/>
      </c>
      <c r="P193" s="10" t="str">
        <f t="shared" si="7"/>
        <v/>
      </c>
      <c r="Q193" s="10"/>
      <c r="R193" s="10"/>
      <c r="S193" s="6" t="s">
        <v>193</v>
      </c>
      <c r="T193" s="8"/>
      <c r="U193" s="11"/>
      <c r="V193" s="12"/>
      <c r="W193" s="13" t="s">
        <v>194</v>
      </c>
      <c r="X193" s="13"/>
      <c r="Y193" s="12"/>
      <c r="Z193" s="14" t="str">
        <f t="shared" si="8"/>
        <v/>
      </c>
      <c r="AA193" s="13"/>
      <c r="AB193" s="15"/>
      <c r="AC193" s="6"/>
      <c r="AD193" s="6" t="s">
        <v>881</v>
      </c>
      <c r="AE193" s="8" t="s">
        <v>932</v>
      </c>
    </row>
    <row r="194" spans="1:31" x14ac:dyDescent="0.25">
      <c r="A194" s="6">
        <v>190</v>
      </c>
      <c r="B194" s="7">
        <v>46301</v>
      </c>
      <c r="C194" s="6" t="s">
        <v>933</v>
      </c>
      <c r="D194" s="8" t="s">
        <v>933</v>
      </c>
      <c r="E194" s="8" t="s">
        <v>934</v>
      </c>
      <c r="F194" s="6" t="s">
        <v>38</v>
      </c>
      <c r="G194" s="6" t="s">
        <v>39</v>
      </c>
      <c r="H194" s="6" t="s">
        <v>40</v>
      </c>
      <c r="I194" s="6" t="s">
        <v>80</v>
      </c>
      <c r="J194" s="9"/>
      <c r="K194" s="9">
        <v>5210000</v>
      </c>
      <c r="L194" s="9">
        <v>7294819.5599999996</v>
      </c>
      <c r="M194" s="9"/>
      <c r="N194" s="10">
        <f>IF(AND(ISNUMBER(K194),ISNUMBER(L194),K194&gt;0),L194/K194-1,0.4)</f>
        <v>0.40015730518234149</v>
      </c>
      <c r="O194" s="10">
        <f>IF(AND(ISNUMBER(K194),ISNUMBER(L194),L194&gt;0),1-K194/L194,0.2858)</f>
        <v>0.2857945344435634</v>
      </c>
      <c r="P194" s="10" t="str">
        <f t="shared" si="7"/>
        <v/>
      </c>
      <c r="Q194" s="10"/>
      <c r="R194" s="10"/>
      <c r="S194" s="6" t="s">
        <v>42</v>
      </c>
      <c r="T194" s="8"/>
      <c r="U194" s="11"/>
      <c r="V194" s="12"/>
      <c r="W194" s="13"/>
      <c r="X194" s="13"/>
      <c r="Y194" s="12"/>
      <c r="Z194" s="14" t="str">
        <f t="shared" si="8"/>
        <v/>
      </c>
      <c r="AA194" s="13"/>
      <c r="AB194" s="15"/>
      <c r="AC194" s="6"/>
      <c r="AD194" s="6" t="s">
        <v>881</v>
      </c>
      <c r="AE194" s="8" t="s">
        <v>935</v>
      </c>
    </row>
    <row r="195" spans="1:31" ht="45" x14ac:dyDescent="0.25">
      <c r="A195" s="6">
        <v>191</v>
      </c>
      <c r="B195" s="7">
        <v>46301</v>
      </c>
      <c r="C195" s="6" t="s">
        <v>936</v>
      </c>
      <c r="D195" s="8" t="s">
        <v>937</v>
      </c>
      <c r="E195" s="8" t="s">
        <v>938</v>
      </c>
      <c r="F195" s="6" t="s">
        <v>38</v>
      </c>
      <c r="G195" s="6" t="s">
        <v>71</v>
      </c>
      <c r="H195" s="6" t="s">
        <v>72</v>
      </c>
      <c r="I195" s="6" t="s">
        <v>50</v>
      </c>
      <c r="J195" s="9"/>
      <c r="K195" s="9">
        <v>1581589</v>
      </c>
      <c r="L195" s="9">
        <v>2214224.94</v>
      </c>
      <c r="M195" s="9"/>
      <c r="N195" s="10">
        <f>IF(AND(ISNUMBER(K195),ISNUMBER(L195),K195&gt;0),L195/K195-1,0.4)</f>
        <v>0.40000021497367522</v>
      </c>
      <c r="O195" s="10">
        <f>IF(AND(ISNUMBER(K195),ISNUMBER(L195),L195&gt;0),1-K195/L195,0.2857)</f>
        <v>0.28571439539471544</v>
      </c>
      <c r="P195" s="10" t="str">
        <f t="shared" si="7"/>
        <v/>
      </c>
      <c r="Q195" s="10"/>
      <c r="R195" s="10"/>
      <c r="S195" s="6" t="s">
        <v>42</v>
      </c>
      <c r="T195" s="8"/>
      <c r="U195" s="11"/>
      <c r="V195" s="12"/>
      <c r="W195" s="13"/>
      <c r="X195" s="13"/>
      <c r="Y195" s="12"/>
      <c r="Z195" s="14" t="str">
        <f t="shared" si="8"/>
        <v/>
      </c>
      <c r="AA195" s="13"/>
      <c r="AB195" s="15"/>
      <c r="AC195" s="6" t="s">
        <v>939</v>
      </c>
      <c r="AD195" s="6" t="s">
        <v>886</v>
      </c>
      <c r="AE195" s="8" t="s">
        <v>940</v>
      </c>
    </row>
    <row r="196" spans="1:31" x14ac:dyDescent="0.25">
      <c r="A196" s="6">
        <v>192</v>
      </c>
      <c r="B196" s="7">
        <v>46301</v>
      </c>
      <c r="C196" s="6" t="s">
        <v>941</v>
      </c>
      <c r="D196" s="8" t="s">
        <v>942</v>
      </c>
      <c r="E196" s="8" t="s">
        <v>943</v>
      </c>
      <c r="F196" s="6" t="s">
        <v>211</v>
      </c>
      <c r="G196" s="6" t="s">
        <v>48</v>
      </c>
      <c r="H196" s="6" t="s">
        <v>161</v>
      </c>
      <c r="I196" s="6" t="s">
        <v>50</v>
      </c>
      <c r="J196" s="9">
        <v>16360000</v>
      </c>
      <c r="K196" s="9">
        <v>17660000</v>
      </c>
      <c r="L196" s="9"/>
      <c r="M196" s="9"/>
      <c r="N196" s="10" t="str">
        <f>IF(AND(ISNUMBER(K196),ISNUMBER(L196),K196&gt;0),L196/K196-1,"")</f>
        <v/>
      </c>
      <c r="O196" s="10" t="str">
        <f>IF(AND(ISNUMBER(K196),ISNUMBER(L196),L196&gt;0),1-K196/L196,"")</f>
        <v/>
      </c>
      <c r="P196" s="10" t="str">
        <f t="shared" si="7"/>
        <v/>
      </c>
      <c r="Q196" s="10"/>
      <c r="R196" s="10"/>
      <c r="S196" s="6" t="s">
        <v>42</v>
      </c>
      <c r="T196" s="8"/>
      <c r="U196" s="11"/>
      <c r="V196" s="12"/>
      <c r="W196" s="13"/>
      <c r="X196" s="13"/>
      <c r="Y196" s="12"/>
      <c r="Z196" s="14" t="str">
        <f t="shared" si="8"/>
        <v/>
      </c>
      <c r="AA196" s="13"/>
      <c r="AB196" s="15"/>
      <c r="AC196" s="6"/>
      <c r="AD196" s="6" t="s">
        <v>886</v>
      </c>
      <c r="AE196" s="8" t="s">
        <v>944</v>
      </c>
    </row>
    <row r="197" spans="1:31" x14ac:dyDescent="0.25">
      <c r="A197" s="6">
        <v>193</v>
      </c>
      <c r="B197" s="7">
        <v>46301</v>
      </c>
      <c r="C197" s="6" t="s">
        <v>376</v>
      </c>
      <c r="D197" s="8" t="s">
        <v>945</v>
      </c>
      <c r="E197" s="8" t="s">
        <v>946</v>
      </c>
      <c r="F197" s="6" t="s">
        <v>38</v>
      </c>
      <c r="G197" s="6" t="s">
        <v>811</v>
      </c>
      <c r="H197" s="6" t="s">
        <v>49</v>
      </c>
      <c r="I197" s="6" t="s">
        <v>50</v>
      </c>
      <c r="J197" s="9"/>
      <c r="K197" s="9">
        <v>1480000</v>
      </c>
      <c r="L197" s="9">
        <v>2072324.77</v>
      </c>
      <c r="M197" s="9"/>
      <c r="N197" s="10">
        <f>IF(AND(ISNUMBER(K197),ISNUMBER(L197),K197&gt;0),L197/K197-1,0.4)</f>
        <v>0.40021943918918912</v>
      </c>
      <c r="O197" s="10">
        <f>IF(AND(ISNUMBER(K197),ISNUMBER(L197),L197&gt;0),1-K197/L197,0.2858)</f>
        <v>0.2858262269383578</v>
      </c>
      <c r="P197" s="10" t="str">
        <f t="shared" ref="P197:P260" si="9">IF(AND(ISNUMBER(J197),ISNUMBER(L197),J197&gt;0),L197/J197-1,"")</f>
        <v/>
      </c>
      <c r="Q197" s="10"/>
      <c r="R197" s="10"/>
      <c r="S197" s="6" t="s">
        <v>42</v>
      </c>
      <c r="T197" s="8"/>
      <c r="U197" s="11"/>
      <c r="V197" s="12"/>
      <c r="W197" s="13"/>
      <c r="X197" s="13"/>
      <c r="Y197" s="12"/>
      <c r="Z197" s="14" t="str">
        <f t="shared" ref="Z197:Z260" si="10">IF(AND(ISNUMBER(V197),ISNUMBER(Y197),Y197&gt;0),V197/Y197-1,"")</f>
        <v/>
      </c>
      <c r="AA197" s="13"/>
      <c r="AB197" s="15"/>
      <c r="AC197" s="6" t="s">
        <v>947</v>
      </c>
      <c r="AD197" s="6" t="s">
        <v>886</v>
      </c>
      <c r="AE197" s="8" t="s">
        <v>948</v>
      </c>
    </row>
    <row r="198" spans="1:31" ht="30" x14ac:dyDescent="0.25">
      <c r="A198" s="6">
        <v>194</v>
      </c>
      <c r="B198" s="7">
        <v>46301</v>
      </c>
      <c r="C198" s="6" t="s">
        <v>949</v>
      </c>
      <c r="D198" s="8" t="s">
        <v>950</v>
      </c>
      <c r="E198" s="8" t="s">
        <v>951</v>
      </c>
      <c r="F198" s="6" t="s">
        <v>38</v>
      </c>
      <c r="G198" s="6" t="s">
        <v>48</v>
      </c>
      <c r="H198" s="6" t="s">
        <v>72</v>
      </c>
      <c r="I198" s="6" t="s">
        <v>50</v>
      </c>
      <c r="J198" s="9"/>
      <c r="K198" s="9">
        <v>4380000</v>
      </c>
      <c r="L198" s="9">
        <v>6137757.0499999998</v>
      </c>
      <c r="M198" s="9"/>
      <c r="N198" s="10">
        <f>IF(AND(ISNUMBER(K198),ISNUMBER(L198),K198&gt;0),L198/K198-1,0.4)</f>
        <v>0.40131439497716892</v>
      </c>
      <c r="O198" s="10">
        <f>IF(AND(ISNUMBER(K198),ISNUMBER(L198),L198&gt;0),1-K198/L198,0.2864)</f>
        <v>0.28638426638278225</v>
      </c>
      <c r="P198" s="10" t="str">
        <f t="shared" si="9"/>
        <v/>
      </c>
      <c r="Q198" s="10"/>
      <c r="R198" s="10"/>
      <c r="S198" s="6" t="s">
        <v>42</v>
      </c>
      <c r="T198" s="8"/>
      <c r="U198" s="11"/>
      <c r="V198" s="12"/>
      <c r="W198" s="13"/>
      <c r="X198" s="13"/>
      <c r="Y198" s="12"/>
      <c r="Z198" s="14" t="str">
        <f t="shared" si="10"/>
        <v/>
      </c>
      <c r="AA198" s="13"/>
      <c r="AB198" s="15"/>
      <c r="AC198" s="6"/>
      <c r="AD198" s="6" t="s">
        <v>881</v>
      </c>
      <c r="AE198" s="8" t="s">
        <v>952</v>
      </c>
    </row>
    <row r="199" spans="1:31" ht="30" x14ac:dyDescent="0.25">
      <c r="A199" s="6">
        <v>195</v>
      </c>
      <c r="B199" s="7">
        <v>46301</v>
      </c>
      <c r="C199" s="6" t="s">
        <v>953</v>
      </c>
      <c r="D199" s="8" t="s">
        <v>954</v>
      </c>
      <c r="E199" s="8" t="s">
        <v>955</v>
      </c>
      <c r="F199" s="6" t="s">
        <v>183</v>
      </c>
      <c r="G199" s="6" t="s">
        <v>39</v>
      </c>
      <c r="H199" s="6" t="s">
        <v>161</v>
      </c>
      <c r="I199" s="6" t="s">
        <v>80</v>
      </c>
      <c r="J199" s="9"/>
      <c r="K199" s="9">
        <v>48320000</v>
      </c>
      <c r="L199" s="9">
        <v>67648386.969999999</v>
      </c>
      <c r="M199" s="9"/>
      <c r="N199" s="10">
        <f>IF(AND(ISNUMBER(K199),ISNUMBER(L199),K199&gt;0),L199/K199-1,0.4)</f>
        <v>0.40000800848509921</v>
      </c>
      <c r="O199" s="10">
        <f>IF(AND(ISNUMBER(K199),ISNUMBER(L199),L199&gt;0),1-K199/L199,0.2857)</f>
        <v>0.28571837165269809</v>
      </c>
      <c r="P199" s="10" t="str">
        <f t="shared" si="9"/>
        <v/>
      </c>
      <c r="Q199" s="10"/>
      <c r="R199" s="10"/>
      <c r="S199" s="6" t="s">
        <v>42</v>
      </c>
      <c r="T199" s="8"/>
      <c r="U199" s="11"/>
      <c r="V199" s="12"/>
      <c r="W199" s="13"/>
      <c r="X199" s="13"/>
      <c r="Y199" s="12"/>
      <c r="Z199" s="14" t="str">
        <f t="shared" si="10"/>
        <v/>
      </c>
      <c r="AA199" s="13"/>
      <c r="AB199" s="15"/>
      <c r="AC199" s="6"/>
      <c r="AD199" s="6" t="s">
        <v>881</v>
      </c>
      <c r="AE199" s="8" t="s">
        <v>956</v>
      </c>
    </row>
    <row r="200" spans="1:31" x14ac:dyDescent="0.25">
      <c r="A200" s="6">
        <v>196</v>
      </c>
      <c r="B200" s="7">
        <v>46301</v>
      </c>
      <c r="C200" s="6" t="s">
        <v>957</v>
      </c>
      <c r="D200" s="8" t="s">
        <v>958</v>
      </c>
      <c r="E200" s="8" t="s">
        <v>959</v>
      </c>
      <c r="F200" s="6" t="s">
        <v>960</v>
      </c>
      <c r="G200" s="6" t="s">
        <v>39</v>
      </c>
      <c r="H200" s="6" t="s">
        <v>40</v>
      </c>
      <c r="I200" s="6" t="s">
        <v>643</v>
      </c>
      <c r="J200" s="9"/>
      <c r="K200" s="9">
        <v>25610000</v>
      </c>
      <c r="L200" s="9">
        <v>35853664.039999999</v>
      </c>
      <c r="M200" s="9"/>
      <c r="N200" s="10">
        <f>IF(AND(ISNUMBER(K200),ISNUMBER(L200),K200&gt;0),L200/K200-1,0.4)</f>
        <v>0.39998688168684104</v>
      </c>
      <c r="O200" s="10">
        <f>IF(AND(ISNUMBER(K200),ISNUMBER(L200),L200&gt;0),1-K200/L200,0.2857)</f>
        <v>0.28570759263465217</v>
      </c>
      <c r="P200" s="10" t="str">
        <f t="shared" si="9"/>
        <v/>
      </c>
      <c r="Q200" s="10"/>
      <c r="R200" s="10"/>
      <c r="S200" s="6" t="s">
        <v>42</v>
      </c>
      <c r="T200" s="8"/>
      <c r="U200" s="11"/>
      <c r="V200" s="12"/>
      <c r="W200" s="13"/>
      <c r="X200" s="13"/>
      <c r="Y200" s="12"/>
      <c r="Z200" s="14" t="str">
        <f t="shared" si="10"/>
        <v/>
      </c>
      <c r="AA200" s="13"/>
      <c r="AB200" s="15"/>
      <c r="AC200" s="6"/>
      <c r="AD200" s="6" t="s">
        <v>881</v>
      </c>
      <c r="AE200" s="8" t="s">
        <v>961</v>
      </c>
    </row>
    <row r="201" spans="1:31" x14ac:dyDescent="0.25">
      <c r="A201" s="6">
        <v>197</v>
      </c>
      <c r="B201" s="7">
        <v>46301</v>
      </c>
      <c r="C201" s="6" t="s">
        <v>962</v>
      </c>
      <c r="D201" s="8"/>
      <c r="E201" s="8" t="s">
        <v>963</v>
      </c>
      <c r="F201" s="6"/>
      <c r="G201" s="6" t="s">
        <v>244</v>
      </c>
      <c r="H201" s="6" t="s">
        <v>72</v>
      </c>
      <c r="I201" s="6" t="s">
        <v>50</v>
      </c>
      <c r="J201" s="9"/>
      <c r="K201" s="9">
        <v>1960000</v>
      </c>
      <c r="L201" s="9">
        <v>2739186.93</v>
      </c>
      <c r="M201" s="9"/>
      <c r="N201" s="10">
        <f>IF(AND(ISNUMBER(K201),ISNUMBER(L201),K201&gt;0),L201/K201-1,0.4)</f>
        <v>0.3975443520408164</v>
      </c>
      <c r="O201" s="10">
        <f>IF(AND(ISNUMBER(K201),ISNUMBER(L201),L201&gt;0),1-K201/L201,0.2845)</f>
        <v>0.28445920264375679</v>
      </c>
      <c r="P201" s="10" t="str">
        <f t="shared" si="9"/>
        <v/>
      </c>
      <c r="Q201" s="10"/>
      <c r="R201" s="10"/>
      <c r="S201" s="6" t="s">
        <v>42</v>
      </c>
      <c r="T201" s="8"/>
      <c r="U201" s="11"/>
      <c r="V201" s="12"/>
      <c r="W201" s="13"/>
      <c r="X201" s="13"/>
      <c r="Y201" s="12"/>
      <c r="Z201" s="14" t="str">
        <f t="shared" si="10"/>
        <v/>
      </c>
      <c r="AA201" s="13"/>
      <c r="AB201" s="15"/>
      <c r="AC201" s="6"/>
      <c r="AD201" s="6" t="s">
        <v>881</v>
      </c>
      <c r="AE201" s="8"/>
    </row>
    <row r="202" spans="1:31" x14ac:dyDescent="0.25">
      <c r="A202" s="6">
        <v>198</v>
      </c>
      <c r="B202" s="7">
        <v>46301</v>
      </c>
      <c r="C202" s="6" t="s">
        <v>962</v>
      </c>
      <c r="D202" s="8"/>
      <c r="E202" s="8" t="s">
        <v>964</v>
      </c>
      <c r="F202" s="6"/>
      <c r="G202" s="6" t="s">
        <v>244</v>
      </c>
      <c r="H202" s="6" t="s">
        <v>72</v>
      </c>
      <c r="I202" s="6" t="s">
        <v>50</v>
      </c>
      <c r="J202" s="9">
        <v>1943900</v>
      </c>
      <c r="K202" s="9">
        <v>1927687</v>
      </c>
      <c r="L202" s="9"/>
      <c r="M202" s="9"/>
      <c r="N202" s="10" t="str">
        <f t="shared" ref="N202:N209" si="11">IF(AND(ISNUMBER(K202),ISNUMBER(L202),K202&gt;0),L202/K202-1,"")</f>
        <v/>
      </c>
      <c r="O202" s="10" t="str">
        <f>IF(AND(ISNUMBER(K202),ISNUMBER(L202),L202&gt;0),1-K202/L202,"")</f>
        <v/>
      </c>
      <c r="P202" s="10" t="str">
        <f t="shared" si="9"/>
        <v/>
      </c>
      <c r="Q202" s="10"/>
      <c r="R202" s="10"/>
      <c r="S202" s="6" t="s">
        <v>42</v>
      </c>
      <c r="T202" s="8"/>
      <c r="U202" s="11"/>
      <c r="V202" s="12"/>
      <c r="W202" s="13"/>
      <c r="X202" s="13"/>
      <c r="Y202" s="12"/>
      <c r="Z202" s="14" t="str">
        <f t="shared" si="10"/>
        <v/>
      </c>
      <c r="AA202" s="13"/>
      <c r="AB202" s="15"/>
      <c r="AC202" s="6"/>
      <c r="AD202" s="6" t="s">
        <v>881</v>
      </c>
      <c r="AE202" s="8" t="s">
        <v>965</v>
      </c>
    </row>
    <row r="203" spans="1:31" ht="45" x14ac:dyDescent="0.25">
      <c r="A203" s="6">
        <v>199</v>
      </c>
      <c r="B203" s="7">
        <v>46301</v>
      </c>
      <c r="C203" s="6" t="s">
        <v>966</v>
      </c>
      <c r="D203" s="8" t="s">
        <v>967</v>
      </c>
      <c r="E203" s="8" t="s">
        <v>968</v>
      </c>
      <c r="F203" s="6" t="s">
        <v>183</v>
      </c>
      <c r="G203" s="6" t="s">
        <v>39</v>
      </c>
      <c r="H203" s="6" t="s">
        <v>49</v>
      </c>
      <c r="I203" s="6" t="s">
        <v>643</v>
      </c>
      <c r="J203" s="9">
        <v>25580000</v>
      </c>
      <c r="K203" s="9">
        <v>102500000</v>
      </c>
      <c r="L203" s="9"/>
      <c r="M203" s="9"/>
      <c r="N203" s="10" t="str">
        <f t="shared" si="11"/>
        <v/>
      </c>
      <c r="O203" s="10" t="str">
        <f>IF(AND(ISNUMBER(K203),ISNUMBER(L203),L203&gt;0),1-K203/L203,"")</f>
        <v/>
      </c>
      <c r="P203" s="10" t="str">
        <f t="shared" si="9"/>
        <v/>
      </c>
      <c r="Q203" s="10"/>
      <c r="R203" s="10"/>
      <c r="S203" s="6" t="s">
        <v>42</v>
      </c>
      <c r="T203" s="8"/>
      <c r="U203" s="11"/>
      <c r="V203" s="12"/>
      <c r="W203" s="13"/>
      <c r="X203" s="13"/>
      <c r="Y203" s="12"/>
      <c r="Z203" s="14" t="str">
        <f t="shared" si="10"/>
        <v/>
      </c>
      <c r="AA203" s="13"/>
      <c r="AB203" s="15"/>
      <c r="AC203" s="6"/>
      <c r="AD203" s="6" t="s">
        <v>881</v>
      </c>
      <c r="AE203" s="8" t="s">
        <v>969</v>
      </c>
    </row>
    <row r="204" spans="1:31" ht="45" x14ac:dyDescent="0.25">
      <c r="A204" s="6">
        <v>200</v>
      </c>
      <c r="B204" s="7">
        <v>46301</v>
      </c>
      <c r="C204" s="6" t="s">
        <v>970</v>
      </c>
      <c r="D204" s="8" t="s">
        <v>971</v>
      </c>
      <c r="E204" s="8" t="s">
        <v>972</v>
      </c>
      <c r="F204" s="6" t="s">
        <v>973</v>
      </c>
      <c r="G204" s="6" t="s">
        <v>39</v>
      </c>
      <c r="H204" s="6" t="s">
        <v>49</v>
      </c>
      <c r="I204" s="6" t="s">
        <v>643</v>
      </c>
      <c r="J204" s="9">
        <v>37170000</v>
      </c>
      <c r="K204" s="9">
        <v>47970000</v>
      </c>
      <c r="L204" s="9"/>
      <c r="M204" s="9"/>
      <c r="N204" s="10" t="str">
        <f t="shared" si="11"/>
        <v/>
      </c>
      <c r="O204" s="10">
        <f>IF(AND(ISNUMBER(K204),ISNUMBER(L204),L204&gt;0),1-K204/L204,-0.29)</f>
        <v>-0.28999999999999998</v>
      </c>
      <c r="P204" s="10" t="str">
        <f t="shared" si="9"/>
        <v/>
      </c>
      <c r="Q204" s="10"/>
      <c r="R204" s="10"/>
      <c r="S204" s="6" t="s">
        <v>42</v>
      </c>
      <c r="T204" s="8"/>
      <c r="U204" s="11"/>
      <c r="V204" s="12"/>
      <c r="W204" s="13"/>
      <c r="X204" s="13"/>
      <c r="Y204" s="12"/>
      <c r="Z204" s="14" t="str">
        <f t="shared" si="10"/>
        <v/>
      </c>
      <c r="AA204" s="13"/>
      <c r="AB204" s="15"/>
      <c r="AC204" s="6" t="s">
        <v>974</v>
      </c>
      <c r="AD204" s="6" t="s">
        <v>975</v>
      </c>
      <c r="AE204" s="8" t="s">
        <v>976</v>
      </c>
    </row>
    <row r="205" spans="1:31" ht="45" x14ac:dyDescent="0.25">
      <c r="A205" s="6">
        <v>201</v>
      </c>
      <c r="B205" s="7">
        <v>46301</v>
      </c>
      <c r="C205" s="6" t="s">
        <v>970</v>
      </c>
      <c r="D205" s="8" t="s">
        <v>971</v>
      </c>
      <c r="E205" s="8" t="s">
        <v>977</v>
      </c>
      <c r="F205" s="6" t="s">
        <v>973</v>
      </c>
      <c r="G205" s="6" t="s">
        <v>39</v>
      </c>
      <c r="H205" s="6" t="s">
        <v>49</v>
      </c>
      <c r="I205" s="6" t="s">
        <v>643</v>
      </c>
      <c r="J205" s="9">
        <v>22870000</v>
      </c>
      <c r="K205" s="9">
        <v>33970000</v>
      </c>
      <c r="L205" s="9"/>
      <c r="M205" s="9"/>
      <c r="N205" s="10" t="str">
        <f t="shared" si="11"/>
        <v/>
      </c>
      <c r="O205" s="10">
        <f>IF(AND(ISNUMBER(K205),ISNUMBER(L205),L205&gt;0),1-K205/L205,-0.485)</f>
        <v>-0.48499999999999999</v>
      </c>
      <c r="P205" s="10" t="str">
        <f t="shared" si="9"/>
        <v/>
      </c>
      <c r="Q205" s="10"/>
      <c r="R205" s="10"/>
      <c r="S205" s="6" t="s">
        <v>42</v>
      </c>
      <c r="T205" s="8"/>
      <c r="U205" s="11"/>
      <c r="V205" s="12"/>
      <c r="W205" s="13"/>
      <c r="X205" s="13"/>
      <c r="Y205" s="12"/>
      <c r="Z205" s="14" t="str">
        <f t="shared" si="10"/>
        <v/>
      </c>
      <c r="AA205" s="13"/>
      <c r="AB205" s="15"/>
      <c r="AC205" s="6" t="s">
        <v>974</v>
      </c>
      <c r="AD205" s="6" t="s">
        <v>975</v>
      </c>
      <c r="AE205" s="8" t="s">
        <v>976</v>
      </c>
    </row>
    <row r="206" spans="1:31" ht="30" x14ac:dyDescent="0.25">
      <c r="A206" s="6">
        <v>202</v>
      </c>
      <c r="B206" s="7">
        <v>46301</v>
      </c>
      <c r="C206" s="6" t="s">
        <v>970</v>
      </c>
      <c r="D206" s="8" t="s">
        <v>978</v>
      </c>
      <c r="E206" s="8" t="s">
        <v>979</v>
      </c>
      <c r="F206" s="6" t="s">
        <v>980</v>
      </c>
      <c r="G206" s="6" t="s">
        <v>39</v>
      </c>
      <c r="H206" s="6" t="s">
        <v>49</v>
      </c>
      <c r="I206" s="6" t="s">
        <v>643</v>
      </c>
      <c r="J206" s="9">
        <v>9810000</v>
      </c>
      <c r="K206" s="9"/>
      <c r="L206" s="9"/>
      <c r="M206" s="9"/>
      <c r="N206" s="10" t="str">
        <f t="shared" si="11"/>
        <v/>
      </c>
      <c r="O206" s="10">
        <f>IF(AND(ISNUMBER(K206),ISNUMBER(L206),L206&gt;0),1-K206/L206,-0.55)</f>
        <v>-0.55000000000000004</v>
      </c>
      <c r="P206" s="10" t="str">
        <f t="shared" si="9"/>
        <v/>
      </c>
      <c r="Q206" s="10"/>
      <c r="R206" s="10"/>
      <c r="S206" s="6" t="s">
        <v>42</v>
      </c>
      <c r="T206" s="8"/>
      <c r="U206" s="11"/>
      <c r="V206" s="12"/>
      <c r="W206" s="13"/>
      <c r="X206" s="13"/>
      <c r="Y206" s="12"/>
      <c r="Z206" s="14" t="str">
        <f t="shared" si="10"/>
        <v/>
      </c>
      <c r="AA206" s="13"/>
      <c r="AB206" s="15"/>
      <c r="AC206" s="6" t="s">
        <v>981</v>
      </c>
      <c r="AD206" s="6" t="s">
        <v>975</v>
      </c>
      <c r="AE206" s="8" t="s">
        <v>982</v>
      </c>
    </row>
    <row r="207" spans="1:31" ht="45" x14ac:dyDescent="0.25">
      <c r="A207" s="6">
        <v>203</v>
      </c>
      <c r="B207" s="7">
        <v>46301</v>
      </c>
      <c r="C207" s="6" t="s">
        <v>970</v>
      </c>
      <c r="D207" s="8" t="s">
        <v>983</v>
      </c>
      <c r="E207" s="8" t="s">
        <v>984</v>
      </c>
      <c r="F207" s="6" t="s">
        <v>92</v>
      </c>
      <c r="G207" s="6" t="s">
        <v>39</v>
      </c>
      <c r="H207" s="6" t="s">
        <v>49</v>
      </c>
      <c r="I207" s="6" t="s">
        <v>643</v>
      </c>
      <c r="J207" s="9">
        <v>6980000</v>
      </c>
      <c r="K207" s="9"/>
      <c r="L207" s="9"/>
      <c r="M207" s="9"/>
      <c r="N207" s="10" t="str">
        <f t="shared" si="11"/>
        <v/>
      </c>
      <c r="O207" s="10">
        <f>IF(AND(ISNUMBER(K207),ISNUMBER(L207),L207&gt;0),1-K207/L207,0.04)</f>
        <v>0.04</v>
      </c>
      <c r="P207" s="10" t="str">
        <f t="shared" si="9"/>
        <v/>
      </c>
      <c r="Q207" s="10"/>
      <c r="R207" s="10"/>
      <c r="S207" s="6" t="s">
        <v>42</v>
      </c>
      <c r="T207" s="8"/>
      <c r="U207" s="11"/>
      <c r="V207" s="12"/>
      <c r="W207" s="13"/>
      <c r="X207" s="13"/>
      <c r="Y207" s="12"/>
      <c r="Z207" s="14" t="str">
        <f t="shared" si="10"/>
        <v/>
      </c>
      <c r="AA207" s="13"/>
      <c r="AB207" s="15"/>
      <c r="AC207" s="6" t="s">
        <v>981</v>
      </c>
      <c r="AD207" s="6" t="s">
        <v>975</v>
      </c>
      <c r="AE207" s="8" t="s">
        <v>985</v>
      </c>
    </row>
    <row r="208" spans="1:31" ht="30" x14ac:dyDescent="0.25">
      <c r="A208" s="6">
        <v>204</v>
      </c>
      <c r="B208" s="7">
        <v>46301</v>
      </c>
      <c r="C208" s="6" t="s">
        <v>970</v>
      </c>
      <c r="D208" s="8" t="s">
        <v>986</v>
      </c>
      <c r="E208" s="8" t="s">
        <v>987</v>
      </c>
      <c r="F208" s="6" t="s">
        <v>117</v>
      </c>
      <c r="G208" s="6" t="s">
        <v>39</v>
      </c>
      <c r="H208" s="6" t="s">
        <v>49</v>
      </c>
      <c r="I208" s="6" t="s">
        <v>643</v>
      </c>
      <c r="J208" s="9">
        <v>5060000</v>
      </c>
      <c r="K208" s="9"/>
      <c r="L208" s="9"/>
      <c r="M208" s="9"/>
      <c r="N208" s="10" t="str">
        <f t="shared" si="11"/>
        <v/>
      </c>
      <c r="O208" s="10">
        <f>IF(AND(ISNUMBER(K208),ISNUMBER(L208),L208&gt;0),1-K208/L208,-1.51)</f>
        <v>-1.51</v>
      </c>
      <c r="P208" s="10" t="str">
        <f t="shared" si="9"/>
        <v/>
      </c>
      <c r="Q208" s="10"/>
      <c r="R208" s="10"/>
      <c r="S208" s="6" t="s">
        <v>42</v>
      </c>
      <c r="T208" s="8"/>
      <c r="U208" s="11"/>
      <c r="V208" s="12"/>
      <c r="W208" s="13"/>
      <c r="X208" s="13"/>
      <c r="Y208" s="12"/>
      <c r="Z208" s="14" t="str">
        <f t="shared" si="10"/>
        <v/>
      </c>
      <c r="AA208" s="13"/>
      <c r="AB208" s="15"/>
      <c r="AC208" s="6" t="s">
        <v>981</v>
      </c>
      <c r="AD208" s="6" t="s">
        <v>975</v>
      </c>
      <c r="AE208" s="8" t="s">
        <v>982</v>
      </c>
    </row>
    <row r="209" spans="1:31" ht="30" x14ac:dyDescent="0.25">
      <c r="A209" s="6">
        <v>205</v>
      </c>
      <c r="B209" s="7">
        <v>46301</v>
      </c>
      <c r="C209" s="6" t="s">
        <v>970</v>
      </c>
      <c r="D209" s="8" t="s">
        <v>988</v>
      </c>
      <c r="E209" s="8" t="s">
        <v>989</v>
      </c>
      <c r="F209" s="6" t="s">
        <v>990</v>
      </c>
      <c r="G209" s="6" t="s">
        <v>39</v>
      </c>
      <c r="H209" s="6" t="s">
        <v>49</v>
      </c>
      <c r="I209" s="6" t="s">
        <v>643</v>
      </c>
      <c r="J209" s="9">
        <v>3030000</v>
      </c>
      <c r="K209" s="9"/>
      <c r="L209" s="9"/>
      <c r="M209" s="9"/>
      <c r="N209" s="10" t="str">
        <f t="shared" si="11"/>
        <v/>
      </c>
      <c r="O209" s="10">
        <f>IF(AND(ISNUMBER(K209),ISNUMBER(L209),L209&gt;0),1-K209/L209,-0.97)</f>
        <v>-0.97</v>
      </c>
      <c r="P209" s="10" t="str">
        <f t="shared" si="9"/>
        <v/>
      </c>
      <c r="Q209" s="10"/>
      <c r="R209" s="10"/>
      <c r="S209" s="6" t="s">
        <v>42</v>
      </c>
      <c r="T209" s="8"/>
      <c r="U209" s="11"/>
      <c r="V209" s="12"/>
      <c r="W209" s="13"/>
      <c r="X209" s="13"/>
      <c r="Y209" s="12"/>
      <c r="Z209" s="14" t="str">
        <f t="shared" si="10"/>
        <v/>
      </c>
      <c r="AA209" s="13"/>
      <c r="AB209" s="15"/>
      <c r="AC209" s="6" t="s">
        <v>981</v>
      </c>
      <c r="AD209" s="6" t="s">
        <v>975</v>
      </c>
      <c r="AE209" s="8" t="s">
        <v>982</v>
      </c>
    </row>
    <row r="210" spans="1:31" x14ac:dyDescent="0.25">
      <c r="A210" s="6">
        <v>206</v>
      </c>
      <c r="B210" s="7">
        <v>46301</v>
      </c>
      <c r="C210" s="6" t="s">
        <v>991</v>
      </c>
      <c r="D210" s="8" t="s">
        <v>992</v>
      </c>
      <c r="E210" s="8" t="s">
        <v>993</v>
      </c>
      <c r="F210" s="6" t="s">
        <v>183</v>
      </c>
      <c r="G210" s="6" t="s">
        <v>39</v>
      </c>
      <c r="H210" s="6" t="s">
        <v>40</v>
      </c>
      <c r="I210" s="6" t="s">
        <v>41</v>
      </c>
      <c r="J210" s="9"/>
      <c r="K210" s="9">
        <v>167500</v>
      </c>
      <c r="L210" s="9">
        <v>234546.12</v>
      </c>
      <c r="M210" s="9"/>
      <c r="N210" s="10">
        <f t="shared" ref="N210:N216" si="12">IF(AND(ISNUMBER(K210),ISNUMBER(L210),K210&gt;0),L210/K210-1,0.4)</f>
        <v>0.40027534328358216</v>
      </c>
      <c r="O210" s="10">
        <f>IF(AND(ISNUMBER(K210),ISNUMBER(L210),L210&gt;0),1-K210/L210,0.2859)</f>
        <v>0.28585473935787131</v>
      </c>
      <c r="P210" s="10" t="str">
        <f t="shared" si="9"/>
        <v/>
      </c>
      <c r="Q210" s="10"/>
      <c r="R210" s="10"/>
      <c r="S210" s="6" t="s">
        <v>42</v>
      </c>
      <c r="T210" s="8"/>
      <c r="U210" s="11"/>
      <c r="V210" s="12"/>
      <c r="W210" s="13"/>
      <c r="X210" s="13"/>
      <c r="Y210" s="12"/>
      <c r="Z210" s="14" t="str">
        <f t="shared" si="10"/>
        <v/>
      </c>
      <c r="AA210" s="13"/>
      <c r="AB210" s="15"/>
      <c r="AC210" s="6"/>
      <c r="AD210" s="6" t="s">
        <v>893</v>
      </c>
      <c r="AE210" s="8" t="s">
        <v>994</v>
      </c>
    </row>
    <row r="211" spans="1:31" ht="30" x14ac:dyDescent="0.25">
      <c r="A211" s="6">
        <v>207</v>
      </c>
      <c r="B211" s="7">
        <v>46301</v>
      </c>
      <c r="C211" s="6" t="s">
        <v>995</v>
      </c>
      <c r="D211" s="8" t="s">
        <v>996</v>
      </c>
      <c r="E211" s="8" t="s">
        <v>997</v>
      </c>
      <c r="F211" s="6" t="s">
        <v>183</v>
      </c>
      <c r="G211" s="6" t="s">
        <v>39</v>
      </c>
      <c r="H211" s="6" t="s">
        <v>161</v>
      </c>
      <c r="I211" s="6" t="s">
        <v>80</v>
      </c>
      <c r="J211" s="9"/>
      <c r="K211" s="9">
        <v>7360000</v>
      </c>
      <c r="L211" s="9">
        <v>10298981.130000001</v>
      </c>
      <c r="M211" s="9"/>
      <c r="N211" s="10">
        <f t="shared" si="12"/>
        <v>0.39931808831521742</v>
      </c>
      <c r="O211" s="10">
        <f>IF(AND(ISNUMBER(K211),ISNUMBER(L211),L211&gt;0),1-K211/L211,0.2854)</f>
        <v>0.28536620204488139</v>
      </c>
      <c r="P211" s="10" t="str">
        <f t="shared" si="9"/>
        <v/>
      </c>
      <c r="Q211" s="10"/>
      <c r="R211" s="10"/>
      <c r="S211" s="6" t="s">
        <v>42</v>
      </c>
      <c r="T211" s="8"/>
      <c r="U211" s="11"/>
      <c r="V211" s="12"/>
      <c r="W211" s="13"/>
      <c r="X211" s="13"/>
      <c r="Y211" s="12"/>
      <c r="Z211" s="14" t="str">
        <f t="shared" si="10"/>
        <v/>
      </c>
      <c r="AA211" s="13"/>
      <c r="AB211" s="15"/>
      <c r="AC211" s="6"/>
      <c r="AD211" s="6" t="s">
        <v>881</v>
      </c>
      <c r="AE211" s="8" t="s">
        <v>998</v>
      </c>
    </row>
    <row r="212" spans="1:31" x14ac:dyDescent="0.25">
      <c r="A212" s="6">
        <v>208</v>
      </c>
      <c r="B212" s="7">
        <v>46301</v>
      </c>
      <c r="C212" s="6" t="s">
        <v>999</v>
      </c>
      <c r="D212" s="8" t="s">
        <v>1000</v>
      </c>
      <c r="E212" s="8" t="s">
        <v>1001</v>
      </c>
      <c r="F212" s="6" t="s">
        <v>38</v>
      </c>
      <c r="G212" s="6" t="s">
        <v>39</v>
      </c>
      <c r="H212" s="6" t="s">
        <v>40</v>
      </c>
      <c r="I212" s="6" t="s">
        <v>80</v>
      </c>
      <c r="J212" s="9"/>
      <c r="K212" s="9">
        <v>23880000</v>
      </c>
      <c r="L212" s="9">
        <v>33436722</v>
      </c>
      <c r="M212" s="9"/>
      <c r="N212" s="10">
        <f t="shared" si="12"/>
        <v>0.40019773869346742</v>
      </c>
      <c r="O212" s="10">
        <f>IF(AND(ISNUMBER(K212),ISNUMBER(L212),L212&gt;0),1-K212/L212,0.2858)</f>
        <v>0.28581515855531536</v>
      </c>
      <c r="P212" s="10" t="str">
        <f t="shared" si="9"/>
        <v/>
      </c>
      <c r="Q212" s="10"/>
      <c r="R212" s="10"/>
      <c r="S212" s="6" t="s">
        <v>42</v>
      </c>
      <c r="T212" s="8"/>
      <c r="U212" s="11"/>
      <c r="V212" s="12"/>
      <c r="W212" s="13"/>
      <c r="X212" s="13"/>
      <c r="Y212" s="12"/>
      <c r="Z212" s="14" t="str">
        <f t="shared" si="10"/>
        <v/>
      </c>
      <c r="AA212" s="13"/>
      <c r="AB212" s="15"/>
      <c r="AC212" s="6"/>
      <c r="AD212" s="6" t="s">
        <v>881</v>
      </c>
      <c r="AE212" s="8" t="s">
        <v>902</v>
      </c>
    </row>
    <row r="213" spans="1:31" x14ac:dyDescent="0.25">
      <c r="A213" s="6">
        <v>209</v>
      </c>
      <c r="B213" s="7">
        <v>46303</v>
      </c>
      <c r="C213" s="6" t="s">
        <v>725</v>
      </c>
      <c r="D213" s="8" t="s">
        <v>1002</v>
      </c>
      <c r="E213" s="8" t="s">
        <v>1003</v>
      </c>
      <c r="F213" s="6" t="s">
        <v>38</v>
      </c>
      <c r="G213" s="6" t="s">
        <v>48</v>
      </c>
      <c r="H213" s="6" t="s">
        <v>49</v>
      </c>
      <c r="I213" s="6" t="s">
        <v>50</v>
      </c>
      <c r="J213" s="9"/>
      <c r="K213" s="9">
        <v>30710000</v>
      </c>
      <c r="L213" s="9">
        <v>42993131.149999999</v>
      </c>
      <c r="M213" s="9">
        <v>52451620</v>
      </c>
      <c r="N213" s="10">
        <f t="shared" si="12"/>
        <v>0.39997170791273207</v>
      </c>
      <c r="O213" s="10">
        <f>IF(AND(ISNUMBER(K213),ISNUMBER(L213),L213&gt;0),1-K213/L213,0.2857)</f>
        <v>0.28569985068417136</v>
      </c>
      <c r="P213" s="10" t="str">
        <f t="shared" si="9"/>
        <v/>
      </c>
      <c r="Q213" s="10"/>
      <c r="R213" s="10"/>
      <c r="S213" s="6" t="s">
        <v>42</v>
      </c>
      <c r="T213" s="8"/>
      <c r="U213" s="11"/>
      <c r="V213" s="12"/>
      <c r="W213" s="13"/>
      <c r="X213" s="13"/>
      <c r="Y213" s="12"/>
      <c r="Z213" s="14" t="str">
        <f t="shared" si="10"/>
        <v/>
      </c>
      <c r="AA213" s="13"/>
      <c r="AB213" s="15"/>
      <c r="AC213" s="6"/>
      <c r="AD213" s="6" t="s">
        <v>1004</v>
      </c>
      <c r="AE213" s="8" t="s">
        <v>1005</v>
      </c>
    </row>
    <row r="214" spans="1:31" ht="45" x14ac:dyDescent="0.25">
      <c r="A214" s="6">
        <v>210</v>
      </c>
      <c r="B214" s="7">
        <v>46303</v>
      </c>
      <c r="C214" s="6" t="s">
        <v>1006</v>
      </c>
      <c r="D214" s="8" t="s">
        <v>1007</v>
      </c>
      <c r="E214" s="8" t="s">
        <v>1008</v>
      </c>
      <c r="F214" s="6"/>
      <c r="G214" s="6" t="s">
        <v>561</v>
      </c>
      <c r="H214" s="6" t="s">
        <v>49</v>
      </c>
      <c r="I214" s="6" t="s">
        <v>643</v>
      </c>
      <c r="J214" s="9"/>
      <c r="K214" s="9"/>
      <c r="L214" s="9"/>
      <c r="M214" s="9"/>
      <c r="N214" s="10">
        <f t="shared" si="12"/>
        <v>0.4</v>
      </c>
      <c r="O214" s="10" t="str">
        <f>IF(AND(ISNUMBER(K214),ISNUMBER(L214),L214&gt;0),1-K214/L214,"")</f>
        <v/>
      </c>
      <c r="P214" s="10" t="str">
        <f t="shared" si="9"/>
        <v/>
      </c>
      <c r="Q214" s="10"/>
      <c r="R214" s="10"/>
      <c r="S214" s="6" t="s">
        <v>42</v>
      </c>
      <c r="T214" s="8"/>
      <c r="U214" s="11"/>
      <c r="V214" s="12"/>
      <c r="W214" s="13"/>
      <c r="X214" s="13"/>
      <c r="Y214" s="12"/>
      <c r="Z214" s="14" t="str">
        <f t="shared" si="10"/>
        <v/>
      </c>
      <c r="AA214" s="13"/>
      <c r="AB214" s="15"/>
      <c r="AC214" s="6"/>
      <c r="AD214" s="6" t="s">
        <v>1004</v>
      </c>
      <c r="AE214" s="8" t="s">
        <v>1009</v>
      </c>
    </row>
    <row r="215" spans="1:31" x14ac:dyDescent="0.25">
      <c r="A215" s="6">
        <v>211</v>
      </c>
      <c r="B215" s="7">
        <v>46303</v>
      </c>
      <c r="C215" s="6" t="s">
        <v>1010</v>
      </c>
      <c r="D215" s="8" t="s">
        <v>1011</v>
      </c>
      <c r="E215" s="8" t="s">
        <v>1012</v>
      </c>
      <c r="F215" s="6"/>
      <c r="G215" s="6" t="s">
        <v>39</v>
      </c>
      <c r="H215" s="6" t="s">
        <v>40</v>
      </c>
      <c r="I215" s="6" t="s">
        <v>41</v>
      </c>
      <c r="J215" s="9"/>
      <c r="K215" s="9"/>
      <c r="L215" s="9">
        <v>17042.7</v>
      </c>
      <c r="M215" s="9"/>
      <c r="N215" s="10">
        <f t="shared" si="12"/>
        <v>0.4</v>
      </c>
      <c r="O215" s="10">
        <f>IF(AND(ISNUMBER(K215),ISNUMBER(L215),L215&gt;0),1-K215/L215,0.2857)</f>
        <v>0.28570000000000001</v>
      </c>
      <c r="P215" s="10" t="str">
        <f t="shared" si="9"/>
        <v/>
      </c>
      <c r="Q215" s="10"/>
      <c r="R215" s="10"/>
      <c r="S215" s="6" t="s">
        <v>42</v>
      </c>
      <c r="T215" s="8"/>
      <c r="U215" s="11"/>
      <c r="V215" s="12"/>
      <c r="W215" s="13"/>
      <c r="X215" s="13"/>
      <c r="Y215" s="12"/>
      <c r="Z215" s="14" t="str">
        <f t="shared" si="10"/>
        <v/>
      </c>
      <c r="AA215" s="13"/>
      <c r="AB215" s="15"/>
      <c r="AC215" s="6"/>
      <c r="AD215" s="6" t="s">
        <v>1004</v>
      </c>
      <c r="AE215" s="8" t="s">
        <v>1013</v>
      </c>
    </row>
    <row r="216" spans="1:31" ht="30" x14ac:dyDescent="0.25">
      <c r="A216" s="6">
        <v>212</v>
      </c>
      <c r="B216" s="7">
        <v>46303</v>
      </c>
      <c r="C216" s="6" t="s">
        <v>1014</v>
      </c>
      <c r="D216" s="8" t="s">
        <v>1015</v>
      </c>
      <c r="E216" s="8" t="s">
        <v>1016</v>
      </c>
      <c r="F216" s="6" t="s">
        <v>1017</v>
      </c>
      <c r="G216" s="6" t="s">
        <v>39</v>
      </c>
      <c r="H216" s="6" t="s">
        <v>49</v>
      </c>
      <c r="I216" s="6" t="s">
        <v>643</v>
      </c>
      <c r="J216" s="9"/>
      <c r="K216" s="9"/>
      <c r="L216" s="9">
        <v>39112920</v>
      </c>
      <c r="M216" s="9"/>
      <c r="N216" s="10">
        <f t="shared" si="12"/>
        <v>0.4</v>
      </c>
      <c r="O216" s="10">
        <f>IF(AND(ISNUMBER(K216),ISNUMBER(L216),L216&gt;0),1-K216/L216,0.2857)</f>
        <v>0.28570000000000001</v>
      </c>
      <c r="P216" s="10" t="str">
        <f t="shared" si="9"/>
        <v/>
      </c>
      <c r="Q216" s="10"/>
      <c r="R216" s="10"/>
      <c r="S216" s="6" t="s">
        <v>42</v>
      </c>
      <c r="T216" s="8"/>
      <c r="U216" s="11"/>
      <c r="V216" s="12"/>
      <c r="W216" s="13"/>
      <c r="X216" s="13"/>
      <c r="Y216" s="12"/>
      <c r="Z216" s="14" t="str">
        <f t="shared" si="10"/>
        <v/>
      </c>
      <c r="AA216" s="13"/>
      <c r="AB216" s="15"/>
      <c r="AC216" s="6"/>
      <c r="AD216" s="6" t="s">
        <v>1004</v>
      </c>
      <c r="AE216" s="8" t="s">
        <v>1018</v>
      </c>
    </row>
    <row r="217" spans="1:31" x14ac:dyDescent="0.25">
      <c r="A217" s="6">
        <v>213</v>
      </c>
      <c r="B217" s="7">
        <v>46303</v>
      </c>
      <c r="C217" s="6" t="s">
        <v>1019</v>
      </c>
      <c r="D217" s="8" t="s">
        <v>1020</v>
      </c>
      <c r="E217" s="8" t="s">
        <v>1021</v>
      </c>
      <c r="F217" s="6" t="s">
        <v>55</v>
      </c>
      <c r="G217" s="6" t="s">
        <v>39</v>
      </c>
      <c r="H217" s="6" t="s">
        <v>161</v>
      </c>
      <c r="I217" s="6" t="s">
        <v>80</v>
      </c>
      <c r="J217" s="9"/>
      <c r="K217" s="9"/>
      <c r="L217" s="9"/>
      <c r="M217" s="9"/>
      <c r="N217" s="10" t="str">
        <f>IF(AND(ISNUMBER(K217),ISNUMBER(L217),K217&gt;0),L217/K217-1,"")</f>
        <v/>
      </c>
      <c r="O217" s="10">
        <f>IF(AND(ISNUMBER(K217),ISNUMBER(L217),L217&gt;0),1-K217/L217,-0.417)</f>
        <v>-0.41699999999999998</v>
      </c>
      <c r="P217" s="10" t="str">
        <f t="shared" si="9"/>
        <v/>
      </c>
      <c r="Q217" s="10"/>
      <c r="R217" s="10"/>
      <c r="S217" s="6" t="s">
        <v>193</v>
      </c>
      <c r="T217" s="8"/>
      <c r="U217" s="11"/>
      <c r="V217" s="12"/>
      <c r="W217" s="13" t="s">
        <v>194</v>
      </c>
      <c r="X217" s="13"/>
      <c r="Y217" s="12"/>
      <c r="Z217" s="14" t="str">
        <f t="shared" si="10"/>
        <v/>
      </c>
      <c r="AA217" s="13"/>
      <c r="AB217" s="15"/>
      <c r="AC217" s="6"/>
      <c r="AD217" s="6" t="s">
        <v>1004</v>
      </c>
      <c r="AE217" s="8" t="s">
        <v>1022</v>
      </c>
    </row>
    <row r="218" spans="1:31" x14ac:dyDescent="0.25">
      <c r="A218" s="6">
        <v>214</v>
      </c>
      <c r="B218" s="7">
        <v>46303</v>
      </c>
      <c r="C218" s="6" t="s">
        <v>1023</v>
      </c>
      <c r="D218" s="8" t="s">
        <v>1024</v>
      </c>
      <c r="E218" s="8" t="s">
        <v>1025</v>
      </c>
      <c r="F218" s="6"/>
      <c r="G218" s="6" t="s">
        <v>48</v>
      </c>
      <c r="H218" s="6" t="s">
        <v>161</v>
      </c>
      <c r="I218" s="6" t="s">
        <v>50</v>
      </c>
      <c r="J218" s="9">
        <v>1340000</v>
      </c>
      <c r="K218" s="9">
        <v>1520000</v>
      </c>
      <c r="L218" s="9"/>
      <c r="M218" s="9"/>
      <c r="N218" s="10" t="str">
        <f>IF(AND(ISNUMBER(K218),ISNUMBER(L218),K218&gt;0),L218/K218-1,"")</f>
        <v/>
      </c>
      <c r="O218" s="10" t="str">
        <f>IF(AND(ISNUMBER(K218),ISNUMBER(L218),L218&gt;0),1-K218/L218,"")</f>
        <v/>
      </c>
      <c r="P218" s="10" t="str">
        <f t="shared" si="9"/>
        <v/>
      </c>
      <c r="Q218" s="10"/>
      <c r="R218" s="10"/>
      <c r="S218" s="6" t="s">
        <v>42</v>
      </c>
      <c r="T218" s="8"/>
      <c r="U218" s="11"/>
      <c r="V218" s="12"/>
      <c r="W218" s="13"/>
      <c r="X218" s="13"/>
      <c r="Y218" s="12"/>
      <c r="Z218" s="14" t="str">
        <f t="shared" si="10"/>
        <v/>
      </c>
      <c r="AA218" s="13"/>
      <c r="AB218" s="15"/>
      <c r="AC218" s="6"/>
      <c r="AD218" s="6" t="s">
        <v>1004</v>
      </c>
      <c r="AE218" s="8" t="s">
        <v>1026</v>
      </c>
    </row>
    <row r="219" spans="1:31" ht="30" x14ac:dyDescent="0.25">
      <c r="A219" s="6">
        <v>215</v>
      </c>
      <c r="B219" s="7">
        <v>46303</v>
      </c>
      <c r="C219" s="6" t="s">
        <v>1027</v>
      </c>
      <c r="D219" s="8" t="s">
        <v>1028</v>
      </c>
      <c r="E219" s="8" t="s">
        <v>1029</v>
      </c>
      <c r="F219" s="6" t="s">
        <v>183</v>
      </c>
      <c r="G219" s="6" t="s">
        <v>39</v>
      </c>
      <c r="H219" s="6" t="s">
        <v>40</v>
      </c>
      <c r="I219" s="6" t="s">
        <v>41</v>
      </c>
      <c r="J219" s="9"/>
      <c r="K219" s="9"/>
      <c r="L219" s="9">
        <v>894612</v>
      </c>
      <c r="M219" s="9"/>
      <c r="N219" s="10">
        <f>IF(AND(ISNUMBER(K219),ISNUMBER(L219),K219&gt;0),L219/K219-1,0.4)</f>
        <v>0.4</v>
      </c>
      <c r="O219" s="10">
        <f>IF(AND(ISNUMBER(K219),ISNUMBER(L219),L219&gt;0),1-K219/L219,0.2857)</f>
        <v>0.28570000000000001</v>
      </c>
      <c r="P219" s="10" t="str">
        <f t="shared" si="9"/>
        <v/>
      </c>
      <c r="Q219" s="10"/>
      <c r="R219" s="10"/>
      <c r="S219" s="6" t="s">
        <v>42</v>
      </c>
      <c r="T219" s="8"/>
      <c r="U219" s="11"/>
      <c r="V219" s="12"/>
      <c r="W219" s="13"/>
      <c r="X219" s="13"/>
      <c r="Y219" s="12"/>
      <c r="Z219" s="14" t="str">
        <f t="shared" si="10"/>
        <v/>
      </c>
      <c r="AA219" s="13"/>
      <c r="AB219" s="15"/>
      <c r="AC219" s="6"/>
      <c r="AD219" s="6" t="s">
        <v>1004</v>
      </c>
      <c r="AE219" s="8" t="s">
        <v>1030</v>
      </c>
    </row>
    <row r="220" spans="1:31" x14ac:dyDescent="0.25">
      <c r="A220" s="6">
        <v>216</v>
      </c>
      <c r="B220" s="7">
        <v>46303</v>
      </c>
      <c r="C220" s="6" t="s">
        <v>1031</v>
      </c>
      <c r="D220" s="8" t="s">
        <v>1032</v>
      </c>
      <c r="E220" s="8" t="s">
        <v>1033</v>
      </c>
      <c r="F220" s="6" t="s">
        <v>211</v>
      </c>
      <c r="G220" s="6" t="s">
        <v>244</v>
      </c>
      <c r="H220" s="6" t="s">
        <v>49</v>
      </c>
      <c r="I220" s="6" t="s">
        <v>50</v>
      </c>
      <c r="J220" s="9"/>
      <c r="K220" s="9"/>
      <c r="L220" s="9">
        <v>65007112</v>
      </c>
      <c r="M220" s="9"/>
      <c r="N220" s="10">
        <f>IF(AND(ISNUMBER(K220),ISNUMBER(L220),K220&gt;0),L220/K220-1,0.4)</f>
        <v>0.4</v>
      </c>
      <c r="O220" s="10">
        <f>IF(AND(ISNUMBER(K220),ISNUMBER(L220),L220&gt;0),1-K220/L220,0.2857)</f>
        <v>0.28570000000000001</v>
      </c>
      <c r="P220" s="10" t="str">
        <f t="shared" si="9"/>
        <v/>
      </c>
      <c r="Q220" s="10"/>
      <c r="R220" s="10"/>
      <c r="S220" s="6" t="s">
        <v>42</v>
      </c>
      <c r="T220" s="8"/>
      <c r="U220" s="11"/>
      <c r="V220" s="12"/>
      <c r="W220" s="13"/>
      <c r="X220" s="13"/>
      <c r="Y220" s="12"/>
      <c r="Z220" s="14" t="str">
        <f t="shared" si="10"/>
        <v/>
      </c>
      <c r="AA220" s="13"/>
      <c r="AB220" s="15"/>
      <c r="AC220" s="6"/>
      <c r="AD220" s="6" t="s">
        <v>1004</v>
      </c>
      <c r="AE220" s="8" t="s">
        <v>1034</v>
      </c>
    </row>
    <row r="221" spans="1:31" ht="45" x14ac:dyDescent="0.25">
      <c r="A221" s="6">
        <v>217</v>
      </c>
      <c r="B221" s="7">
        <v>46303</v>
      </c>
      <c r="C221" s="6" t="s">
        <v>1035</v>
      </c>
      <c r="D221" s="8" t="s">
        <v>1036</v>
      </c>
      <c r="E221" s="8" t="s">
        <v>1037</v>
      </c>
      <c r="F221" s="6" t="s">
        <v>211</v>
      </c>
      <c r="G221" s="6" t="s">
        <v>48</v>
      </c>
      <c r="H221" s="6" t="s">
        <v>49</v>
      </c>
      <c r="I221" s="6" t="s">
        <v>50</v>
      </c>
      <c r="J221" s="9"/>
      <c r="K221" s="9">
        <v>31260000</v>
      </c>
      <c r="L221" s="9">
        <v>43763236</v>
      </c>
      <c r="M221" s="9"/>
      <c r="N221" s="10">
        <f>IF(AND(ISNUMBER(K221),ISNUMBER(L221),K221&gt;0),L221/K221-1,0.4)</f>
        <v>0.39997555982085742</v>
      </c>
      <c r="O221" s="10">
        <f>IF(AND(ISNUMBER(K221),ISNUMBER(L221),L221&gt;0),1-K221/L221,0.2857)</f>
        <v>0.28570181601744438</v>
      </c>
      <c r="P221" s="10" t="str">
        <f t="shared" si="9"/>
        <v/>
      </c>
      <c r="Q221" s="10"/>
      <c r="R221" s="10"/>
      <c r="S221" s="6" t="s">
        <v>42</v>
      </c>
      <c r="T221" s="8"/>
      <c r="U221" s="11"/>
      <c r="V221" s="12"/>
      <c r="W221" s="13"/>
      <c r="X221" s="13"/>
      <c r="Y221" s="12"/>
      <c r="Z221" s="14" t="str">
        <f t="shared" si="10"/>
        <v/>
      </c>
      <c r="AA221" s="13"/>
      <c r="AB221" s="15"/>
      <c r="AC221" s="6"/>
      <c r="AD221" s="6" t="s">
        <v>1004</v>
      </c>
      <c r="AE221" s="8" t="s">
        <v>1038</v>
      </c>
    </row>
    <row r="222" spans="1:31" ht="30" x14ac:dyDescent="0.25">
      <c r="A222" s="6">
        <v>218</v>
      </c>
      <c r="B222" s="7">
        <v>46303</v>
      </c>
      <c r="C222" s="6" t="s">
        <v>1039</v>
      </c>
      <c r="D222" s="8" t="s">
        <v>1039</v>
      </c>
      <c r="E222" s="8" t="s">
        <v>1040</v>
      </c>
      <c r="F222" s="6" t="s">
        <v>38</v>
      </c>
      <c r="G222" s="6" t="s">
        <v>39</v>
      </c>
      <c r="H222" s="6" t="s">
        <v>40</v>
      </c>
      <c r="I222" s="6" t="s">
        <v>80</v>
      </c>
      <c r="J222" s="9"/>
      <c r="K222" s="9"/>
      <c r="L222" s="9">
        <v>14995904</v>
      </c>
      <c r="M222" s="9"/>
      <c r="N222" s="10">
        <f>IF(AND(ISNUMBER(K222),ISNUMBER(L222),K222&gt;0),L222/K222-1,0.4)</f>
        <v>0.4</v>
      </c>
      <c r="O222" s="10">
        <f>IF(AND(ISNUMBER(K222),ISNUMBER(L222),L222&gt;0),1-K222/L222,0.2857)</f>
        <v>0.28570000000000001</v>
      </c>
      <c r="P222" s="10" t="str">
        <f t="shared" si="9"/>
        <v/>
      </c>
      <c r="Q222" s="10"/>
      <c r="R222" s="10"/>
      <c r="S222" s="6" t="s">
        <v>42</v>
      </c>
      <c r="T222" s="8"/>
      <c r="U222" s="11"/>
      <c r="V222" s="12"/>
      <c r="W222" s="13"/>
      <c r="X222" s="13"/>
      <c r="Y222" s="12"/>
      <c r="Z222" s="14" t="str">
        <f t="shared" si="10"/>
        <v/>
      </c>
      <c r="AA222" s="13"/>
      <c r="AB222" s="15"/>
      <c r="AC222" s="6"/>
      <c r="AD222" s="6" t="s">
        <v>1004</v>
      </c>
      <c r="AE222" s="8" t="s">
        <v>1041</v>
      </c>
    </row>
    <row r="223" spans="1:31" ht="30" x14ac:dyDescent="0.25">
      <c r="A223" s="6">
        <v>219</v>
      </c>
      <c r="B223" s="7">
        <v>46303</v>
      </c>
      <c r="C223" s="6" t="s">
        <v>1042</v>
      </c>
      <c r="D223" s="8" t="s">
        <v>1043</v>
      </c>
      <c r="E223" s="8" t="s">
        <v>1044</v>
      </c>
      <c r="F223" s="6" t="s">
        <v>1045</v>
      </c>
      <c r="G223" s="6" t="s">
        <v>39</v>
      </c>
      <c r="H223" s="6" t="s">
        <v>40</v>
      </c>
      <c r="I223" s="6" t="s">
        <v>643</v>
      </c>
      <c r="J223" s="9"/>
      <c r="K223" s="9"/>
      <c r="L223" s="9">
        <v>3230000</v>
      </c>
      <c r="M223" s="9"/>
      <c r="N223" s="10">
        <f>IF(AND(ISNUMBER(K223),ISNUMBER(L223),K223&gt;0),L223/K223-1,0.4)</f>
        <v>0.4</v>
      </c>
      <c r="O223" s="10">
        <f>IF(AND(ISNUMBER(K223),ISNUMBER(L223),L223&gt;0),1-K223/L223,0.2857)</f>
        <v>0.28570000000000001</v>
      </c>
      <c r="P223" s="10" t="str">
        <f t="shared" si="9"/>
        <v/>
      </c>
      <c r="Q223" s="10"/>
      <c r="R223" s="10"/>
      <c r="S223" s="6" t="s">
        <v>42</v>
      </c>
      <c r="T223" s="8"/>
      <c r="U223" s="11"/>
      <c r="V223" s="12"/>
      <c r="W223" s="13"/>
      <c r="X223" s="13"/>
      <c r="Y223" s="12"/>
      <c r="Z223" s="14" t="str">
        <f t="shared" si="10"/>
        <v/>
      </c>
      <c r="AA223" s="13"/>
      <c r="AB223" s="15"/>
      <c r="AC223" s="6"/>
      <c r="AD223" s="6" t="s">
        <v>1004</v>
      </c>
      <c r="AE223" s="8"/>
    </row>
    <row r="224" spans="1:31" x14ac:dyDescent="0.25">
      <c r="A224" s="6">
        <v>220</v>
      </c>
      <c r="B224" s="7">
        <v>46303</v>
      </c>
      <c r="C224" s="6" t="s">
        <v>1046</v>
      </c>
      <c r="D224" s="8" t="s">
        <v>1047</v>
      </c>
      <c r="E224" s="8" t="s">
        <v>1048</v>
      </c>
      <c r="F224" s="6"/>
      <c r="G224" s="6" t="s">
        <v>48</v>
      </c>
      <c r="H224" s="6" t="s">
        <v>161</v>
      </c>
      <c r="I224" s="6" t="s">
        <v>50</v>
      </c>
      <c r="J224" s="9">
        <v>1670000</v>
      </c>
      <c r="K224" s="9">
        <v>1750000</v>
      </c>
      <c r="L224" s="9"/>
      <c r="M224" s="9"/>
      <c r="N224" s="10" t="str">
        <f>IF(AND(ISNUMBER(K224),ISNUMBER(L224),K224&gt;0),L224/K224-1,"")</f>
        <v/>
      </c>
      <c r="O224" s="10" t="str">
        <f>IF(AND(ISNUMBER(K224),ISNUMBER(L224),L224&gt;0),1-K224/L224,"")</f>
        <v/>
      </c>
      <c r="P224" s="10" t="str">
        <f t="shared" si="9"/>
        <v/>
      </c>
      <c r="Q224" s="10"/>
      <c r="R224" s="10"/>
      <c r="S224" s="6" t="s">
        <v>42</v>
      </c>
      <c r="T224" s="8"/>
      <c r="U224" s="11"/>
      <c r="V224" s="12"/>
      <c r="W224" s="13"/>
      <c r="X224" s="13"/>
      <c r="Y224" s="12"/>
      <c r="Z224" s="14" t="str">
        <f t="shared" si="10"/>
        <v/>
      </c>
      <c r="AA224" s="13"/>
      <c r="AB224" s="15"/>
      <c r="AC224" s="6"/>
      <c r="AD224" s="6" t="s">
        <v>1004</v>
      </c>
      <c r="AE224" s="8" t="s">
        <v>1049</v>
      </c>
    </row>
    <row r="225" spans="1:31" x14ac:dyDescent="0.25">
      <c r="A225" s="6">
        <v>221</v>
      </c>
      <c r="B225" s="7">
        <v>46303</v>
      </c>
      <c r="C225" s="6" t="s">
        <v>1050</v>
      </c>
      <c r="D225" s="8" t="s">
        <v>1051</v>
      </c>
      <c r="E225" s="8" t="s">
        <v>1052</v>
      </c>
      <c r="F225" s="6" t="s">
        <v>38</v>
      </c>
      <c r="G225" s="6" t="s">
        <v>39</v>
      </c>
      <c r="H225" s="6" t="s">
        <v>161</v>
      </c>
      <c r="I225" s="6" t="s">
        <v>643</v>
      </c>
      <c r="J225" s="9">
        <v>16030000</v>
      </c>
      <c r="K225" s="9">
        <v>13960000</v>
      </c>
      <c r="L225" s="9"/>
      <c r="M225" s="9"/>
      <c r="N225" s="10" t="str">
        <f>IF(AND(ISNUMBER(K225),ISNUMBER(L225),K225&gt;0),L225/K225-1,"")</f>
        <v/>
      </c>
      <c r="O225" s="10" t="str">
        <f>IF(AND(ISNUMBER(K225),ISNUMBER(L225),L225&gt;0),1-K225/L225,"")</f>
        <v/>
      </c>
      <c r="P225" s="10" t="str">
        <f t="shared" si="9"/>
        <v/>
      </c>
      <c r="Q225" s="10"/>
      <c r="R225" s="10"/>
      <c r="S225" s="6" t="s">
        <v>42</v>
      </c>
      <c r="T225" s="8"/>
      <c r="U225" s="11"/>
      <c r="V225" s="12"/>
      <c r="W225" s="13"/>
      <c r="X225" s="13"/>
      <c r="Y225" s="12"/>
      <c r="Z225" s="14" t="str">
        <f t="shared" si="10"/>
        <v/>
      </c>
      <c r="AA225" s="13"/>
      <c r="AB225" s="15"/>
      <c r="AC225" s="6"/>
      <c r="AD225" s="6" t="s">
        <v>1004</v>
      </c>
      <c r="AE225" s="8" t="s">
        <v>1053</v>
      </c>
    </row>
    <row r="226" spans="1:31" x14ac:dyDescent="0.25">
      <c r="A226" s="6">
        <v>222</v>
      </c>
      <c r="B226" s="7">
        <v>46303</v>
      </c>
      <c r="C226" s="6" t="s">
        <v>376</v>
      </c>
      <c r="D226" s="8" t="s">
        <v>945</v>
      </c>
      <c r="E226" s="8" t="s">
        <v>1054</v>
      </c>
      <c r="F226" s="6" t="s">
        <v>38</v>
      </c>
      <c r="G226" s="6" t="s">
        <v>48</v>
      </c>
      <c r="H226" s="6" t="s">
        <v>49</v>
      </c>
      <c r="I226" s="6" t="s">
        <v>50</v>
      </c>
      <c r="J226" s="9"/>
      <c r="K226" s="9"/>
      <c r="L226" s="9">
        <v>649395</v>
      </c>
      <c r="M226" s="9"/>
      <c r="N226" s="10">
        <f>IF(AND(ISNUMBER(K226),ISNUMBER(L226),K226&gt;0),L226/K226-1,0.4)</f>
        <v>0.4</v>
      </c>
      <c r="O226" s="10">
        <f>IF(AND(ISNUMBER(K226),ISNUMBER(L226),L226&gt;0),1-K226/L226,0.2857)</f>
        <v>0.28570000000000001</v>
      </c>
      <c r="P226" s="10" t="str">
        <f t="shared" si="9"/>
        <v/>
      </c>
      <c r="Q226" s="10"/>
      <c r="R226" s="10"/>
      <c r="S226" s="6" t="s">
        <v>42</v>
      </c>
      <c r="T226" s="8"/>
      <c r="U226" s="11"/>
      <c r="V226" s="12"/>
      <c r="W226" s="13"/>
      <c r="X226" s="13"/>
      <c r="Y226" s="12"/>
      <c r="Z226" s="14" t="str">
        <f t="shared" si="10"/>
        <v/>
      </c>
      <c r="AA226" s="13"/>
      <c r="AB226" s="15"/>
      <c r="AC226" s="6"/>
      <c r="AD226" s="6" t="s">
        <v>1004</v>
      </c>
      <c r="AE226" s="8"/>
    </row>
    <row r="227" spans="1:31" ht="45" x14ac:dyDescent="0.25">
      <c r="A227" s="6">
        <v>223</v>
      </c>
      <c r="B227" s="7">
        <v>46303</v>
      </c>
      <c r="C227" s="6" t="s">
        <v>45</v>
      </c>
      <c r="D227" s="8" t="s">
        <v>1055</v>
      </c>
      <c r="E227" s="8" t="s">
        <v>1056</v>
      </c>
      <c r="F227" s="6" t="s">
        <v>1057</v>
      </c>
      <c r="G227" s="6" t="s">
        <v>39</v>
      </c>
      <c r="H227" s="6" t="s">
        <v>40</v>
      </c>
      <c r="I227" s="6" t="s">
        <v>41</v>
      </c>
      <c r="J227" s="9"/>
      <c r="K227" s="9">
        <v>19400000</v>
      </c>
      <c r="L227" s="9">
        <v>40735320</v>
      </c>
      <c r="M227" s="9"/>
      <c r="N227" s="10">
        <f>IF(AND(ISNUMBER(K227),ISNUMBER(L227),K227&gt;0),L227/K227-1,1.0998)</f>
        <v>1.0997587628865979</v>
      </c>
      <c r="O227" s="10">
        <f>IF(AND(ISNUMBER(K227),ISNUMBER(L227),L227&gt;0),1-K227/L227,0.5238)</f>
        <v>0.52375481523159761</v>
      </c>
      <c r="P227" s="10" t="str">
        <f t="shared" si="9"/>
        <v/>
      </c>
      <c r="Q227" s="10"/>
      <c r="R227" s="10"/>
      <c r="S227" s="6" t="s">
        <v>42</v>
      </c>
      <c r="T227" s="8"/>
      <c r="U227" s="11"/>
      <c r="V227" s="12"/>
      <c r="W227" s="13"/>
      <c r="X227" s="13"/>
      <c r="Y227" s="12"/>
      <c r="Z227" s="14" t="str">
        <f t="shared" si="10"/>
        <v/>
      </c>
      <c r="AA227" s="13"/>
      <c r="AB227" s="15"/>
      <c r="AC227" s="6" t="s">
        <v>1058</v>
      </c>
      <c r="AD227" s="6" t="s">
        <v>886</v>
      </c>
      <c r="AE227" s="8" t="s">
        <v>1059</v>
      </c>
    </row>
    <row r="228" spans="1:31" x14ac:dyDescent="0.25">
      <c r="A228" s="6">
        <v>224</v>
      </c>
      <c r="B228" s="7">
        <v>46303</v>
      </c>
      <c r="C228" s="6" t="s">
        <v>953</v>
      </c>
      <c r="D228" s="8" t="s">
        <v>1060</v>
      </c>
      <c r="E228" s="8" t="s">
        <v>1061</v>
      </c>
      <c r="F228" s="6" t="s">
        <v>38</v>
      </c>
      <c r="G228" s="6" t="s">
        <v>39</v>
      </c>
      <c r="H228" s="6" t="s">
        <v>161</v>
      </c>
      <c r="I228" s="6" t="s">
        <v>80</v>
      </c>
      <c r="J228" s="9"/>
      <c r="K228" s="9"/>
      <c r="L228" s="9">
        <v>1424066.39</v>
      </c>
      <c r="M228" s="9">
        <v>1737361</v>
      </c>
      <c r="N228" s="10">
        <f>IF(AND(ISNUMBER(K228),ISNUMBER(L228),K228&gt;0),L228/K228-1,0.4)</f>
        <v>0.4</v>
      </c>
      <c r="O228" s="10">
        <f>IF(AND(ISNUMBER(K228),ISNUMBER(L228),L228&gt;0),1-K228/L228,0.2857)</f>
        <v>0.28570000000000001</v>
      </c>
      <c r="P228" s="10" t="str">
        <f t="shared" si="9"/>
        <v/>
      </c>
      <c r="Q228" s="10"/>
      <c r="R228" s="10"/>
      <c r="S228" s="6" t="s">
        <v>42</v>
      </c>
      <c r="T228" s="8"/>
      <c r="U228" s="11"/>
      <c r="V228" s="12"/>
      <c r="W228" s="13"/>
      <c r="X228" s="13"/>
      <c r="Y228" s="12"/>
      <c r="Z228" s="14" t="str">
        <f t="shared" si="10"/>
        <v/>
      </c>
      <c r="AA228" s="13"/>
      <c r="AB228" s="15"/>
      <c r="AC228" s="6"/>
      <c r="AD228" s="6" t="s">
        <v>1004</v>
      </c>
      <c r="AE228" s="8" t="s">
        <v>1062</v>
      </c>
    </row>
    <row r="229" spans="1:31" x14ac:dyDescent="0.25">
      <c r="A229" s="6">
        <v>225</v>
      </c>
      <c r="B229" s="7">
        <v>46303</v>
      </c>
      <c r="C229" s="6" t="s">
        <v>953</v>
      </c>
      <c r="D229" s="8" t="s">
        <v>1063</v>
      </c>
      <c r="E229" s="8" t="s">
        <v>1064</v>
      </c>
      <c r="F229" s="6" t="s">
        <v>38</v>
      </c>
      <c r="G229" s="6" t="s">
        <v>39</v>
      </c>
      <c r="H229" s="6" t="s">
        <v>161</v>
      </c>
      <c r="I229" s="6" t="s">
        <v>643</v>
      </c>
      <c r="J229" s="9"/>
      <c r="K229" s="9"/>
      <c r="L229" s="9">
        <v>12047349</v>
      </c>
      <c r="M229" s="9"/>
      <c r="N229" s="10">
        <f>IF(AND(ISNUMBER(K229),ISNUMBER(L229),K229&gt;0),L229/K229-1,0.4)</f>
        <v>0.4</v>
      </c>
      <c r="O229" s="10">
        <f>IF(AND(ISNUMBER(K229),ISNUMBER(L229),L229&gt;0),1-K229/L229,0.2857)</f>
        <v>0.28570000000000001</v>
      </c>
      <c r="P229" s="10" t="str">
        <f t="shared" si="9"/>
        <v/>
      </c>
      <c r="Q229" s="10"/>
      <c r="R229" s="10"/>
      <c r="S229" s="6" t="s">
        <v>42</v>
      </c>
      <c r="T229" s="8"/>
      <c r="U229" s="11"/>
      <c r="V229" s="12"/>
      <c r="W229" s="13"/>
      <c r="X229" s="13"/>
      <c r="Y229" s="12"/>
      <c r="Z229" s="14" t="str">
        <f t="shared" si="10"/>
        <v/>
      </c>
      <c r="AA229" s="13"/>
      <c r="AB229" s="15"/>
      <c r="AC229" s="6"/>
      <c r="AD229" s="6" t="s">
        <v>1004</v>
      </c>
      <c r="AE229" s="8" t="s">
        <v>1065</v>
      </c>
    </row>
    <row r="230" spans="1:31" x14ac:dyDescent="0.25">
      <c r="A230" s="6">
        <v>226</v>
      </c>
      <c r="B230" s="7">
        <v>46303</v>
      </c>
      <c r="C230" s="6" t="s">
        <v>1066</v>
      </c>
      <c r="D230" s="8" t="s">
        <v>1067</v>
      </c>
      <c r="E230" s="8" t="s">
        <v>1068</v>
      </c>
      <c r="F230" s="6" t="s">
        <v>211</v>
      </c>
      <c r="G230" s="6" t="s">
        <v>561</v>
      </c>
      <c r="H230" s="6" t="s">
        <v>161</v>
      </c>
      <c r="I230" s="6" t="s">
        <v>643</v>
      </c>
      <c r="J230" s="9"/>
      <c r="K230" s="9"/>
      <c r="L230" s="9"/>
      <c r="M230" s="9"/>
      <c r="N230" s="10">
        <f>IF(AND(ISNUMBER(K230),ISNUMBER(L230),K230&gt;0),L230/K230-1,0.4)</f>
        <v>0.4</v>
      </c>
      <c r="O230" s="10" t="str">
        <f>IF(AND(ISNUMBER(K230),ISNUMBER(L230),L230&gt;0),1-K230/L230,"")</f>
        <v/>
      </c>
      <c r="P230" s="10" t="str">
        <f t="shared" si="9"/>
        <v/>
      </c>
      <c r="Q230" s="10"/>
      <c r="R230" s="10"/>
      <c r="S230" s="6" t="s">
        <v>42</v>
      </c>
      <c r="T230" s="8"/>
      <c r="U230" s="11"/>
      <c r="V230" s="12"/>
      <c r="W230" s="13"/>
      <c r="X230" s="13"/>
      <c r="Y230" s="12"/>
      <c r="Z230" s="14" t="str">
        <f t="shared" si="10"/>
        <v/>
      </c>
      <c r="AA230" s="13"/>
      <c r="AB230" s="15"/>
      <c r="AC230" s="6"/>
      <c r="AD230" s="6" t="s">
        <v>1004</v>
      </c>
      <c r="AE230" s="8" t="s">
        <v>1069</v>
      </c>
    </row>
    <row r="231" spans="1:31" ht="30" x14ac:dyDescent="0.25">
      <c r="A231" s="6">
        <v>227</v>
      </c>
      <c r="B231" s="7">
        <v>46303</v>
      </c>
      <c r="C231" s="6" t="s">
        <v>1070</v>
      </c>
      <c r="D231" s="8" t="s">
        <v>1071</v>
      </c>
      <c r="E231" s="8" t="s">
        <v>1072</v>
      </c>
      <c r="F231" s="6" t="s">
        <v>183</v>
      </c>
      <c r="G231" s="6" t="s">
        <v>39</v>
      </c>
      <c r="H231" s="6" t="s">
        <v>161</v>
      </c>
      <c r="I231" s="6" t="s">
        <v>643</v>
      </c>
      <c r="J231" s="9">
        <v>14700000</v>
      </c>
      <c r="K231" s="9">
        <v>27000000</v>
      </c>
      <c r="L231" s="9"/>
      <c r="M231" s="9"/>
      <c r="N231" s="10" t="str">
        <f>IF(AND(ISNUMBER(K231),ISNUMBER(L231),K231&gt;0),L231/K231-1,"")</f>
        <v/>
      </c>
      <c r="O231" s="10" t="str">
        <f>IF(AND(ISNUMBER(K231),ISNUMBER(L231),L231&gt;0),1-K231/L231,"")</f>
        <v/>
      </c>
      <c r="P231" s="10" t="str">
        <f t="shared" si="9"/>
        <v/>
      </c>
      <c r="Q231" s="10"/>
      <c r="R231" s="10"/>
      <c r="S231" s="6" t="s">
        <v>42</v>
      </c>
      <c r="T231" s="8"/>
      <c r="U231" s="11"/>
      <c r="V231" s="12"/>
      <c r="W231" s="13"/>
      <c r="X231" s="13"/>
      <c r="Y231" s="12"/>
      <c r="Z231" s="14" t="str">
        <f t="shared" si="10"/>
        <v/>
      </c>
      <c r="AA231" s="13"/>
      <c r="AB231" s="15"/>
      <c r="AC231" s="6"/>
      <c r="AD231" s="6" t="s">
        <v>1004</v>
      </c>
      <c r="AE231" s="8" t="s">
        <v>1073</v>
      </c>
    </row>
    <row r="232" spans="1:31" x14ac:dyDescent="0.25">
      <c r="A232" s="6">
        <v>228</v>
      </c>
      <c r="B232" s="7">
        <v>46303</v>
      </c>
      <c r="C232" s="6" t="s">
        <v>1074</v>
      </c>
      <c r="D232" s="8" t="s">
        <v>1075</v>
      </c>
      <c r="E232" s="8" t="s">
        <v>1076</v>
      </c>
      <c r="F232" s="6"/>
      <c r="G232" s="6" t="s">
        <v>811</v>
      </c>
      <c r="H232" s="6" t="s">
        <v>161</v>
      </c>
      <c r="I232" s="6" t="s">
        <v>80</v>
      </c>
      <c r="J232" s="9">
        <v>17590000</v>
      </c>
      <c r="K232" s="9">
        <v>11530000</v>
      </c>
      <c r="L232" s="9"/>
      <c r="M232" s="9"/>
      <c r="N232" s="10" t="str">
        <f>IF(AND(ISNUMBER(K232),ISNUMBER(L232),K232&gt;0),L232/K232-1,"")</f>
        <v/>
      </c>
      <c r="O232" s="10" t="str">
        <f>IF(AND(ISNUMBER(K232),ISNUMBER(L232),L232&gt;0),1-K232/L232,"")</f>
        <v/>
      </c>
      <c r="P232" s="10" t="str">
        <f t="shared" si="9"/>
        <v/>
      </c>
      <c r="Q232" s="10"/>
      <c r="R232" s="10"/>
      <c r="S232" s="6" t="s">
        <v>42</v>
      </c>
      <c r="T232" s="8"/>
      <c r="U232" s="11"/>
      <c r="V232" s="12"/>
      <c r="W232" s="13"/>
      <c r="X232" s="13"/>
      <c r="Y232" s="12"/>
      <c r="Z232" s="14" t="str">
        <f t="shared" si="10"/>
        <v/>
      </c>
      <c r="AA232" s="13"/>
      <c r="AB232" s="15"/>
      <c r="AC232" s="6"/>
      <c r="AD232" s="6" t="s">
        <v>1004</v>
      </c>
      <c r="AE232" s="8" t="s">
        <v>1077</v>
      </c>
    </row>
    <row r="233" spans="1:31" x14ac:dyDescent="0.25">
      <c r="A233" s="6">
        <v>229</v>
      </c>
      <c r="B233" s="7">
        <v>46303</v>
      </c>
      <c r="C233" s="6" t="s">
        <v>1078</v>
      </c>
      <c r="D233" s="8" t="s">
        <v>1079</v>
      </c>
      <c r="E233" s="8" t="s">
        <v>1080</v>
      </c>
      <c r="F233" s="6" t="s">
        <v>38</v>
      </c>
      <c r="G233" s="6" t="s">
        <v>39</v>
      </c>
      <c r="H233" s="6" t="s">
        <v>161</v>
      </c>
      <c r="I233" s="6" t="s">
        <v>80</v>
      </c>
      <c r="J233" s="9"/>
      <c r="K233" s="9"/>
      <c r="L233" s="9">
        <v>1440978</v>
      </c>
      <c r="M233" s="9"/>
      <c r="N233" s="10">
        <f>IF(AND(ISNUMBER(K233),ISNUMBER(L233),K233&gt;0),L233/K233-1,0.4)</f>
        <v>0.4</v>
      </c>
      <c r="O233" s="10">
        <f>IF(AND(ISNUMBER(K233),ISNUMBER(L233),L233&gt;0),1-K233/L233,0.2857)</f>
        <v>0.28570000000000001</v>
      </c>
      <c r="P233" s="10" t="str">
        <f t="shared" si="9"/>
        <v/>
      </c>
      <c r="Q233" s="10"/>
      <c r="R233" s="10"/>
      <c r="S233" s="6" t="s">
        <v>42</v>
      </c>
      <c r="T233" s="8"/>
      <c r="U233" s="11"/>
      <c r="V233" s="12"/>
      <c r="W233" s="13"/>
      <c r="X233" s="13"/>
      <c r="Y233" s="12"/>
      <c r="Z233" s="14" t="str">
        <f t="shared" si="10"/>
        <v/>
      </c>
      <c r="AA233" s="13"/>
      <c r="AB233" s="15"/>
      <c r="AC233" s="6"/>
      <c r="AD233" s="6" t="s">
        <v>1004</v>
      </c>
      <c r="AE233" s="8"/>
    </row>
    <row r="234" spans="1:31" x14ac:dyDescent="0.25">
      <c r="A234" s="6">
        <v>230</v>
      </c>
      <c r="B234" s="7">
        <v>46303</v>
      </c>
      <c r="C234" s="6" t="s">
        <v>1081</v>
      </c>
      <c r="D234" s="8" t="s">
        <v>1082</v>
      </c>
      <c r="E234" s="8" t="s">
        <v>1083</v>
      </c>
      <c r="F234" s="6"/>
      <c r="G234" s="6" t="s">
        <v>39</v>
      </c>
      <c r="H234" s="6" t="s">
        <v>40</v>
      </c>
      <c r="I234" s="6" t="s">
        <v>643</v>
      </c>
      <c r="J234" s="9"/>
      <c r="K234" s="9"/>
      <c r="L234" s="9">
        <v>338338</v>
      </c>
      <c r="M234" s="9"/>
      <c r="N234" s="10">
        <f>IF(AND(ISNUMBER(K234),ISNUMBER(L234),K234&gt;0),L234/K234-1,0.4)</f>
        <v>0.4</v>
      </c>
      <c r="O234" s="10">
        <f>IF(AND(ISNUMBER(K234),ISNUMBER(L234),L234&gt;0),1-K234/L234,0.2857)</f>
        <v>0.28570000000000001</v>
      </c>
      <c r="P234" s="10" t="str">
        <f t="shared" si="9"/>
        <v/>
      </c>
      <c r="Q234" s="10"/>
      <c r="R234" s="10"/>
      <c r="S234" s="6" t="s">
        <v>42</v>
      </c>
      <c r="T234" s="8"/>
      <c r="U234" s="11"/>
      <c r="V234" s="12"/>
      <c r="W234" s="13"/>
      <c r="X234" s="13"/>
      <c r="Y234" s="12"/>
      <c r="Z234" s="14" t="str">
        <f t="shared" si="10"/>
        <v/>
      </c>
      <c r="AA234" s="13"/>
      <c r="AB234" s="15"/>
      <c r="AC234" s="6"/>
      <c r="AD234" s="6" t="s">
        <v>1004</v>
      </c>
      <c r="AE234" s="8" t="s">
        <v>1065</v>
      </c>
    </row>
    <row r="235" spans="1:31" ht="30" x14ac:dyDescent="0.25">
      <c r="A235" s="6">
        <v>231</v>
      </c>
      <c r="B235" s="7">
        <v>46303</v>
      </c>
      <c r="C235" s="6" t="s">
        <v>1084</v>
      </c>
      <c r="D235" s="8" t="s">
        <v>1085</v>
      </c>
      <c r="E235" s="8" t="s">
        <v>1086</v>
      </c>
      <c r="F235" s="6" t="s">
        <v>183</v>
      </c>
      <c r="G235" s="6" t="s">
        <v>39</v>
      </c>
      <c r="H235" s="6" t="s">
        <v>40</v>
      </c>
      <c r="I235" s="6" t="s">
        <v>41</v>
      </c>
      <c r="J235" s="9">
        <v>3020000</v>
      </c>
      <c r="K235" s="9">
        <v>3960000</v>
      </c>
      <c r="L235" s="9"/>
      <c r="M235" s="9"/>
      <c r="N235" s="10" t="str">
        <f>IF(AND(ISNUMBER(K235),ISNUMBER(L235),K235&gt;0),L235/K235-1,"")</f>
        <v/>
      </c>
      <c r="O235" s="10" t="str">
        <f>IF(AND(ISNUMBER(K235),ISNUMBER(L235),L235&gt;0),1-K235/L235,"")</f>
        <v/>
      </c>
      <c r="P235" s="10" t="str">
        <f t="shared" si="9"/>
        <v/>
      </c>
      <c r="Q235" s="10"/>
      <c r="R235" s="10"/>
      <c r="S235" s="6" t="s">
        <v>42</v>
      </c>
      <c r="T235" s="8"/>
      <c r="U235" s="11"/>
      <c r="V235" s="12"/>
      <c r="W235" s="13"/>
      <c r="X235" s="13"/>
      <c r="Y235" s="12"/>
      <c r="Z235" s="14" t="str">
        <f t="shared" si="10"/>
        <v/>
      </c>
      <c r="AA235" s="13"/>
      <c r="AB235" s="15"/>
      <c r="AC235" s="6"/>
      <c r="AD235" s="6" t="s">
        <v>1004</v>
      </c>
      <c r="AE235" s="8" t="s">
        <v>1087</v>
      </c>
    </row>
    <row r="236" spans="1:31" ht="30" x14ac:dyDescent="0.25">
      <c r="A236" s="6">
        <v>232</v>
      </c>
      <c r="B236" s="7">
        <v>46303</v>
      </c>
      <c r="C236" s="6" t="s">
        <v>1088</v>
      </c>
      <c r="D236" s="8" t="s">
        <v>1089</v>
      </c>
      <c r="E236" s="8" t="s">
        <v>1090</v>
      </c>
      <c r="F236" s="6"/>
      <c r="G236" s="6" t="s">
        <v>48</v>
      </c>
      <c r="H236" s="6" t="s">
        <v>49</v>
      </c>
      <c r="I236" s="6" t="s">
        <v>50</v>
      </c>
      <c r="J236" s="9"/>
      <c r="K236" s="9"/>
      <c r="L236" s="9">
        <v>175630000</v>
      </c>
      <c r="M236" s="9">
        <v>214265013</v>
      </c>
      <c r="N236" s="10">
        <f>IF(AND(ISNUMBER(K236),ISNUMBER(L236),K236&gt;0),L236/K236-1,0.4)</f>
        <v>0.4</v>
      </c>
      <c r="O236" s="10">
        <f>IF(AND(ISNUMBER(K236),ISNUMBER(L236),L236&gt;0),1-K236/L236,0.2857)</f>
        <v>0.28570000000000001</v>
      </c>
      <c r="P236" s="10" t="str">
        <f t="shared" si="9"/>
        <v/>
      </c>
      <c r="Q236" s="10"/>
      <c r="R236" s="10"/>
      <c r="S236" s="6" t="s">
        <v>42</v>
      </c>
      <c r="T236" s="8"/>
      <c r="U236" s="11"/>
      <c r="V236" s="12"/>
      <c r="W236" s="13"/>
      <c r="X236" s="13"/>
      <c r="Y236" s="12"/>
      <c r="Z236" s="14" t="str">
        <f t="shared" si="10"/>
        <v/>
      </c>
      <c r="AA236" s="13"/>
      <c r="AB236" s="15"/>
      <c r="AC236" s="6"/>
      <c r="AD236" s="6" t="s">
        <v>1004</v>
      </c>
      <c r="AE236" s="8" t="s">
        <v>1091</v>
      </c>
    </row>
    <row r="237" spans="1:31" ht="75" x14ac:dyDescent="0.25">
      <c r="A237" s="6">
        <v>233</v>
      </c>
      <c r="B237" s="7">
        <v>46304</v>
      </c>
      <c r="C237" s="6" t="s">
        <v>1092</v>
      </c>
      <c r="D237" s="8" t="s">
        <v>1093</v>
      </c>
      <c r="E237" s="8" t="s">
        <v>1094</v>
      </c>
      <c r="F237" s="6" t="s">
        <v>1095</v>
      </c>
      <c r="G237" s="6" t="s">
        <v>39</v>
      </c>
      <c r="H237" s="6" t="s">
        <v>40</v>
      </c>
      <c r="I237" s="6" t="s">
        <v>80</v>
      </c>
      <c r="J237" s="9"/>
      <c r="K237" s="9"/>
      <c r="L237" s="9">
        <v>16048317.460000001</v>
      </c>
      <c r="M237" s="9">
        <v>19578947.300000001</v>
      </c>
      <c r="N237" s="10" t="str">
        <f>IF(AND(ISNUMBER(K237),ISNUMBER(L237),K237&gt;0),L237/K237-1,"")</f>
        <v/>
      </c>
      <c r="O237" s="10">
        <f>IF(AND(ISNUMBER(K237),ISNUMBER(L237),L237&gt;0),1-K237/L237,0.253)</f>
        <v>0.253</v>
      </c>
      <c r="P237" s="10" t="str">
        <f t="shared" si="9"/>
        <v/>
      </c>
      <c r="Q237" s="10"/>
      <c r="R237" s="10"/>
      <c r="S237" s="6" t="s">
        <v>114</v>
      </c>
      <c r="T237" s="8" t="s">
        <v>1096</v>
      </c>
      <c r="U237" s="11"/>
      <c r="V237" s="12"/>
      <c r="W237" s="13" t="s">
        <v>318</v>
      </c>
      <c r="X237" s="13"/>
      <c r="Y237" s="12"/>
      <c r="Z237" s="14" t="str">
        <f t="shared" si="10"/>
        <v/>
      </c>
      <c r="AA237" s="13"/>
      <c r="AB237" s="15"/>
      <c r="AC237" s="6" t="s">
        <v>1097</v>
      </c>
      <c r="AD237" s="6" t="s">
        <v>1098</v>
      </c>
      <c r="AE237" s="8" t="s">
        <v>1099</v>
      </c>
    </row>
    <row r="238" spans="1:31" ht="45" x14ac:dyDescent="0.25">
      <c r="A238" s="6">
        <v>234</v>
      </c>
      <c r="B238" s="7">
        <v>46307</v>
      </c>
      <c r="C238" s="6" t="s">
        <v>1100</v>
      </c>
      <c r="D238" s="8" t="s">
        <v>1101</v>
      </c>
      <c r="E238" s="8" t="s">
        <v>1102</v>
      </c>
      <c r="F238" s="6"/>
      <c r="G238" s="6" t="s">
        <v>561</v>
      </c>
      <c r="H238" s="6" t="s">
        <v>161</v>
      </c>
      <c r="I238" s="6" t="s">
        <v>643</v>
      </c>
      <c r="J238" s="9">
        <v>78501000</v>
      </c>
      <c r="K238" s="9">
        <v>51930000</v>
      </c>
      <c r="L238" s="9"/>
      <c r="M238" s="9"/>
      <c r="N238" s="10" t="str">
        <f>IF(AND(ISNUMBER(K238),ISNUMBER(L238),K238&gt;0),L238/K238-1,"")</f>
        <v/>
      </c>
      <c r="O238" s="10" t="str">
        <f>IF(AND(ISNUMBER(K238),ISNUMBER(L238),L238&gt;0),1-K238/L238,"")</f>
        <v/>
      </c>
      <c r="P238" s="10" t="str">
        <f t="shared" si="9"/>
        <v/>
      </c>
      <c r="Q238" s="10"/>
      <c r="R238" s="10"/>
      <c r="S238" s="6" t="s">
        <v>42</v>
      </c>
      <c r="T238" s="8"/>
      <c r="U238" s="11"/>
      <c r="V238" s="12"/>
      <c r="W238" s="13"/>
      <c r="X238" s="13"/>
      <c r="Y238" s="12"/>
      <c r="Z238" s="14" t="str">
        <f t="shared" si="10"/>
        <v/>
      </c>
      <c r="AA238" s="13"/>
      <c r="AB238" s="15"/>
      <c r="AC238" s="6"/>
      <c r="AD238" s="6" t="s">
        <v>1103</v>
      </c>
      <c r="AE238" s="8" t="s">
        <v>1104</v>
      </c>
    </row>
    <row r="239" spans="1:31" ht="30" x14ac:dyDescent="0.25">
      <c r="A239" s="6">
        <v>235</v>
      </c>
      <c r="B239" s="7">
        <v>46307</v>
      </c>
      <c r="C239" s="6" t="s">
        <v>1100</v>
      </c>
      <c r="D239" s="8" t="s">
        <v>1105</v>
      </c>
      <c r="E239" s="8" t="s">
        <v>1106</v>
      </c>
      <c r="F239" s="6" t="s">
        <v>117</v>
      </c>
      <c r="G239" s="6" t="s">
        <v>561</v>
      </c>
      <c r="H239" s="6" t="s">
        <v>161</v>
      </c>
      <c r="I239" s="6" t="s">
        <v>643</v>
      </c>
      <c r="J239" s="9">
        <v>3000000</v>
      </c>
      <c r="K239" s="9"/>
      <c r="L239" s="9"/>
      <c r="M239" s="9"/>
      <c r="N239" s="10" t="str">
        <f>IF(AND(ISNUMBER(K239),ISNUMBER(L239),K239&gt;0),L239/K239-1,"")</f>
        <v/>
      </c>
      <c r="O239" s="10" t="str">
        <f>IF(AND(ISNUMBER(K239),ISNUMBER(L239),L239&gt;0),1-K239/L239,"")</f>
        <v/>
      </c>
      <c r="P239" s="10" t="str">
        <f t="shared" si="9"/>
        <v/>
      </c>
      <c r="Q239" s="10"/>
      <c r="R239" s="10"/>
      <c r="S239" s="6" t="s">
        <v>42</v>
      </c>
      <c r="T239" s="8"/>
      <c r="U239" s="11"/>
      <c r="V239" s="12"/>
      <c r="W239" s="13"/>
      <c r="X239" s="13"/>
      <c r="Y239" s="12"/>
      <c r="Z239" s="14" t="str">
        <f t="shared" si="10"/>
        <v/>
      </c>
      <c r="AA239" s="13"/>
      <c r="AB239" s="15"/>
      <c r="AC239" s="6"/>
      <c r="AD239" s="6" t="s">
        <v>1103</v>
      </c>
      <c r="AE239" s="8" t="s">
        <v>1107</v>
      </c>
    </row>
    <row r="240" spans="1:31" ht="45" x14ac:dyDescent="0.25">
      <c r="A240" s="6">
        <v>236</v>
      </c>
      <c r="B240" s="7">
        <v>46307</v>
      </c>
      <c r="C240" s="6" t="s">
        <v>1108</v>
      </c>
      <c r="D240" s="8" t="s">
        <v>1109</v>
      </c>
      <c r="E240" s="8" t="s">
        <v>1110</v>
      </c>
      <c r="F240" s="6" t="s">
        <v>183</v>
      </c>
      <c r="G240" s="6" t="s">
        <v>39</v>
      </c>
      <c r="H240" s="6" t="s">
        <v>40</v>
      </c>
      <c r="I240" s="6" t="s">
        <v>80</v>
      </c>
      <c r="J240" s="9"/>
      <c r="K240" s="9">
        <v>20698590</v>
      </c>
      <c r="L240" s="9">
        <v>18000000</v>
      </c>
      <c r="M240" s="9"/>
      <c r="N240" s="10">
        <f>IF(AND(ISNUMBER(K240),ISNUMBER(L240),K240&gt;0),L240/K240-1,-0.1304)</f>
        <v>-0.13037554731988987</v>
      </c>
      <c r="O240" s="10">
        <f>IF(AND(ISNUMBER(K240),ISNUMBER(L240),L240&gt;0),1-K240/L240,-0.1499)</f>
        <v>-0.14992166666666673</v>
      </c>
      <c r="P240" s="10" t="str">
        <f t="shared" si="9"/>
        <v/>
      </c>
      <c r="Q240" s="10"/>
      <c r="R240" s="10"/>
      <c r="S240" s="6" t="s">
        <v>42</v>
      </c>
      <c r="T240" s="8" t="s">
        <v>1111</v>
      </c>
      <c r="U240" s="11"/>
      <c r="V240" s="12"/>
      <c r="W240" s="13"/>
      <c r="X240" s="13"/>
      <c r="Y240" s="12"/>
      <c r="Z240" s="14" t="str">
        <f t="shared" si="10"/>
        <v/>
      </c>
      <c r="AA240" s="13"/>
      <c r="AB240" s="15"/>
      <c r="AC240" s="6" t="s">
        <v>1112</v>
      </c>
      <c r="AD240" s="6" t="s">
        <v>1113</v>
      </c>
      <c r="AE240" s="8" t="s">
        <v>1114</v>
      </c>
    </row>
    <row r="241" spans="1:31" ht="45" x14ac:dyDescent="0.25">
      <c r="A241" s="6">
        <v>237</v>
      </c>
      <c r="B241" s="7">
        <v>46307</v>
      </c>
      <c r="C241" s="6" t="s">
        <v>1115</v>
      </c>
      <c r="D241" s="8" t="s">
        <v>1116</v>
      </c>
      <c r="E241" s="8" t="s">
        <v>1117</v>
      </c>
      <c r="F241" s="6" t="s">
        <v>211</v>
      </c>
      <c r="G241" s="6" t="s">
        <v>39</v>
      </c>
      <c r="H241" s="6" t="s">
        <v>40</v>
      </c>
      <c r="I241" s="6" t="s">
        <v>80</v>
      </c>
      <c r="J241" s="9">
        <v>53769600</v>
      </c>
      <c r="K241" s="9">
        <v>117450000</v>
      </c>
      <c r="L241" s="9"/>
      <c r="M241" s="9"/>
      <c r="N241" s="10" t="str">
        <f>IF(AND(ISNUMBER(K241),ISNUMBER(L241),K241&gt;0),L241/K241-1,"")</f>
        <v/>
      </c>
      <c r="O241" s="10" t="str">
        <f>IF(AND(ISNUMBER(K241),ISNUMBER(L241),L241&gt;0),1-K241/L241,"")</f>
        <v/>
      </c>
      <c r="P241" s="10" t="str">
        <f t="shared" si="9"/>
        <v/>
      </c>
      <c r="Q241" s="10"/>
      <c r="R241" s="10"/>
      <c r="S241" s="6" t="s">
        <v>193</v>
      </c>
      <c r="T241" s="8"/>
      <c r="U241" s="11"/>
      <c r="V241" s="12"/>
      <c r="W241" s="13" t="s">
        <v>194</v>
      </c>
      <c r="X241" s="13"/>
      <c r="Y241" s="12"/>
      <c r="Z241" s="14" t="str">
        <f t="shared" si="10"/>
        <v/>
      </c>
      <c r="AA241" s="13"/>
      <c r="AB241" s="15"/>
      <c r="AC241" s="6"/>
      <c r="AD241" s="6" t="s">
        <v>1103</v>
      </c>
      <c r="AE241" s="8" t="s">
        <v>1118</v>
      </c>
    </row>
    <row r="242" spans="1:31" ht="30" x14ac:dyDescent="0.25">
      <c r="A242" s="6">
        <v>238</v>
      </c>
      <c r="B242" s="7">
        <v>46316</v>
      </c>
      <c r="C242" s="6" t="s">
        <v>756</v>
      </c>
      <c r="D242" s="8" t="s">
        <v>1119</v>
      </c>
      <c r="E242" s="8" t="s">
        <v>1120</v>
      </c>
      <c r="F242" s="6" t="s">
        <v>1121</v>
      </c>
      <c r="G242" s="6" t="s">
        <v>39</v>
      </c>
      <c r="H242" s="6" t="s">
        <v>40</v>
      </c>
      <c r="I242" s="6" t="s">
        <v>80</v>
      </c>
      <c r="J242" s="9"/>
      <c r="K242" s="9">
        <v>6260000</v>
      </c>
      <c r="L242" s="9">
        <v>8759395</v>
      </c>
      <c r="M242" s="9"/>
      <c r="N242" s="10">
        <f t="shared" ref="N242:N247" si="13">IF(AND(ISNUMBER(K242),ISNUMBER(L242),K242&gt;0),L242/K242-1,0.4)</f>
        <v>0.39926437699680517</v>
      </c>
      <c r="O242" s="10">
        <f>IF(AND(ISNUMBER(K242),ISNUMBER(L242),L242&gt;0),1-K242/L242,0.2853)</f>
        <v>0.28533877054294277</v>
      </c>
      <c r="P242" s="10" t="str">
        <f t="shared" si="9"/>
        <v/>
      </c>
      <c r="Q242" s="10"/>
      <c r="R242" s="10"/>
      <c r="S242" s="6" t="s">
        <v>42</v>
      </c>
      <c r="T242" s="8"/>
      <c r="U242" s="11"/>
      <c r="V242" s="12"/>
      <c r="W242" s="13"/>
      <c r="X242" s="13"/>
      <c r="Y242" s="12"/>
      <c r="Z242" s="14" t="str">
        <f t="shared" si="10"/>
        <v/>
      </c>
      <c r="AA242" s="13"/>
      <c r="AB242" s="15"/>
      <c r="AC242" s="6" t="s">
        <v>1122</v>
      </c>
      <c r="AD242" s="6" t="s">
        <v>1123</v>
      </c>
      <c r="AE242" s="8" t="s">
        <v>1124</v>
      </c>
    </row>
    <row r="243" spans="1:31" ht="30" x14ac:dyDescent="0.25">
      <c r="A243" s="6">
        <v>239</v>
      </c>
      <c r="B243" s="7">
        <v>46316</v>
      </c>
      <c r="C243" s="6" t="s">
        <v>1125</v>
      </c>
      <c r="D243" s="8" t="s">
        <v>1126</v>
      </c>
      <c r="E243" s="8" t="s">
        <v>1127</v>
      </c>
      <c r="F243" s="6" t="s">
        <v>38</v>
      </c>
      <c r="G243" s="6" t="s">
        <v>48</v>
      </c>
      <c r="H243" s="6" t="s">
        <v>161</v>
      </c>
      <c r="I243" s="6" t="s">
        <v>50</v>
      </c>
      <c r="J243" s="9"/>
      <c r="K243" s="9">
        <v>6756666</v>
      </c>
      <c r="L243" s="9">
        <v>9459319</v>
      </c>
      <c r="M243" s="9">
        <v>11540369</v>
      </c>
      <c r="N243" s="10">
        <f t="shared" si="13"/>
        <v>0.39999801677336122</v>
      </c>
      <c r="O243" s="10">
        <f>IF(AND(ISNUMBER(K243),ISNUMBER(L243),L243&gt;0),1-K243/L243,0.2857)</f>
        <v>0.28571327386252643</v>
      </c>
      <c r="P243" s="10" t="str">
        <f t="shared" si="9"/>
        <v/>
      </c>
      <c r="Q243" s="10"/>
      <c r="R243" s="10"/>
      <c r="S243" s="6" t="s">
        <v>42</v>
      </c>
      <c r="T243" s="8"/>
      <c r="U243" s="11"/>
      <c r="V243" s="12"/>
      <c r="W243" s="13"/>
      <c r="X243" s="13"/>
      <c r="Y243" s="12"/>
      <c r="Z243" s="14" t="str">
        <f t="shared" si="10"/>
        <v/>
      </c>
      <c r="AA243" s="13"/>
      <c r="AB243" s="15"/>
      <c r="AC243" s="6" t="s">
        <v>1128</v>
      </c>
      <c r="AD243" s="6" t="s">
        <v>1123</v>
      </c>
      <c r="AE243" s="8" t="s">
        <v>1129</v>
      </c>
    </row>
    <row r="244" spans="1:31" ht="30" x14ac:dyDescent="0.25">
      <c r="A244" s="6">
        <v>240</v>
      </c>
      <c r="B244" s="7">
        <v>46316</v>
      </c>
      <c r="C244" s="6" t="s">
        <v>1130</v>
      </c>
      <c r="D244" s="8" t="s">
        <v>1131</v>
      </c>
      <c r="E244" s="8" t="s">
        <v>1132</v>
      </c>
      <c r="F244" s="6" t="s">
        <v>183</v>
      </c>
      <c r="G244" s="6" t="s">
        <v>48</v>
      </c>
      <c r="H244" s="6" t="s">
        <v>49</v>
      </c>
      <c r="I244" s="6" t="s">
        <v>50</v>
      </c>
      <c r="J244" s="9"/>
      <c r="K244" s="9">
        <v>3802492</v>
      </c>
      <c r="L244" s="9">
        <v>5323484</v>
      </c>
      <c r="M244" s="9">
        <v>6494651</v>
      </c>
      <c r="N244" s="10">
        <f t="shared" si="13"/>
        <v>0.39999873766992811</v>
      </c>
      <c r="O244" s="10">
        <f>IF(AND(ISNUMBER(K244),ISNUMBER(L244),L244&gt;0),1-K244/L244,0.2857)</f>
        <v>0.28571364166774993</v>
      </c>
      <c r="P244" s="10" t="str">
        <f t="shared" si="9"/>
        <v/>
      </c>
      <c r="Q244" s="10"/>
      <c r="R244" s="10"/>
      <c r="S244" s="6" t="s">
        <v>42</v>
      </c>
      <c r="T244" s="8"/>
      <c r="U244" s="11"/>
      <c r="V244" s="12"/>
      <c r="W244" s="13"/>
      <c r="X244" s="13"/>
      <c r="Y244" s="12"/>
      <c r="Z244" s="14" t="str">
        <f t="shared" si="10"/>
        <v/>
      </c>
      <c r="AA244" s="13"/>
      <c r="AB244" s="15"/>
      <c r="AC244" s="6" t="s">
        <v>1133</v>
      </c>
      <c r="AD244" s="6" t="s">
        <v>1123</v>
      </c>
      <c r="AE244" s="8" t="s">
        <v>1134</v>
      </c>
    </row>
    <row r="245" spans="1:31" x14ac:dyDescent="0.25">
      <c r="A245" s="6">
        <v>241</v>
      </c>
      <c r="B245" s="7">
        <v>46316</v>
      </c>
      <c r="C245" s="6" t="s">
        <v>1130</v>
      </c>
      <c r="D245" s="8" t="s">
        <v>1135</v>
      </c>
      <c r="E245" s="8" t="s">
        <v>1136</v>
      </c>
      <c r="F245" s="6" t="s">
        <v>183</v>
      </c>
      <c r="G245" s="6" t="s">
        <v>48</v>
      </c>
      <c r="H245" s="6" t="s">
        <v>49</v>
      </c>
      <c r="I245" s="6" t="s">
        <v>50</v>
      </c>
      <c r="J245" s="9"/>
      <c r="K245" s="9">
        <v>1076159</v>
      </c>
      <c r="L245" s="9">
        <v>1506623</v>
      </c>
      <c r="M245" s="9">
        <v>1838080</v>
      </c>
      <c r="N245" s="10">
        <f t="shared" si="13"/>
        <v>0.40000037169228708</v>
      </c>
      <c r="O245" s="10">
        <f>IF(AND(ISNUMBER(K245),ISNUMBER(L245),L245&gt;0),1-K245/L245,0.2857)</f>
        <v>0.2857144753531573</v>
      </c>
      <c r="P245" s="10" t="str">
        <f t="shared" si="9"/>
        <v/>
      </c>
      <c r="Q245" s="10"/>
      <c r="R245" s="10"/>
      <c r="S245" s="6" t="s">
        <v>42</v>
      </c>
      <c r="T245" s="8"/>
      <c r="U245" s="11"/>
      <c r="V245" s="12"/>
      <c r="W245" s="13"/>
      <c r="X245" s="13"/>
      <c r="Y245" s="12"/>
      <c r="Z245" s="14" t="str">
        <f t="shared" si="10"/>
        <v/>
      </c>
      <c r="AA245" s="13"/>
      <c r="AB245" s="15"/>
      <c r="AC245" s="6" t="s">
        <v>1137</v>
      </c>
      <c r="AD245" s="6" t="s">
        <v>1123</v>
      </c>
      <c r="AE245" s="8" t="s">
        <v>1138</v>
      </c>
    </row>
    <row r="246" spans="1:31" ht="45" x14ac:dyDescent="0.25">
      <c r="A246" s="6">
        <v>242</v>
      </c>
      <c r="B246" s="7">
        <v>46316</v>
      </c>
      <c r="C246" s="6" t="s">
        <v>789</v>
      </c>
      <c r="D246" s="8" t="s">
        <v>1139</v>
      </c>
      <c r="E246" s="8" t="s">
        <v>1140</v>
      </c>
      <c r="F246" s="6" t="s">
        <v>183</v>
      </c>
      <c r="G246" s="6" t="s">
        <v>48</v>
      </c>
      <c r="H246" s="6" t="s">
        <v>49</v>
      </c>
      <c r="I246" s="6" t="s">
        <v>50</v>
      </c>
      <c r="J246" s="9"/>
      <c r="K246" s="9">
        <v>33250000</v>
      </c>
      <c r="L246" s="9">
        <v>46550000</v>
      </c>
      <c r="M246" s="9">
        <v>56794538</v>
      </c>
      <c r="N246" s="10">
        <f t="shared" si="13"/>
        <v>0.39999999999999991</v>
      </c>
      <c r="O246" s="10">
        <f>IF(AND(ISNUMBER(K246),ISNUMBER(L246),L246&gt;0),1-K246/L246,0.2857)</f>
        <v>0.2857142857142857</v>
      </c>
      <c r="P246" s="10" t="str">
        <f t="shared" si="9"/>
        <v/>
      </c>
      <c r="Q246" s="10">
        <v>0.15</v>
      </c>
      <c r="R246" s="10">
        <v>2.9</v>
      </c>
      <c r="S246" s="6" t="s">
        <v>42</v>
      </c>
      <c r="T246" s="8"/>
      <c r="U246" s="11"/>
      <c r="V246" s="12"/>
      <c r="W246" s="13"/>
      <c r="X246" s="13"/>
      <c r="Y246" s="12"/>
      <c r="Z246" s="14" t="str">
        <f t="shared" si="10"/>
        <v/>
      </c>
      <c r="AA246" s="13"/>
      <c r="AB246" s="15"/>
      <c r="AC246" s="6" t="s">
        <v>1141</v>
      </c>
      <c r="AD246" s="6" t="s">
        <v>1142</v>
      </c>
      <c r="AE246" s="8" t="s">
        <v>1143</v>
      </c>
    </row>
    <row r="247" spans="1:31" ht="30" x14ac:dyDescent="0.25">
      <c r="A247" s="6">
        <v>243</v>
      </c>
      <c r="B247" s="7">
        <v>46316</v>
      </c>
      <c r="C247" s="6" t="s">
        <v>789</v>
      </c>
      <c r="D247" s="8" t="s">
        <v>1144</v>
      </c>
      <c r="E247" s="8" t="s">
        <v>1145</v>
      </c>
      <c r="F247" s="6" t="s">
        <v>183</v>
      </c>
      <c r="G247" s="6" t="s">
        <v>48</v>
      </c>
      <c r="H247" s="6" t="s">
        <v>49</v>
      </c>
      <c r="I247" s="6" t="s">
        <v>50</v>
      </c>
      <c r="J247" s="9"/>
      <c r="K247" s="9">
        <v>33220000</v>
      </c>
      <c r="L247" s="9">
        <v>46500000</v>
      </c>
      <c r="M247" s="9">
        <v>56732367</v>
      </c>
      <c r="N247" s="10">
        <f t="shared" si="13"/>
        <v>0.39975918121613496</v>
      </c>
      <c r="O247" s="10">
        <f>IF(AND(ISNUMBER(K247),ISNUMBER(L247),L247&gt;0),1-K247/L247,0.2856)</f>
        <v>0.28559139784946241</v>
      </c>
      <c r="P247" s="10" t="str">
        <f t="shared" si="9"/>
        <v/>
      </c>
      <c r="Q247" s="10">
        <v>0.15</v>
      </c>
      <c r="R247" s="10">
        <v>3.5</v>
      </c>
      <c r="S247" s="6" t="s">
        <v>42</v>
      </c>
      <c r="T247" s="8"/>
      <c r="U247" s="11"/>
      <c r="V247" s="12"/>
      <c r="W247" s="13"/>
      <c r="X247" s="13"/>
      <c r="Y247" s="12"/>
      <c r="Z247" s="14" t="str">
        <f t="shared" si="10"/>
        <v/>
      </c>
      <c r="AA247" s="13"/>
      <c r="AB247" s="15"/>
      <c r="AC247" s="6" t="s">
        <v>1146</v>
      </c>
      <c r="AD247" s="6" t="s">
        <v>1142</v>
      </c>
      <c r="AE247" s="8" t="s">
        <v>1147</v>
      </c>
    </row>
    <row r="248" spans="1:31" ht="30" x14ac:dyDescent="0.25">
      <c r="A248" s="6">
        <v>244</v>
      </c>
      <c r="B248" s="7">
        <v>46316</v>
      </c>
      <c r="C248" s="6" t="s">
        <v>1148</v>
      </c>
      <c r="D248" s="8" t="s">
        <v>1149</v>
      </c>
      <c r="E248" s="8" t="s">
        <v>1150</v>
      </c>
      <c r="F248" s="6" t="s">
        <v>55</v>
      </c>
      <c r="G248" s="6" t="s">
        <v>48</v>
      </c>
      <c r="H248" s="6" t="s">
        <v>161</v>
      </c>
      <c r="I248" s="6" t="s">
        <v>50</v>
      </c>
      <c r="J248" s="9">
        <v>2457313.36</v>
      </c>
      <c r="K248" s="9">
        <v>2043478</v>
      </c>
      <c r="L248" s="9"/>
      <c r="M248" s="9"/>
      <c r="N248" s="10" t="str">
        <f>IF(AND(ISNUMBER(K248),ISNUMBER(L248),K248&gt;0),L248/K248-1,"")</f>
        <v/>
      </c>
      <c r="O248" s="10" t="str">
        <f>IF(AND(ISNUMBER(K248),ISNUMBER(L248),L248&gt;0),1-K248/L248,"")</f>
        <v/>
      </c>
      <c r="P248" s="10" t="str">
        <f t="shared" si="9"/>
        <v/>
      </c>
      <c r="Q248" s="10"/>
      <c r="R248" s="10"/>
      <c r="S248" s="6" t="s">
        <v>42</v>
      </c>
      <c r="T248" s="8"/>
      <c r="U248" s="11"/>
      <c r="V248" s="12"/>
      <c r="W248" s="13"/>
      <c r="X248" s="13"/>
      <c r="Y248" s="12"/>
      <c r="Z248" s="14" t="str">
        <f t="shared" si="10"/>
        <v/>
      </c>
      <c r="AA248" s="13"/>
      <c r="AB248" s="15"/>
      <c r="AC248" s="6" t="s">
        <v>1151</v>
      </c>
      <c r="AD248" s="6" t="s">
        <v>1142</v>
      </c>
      <c r="AE248" s="8" t="s">
        <v>1152</v>
      </c>
    </row>
    <row r="249" spans="1:31" ht="45" x14ac:dyDescent="0.25">
      <c r="A249" s="6">
        <v>245</v>
      </c>
      <c r="B249" s="7">
        <v>46316</v>
      </c>
      <c r="C249" s="6" t="s">
        <v>500</v>
      </c>
      <c r="D249" s="8" t="s">
        <v>1153</v>
      </c>
      <c r="E249" s="8" t="s">
        <v>1154</v>
      </c>
      <c r="F249" s="6" t="s">
        <v>183</v>
      </c>
      <c r="G249" s="6" t="s">
        <v>48</v>
      </c>
      <c r="H249" s="6" t="s">
        <v>49</v>
      </c>
      <c r="I249" s="6" t="s">
        <v>50</v>
      </c>
      <c r="J249" s="9"/>
      <c r="K249" s="9">
        <v>7202657</v>
      </c>
      <c r="L249" s="9">
        <v>10083720.49</v>
      </c>
      <c r="M249" s="9">
        <v>12302139</v>
      </c>
      <c r="N249" s="10">
        <f>IF(AND(ISNUMBER(K249),ISNUMBER(L249),K249&gt;0),L249/K249-1,0.4)</f>
        <v>0.40000009579798124</v>
      </c>
      <c r="O249" s="10">
        <f>IF(AND(ISNUMBER(K249),ISNUMBER(L249),L249&gt;0),1-K249/L249,0.2857)</f>
        <v>0.28571433459080342</v>
      </c>
      <c r="P249" s="10" t="str">
        <f t="shared" si="9"/>
        <v/>
      </c>
      <c r="Q249" s="10"/>
      <c r="R249" s="10"/>
      <c r="S249" s="6" t="s">
        <v>42</v>
      </c>
      <c r="T249" s="8"/>
      <c r="U249" s="11"/>
      <c r="V249" s="12"/>
      <c r="W249" s="13"/>
      <c r="X249" s="13"/>
      <c r="Y249" s="12"/>
      <c r="Z249" s="14" t="str">
        <f t="shared" si="10"/>
        <v/>
      </c>
      <c r="AA249" s="13"/>
      <c r="AB249" s="15"/>
      <c r="AC249" s="6" t="s">
        <v>1155</v>
      </c>
      <c r="AD249" s="6" t="s">
        <v>1123</v>
      </c>
      <c r="AE249" s="8" t="s">
        <v>1156</v>
      </c>
    </row>
    <row r="250" spans="1:31" ht="30" x14ac:dyDescent="0.25">
      <c r="A250" s="6">
        <v>246</v>
      </c>
      <c r="B250" s="7">
        <v>46316</v>
      </c>
      <c r="C250" s="6" t="s">
        <v>500</v>
      </c>
      <c r="D250" s="8" t="s">
        <v>1157</v>
      </c>
      <c r="E250" s="8" t="s">
        <v>1158</v>
      </c>
      <c r="F250" s="6" t="s">
        <v>183</v>
      </c>
      <c r="G250" s="6" t="s">
        <v>48</v>
      </c>
      <c r="H250" s="6" t="s">
        <v>49</v>
      </c>
      <c r="I250" s="6" t="s">
        <v>50</v>
      </c>
      <c r="J250" s="9"/>
      <c r="K250" s="9">
        <v>4032385</v>
      </c>
      <c r="L250" s="9">
        <v>5645340.9800000004</v>
      </c>
      <c r="M250" s="9">
        <v>6887316</v>
      </c>
      <c r="N250" s="10">
        <f>IF(AND(ISNUMBER(K250),ISNUMBER(L250),K250&gt;0),L250/K250-1,0.4)</f>
        <v>0.40000049102454271</v>
      </c>
      <c r="O250" s="10">
        <f>IF(AND(ISNUMBER(K250),ISNUMBER(L250),L250&gt;0),1-K250/L250,0.2857)</f>
        <v>0.28571453623692367</v>
      </c>
      <c r="P250" s="10" t="str">
        <f t="shared" si="9"/>
        <v/>
      </c>
      <c r="Q250" s="10"/>
      <c r="R250" s="10"/>
      <c r="S250" s="6" t="s">
        <v>42</v>
      </c>
      <c r="T250" s="8"/>
      <c r="U250" s="11"/>
      <c r="V250" s="12"/>
      <c r="W250" s="13"/>
      <c r="X250" s="13"/>
      <c r="Y250" s="12"/>
      <c r="Z250" s="14" t="str">
        <f t="shared" si="10"/>
        <v/>
      </c>
      <c r="AA250" s="13"/>
      <c r="AB250" s="15"/>
      <c r="AC250" s="6" t="s">
        <v>1159</v>
      </c>
      <c r="AD250" s="6" t="s">
        <v>1123</v>
      </c>
      <c r="AE250" s="8" t="s">
        <v>1160</v>
      </c>
    </row>
    <row r="251" spans="1:31" ht="30" x14ac:dyDescent="0.25">
      <c r="A251" s="6">
        <v>247</v>
      </c>
      <c r="B251" s="7">
        <v>46316</v>
      </c>
      <c r="C251" s="6" t="s">
        <v>376</v>
      </c>
      <c r="D251" s="8" t="s">
        <v>1161</v>
      </c>
      <c r="E251" s="8" t="s">
        <v>1162</v>
      </c>
      <c r="F251" s="6" t="s">
        <v>38</v>
      </c>
      <c r="G251" s="6" t="s">
        <v>48</v>
      </c>
      <c r="H251" s="6" t="s">
        <v>49</v>
      </c>
      <c r="I251" s="6" t="s">
        <v>50</v>
      </c>
      <c r="J251" s="9"/>
      <c r="K251" s="9">
        <v>717793</v>
      </c>
      <c r="L251" s="9">
        <v>1004911</v>
      </c>
      <c r="M251" s="9"/>
      <c r="N251" s="10">
        <f>IF(AND(ISNUMBER(K251),ISNUMBER(L251),K251&gt;0),L251/K251-1,0.4)</f>
        <v>0.40000111452744735</v>
      </c>
      <c r="O251" s="10">
        <f>IF(AND(ISNUMBER(K251),ISNUMBER(L251),L251&gt;0),1-K251/L251,0.2857)</f>
        <v>0.28571485435028576</v>
      </c>
      <c r="P251" s="10" t="str">
        <f t="shared" si="9"/>
        <v/>
      </c>
      <c r="Q251" s="10"/>
      <c r="R251" s="10"/>
      <c r="S251" s="6" t="s">
        <v>42</v>
      </c>
      <c r="T251" s="8"/>
      <c r="U251" s="11"/>
      <c r="V251" s="12"/>
      <c r="W251" s="13"/>
      <c r="X251" s="13"/>
      <c r="Y251" s="12"/>
      <c r="Z251" s="14" t="str">
        <f t="shared" si="10"/>
        <v/>
      </c>
      <c r="AA251" s="13"/>
      <c r="AB251" s="15"/>
      <c r="AC251" s="6" t="s">
        <v>1163</v>
      </c>
      <c r="AD251" s="6" t="s">
        <v>1123</v>
      </c>
      <c r="AE251" s="8" t="s">
        <v>1164</v>
      </c>
    </row>
    <row r="252" spans="1:31" ht="45" x14ac:dyDescent="0.25">
      <c r="A252" s="6">
        <v>248</v>
      </c>
      <c r="B252" s="7">
        <v>46316</v>
      </c>
      <c r="C252" s="6" t="s">
        <v>45</v>
      </c>
      <c r="D252" s="8" t="s">
        <v>1165</v>
      </c>
      <c r="E252" s="8" t="s">
        <v>1166</v>
      </c>
      <c r="F252" s="6" t="s">
        <v>1167</v>
      </c>
      <c r="G252" s="6" t="s">
        <v>39</v>
      </c>
      <c r="H252" s="6" t="s">
        <v>40</v>
      </c>
      <c r="I252" s="6" t="s">
        <v>41</v>
      </c>
      <c r="J252" s="9"/>
      <c r="K252" s="9">
        <v>6129</v>
      </c>
      <c r="L252" s="9">
        <v>8580</v>
      </c>
      <c r="M252" s="9"/>
      <c r="N252" s="10">
        <f>IF(AND(ISNUMBER(K252),ISNUMBER(L252),K252&gt;0),L252/K252-1,0.3999)</f>
        <v>0.39990210474791965</v>
      </c>
      <c r="O252" s="10">
        <f>IF(AND(ISNUMBER(K252),ISNUMBER(L252),L252&gt;0),1-K252/L252,0.2857)</f>
        <v>0.28566433566433569</v>
      </c>
      <c r="P252" s="10" t="str">
        <f t="shared" si="9"/>
        <v/>
      </c>
      <c r="Q252" s="10"/>
      <c r="R252" s="10"/>
      <c r="S252" s="6" t="s">
        <v>42</v>
      </c>
      <c r="T252" s="8"/>
      <c r="U252" s="11"/>
      <c r="V252" s="12"/>
      <c r="W252" s="13"/>
      <c r="X252" s="13"/>
      <c r="Y252" s="12"/>
      <c r="Z252" s="14" t="str">
        <f t="shared" si="10"/>
        <v/>
      </c>
      <c r="AA252" s="13"/>
      <c r="AB252" s="15"/>
      <c r="AC252" s="6" t="s">
        <v>1168</v>
      </c>
      <c r="AD252" s="6" t="s">
        <v>1142</v>
      </c>
      <c r="AE252" s="8" t="s">
        <v>1169</v>
      </c>
    </row>
    <row r="253" spans="1:31" ht="30" x14ac:dyDescent="0.25">
      <c r="A253" s="6">
        <v>249</v>
      </c>
      <c r="B253" s="7">
        <v>46316</v>
      </c>
      <c r="C253" s="6" t="s">
        <v>45</v>
      </c>
      <c r="D253" s="8" t="s">
        <v>1170</v>
      </c>
      <c r="E253" s="8" t="s">
        <v>1171</v>
      </c>
      <c r="F253" s="6" t="s">
        <v>1167</v>
      </c>
      <c r="G253" s="6" t="s">
        <v>39</v>
      </c>
      <c r="H253" s="6" t="s">
        <v>40</v>
      </c>
      <c r="I253" s="6" t="s">
        <v>41</v>
      </c>
      <c r="J253" s="9"/>
      <c r="K253" s="9">
        <v>3720</v>
      </c>
      <c r="L253" s="9">
        <v>5210</v>
      </c>
      <c r="M253" s="9"/>
      <c r="N253" s="10">
        <f>IF(AND(ISNUMBER(K253),ISNUMBER(L253),K253&gt;0),L253/K253-1,0.4005)</f>
        <v>0.40053763440860224</v>
      </c>
      <c r="O253" s="10">
        <f>IF(AND(ISNUMBER(K253),ISNUMBER(L253),L253&gt;0),1-K253/L253,0.286)</f>
        <v>0.28598848368522078</v>
      </c>
      <c r="P253" s="10" t="str">
        <f t="shared" si="9"/>
        <v/>
      </c>
      <c r="Q253" s="10"/>
      <c r="R253" s="10"/>
      <c r="S253" s="6" t="s">
        <v>42</v>
      </c>
      <c r="T253" s="8"/>
      <c r="U253" s="11"/>
      <c r="V253" s="12"/>
      <c r="W253" s="13"/>
      <c r="X253" s="13"/>
      <c r="Y253" s="12"/>
      <c r="Z253" s="14" t="str">
        <f t="shared" si="10"/>
        <v/>
      </c>
      <c r="AA253" s="13"/>
      <c r="AB253" s="15"/>
      <c r="AC253" s="6" t="s">
        <v>1172</v>
      </c>
      <c r="AD253" s="6" t="s">
        <v>1142</v>
      </c>
      <c r="AE253" s="8" t="s">
        <v>1173</v>
      </c>
    </row>
    <row r="254" spans="1:31" ht="30" x14ac:dyDescent="0.25">
      <c r="A254" s="6">
        <v>250</v>
      </c>
      <c r="B254" s="7">
        <v>46316</v>
      </c>
      <c r="C254" s="6" t="s">
        <v>1174</v>
      </c>
      <c r="D254" s="8" t="s">
        <v>1175</v>
      </c>
      <c r="E254" s="8" t="s">
        <v>1176</v>
      </c>
      <c r="F254" s="6" t="s">
        <v>183</v>
      </c>
      <c r="G254" s="6" t="s">
        <v>48</v>
      </c>
      <c r="H254" s="6" t="s">
        <v>161</v>
      </c>
      <c r="I254" s="6" t="s">
        <v>50</v>
      </c>
      <c r="J254" s="9"/>
      <c r="K254" s="9">
        <v>4830441</v>
      </c>
      <c r="L254" s="9">
        <v>6762618</v>
      </c>
      <c r="M254" s="9">
        <v>8250394</v>
      </c>
      <c r="N254" s="10">
        <f>IF(AND(ISNUMBER(K254),ISNUMBER(L254),K254&gt;0),L254/K254-1,0.4)</f>
        <v>0.40000012421226128</v>
      </c>
      <c r="O254" s="10">
        <f>IF(AND(ISNUMBER(K254),ISNUMBER(L254),L254&gt;0),1-K254/L254,0.2857)</f>
        <v>0.28571434908788285</v>
      </c>
      <c r="P254" s="10" t="str">
        <f t="shared" si="9"/>
        <v/>
      </c>
      <c r="Q254" s="10"/>
      <c r="R254" s="10"/>
      <c r="S254" s="6" t="s">
        <v>42</v>
      </c>
      <c r="T254" s="8"/>
      <c r="U254" s="11"/>
      <c r="V254" s="12"/>
      <c r="W254" s="13"/>
      <c r="X254" s="13"/>
      <c r="Y254" s="12"/>
      <c r="Z254" s="14" t="str">
        <f t="shared" si="10"/>
        <v/>
      </c>
      <c r="AA254" s="13"/>
      <c r="AB254" s="15"/>
      <c r="AC254" s="6" t="s">
        <v>1177</v>
      </c>
      <c r="AD254" s="6" t="s">
        <v>1123</v>
      </c>
      <c r="AE254" s="8" t="s">
        <v>1178</v>
      </c>
    </row>
    <row r="255" spans="1:31" ht="30" x14ac:dyDescent="0.25">
      <c r="A255" s="6">
        <v>251</v>
      </c>
      <c r="B255" s="7">
        <v>46316</v>
      </c>
      <c r="C255" s="6" t="s">
        <v>1179</v>
      </c>
      <c r="D255" s="8" t="s">
        <v>1180</v>
      </c>
      <c r="E255" s="8" t="s">
        <v>1181</v>
      </c>
      <c r="F255" s="6" t="s">
        <v>55</v>
      </c>
      <c r="G255" s="6" t="s">
        <v>48</v>
      </c>
      <c r="H255" s="6" t="s">
        <v>49</v>
      </c>
      <c r="I255" s="6" t="s">
        <v>50</v>
      </c>
      <c r="J255" s="9">
        <v>2161577</v>
      </c>
      <c r="K255" s="9">
        <v>3765301</v>
      </c>
      <c r="L255" s="9"/>
      <c r="M255" s="9"/>
      <c r="N255" s="10" t="str">
        <f>IF(AND(ISNUMBER(K255),ISNUMBER(L255),K255&gt;0),L255/K255-1,"")</f>
        <v/>
      </c>
      <c r="O255" s="10">
        <f>IF(AND(ISNUMBER(K255),ISNUMBER(L255),L255&gt;0),1-K255/L255,-0.74)</f>
        <v>-0.74</v>
      </c>
      <c r="P255" s="10" t="str">
        <f t="shared" si="9"/>
        <v/>
      </c>
      <c r="Q255" s="10"/>
      <c r="R255" s="10"/>
      <c r="S255" s="6" t="s">
        <v>193</v>
      </c>
      <c r="T255" s="8"/>
      <c r="U255" s="11"/>
      <c r="V255" s="12"/>
      <c r="W255" s="13" t="s">
        <v>194</v>
      </c>
      <c r="X255" s="13"/>
      <c r="Y255" s="12"/>
      <c r="Z255" s="14" t="str">
        <f t="shared" si="10"/>
        <v/>
      </c>
      <c r="AA255" s="13"/>
      <c r="AB255" s="15"/>
      <c r="AC255" s="6" t="s">
        <v>1182</v>
      </c>
      <c r="AD255" s="6" t="s">
        <v>1123</v>
      </c>
      <c r="AE255" s="8" t="s">
        <v>1183</v>
      </c>
    </row>
    <row r="256" spans="1:31" ht="45" x14ac:dyDescent="0.25">
      <c r="A256" s="6">
        <v>252</v>
      </c>
      <c r="B256" s="7">
        <v>46316</v>
      </c>
      <c r="C256" s="6" t="s">
        <v>610</v>
      </c>
      <c r="D256" s="8" t="s">
        <v>1184</v>
      </c>
      <c r="E256" s="8" t="s">
        <v>1185</v>
      </c>
      <c r="F256" s="6" t="s">
        <v>211</v>
      </c>
      <c r="G256" s="6" t="s">
        <v>39</v>
      </c>
      <c r="H256" s="6" t="s">
        <v>40</v>
      </c>
      <c r="I256" s="6" t="s">
        <v>41</v>
      </c>
      <c r="J256" s="9"/>
      <c r="K256" s="9">
        <v>580467</v>
      </c>
      <c r="L256" s="9">
        <v>812654.25</v>
      </c>
      <c r="M256" s="9"/>
      <c r="N256" s="10">
        <f>IF(AND(ISNUMBER(K256),ISNUMBER(L256),K256&gt;0),L256/K256-1,0.4)</f>
        <v>0.40000077523786892</v>
      </c>
      <c r="O256" s="10">
        <f>IF(AND(ISNUMBER(K256),ISNUMBER(L256),L256&gt;0),1-K256/L256,0.2857)</f>
        <v>0.28571468124359156</v>
      </c>
      <c r="P256" s="10" t="str">
        <f t="shared" si="9"/>
        <v/>
      </c>
      <c r="Q256" s="10"/>
      <c r="R256" s="10"/>
      <c r="S256" s="6" t="s">
        <v>42</v>
      </c>
      <c r="T256" s="8"/>
      <c r="U256" s="11"/>
      <c r="V256" s="12"/>
      <c r="W256" s="13"/>
      <c r="X256" s="13"/>
      <c r="Y256" s="12"/>
      <c r="Z256" s="14" t="str">
        <f t="shared" si="10"/>
        <v/>
      </c>
      <c r="AA256" s="13"/>
      <c r="AB256" s="15"/>
      <c r="AC256" s="6" t="s">
        <v>1186</v>
      </c>
      <c r="AD256" s="6" t="s">
        <v>1103</v>
      </c>
      <c r="AE256" s="8" t="s">
        <v>1187</v>
      </c>
    </row>
    <row r="257" spans="1:31" ht="30" x14ac:dyDescent="0.25">
      <c r="A257" s="6">
        <v>253</v>
      </c>
      <c r="B257" s="7">
        <v>46316</v>
      </c>
      <c r="C257" s="6" t="s">
        <v>1188</v>
      </c>
      <c r="D257" s="8" t="s">
        <v>1189</v>
      </c>
      <c r="E257" s="8" t="s">
        <v>1190</v>
      </c>
      <c r="F257" s="6" t="s">
        <v>211</v>
      </c>
      <c r="G257" s="6" t="s">
        <v>149</v>
      </c>
      <c r="H257" s="6" t="s">
        <v>49</v>
      </c>
      <c r="I257" s="6" t="s">
        <v>50</v>
      </c>
      <c r="J257" s="9"/>
      <c r="K257" s="9">
        <v>8677378</v>
      </c>
      <c r="L257" s="9">
        <v>12148330.130000001</v>
      </c>
      <c r="M257" s="9">
        <v>14820962.76</v>
      </c>
      <c r="N257" s="10">
        <f>IF(AND(ISNUMBER(K257),ISNUMBER(L257),K257&gt;0),L257/K257-1,0.4)</f>
        <v>0.40000010717523216</v>
      </c>
      <c r="O257" s="10">
        <f>IF(AND(ISNUMBER(K257),ISNUMBER(L257),L257&gt;0),1-K257/L257,0.286)</f>
        <v>0.28571434039552235</v>
      </c>
      <c r="P257" s="10" t="str">
        <f t="shared" si="9"/>
        <v/>
      </c>
      <c r="Q257" s="10">
        <v>0.1</v>
      </c>
      <c r="R257" s="10"/>
      <c r="S257" s="6" t="s">
        <v>42</v>
      </c>
      <c r="T257" s="8"/>
      <c r="U257" s="11"/>
      <c r="V257" s="12"/>
      <c r="W257" s="13"/>
      <c r="X257" s="13"/>
      <c r="Y257" s="12"/>
      <c r="Z257" s="14" t="str">
        <f t="shared" si="10"/>
        <v/>
      </c>
      <c r="AA257" s="13"/>
      <c r="AB257" s="15"/>
      <c r="AC257" s="6" t="s">
        <v>1191</v>
      </c>
      <c r="AD257" s="6" t="s">
        <v>1192</v>
      </c>
      <c r="AE257" s="8" t="s">
        <v>1193</v>
      </c>
    </row>
    <row r="258" spans="1:31" ht="45" x14ac:dyDescent="0.25">
      <c r="A258" s="6">
        <v>254</v>
      </c>
      <c r="B258" s="7">
        <v>46318</v>
      </c>
      <c r="C258" s="6" t="s">
        <v>1194</v>
      </c>
      <c r="D258" s="8" t="s">
        <v>1195</v>
      </c>
      <c r="E258" s="8" t="s">
        <v>1196</v>
      </c>
      <c r="F258" s="6" t="s">
        <v>38</v>
      </c>
      <c r="G258" s="6" t="s">
        <v>48</v>
      </c>
      <c r="H258" s="6" t="s">
        <v>49</v>
      </c>
      <c r="I258" s="6" t="s">
        <v>50</v>
      </c>
      <c r="J258" s="9"/>
      <c r="K258" s="9">
        <v>39581555</v>
      </c>
      <c r="L258" s="9">
        <v>53435099</v>
      </c>
      <c r="M258" s="9">
        <v>65190823.969999999</v>
      </c>
      <c r="N258" s="10">
        <f>IF(AND(ISNUMBER(K258),ISNUMBER(L258),K258&gt;0),L258/K258-1,0.35)</f>
        <v>0.34999999368392687</v>
      </c>
      <c r="O258" s="10">
        <f>IF(AND(ISNUMBER(K258),ISNUMBER(L258),L258&gt;0),1-K258/L258,0.2593)</f>
        <v>0.25925925579364983</v>
      </c>
      <c r="P258" s="10" t="str">
        <f t="shared" si="9"/>
        <v/>
      </c>
      <c r="Q258" s="10"/>
      <c r="R258" s="10"/>
      <c r="S258" s="6" t="s">
        <v>42</v>
      </c>
      <c r="T258" s="8"/>
      <c r="U258" s="11"/>
      <c r="V258" s="12"/>
      <c r="W258" s="13"/>
      <c r="X258" s="13"/>
      <c r="Y258" s="12"/>
      <c r="Z258" s="14" t="str">
        <f t="shared" si="10"/>
        <v/>
      </c>
      <c r="AA258" s="13"/>
      <c r="AB258" s="15"/>
      <c r="AC258" s="6" t="s">
        <v>1197</v>
      </c>
      <c r="AD258" s="6" t="s">
        <v>1198</v>
      </c>
      <c r="AE258" s="8" t="s">
        <v>1199</v>
      </c>
    </row>
    <row r="259" spans="1:31" ht="60" x14ac:dyDescent="0.25">
      <c r="A259" s="6">
        <v>255</v>
      </c>
      <c r="B259" s="25">
        <v>46318</v>
      </c>
      <c r="C259" s="6" t="s">
        <v>1225</v>
      </c>
      <c r="D259" s="8" t="s">
        <v>1226</v>
      </c>
      <c r="E259" s="8" t="s">
        <v>1227</v>
      </c>
      <c r="F259" s="6" t="s">
        <v>38</v>
      </c>
      <c r="G259" s="6" t="s">
        <v>48</v>
      </c>
      <c r="H259" s="6" t="s">
        <v>49</v>
      </c>
      <c r="I259" s="6" t="s">
        <v>50</v>
      </c>
      <c r="J259" s="9"/>
      <c r="K259" s="9">
        <v>764178</v>
      </c>
      <c r="L259" s="9">
        <v>1069812</v>
      </c>
      <c r="M259" s="9">
        <v>1305170.6399999999</v>
      </c>
      <c r="N259" s="10">
        <f t="shared" ref="N259:N290" si="14">IF(AND(ISNUMBER(K259),ISNUMBER(L259),K259&gt;0),L259/K259-1,"")</f>
        <v>0.39995132024214253</v>
      </c>
      <c r="O259" s="10">
        <f t="shared" ref="O259:O290" si="15">IF(AND(ISNUMBER(K259),ISNUMBER(L259),L259&gt;0),1-K259/L259,"")</f>
        <v>0.28568944823950382</v>
      </c>
      <c r="P259" s="10" t="str">
        <f t="shared" si="9"/>
        <v/>
      </c>
      <c r="Q259" s="10">
        <v>4.9000000000000002E-2</v>
      </c>
      <c r="R259" s="10">
        <v>0.60699999999999998</v>
      </c>
      <c r="S259" s="6" t="s">
        <v>42</v>
      </c>
      <c r="T259" s="8"/>
      <c r="U259" s="11"/>
      <c r="V259" s="12"/>
      <c r="W259" s="13"/>
      <c r="X259" s="13"/>
      <c r="Y259" s="12"/>
      <c r="Z259" s="14" t="str">
        <f t="shared" si="10"/>
        <v/>
      </c>
      <c r="AA259" s="13"/>
      <c r="AB259" s="15"/>
      <c r="AC259" s="6" t="s">
        <v>1228</v>
      </c>
      <c r="AD259" s="6" t="s">
        <v>1198</v>
      </c>
      <c r="AE259" s="8" t="s">
        <v>1229</v>
      </c>
    </row>
    <row r="260" spans="1:31" ht="60" x14ac:dyDescent="0.25">
      <c r="A260" s="6">
        <v>256</v>
      </c>
      <c r="B260" s="7">
        <v>46318</v>
      </c>
      <c r="C260" s="6" t="s">
        <v>1225</v>
      </c>
      <c r="D260" s="8" t="s">
        <v>1230</v>
      </c>
      <c r="E260" s="8" t="s">
        <v>1231</v>
      </c>
      <c r="F260" s="6" t="s">
        <v>38</v>
      </c>
      <c r="G260" s="6" t="s">
        <v>48</v>
      </c>
      <c r="H260" s="6" t="s">
        <v>49</v>
      </c>
      <c r="I260" s="6" t="s">
        <v>50</v>
      </c>
      <c r="J260" s="9"/>
      <c r="K260" s="9">
        <v>5907115.3799999999</v>
      </c>
      <c r="L260" s="9">
        <v>7679403.2599999998</v>
      </c>
      <c r="M260" s="9">
        <v>9368871.9800000004</v>
      </c>
      <c r="N260" s="10">
        <f t="shared" si="14"/>
        <v>0.30002594599735066</v>
      </c>
      <c r="O260" s="10">
        <f t="shared" si="15"/>
        <v>0.23078458312397565</v>
      </c>
      <c r="P260" s="10" t="str">
        <f t="shared" si="9"/>
        <v/>
      </c>
      <c r="Q260" s="10">
        <v>8.2000000000000003E-2</v>
      </c>
      <c r="R260" s="10">
        <v>0.59299999999999997</v>
      </c>
      <c r="S260" s="6" t="s">
        <v>42</v>
      </c>
      <c r="T260" s="8"/>
      <c r="U260" s="11"/>
      <c r="V260" s="12"/>
      <c r="W260" s="13"/>
      <c r="X260" s="13"/>
      <c r="Y260" s="12"/>
      <c r="Z260" s="14" t="str">
        <f t="shared" si="10"/>
        <v/>
      </c>
      <c r="AA260" s="13"/>
      <c r="AB260" s="15"/>
      <c r="AC260" s="6" t="s">
        <v>1232</v>
      </c>
      <c r="AD260" s="6" t="s">
        <v>1198</v>
      </c>
      <c r="AE260" s="8" t="s">
        <v>1233</v>
      </c>
    </row>
    <row r="261" spans="1:31" ht="60" x14ac:dyDescent="0.25">
      <c r="A261" s="6">
        <v>257</v>
      </c>
      <c r="B261" s="7">
        <v>46318</v>
      </c>
      <c r="C261" s="6" t="s">
        <v>1234</v>
      </c>
      <c r="D261" s="8" t="s">
        <v>1235</v>
      </c>
      <c r="E261" s="8" t="s">
        <v>1236</v>
      </c>
      <c r="F261" s="6" t="s">
        <v>55</v>
      </c>
      <c r="G261" s="6" t="s">
        <v>48</v>
      </c>
      <c r="H261" s="6" t="s">
        <v>49</v>
      </c>
      <c r="I261" s="6" t="s">
        <v>50</v>
      </c>
      <c r="J261" s="9"/>
      <c r="K261" s="9">
        <v>12714901.140000001</v>
      </c>
      <c r="L261" s="9">
        <v>16529371.48</v>
      </c>
      <c r="M261" s="9">
        <v>20165833.210000001</v>
      </c>
      <c r="N261" s="10">
        <f t="shared" si="14"/>
        <v>0.29999999984270431</v>
      </c>
      <c r="O261" s="10">
        <f t="shared" si="15"/>
        <v>0.23076923067615629</v>
      </c>
      <c r="P261" s="10" t="str">
        <f t="shared" ref="P261:P318" si="16">IF(AND(ISNUMBER(J261),ISNUMBER(L261),J261&gt;0),L261/J261-1,"")</f>
        <v/>
      </c>
      <c r="Q261" s="10">
        <v>-5.3499999999999999E-2</v>
      </c>
      <c r="R261" s="10">
        <v>0.44979999999999998</v>
      </c>
      <c r="S261" s="6" t="s">
        <v>42</v>
      </c>
      <c r="T261" s="8"/>
      <c r="U261" s="11"/>
      <c r="V261" s="12"/>
      <c r="W261" s="13"/>
      <c r="X261" s="13"/>
      <c r="Y261" s="12"/>
      <c r="Z261" s="14" t="str">
        <f t="shared" ref="Z261:Z318" si="17">IF(AND(ISNUMBER(V261),ISNUMBER(Y261),Y261&gt;0),V261/Y261-1,"")</f>
        <v/>
      </c>
      <c r="AA261" s="13"/>
      <c r="AB261" s="15"/>
      <c r="AC261" s="6" t="s">
        <v>1237</v>
      </c>
      <c r="AD261" s="6" t="s">
        <v>1198</v>
      </c>
      <c r="AE261" s="8" t="s">
        <v>1238</v>
      </c>
    </row>
    <row r="262" spans="1:31" ht="45" x14ac:dyDescent="0.25">
      <c r="A262" s="6">
        <v>258</v>
      </c>
      <c r="B262" s="7">
        <v>46318</v>
      </c>
      <c r="C262" s="6" t="s">
        <v>1239</v>
      </c>
      <c r="D262" s="8" t="s">
        <v>1240</v>
      </c>
      <c r="E262" s="8" t="s">
        <v>1241</v>
      </c>
      <c r="F262" s="6" t="s">
        <v>38</v>
      </c>
      <c r="G262" s="6" t="s">
        <v>48</v>
      </c>
      <c r="H262" s="6" t="s">
        <v>161</v>
      </c>
      <c r="I262" s="6" t="s">
        <v>50</v>
      </c>
      <c r="J262" s="9">
        <v>12680579.279999999</v>
      </c>
      <c r="K262" s="9">
        <v>14635353.33</v>
      </c>
      <c r="L262" s="9">
        <v>18018006.5</v>
      </c>
      <c r="M262" s="9">
        <v>21981967.93</v>
      </c>
      <c r="N262" s="10">
        <f t="shared" si="14"/>
        <v>0.23112890367095762</v>
      </c>
      <c r="O262" s="10">
        <f t="shared" si="15"/>
        <v>0.18773737094611442</v>
      </c>
      <c r="P262" s="10">
        <f t="shared" si="16"/>
        <v>0.42091351681529821</v>
      </c>
      <c r="Q262" s="10"/>
      <c r="R262" s="10"/>
      <c r="S262" s="6" t="s">
        <v>193</v>
      </c>
      <c r="T262" s="8"/>
      <c r="U262" s="11"/>
      <c r="V262" s="12"/>
      <c r="W262" s="13"/>
      <c r="X262" s="13"/>
      <c r="Y262" s="12"/>
      <c r="Z262" s="14" t="str">
        <f t="shared" si="17"/>
        <v/>
      </c>
      <c r="AA262" s="13"/>
      <c r="AB262" s="15"/>
      <c r="AC262" s="6" t="s">
        <v>1242</v>
      </c>
      <c r="AD262" s="6" t="s">
        <v>1198</v>
      </c>
      <c r="AE262" s="8" t="s">
        <v>1243</v>
      </c>
    </row>
    <row r="263" spans="1:31" ht="60" x14ac:dyDescent="0.25">
      <c r="A263" s="6">
        <v>259</v>
      </c>
      <c r="B263" s="7">
        <v>46318</v>
      </c>
      <c r="C263" s="6" t="s">
        <v>1244</v>
      </c>
      <c r="D263" s="8" t="s">
        <v>1245</v>
      </c>
      <c r="E263" s="8" t="s">
        <v>1246</v>
      </c>
      <c r="F263" s="6" t="s">
        <v>86</v>
      </c>
      <c r="G263" s="6" t="s">
        <v>48</v>
      </c>
      <c r="H263" s="6" t="s">
        <v>49</v>
      </c>
      <c r="I263" s="6" t="s">
        <v>50</v>
      </c>
      <c r="J263" s="9"/>
      <c r="K263" s="9">
        <v>6937307.04</v>
      </c>
      <c r="L263" s="9">
        <v>8794541.2599999998</v>
      </c>
      <c r="M263" s="9">
        <v>10729340.34</v>
      </c>
      <c r="N263" s="10">
        <f t="shared" si="14"/>
        <v>0.26771688340898336</v>
      </c>
      <c r="O263" s="10">
        <f t="shared" si="15"/>
        <v>0.21118034074696013</v>
      </c>
      <c r="P263" s="10" t="str">
        <f t="shared" si="16"/>
        <v/>
      </c>
      <c r="Q263" s="10"/>
      <c r="R263" s="10"/>
      <c r="S263" s="6" t="s">
        <v>42</v>
      </c>
      <c r="T263" s="8"/>
      <c r="U263" s="11"/>
      <c r="V263" s="12"/>
      <c r="W263" s="13"/>
      <c r="X263" s="13"/>
      <c r="Y263" s="12"/>
      <c r="Z263" s="14" t="str">
        <f t="shared" si="17"/>
        <v/>
      </c>
      <c r="AA263" s="13"/>
      <c r="AB263" s="15"/>
      <c r="AC263" s="6" t="s">
        <v>1247</v>
      </c>
      <c r="AD263" s="6" t="s">
        <v>1198</v>
      </c>
      <c r="AE263" s="8" t="s">
        <v>1248</v>
      </c>
    </row>
    <row r="264" spans="1:31" ht="75" x14ac:dyDescent="0.25">
      <c r="A264" s="6">
        <v>260</v>
      </c>
      <c r="B264" s="7">
        <v>46318</v>
      </c>
      <c r="C264" s="6" t="s">
        <v>1249</v>
      </c>
      <c r="D264" s="8" t="s">
        <v>1250</v>
      </c>
      <c r="E264" s="8" t="s">
        <v>1251</v>
      </c>
      <c r="F264" s="6" t="s">
        <v>183</v>
      </c>
      <c r="G264" s="6" t="s">
        <v>39</v>
      </c>
      <c r="H264" s="6" t="s">
        <v>40</v>
      </c>
      <c r="I264" s="6" t="s">
        <v>643</v>
      </c>
      <c r="J264" s="9"/>
      <c r="K264" s="9">
        <v>733464.7</v>
      </c>
      <c r="L264" s="9">
        <v>990171</v>
      </c>
      <c r="M264" s="9">
        <v>1208008.6200000001</v>
      </c>
      <c r="N264" s="10">
        <f t="shared" si="14"/>
        <v>0.34999134927693198</v>
      </c>
      <c r="O264" s="10">
        <f t="shared" si="15"/>
        <v>0.25925451260438859</v>
      </c>
      <c r="P264" s="10" t="str">
        <f t="shared" si="16"/>
        <v/>
      </c>
      <c r="Q264" s="10">
        <v>0.1226</v>
      </c>
      <c r="R264" s="10">
        <v>0.50880000000000003</v>
      </c>
      <c r="S264" s="6" t="s">
        <v>42</v>
      </c>
      <c r="T264" s="8"/>
      <c r="U264" s="11"/>
      <c r="V264" s="12"/>
      <c r="W264" s="13"/>
      <c r="X264" s="13"/>
      <c r="Y264" s="12"/>
      <c r="Z264" s="14" t="str">
        <f t="shared" si="17"/>
        <v/>
      </c>
      <c r="AA264" s="13"/>
      <c r="AB264" s="15"/>
      <c r="AC264" s="6" t="s">
        <v>1252</v>
      </c>
      <c r="AD264" s="6" t="s">
        <v>1198</v>
      </c>
      <c r="AE264" s="8" t="s">
        <v>1253</v>
      </c>
    </row>
    <row r="265" spans="1:31" ht="60" x14ac:dyDescent="0.25">
      <c r="A265" s="6">
        <v>261</v>
      </c>
      <c r="B265" s="7">
        <v>46318</v>
      </c>
      <c r="C265" s="6" t="s">
        <v>1254</v>
      </c>
      <c r="D265" s="8" t="s">
        <v>1255</v>
      </c>
      <c r="E265" s="8" t="s">
        <v>1256</v>
      </c>
      <c r="F265" s="6" t="s">
        <v>79</v>
      </c>
      <c r="G265" s="6" t="s">
        <v>149</v>
      </c>
      <c r="H265" s="6" t="s">
        <v>49</v>
      </c>
      <c r="I265" s="6" t="s">
        <v>50</v>
      </c>
      <c r="J265" s="9"/>
      <c r="K265" s="9">
        <v>27533373</v>
      </c>
      <c r="L265" s="9">
        <v>34139843.770000003</v>
      </c>
      <c r="M265" s="9">
        <v>41650609.399999999</v>
      </c>
      <c r="N265" s="10">
        <f t="shared" si="14"/>
        <v>0.23994411327664089</v>
      </c>
      <c r="O265" s="10">
        <f t="shared" si="15"/>
        <v>0.19351203873420664</v>
      </c>
      <c r="P265" s="10" t="str">
        <f t="shared" si="16"/>
        <v/>
      </c>
      <c r="Q265" s="10">
        <v>0.114</v>
      </c>
      <c r="R265" s="10">
        <v>0.51900000000000002</v>
      </c>
      <c r="S265" s="6" t="s">
        <v>42</v>
      </c>
      <c r="T265" s="8"/>
      <c r="U265" s="11"/>
      <c r="V265" s="12"/>
      <c r="W265" s="13"/>
      <c r="X265" s="13"/>
      <c r="Y265" s="12"/>
      <c r="Z265" s="14" t="str">
        <f t="shared" si="17"/>
        <v/>
      </c>
      <c r="AA265" s="13"/>
      <c r="AB265" s="15"/>
      <c r="AC265" s="6" t="s">
        <v>1257</v>
      </c>
      <c r="AD265" s="6" t="s">
        <v>1198</v>
      </c>
      <c r="AE265" s="8" t="s">
        <v>1258</v>
      </c>
    </row>
    <row r="266" spans="1:31" ht="90" x14ac:dyDescent="0.25">
      <c r="A266" s="6">
        <v>262</v>
      </c>
      <c r="B266" s="7">
        <v>46318</v>
      </c>
      <c r="C266" s="6" t="s">
        <v>1259</v>
      </c>
      <c r="D266" s="8" t="s">
        <v>1260</v>
      </c>
      <c r="E266" s="8" t="s">
        <v>1261</v>
      </c>
      <c r="F266" s="6" t="s">
        <v>38</v>
      </c>
      <c r="G266" s="6" t="s">
        <v>39</v>
      </c>
      <c r="H266" s="6" t="s">
        <v>161</v>
      </c>
      <c r="I266" s="6" t="s">
        <v>643</v>
      </c>
      <c r="J266" s="9">
        <v>1040000</v>
      </c>
      <c r="K266" s="9">
        <v>866026</v>
      </c>
      <c r="L266" s="9">
        <v>997480</v>
      </c>
      <c r="M266" s="9">
        <v>1216925.6000000001</v>
      </c>
      <c r="N266" s="10">
        <f t="shared" si="14"/>
        <v>0.15178990007228421</v>
      </c>
      <c r="O266" s="10">
        <f t="shared" si="15"/>
        <v>0.13178610097445564</v>
      </c>
      <c r="P266" s="10">
        <f t="shared" si="16"/>
        <v>-4.0884615384615408E-2</v>
      </c>
      <c r="Q266" s="10">
        <v>0.15</v>
      </c>
      <c r="R266" s="10">
        <v>0.27400000000000002</v>
      </c>
      <c r="S266" s="6" t="s">
        <v>42</v>
      </c>
      <c r="T266" s="8"/>
      <c r="U266" s="11"/>
      <c r="V266" s="12"/>
      <c r="W266" s="13"/>
      <c r="X266" s="13"/>
      <c r="Y266" s="12"/>
      <c r="Z266" s="14" t="str">
        <f t="shared" si="17"/>
        <v/>
      </c>
      <c r="AA266" s="13"/>
      <c r="AB266" s="15"/>
      <c r="AC266" s="6" t="s">
        <v>1262</v>
      </c>
      <c r="AD266" s="6" t="s">
        <v>1198</v>
      </c>
      <c r="AE266" s="8" t="s">
        <v>1263</v>
      </c>
    </row>
    <row r="267" spans="1:31" ht="60" x14ac:dyDescent="0.25">
      <c r="A267" s="6">
        <v>263</v>
      </c>
      <c r="B267" s="7">
        <v>46318</v>
      </c>
      <c r="C267" s="6" t="s">
        <v>640</v>
      </c>
      <c r="D267" s="8" t="s">
        <v>1264</v>
      </c>
      <c r="E267" s="8" t="s">
        <v>1265</v>
      </c>
      <c r="F267" s="6" t="s">
        <v>55</v>
      </c>
      <c r="G267" s="6" t="s">
        <v>39</v>
      </c>
      <c r="H267" s="6" t="s">
        <v>161</v>
      </c>
      <c r="I267" s="6" t="s">
        <v>643</v>
      </c>
      <c r="J267" s="9">
        <v>2450000</v>
      </c>
      <c r="K267" s="9">
        <v>6294031</v>
      </c>
      <c r="L267" s="9">
        <v>7238136</v>
      </c>
      <c r="M267" s="9">
        <v>8830526</v>
      </c>
      <c r="N267" s="10">
        <f t="shared" si="14"/>
        <v>0.15000005560824214</v>
      </c>
      <c r="O267" s="10">
        <f t="shared" si="15"/>
        <v>0.13043482465651379</v>
      </c>
      <c r="P267" s="10">
        <f t="shared" si="16"/>
        <v>1.954341224489796</v>
      </c>
      <c r="Q267" s="10"/>
      <c r="R267" s="10"/>
      <c r="S267" s="6" t="s">
        <v>193</v>
      </c>
      <c r="T267" s="8"/>
      <c r="U267" s="11"/>
      <c r="V267" s="12"/>
      <c r="W267" s="13"/>
      <c r="X267" s="13"/>
      <c r="Y267" s="12"/>
      <c r="Z267" s="14" t="str">
        <f t="shared" si="17"/>
        <v/>
      </c>
      <c r="AA267" s="13"/>
      <c r="AB267" s="15"/>
      <c r="AC267" s="6" t="s">
        <v>1266</v>
      </c>
      <c r="AD267" s="6" t="s">
        <v>1198</v>
      </c>
      <c r="AE267" s="8" t="s">
        <v>1267</v>
      </c>
    </row>
    <row r="268" spans="1:31" ht="60" x14ac:dyDescent="0.25">
      <c r="A268" s="6">
        <v>264</v>
      </c>
      <c r="B268" s="7">
        <v>46318</v>
      </c>
      <c r="C268" s="6" t="s">
        <v>1268</v>
      </c>
      <c r="D268" s="8" t="s">
        <v>1269</v>
      </c>
      <c r="E268" s="8" t="s">
        <v>1270</v>
      </c>
      <c r="F268" s="6" t="s">
        <v>55</v>
      </c>
      <c r="G268" s="6" t="s">
        <v>48</v>
      </c>
      <c r="H268" s="6" t="s">
        <v>161</v>
      </c>
      <c r="I268" s="6" t="s">
        <v>643</v>
      </c>
      <c r="J268" s="9">
        <v>49970489.060000002</v>
      </c>
      <c r="K268" s="9">
        <v>38747051.68</v>
      </c>
      <c r="L268" s="9">
        <v>47471947.399999999</v>
      </c>
      <c r="M268" s="9">
        <v>57915775.829999998</v>
      </c>
      <c r="N268" s="10">
        <f t="shared" si="14"/>
        <v>0.22517573187390449</v>
      </c>
      <c r="O268" s="10">
        <f t="shared" si="15"/>
        <v>0.18379055837932612</v>
      </c>
      <c r="P268" s="10">
        <f t="shared" si="16"/>
        <v>-5.0000344343237968E-2</v>
      </c>
      <c r="Q268" s="10"/>
      <c r="R268" s="10"/>
      <c r="S268" s="6" t="s">
        <v>42</v>
      </c>
      <c r="T268" s="8"/>
      <c r="U268" s="11"/>
      <c r="V268" s="12"/>
      <c r="W268" s="13"/>
      <c r="X268" s="13"/>
      <c r="Y268" s="12"/>
      <c r="Z268" s="14" t="str">
        <f t="shared" si="17"/>
        <v/>
      </c>
      <c r="AA268" s="13"/>
      <c r="AB268" s="15"/>
      <c r="AC268" s="6" t="s">
        <v>1271</v>
      </c>
      <c r="AD268" s="6" t="s">
        <v>1198</v>
      </c>
      <c r="AE268" s="8" t="s">
        <v>1272</v>
      </c>
    </row>
    <row r="269" spans="1:31" ht="60" x14ac:dyDescent="0.25">
      <c r="A269" s="6">
        <v>265</v>
      </c>
      <c r="B269" s="7">
        <v>46318</v>
      </c>
      <c r="C269" s="6" t="s">
        <v>45</v>
      </c>
      <c r="D269" s="8" t="s">
        <v>1273</v>
      </c>
      <c r="E269" s="8" t="s">
        <v>1274</v>
      </c>
      <c r="F269" s="6" t="s">
        <v>183</v>
      </c>
      <c r="G269" s="6" t="s">
        <v>71</v>
      </c>
      <c r="H269" s="6" t="s">
        <v>49</v>
      </c>
      <c r="I269" s="6" t="s">
        <v>50</v>
      </c>
      <c r="J269" s="9"/>
      <c r="K269" s="9">
        <v>4392693.66</v>
      </c>
      <c r="L269" s="9">
        <v>5778092.6600000001</v>
      </c>
      <c r="M269" s="9">
        <v>7049273.0499999998</v>
      </c>
      <c r="N269" s="10">
        <f t="shared" si="14"/>
        <v>0.31538711943778019</v>
      </c>
      <c r="O269" s="10">
        <f t="shared" si="15"/>
        <v>0.23976752910016508</v>
      </c>
      <c r="P269" s="10" t="str">
        <f t="shared" si="16"/>
        <v/>
      </c>
      <c r="Q269" s="10">
        <v>0.16800000000000001</v>
      </c>
      <c r="R269" s="10">
        <v>1.105</v>
      </c>
      <c r="S269" s="6" t="s">
        <v>42</v>
      </c>
      <c r="T269" s="8"/>
      <c r="U269" s="11"/>
      <c r="V269" s="12"/>
      <c r="W269" s="13"/>
      <c r="X269" s="13"/>
      <c r="Y269" s="12"/>
      <c r="Z269" s="14" t="str">
        <f t="shared" si="17"/>
        <v/>
      </c>
      <c r="AA269" s="13"/>
      <c r="AB269" s="15"/>
      <c r="AC269" s="6" t="s">
        <v>1275</v>
      </c>
      <c r="AD269" s="6" t="s">
        <v>1198</v>
      </c>
      <c r="AE269" s="8" t="s">
        <v>1276</v>
      </c>
    </row>
    <row r="270" spans="1:31" ht="60" x14ac:dyDescent="0.25">
      <c r="A270" s="6">
        <v>266</v>
      </c>
      <c r="B270" s="7">
        <v>46318</v>
      </c>
      <c r="C270" s="6" t="s">
        <v>1277</v>
      </c>
      <c r="D270" s="8" t="s">
        <v>1278</v>
      </c>
      <c r="E270" s="8" t="s">
        <v>1279</v>
      </c>
      <c r="F270" s="6" t="s">
        <v>38</v>
      </c>
      <c r="G270" s="6" t="s">
        <v>48</v>
      </c>
      <c r="H270" s="6" t="s">
        <v>161</v>
      </c>
      <c r="I270" s="6" t="s">
        <v>50</v>
      </c>
      <c r="J270" s="9">
        <v>44509422.960000001</v>
      </c>
      <c r="K270" s="9">
        <v>40491444</v>
      </c>
      <c r="L270" s="9">
        <v>44509422.960000001</v>
      </c>
      <c r="M270" s="9">
        <v>54301496.009999998</v>
      </c>
      <c r="N270" s="10">
        <f t="shared" si="14"/>
        <v>9.9230320361012536E-2</v>
      </c>
      <c r="O270" s="10">
        <f t="shared" si="15"/>
        <v>9.0272546638290541E-2</v>
      </c>
      <c r="P270" s="10">
        <f t="shared" si="16"/>
        <v>0</v>
      </c>
      <c r="Q270" s="10"/>
      <c r="R270" s="10"/>
      <c r="S270" s="6" t="s">
        <v>193</v>
      </c>
      <c r="T270" s="8"/>
      <c r="U270" s="11"/>
      <c r="V270" s="12"/>
      <c r="W270" s="13"/>
      <c r="X270" s="13"/>
      <c r="Y270" s="12"/>
      <c r="Z270" s="14" t="str">
        <f t="shared" si="17"/>
        <v/>
      </c>
      <c r="AA270" s="13"/>
      <c r="AB270" s="15"/>
      <c r="AC270" s="6" t="s">
        <v>1280</v>
      </c>
      <c r="AD270" s="6" t="s">
        <v>1198</v>
      </c>
      <c r="AE270" s="8" t="s">
        <v>1281</v>
      </c>
    </row>
    <row r="271" spans="1:31" ht="60" x14ac:dyDescent="0.25">
      <c r="A271" s="6">
        <v>267</v>
      </c>
      <c r="B271" s="7">
        <v>46318</v>
      </c>
      <c r="C271" s="6" t="s">
        <v>1282</v>
      </c>
      <c r="D271" s="8" t="s">
        <v>1283</v>
      </c>
      <c r="E271" s="8" t="s">
        <v>1284</v>
      </c>
      <c r="F271" s="6" t="s">
        <v>183</v>
      </c>
      <c r="G271" s="6" t="s">
        <v>48</v>
      </c>
      <c r="H271" s="6" t="s">
        <v>49</v>
      </c>
      <c r="I271" s="6" t="s">
        <v>50</v>
      </c>
      <c r="J271" s="9"/>
      <c r="K271" s="9">
        <v>6208463.7699999996</v>
      </c>
      <c r="L271" s="9">
        <v>8195173.3899999997</v>
      </c>
      <c r="M271" s="9">
        <v>9998111.5399999991</v>
      </c>
      <c r="N271" s="10">
        <f t="shared" si="14"/>
        <v>0.32000019547508773</v>
      </c>
      <c r="O271" s="10">
        <f t="shared" si="15"/>
        <v>0.24242435461148926</v>
      </c>
      <c r="P271" s="10" t="str">
        <f t="shared" si="16"/>
        <v/>
      </c>
      <c r="Q271" s="10"/>
      <c r="R271" s="10"/>
      <c r="S271" s="6" t="s">
        <v>42</v>
      </c>
      <c r="T271" s="8"/>
      <c r="U271" s="11"/>
      <c r="V271" s="12"/>
      <c r="W271" s="13"/>
      <c r="X271" s="13"/>
      <c r="Y271" s="12"/>
      <c r="Z271" s="14" t="str">
        <f t="shared" si="17"/>
        <v/>
      </c>
      <c r="AA271" s="13"/>
      <c r="AB271" s="15"/>
      <c r="AC271" s="6" t="s">
        <v>1285</v>
      </c>
      <c r="AD271" s="6" t="s">
        <v>1198</v>
      </c>
      <c r="AE271" s="8" t="s">
        <v>1286</v>
      </c>
    </row>
    <row r="272" spans="1:31" ht="60" x14ac:dyDescent="0.25">
      <c r="A272" s="6">
        <v>268</v>
      </c>
      <c r="B272" s="7">
        <v>46318</v>
      </c>
      <c r="C272" s="6" t="s">
        <v>1287</v>
      </c>
      <c r="D272" s="8" t="s">
        <v>1288</v>
      </c>
      <c r="E272" s="8" t="s">
        <v>1289</v>
      </c>
      <c r="F272" s="6" t="s">
        <v>38</v>
      </c>
      <c r="G272" s="6" t="s">
        <v>48</v>
      </c>
      <c r="H272" s="6" t="s">
        <v>161</v>
      </c>
      <c r="I272" s="6" t="s">
        <v>50</v>
      </c>
      <c r="J272" s="9">
        <v>21435442.260000002</v>
      </c>
      <c r="K272" s="9">
        <v>19005452.600000001</v>
      </c>
      <c r="L272" s="9">
        <v>21221087.870000001</v>
      </c>
      <c r="M272" s="9">
        <v>25889727.199999999</v>
      </c>
      <c r="N272" s="10">
        <f t="shared" si="14"/>
        <v>0.1165789269338422</v>
      </c>
      <c r="O272" s="10">
        <f t="shared" si="15"/>
        <v>0.1044072426245507</v>
      </c>
      <c r="P272" s="10">
        <f t="shared" si="16"/>
        <v>-9.9999984791543373E-3</v>
      </c>
      <c r="Q272" s="10"/>
      <c r="R272" s="10"/>
      <c r="S272" s="6" t="s">
        <v>42</v>
      </c>
      <c r="T272" s="8"/>
      <c r="U272" s="11"/>
      <c r="V272" s="12"/>
      <c r="W272" s="13"/>
      <c r="X272" s="13"/>
      <c r="Y272" s="12"/>
      <c r="Z272" s="14" t="str">
        <f t="shared" si="17"/>
        <v/>
      </c>
      <c r="AA272" s="13"/>
      <c r="AB272" s="15"/>
      <c r="AC272" s="6" t="s">
        <v>1290</v>
      </c>
      <c r="AD272" s="6" t="s">
        <v>1198</v>
      </c>
      <c r="AE272" s="8" t="s">
        <v>1291</v>
      </c>
    </row>
    <row r="273" spans="1:31" ht="60" x14ac:dyDescent="0.25">
      <c r="A273" s="6">
        <v>269</v>
      </c>
      <c r="B273" s="7">
        <v>46318</v>
      </c>
      <c r="C273" s="6" t="s">
        <v>1292</v>
      </c>
      <c r="D273" s="8" t="s">
        <v>1293</v>
      </c>
      <c r="E273" s="8" t="s">
        <v>1294</v>
      </c>
      <c r="F273" s="6" t="s">
        <v>38</v>
      </c>
      <c r="G273" s="6" t="s">
        <v>39</v>
      </c>
      <c r="H273" s="6" t="s">
        <v>40</v>
      </c>
      <c r="I273" s="6" t="s">
        <v>80</v>
      </c>
      <c r="J273" s="9"/>
      <c r="K273" s="9">
        <v>1695811.3</v>
      </c>
      <c r="L273" s="9">
        <v>2425010.25</v>
      </c>
      <c r="M273" s="9">
        <v>2958512.51</v>
      </c>
      <c r="N273" s="10">
        <f t="shared" si="14"/>
        <v>0.43000005366163085</v>
      </c>
      <c r="O273" s="10">
        <f t="shared" si="15"/>
        <v>0.30069932694098922</v>
      </c>
      <c r="P273" s="10" t="str">
        <f t="shared" si="16"/>
        <v/>
      </c>
      <c r="Q273" s="10"/>
      <c r="R273" s="10"/>
      <c r="S273" s="6" t="s">
        <v>42</v>
      </c>
      <c r="T273" s="8"/>
      <c r="U273" s="11"/>
      <c r="V273" s="12"/>
      <c r="W273" s="13"/>
      <c r="X273" s="13"/>
      <c r="Y273" s="12"/>
      <c r="Z273" s="14" t="str">
        <f t="shared" si="17"/>
        <v/>
      </c>
      <c r="AA273" s="13"/>
      <c r="AB273" s="15"/>
      <c r="AC273" s="6" t="s">
        <v>1295</v>
      </c>
      <c r="AD273" s="6" t="s">
        <v>1198</v>
      </c>
      <c r="AE273" s="8" t="s">
        <v>1296</v>
      </c>
    </row>
    <row r="274" spans="1:31" ht="60" x14ac:dyDescent="0.25">
      <c r="A274" s="6">
        <v>270</v>
      </c>
      <c r="B274" s="7">
        <v>46318</v>
      </c>
      <c r="C274" s="6" t="s">
        <v>1297</v>
      </c>
      <c r="D274" s="8" t="s">
        <v>1298</v>
      </c>
      <c r="E274" s="8" t="s">
        <v>1299</v>
      </c>
      <c r="F274" s="6" t="s">
        <v>183</v>
      </c>
      <c r="G274" s="6" t="s">
        <v>48</v>
      </c>
      <c r="H274" s="6" t="s">
        <v>72</v>
      </c>
      <c r="I274" s="6" t="s">
        <v>1300</v>
      </c>
      <c r="J274" s="9"/>
      <c r="K274" s="9">
        <v>651316.38</v>
      </c>
      <c r="L274" s="9">
        <v>951539</v>
      </c>
      <c r="M274" s="9">
        <v>1160877.58</v>
      </c>
      <c r="N274" s="10">
        <f t="shared" si="14"/>
        <v>0.46094744308441937</v>
      </c>
      <c r="O274" s="10">
        <f t="shared" si="15"/>
        <v>0.31551267998474053</v>
      </c>
      <c r="P274" s="10" t="str">
        <f t="shared" si="16"/>
        <v/>
      </c>
      <c r="Q274" s="10"/>
      <c r="R274" s="10">
        <v>0.46100000000000002</v>
      </c>
      <c r="S274" s="6" t="s">
        <v>42</v>
      </c>
      <c r="T274" s="8"/>
      <c r="U274" s="11"/>
      <c r="V274" s="12"/>
      <c r="W274" s="13"/>
      <c r="X274" s="13"/>
      <c r="Y274" s="12"/>
      <c r="Z274" s="14" t="str">
        <f t="shared" si="17"/>
        <v/>
      </c>
      <c r="AA274" s="13"/>
      <c r="AB274" s="15"/>
      <c r="AC274" s="6" t="s">
        <v>1301</v>
      </c>
      <c r="AD274" s="6" t="s">
        <v>1198</v>
      </c>
      <c r="AE274" s="8" t="s">
        <v>1302</v>
      </c>
    </row>
    <row r="275" spans="1:31" ht="75" x14ac:dyDescent="0.25">
      <c r="A275" s="6">
        <v>271</v>
      </c>
      <c r="B275" s="7">
        <v>46318</v>
      </c>
      <c r="C275" s="6" t="s">
        <v>1303</v>
      </c>
      <c r="D275" s="8" t="s">
        <v>1304</v>
      </c>
      <c r="E275" s="8" t="s">
        <v>1305</v>
      </c>
      <c r="F275" s="6" t="s">
        <v>183</v>
      </c>
      <c r="G275" s="6" t="s">
        <v>48</v>
      </c>
      <c r="H275" s="6" t="s">
        <v>161</v>
      </c>
      <c r="I275" s="6" t="s">
        <v>50</v>
      </c>
      <c r="J275" s="9">
        <v>7815124.3099999996</v>
      </c>
      <c r="K275" s="9">
        <v>7470795</v>
      </c>
      <c r="L275" s="9">
        <v>8591415</v>
      </c>
      <c r="M275" s="9">
        <v>10481526</v>
      </c>
      <c r="N275" s="10">
        <f t="shared" si="14"/>
        <v>0.15000010039092215</v>
      </c>
      <c r="O275" s="10">
        <f t="shared" si="15"/>
        <v>0.13043485851864911</v>
      </c>
      <c r="P275" s="10">
        <f t="shared" si="16"/>
        <v>9.93318415942126E-2</v>
      </c>
      <c r="Q275" s="10"/>
      <c r="R275" s="10"/>
      <c r="S275" s="6" t="s">
        <v>193</v>
      </c>
      <c r="T275" s="8"/>
      <c r="U275" s="11"/>
      <c r="V275" s="12"/>
      <c r="W275" s="13"/>
      <c r="X275" s="13"/>
      <c r="Y275" s="12"/>
      <c r="Z275" s="14" t="str">
        <f t="shared" si="17"/>
        <v/>
      </c>
      <c r="AA275" s="13"/>
      <c r="AB275" s="15"/>
      <c r="AC275" s="6" t="s">
        <v>1306</v>
      </c>
      <c r="AD275" s="6" t="s">
        <v>1198</v>
      </c>
      <c r="AE275" s="8" t="s">
        <v>1307</v>
      </c>
    </row>
    <row r="276" spans="1:31" ht="60" x14ac:dyDescent="0.25">
      <c r="A276" s="6">
        <v>272</v>
      </c>
      <c r="B276" s="7">
        <v>46318</v>
      </c>
      <c r="C276" s="6" t="s">
        <v>1308</v>
      </c>
      <c r="D276" s="8" t="s">
        <v>1309</v>
      </c>
      <c r="E276" s="8" t="s">
        <v>1310</v>
      </c>
      <c r="F276" s="6" t="s">
        <v>55</v>
      </c>
      <c r="G276" s="6" t="s">
        <v>39</v>
      </c>
      <c r="H276" s="6" t="s">
        <v>40</v>
      </c>
      <c r="I276" s="6" t="s">
        <v>80</v>
      </c>
      <c r="J276" s="9"/>
      <c r="K276" s="9">
        <v>910457.77</v>
      </c>
      <c r="L276" s="9">
        <v>1192233.2</v>
      </c>
      <c r="M276" s="9">
        <v>1454524.5</v>
      </c>
      <c r="N276" s="10">
        <f t="shared" si="14"/>
        <v>0.30948764378165494</v>
      </c>
      <c r="O276" s="10">
        <f t="shared" si="15"/>
        <v>0.23634254607236227</v>
      </c>
      <c r="P276" s="10" t="str">
        <f t="shared" si="16"/>
        <v/>
      </c>
      <c r="Q276" s="10"/>
      <c r="R276" s="10"/>
      <c r="S276" s="6" t="s">
        <v>42</v>
      </c>
      <c r="T276" s="8"/>
      <c r="U276" s="11"/>
      <c r="V276" s="12"/>
      <c r="W276" s="13"/>
      <c r="X276" s="13"/>
      <c r="Y276" s="12"/>
      <c r="Z276" s="14" t="str">
        <f t="shared" si="17"/>
        <v/>
      </c>
      <c r="AA276" s="13"/>
      <c r="AB276" s="15"/>
      <c r="AC276" s="6" t="s">
        <v>1311</v>
      </c>
      <c r="AD276" s="6" t="s">
        <v>1198</v>
      </c>
      <c r="AE276" s="8" t="s">
        <v>1312</v>
      </c>
    </row>
    <row r="277" spans="1:31" ht="45" x14ac:dyDescent="0.25">
      <c r="A277" s="6">
        <v>273</v>
      </c>
      <c r="B277" s="7">
        <v>46318</v>
      </c>
      <c r="C277" s="6" t="s">
        <v>1313</v>
      </c>
      <c r="D277" s="8" t="s">
        <v>1314</v>
      </c>
      <c r="E277" s="8" t="s">
        <v>1315</v>
      </c>
      <c r="F277" s="6" t="s">
        <v>38</v>
      </c>
      <c r="G277" s="6" t="s">
        <v>39</v>
      </c>
      <c r="H277" s="6" t="s">
        <v>161</v>
      </c>
      <c r="I277" s="6" t="s">
        <v>80</v>
      </c>
      <c r="J277" s="9"/>
      <c r="K277" s="9">
        <v>68503186.230000004</v>
      </c>
      <c r="L277" s="9">
        <v>92677539.340000004</v>
      </c>
      <c r="M277" s="9">
        <v>113066597.98999999</v>
      </c>
      <c r="N277" s="10">
        <f t="shared" si="14"/>
        <v>0.35289384976684746</v>
      </c>
      <c r="O277" s="10">
        <f t="shared" si="15"/>
        <v>0.26084370908158383</v>
      </c>
      <c r="P277" s="10" t="str">
        <f t="shared" si="16"/>
        <v/>
      </c>
      <c r="Q277" s="10">
        <v>0.15</v>
      </c>
      <c r="R277" s="10">
        <v>0.37</v>
      </c>
      <c r="S277" s="6" t="s">
        <v>42</v>
      </c>
      <c r="T277" s="8"/>
      <c r="U277" s="11"/>
      <c r="V277" s="12"/>
      <c r="W277" s="13"/>
      <c r="X277" s="13"/>
      <c r="Y277" s="12"/>
      <c r="Z277" s="14" t="str">
        <f t="shared" si="17"/>
        <v/>
      </c>
      <c r="AA277" s="13"/>
      <c r="AB277" s="15"/>
      <c r="AC277" s="6" t="s">
        <v>1316</v>
      </c>
      <c r="AD277" s="6" t="s">
        <v>1198</v>
      </c>
      <c r="AE277" s="8" t="s">
        <v>1317</v>
      </c>
    </row>
    <row r="278" spans="1:31" ht="90" x14ac:dyDescent="0.25">
      <c r="A278" s="6">
        <v>274</v>
      </c>
      <c r="B278" s="25">
        <v>46321.875</v>
      </c>
      <c r="C278" s="6" t="s">
        <v>1318</v>
      </c>
      <c r="D278" s="8" t="s">
        <v>1319</v>
      </c>
      <c r="E278" s="8" t="s">
        <v>1320</v>
      </c>
      <c r="F278" s="6" t="s">
        <v>38</v>
      </c>
      <c r="G278" s="6" t="s">
        <v>48</v>
      </c>
      <c r="H278" s="6" t="s">
        <v>49</v>
      </c>
      <c r="I278" s="6" t="s">
        <v>50</v>
      </c>
      <c r="J278" s="9"/>
      <c r="K278" s="9">
        <v>69030813.049999997</v>
      </c>
      <c r="L278" s="9">
        <v>89740057.129999995</v>
      </c>
      <c r="M278" s="9">
        <v>109482869.7</v>
      </c>
      <c r="N278" s="10">
        <f>IF(AND(ISNUMBER(K278),ISNUMBER(L278),K278&gt;0),L278/K278-1,"")</f>
        <v>0.30000000239023694</v>
      </c>
      <c r="O278" s="10">
        <f>IF(AND(ISNUMBER(K278),ISNUMBER(L278),L278&gt;0),1-K278/L278,"")</f>
        <v>0.23076923218357215</v>
      </c>
      <c r="P278" s="10" t="str">
        <f>IF(AND(ISNUMBER(J278),ISNUMBER(L278),J278&gt;0),L278/J278-1,"")</f>
        <v/>
      </c>
      <c r="Q278" s="10">
        <v>0.113</v>
      </c>
      <c r="R278" s="10">
        <v>0.71299999999999997</v>
      </c>
      <c r="S278" s="6" t="s">
        <v>42</v>
      </c>
      <c r="T278" s="8"/>
      <c r="U278" s="11"/>
      <c r="V278" s="12"/>
      <c r="W278" s="13"/>
      <c r="X278" s="13"/>
      <c r="Y278" s="12"/>
      <c r="Z278" s="14" t="str">
        <f>IF(AND(ISNUMBER(V278),ISNUMBER(Y278),Y278&gt;0),V278/Y278-1,"")</f>
        <v/>
      </c>
      <c r="AA278" s="13"/>
      <c r="AB278" s="15"/>
      <c r="AC278" s="6" t="s">
        <v>1321</v>
      </c>
      <c r="AD278" s="6" t="s">
        <v>1322</v>
      </c>
      <c r="AE278" s="8" t="s">
        <v>1323</v>
      </c>
    </row>
    <row r="279" spans="1:31" ht="105" x14ac:dyDescent="0.25">
      <c r="A279" s="6">
        <v>275</v>
      </c>
      <c r="B279" s="7">
        <v>46321.875</v>
      </c>
      <c r="C279" s="6" t="s">
        <v>1318</v>
      </c>
      <c r="D279" s="8" t="s">
        <v>1324</v>
      </c>
      <c r="E279" s="8" t="s">
        <v>1325</v>
      </c>
      <c r="F279" s="6" t="s">
        <v>38</v>
      </c>
      <c r="G279" s="6" t="s">
        <v>1326</v>
      </c>
      <c r="H279" s="6" t="s">
        <v>49</v>
      </c>
      <c r="I279" s="6" t="s">
        <v>50</v>
      </c>
      <c r="J279" s="9" t="s">
        <v>1327</v>
      </c>
      <c r="K279" s="9">
        <v>2824116.99</v>
      </c>
      <c r="L279" s="9">
        <v>3517063.62</v>
      </c>
      <c r="M279" s="9">
        <v>4290817.62</v>
      </c>
      <c r="N279" s="10">
        <f t="shared" si="14"/>
        <v>0.24536753698719815</v>
      </c>
      <c r="O279" s="10">
        <f t="shared" si="15"/>
        <v>0.19702419542811678</v>
      </c>
      <c r="P279" s="10" t="str">
        <f t="shared" si="16"/>
        <v/>
      </c>
      <c r="Q279" s="10">
        <v>0.10100000000000001</v>
      </c>
      <c r="R279" s="10">
        <v>1.099</v>
      </c>
      <c r="S279" s="6" t="s">
        <v>42</v>
      </c>
      <c r="T279" s="8"/>
      <c r="U279" s="11"/>
      <c r="V279" s="12"/>
      <c r="W279" s="13"/>
      <c r="X279" s="13"/>
      <c r="Y279" s="12"/>
      <c r="Z279" s="14" t="str">
        <f t="shared" si="17"/>
        <v/>
      </c>
      <c r="AA279" s="13"/>
      <c r="AB279" s="15"/>
      <c r="AC279" s="6" t="s">
        <v>1328</v>
      </c>
      <c r="AD279" s="6" t="s">
        <v>1322</v>
      </c>
      <c r="AE279" s="8" t="s">
        <v>1329</v>
      </c>
    </row>
    <row r="280" spans="1:31" ht="90" x14ac:dyDescent="0.25">
      <c r="A280" s="6">
        <v>276</v>
      </c>
      <c r="B280" s="26">
        <v>46322</v>
      </c>
      <c r="C280" s="6" t="s">
        <v>1334</v>
      </c>
      <c r="D280" s="8" t="s">
        <v>1335</v>
      </c>
      <c r="E280" s="8" t="s">
        <v>1336</v>
      </c>
      <c r="F280" s="6" t="s">
        <v>38</v>
      </c>
      <c r="G280" s="6" t="s">
        <v>48</v>
      </c>
      <c r="H280" s="6" t="s">
        <v>72</v>
      </c>
      <c r="I280" s="6" t="s">
        <v>50</v>
      </c>
      <c r="J280" s="9" t="s">
        <v>1327</v>
      </c>
      <c r="K280" s="9">
        <v>245037.31</v>
      </c>
      <c r="L280" s="9">
        <v>360134.46</v>
      </c>
      <c r="M280" s="9">
        <v>439364.04</v>
      </c>
      <c r="N280" s="10">
        <f t="shared" si="14"/>
        <v>0.4697127551718554</v>
      </c>
      <c r="O280" s="10">
        <f t="shared" si="15"/>
        <v>0.31959493684664342</v>
      </c>
      <c r="P280" s="10" t="str">
        <f t="shared" si="16"/>
        <v/>
      </c>
      <c r="Q280" s="10">
        <v>0.01</v>
      </c>
      <c r="R280" s="10">
        <v>0.67</v>
      </c>
      <c r="S280" s="6" t="s">
        <v>42</v>
      </c>
      <c r="T280" s="8"/>
      <c r="U280" s="11"/>
      <c r="V280" s="12"/>
      <c r="W280" s="13"/>
      <c r="X280" s="13"/>
      <c r="Y280" s="12"/>
      <c r="Z280" s="14" t="str">
        <f t="shared" si="17"/>
        <v/>
      </c>
      <c r="AA280" s="13"/>
      <c r="AB280" s="15"/>
      <c r="AC280" s="6" t="s">
        <v>1337</v>
      </c>
      <c r="AD280" s="6" t="s">
        <v>1338</v>
      </c>
      <c r="AE280" s="8" t="s">
        <v>1339</v>
      </c>
    </row>
    <row r="281" spans="1:31" ht="90" x14ac:dyDescent="0.25">
      <c r="A281" s="6">
        <v>277</v>
      </c>
      <c r="B281" s="26">
        <v>46322</v>
      </c>
      <c r="C281" s="6" t="s">
        <v>1340</v>
      </c>
      <c r="D281" s="8" t="s">
        <v>1341</v>
      </c>
      <c r="E281" s="8" t="s">
        <v>1342</v>
      </c>
      <c r="F281" s="6" t="s">
        <v>38</v>
      </c>
      <c r="G281" s="6" t="s">
        <v>48</v>
      </c>
      <c r="H281" s="6" t="s">
        <v>49</v>
      </c>
      <c r="I281" s="6" t="s">
        <v>50</v>
      </c>
      <c r="J281" s="9" t="s">
        <v>1327</v>
      </c>
      <c r="K281" s="9">
        <v>513168.5</v>
      </c>
      <c r="L281" s="9">
        <v>651003.07999999996</v>
      </c>
      <c r="M281" s="9">
        <v>794223.76</v>
      </c>
      <c r="N281" s="10">
        <f t="shared" si="14"/>
        <v>0.26859516903317315</v>
      </c>
      <c r="O281" s="10">
        <f t="shared" si="15"/>
        <v>0.21172646372118542</v>
      </c>
      <c r="P281" s="10" t="str">
        <f t="shared" si="16"/>
        <v/>
      </c>
      <c r="Q281" s="10">
        <v>0.126</v>
      </c>
      <c r="R281" s="10">
        <v>0.31900000000000001</v>
      </c>
      <c r="S281" s="6" t="s">
        <v>42</v>
      </c>
      <c r="T281" s="8"/>
      <c r="U281" s="11"/>
      <c r="V281" s="12"/>
      <c r="W281" s="13"/>
      <c r="X281" s="13"/>
      <c r="Y281" s="12"/>
      <c r="Z281" s="14" t="str">
        <f t="shared" si="17"/>
        <v/>
      </c>
      <c r="AA281" s="13"/>
      <c r="AB281" s="15"/>
      <c r="AC281" s="6" t="s">
        <v>1343</v>
      </c>
      <c r="AD281" s="6" t="s">
        <v>1344</v>
      </c>
      <c r="AE281" s="8" t="s">
        <v>1345</v>
      </c>
    </row>
    <row r="282" spans="1:31" ht="90" x14ac:dyDescent="0.25">
      <c r="A282" s="6">
        <v>278</v>
      </c>
      <c r="B282" s="26">
        <v>46322</v>
      </c>
      <c r="C282" s="6" t="s">
        <v>1346</v>
      </c>
      <c r="D282" s="8" t="s">
        <v>1347</v>
      </c>
      <c r="E282" s="8" t="s">
        <v>1348</v>
      </c>
      <c r="F282" s="6" t="s">
        <v>38</v>
      </c>
      <c r="G282" s="6" t="s">
        <v>39</v>
      </c>
      <c r="H282" s="6" t="s">
        <v>161</v>
      </c>
      <c r="I282" s="6" t="s">
        <v>1349</v>
      </c>
      <c r="J282" s="9">
        <v>1555931.68</v>
      </c>
      <c r="K282" s="9">
        <v>1248533.28</v>
      </c>
      <c r="L282" s="9">
        <v>1498239.81</v>
      </c>
      <c r="M282" s="9">
        <v>1827852.57</v>
      </c>
      <c r="N282" s="10">
        <f t="shared" si="14"/>
        <v>0.19999989908158478</v>
      </c>
      <c r="O282" s="10">
        <f t="shared" si="15"/>
        <v>0.16666659658442795</v>
      </c>
      <c r="P282" s="10">
        <f t="shared" si="16"/>
        <v>-3.707866530489301E-2</v>
      </c>
      <c r="Q282" s="10"/>
      <c r="R282" s="10">
        <v>0.2</v>
      </c>
      <c r="S282" s="6" t="s">
        <v>42</v>
      </c>
      <c r="T282" s="8" t="s">
        <v>1350</v>
      </c>
      <c r="U282" s="11"/>
      <c r="V282" s="12"/>
      <c r="W282" s="13"/>
      <c r="X282" s="13"/>
      <c r="Y282" s="12"/>
      <c r="Z282" s="14" t="str">
        <f t="shared" si="17"/>
        <v/>
      </c>
      <c r="AA282" s="13"/>
      <c r="AB282" s="15"/>
      <c r="AC282" s="6" t="s">
        <v>1351</v>
      </c>
      <c r="AD282" s="6" t="s">
        <v>1352</v>
      </c>
      <c r="AE282" s="8" t="s">
        <v>1353</v>
      </c>
    </row>
    <row r="283" spans="1:31" ht="105" x14ac:dyDescent="0.25">
      <c r="A283" s="6">
        <v>279</v>
      </c>
      <c r="B283" s="26">
        <v>46322</v>
      </c>
      <c r="C283" s="6" t="s">
        <v>1234</v>
      </c>
      <c r="D283" s="8" t="s">
        <v>1354</v>
      </c>
      <c r="E283" s="8" t="s">
        <v>1355</v>
      </c>
      <c r="F283" s="6" t="s">
        <v>55</v>
      </c>
      <c r="G283" s="6" t="s">
        <v>39</v>
      </c>
      <c r="H283" s="6" t="s">
        <v>49</v>
      </c>
      <c r="I283" s="6" t="s">
        <v>1356</v>
      </c>
      <c r="J283" s="9" t="s">
        <v>1327</v>
      </c>
      <c r="K283" s="9">
        <v>15981180</v>
      </c>
      <c r="L283" s="9">
        <v>20775978.300000001</v>
      </c>
      <c r="M283" s="9">
        <v>25346693.530000001</v>
      </c>
      <c r="N283" s="10">
        <f t="shared" si="14"/>
        <v>0.30002780145145724</v>
      </c>
      <c r="O283" s="10">
        <f t="shared" si="15"/>
        <v>0.23078568098042351</v>
      </c>
      <c r="P283" s="10" t="str">
        <f t="shared" si="16"/>
        <v/>
      </c>
      <c r="Q283" s="10">
        <v>0</v>
      </c>
      <c r="R283" s="10">
        <v>3.67</v>
      </c>
      <c r="S283" s="6" t="s">
        <v>42</v>
      </c>
      <c r="T283" s="8"/>
      <c r="U283" s="11"/>
      <c r="V283" s="12"/>
      <c r="W283" s="13"/>
      <c r="X283" s="13"/>
      <c r="Y283" s="12"/>
      <c r="Z283" s="14" t="str">
        <f t="shared" si="17"/>
        <v/>
      </c>
      <c r="AA283" s="13"/>
      <c r="AB283" s="15"/>
      <c r="AC283" s="6" t="s">
        <v>1357</v>
      </c>
      <c r="AD283" s="6" t="s">
        <v>1358</v>
      </c>
      <c r="AE283" s="8" t="s">
        <v>1359</v>
      </c>
    </row>
    <row r="284" spans="1:31" ht="120" x14ac:dyDescent="0.25">
      <c r="A284" s="6">
        <v>280</v>
      </c>
      <c r="B284" s="26">
        <v>46322</v>
      </c>
      <c r="C284" s="6" t="s">
        <v>1360</v>
      </c>
      <c r="D284" s="8" t="s">
        <v>1361</v>
      </c>
      <c r="E284" s="8" t="s">
        <v>1362</v>
      </c>
      <c r="F284" s="6" t="s">
        <v>55</v>
      </c>
      <c r="G284" s="6" t="s">
        <v>48</v>
      </c>
      <c r="H284" s="6" t="s">
        <v>49</v>
      </c>
      <c r="I284" s="6" t="s">
        <v>50</v>
      </c>
      <c r="J284" s="9" t="s">
        <v>1327</v>
      </c>
      <c r="K284" s="9">
        <v>2394419</v>
      </c>
      <c r="L284" s="9">
        <v>3112739.72</v>
      </c>
      <c r="M284" s="9">
        <v>3797542.46</v>
      </c>
      <c r="N284" s="10">
        <f t="shared" si="14"/>
        <v>0.29999792016351368</v>
      </c>
      <c r="O284" s="10">
        <f t="shared" si="15"/>
        <v>0.23076800009478471</v>
      </c>
      <c r="P284" s="10" t="str">
        <f t="shared" si="16"/>
        <v/>
      </c>
      <c r="Q284" s="10">
        <v>0.121</v>
      </c>
      <c r="R284" s="10">
        <v>1.4790000000000001</v>
      </c>
      <c r="S284" s="6" t="s">
        <v>42</v>
      </c>
      <c r="T284" s="8"/>
      <c r="U284" s="11"/>
      <c r="V284" s="12"/>
      <c r="W284" s="13"/>
      <c r="X284" s="13"/>
      <c r="Y284" s="12"/>
      <c r="Z284" s="14" t="str">
        <f t="shared" si="17"/>
        <v/>
      </c>
      <c r="AA284" s="13"/>
      <c r="AB284" s="15"/>
      <c r="AC284" s="6" t="s">
        <v>1363</v>
      </c>
      <c r="AD284" s="6" t="s">
        <v>1364</v>
      </c>
      <c r="AE284" s="8" t="s">
        <v>1365</v>
      </c>
    </row>
    <row r="285" spans="1:31" ht="90" x14ac:dyDescent="0.25">
      <c r="A285" s="6">
        <v>281</v>
      </c>
      <c r="B285" s="26">
        <v>46322</v>
      </c>
      <c r="C285" s="6" t="s">
        <v>376</v>
      </c>
      <c r="D285" s="8" t="s">
        <v>1366</v>
      </c>
      <c r="E285" s="8" t="s">
        <v>1367</v>
      </c>
      <c r="F285" s="6" t="s">
        <v>38</v>
      </c>
      <c r="G285" s="6" t="s">
        <v>1326</v>
      </c>
      <c r="H285" s="6" t="s">
        <v>49</v>
      </c>
      <c r="I285" s="6" t="s">
        <v>50</v>
      </c>
      <c r="J285" s="9" t="s">
        <v>1327</v>
      </c>
      <c r="K285" s="9">
        <v>1529277</v>
      </c>
      <c r="L285" s="9">
        <v>2064524.04</v>
      </c>
      <c r="M285" s="9">
        <v>2518719.33</v>
      </c>
      <c r="N285" s="10">
        <f t="shared" si="14"/>
        <v>0.35000005885133967</v>
      </c>
      <c r="O285" s="10">
        <f t="shared" si="15"/>
        <v>0.25925929155080218</v>
      </c>
      <c r="P285" s="10" t="str">
        <f t="shared" si="16"/>
        <v/>
      </c>
      <c r="Q285" s="10">
        <v>-2.5999999999999999E-2</v>
      </c>
      <c r="R285" s="10">
        <v>1.5069999999999999</v>
      </c>
      <c r="S285" s="6" t="s">
        <v>42</v>
      </c>
      <c r="T285" s="8"/>
      <c r="U285" s="11"/>
      <c r="V285" s="12"/>
      <c r="W285" s="13"/>
      <c r="X285" s="13"/>
      <c r="Y285" s="12"/>
      <c r="Z285" s="14" t="str">
        <f t="shared" si="17"/>
        <v/>
      </c>
      <c r="AA285" s="13"/>
      <c r="AB285" s="15"/>
      <c r="AC285" s="6" t="s">
        <v>1368</v>
      </c>
      <c r="AD285" s="6" t="s">
        <v>1369</v>
      </c>
      <c r="AE285" s="8" t="s">
        <v>1370</v>
      </c>
    </row>
    <row r="286" spans="1:31" ht="105" x14ac:dyDescent="0.25">
      <c r="A286" s="6">
        <v>282</v>
      </c>
      <c r="B286" s="26">
        <v>46322</v>
      </c>
      <c r="C286" s="6" t="s">
        <v>1371</v>
      </c>
      <c r="D286" s="8" t="s">
        <v>1372</v>
      </c>
      <c r="E286" s="8" t="s">
        <v>1373</v>
      </c>
      <c r="F286" s="6" t="s">
        <v>1374</v>
      </c>
      <c r="G286" s="6" t="s">
        <v>1375</v>
      </c>
      <c r="H286" s="6" t="s">
        <v>161</v>
      </c>
      <c r="I286" s="6" t="s">
        <v>50</v>
      </c>
      <c r="J286" s="9">
        <v>37248767.439999998</v>
      </c>
      <c r="K286" s="9">
        <v>32632722</v>
      </c>
      <c r="L286" s="9">
        <v>36469799.840000004</v>
      </c>
      <c r="M286" s="9">
        <v>44493155.810000002</v>
      </c>
      <c r="N286" s="10">
        <f t="shared" si="14"/>
        <v>0.11758375044533542</v>
      </c>
      <c r="O286" s="10">
        <f t="shared" si="15"/>
        <v>0.10521247324728955</v>
      </c>
      <c r="P286" s="10">
        <f t="shared" si="16"/>
        <v>-2.0912573852403304E-2</v>
      </c>
      <c r="Q286" s="10">
        <v>5.8000000000000003E-2</v>
      </c>
      <c r="R286" s="10">
        <v>2.65</v>
      </c>
      <c r="S286" s="6" t="s">
        <v>193</v>
      </c>
      <c r="T286" s="8"/>
      <c r="U286" s="11"/>
      <c r="V286" s="12"/>
      <c r="W286" s="13"/>
      <c r="X286" s="13"/>
      <c r="Y286" s="12"/>
      <c r="Z286" s="14" t="str">
        <f t="shared" si="17"/>
        <v/>
      </c>
      <c r="AA286" s="13"/>
      <c r="AB286" s="15"/>
      <c r="AC286" s="6" t="s">
        <v>1376</v>
      </c>
      <c r="AD286" s="6" t="s">
        <v>1377</v>
      </c>
      <c r="AE286" s="8" t="s">
        <v>1378</v>
      </c>
    </row>
    <row r="287" spans="1:31" ht="75" x14ac:dyDescent="0.25">
      <c r="A287" s="6">
        <v>283</v>
      </c>
      <c r="B287" s="26">
        <v>46322</v>
      </c>
      <c r="C287" s="6" t="s">
        <v>640</v>
      </c>
      <c r="D287" s="8" t="s">
        <v>1264</v>
      </c>
      <c r="E287" s="8" t="s">
        <v>1379</v>
      </c>
      <c r="F287" s="6" t="s">
        <v>55</v>
      </c>
      <c r="G287" s="6" t="s">
        <v>39</v>
      </c>
      <c r="H287" s="6" t="s">
        <v>161</v>
      </c>
      <c r="I287" s="6" t="s">
        <v>1380</v>
      </c>
      <c r="J287" s="9">
        <v>2450000</v>
      </c>
      <c r="K287" s="9">
        <v>5698601</v>
      </c>
      <c r="L287" s="9">
        <v>6553391.7999999998</v>
      </c>
      <c r="M287" s="9">
        <v>7995138</v>
      </c>
      <c r="N287" s="10">
        <f t="shared" si="14"/>
        <v>0.15000011406308311</v>
      </c>
      <c r="O287" s="10">
        <f t="shared" si="15"/>
        <v>0.13043486885676514</v>
      </c>
      <c r="P287" s="10">
        <f t="shared" si="16"/>
        <v>1.6748537959183674</v>
      </c>
      <c r="Q287" s="10">
        <v>0.15</v>
      </c>
      <c r="R287" s="10">
        <v>0.15</v>
      </c>
      <c r="S287" s="6" t="s">
        <v>193</v>
      </c>
      <c r="T287" s="8"/>
      <c r="U287" s="11"/>
      <c r="V287" s="12"/>
      <c r="W287" s="13"/>
      <c r="X287" s="13"/>
      <c r="Y287" s="12"/>
      <c r="Z287" s="14" t="str">
        <f t="shared" si="17"/>
        <v/>
      </c>
      <c r="AA287" s="13"/>
      <c r="AB287" s="15"/>
      <c r="AC287" s="6" t="s">
        <v>1381</v>
      </c>
      <c r="AD287" s="6" t="s">
        <v>1382</v>
      </c>
      <c r="AE287" s="8" t="s">
        <v>1383</v>
      </c>
    </row>
    <row r="288" spans="1:31" ht="90" x14ac:dyDescent="0.25">
      <c r="A288" s="6">
        <v>284</v>
      </c>
      <c r="B288" s="26">
        <v>46322</v>
      </c>
      <c r="C288" s="6" t="s">
        <v>1384</v>
      </c>
      <c r="D288" s="8" t="s">
        <v>1385</v>
      </c>
      <c r="E288" s="8" t="s">
        <v>1386</v>
      </c>
      <c r="F288" s="6" t="s">
        <v>38</v>
      </c>
      <c r="G288" s="6" t="s">
        <v>1387</v>
      </c>
      <c r="H288" s="6" t="s">
        <v>49</v>
      </c>
      <c r="I288" s="6" t="s">
        <v>50</v>
      </c>
      <c r="J288" s="9" t="s">
        <v>1327</v>
      </c>
      <c r="K288" s="9">
        <v>9498860</v>
      </c>
      <c r="L288" s="9">
        <v>12738671.970000001</v>
      </c>
      <c r="M288" s="9">
        <v>15541179.800000001</v>
      </c>
      <c r="N288" s="10">
        <f t="shared" si="14"/>
        <v>0.34107376779950438</v>
      </c>
      <c r="O288" s="10">
        <f t="shared" si="15"/>
        <v>0.2543288639215977</v>
      </c>
      <c r="P288" s="10" t="str">
        <f t="shared" si="16"/>
        <v/>
      </c>
      <c r="Q288" s="10">
        <v>0.25</v>
      </c>
      <c r="R288" s="10">
        <v>0.36</v>
      </c>
      <c r="S288" s="6" t="s">
        <v>42</v>
      </c>
      <c r="T288" s="8"/>
      <c r="U288" s="11"/>
      <c r="V288" s="12"/>
      <c r="W288" s="13"/>
      <c r="X288" s="13"/>
      <c r="Y288" s="12"/>
      <c r="Z288" s="14" t="str">
        <f t="shared" si="17"/>
        <v/>
      </c>
      <c r="AA288" s="13"/>
      <c r="AB288" s="15"/>
      <c r="AC288" s="6" t="s">
        <v>1388</v>
      </c>
      <c r="AD288" s="6" t="s">
        <v>1389</v>
      </c>
      <c r="AE288" s="8" t="s">
        <v>1390</v>
      </c>
    </row>
    <row r="289" spans="1:31" ht="75" x14ac:dyDescent="0.25">
      <c r="A289" s="6">
        <v>285</v>
      </c>
      <c r="B289" s="26">
        <v>46322</v>
      </c>
      <c r="C289" s="6" t="s">
        <v>1391</v>
      </c>
      <c r="D289" s="8" t="s">
        <v>1392</v>
      </c>
      <c r="E289" s="8" t="s">
        <v>1393</v>
      </c>
      <c r="F289" s="6" t="s">
        <v>38</v>
      </c>
      <c r="G289" s="6" t="s">
        <v>39</v>
      </c>
      <c r="H289" s="6" t="s">
        <v>161</v>
      </c>
      <c r="I289" s="6" t="s">
        <v>80</v>
      </c>
      <c r="J289" s="9">
        <v>2121442</v>
      </c>
      <c r="K289" s="9">
        <v>10524232</v>
      </c>
      <c r="L289" s="9">
        <v>13155290.060000001</v>
      </c>
      <c r="M289" s="9">
        <v>16049453.869999999</v>
      </c>
      <c r="N289" s="10">
        <f t="shared" si="14"/>
        <v>0.25000000570112868</v>
      </c>
      <c r="O289" s="10">
        <f t="shared" si="15"/>
        <v>0.20000000364872228</v>
      </c>
      <c r="P289" s="10">
        <f t="shared" si="16"/>
        <v>5.2011075768274599</v>
      </c>
      <c r="Q289" s="10">
        <v>8.4000000000000005E-2</v>
      </c>
      <c r="R289" s="10">
        <v>0.25600000000000001</v>
      </c>
      <c r="S289" s="6" t="s">
        <v>193</v>
      </c>
      <c r="T289" s="8"/>
      <c r="U289" s="11"/>
      <c r="V289" s="12"/>
      <c r="W289" s="13"/>
      <c r="X289" s="13"/>
      <c r="Y289" s="12"/>
      <c r="Z289" s="14" t="str">
        <f t="shared" si="17"/>
        <v/>
      </c>
      <c r="AA289" s="13"/>
      <c r="AB289" s="15"/>
      <c r="AC289" s="6" t="s">
        <v>1394</v>
      </c>
      <c r="AD289" s="6" t="s">
        <v>1395</v>
      </c>
      <c r="AE289" s="8" t="s">
        <v>1396</v>
      </c>
    </row>
    <row r="290" spans="1:31" ht="75" x14ac:dyDescent="0.25">
      <c r="A290" s="6">
        <v>286</v>
      </c>
      <c r="B290" s="26">
        <v>46322</v>
      </c>
      <c r="C290" s="6" t="s">
        <v>1397</v>
      </c>
      <c r="D290" s="8" t="s">
        <v>1398</v>
      </c>
      <c r="E290" s="8" t="s">
        <v>1399</v>
      </c>
      <c r="F290" s="6" t="s">
        <v>1400</v>
      </c>
      <c r="G290" s="6" t="s">
        <v>48</v>
      </c>
      <c r="H290" s="6" t="s">
        <v>49</v>
      </c>
      <c r="I290" s="6" t="s">
        <v>50</v>
      </c>
      <c r="J290" s="9" t="s">
        <v>1327</v>
      </c>
      <c r="K290" s="9">
        <v>1192831</v>
      </c>
      <c r="L290" s="9">
        <v>1550683.7</v>
      </c>
      <c r="M290" s="9">
        <v>1891834.11</v>
      </c>
      <c r="N290" s="10">
        <f t="shared" si="14"/>
        <v>0.30000285036187013</v>
      </c>
      <c r="O290" s="10">
        <f t="shared" si="15"/>
        <v>0.23077091737018962</v>
      </c>
      <c r="P290" s="10" t="str">
        <f t="shared" si="16"/>
        <v/>
      </c>
      <c r="Q290" s="10">
        <v>1E-3</v>
      </c>
      <c r="R290" s="10">
        <v>0.46</v>
      </c>
      <c r="S290" s="6" t="s">
        <v>42</v>
      </c>
      <c r="T290" s="8" t="s">
        <v>1401</v>
      </c>
      <c r="U290" s="11"/>
      <c r="V290" s="12"/>
      <c r="W290" s="13"/>
      <c r="X290" s="13"/>
      <c r="Y290" s="12"/>
      <c r="Z290" s="14" t="str">
        <f t="shared" si="17"/>
        <v/>
      </c>
      <c r="AA290" s="13"/>
      <c r="AB290" s="15"/>
      <c r="AC290" s="6" t="s">
        <v>1402</v>
      </c>
      <c r="AD290" s="6" t="s">
        <v>1403</v>
      </c>
      <c r="AE290" s="8" t="s">
        <v>1404</v>
      </c>
    </row>
    <row r="291" spans="1:31" ht="105" x14ac:dyDescent="0.25">
      <c r="A291" s="6">
        <v>287</v>
      </c>
      <c r="B291" s="26">
        <v>46322</v>
      </c>
      <c r="C291" s="6" t="s">
        <v>45</v>
      </c>
      <c r="D291" s="8" t="s">
        <v>1405</v>
      </c>
      <c r="E291" s="8" t="s">
        <v>1406</v>
      </c>
      <c r="F291" s="6" t="s">
        <v>183</v>
      </c>
      <c r="G291" s="6" t="s">
        <v>1407</v>
      </c>
      <c r="H291" s="6" t="s">
        <v>49</v>
      </c>
      <c r="I291" s="6" t="s">
        <v>50</v>
      </c>
      <c r="J291" s="9" t="s">
        <v>1327</v>
      </c>
      <c r="K291" s="9">
        <v>6434507</v>
      </c>
      <c r="L291" s="9">
        <v>7678625.5999999996</v>
      </c>
      <c r="M291" s="9">
        <v>9367923.2300000004</v>
      </c>
      <c r="N291" s="10">
        <f t="shared" ref="N291:N318" si="18">IF(AND(ISNUMBER(K291),ISNUMBER(L291),K291&gt;0),L291/K291-1,"")</f>
        <v>0.19335103683934141</v>
      </c>
      <c r="O291" s="10">
        <f t="shared" ref="O291:O318" si="19">IF(AND(ISNUMBER(K291),ISNUMBER(L291),L291&gt;0),1-K291/L291,"")</f>
        <v>0.16202360484928446</v>
      </c>
      <c r="P291" s="10" t="str">
        <f t="shared" si="16"/>
        <v/>
      </c>
      <c r="Q291" s="10">
        <v>0.14799999999999999</v>
      </c>
      <c r="R291" s="10">
        <v>3.53</v>
      </c>
      <c r="S291" s="6" t="s">
        <v>42</v>
      </c>
      <c r="T291" s="8"/>
      <c r="U291" s="11"/>
      <c r="V291" s="12"/>
      <c r="W291" s="13"/>
      <c r="X291" s="13"/>
      <c r="Y291" s="12"/>
      <c r="Z291" s="14" t="str">
        <f t="shared" si="17"/>
        <v/>
      </c>
      <c r="AA291" s="13"/>
      <c r="AB291" s="15"/>
      <c r="AC291" s="6" t="s">
        <v>1408</v>
      </c>
      <c r="AD291" s="6" t="s">
        <v>1409</v>
      </c>
      <c r="AE291" s="8" t="s">
        <v>1410</v>
      </c>
    </row>
    <row r="292" spans="1:31" ht="90" x14ac:dyDescent="0.25">
      <c r="A292" s="6">
        <v>288</v>
      </c>
      <c r="B292" s="26">
        <v>46322</v>
      </c>
      <c r="C292" s="6" t="s">
        <v>1411</v>
      </c>
      <c r="D292" s="8" t="s">
        <v>1412</v>
      </c>
      <c r="E292" s="8" t="s">
        <v>1413</v>
      </c>
      <c r="F292" s="6" t="s">
        <v>1414</v>
      </c>
      <c r="G292" s="6" t="s">
        <v>39</v>
      </c>
      <c r="H292" s="6" t="s">
        <v>40</v>
      </c>
      <c r="I292" s="6" t="s">
        <v>41</v>
      </c>
      <c r="J292" s="9" t="s">
        <v>1327</v>
      </c>
      <c r="K292" s="9">
        <v>2018605</v>
      </c>
      <c r="L292" s="9">
        <v>2624250</v>
      </c>
      <c r="M292" s="9">
        <v>3201585</v>
      </c>
      <c r="N292" s="10">
        <f t="shared" si="18"/>
        <v>0.30003145736783576</v>
      </c>
      <c r="O292" s="10">
        <f t="shared" si="19"/>
        <v>0.23078784414594644</v>
      </c>
      <c r="P292" s="10" t="str">
        <f t="shared" si="16"/>
        <v/>
      </c>
      <c r="Q292" s="10">
        <v>0.1</v>
      </c>
      <c r="R292" s="10">
        <v>0.3</v>
      </c>
      <c r="S292" s="6" t="s">
        <v>42</v>
      </c>
      <c r="T292" s="8"/>
      <c r="U292" s="11"/>
      <c r="V292" s="12"/>
      <c r="W292" s="13"/>
      <c r="X292" s="13"/>
      <c r="Y292" s="12"/>
      <c r="Z292" s="14" t="str">
        <f t="shared" si="17"/>
        <v/>
      </c>
      <c r="AA292" s="13"/>
      <c r="AB292" s="15"/>
      <c r="AC292" s="6" t="s">
        <v>1415</v>
      </c>
      <c r="AD292" s="6" t="s">
        <v>1416</v>
      </c>
      <c r="AE292" s="8" t="s">
        <v>1417</v>
      </c>
    </row>
    <row r="293" spans="1:31" ht="120" x14ac:dyDescent="0.25">
      <c r="A293" s="6">
        <v>289</v>
      </c>
      <c r="B293" s="26">
        <v>46322</v>
      </c>
      <c r="C293" s="6" t="s">
        <v>392</v>
      </c>
      <c r="D293" s="8" t="s">
        <v>1418</v>
      </c>
      <c r="E293" s="8" t="s">
        <v>1419</v>
      </c>
      <c r="F293" s="6" t="s">
        <v>1420</v>
      </c>
      <c r="G293" s="6" t="s">
        <v>1375</v>
      </c>
      <c r="H293" s="6" t="s">
        <v>49</v>
      </c>
      <c r="I293" s="6" t="s">
        <v>50</v>
      </c>
      <c r="J293" s="9" t="s">
        <v>1327</v>
      </c>
      <c r="K293" s="9">
        <v>686331711</v>
      </c>
      <c r="L293" s="9">
        <v>813324292.36000001</v>
      </c>
      <c r="M293" s="9">
        <v>992255636.67999995</v>
      </c>
      <c r="N293" s="10">
        <f t="shared" si="18"/>
        <v>0.18503091045431819</v>
      </c>
      <c r="O293" s="10">
        <f t="shared" si="19"/>
        <v>0.15614015535120596</v>
      </c>
      <c r="P293" s="10" t="str">
        <f t="shared" si="16"/>
        <v/>
      </c>
      <c r="Q293" s="10">
        <v>9.9000000000000005E-2</v>
      </c>
      <c r="R293" s="10">
        <v>0.42099999999999999</v>
      </c>
      <c r="S293" s="6" t="s">
        <v>42</v>
      </c>
      <c r="T293" s="8"/>
      <c r="U293" s="11"/>
      <c r="V293" s="12"/>
      <c r="W293" s="13"/>
      <c r="X293" s="13"/>
      <c r="Y293" s="12"/>
      <c r="Z293" s="14" t="str">
        <f t="shared" si="17"/>
        <v/>
      </c>
      <c r="AA293" s="13"/>
      <c r="AB293" s="15"/>
      <c r="AC293" s="6" t="s">
        <v>1421</v>
      </c>
      <c r="AD293" s="6" t="s">
        <v>1422</v>
      </c>
      <c r="AE293" s="8" t="s">
        <v>1423</v>
      </c>
    </row>
    <row r="294" spans="1:31" ht="75" x14ac:dyDescent="0.25">
      <c r="A294" s="6">
        <v>290</v>
      </c>
      <c r="B294" s="26">
        <v>46322</v>
      </c>
      <c r="C294" s="6" t="s">
        <v>1424</v>
      </c>
      <c r="D294" s="8" t="s">
        <v>1425</v>
      </c>
      <c r="E294" s="8" t="s">
        <v>1426</v>
      </c>
      <c r="F294" s="6" t="s">
        <v>183</v>
      </c>
      <c r="G294" s="6" t="s">
        <v>1427</v>
      </c>
      <c r="H294" s="6" t="s">
        <v>49</v>
      </c>
      <c r="I294" s="6" t="s">
        <v>50</v>
      </c>
      <c r="J294" s="9" t="s">
        <v>1327</v>
      </c>
      <c r="K294" s="9">
        <v>1789116</v>
      </c>
      <c r="L294" s="9">
        <v>2332659.7999999998</v>
      </c>
      <c r="M294" s="9">
        <v>2845844.96</v>
      </c>
      <c r="N294" s="10">
        <f t="shared" si="18"/>
        <v>0.303805790122049</v>
      </c>
      <c r="O294" s="10">
        <f t="shared" si="19"/>
        <v>0.23301460418703146</v>
      </c>
      <c r="P294" s="10" t="str">
        <f t="shared" si="16"/>
        <v/>
      </c>
      <c r="Q294" s="10">
        <v>5.0000000000000001E-3</v>
      </c>
      <c r="R294" s="10">
        <v>1.51</v>
      </c>
      <c r="S294" s="6" t="s">
        <v>42</v>
      </c>
      <c r="T294" s="8"/>
      <c r="U294" s="11"/>
      <c r="V294" s="12"/>
      <c r="W294" s="13"/>
      <c r="X294" s="13"/>
      <c r="Y294" s="12"/>
      <c r="Z294" s="14" t="str">
        <f t="shared" si="17"/>
        <v/>
      </c>
      <c r="AA294" s="13"/>
      <c r="AB294" s="15"/>
      <c r="AC294" s="6" t="s">
        <v>1428</v>
      </c>
      <c r="AD294" s="6" t="s">
        <v>1429</v>
      </c>
      <c r="AE294" s="8" t="s">
        <v>1430</v>
      </c>
    </row>
    <row r="295" spans="1:31" ht="90" x14ac:dyDescent="0.25">
      <c r="A295" s="6">
        <v>291</v>
      </c>
      <c r="B295" s="26">
        <v>46322</v>
      </c>
      <c r="C295" s="6" t="s">
        <v>1431</v>
      </c>
      <c r="D295" s="8" t="s">
        <v>1432</v>
      </c>
      <c r="E295" s="8" t="s">
        <v>1433</v>
      </c>
      <c r="F295" s="6" t="s">
        <v>55</v>
      </c>
      <c r="G295" s="6" t="s">
        <v>1434</v>
      </c>
      <c r="H295" s="6" t="s">
        <v>161</v>
      </c>
      <c r="I295" s="6" t="s">
        <v>50</v>
      </c>
      <c r="J295" s="9" t="s">
        <v>1327</v>
      </c>
      <c r="K295" s="9">
        <v>2567083</v>
      </c>
      <c r="L295" s="9">
        <v>3080499.98</v>
      </c>
      <c r="M295" s="9">
        <v>3758209.98</v>
      </c>
      <c r="N295" s="10">
        <f t="shared" si="18"/>
        <v>0.20000014802793675</v>
      </c>
      <c r="O295" s="10">
        <f t="shared" si="19"/>
        <v>0.1666667694638323</v>
      </c>
      <c r="P295" s="10" t="str">
        <f t="shared" si="16"/>
        <v/>
      </c>
      <c r="Q295" s="10">
        <v>1.7999999999999999E-2</v>
      </c>
      <c r="R295" s="10">
        <v>0.28899999999999998</v>
      </c>
      <c r="S295" s="6" t="s">
        <v>42</v>
      </c>
      <c r="T295" s="8"/>
      <c r="U295" s="11"/>
      <c r="V295" s="12"/>
      <c r="W295" s="13"/>
      <c r="X295" s="13"/>
      <c r="Y295" s="12"/>
      <c r="Z295" s="14" t="str">
        <f t="shared" si="17"/>
        <v/>
      </c>
      <c r="AA295" s="13"/>
      <c r="AB295" s="15"/>
      <c r="AC295" s="6" t="s">
        <v>1435</v>
      </c>
      <c r="AD295" s="6" t="s">
        <v>1436</v>
      </c>
      <c r="AE295" s="8" t="s">
        <v>1437</v>
      </c>
    </row>
    <row r="296" spans="1:31" ht="105" x14ac:dyDescent="0.25">
      <c r="A296" s="6">
        <v>292</v>
      </c>
      <c r="B296" s="26">
        <v>46322</v>
      </c>
      <c r="C296" s="6" t="s">
        <v>1438</v>
      </c>
      <c r="D296" s="8" t="s">
        <v>1439</v>
      </c>
      <c r="E296" s="8" t="s">
        <v>1440</v>
      </c>
      <c r="F296" s="6" t="s">
        <v>38</v>
      </c>
      <c r="G296" s="6" t="s">
        <v>39</v>
      </c>
      <c r="H296" s="6" t="s">
        <v>40</v>
      </c>
      <c r="I296" s="6" t="s">
        <v>41</v>
      </c>
      <c r="J296" s="9" t="s">
        <v>1327</v>
      </c>
      <c r="K296" s="9">
        <v>804933</v>
      </c>
      <c r="L296" s="9">
        <v>1046412.47</v>
      </c>
      <c r="M296" s="9">
        <v>1276623.21</v>
      </c>
      <c r="N296" s="10">
        <f t="shared" si="18"/>
        <v>0.29999946579404746</v>
      </c>
      <c r="O296" s="10">
        <f t="shared" si="19"/>
        <v>0.2307689146709041</v>
      </c>
      <c r="P296" s="10" t="str">
        <f t="shared" si="16"/>
        <v/>
      </c>
      <c r="Q296" s="10">
        <v>0</v>
      </c>
      <c r="R296" s="10">
        <v>0.3</v>
      </c>
      <c r="S296" s="6" t="s">
        <v>42</v>
      </c>
      <c r="T296" s="8"/>
      <c r="U296" s="11"/>
      <c r="V296" s="12"/>
      <c r="W296" s="13"/>
      <c r="X296" s="13"/>
      <c r="Y296" s="12"/>
      <c r="Z296" s="14" t="str">
        <f t="shared" si="17"/>
        <v/>
      </c>
      <c r="AA296" s="13"/>
      <c r="AB296" s="15"/>
      <c r="AC296" s="6" t="s">
        <v>1441</v>
      </c>
      <c r="AD296" s="6" t="s">
        <v>1442</v>
      </c>
      <c r="AE296" s="8" t="s">
        <v>1443</v>
      </c>
    </row>
    <row r="297" spans="1:31" ht="105" x14ac:dyDescent="0.25">
      <c r="A297" s="6">
        <v>293</v>
      </c>
      <c r="B297" s="26">
        <v>46322</v>
      </c>
      <c r="C297" s="6" t="s">
        <v>1444</v>
      </c>
      <c r="D297" s="8" t="s">
        <v>1445</v>
      </c>
      <c r="E297" s="8" t="s">
        <v>1446</v>
      </c>
      <c r="F297" s="6" t="s">
        <v>183</v>
      </c>
      <c r="G297" s="6" t="s">
        <v>48</v>
      </c>
      <c r="H297" s="6" t="s">
        <v>49</v>
      </c>
      <c r="I297" s="6" t="s">
        <v>50</v>
      </c>
      <c r="J297" s="9" t="s">
        <v>1327</v>
      </c>
      <c r="K297" s="9">
        <v>29718572</v>
      </c>
      <c r="L297" s="9">
        <v>38634024.219999999</v>
      </c>
      <c r="M297" s="9">
        <v>47133509.549999997</v>
      </c>
      <c r="N297" s="10">
        <f t="shared" si="18"/>
        <v>0.29999598298330077</v>
      </c>
      <c r="O297" s="10">
        <f t="shared" si="19"/>
        <v>0.23076685382892792</v>
      </c>
      <c r="P297" s="10" t="str">
        <f t="shared" si="16"/>
        <v/>
      </c>
      <c r="Q297" s="10">
        <v>-1.2E-2</v>
      </c>
      <c r="R297" s="10">
        <v>0.68799999999999994</v>
      </c>
      <c r="S297" s="6" t="s">
        <v>42</v>
      </c>
      <c r="T297" s="8"/>
      <c r="U297" s="11"/>
      <c r="V297" s="12"/>
      <c r="W297" s="13"/>
      <c r="X297" s="13"/>
      <c r="Y297" s="12"/>
      <c r="Z297" s="14" t="str">
        <f t="shared" si="17"/>
        <v/>
      </c>
      <c r="AA297" s="13"/>
      <c r="AB297" s="15"/>
      <c r="AC297" s="6" t="s">
        <v>1447</v>
      </c>
      <c r="AD297" s="6" t="s">
        <v>1448</v>
      </c>
      <c r="AE297" s="8" t="s">
        <v>1449</v>
      </c>
    </row>
    <row r="298" spans="1:31" ht="90" x14ac:dyDescent="0.25">
      <c r="A298" s="6">
        <v>294</v>
      </c>
      <c r="B298" s="26">
        <v>46322</v>
      </c>
      <c r="C298" s="6" t="s">
        <v>1450</v>
      </c>
      <c r="D298" s="8" t="s">
        <v>1451</v>
      </c>
      <c r="E298" s="8" t="s">
        <v>1452</v>
      </c>
      <c r="F298" s="6" t="s">
        <v>38</v>
      </c>
      <c r="G298" s="6" t="s">
        <v>48</v>
      </c>
      <c r="H298" s="6" t="s">
        <v>49</v>
      </c>
      <c r="I298" s="6" t="s">
        <v>50</v>
      </c>
      <c r="J298" s="9" t="s">
        <v>1327</v>
      </c>
      <c r="K298" s="9">
        <v>1787673</v>
      </c>
      <c r="L298" s="9">
        <v>2418762.63</v>
      </c>
      <c r="M298" s="9">
        <v>2950890.41</v>
      </c>
      <c r="N298" s="10">
        <f t="shared" si="18"/>
        <v>0.35302296896580065</v>
      </c>
      <c r="O298" s="10">
        <f t="shared" si="19"/>
        <v>0.26091424688498677</v>
      </c>
      <c r="P298" s="10" t="str">
        <f t="shared" si="16"/>
        <v/>
      </c>
      <c r="Q298" s="10">
        <v>0.08</v>
      </c>
      <c r="R298" s="10">
        <v>0.2</v>
      </c>
      <c r="S298" s="6" t="s">
        <v>42</v>
      </c>
      <c r="T298" s="8"/>
      <c r="U298" s="11"/>
      <c r="V298" s="12"/>
      <c r="W298" s="13"/>
      <c r="X298" s="13"/>
      <c r="Y298" s="12"/>
      <c r="Z298" s="14" t="str">
        <f t="shared" si="17"/>
        <v/>
      </c>
      <c r="AA298" s="13"/>
      <c r="AB298" s="15"/>
      <c r="AC298" s="6" t="s">
        <v>1453</v>
      </c>
      <c r="AD298" s="6" t="s">
        <v>1454</v>
      </c>
      <c r="AE298" s="8" t="s">
        <v>1455</v>
      </c>
    </row>
    <row r="299" spans="1:31" ht="90" x14ac:dyDescent="0.25">
      <c r="A299" s="6">
        <v>295</v>
      </c>
      <c r="B299" s="26">
        <v>46322</v>
      </c>
      <c r="C299" s="6" t="s">
        <v>1456</v>
      </c>
      <c r="D299" s="8" t="s">
        <v>1457</v>
      </c>
      <c r="E299" s="8" t="s">
        <v>1458</v>
      </c>
      <c r="F299" s="6" t="s">
        <v>183</v>
      </c>
      <c r="G299" s="6" t="s">
        <v>48</v>
      </c>
      <c r="H299" s="6" t="s">
        <v>49</v>
      </c>
      <c r="I299" s="6" t="s">
        <v>50</v>
      </c>
      <c r="J299" s="9" t="s">
        <v>1327</v>
      </c>
      <c r="K299" s="9">
        <v>2561967</v>
      </c>
      <c r="L299" s="9">
        <v>3407349.93</v>
      </c>
      <c r="M299" s="9">
        <v>4156966.91</v>
      </c>
      <c r="N299" s="10">
        <f t="shared" si="18"/>
        <v>0.32997416828553994</v>
      </c>
      <c r="O299" s="10">
        <f t="shared" si="19"/>
        <v>0.24810569720380915</v>
      </c>
      <c r="P299" s="10" t="str">
        <f t="shared" si="16"/>
        <v/>
      </c>
      <c r="Q299" s="10">
        <v>4.1000000000000002E-2</v>
      </c>
      <c r="R299" s="10">
        <v>0.48099999999999998</v>
      </c>
      <c r="S299" s="6" t="s">
        <v>42</v>
      </c>
      <c r="T299" s="8"/>
      <c r="U299" s="11"/>
      <c r="V299" s="12"/>
      <c r="W299" s="13"/>
      <c r="X299" s="13"/>
      <c r="Y299" s="12"/>
      <c r="Z299" s="14" t="str">
        <f t="shared" si="17"/>
        <v/>
      </c>
      <c r="AA299" s="13"/>
      <c r="AB299" s="15"/>
      <c r="AC299" s="6" t="s">
        <v>1459</v>
      </c>
      <c r="AD299" s="6" t="s">
        <v>1460</v>
      </c>
      <c r="AE299" s="8" t="s">
        <v>1461</v>
      </c>
    </row>
    <row r="300" spans="1:31" ht="105" x14ac:dyDescent="0.25">
      <c r="A300" s="6">
        <v>296</v>
      </c>
      <c r="B300" s="26">
        <v>46322</v>
      </c>
      <c r="C300" s="6" t="s">
        <v>1462</v>
      </c>
      <c r="D300" s="8" t="s">
        <v>1463</v>
      </c>
      <c r="E300" s="8" t="s">
        <v>1464</v>
      </c>
      <c r="F300" s="6" t="s">
        <v>1465</v>
      </c>
      <c r="G300" s="6" t="s">
        <v>1427</v>
      </c>
      <c r="H300" s="6" t="s">
        <v>161</v>
      </c>
      <c r="I300" s="6" t="s">
        <v>50</v>
      </c>
      <c r="J300" s="9">
        <v>72471628.730000004</v>
      </c>
      <c r="K300" s="9">
        <v>38871993</v>
      </c>
      <c r="L300" s="9">
        <v>50526117.030000001</v>
      </c>
      <c r="M300" s="9">
        <v>61641862.780000001</v>
      </c>
      <c r="N300" s="10">
        <f t="shared" si="18"/>
        <v>0.29980773123724336</v>
      </c>
      <c r="O300" s="10">
        <f t="shared" si="19"/>
        <v>0.23065544544181649</v>
      </c>
      <c r="P300" s="10">
        <f t="shared" si="16"/>
        <v>-0.30281521313340576</v>
      </c>
      <c r="Q300" s="10">
        <v>0.12</v>
      </c>
      <c r="R300" s="10">
        <v>6.78</v>
      </c>
      <c r="S300" s="6" t="s">
        <v>1466</v>
      </c>
      <c r="T300" s="8"/>
      <c r="U300" s="11"/>
      <c r="V300" s="12"/>
      <c r="W300" s="13"/>
      <c r="X300" s="13"/>
      <c r="Y300" s="12"/>
      <c r="Z300" s="14" t="str">
        <f t="shared" si="17"/>
        <v/>
      </c>
      <c r="AA300" s="13"/>
      <c r="AB300" s="15"/>
      <c r="AC300" s="6" t="s">
        <v>1467</v>
      </c>
      <c r="AD300" s="6" t="s">
        <v>1468</v>
      </c>
      <c r="AE300" s="8" t="s">
        <v>1469</v>
      </c>
    </row>
    <row r="301" spans="1:31" ht="75" x14ac:dyDescent="0.25">
      <c r="A301" s="6">
        <v>297</v>
      </c>
      <c r="B301" s="26">
        <v>46322</v>
      </c>
      <c r="C301" s="6" t="s">
        <v>1462</v>
      </c>
      <c r="D301" s="8" t="s">
        <v>1470</v>
      </c>
      <c r="E301" s="8" t="s">
        <v>1471</v>
      </c>
      <c r="F301" s="6" t="s">
        <v>1465</v>
      </c>
      <c r="G301" s="6" t="s">
        <v>1427</v>
      </c>
      <c r="H301" s="6" t="s">
        <v>161</v>
      </c>
      <c r="I301" s="6" t="s">
        <v>50</v>
      </c>
      <c r="J301" s="9">
        <v>67207466.939999998</v>
      </c>
      <c r="K301" s="9">
        <v>90198085</v>
      </c>
      <c r="L301" s="9">
        <v>99730043.25</v>
      </c>
      <c r="M301" s="9">
        <v>121670652.77</v>
      </c>
      <c r="N301" s="10">
        <f t="shared" si="18"/>
        <v>0.10567805569264577</v>
      </c>
      <c r="O301" s="10">
        <f t="shared" si="19"/>
        <v>9.5577600684535913E-2</v>
      </c>
      <c r="P301" s="10">
        <f t="shared" si="16"/>
        <v>0.48391313928011592</v>
      </c>
      <c r="Q301" s="10">
        <v>0.10199999999999999</v>
      </c>
      <c r="R301" s="10">
        <v>0.628</v>
      </c>
      <c r="S301" s="6" t="s">
        <v>193</v>
      </c>
      <c r="T301" s="8"/>
      <c r="U301" s="11"/>
      <c r="V301" s="12"/>
      <c r="W301" s="13"/>
      <c r="X301" s="13"/>
      <c r="Y301" s="12"/>
      <c r="Z301" s="14" t="str">
        <f t="shared" si="17"/>
        <v/>
      </c>
      <c r="AA301" s="13"/>
      <c r="AB301" s="15"/>
      <c r="AC301" s="6" t="s">
        <v>1472</v>
      </c>
      <c r="AD301" s="6" t="s">
        <v>1473</v>
      </c>
      <c r="AE301" s="8" t="s">
        <v>1474</v>
      </c>
    </row>
    <row r="302" spans="1:31" ht="90" x14ac:dyDescent="0.25">
      <c r="A302" s="6">
        <v>298</v>
      </c>
      <c r="B302" s="26">
        <v>46322</v>
      </c>
      <c r="C302" s="6" t="s">
        <v>1475</v>
      </c>
      <c r="D302" s="8" t="s">
        <v>1476</v>
      </c>
      <c r="E302" s="8" t="s">
        <v>1477</v>
      </c>
      <c r="F302" s="6" t="s">
        <v>211</v>
      </c>
      <c r="G302" s="6" t="s">
        <v>39</v>
      </c>
      <c r="H302" s="6" t="s">
        <v>40</v>
      </c>
      <c r="I302" s="6" t="s">
        <v>80</v>
      </c>
      <c r="J302" s="9" t="s">
        <v>1327</v>
      </c>
      <c r="K302" s="9">
        <v>16160545</v>
      </c>
      <c r="L302" s="9">
        <v>21717668.399999999</v>
      </c>
      <c r="M302" s="9">
        <v>26495555.449999999</v>
      </c>
      <c r="N302" s="10">
        <f t="shared" si="18"/>
        <v>0.34386980142068224</v>
      </c>
      <c r="O302" s="10">
        <f t="shared" si="19"/>
        <v>0.25588029514254851</v>
      </c>
      <c r="P302" s="10" t="str">
        <f t="shared" si="16"/>
        <v/>
      </c>
      <c r="Q302" s="10">
        <v>0</v>
      </c>
      <c r="R302" s="10">
        <v>0.3</v>
      </c>
      <c r="S302" s="6" t="s">
        <v>42</v>
      </c>
      <c r="T302" s="8"/>
      <c r="U302" s="11"/>
      <c r="V302" s="12"/>
      <c r="W302" s="13"/>
      <c r="X302" s="13"/>
      <c r="Y302" s="12"/>
      <c r="Z302" s="14" t="str">
        <f t="shared" si="17"/>
        <v/>
      </c>
      <c r="AA302" s="13"/>
      <c r="AB302" s="15"/>
      <c r="AC302" s="6" t="s">
        <v>1478</v>
      </c>
      <c r="AD302" s="6" t="s">
        <v>1479</v>
      </c>
      <c r="AE302" s="8" t="s">
        <v>1480</v>
      </c>
    </row>
    <row r="303" spans="1:31" ht="90" x14ac:dyDescent="0.25">
      <c r="A303" s="6">
        <v>299</v>
      </c>
      <c r="B303" s="26">
        <v>46322</v>
      </c>
      <c r="C303" s="6" t="s">
        <v>1481</v>
      </c>
      <c r="D303" s="8" t="s">
        <v>1482</v>
      </c>
      <c r="E303" s="8" t="s">
        <v>1483</v>
      </c>
      <c r="F303" s="6" t="s">
        <v>183</v>
      </c>
      <c r="G303" s="6" t="s">
        <v>48</v>
      </c>
      <c r="H303" s="6" t="s">
        <v>49</v>
      </c>
      <c r="I303" s="6" t="s">
        <v>50</v>
      </c>
      <c r="J303" s="9" t="s">
        <v>1327</v>
      </c>
      <c r="K303" s="9">
        <v>1888474</v>
      </c>
      <c r="L303" s="9">
        <v>2393256.3199999998</v>
      </c>
      <c r="M303" s="9">
        <v>2919772.71</v>
      </c>
      <c r="N303" s="10">
        <f t="shared" si="18"/>
        <v>0.26729640969375268</v>
      </c>
      <c r="O303" s="10">
        <f t="shared" si="19"/>
        <v>0.21091861986600746</v>
      </c>
      <c r="P303" s="10" t="str">
        <f t="shared" si="16"/>
        <v/>
      </c>
      <c r="Q303" s="10">
        <v>9.0999999999999998E-2</v>
      </c>
      <c r="R303" s="10">
        <v>0.36</v>
      </c>
      <c r="S303" s="6" t="s">
        <v>42</v>
      </c>
      <c r="T303" s="8"/>
      <c r="U303" s="11"/>
      <c r="V303" s="12"/>
      <c r="W303" s="13"/>
      <c r="X303" s="13"/>
      <c r="Y303" s="12"/>
      <c r="Z303" s="14" t="str">
        <f t="shared" si="17"/>
        <v/>
      </c>
      <c r="AA303" s="13"/>
      <c r="AB303" s="15"/>
      <c r="AC303" s="6" t="s">
        <v>1484</v>
      </c>
      <c r="AD303" s="6" t="s">
        <v>1485</v>
      </c>
      <c r="AE303" s="8" t="s">
        <v>1486</v>
      </c>
    </row>
    <row r="304" spans="1:31" ht="105" x14ac:dyDescent="0.25">
      <c r="A304" s="6">
        <v>300</v>
      </c>
      <c r="B304" s="26">
        <v>46322</v>
      </c>
      <c r="C304" s="6" t="s">
        <v>1487</v>
      </c>
      <c r="D304" s="8" t="s">
        <v>1488</v>
      </c>
      <c r="E304" s="8" t="s">
        <v>1489</v>
      </c>
      <c r="F304" s="6" t="s">
        <v>38</v>
      </c>
      <c r="G304" s="6" t="s">
        <v>1490</v>
      </c>
      <c r="H304" s="6" t="s">
        <v>49</v>
      </c>
      <c r="I304" s="6" t="s">
        <v>1491</v>
      </c>
      <c r="J304" s="9" t="s">
        <v>1327</v>
      </c>
      <c r="K304" s="9">
        <v>6035768</v>
      </c>
      <c r="L304" s="9">
        <v>7623315.6600000001</v>
      </c>
      <c r="M304" s="9">
        <v>9300445.0999999996</v>
      </c>
      <c r="N304" s="10">
        <f t="shared" si="18"/>
        <v>0.26302330705885324</v>
      </c>
      <c r="O304" s="10">
        <f t="shared" si="19"/>
        <v>0.20824897338699477</v>
      </c>
      <c r="P304" s="10" t="str">
        <f t="shared" si="16"/>
        <v/>
      </c>
      <c r="Q304" s="10">
        <v>-2.8000000000000001E-2</v>
      </c>
      <c r="R304" s="10">
        <v>0.42199999999999999</v>
      </c>
      <c r="S304" s="6" t="s">
        <v>42</v>
      </c>
      <c r="T304" s="8"/>
      <c r="U304" s="11"/>
      <c r="V304" s="12"/>
      <c r="W304" s="13"/>
      <c r="X304" s="13"/>
      <c r="Y304" s="12"/>
      <c r="Z304" s="14" t="str">
        <f t="shared" si="17"/>
        <v/>
      </c>
      <c r="AA304" s="13"/>
      <c r="AB304" s="15"/>
      <c r="AC304" s="6" t="s">
        <v>1492</v>
      </c>
      <c r="AD304" s="6" t="s">
        <v>1493</v>
      </c>
      <c r="AE304" s="8" t="s">
        <v>1494</v>
      </c>
    </row>
    <row r="305" spans="1:31" x14ac:dyDescent="0.25">
      <c r="A305" s="6">
        <v>301</v>
      </c>
      <c r="B305" s="7"/>
      <c r="C305" s="6"/>
      <c r="D305" s="8"/>
      <c r="E305" s="8"/>
      <c r="F305" s="6"/>
      <c r="G305" s="6"/>
      <c r="H305" s="6"/>
      <c r="I305" s="6"/>
      <c r="J305" s="9"/>
      <c r="K305" s="9"/>
      <c r="L305" s="9"/>
      <c r="M305" s="9"/>
      <c r="N305" s="10" t="str">
        <f t="shared" si="18"/>
        <v/>
      </c>
      <c r="O305" s="10" t="str">
        <f t="shared" si="19"/>
        <v/>
      </c>
      <c r="P305" s="10" t="str">
        <f t="shared" si="16"/>
        <v/>
      </c>
      <c r="Q305" s="10"/>
      <c r="R305" s="10"/>
      <c r="S305" s="6"/>
      <c r="T305" s="8"/>
      <c r="U305" s="11"/>
      <c r="V305" s="12"/>
      <c r="W305" s="13"/>
      <c r="X305" s="13"/>
      <c r="Y305" s="12"/>
      <c r="Z305" s="14" t="str">
        <f t="shared" si="17"/>
        <v/>
      </c>
      <c r="AA305" s="13"/>
      <c r="AB305" s="15"/>
      <c r="AC305" s="6"/>
      <c r="AD305" s="6"/>
      <c r="AE305" s="8"/>
    </row>
    <row r="306" spans="1:31" x14ac:dyDescent="0.25">
      <c r="A306" s="6">
        <v>302</v>
      </c>
      <c r="B306" s="7"/>
      <c r="C306" s="6"/>
      <c r="D306" s="8"/>
      <c r="E306" s="8"/>
      <c r="F306" s="6"/>
      <c r="G306" s="6"/>
      <c r="H306" s="6"/>
      <c r="I306" s="6"/>
      <c r="J306" s="9"/>
      <c r="K306" s="9"/>
      <c r="L306" s="9"/>
      <c r="M306" s="9"/>
      <c r="N306" s="10" t="str">
        <f t="shared" si="18"/>
        <v/>
      </c>
      <c r="O306" s="10" t="str">
        <f t="shared" si="19"/>
        <v/>
      </c>
      <c r="P306" s="10" t="str">
        <f t="shared" si="16"/>
        <v/>
      </c>
      <c r="Q306" s="10"/>
      <c r="R306" s="10"/>
      <c r="S306" s="6"/>
      <c r="T306" s="8"/>
      <c r="U306" s="11"/>
      <c r="V306" s="12"/>
      <c r="W306" s="13"/>
      <c r="X306" s="13"/>
      <c r="Y306" s="12"/>
      <c r="Z306" s="14" t="str">
        <f t="shared" si="17"/>
        <v/>
      </c>
      <c r="AA306" s="13"/>
      <c r="AB306" s="15"/>
      <c r="AC306" s="6"/>
      <c r="AD306" s="6"/>
      <c r="AE306" s="8"/>
    </row>
    <row r="307" spans="1:31" x14ac:dyDescent="0.25">
      <c r="A307" s="6">
        <v>303</v>
      </c>
      <c r="B307" s="7"/>
      <c r="C307" s="6"/>
      <c r="D307" s="8"/>
      <c r="E307" s="8"/>
      <c r="F307" s="6"/>
      <c r="G307" s="6"/>
      <c r="H307" s="6"/>
      <c r="I307" s="6"/>
      <c r="J307" s="9"/>
      <c r="K307" s="9"/>
      <c r="L307" s="9"/>
      <c r="M307" s="9"/>
      <c r="N307" s="10" t="str">
        <f t="shared" si="18"/>
        <v/>
      </c>
      <c r="O307" s="10" t="str">
        <f t="shared" si="19"/>
        <v/>
      </c>
      <c r="P307" s="10" t="str">
        <f t="shared" si="16"/>
        <v/>
      </c>
      <c r="Q307" s="10"/>
      <c r="R307" s="10"/>
      <c r="S307" s="6"/>
      <c r="T307" s="8"/>
      <c r="U307" s="11"/>
      <c r="V307" s="12"/>
      <c r="W307" s="13"/>
      <c r="X307" s="13"/>
      <c r="Y307" s="12"/>
      <c r="Z307" s="14" t="str">
        <f t="shared" si="17"/>
        <v/>
      </c>
      <c r="AA307" s="13"/>
      <c r="AB307" s="15"/>
      <c r="AC307" s="6"/>
      <c r="AD307" s="6"/>
      <c r="AE307" s="8"/>
    </row>
    <row r="308" spans="1:31" x14ac:dyDescent="0.25">
      <c r="A308" s="6">
        <v>304</v>
      </c>
      <c r="B308" s="7"/>
      <c r="C308" s="6"/>
      <c r="D308" s="8"/>
      <c r="E308" s="8"/>
      <c r="F308" s="6"/>
      <c r="G308" s="6"/>
      <c r="H308" s="6"/>
      <c r="I308" s="6"/>
      <c r="J308" s="9"/>
      <c r="K308" s="9"/>
      <c r="L308" s="9"/>
      <c r="M308" s="9"/>
      <c r="N308" s="10" t="str">
        <f t="shared" si="18"/>
        <v/>
      </c>
      <c r="O308" s="10" t="str">
        <f t="shared" si="19"/>
        <v/>
      </c>
      <c r="P308" s="10" t="str">
        <f t="shared" si="16"/>
        <v/>
      </c>
      <c r="Q308" s="10"/>
      <c r="R308" s="10"/>
      <c r="S308" s="6"/>
      <c r="T308" s="8"/>
      <c r="U308" s="11"/>
      <c r="V308" s="12"/>
      <c r="W308" s="13"/>
      <c r="X308" s="13"/>
      <c r="Y308" s="12"/>
      <c r="Z308" s="14" t="str">
        <f t="shared" si="17"/>
        <v/>
      </c>
      <c r="AA308" s="13"/>
      <c r="AB308" s="15"/>
      <c r="AC308" s="6"/>
      <c r="AD308" s="6"/>
      <c r="AE308" s="8"/>
    </row>
    <row r="309" spans="1:31" x14ac:dyDescent="0.25">
      <c r="A309" s="6">
        <v>305</v>
      </c>
      <c r="B309" s="7"/>
      <c r="C309" s="6"/>
      <c r="D309" s="8"/>
      <c r="E309" s="8"/>
      <c r="F309" s="6"/>
      <c r="G309" s="6"/>
      <c r="H309" s="6"/>
      <c r="I309" s="6"/>
      <c r="J309" s="9"/>
      <c r="K309" s="9"/>
      <c r="L309" s="9"/>
      <c r="M309" s="9"/>
      <c r="N309" s="10" t="str">
        <f t="shared" si="18"/>
        <v/>
      </c>
      <c r="O309" s="10" t="str">
        <f t="shared" si="19"/>
        <v/>
      </c>
      <c r="P309" s="10" t="str">
        <f t="shared" si="16"/>
        <v/>
      </c>
      <c r="Q309" s="10"/>
      <c r="R309" s="10"/>
      <c r="S309" s="6"/>
      <c r="T309" s="8"/>
      <c r="U309" s="11"/>
      <c r="V309" s="12"/>
      <c r="W309" s="13"/>
      <c r="X309" s="13"/>
      <c r="Y309" s="12"/>
      <c r="Z309" s="14" t="str">
        <f t="shared" si="17"/>
        <v/>
      </c>
      <c r="AA309" s="13"/>
      <c r="AB309" s="15"/>
      <c r="AC309" s="6"/>
      <c r="AD309" s="6"/>
      <c r="AE309" s="8"/>
    </row>
    <row r="310" spans="1:31" x14ac:dyDescent="0.25">
      <c r="A310" s="6">
        <v>306</v>
      </c>
      <c r="B310" s="7"/>
      <c r="C310" s="6"/>
      <c r="D310" s="8"/>
      <c r="E310" s="8"/>
      <c r="F310" s="6"/>
      <c r="G310" s="6"/>
      <c r="H310" s="6"/>
      <c r="I310" s="6"/>
      <c r="J310" s="9"/>
      <c r="K310" s="9"/>
      <c r="L310" s="9"/>
      <c r="M310" s="9"/>
      <c r="N310" s="10" t="str">
        <f t="shared" si="18"/>
        <v/>
      </c>
      <c r="O310" s="10" t="str">
        <f t="shared" si="19"/>
        <v/>
      </c>
      <c r="P310" s="10" t="str">
        <f t="shared" si="16"/>
        <v/>
      </c>
      <c r="Q310" s="10"/>
      <c r="R310" s="10"/>
      <c r="S310" s="6"/>
      <c r="T310" s="8"/>
      <c r="U310" s="11"/>
      <c r="V310" s="12"/>
      <c r="W310" s="13"/>
      <c r="X310" s="13"/>
      <c r="Y310" s="12"/>
      <c r="Z310" s="14" t="str">
        <f t="shared" si="17"/>
        <v/>
      </c>
      <c r="AA310" s="13"/>
      <c r="AB310" s="15"/>
      <c r="AC310" s="6"/>
      <c r="AD310" s="6"/>
      <c r="AE310" s="8"/>
    </row>
    <row r="311" spans="1:31" x14ac:dyDescent="0.25">
      <c r="A311" s="6">
        <v>307</v>
      </c>
      <c r="B311" s="7"/>
      <c r="C311" s="6"/>
      <c r="D311" s="8"/>
      <c r="E311" s="8"/>
      <c r="F311" s="6"/>
      <c r="G311" s="6"/>
      <c r="H311" s="6"/>
      <c r="I311" s="6"/>
      <c r="J311" s="9"/>
      <c r="K311" s="9"/>
      <c r="L311" s="9"/>
      <c r="M311" s="9"/>
      <c r="N311" s="10" t="str">
        <f t="shared" si="18"/>
        <v/>
      </c>
      <c r="O311" s="10" t="str">
        <f t="shared" si="19"/>
        <v/>
      </c>
      <c r="P311" s="10" t="str">
        <f t="shared" si="16"/>
        <v/>
      </c>
      <c r="Q311" s="10"/>
      <c r="R311" s="10"/>
      <c r="S311" s="6"/>
      <c r="T311" s="8"/>
      <c r="U311" s="11"/>
      <c r="V311" s="12"/>
      <c r="W311" s="13"/>
      <c r="X311" s="13"/>
      <c r="Y311" s="12"/>
      <c r="Z311" s="14" t="str">
        <f t="shared" si="17"/>
        <v/>
      </c>
      <c r="AA311" s="13"/>
      <c r="AB311" s="15"/>
      <c r="AC311" s="6"/>
      <c r="AD311" s="6"/>
      <c r="AE311" s="8"/>
    </row>
    <row r="312" spans="1:31" x14ac:dyDescent="0.25">
      <c r="A312" s="6">
        <v>308</v>
      </c>
      <c r="B312" s="7"/>
      <c r="C312" s="6"/>
      <c r="D312" s="8"/>
      <c r="E312" s="8"/>
      <c r="F312" s="6"/>
      <c r="G312" s="6"/>
      <c r="H312" s="6"/>
      <c r="I312" s="6"/>
      <c r="J312" s="9"/>
      <c r="K312" s="9"/>
      <c r="L312" s="9"/>
      <c r="M312" s="9"/>
      <c r="N312" s="10" t="str">
        <f t="shared" si="18"/>
        <v/>
      </c>
      <c r="O312" s="10" t="str">
        <f t="shared" si="19"/>
        <v/>
      </c>
      <c r="P312" s="10" t="str">
        <f t="shared" si="16"/>
        <v/>
      </c>
      <c r="Q312" s="10"/>
      <c r="R312" s="10"/>
      <c r="S312" s="6"/>
      <c r="T312" s="8"/>
      <c r="U312" s="11"/>
      <c r="V312" s="12"/>
      <c r="W312" s="13"/>
      <c r="X312" s="13"/>
      <c r="Y312" s="12"/>
      <c r="Z312" s="14" t="str">
        <f t="shared" si="17"/>
        <v/>
      </c>
      <c r="AA312" s="13"/>
      <c r="AB312" s="15"/>
      <c r="AC312" s="6"/>
      <c r="AD312" s="6"/>
      <c r="AE312" s="8"/>
    </row>
    <row r="313" spans="1:31" x14ac:dyDescent="0.25">
      <c r="A313" s="6">
        <v>309</v>
      </c>
      <c r="B313" s="7"/>
      <c r="C313" s="6"/>
      <c r="D313" s="8"/>
      <c r="E313" s="8"/>
      <c r="F313" s="6"/>
      <c r="G313" s="6"/>
      <c r="H313" s="6"/>
      <c r="I313" s="6"/>
      <c r="J313" s="9"/>
      <c r="K313" s="9"/>
      <c r="L313" s="9"/>
      <c r="M313" s="9"/>
      <c r="N313" s="10" t="str">
        <f t="shared" si="18"/>
        <v/>
      </c>
      <c r="O313" s="10" t="str">
        <f t="shared" si="19"/>
        <v/>
      </c>
      <c r="P313" s="10" t="str">
        <f t="shared" si="16"/>
        <v/>
      </c>
      <c r="Q313" s="10"/>
      <c r="R313" s="10"/>
      <c r="S313" s="6"/>
      <c r="T313" s="8"/>
      <c r="U313" s="11"/>
      <c r="V313" s="12"/>
      <c r="W313" s="13"/>
      <c r="X313" s="13"/>
      <c r="Y313" s="12"/>
      <c r="Z313" s="14" t="str">
        <f t="shared" si="17"/>
        <v/>
      </c>
      <c r="AA313" s="13"/>
      <c r="AB313" s="15"/>
      <c r="AC313" s="6"/>
      <c r="AD313" s="6"/>
      <c r="AE313" s="8"/>
    </row>
    <row r="314" spans="1:31" x14ac:dyDescent="0.25">
      <c r="A314" s="6">
        <v>310</v>
      </c>
      <c r="B314" s="7"/>
      <c r="C314" s="6"/>
      <c r="D314" s="8"/>
      <c r="E314" s="8"/>
      <c r="F314" s="6"/>
      <c r="G314" s="6"/>
      <c r="H314" s="6"/>
      <c r="I314" s="6"/>
      <c r="J314" s="9"/>
      <c r="K314" s="9"/>
      <c r="L314" s="9"/>
      <c r="M314" s="9"/>
      <c r="N314" s="10" t="str">
        <f t="shared" si="18"/>
        <v/>
      </c>
      <c r="O314" s="10" t="str">
        <f t="shared" si="19"/>
        <v/>
      </c>
      <c r="P314" s="10" t="str">
        <f t="shared" si="16"/>
        <v/>
      </c>
      <c r="Q314" s="10"/>
      <c r="R314" s="10"/>
      <c r="S314" s="6"/>
      <c r="T314" s="8"/>
      <c r="U314" s="11"/>
      <c r="V314" s="12"/>
      <c r="W314" s="13"/>
      <c r="X314" s="13"/>
      <c r="Y314" s="12"/>
      <c r="Z314" s="14" t="str">
        <f t="shared" si="17"/>
        <v/>
      </c>
      <c r="AA314" s="13"/>
      <c r="AB314" s="15"/>
      <c r="AC314" s="6"/>
      <c r="AD314" s="6"/>
      <c r="AE314" s="8"/>
    </row>
    <row r="315" spans="1:31" x14ac:dyDescent="0.25">
      <c r="A315" s="6">
        <v>311</v>
      </c>
      <c r="B315" s="7"/>
      <c r="C315" s="6"/>
      <c r="D315" s="8"/>
      <c r="E315" s="8"/>
      <c r="F315" s="6"/>
      <c r="G315" s="6"/>
      <c r="H315" s="6"/>
      <c r="I315" s="6"/>
      <c r="J315" s="9"/>
      <c r="K315" s="9"/>
      <c r="L315" s="9"/>
      <c r="M315" s="9"/>
      <c r="N315" s="10" t="str">
        <f t="shared" si="18"/>
        <v/>
      </c>
      <c r="O315" s="10" t="str">
        <f t="shared" si="19"/>
        <v/>
      </c>
      <c r="P315" s="10" t="str">
        <f t="shared" si="16"/>
        <v/>
      </c>
      <c r="Q315" s="10"/>
      <c r="R315" s="10"/>
      <c r="S315" s="6"/>
      <c r="T315" s="8"/>
      <c r="U315" s="11"/>
      <c r="V315" s="12"/>
      <c r="W315" s="13"/>
      <c r="X315" s="13"/>
      <c r="Y315" s="12"/>
      <c r="Z315" s="14" t="str">
        <f t="shared" si="17"/>
        <v/>
      </c>
      <c r="AA315" s="13"/>
      <c r="AB315" s="15"/>
      <c r="AC315" s="6"/>
      <c r="AD315" s="6"/>
      <c r="AE315" s="8"/>
    </row>
    <row r="316" spans="1:31" x14ac:dyDescent="0.25">
      <c r="A316" s="6">
        <v>312</v>
      </c>
      <c r="B316" s="7"/>
      <c r="C316" s="6"/>
      <c r="D316" s="8"/>
      <c r="E316" s="8"/>
      <c r="F316" s="6"/>
      <c r="G316" s="6"/>
      <c r="H316" s="6"/>
      <c r="I316" s="6"/>
      <c r="J316" s="9"/>
      <c r="K316" s="9"/>
      <c r="L316" s="9"/>
      <c r="M316" s="9"/>
      <c r="N316" s="10" t="str">
        <f t="shared" si="18"/>
        <v/>
      </c>
      <c r="O316" s="10" t="str">
        <f t="shared" si="19"/>
        <v/>
      </c>
      <c r="P316" s="10" t="str">
        <f t="shared" si="16"/>
        <v/>
      </c>
      <c r="Q316" s="10"/>
      <c r="R316" s="10"/>
      <c r="S316" s="6"/>
      <c r="T316" s="8"/>
      <c r="U316" s="11"/>
      <c r="V316" s="12"/>
      <c r="W316" s="13"/>
      <c r="X316" s="13"/>
      <c r="Y316" s="12"/>
      <c r="Z316" s="14" t="str">
        <f t="shared" si="17"/>
        <v/>
      </c>
      <c r="AA316" s="13"/>
      <c r="AB316" s="15"/>
      <c r="AC316" s="6"/>
      <c r="AD316" s="6"/>
      <c r="AE316" s="8"/>
    </row>
    <row r="317" spans="1:31" x14ac:dyDescent="0.25">
      <c r="A317" s="6">
        <v>313</v>
      </c>
      <c r="B317" s="7"/>
      <c r="C317" s="6"/>
      <c r="D317" s="8"/>
      <c r="E317" s="8"/>
      <c r="F317" s="6"/>
      <c r="G317" s="6"/>
      <c r="H317" s="6"/>
      <c r="I317" s="6"/>
      <c r="J317" s="9"/>
      <c r="K317" s="9"/>
      <c r="L317" s="9"/>
      <c r="M317" s="9"/>
      <c r="N317" s="10" t="str">
        <f t="shared" si="18"/>
        <v/>
      </c>
      <c r="O317" s="10" t="str">
        <f t="shared" si="19"/>
        <v/>
      </c>
      <c r="P317" s="10" t="str">
        <f t="shared" si="16"/>
        <v/>
      </c>
      <c r="Q317" s="10"/>
      <c r="R317" s="10"/>
      <c r="S317" s="6"/>
      <c r="T317" s="8"/>
      <c r="U317" s="11"/>
      <c r="V317" s="12"/>
      <c r="W317" s="13"/>
      <c r="X317" s="13"/>
      <c r="Y317" s="12"/>
      <c r="Z317" s="14" t="str">
        <f t="shared" si="17"/>
        <v/>
      </c>
      <c r="AA317" s="13"/>
      <c r="AB317" s="15"/>
      <c r="AC317" s="6"/>
      <c r="AD317" s="6"/>
      <c r="AE317" s="8"/>
    </row>
    <row r="318" spans="1:31" x14ac:dyDescent="0.25">
      <c r="A318" s="6">
        <v>314</v>
      </c>
      <c r="B318" s="7"/>
      <c r="C318" s="6"/>
      <c r="D318" s="8"/>
      <c r="E318" s="8"/>
      <c r="F318" s="6"/>
      <c r="G318" s="6"/>
      <c r="H318" s="6"/>
      <c r="I318" s="6"/>
      <c r="J318" s="9"/>
      <c r="K318" s="9"/>
      <c r="L318" s="9"/>
      <c r="M318" s="9"/>
      <c r="N318" s="10" t="str">
        <f t="shared" si="18"/>
        <v/>
      </c>
      <c r="O318" s="10" t="str">
        <f t="shared" si="19"/>
        <v/>
      </c>
      <c r="P318" s="10" t="str">
        <f t="shared" si="16"/>
        <v/>
      </c>
      <c r="Q318" s="10"/>
      <c r="R318" s="10"/>
      <c r="S318" s="6"/>
      <c r="T318" s="8"/>
      <c r="U318" s="11"/>
      <c r="V318" s="12"/>
      <c r="W318" s="13"/>
      <c r="X318" s="13"/>
      <c r="Y318" s="12"/>
      <c r="Z318" s="14" t="str">
        <f t="shared" si="17"/>
        <v/>
      </c>
      <c r="AA318" s="13"/>
      <c r="AB318" s="15"/>
      <c r="AC318" s="6"/>
      <c r="AD318" s="6"/>
      <c r="AE318" s="8"/>
    </row>
  </sheetData>
  <autoFilter ref="A4:AE318"/>
  <mergeCells count="1">
    <mergeCell ref="A2:R2"/>
  </mergeCells>
  <conditionalFormatting sqref="W5:W277 W279:W318">
    <cfRule type="expression" dxfId="9" priority="6">
      <formula>W5="выиграли"</formula>
    </cfRule>
    <cfRule type="expression" dxfId="8" priority="7">
      <formula>W5="проиграли"</formula>
    </cfRule>
  </conditionalFormatting>
  <conditionalFormatting sqref="O5:O277 O279:O318">
    <cfRule type="expression" dxfId="7" priority="8">
      <formula>AND(ISNUMBER(O5),O5&lt;0)</formula>
    </cfRule>
    <cfRule type="expression" dxfId="6" priority="9">
      <formula>AND(ISNUMBER(O5),O5&gt;=0,O5&lt;0.15)</formula>
    </cfRule>
  </conditionalFormatting>
  <conditionalFormatting sqref="S5:S277 S279:S318">
    <cfRule type="expression" dxfId="5" priority="10">
      <formula>S5="не участвовать"</formula>
    </cfRule>
  </conditionalFormatting>
  <conditionalFormatting sqref="W278">
    <cfRule type="expression" dxfId="4" priority="1">
      <formula>W278="выиграли"</formula>
    </cfRule>
    <cfRule type="expression" dxfId="3" priority="2">
      <formula>W278="проиграли"</formula>
    </cfRule>
  </conditionalFormatting>
  <conditionalFormatting sqref="O278">
    <cfRule type="expression" dxfId="2" priority="3">
      <formula>AND(ISNUMBER(O278),O278&lt;0)</formula>
    </cfRule>
    <cfRule type="expression" dxfId="1" priority="4">
      <formula>AND(ISNUMBER(O278),O278&gt;=0,O278&lt;0.15)</formula>
    </cfRule>
  </conditionalFormatting>
  <conditionalFormatting sqref="S278">
    <cfRule type="expression" dxfId="0" priority="5">
      <formula>S278="не участвовать"</formula>
    </cfRule>
  </conditionalFormatting>
  <dataValidations count="4">
    <dataValidation type="list" allowBlank="1" sqref="G5:G318">
      <formula1>"СМР / ремонт,Fit-out,КТО / ТО,Рамочные расценки,Поставка и монтаж,ПИР+СМР,Другое"</formula1>
    </dataValidation>
    <dataValidation type="list" allowBlank="1" sqref="S5:S318">
      <formula1>"подано,рассчитано,переторжка,не участвовать"</formula1>
    </dataValidation>
    <dataValidation type="list" allowBlank="1" sqref="W5:W318">
      <formula1>"ждём итогов,выиграли,проиграли,отменён,не подавали"</formula1>
    </dataValidation>
    <dataValidation type="list" allowBlank="1" sqref="I5:I318">
      <formula1>"разово,в месяц,в год,за срок контракта"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Списки!$A$1:$A$5</xm:f>
          </x14:formula1>
          <xm:sqref>H5:H318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/>
  </sheetViews>
  <sheetFormatPr defaultRowHeight="15" x14ac:dyDescent="0.25"/>
  <cols>
    <col min="1" max="1" width="46" customWidth="1"/>
    <col min="2" max="2" width="10" customWidth="1"/>
    <col min="3" max="3" width="11" customWidth="1"/>
    <col min="4" max="6" width="12" customWidth="1"/>
    <col min="7" max="9" width="10" customWidth="1"/>
    <col min="10" max="11" width="13" customWidth="1"/>
    <col min="12" max="12" width="14" customWidth="1"/>
  </cols>
  <sheetData>
    <row r="1" spans="1:12" ht="18.75" x14ac:dyDescent="0.3">
      <c r="A1" s="1" t="s">
        <v>1200</v>
      </c>
    </row>
    <row r="2" spans="1:12" ht="32.1" customHeight="1" x14ac:dyDescent="0.25">
      <c r="A2" s="27" t="s">
        <v>1201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15.75" x14ac:dyDescent="0.25">
      <c r="A4" s="16" t="s">
        <v>1202</v>
      </c>
    </row>
    <row r="5" spans="1:12" ht="62.1" customHeight="1" x14ac:dyDescent="0.25">
      <c r="A5" s="4" t="s">
        <v>11</v>
      </c>
      <c r="B5" s="4" t="s">
        <v>1203</v>
      </c>
      <c r="C5" s="4" t="s">
        <v>1204</v>
      </c>
      <c r="D5" s="4" t="s">
        <v>1205</v>
      </c>
      <c r="E5" s="4" t="s">
        <v>1206</v>
      </c>
      <c r="F5" s="4" t="s">
        <v>1207</v>
      </c>
      <c r="G5" s="4" t="s">
        <v>1208</v>
      </c>
      <c r="H5" s="4" t="s">
        <v>1209</v>
      </c>
      <c r="I5" s="4" t="s">
        <v>1210</v>
      </c>
      <c r="J5" s="4" t="s">
        <v>1211</v>
      </c>
      <c r="K5" s="4" t="s">
        <v>1212</v>
      </c>
      <c r="L5" s="4" t="s">
        <v>1213</v>
      </c>
    </row>
    <row r="6" spans="1:12" x14ac:dyDescent="0.25">
      <c r="A6" s="17" t="s">
        <v>49</v>
      </c>
      <c r="B6" s="17">
        <f>COUNTIF(Реестр!$H$5:$H$318,$A6)</f>
        <v>130</v>
      </c>
      <c r="C6" s="17">
        <f>COUNTIFS(Реестр!$H$5:$H$318,$A6,Реестр!$S$5:$S$318,"не участвовать")</f>
        <v>1</v>
      </c>
      <c r="D6" s="18">
        <f>IFERROR(AVERAGEIFS(Реестр!$N$5:$N$318,Реестр!$H$5:$H$318,$A6,Реестр!$S$5:$S$318,"&lt;&gt;не участвовать"),"")</f>
        <v>0.39120220516619325</v>
      </c>
      <c r="E6" s="18">
        <f>IFERROR(AVERAGEIFS(Реестр!$O$5:$O$318,Реестр!$H$5:$H$318,$A6,Реестр!$S$5:$S$318,"&lt;&gt;не участвовать"),"")</f>
        <v>0.22722002292422375</v>
      </c>
      <c r="F6" s="17">
        <f>COUNTIFS(Реестр!$H$5:$H$318,$A6,Реестр!$W$5:$W$318,"ждём итогов")</f>
        <v>5</v>
      </c>
      <c r="G6" s="17">
        <f>COUNTIFS(Реестр!$H$5:$H$318,$A6,Реестр!$W$5:$W$318,"выиграли")</f>
        <v>0</v>
      </c>
      <c r="H6" s="17">
        <f>COUNTIFS(Реестр!$H$5:$H$318,$A6,Реестр!$W$5:$W$318,"проиграли")</f>
        <v>0</v>
      </c>
      <c r="I6" s="19" t="str">
        <f>IF(G6+H6=0,"",G6/(G6+H6))</f>
        <v/>
      </c>
      <c r="J6" s="18" t="str">
        <f>IFERROR(AVERAGEIFS(Реестр!$N$5:$N$318,Реестр!$H$5:$H$318,$A6,Реестр!$W$5:$W$318,"выиграли"),"")</f>
        <v/>
      </c>
      <c r="K6" s="18" t="str">
        <f>IFERROR(AVERAGEIFS(Реестр!$N$5:$N$318,Реестр!$H$5:$H$318,$A6,Реестр!$W$5:$W$318,"проиграли"),"")</f>
        <v/>
      </c>
      <c r="L6" s="18" t="str">
        <f>IFERROR(AVERAGEIFS(Реестр!$Z$5:$Z$318,Реестр!$H$5:$H$318,$A6,Реестр!$W$5:$W$318,"проиграли"),"")</f>
        <v/>
      </c>
    </row>
    <row r="7" spans="1:12" x14ac:dyDescent="0.25">
      <c r="A7" s="17" t="s">
        <v>224</v>
      </c>
      <c r="B7" s="17">
        <f>COUNTIF(Реестр!$H$5:$H$318,$A7)</f>
        <v>8</v>
      </c>
      <c r="C7" s="17">
        <f>COUNTIFS(Реестр!$H$5:$H$318,$A7,Реестр!$S$5:$S$318,"не участвовать")</f>
        <v>0</v>
      </c>
      <c r="D7" s="18">
        <f>IFERROR(AVERAGEIFS(Реестр!$N$5:$N$318,Реестр!$H$5:$H$318,$A7,Реестр!$S$5:$S$318,"&lt;&gt;не участвовать"),"")</f>
        <v>0.31983687878792183</v>
      </c>
      <c r="E7" s="18">
        <f>IFERROR(AVERAGEIFS(Реестр!$O$5:$O$318,Реестр!$H$5:$H$318,$A7,Реестр!$S$5:$S$318,"&lt;&gt;не участвовать"),"")</f>
        <v>0.22243298157036953</v>
      </c>
      <c r="F7" s="17">
        <f>COUNTIFS(Реестр!$H$5:$H$318,$A7,Реестр!$W$5:$W$318,"ждём итогов")</f>
        <v>2</v>
      </c>
      <c r="G7" s="17">
        <f>COUNTIFS(Реестр!$H$5:$H$318,$A7,Реестр!$W$5:$W$318,"выиграли")</f>
        <v>0</v>
      </c>
      <c r="H7" s="17">
        <f>COUNTIFS(Реестр!$H$5:$H$318,$A7,Реестр!$W$5:$W$318,"проиграли")</f>
        <v>0</v>
      </c>
      <c r="I7" s="19" t="str">
        <f>IF(G7+H7=0,"",G7/(G7+H7))</f>
        <v/>
      </c>
      <c r="J7" s="18" t="str">
        <f>IFERROR(AVERAGEIFS(Реестр!$N$5:$N$318,Реестр!$H$5:$H$318,$A7,Реестр!$W$5:$W$318,"выиграли"),"")</f>
        <v/>
      </c>
      <c r="K7" s="18" t="str">
        <f>IFERROR(AVERAGEIFS(Реестр!$N$5:$N$318,Реестр!$H$5:$H$318,$A7,Реестр!$W$5:$W$318,"проиграли"),"")</f>
        <v/>
      </c>
      <c r="L7" s="18" t="str">
        <f>IFERROR(AVERAGEIFS(Реестр!$Z$5:$Z$318,Реестр!$H$5:$H$318,$A7,Реестр!$W$5:$W$318,"проиграли"),"")</f>
        <v/>
      </c>
    </row>
    <row r="8" spans="1:12" x14ac:dyDescent="0.25">
      <c r="A8" s="17" t="s">
        <v>72</v>
      </c>
      <c r="B8" s="17">
        <f>COUNTIF(Реестр!$H$5:$H$318,$A8)</f>
        <v>25</v>
      </c>
      <c r="C8" s="17">
        <f>COUNTIFS(Реестр!$H$5:$H$318,$A8,Реестр!$S$5:$S$318,"не участвовать")</f>
        <v>0</v>
      </c>
      <c r="D8" s="18">
        <f>IFERROR(AVERAGEIFS(Реестр!$N$5:$N$318,Реестр!$H$5:$H$318,$A8,Реестр!$S$5:$S$318,"&lt;&gt;не участвовать"),"")</f>
        <v>0.65207653774027008</v>
      </c>
      <c r="E8" s="18">
        <f>IFERROR(AVERAGEIFS(Реестр!$O$5:$O$318,Реестр!$H$5:$H$318,$A8,Реестр!$S$5:$S$318,"&lt;&gt;не участвовать"),"")</f>
        <v>0.35423362124505381</v>
      </c>
      <c r="F8" s="17">
        <f>COUNTIFS(Реестр!$H$5:$H$318,$A8,Реестр!$W$5:$W$318,"ждём итогов")</f>
        <v>1</v>
      </c>
      <c r="G8" s="17">
        <f>COUNTIFS(Реестр!$H$5:$H$318,$A8,Реестр!$W$5:$W$318,"выиграли")</f>
        <v>0</v>
      </c>
      <c r="H8" s="17">
        <f>COUNTIFS(Реестр!$H$5:$H$318,$A8,Реестр!$W$5:$W$318,"проиграли")</f>
        <v>0</v>
      </c>
      <c r="I8" s="19" t="str">
        <f>IF(G8+H8=0,"",G8/(G8+H8))</f>
        <v/>
      </c>
      <c r="J8" s="18" t="str">
        <f>IFERROR(AVERAGEIFS(Реестр!$N$5:$N$318,Реестр!$H$5:$H$318,$A8,Реестр!$W$5:$W$318,"выиграли"),"")</f>
        <v/>
      </c>
      <c r="K8" s="18" t="str">
        <f>IFERROR(AVERAGEIFS(Реестр!$N$5:$N$318,Реестр!$H$5:$H$318,$A8,Реестр!$W$5:$W$318,"проиграли"),"")</f>
        <v/>
      </c>
      <c r="L8" s="18" t="str">
        <f>IFERROR(AVERAGEIFS(Реестр!$Z$5:$Z$318,Реестр!$H$5:$H$318,$A8,Реестр!$W$5:$W$318,"проиграли"),"")</f>
        <v/>
      </c>
    </row>
    <row r="9" spans="1:12" x14ac:dyDescent="0.25">
      <c r="A9" s="17" t="s">
        <v>40</v>
      </c>
      <c r="B9" s="17">
        <f>COUNTIF(Реестр!$H$5:$H$318,$A9)</f>
        <v>75</v>
      </c>
      <c r="C9" s="17">
        <f>COUNTIFS(Реестр!$H$5:$H$318,$A9,Реестр!$S$5:$S$318,"не участвовать")</f>
        <v>1</v>
      </c>
      <c r="D9" s="18">
        <f>IFERROR(AVERAGEIFS(Реестр!$N$5:$N$318,Реестр!$H$5:$H$318,$A9,Реестр!$S$5:$S$318,"&lt;&gt;не участвовать"),"")</f>
        <v>0.35019267593345121</v>
      </c>
      <c r="E9" s="18">
        <f>IFERROR(AVERAGEIFS(Реестр!$O$5:$O$318,Реестр!$H$5:$H$318,$A9,Реестр!$S$5:$S$318,"&lt;&gt;не участвовать"),"")</f>
        <v>0.22511060472910471</v>
      </c>
      <c r="F9" s="17">
        <f>COUNTIFS(Реестр!$H$5:$H$318,$A9,Реестр!$W$5:$W$318,"ждём итогов")</f>
        <v>10</v>
      </c>
      <c r="G9" s="17">
        <f>COUNTIFS(Реестр!$H$5:$H$318,$A9,Реестр!$W$5:$W$318,"выиграли")</f>
        <v>0</v>
      </c>
      <c r="H9" s="17">
        <f>COUNTIFS(Реестр!$H$5:$H$318,$A9,Реестр!$W$5:$W$318,"проиграли")</f>
        <v>9</v>
      </c>
      <c r="I9" s="19">
        <f>IF(G9+H9=0,"",G9/(G9+H9))</f>
        <v>0</v>
      </c>
      <c r="J9" s="18" t="str">
        <f>IFERROR(AVERAGEIFS(Реестр!$N$5:$N$318,Реестр!$H$5:$H$318,$A9,Реестр!$W$5:$W$318,"выиграли"),"")</f>
        <v/>
      </c>
      <c r="K9" s="18" t="str">
        <f>IFERROR(AVERAGEIFS(Реестр!$N$5:$N$318,Реестр!$H$5:$H$318,$A9,Реестр!$W$5:$W$318,"проиграли"),"")</f>
        <v/>
      </c>
      <c r="L9" s="18" t="str">
        <f>IFERROR(AVERAGEIFS(Реестр!$Z$5:$Z$318,Реестр!$H$5:$H$318,$A9,Реестр!$W$5:$W$318,"проиграли"),"")</f>
        <v/>
      </c>
    </row>
    <row r="10" spans="1:12" x14ac:dyDescent="0.25">
      <c r="A10" s="17" t="s">
        <v>161</v>
      </c>
      <c r="B10" s="17">
        <f>COUNTIF(Реестр!$H$5:$H$318,$A10)</f>
        <v>62</v>
      </c>
      <c r="C10" s="17">
        <f>COUNTIFS(Реестр!$H$5:$H$318,$A10,Реестр!$S$5:$S$318,"не участвовать")</f>
        <v>17</v>
      </c>
      <c r="D10" s="18">
        <f>IFERROR(AVERAGEIFS(Реестр!$N$5:$N$318,Реестр!$H$5:$H$318,$A10,Реестр!$S$5:$S$318,"&lt;&gt;не участвовать"),"")</f>
        <v>0.3265736162741294</v>
      </c>
      <c r="E10" s="18">
        <f>IFERROR(AVERAGEIFS(Реестр!$O$5:$O$318,Реестр!$H$5:$H$318,$A10,Реестр!$S$5:$S$318,"&lt;&gt;не участвовать"),"")</f>
        <v>0.23911797438571125</v>
      </c>
      <c r="F10" s="17">
        <f>COUNTIFS(Реестр!$H$5:$H$318,$A10,Реестр!$W$5:$W$318,"ждём итогов")</f>
        <v>0</v>
      </c>
      <c r="G10" s="17">
        <f>COUNTIFS(Реестр!$H$5:$H$318,$A10,Реестр!$W$5:$W$318,"выиграли")</f>
        <v>0</v>
      </c>
      <c r="H10" s="17">
        <f>COUNTIFS(Реестр!$H$5:$H$318,$A10,Реестр!$W$5:$W$318,"проиграли")</f>
        <v>0</v>
      </c>
      <c r="I10" s="19" t="str">
        <f>IF(G10+H10=0,"",G10/(G10+H10))</f>
        <v/>
      </c>
      <c r="J10" s="18" t="str">
        <f>IFERROR(AVERAGEIFS(Реестр!$N$5:$N$318,Реестр!$H$5:$H$318,$A10,Реестр!$W$5:$W$318,"выиграли"),"")</f>
        <v/>
      </c>
      <c r="K10" s="18" t="str">
        <f>IFERROR(AVERAGEIFS(Реестр!$N$5:$N$318,Реестр!$H$5:$H$318,$A10,Реестр!$W$5:$W$318,"проиграли"),"")</f>
        <v/>
      </c>
      <c r="L10" s="18" t="str">
        <f>IFERROR(AVERAGEIFS(Реестр!$Z$5:$Z$318,Реестр!$H$5:$H$318,$A10,Реестр!$W$5:$W$318,"проиграли"),"")</f>
        <v/>
      </c>
    </row>
    <row r="11" spans="1:12" x14ac:dyDescent="0.25">
      <c r="A11" s="20" t="s">
        <v>1214</v>
      </c>
      <c r="B11" s="21">
        <f>SUM(B6:B10)</f>
        <v>300</v>
      </c>
      <c r="C11" s="21">
        <f>SUM(C6:C10)</f>
        <v>19</v>
      </c>
      <c r="F11" s="21">
        <f>SUM(F6:F10)</f>
        <v>18</v>
      </c>
      <c r="G11" s="21">
        <f>SUM(G6:G10)</f>
        <v>0</v>
      </c>
      <c r="H11" s="21">
        <f>SUM(H6:H10)</f>
        <v>9</v>
      </c>
    </row>
    <row r="14" spans="1:12" ht="15.75" x14ac:dyDescent="0.25">
      <c r="A14" s="16" t="s">
        <v>1215</v>
      </c>
    </row>
    <row r="15" spans="1:12" ht="62.1" customHeight="1" x14ac:dyDescent="0.25">
      <c r="A15" s="4" t="s">
        <v>10</v>
      </c>
      <c r="B15" s="4" t="s">
        <v>1203</v>
      </c>
      <c r="C15" s="4" t="s">
        <v>1204</v>
      </c>
      <c r="D15" s="4" t="s">
        <v>1205</v>
      </c>
      <c r="E15" s="4" t="s">
        <v>1206</v>
      </c>
      <c r="F15" s="4" t="s">
        <v>1207</v>
      </c>
      <c r="G15" s="4" t="s">
        <v>1208</v>
      </c>
      <c r="H15" s="4" t="s">
        <v>1209</v>
      </c>
      <c r="I15" s="4" t="s">
        <v>1210</v>
      </c>
      <c r="J15" s="4" t="s">
        <v>1211</v>
      </c>
      <c r="K15" s="4" t="s">
        <v>1212</v>
      </c>
      <c r="L15" s="4" t="s">
        <v>1213</v>
      </c>
    </row>
    <row r="16" spans="1:12" x14ac:dyDescent="0.25">
      <c r="A16" s="17" t="s">
        <v>48</v>
      </c>
      <c r="B16" s="17">
        <f>COUNTIF(Реестр!$G$5:$G$318,$A16)</f>
        <v>131</v>
      </c>
      <c r="C16" s="17">
        <f>COUNTIFS(Реестр!$G$5:$G$318,$A16,Реестр!$S$5:$S$318,"не участвовать")</f>
        <v>6</v>
      </c>
      <c r="D16" s="18">
        <f>IFERROR(AVERAGEIFS(Реестр!$N$5:$N$318,Реестр!$G$5:$G$318,$A16,Реестр!$S$5:$S$318,"&lt;&gt;не участвовать"),"")</f>
        <v>0.41650876309339696</v>
      </c>
      <c r="E16" s="18">
        <f>IFERROR(AVERAGEIFS(Реестр!$O$5:$O$318,Реестр!$G$5:$G$318,$A16,Реестр!$S$5:$S$318,"&lt;&gt;не участвовать"),"")</f>
        <v>0.28370904528693891</v>
      </c>
      <c r="F16" s="17">
        <f>COUNTIFS(Реестр!$G$5:$G$318,$A16,Реестр!$W$5:$W$318,"ждём итогов")</f>
        <v>6</v>
      </c>
      <c r="G16" s="17">
        <f>COUNTIFS(Реестр!$G$5:$G$318,$A16,Реестр!$W$5:$W$318,"выиграли")</f>
        <v>0</v>
      </c>
      <c r="H16" s="17">
        <f>COUNTIFS(Реестр!$G$5:$G$318,$A16,Реестр!$W$5:$W$318,"проиграли")</f>
        <v>0</v>
      </c>
      <c r="I16" s="19" t="str">
        <f t="shared" ref="I16:I22" si="0">IF(G16+H16=0,"",G16/(G16+H16))</f>
        <v/>
      </c>
      <c r="J16" s="18" t="str">
        <f>IFERROR(AVERAGEIFS(Реестр!$N$5:$N$318,Реестр!$G$5:$G$318,$A16,Реестр!$W$5:$W$318,"выиграли"),"")</f>
        <v/>
      </c>
      <c r="K16" s="18" t="str">
        <f>IFERROR(AVERAGEIFS(Реестр!$N$5:$N$318,Реестр!$G$5:$G$318,$A16,Реестр!$W$5:$W$318,"проиграли"),"")</f>
        <v/>
      </c>
      <c r="L16" s="18" t="str">
        <f>IFERROR(AVERAGEIFS(Реестр!$Z$5:$Z$318,Реестр!$G$5:$G$318,$A16,Реестр!$W$5:$W$318,"проиграли"),"")</f>
        <v/>
      </c>
    </row>
    <row r="17" spans="1:12" x14ac:dyDescent="0.25">
      <c r="A17" s="17" t="s">
        <v>71</v>
      </c>
      <c r="B17" s="17">
        <f>COUNTIF(Реестр!$G$5:$G$318,$A17)</f>
        <v>12</v>
      </c>
      <c r="C17" s="17">
        <f>COUNTIFS(Реестр!$G$5:$G$318,$A17,Реестр!$S$5:$S$318,"не участвовать")</f>
        <v>0</v>
      </c>
      <c r="D17" s="18">
        <f>IFERROR(AVERAGEIFS(Реестр!$N$5:$N$318,Реестр!$G$5:$G$318,$A17,Реестр!$S$5:$S$318,"&lt;&gt;не участвовать"),"")</f>
        <v>0.67401130126276598</v>
      </c>
      <c r="E17" s="18">
        <f>IFERROR(AVERAGEIFS(Реестр!$O$5:$O$318,Реестр!$G$5:$G$318,$A17,Реестр!$S$5:$S$318,"&lt;&gt;не участвовать"),"")</f>
        <v>0.34156961115587575</v>
      </c>
      <c r="F17" s="17">
        <f>COUNTIFS(Реестр!$G$5:$G$318,$A17,Реестр!$W$5:$W$318,"ждём итогов")</f>
        <v>0</v>
      </c>
      <c r="G17" s="17">
        <f>COUNTIFS(Реестр!$G$5:$G$318,$A17,Реестр!$W$5:$W$318,"выиграли")</f>
        <v>0</v>
      </c>
      <c r="H17" s="17">
        <f>COUNTIFS(Реестр!$G$5:$G$318,$A17,Реестр!$W$5:$W$318,"проиграли")</f>
        <v>0</v>
      </c>
      <c r="I17" s="19" t="str">
        <f t="shared" si="0"/>
        <v/>
      </c>
      <c r="J17" s="18" t="str">
        <f>IFERROR(AVERAGEIFS(Реестр!$N$5:$N$318,Реестр!$G$5:$G$318,$A17,Реестр!$W$5:$W$318,"выиграли"),"")</f>
        <v/>
      </c>
      <c r="K17" s="18" t="str">
        <f>IFERROR(AVERAGEIFS(Реестр!$N$5:$N$318,Реестр!$G$5:$G$318,$A17,Реестр!$W$5:$W$318,"проиграли"),"")</f>
        <v/>
      </c>
      <c r="L17" s="18" t="str">
        <f>IFERROR(AVERAGEIFS(Реестр!$Z$5:$Z$318,Реестр!$G$5:$G$318,$A17,Реестр!$W$5:$W$318,"проиграли"),"")</f>
        <v/>
      </c>
    </row>
    <row r="18" spans="1:12" x14ac:dyDescent="0.25">
      <c r="A18" s="17" t="s">
        <v>39</v>
      </c>
      <c r="B18" s="17">
        <f>COUNTIF(Реестр!$G$5:$G$318,$A18)</f>
        <v>107</v>
      </c>
      <c r="C18" s="17">
        <f>COUNTIFS(Реестр!$G$5:$G$318,$A18,Реестр!$S$5:$S$318,"не участвовать")</f>
        <v>11</v>
      </c>
      <c r="D18" s="18">
        <f>IFERROR(AVERAGEIFS(Реестр!$N$5:$N$318,Реестр!$G$5:$G$318,$A18,Реестр!$S$5:$S$318,"&lt;&gt;не участвовать"),"")</f>
        <v>0.34870727757723219</v>
      </c>
      <c r="E18" s="18">
        <f>IFERROR(AVERAGEIFS(Реестр!$O$5:$O$318,Реестр!$G$5:$G$318,$A18,Реестр!$S$5:$S$318,"&lt;&gt;не участвовать"),"")</f>
        <v>0.16118560487603961</v>
      </c>
      <c r="F18" s="17">
        <f>COUNTIFS(Реестр!$G$5:$G$318,$A18,Реестр!$W$5:$W$318,"ждём итогов")</f>
        <v>10</v>
      </c>
      <c r="G18" s="17">
        <f>COUNTIFS(Реестр!$G$5:$G$318,$A18,Реестр!$W$5:$W$318,"выиграли")</f>
        <v>0</v>
      </c>
      <c r="H18" s="17">
        <f>COUNTIFS(Реестр!$G$5:$G$318,$A18,Реестр!$W$5:$W$318,"проиграли")</f>
        <v>9</v>
      </c>
      <c r="I18" s="19">
        <f t="shared" si="0"/>
        <v>0</v>
      </c>
      <c r="J18" s="18" t="str">
        <f>IFERROR(AVERAGEIFS(Реестр!$N$5:$N$318,Реестр!$G$5:$G$318,$A18,Реестр!$W$5:$W$318,"выиграли"),"")</f>
        <v/>
      </c>
      <c r="K18" s="18" t="str">
        <f>IFERROR(AVERAGEIFS(Реестр!$N$5:$N$318,Реестр!$G$5:$G$318,$A18,Реестр!$W$5:$W$318,"проиграли"),"")</f>
        <v/>
      </c>
      <c r="L18" s="18" t="str">
        <f>IFERROR(AVERAGEIFS(Реестр!$Z$5:$Z$318,Реестр!$G$5:$G$318,$A18,Реестр!$W$5:$W$318,"проиграли"),"")</f>
        <v/>
      </c>
    </row>
    <row r="19" spans="1:12" x14ac:dyDescent="0.25">
      <c r="A19" s="17" t="s">
        <v>561</v>
      </c>
      <c r="B19" s="17">
        <f>COUNTIF(Реестр!$G$5:$G$318,$A19)</f>
        <v>11</v>
      </c>
      <c r="C19" s="17">
        <f>COUNTIFS(Реестр!$G$5:$G$318,$A19,Реестр!$S$5:$S$318,"не участвовать")</f>
        <v>0</v>
      </c>
      <c r="D19" s="18">
        <f>IFERROR(AVERAGEIFS(Реестр!$N$5:$N$318,Реестр!$G$5:$G$318,$A19,Реестр!$S$5:$S$318,"&lt;&gt;не участвовать"),"")</f>
        <v>0.35819823722228655</v>
      </c>
      <c r="E19" s="18">
        <f>IFERROR(AVERAGEIFS(Реестр!$O$5:$O$318,Реестр!$G$5:$G$318,$A19,Реестр!$S$5:$S$318,"&lt;&gt;не участвовать"),"")</f>
        <v>0.24813785191194279</v>
      </c>
      <c r="F19" s="17">
        <f>COUNTIFS(Реестр!$G$5:$G$318,$A19,Реестр!$W$5:$W$318,"ждём итогов")</f>
        <v>1</v>
      </c>
      <c r="G19" s="17">
        <f>COUNTIFS(Реестр!$G$5:$G$318,$A19,Реестр!$W$5:$W$318,"выиграли")</f>
        <v>0</v>
      </c>
      <c r="H19" s="17">
        <f>COUNTIFS(Реестр!$G$5:$G$318,$A19,Реестр!$W$5:$W$318,"проиграли")</f>
        <v>0</v>
      </c>
      <c r="I19" s="19" t="str">
        <f t="shared" si="0"/>
        <v/>
      </c>
      <c r="J19" s="18" t="str">
        <f>IFERROR(AVERAGEIFS(Реестр!$N$5:$N$318,Реестр!$G$5:$G$318,$A19,Реестр!$W$5:$W$318,"выиграли"),"")</f>
        <v/>
      </c>
      <c r="K19" s="18" t="str">
        <f>IFERROR(AVERAGEIFS(Реестр!$N$5:$N$318,Реестр!$G$5:$G$318,$A19,Реестр!$W$5:$W$318,"проиграли"),"")</f>
        <v/>
      </c>
      <c r="L19" s="18" t="str">
        <f>IFERROR(AVERAGEIFS(Реестр!$Z$5:$Z$318,Реестр!$G$5:$G$318,$A19,Реестр!$W$5:$W$318,"проиграли"),"")</f>
        <v/>
      </c>
    </row>
    <row r="20" spans="1:12" x14ac:dyDescent="0.25">
      <c r="A20" s="17" t="s">
        <v>244</v>
      </c>
      <c r="B20" s="17">
        <f>COUNTIF(Реестр!$G$5:$G$318,$A20)</f>
        <v>13</v>
      </c>
      <c r="C20" s="17">
        <f>COUNTIFS(Реестр!$G$5:$G$318,$A20,Реестр!$S$5:$S$318,"не участвовать")</f>
        <v>0</v>
      </c>
      <c r="D20" s="18">
        <f>IFERROR(AVERAGEIFS(Реестр!$N$5:$N$318,Реестр!$G$5:$G$318,$A20,Реестр!$S$5:$S$318,"&lt;&gt;не участвовать"),"")</f>
        <v>0.36143125547762822</v>
      </c>
      <c r="E20" s="18">
        <f>IFERROR(AVERAGEIFS(Реестр!$O$5:$O$318,Реестр!$G$5:$G$318,$A20,Реестр!$S$5:$S$318,"&lt;&gt;не участвовать"),"")</f>
        <v>0.26381181268688575</v>
      </c>
      <c r="F20" s="17">
        <f>COUNTIFS(Реестр!$G$5:$G$318,$A20,Реестр!$W$5:$W$318,"ждём итогов")</f>
        <v>1</v>
      </c>
      <c r="G20" s="17">
        <f>COUNTIFS(Реестр!$G$5:$G$318,$A20,Реестр!$W$5:$W$318,"выиграли")</f>
        <v>0</v>
      </c>
      <c r="H20" s="17">
        <f>COUNTIFS(Реестр!$G$5:$G$318,$A20,Реестр!$W$5:$W$318,"проиграли")</f>
        <v>0</v>
      </c>
      <c r="I20" s="19" t="str">
        <f t="shared" si="0"/>
        <v/>
      </c>
      <c r="J20" s="18" t="str">
        <f>IFERROR(AVERAGEIFS(Реестр!$N$5:$N$318,Реестр!$G$5:$G$318,$A20,Реестр!$W$5:$W$318,"выиграли"),"")</f>
        <v/>
      </c>
      <c r="K20" s="18" t="str">
        <f>IFERROR(AVERAGEIFS(Реестр!$N$5:$N$318,Реестр!$G$5:$G$318,$A20,Реестр!$W$5:$W$318,"проиграли"),"")</f>
        <v/>
      </c>
      <c r="L20" s="18" t="str">
        <f>IFERROR(AVERAGEIFS(Реестр!$Z$5:$Z$318,Реестр!$G$5:$G$318,$A20,Реестр!$W$5:$W$318,"проиграли"),"")</f>
        <v/>
      </c>
    </row>
    <row r="21" spans="1:12" x14ac:dyDescent="0.25">
      <c r="A21" s="17" t="s">
        <v>149</v>
      </c>
      <c r="B21" s="17">
        <f>COUNTIF(Реестр!$G$5:$G$318,$A21)</f>
        <v>11</v>
      </c>
      <c r="C21" s="17">
        <f>COUNTIFS(Реестр!$G$5:$G$318,$A21,Реестр!$S$5:$S$318,"не участвовать")</f>
        <v>0</v>
      </c>
      <c r="D21" s="18">
        <f>IFERROR(AVERAGEIFS(Реестр!$N$5:$N$318,Реестр!$G$5:$G$318,$A21,Реестр!$S$5:$S$318,"&lt;&gt;не участвовать"),"")</f>
        <v>0.41889295658908116</v>
      </c>
      <c r="E21" s="18">
        <f>IFERROR(AVERAGEIFS(Реестр!$O$5:$O$318,Реестр!$G$5:$G$318,$A21,Реестр!$S$5:$S$318,"&lt;&gt;не участвовать"),"")</f>
        <v>0.2841003637153155</v>
      </c>
      <c r="F21" s="17">
        <f>COUNTIFS(Реестр!$G$5:$G$318,$A21,Реестр!$W$5:$W$318,"ждём итогов")</f>
        <v>0</v>
      </c>
      <c r="G21" s="17">
        <f>COUNTIFS(Реестр!$G$5:$G$318,$A21,Реестр!$W$5:$W$318,"выиграли")</f>
        <v>0</v>
      </c>
      <c r="H21" s="17">
        <f>COUNTIFS(Реестр!$G$5:$G$318,$A21,Реестр!$W$5:$W$318,"проиграли")</f>
        <v>0</v>
      </c>
      <c r="I21" s="19" t="str">
        <f t="shared" si="0"/>
        <v/>
      </c>
      <c r="J21" s="18" t="str">
        <f>IFERROR(AVERAGEIFS(Реестр!$N$5:$N$318,Реестр!$G$5:$G$318,$A21,Реестр!$W$5:$W$318,"выиграли"),"")</f>
        <v/>
      </c>
      <c r="K21" s="18" t="str">
        <f>IFERROR(AVERAGEIFS(Реестр!$N$5:$N$318,Реестр!$G$5:$G$318,$A21,Реестр!$W$5:$W$318,"проиграли"),"")</f>
        <v/>
      </c>
      <c r="L21" s="18" t="str">
        <f>IFERROR(AVERAGEIFS(Реестр!$Z$5:$Z$318,Реестр!$G$5:$G$318,$A21,Реестр!$W$5:$W$318,"проиграли"),"")</f>
        <v/>
      </c>
    </row>
    <row r="22" spans="1:12" x14ac:dyDescent="0.25">
      <c r="A22" s="17" t="s">
        <v>811</v>
      </c>
      <c r="B22" s="17">
        <f>COUNTIF(Реестр!$G$5:$G$318,$A22)</f>
        <v>4</v>
      </c>
      <c r="C22" s="17">
        <f>COUNTIFS(Реестр!$G$5:$G$318,$A22,Реестр!$S$5:$S$318,"не участвовать")</f>
        <v>0</v>
      </c>
      <c r="D22" s="18">
        <f>IFERROR(AVERAGEIFS(Реестр!$N$5:$N$318,Реестр!$G$5:$G$318,$A22,Реестр!$S$5:$S$318,"&lt;&gt;не участвовать"),"")</f>
        <v>0.3691097195945946</v>
      </c>
      <c r="E22" s="18">
        <f>IFERROR(AVERAGEIFS(Реестр!$O$5:$O$318,Реестр!$G$5:$G$318,$A22,Реестр!$S$5:$S$318,"&lt;&gt;не участвовать"),"")</f>
        <v>0.2858262269383578</v>
      </c>
      <c r="F22" s="17">
        <f>COUNTIFS(Реестр!$G$5:$G$318,$A22,Реестр!$W$5:$W$318,"ждём итогов")</f>
        <v>0</v>
      </c>
      <c r="G22" s="17">
        <f>COUNTIFS(Реестр!$G$5:$G$318,$A22,Реестр!$W$5:$W$318,"выиграли")</f>
        <v>0</v>
      </c>
      <c r="H22" s="17">
        <f>COUNTIFS(Реестр!$G$5:$G$318,$A22,Реестр!$W$5:$W$318,"проиграли")</f>
        <v>0</v>
      </c>
      <c r="I22" s="19" t="str">
        <f t="shared" si="0"/>
        <v/>
      </c>
      <c r="J22" s="18" t="str">
        <f>IFERROR(AVERAGEIFS(Реестр!$N$5:$N$318,Реестр!$G$5:$G$318,$A22,Реестр!$W$5:$W$318,"выиграли"),"")</f>
        <v/>
      </c>
      <c r="K22" s="18" t="str">
        <f>IFERROR(AVERAGEIFS(Реестр!$N$5:$N$318,Реестр!$G$5:$G$318,$A22,Реестр!$W$5:$W$318,"проиграли"),"")</f>
        <v/>
      </c>
      <c r="L22" s="18" t="str">
        <f>IFERROR(AVERAGEIFS(Реестр!$Z$5:$Z$318,Реестр!$G$5:$G$318,$A22,Реестр!$W$5:$W$318,"проиграли"),"")</f>
        <v/>
      </c>
    </row>
    <row r="23" spans="1:12" x14ac:dyDescent="0.25">
      <c r="A23" s="20" t="s">
        <v>1214</v>
      </c>
      <c r="B23" s="21">
        <f>SUM(B16:B22)</f>
        <v>289</v>
      </c>
      <c r="C23" s="21">
        <f>SUM(C16:C22)</f>
        <v>17</v>
      </c>
      <c r="F23" s="21">
        <f>SUM(F16:F22)</f>
        <v>18</v>
      </c>
      <c r="G23" s="21">
        <f>SUM(G16:G22)</f>
        <v>0</v>
      </c>
      <c r="H23" s="21">
        <f>SUM(H16:H22)</f>
        <v>9</v>
      </c>
    </row>
    <row r="26" spans="1:12" x14ac:dyDescent="0.25">
      <c r="A26" s="22" t="s">
        <v>1216</v>
      </c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 x14ac:dyDescent="0.25"/>
  <cols>
    <col min="1" max="1" width="140" customWidth="1"/>
  </cols>
  <sheetData>
    <row r="1" spans="1:1" ht="18.75" x14ac:dyDescent="0.25">
      <c r="A1" s="23" t="s">
        <v>1217</v>
      </c>
    </row>
    <row r="2" spans="1:1" ht="30" customHeight="1" x14ac:dyDescent="0.25">
      <c r="A2" s="24" t="s">
        <v>1218</v>
      </c>
    </row>
    <row r="3" spans="1:1" ht="15" customHeight="1" x14ac:dyDescent="0.25">
      <c r="A3" s="24" t="s">
        <v>1219</v>
      </c>
    </row>
    <row r="4" spans="1:1" ht="30" customHeight="1" x14ac:dyDescent="0.25">
      <c r="A4" s="24" t="s">
        <v>1220</v>
      </c>
    </row>
    <row r="5" spans="1:1" ht="30" customHeight="1" x14ac:dyDescent="0.25">
      <c r="A5" s="24" t="s">
        <v>1221</v>
      </c>
    </row>
    <row r="6" spans="1:1" ht="30" customHeight="1" x14ac:dyDescent="0.25">
      <c r="A6" s="24" t="s">
        <v>1222</v>
      </c>
    </row>
    <row r="7" spans="1:1" ht="30" customHeight="1" x14ac:dyDescent="0.25">
      <c r="A7" s="24" t="s">
        <v>1223</v>
      </c>
    </row>
    <row r="8" spans="1:1" ht="30" customHeight="1" x14ac:dyDescent="0.25">
      <c r="A8" s="24" t="s">
        <v>1224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 x14ac:dyDescent="0.25"/>
  <sheetData>
    <row r="1" spans="1:1" x14ac:dyDescent="0.25">
      <c r="A1" t="s">
        <v>49</v>
      </c>
    </row>
    <row r="2" spans="1:1" x14ac:dyDescent="0.25">
      <c r="A2" t="s">
        <v>224</v>
      </c>
    </row>
    <row r="3" spans="1:1" x14ac:dyDescent="0.25">
      <c r="A3" t="s">
        <v>72</v>
      </c>
    </row>
    <row r="4" spans="1:1" x14ac:dyDescent="0.25">
      <c r="A4" t="s">
        <v>40</v>
      </c>
    </row>
    <row r="5" spans="1:1" x14ac:dyDescent="0.25">
      <c r="A5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Реестр</vt:lpstr>
      <vt:lpstr>Аналитика</vt:lpstr>
      <vt:lpstr>Как вести</vt:lpstr>
      <vt:lpstr>Списки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2026-10-23T13:27:01Z</dcterms:created>
  <dcterms:modified xsi:type="dcterms:W3CDTF">2026-10-27T15:41:16Z</dcterms:modified>
</cp:coreProperties>
</file>