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Для Заказчиков\НЕО\"/>
    </mc:Choice>
  </mc:AlternateContent>
  <xr:revisionPtr revIDLastSave="0" documentId="13_ncr:1_{F19D150F-4191-4C8B-9156-2B63B0EEB9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водная по годам" sheetId="6" r:id="rId1"/>
    <sheet name="2020" sheetId="2" r:id="rId2"/>
    <sheet name="2021-2022" sheetId="3" r:id="rId3"/>
    <sheet name="2023" sheetId="4" r:id="rId4"/>
    <sheet name="2024" sheetId="5" r:id="rId5"/>
    <sheet name="Сводная (общая)" sheetId="7" r:id="rId6"/>
  </sheets>
  <definedNames>
    <definedName name="_xlnm._FilterDatabase" localSheetId="1" hidden="1">'2020'!$A$1:$C$22</definedName>
    <definedName name="_xlnm._FilterDatabase" localSheetId="2" hidden="1">'2021-2022'!$A$1:$C$31</definedName>
    <definedName name="_xlnm._FilterDatabase" localSheetId="3" hidden="1">'2023'!$A$1:$C$22</definedName>
    <definedName name="_xlnm._FilterDatabase" localSheetId="4" hidden="1">'2024'!$A$1:$F$18</definedName>
    <definedName name="_xlnm._FilterDatabase" localSheetId="5" hidden="1">'Сводная (общая)'!$A$1:$C$14</definedName>
    <definedName name="_xlnm._FilterDatabase" localSheetId="0" hidden="1">'Сводная по годам'!$A$1:$C$15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6" l="1"/>
  <c r="C89" i="6"/>
  <c r="C68" i="7"/>
  <c r="C37" i="6" l="1"/>
  <c r="C72" i="6" l="1"/>
  <c r="C58" i="6"/>
  <c r="C28" i="6"/>
  <c r="C15" i="6"/>
  <c r="C18" i="5"/>
  <c r="C22" i="4"/>
  <c r="C31" i="3"/>
  <c r="C22" i="2"/>
</calcChain>
</file>

<file path=xl/sharedStrings.xml><?xml version="1.0" encoding="utf-8"?>
<sst xmlns="http://schemas.openxmlformats.org/spreadsheetml/2006/main" count="480" uniqueCount="143">
  <si>
    <t>Заказчик</t>
  </si>
  <si>
    <t>Наименование работ</t>
  </si>
  <si>
    <t>ПАО "РОССЕТИ ЛЕНЭНЕРГО"</t>
  </si>
  <si>
    <t>Комплексный ремонт зданий ПС</t>
  </si>
  <si>
    <t>АО "ТАНДЕР"</t>
  </si>
  <si>
    <t>Текущий ремонт и ремонтно-строительные работы в магазинах "Магнит"</t>
  </si>
  <si>
    <t>Комплексное техническое обслуживание магазинов "Магнит"</t>
  </si>
  <si>
    <t>Благоустройство территории</t>
  </si>
  <si>
    <t>Поставка материалов</t>
  </si>
  <si>
    <t>Текущий ремонт и ремонтно-строительные работы в распределительном центре "Магнит-Фарма"</t>
  </si>
  <si>
    <t>Реконструкция магазина "Магнит-Косметик" г. Санкт-Петербург</t>
  </si>
  <si>
    <t>Реконструкция магазина "Магнит" г. Санкт-Петербург</t>
  </si>
  <si>
    <t>Текущий ремонт и комплексное техническое обслуживание магазинов "Магнит" и РЦ "Магнит Фарма"</t>
  </si>
  <si>
    <t>МУП "ТЕПЛОВЫЕ СЕТИ" Г.ГАТЧИНА</t>
  </si>
  <si>
    <t>Ремонт теплотрасс по Бульвару науки г. Гатчина</t>
  </si>
  <si>
    <t>Ремонт участка теплотрассы от ТК-302 до дома №13 по ул. Рощинская в г.Гатчина Ленинградской области</t>
  </si>
  <si>
    <t>Ремонт участка тепловых сетей от дома №19 до дома №23 по ул. Чехова в г.Гатчина Ленинградской области</t>
  </si>
  <si>
    <t>Ремонт теплотрассы от ТК-10 до ТК-11 по ул. А. Зверевой в г. Гатчина</t>
  </si>
  <si>
    <t>МУП "ВОДОКАНАЛ" Г.ГАТЧИНА</t>
  </si>
  <si>
    <t>Капитальный ремонт наружных сетей канализации, водопровода и колодцев по адресу: г. Гатчина ул. Красная от ул. Чкалова до ул. Соборная</t>
  </si>
  <si>
    <t>ООО "АГРОТОРГ"</t>
  </si>
  <si>
    <t>Текущий ремонт систем вентиляции, холодильного и технологического оборудования в магазинах "Пятерочка"</t>
  </si>
  <si>
    <t>Текущий ремонт и ремонтно-строительные работы в магазинах "Пятерочка"</t>
  </si>
  <si>
    <t>Текущий ремонт и ремонтно-строительные работы в распределительных центрах Х5</t>
  </si>
  <si>
    <t>Комплексное техническое обслуживание магазинов "Пятерочка"</t>
  </si>
  <si>
    <t>Комплексное техническое обслуживание Распределительных центров Х5</t>
  </si>
  <si>
    <t>ООО "АЛЬФА-М"</t>
  </si>
  <si>
    <t>Реконструкция магазина "КиБ" г. Санкт-Петербург</t>
  </si>
  <si>
    <t>ООО "Дубровская ТЭЦ"</t>
  </si>
  <si>
    <t>Замена участков магистральных т/с III-IV микрорайонов г. Кировск</t>
  </si>
  <si>
    <t>АО "ТОРГОВЫЙ ДОМ "ПЕРЕКРЕСТОК"</t>
  </si>
  <si>
    <t>Текущий ремонт и ремонтно-строительные работы в супермаркетах "Перекресток"</t>
  </si>
  <si>
    <t>Реконструкция супермаркета "Перекресток" г. Петрозаводск</t>
  </si>
  <si>
    <t>Реконструкция супермаркета "Перекресток" г. Санкт-Петербург</t>
  </si>
  <si>
    <t>ОАО "РЖД"</t>
  </si>
  <si>
    <t>Выполнение работ по текущему ремонту зданий</t>
  </si>
  <si>
    <t>ООО "СЕЛЕКТЕЛ"</t>
  </si>
  <si>
    <t>Выполнение комплекса строительно-монтажных работ</t>
  </si>
  <si>
    <t>Капитальный ремонт кровли</t>
  </si>
  <si>
    <t>ФГКОУ СПБ СВУ МВД РОССИИ</t>
  </si>
  <si>
    <t>Университет ИТМО</t>
  </si>
  <si>
    <t>Ремонт системы вентиляции по актовому залу</t>
  </si>
  <si>
    <t>ФГБОУ ВО ПГУПС</t>
  </si>
  <si>
    <t>Капитальный ремонт в помещениях общежития</t>
  </si>
  <si>
    <t>Текущий ремонт помещений столовой для нужд ФГБОУ ВО СПбГУ ГА им. А.А. Новикова</t>
  </si>
  <si>
    <t>ГБОУ СОШ № 314 ФРУНЗЕНСКОГО РАЙОНА САНКТ-ПЕТЕРБУРГА</t>
  </si>
  <si>
    <t>Выполнение работ по ремонту и перепланировке пищеблока в ГБОУ СОШ № 314 Фрунзенского района Санкт-Петербурга</t>
  </si>
  <si>
    <t>ГБОУ CОШ № 87 Петроградского района</t>
  </si>
  <si>
    <t>Работы по ремонту ГБОУ CОШ № 87 Петроградского района Санкт-Петербурга по адресу: 197198, Санкт-Петербург, ул.Введенская д.16-18, лит.А.</t>
  </si>
  <si>
    <t>ООО "ЛЕНТЕХСТРОЙ"</t>
  </si>
  <si>
    <t>Выполнение работ по изготовлению и монтажу внутренних дверей из ПФХ профиля</t>
  </si>
  <si>
    <t>ГУП «Водоканал Санкт-Петербурга»</t>
  </si>
  <si>
    <t xml:space="preserve">ГКУ ЛО "ЦЭиПЭЛо" </t>
  </si>
  <si>
    <t>Ремонт участков теплотрассы по адресу: г. Енакиево (ДНР)</t>
  </si>
  <si>
    <t>ОГКУ "ЦЗН КОСТРОМСКОЙ ОБЛАСТИ"</t>
  </si>
  <si>
    <t>Выполнение работ по текущему ремонту нежилого помещения, расположенного по адресу: Костромская область, город Кострома, улица Советская, дом 107Б</t>
  </si>
  <si>
    <t>Реконструкция супермаркетов "Перекресток" г. Санкт-Петербург (реконструкция бывших супермаркетов «Призма»)</t>
  </si>
  <si>
    <t>Реконструкция супермаркета "Перекресток". г. Санкт-Петербург</t>
  </si>
  <si>
    <t>Строительно-монтажные работы в субаренде супермаркета "Перекресток". г. Санкт-Петербург</t>
  </si>
  <si>
    <t>Строительно-монтажные работы в супермаркете "Перекресток" (проект CVP).       г. Санкт-Петербург</t>
  </si>
  <si>
    <t>Реконструкция супермаркетов "Перекресток" (по формату CVP). г. Санкт-Петербург</t>
  </si>
  <si>
    <t>Текущий ремонт и ремонтно-строительные работы в супермаркетах "Перекресток". г. Санкт-Петербург</t>
  </si>
  <si>
    <t>АО «ДИКСИ ЮГ»</t>
  </si>
  <si>
    <t>Текущий ремонт и ремонтно-строительные работы в магазинах "ДИКСИ". г. Санкт-Петербург</t>
  </si>
  <si>
    <t>АО "ДИКСИ"</t>
  </si>
  <si>
    <t>Текущий ремонт и комплексное техническое обслуживание магазинов "Дикси". г. Санкт-Петербург</t>
  </si>
  <si>
    <t>ООО "СОЮЗ СВ. ИОАННА ВОИНА"</t>
  </si>
  <si>
    <t>Реконструкция магазина "Верный". г. Санкт-Петербург</t>
  </si>
  <si>
    <t>ЦСРИДИ НЕВСКОГО РАЙОНА</t>
  </si>
  <si>
    <t>Выполнение работ по ремонту бассейна в СПб ГБУСОН "ЦСРИДИ Невского района" по адресу: г. Санкт-Петербург, ул. Чудновского, д.4 корп.1 . г. Санкт-Петербург</t>
  </si>
  <si>
    <t>ГБУ СШОР № 1 ФРУНЗЕНСКОГО РАЙОНА СПБ</t>
  </si>
  <si>
    <t>ГБУ ДО ДДЮТ Кировского района</t>
  </si>
  <si>
    <t>Выполнение ремонтных работ</t>
  </si>
  <si>
    <t>БГТУ "ВОЕНМЕХ" ИМ. Д.Ф. УСТИНОВА</t>
  </si>
  <si>
    <t>Выполнение ремонтных работ на объектах ул. 1-ая Красноармейская, д.13, литер Б</t>
  </si>
  <si>
    <t>Выполнение работ по ремонту участка тепловой сети от УТ-24 до УТ-29 в г. Приозерске</t>
  </si>
  <si>
    <t>ГБДОУ ДЕТСКИЙ САД №17 КОМБИНИРОВАННОГО 
ВИДА ФРУНЗЕНСКОГО РАЙОНА САНКТ- ПЕТЕРБУРГА</t>
  </si>
  <si>
    <t>ФГБОУ ВО СПБГУ ГА ИМ. А.А. НОВИКОВА, САНКТ-ПЕТЕРБУРГСКИЙ 
ГОСУДАРСТВЕННЫЙ УНИВЕРСИТЕТ ГРАЖДАНСКОЙ АВИАЦИИ, СПБГУ ГА, 
УНИВЕРСИТЕТ ГРАЖДАНСКОЙ АВИАЦИИ</t>
  </si>
  <si>
    <t>Ремонт участков теплотрассы по адресу: ЛО, г. Гатчина, территория, ограниченная ул. Чкалова, д. 77, ул. Красная, д. 2, д. 4, д. 6, 
пр. 25 Октября, д. 5, д. 3 – “Гатчинский дворик” и территория, ограниченная ул. Красная, д. 2, д. 3, д. 3 А, ул. Чкалова, д. 77 А, д. 75 – “Сквер Терентьева”</t>
  </si>
  <si>
    <t>Выполнение работ по текущему ремонту помещений спортивных залов на 1-ом этаже (пом. №59,11) и 2-ом этаже (пом. №56,58) в 
ГБУ СШОР №1 Фрунзенского района Спб по адресу Санкт-Петербург, Лиговский пр., дом 208, лит. А в 2023 году</t>
  </si>
  <si>
    <t>Выполнение работ по текущему ремонту помещений № 13 (1 этаж); № 10,20 (2 этаж) в ГБДОУ №17 комбинированного вида Фрунзенского района 
Санкт-Петербурга по адресу: Санкт-Петербург, улица Боровая, дом 86, литер А, пом. 1 Н, 2 Н</t>
  </si>
  <si>
    <t>Выполнение работ по текущему ремонту помещений № 6,7 (1 этаж); № 6,7,14,15 (2 этаж) в ГБДОУ №17 комбинированного вида Фрунзенского района Санкт-Петербурга по адресу: 
Санкт-Петербург, улица Прилукская, дом 29, литер А, помещение 1Н, 2Н</t>
  </si>
  <si>
    <t>АДМИНИСТРАЦИЯ СЕВЕРОДВИНСКА</t>
  </si>
  <si>
    <t>ГОРОДСКАЯ ПОЛИКЛИНИКА № 106 СПБ ГБУЗ</t>
  </si>
  <si>
    <t>КОЛОСОВСКАЯ СШ БОУ</t>
  </si>
  <si>
    <t>ЛИЦЕЙ № 86 ГОУ ЯО</t>
  </si>
  <si>
    <t>МУРОМЦЕВСКАЯ СОШ №1 МБОУ</t>
  </si>
  <si>
    <t>СПБ-ЛЕТО ООО</t>
  </si>
  <si>
    <t>ШРКТЭ ИМ. АК. СТЕПАНОВА П.И. ГБПОУ РО</t>
  </si>
  <si>
    <t>Капитальный ремонт здания ГОУ ЯО "Лицей №86" по адресу: Ярославская область, г.Ярославль, ул.Зелинского д.6</t>
  </si>
  <si>
    <t>Капитальный ремонт здания МАОУ "СОШ № 20", расположенного по адресу: г. Северодвинск, пр. Труда, дом № 7Б</t>
  </si>
  <si>
    <t>Капитальный ремонт зданий (Литер Б, Литер Г) ГБПОУ РО «ШРКТЭ им.ак. Степанова П.И.», по адресу: г. Новошахтинск, ул. Школьная,7</t>
  </si>
  <si>
    <t>Выполнение работ по капитальному ремонту здания СПб ГБУЗ «Городская поликлиника №106» Красносельского района Санкт-Петербурга по адресу: 
г. Санкт-Петербург, ул. Маршала Захарова, д. 31, литера А</t>
  </si>
  <si>
    <t>Выполнение работ по капитальному ремонту здания школы «Колосовская средняя школа», по адресу: Омская обл., Колосовский р-н, Колосовка с., Свердлова ул.20</t>
  </si>
  <si>
    <t>Выполнение работ по капитальному ремонту здания школы МБОУ «Муромцевская СОШ №1», расположенного по адресу: Омская область, Муромцевский район, 
р.п. Муромцево, ул. Ленина, 64</t>
  </si>
  <si>
    <t>Капитальный ремонт участка теплотрассы под тротуаром ул.Радищева от ТК-247 до ТК-178 в г.Гатчина Ленинградской области</t>
  </si>
  <si>
    <t>Капитальный ремонт наружных сетей канализации, водопровода и колодцев по адресу: г. Гатчина ул. Красная, от Госпитального пер. до ул. Соборная</t>
  </si>
  <si>
    <t>Капитальный ремонт теплотрассы от ТК-13 до ТК-14 по ул. А.Зверевой в г. Гатчина Ленинградской области</t>
  </si>
  <si>
    <t>Капитальный ремонт теплотрассы от НО-1 до ТК-15 по ул.А.Зверевой в г. Гатчина Ленинградской области</t>
  </si>
  <si>
    <t>Капитальный ремонт теплотрассы от ТК-11 до ТК-12 по ул. А.Зверевой в г.Гатчина Ленинградской области</t>
  </si>
  <si>
    <t>Капитальный ремонт участков теплотрасс через проезжую часть по ул.Радищева в г.Гатчина Ленинградской области</t>
  </si>
  <si>
    <t>Капитальный ремонт наружный сетей водопровода, канализации и колодцев по адресу: г. Гатчина, по ул. Радищева, от дома № 3 до ул. Чехова</t>
  </si>
  <si>
    <t>Услуги по выполнению мероприятий по повышению энергетической эффективности на Северной водопроводной 
станции и Юго-Западных очистных сооружениях</t>
  </si>
  <si>
    <t>Ремонт теплотрасс по ул Радищева г. Гатчина</t>
  </si>
  <si>
    <t>Комплексное техническое обслуживание торгово-развлекательного комплекса "ЛЕТО" -Санкт-Петербург, Пулковское шоссе, дом 25, корпус 1</t>
  </si>
  <si>
    <t>2020 год</t>
  </si>
  <si>
    <t>2021-2022 год</t>
  </si>
  <si>
    <t>2023 год</t>
  </si>
  <si>
    <t>2024 год</t>
  </si>
  <si>
    <t xml:space="preserve">АДМИНИСТРАЦИЯ ПРИОЗЕРСКОГО 
МУНИЦИПАЛЬНОГО РАЙОНА </t>
  </si>
  <si>
    <t>Капитальный ремонт тепловых сетей г. Гатчина</t>
  </si>
  <si>
    <t>Текущий ремонт и комплексное техническое обслуживание магазинов "Пятерочка"</t>
  </si>
  <si>
    <t>Текущий ремонт и комплексное техническое обслуживание распределительных центров Х5</t>
  </si>
  <si>
    <t>Реконструкция магазинов "Магнит" г. Санкт-Петербург</t>
  </si>
  <si>
    <t>Реконструкция магазинов "КиБ" г. Санкт-Петербург</t>
  </si>
  <si>
    <t>Реконструкция супермаркетов "Перекресток" г. Санкт-Петербург</t>
  </si>
  <si>
    <t>Капитальный ремонт наружных сетей канализации, водопровода и колодцев г. Гатчина</t>
  </si>
  <si>
    <t>Комплексное техническое обслуживание торгово-развлекательного комплекса "ЛЕТО" -Санкт-Петербург, 
Пулковское шоссе, дом 25, корпус 1</t>
  </si>
  <si>
    <t>Выполнение работ по капитальному ремонту здания школы «Колосовская средняя школа», по адресу: Омская обл., 
Колосовский р-н, Колосовка с., Свердлова ул.20</t>
  </si>
  <si>
    <t>Капитальный ремонт зданий (Литер Б, Литер Г) ГБПОУ РО «ШРКТЭ им.ак. Степанова П.И.», по адресу: 
г. Новошахтинск, ул. Школьная,7</t>
  </si>
  <si>
    <t>ЛЕНОБЛПРОДУКТ ООО</t>
  </si>
  <si>
    <t>ТК ЭЛЬБРУС ООО</t>
  </si>
  <si>
    <t>УНИВЕРСАЛ ООО</t>
  </si>
  <si>
    <t>Поставка нерудных материалов для строительства автомобильных дорог</t>
  </si>
  <si>
    <t>Сумма</t>
  </si>
  <si>
    <t>Заказчик (2022г.)</t>
  </si>
  <si>
    <t>Заказчик (2023г.)</t>
  </si>
  <si>
    <t>Заказчик (2024г.)</t>
  </si>
  <si>
    <t>Заказчик (2021г.)</t>
  </si>
  <si>
    <t>Заказчик (2020г.)</t>
  </si>
  <si>
    <t>ИТОГО</t>
  </si>
  <si>
    <t>Заказчик (2025г.)</t>
  </si>
  <si>
    <t>АРТ ИНВЕСТМЕНТ ООО</t>
  </si>
  <si>
    <t>ЛАКОР ООО</t>
  </si>
  <si>
    <t>ТАНДЕР АО</t>
  </si>
  <si>
    <t>ЦГБ В Г. БАТАЙСКЕ ГБУ РО</t>
  </si>
  <si>
    <t>СТРОЙБАЗА ВОЛХОНКА ООО</t>
  </si>
  <si>
    <t xml:space="preserve">Капитальный ремонт здания поликлинического отделения № 1 (взрослое) Муниципальное бюджетное учреждение здравоохранения «Центральная городская больница» г. Батайска Ростовской области, расположенного по адресу: г. Батайск, ул. Куйбышева 136» </t>
  </si>
  <si>
    <t>Продажа материалов</t>
  </si>
  <si>
    <t>Аренда</t>
  </si>
  <si>
    <t xml:space="preserve">Капитальный ремонт здания поликлинического отделения № 1 (взрослое) Муниципальное бюджетное учреждение 
здравоохранения «Центральная городская больница» г. Батайска Ростовской области, расположенного по адресу: 
г. Батайск, ул. Куйбышева 136» </t>
  </si>
  <si>
    <t>ТДСТРОЙТРАСТ ООО</t>
  </si>
  <si>
    <t>Выполнение работ по капитальному ремонту здания СПб ГБУЗ «Городская поликлиника №106» Красносельского района Санкт-Петербурга по адресу: г. Санкт-Петербург, ул. Маршала Захарова, д. 31, литера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</si>
</sst>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₽"/>
    <numFmt numFmtId="165" formatCode="#,##0.00\ &quot;₽&quot;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2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0" fillId="0" borderId="1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Fill="1" applyBorder="1"/>
    <xf numFmtId="164" fontId="0" fillId="0" borderId="0" xfId="0" applyNumberFormat="1" applyFont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/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vertical="center"/>
    </xf>
    <xf numFmtId="164" fontId="0" fillId="0" borderId="0" xfId="0" applyNumberFormat="1" applyFont="1" applyAlignment="1"/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4" fillId="0" borderId="1" xfId="0" applyFont="1" applyFill="1" applyBorder="1" applyAlignment="1">
      <alignment vertical="center"/>
    </xf>
    <xf numFmtId="164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/>
    <xf numFmtId="0" fontId="1" fillId="0" borderId="0" xfId="0" applyFont="1" applyFill="1"/>
    <xf numFmtId="0" fontId="0" fillId="0" borderId="0" xfId="0" applyFont="1" applyFill="1"/>
    <xf numFmtId="164" fontId="4" fillId="0" borderId="1" xfId="0" applyNumberFormat="1" applyFont="1" applyFill="1" applyBorder="1" applyAlignment="1">
      <alignment horizontal="center" vertical="center"/>
    </xf>
    <xf numFmtId="4" fontId="0" fillId="0" borderId="0" xfId="0" applyNumberFormat="1" applyFill="1"/>
    <xf numFmtId="0" fontId="1" fillId="0" borderId="0" xfId="0" applyFont="1" applyFill="1" applyBorder="1"/>
    <xf numFmtId="165" fontId="0" fillId="0" borderId="0" xfId="0" applyNumberFormat="1" applyFill="1"/>
    <xf numFmtId="164" fontId="4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 vertical="top" wrapText="1"/>
    </xf>
    <xf numFmtId="164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wrapText="1"/>
    </xf>
    <xf numFmtId="164" fontId="0" fillId="0" borderId="0" xfId="0" applyNumberFormat="1" applyFill="1"/>
    <xf numFmtId="4" fontId="6" fillId="0" borderId="2" xfId="2" applyNumberFormat="1" applyFont="1" applyBorder="1" applyAlignment="1">
      <alignment horizontal="center" vertical="top" wrapText="1"/>
    </xf>
    <xf numFmtId="164" fontId="1" fillId="0" borderId="0" xfId="0" applyNumberFormat="1" applyFont="1" applyAlignment="1"/>
    <xf numFmtId="4" fontId="6" fillId="0" borderId="1" xfId="2" applyNumberFormat="1" applyFont="1" applyBorder="1" applyAlignment="1">
      <alignment horizontal="center" vertical="top" wrapText="1"/>
    </xf>
    <xf numFmtId="0" fontId="5" fillId="0" borderId="1" xfId="0" applyFont="1" applyBorder="1"/>
    <xf numFmtId="4" fontId="4" fillId="0" borderId="1" xfId="2" applyNumberFormat="1" applyFont="1" applyBorder="1" applyAlignment="1">
      <alignment horizontal="center" vertical="top" wrapText="1"/>
    </xf>
    <xf numFmtId="164" fontId="0" fillId="0" borderId="0" xfId="0" applyNumberForma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4" fontId="4" fillId="0" borderId="0" xfId="2" applyNumberFormat="1" applyFont="1" applyBorder="1" applyAlignment="1">
      <alignment horizontal="center" vertical="top" wrapText="1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Font="1" applyFill="1" applyAlignment="1">
      <alignment horizontal="center"/>
    </xf>
    <xf numFmtId="164" fontId="1" fillId="0" borderId="0" xfId="0" applyNumberFormat="1" applyFont="1" applyFill="1" applyBorder="1" applyAlignment="1">
      <alignment horizontal="center"/>
    </xf>
  </cellXfs>
  <cellStyles count="3">
    <cellStyle name="Обычный" xfId="0" builtinId="0"/>
    <cellStyle name="Обычный_Лист1" xfId="1" xr:uid="{00000000-0005-0000-0000-000001000000}"/>
    <cellStyle name="Обычный_Сводная по годам" xfId="2" xr:uid="{68EC2E3E-6D58-4ECD-A047-3F382BEF1E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A67" workbookViewId="0">
      <selection activeCell="B74" sqref="B74"/>
    </sheetView>
  </sheetViews>
  <sheetFormatPr defaultRowHeight="15" x14ac:dyDescent="0.25"/>
  <cols>
    <col min="1" max="1" width="41.85546875" style="2" customWidth="1"/>
    <col min="2" max="2" width="109.140625" style="2" bestFit="1" customWidth="1"/>
    <col min="3" max="3" width="15.140625" style="10" bestFit="1" customWidth="1"/>
    <col min="4" max="4" width="15.5703125" style="47" bestFit="1" customWidth="1"/>
    <col min="5" max="5" width="14.140625" bestFit="1" customWidth="1"/>
    <col min="6" max="6" width="15.140625" bestFit="1" customWidth="1"/>
  </cols>
  <sheetData>
    <row r="1" spans="1:4" s="23" customFormat="1" x14ac:dyDescent="0.25">
      <c r="A1" s="21" t="s">
        <v>129</v>
      </c>
      <c r="B1" s="21" t="s">
        <v>1</v>
      </c>
      <c r="C1" s="22" t="s">
        <v>124</v>
      </c>
      <c r="D1" s="45"/>
    </row>
    <row r="2" spans="1:4" s="23" customFormat="1" x14ac:dyDescent="0.25">
      <c r="A2" s="24" t="s">
        <v>4</v>
      </c>
      <c r="B2" s="24" t="s">
        <v>12</v>
      </c>
      <c r="C2" s="30">
        <v>17360776.350000001</v>
      </c>
      <c r="D2" s="45"/>
    </row>
    <row r="3" spans="1:4" s="23" customFormat="1" x14ac:dyDescent="0.25">
      <c r="A3" s="24" t="s">
        <v>13</v>
      </c>
      <c r="B3" s="24" t="s">
        <v>110</v>
      </c>
      <c r="C3" s="30">
        <v>27310327.75</v>
      </c>
      <c r="D3" s="45"/>
    </row>
    <row r="4" spans="1:4" s="23" customFormat="1" x14ac:dyDescent="0.25">
      <c r="A4" s="24" t="s">
        <v>30</v>
      </c>
      <c r="B4" s="24" t="s">
        <v>31</v>
      </c>
      <c r="C4" s="30">
        <v>15496701.039999999</v>
      </c>
      <c r="D4" s="45"/>
    </row>
    <row r="5" spans="1:4" s="23" customFormat="1" x14ac:dyDescent="0.25">
      <c r="A5" s="24" t="s">
        <v>34</v>
      </c>
      <c r="B5" s="24" t="s">
        <v>35</v>
      </c>
      <c r="C5" s="30">
        <v>2063248.03</v>
      </c>
      <c r="D5" s="45"/>
    </row>
    <row r="6" spans="1:4" s="23" customFormat="1" x14ac:dyDescent="0.25">
      <c r="A6" s="24" t="s">
        <v>36</v>
      </c>
      <c r="B6" s="24" t="s">
        <v>37</v>
      </c>
      <c r="C6" s="30">
        <v>5193967.2</v>
      </c>
      <c r="D6" s="45"/>
    </row>
    <row r="7" spans="1:4" s="23" customFormat="1" x14ac:dyDescent="0.25">
      <c r="A7" s="24" t="s">
        <v>39</v>
      </c>
      <c r="B7" s="24" t="s">
        <v>38</v>
      </c>
      <c r="C7" s="30">
        <v>1243522.08</v>
      </c>
      <c r="D7" s="45"/>
    </row>
    <row r="8" spans="1:4" s="23" customFormat="1" x14ac:dyDescent="0.25">
      <c r="A8" s="24" t="s">
        <v>40</v>
      </c>
      <c r="B8" s="24" t="s">
        <v>41</v>
      </c>
      <c r="C8" s="30">
        <v>11467830</v>
      </c>
      <c r="D8" s="45"/>
    </row>
    <row r="9" spans="1:4" s="23" customFormat="1" x14ac:dyDescent="0.25">
      <c r="A9" s="24" t="s">
        <v>42</v>
      </c>
      <c r="B9" s="24" t="s">
        <v>43</v>
      </c>
      <c r="C9" s="30">
        <v>1969644.08</v>
      </c>
      <c r="D9" s="45"/>
    </row>
    <row r="10" spans="1:4" s="23" customFormat="1" x14ac:dyDescent="0.25">
      <c r="A10" s="24" t="s">
        <v>49</v>
      </c>
      <c r="B10" s="24" t="s">
        <v>50</v>
      </c>
      <c r="C10" s="30">
        <v>2285575</v>
      </c>
      <c r="D10" s="45"/>
    </row>
    <row r="11" spans="1:4" s="23" customFormat="1" x14ac:dyDescent="0.25">
      <c r="A11" s="24" t="s">
        <v>20</v>
      </c>
      <c r="B11" s="24" t="s">
        <v>21</v>
      </c>
      <c r="C11" s="30">
        <v>15853784.369999999</v>
      </c>
      <c r="D11" s="45"/>
    </row>
    <row r="12" spans="1:4" s="23" customFormat="1" x14ac:dyDescent="0.25">
      <c r="A12" s="24" t="s">
        <v>20</v>
      </c>
      <c r="B12" s="24" t="s">
        <v>25</v>
      </c>
      <c r="C12" s="30">
        <v>6376564.7599999998</v>
      </c>
      <c r="D12" s="45"/>
    </row>
    <row r="13" spans="1:4" s="23" customFormat="1" x14ac:dyDescent="0.25">
      <c r="A13" s="24" t="s">
        <v>20</v>
      </c>
      <c r="B13" s="24" t="s">
        <v>111</v>
      </c>
      <c r="C13" s="30">
        <v>96077133.900000006</v>
      </c>
      <c r="D13" s="45"/>
    </row>
    <row r="14" spans="1:4" s="23" customFormat="1" ht="30" x14ac:dyDescent="0.25">
      <c r="A14" s="24" t="s">
        <v>51</v>
      </c>
      <c r="B14" s="26" t="s">
        <v>102</v>
      </c>
      <c r="C14" s="30">
        <v>18792990.300000001</v>
      </c>
      <c r="D14" s="45"/>
    </row>
    <row r="15" spans="1:4" s="28" customFormat="1" x14ac:dyDescent="0.25">
      <c r="A15" s="27"/>
      <c r="B15" s="27" t="s">
        <v>130</v>
      </c>
      <c r="C15" s="35">
        <f>SUM(C2:C14)</f>
        <v>221492064.86000001</v>
      </c>
      <c r="D15" s="46"/>
    </row>
    <row r="16" spans="1:4" s="23" customFormat="1" x14ac:dyDescent="0.25">
      <c r="A16" s="29"/>
      <c r="B16" s="29"/>
      <c r="C16" s="50"/>
      <c r="D16" s="45"/>
    </row>
    <row r="17" spans="1:6" s="23" customFormat="1" x14ac:dyDescent="0.25">
      <c r="A17" s="21" t="s">
        <v>128</v>
      </c>
      <c r="B17" s="21" t="s">
        <v>1</v>
      </c>
      <c r="C17" s="22" t="s">
        <v>124</v>
      </c>
      <c r="D17" s="45"/>
    </row>
    <row r="18" spans="1:6" s="23" customFormat="1" x14ac:dyDescent="0.25">
      <c r="A18" s="24" t="s">
        <v>2</v>
      </c>
      <c r="B18" s="24" t="s">
        <v>3</v>
      </c>
      <c r="C18" s="30">
        <v>12526733.9</v>
      </c>
      <c r="D18" s="45"/>
      <c r="F18" s="31"/>
    </row>
    <row r="19" spans="1:6" s="23" customFormat="1" x14ac:dyDescent="0.25">
      <c r="A19" s="24" t="s">
        <v>4</v>
      </c>
      <c r="B19" s="24" t="s">
        <v>12</v>
      </c>
      <c r="C19" s="30">
        <v>24716901.239999998</v>
      </c>
      <c r="D19" s="45"/>
    </row>
    <row r="20" spans="1:6" s="23" customFormat="1" x14ac:dyDescent="0.25">
      <c r="A20" s="24" t="s">
        <v>4</v>
      </c>
      <c r="B20" s="24" t="s">
        <v>113</v>
      </c>
      <c r="C20" s="30">
        <v>8633353.7100000009</v>
      </c>
      <c r="D20" s="45"/>
    </row>
    <row r="21" spans="1:6" s="23" customFormat="1" x14ac:dyDescent="0.25">
      <c r="A21" s="24" t="s">
        <v>13</v>
      </c>
      <c r="B21" s="24" t="s">
        <v>110</v>
      </c>
      <c r="C21" s="30">
        <v>45333692.75</v>
      </c>
      <c r="D21" s="45"/>
    </row>
    <row r="22" spans="1:6" s="23" customFormat="1" x14ac:dyDescent="0.25">
      <c r="A22" s="24" t="s">
        <v>20</v>
      </c>
      <c r="B22" s="24" t="s">
        <v>112</v>
      </c>
      <c r="C22" s="30">
        <v>71634027.480000004</v>
      </c>
      <c r="D22" s="45"/>
    </row>
    <row r="23" spans="1:6" s="23" customFormat="1" x14ac:dyDescent="0.25">
      <c r="A23" s="24" t="s">
        <v>26</v>
      </c>
      <c r="B23" s="24" t="s">
        <v>114</v>
      </c>
      <c r="C23" s="30">
        <v>2785072</v>
      </c>
      <c r="D23" s="45"/>
    </row>
    <row r="24" spans="1:6" s="23" customFormat="1" x14ac:dyDescent="0.25">
      <c r="A24" s="24" t="s">
        <v>28</v>
      </c>
      <c r="B24" s="24" t="s">
        <v>29</v>
      </c>
      <c r="C24" s="30">
        <v>26961328.800000001</v>
      </c>
      <c r="D24" s="45"/>
    </row>
    <row r="25" spans="1:6" s="23" customFormat="1" x14ac:dyDescent="0.25">
      <c r="A25" s="24" t="s">
        <v>30</v>
      </c>
      <c r="B25" s="24" t="s">
        <v>115</v>
      </c>
      <c r="C25" s="30">
        <v>75153910.109999999</v>
      </c>
      <c r="D25" s="45"/>
    </row>
    <row r="26" spans="1:6" s="23" customFormat="1" x14ac:dyDescent="0.25">
      <c r="A26" s="24" t="s">
        <v>36</v>
      </c>
      <c r="B26" s="24" t="s">
        <v>37</v>
      </c>
      <c r="C26" s="30">
        <v>14254762.710000001</v>
      </c>
      <c r="D26" s="45"/>
    </row>
    <row r="27" spans="1:6" s="23" customFormat="1" x14ac:dyDescent="0.25">
      <c r="A27" s="24" t="s">
        <v>36</v>
      </c>
      <c r="B27" s="24" t="s">
        <v>38</v>
      </c>
      <c r="C27" s="30">
        <v>2795439.85</v>
      </c>
      <c r="D27" s="45"/>
    </row>
    <row r="28" spans="1:6" s="23" customFormat="1" x14ac:dyDescent="0.25">
      <c r="A28" s="27"/>
      <c r="B28" s="27" t="s">
        <v>130</v>
      </c>
      <c r="C28" s="35">
        <f>SUM(C18:C27)</f>
        <v>284795222.55000001</v>
      </c>
      <c r="D28" s="45"/>
    </row>
    <row r="29" spans="1:6" s="23" customFormat="1" x14ac:dyDescent="0.25">
      <c r="A29" s="32"/>
      <c r="B29" s="32"/>
      <c r="C29" s="51"/>
      <c r="D29" s="45"/>
    </row>
    <row r="30" spans="1:6" s="23" customFormat="1" x14ac:dyDescent="0.25">
      <c r="A30" s="21" t="s">
        <v>125</v>
      </c>
      <c r="B30" s="21" t="s">
        <v>1</v>
      </c>
      <c r="C30" s="22" t="s">
        <v>124</v>
      </c>
      <c r="D30" s="45"/>
    </row>
    <row r="31" spans="1:6" s="23" customFormat="1" x14ac:dyDescent="0.25">
      <c r="A31" s="24" t="s">
        <v>4</v>
      </c>
      <c r="B31" s="24" t="s">
        <v>12</v>
      </c>
      <c r="C31" s="30">
        <v>42358962.490000002</v>
      </c>
      <c r="D31" s="45"/>
      <c r="E31" s="33"/>
    </row>
    <row r="32" spans="1:6" s="23" customFormat="1" x14ac:dyDescent="0.25">
      <c r="A32" s="24" t="s">
        <v>30</v>
      </c>
      <c r="B32" s="24" t="s">
        <v>115</v>
      </c>
      <c r="C32" s="30">
        <v>69206916.200000003</v>
      </c>
      <c r="D32" s="45"/>
      <c r="F32" s="33"/>
    </row>
    <row r="33" spans="1:4" s="23" customFormat="1" x14ac:dyDescent="0.25">
      <c r="A33" s="24" t="s">
        <v>120</v>
      </c>
      <c r="B33" s="24" t="s">
        <v>123</v>
      </c>
      <c r="C33" s="30">
        <v>5315712.2</v>
      </c>
      <c r="D33" s="45"/>
    </row>
    <row r="34" spans="1:4" s="23" customFormat="1" x14ac:dyDescent="0.25">
      <c r="A34" s="24" t="s">
        <v>121</v>
      </c>
      <c r="B34" s="24" t="s">
        <v>123</v>
      </c>
      <c r="C34" s="30">
        <v>2536540</v>
      </c>
      <c r="D34" s="45"/>
    </row>
    <row r="35" spans="1:4" s="23" customFormat="1" x14ac:dyDescent="0.25">
      <c r="A35" s="24" t="s">
        <v>122</v>
      </c>
      <c r="B35" s="24" t="s">
        <v>123</v>
      </c>
      <c r="C35" s="30">
        <v>1400000</v>
      </c>
      <c r="D35" s="45"/>
    </row>
    <row r="36" spans="1:4" s="23" customFormat="1" x14ac:dyDescent="0.25">
      <c r="A36" s="24" t="s">
        <v>62</v>
      </c>
      <c r="B36" s="24" t="s">
        <v>63</v>
      </c>
      <c r="C36" s="30">
        <v>2031628.78</v>
      </c>
      <c r="D36" s="45"/>
    </row>
    <row r="37" spans="1:4" s="23" customFormat="1" x14ac:dyDescent="0.25">
      <c r="A37" s="27"/>
      <c r="B37" s="27" t="s">
        <v>130</v>
      </c>
      <c r="C37" s="35">
        <f>SUM(C31:C36)</f>
        <v>122849759.67</v>
      </c>
      <c r="D37" s="45"/>
    </row>
    <row r="38" spans="1:4" s="23" customFormat="1" x14ac:dyDescent="0.25">
      <c r="A38" s="32"/>
      <c r="B38" s="32"/>
      <c r="C38" s="51"/>
      <c r="D38" s="45"/>
    </row>
    <row r="39" spans="1:4" s="23" customFormat="1" x14ac:dyDescent="0.25">
      <c r="A39" s="21" t="s">
        <v>126</v>
      </c>
      <c r="B39" s="21" t="s">
        <v>1</v>
      </c>
      <c r="C39" s="22" t="s">
        <v>124</v>
      </c>
      <c r="D39" s="45"/>
    </row>
    <row r="40" spans="1:4" s="23" customFormat="1" x14ac:dyDescent="0.25">
      <c r="A40" s="24" t="s">
        <v>4</v>
      </c>
      <c r="B40" s="24" t="s">
        <v>12</v>
      </c>
      <c r="C40" s="34">
        <v>37787211.549999997</v>
      </c>
      <c r="D40" s="45"/>
    </row>
    <row r="41" spans="1:4" s="23" customFormat="1" x14ac:dyDescent="0.25">
      <c r="A41" s="24" t="s">
        <v>13</v>
      </c>
      <c r="B41" s="24" t="s">
        <v>110</v>
      </c>
      <c r="C41" s="34">
        <v>58871446.659999996</v>
      </c>
      <c r="D41" s="45"/>
    </row>
    <row r="42" spans="1:4" s="23" customFormat="1" x14ac:dyDescent="0.25">
      <c r="A42" s="24" t="s">
        <v>18</v>
      </c>
      <c r="B42" s="24" t="s">
        <v>116</v>
      </c>
      <c r="C42" s="34">
        <v>19198295.359999999</v>
      </c>
      <c r="D42" s="45"/>
    </row>
    <row r="43" spans="1:4" s="23" customFormat="1" ht="75" x14ac:dyDescent="0.25">
      <c r="A43" s="26" t="s">
        <v>77</v>
      </c>
      <c r="B43" s="24" t="s">
        <v>44</v>
      </c>
      <c r="C43" s="34">
        <v>6182076.1600000001</v>
      </c>
      <c r="D43" s="45"/>
    </row>
    <row r="44" spans="1:4" s="23" customFormat="1" x14ac:dyDescent="0.25">
      <c r="A44" s="24" t="s">
        <v>45</v>
      </c>
      <c r="B44" s="24" t="s">
        <v>46</v>
      </c>
      <c r="C44" s="34">
        <v>6643506.8099999996</v>
      </c>
      <c r="D44" s="45"/>
    </row>
    <row r="45" spans="1:4" s="23" customFormat="1" x14ac:dyDescent="0.25">
      <c r="A45" s="24" t="s">
        <v>47</v>
      </c>
      <c r="B45" s="24" t="s">
        <v>48</v>
      </c>
      <c r="C45" s="34">
        <v>1865633.45</v>
      </c>
      <c r="D45" s="45"/>
    </row>
    <row r="46" spans="1:4" s="23" customFormat="1" x14ac:dyDescent="0.25">
      <c r="A46" s="24" t="s">
        <v>52</v>
      </c>
      <c r="B46" s="24" t="s">
        <v>53</v>
      </c>
      <c r="C46" s="34">
        <v>32178813.800000001</v>
      </c>
      <c r="D46" s="45"/>
    </row>
    <row r="47" spans="1:4" s="23" customFormat="1" x14ac:dyDescent="0.25">
      <c r="A47" s="24" t="s">
        <v>54</v>
      </c>
      <c r="B47" s="24" t="s">
        <v>55</v>
      </c>
      <c r="C47" s="34">
        <v>72248690</v>
      </c>
      <c r="D47" s="45"/>
    </row>
    <row r="48" spans="1:4" s="23" customFormat="1" x14ac:dyDescent="0.25">
      <c r="A48" s="24" t="s">
        <v>30</v>
      </c>
      <c r="B48" s="24" t="s">
        <v>115</v>
      </c>
      <c r="C48" s="34">
        <v>36447437.259999998</v>
      </c>
      <c r="D48" s="45"/>
    </row>
    <row r="49" spans="1:4" s="23" customFormat="1" x14ac:dyDescent="0.25">
      <c r="A49" s="24" t="s">
        <v>64</v>
      </c>
      <c r="B49" s="24" t="s">
        <v>65</v>
      </c>
      <c r="C49" s="34">
        <v>9284905.3399999999</v>
      </c>
      <c r="D49" s="45"/>
    </row>
    <row r="50" spans="1:4" s="23" customFormat="1" x14ac:dyDescent="0.25">
      <c r="A50" s="24" t="s">
        <v>66</v>
      </c>
      <c r="B50" s="24" t="s">
        <v>67</v>
      </c>
      <c r="C50" s="34">
        <v>7800000</v>
      </c>
      <c r="D50" s="45"/>
    </row>
    <row r="51" spans="1:4" s="23" customFormat="1" x14ac:dyDescent="0.25">
      <c r="A51" s="24" t="s">
        <v>68</v>
      </c>
      <c r="B51" s="24" t="s">
        <v>69</v>
      </c>
      <c r="C51" s="34">
        <v>7402386.0700000003</v>
      </c>
      <c r="D51" s="45"/>
    </row>
    <row r="52" spans="1:4" s="23" customFormat="1" ht="45" x14ac:dyDescent="0.25">
      <c r="A52" s="24" t="s">
        <v>70</v>
      </c>
      <c r="B52" s="26" t="s">
        <v>79</v>
      </c>
      <c r="C52" s="34">
        <v>1892703.6</v>
      </c>
      <c r="D52" s="45"/>
    </row>
    <row r="53" spans="1:4" s="23" customFormat="1" x14ac:dyDescent="0.25">
      <c r="A53" s="24" t="s">
        <v>71</v>
      </c>
      <c r="B53" s="24" t="s">
        <v>72</v>
      </c>
      <c r="C53" s="34">
        <v>630389.30000000005</v>
      </c>
      <c r="D53" s="45"/>
    </row>
    <row r="54" spans="1:4" s="23" customFormat="1" x14ac:dyDescent="0.25">
      <c r="A54" s="24" t="s">
        <v>73</v>
      </c>
      <c r="B54" s="24" t="s">
        <v>74</v>
      </c>
      <c r="C54" s="34">
        <v>12837132.23</v>
      </c>
      <c r="D54" s="45"/>
    </row>
    <row r="55" spans="1:4" s="23" customFormat="1" ht="60" x14ac:dyDescent="0.25">
      <c r="A55" s="26" t="s">
        <v>76</v>
      </c>
      <c r="B55" s="26" t="s">
        <v>80</v>
      </c>
      <c r="C55" s="34">
        <v>2364755.85</v>
      </c>
      <c r="D55" s="45"/>
    </row>
    <row r="56" spans="1:4" s="23" customFormat="1" ht="60" x14ac:dyDescent="0.25">
      <c r="A56" s="26" t="s">
        <v>76</v>
      </c>
      <c r="B56" s="26" t="s">
        <v>81</v>
      </c>
      <c r="C56" s="34">
        <v>1400000</v>
      </c>
      <c r="D56" s="45"/>
    </row>
    <row r="57" spans="1:4" s="23" customFormat="1" ht="30" x14ac:dyDescent="0.25">
      <c r="A57" s="26" t="s">
        <v>109</v>
      </c>
      <c r="B57" s="24" t="s">
        <v>75</v>
      </c>
      <c r="C57" s="34">
        <v>18235997.260000002</v>
      </c>
      <c r="D57" s="45"/>
    </row>
    <row r="58" spans="1:4" s="23" customFormat="1" x14ac:dyDescent="0.25">
      <c r="A58" s="27"/>
      <c r="B58" s="27" t="s">
        <v>130</v>
      </c>
      <c r="C58" s="35">
        <f>SUM(C40:C57)</f>
        <v>333271380.70000005</v>
      </c>
      <c r="D58" s="45"/>
    </row>
    <row r="59" spans="1:4" s="23" customFormat="1" x14ac:dyDescent="0.25">
      <c r="A59" s="29"/>
      <c r="B59" s="29"/>
      <c r="C59" s="50"/>
      <c r="D59" s="45"/>
    </row>
    <row r="60" spans="1:4" s="23" customFormat="1" x14ac:dyDescent="0.25">
      <c r="A60" s="21" t="s">
        <v>127</v>
      </c>
      <c r="B60" s="21" t="s">
        <v>1</v>
      </c>
      <c r="C60" s="22" t="s">
        <v>124</v>
      </c>
      <c r="D60" s="45"/>
    </row>
    <row r="61" spans="1:4" s="23" customFormat="1" x14ac:dyDescent="0.25">
      <c r="A61" s="24" t="s">
        <v>4</v>
      </c>
      <c r="B61" s="24" t="s">
        <v>12</v>
      </c>
      <c r="C61" s="36">
        <v>45627960.799999997</v>
      </c>
      <c r="D61" s="45"/>
    </row>
    <row r="62" spans="1:4" s="23" customFormat="1" ht="30" x14ac:dyDescent="0.25">
      <c r="A62" s="9" t="s">
        <v>87</v>
      </c>
      <c r="B62" s="26" t="s">
        <v>117</v>
      </c>
      <c r="C62" s="37">
        <v>31428327.039999999</v>
      </c>
      <c r="D62" s="45"/>
    </row>
    <row r="63" spans="1:4" s="23" customFormat="1" x14ac:dyDescent="0.25">
      <c r="A63" s="24" t="s">
        <v>30</v>
      </c>
      <c r="B63" s="24" t="s">
        <v>33</v>
      </c>
      <c r="C63" s="37">
        <v>15741463.609999999</v>
      </c>
      <c r="D63" s="45"/>
    </row>
    <row r="64" spans="1:4" s="23" customFormat="1" x14ac:dyDescent="0.25">
      <c r="A64" s="9" t="s">
        <v>82</v>
      </c>
      <c r="B64" s="9" t="s">
        <v>90</v>
      </c>
      <c r="C64" s="37">
        <v>163603814.68000001</v>
      </c>
      <c r="D64" s="45"/>
    </row>
    <row r="65" spans="1:4" s="23" customFormat="1" ht="45" x14ac:dyDescent="0.25">
      <c r="A65" s="9" t="s">
        <v>83</v>
      </c>
      <c r="B65" s="38" t="s">
        <v>92</v>
      </c>
      <c r="C65" s="37">
        <v>56205617.700000003</v>
      </c>
      <c r="D65" s="45"/>
    </row>
    <row r="66" spans="1:4" s="23" customFormat="1" ht="45" x14ac:dyDescent="0.25">
      <c r="A66" s="9" t="s">
        <v>84</v>
      </c>
      <c r="B66" s="38" t="s">
        <v>118</v>
      </c>
      <c r="C66" s="37">
        <v>48642102.700000003</v>
      </c>
      <c r="D66" s="45"/>
    </row>
    <row r="67" spans="1:4" s="23" customFormat="1" x14ac:dyDescent="0.25">
      <c r="A67" s="9" t="s">
        <v>85</v>
      </c>
      <c r="B67" s="9" t="s">
        <v>89</v>
      </c>
      <c r="C67" s="37">
        <v>91923704.719999999</v>
      </c>
      <c r="D67" s="45"/>
    </row>
    <row r="68" spans="1:4" s="23" customFormat="1" ht="45" x14ac:dyDescent="0.25">
      <c r="A68" s="9" t="s">
        <v>86</v>
      </c>
      <c r="B68" s="38" t="s">
        <v>94</v>
      </c>
      <c r="C68" s="37">
        <v>31981117.120000001</v>
      </c>
      <c r="D68" s="45"/>
    </row>
    <row r="69" spans="1:4" s="23" customFormat="1" ht="30" x14ac:dyDescent="0.25">
      <c r="A69" s="9" t="s">
        <v>88</v>
      </c>
      <c r="B69" s="38" t="s">
        <v>119</v>
      </c>
      <c r="C69" s="36">
        <v>40713435.520000003</v>
      </c>
      <c r="D69" s="45"/>
    </row>
    <row r="70" spans="1:4" s="23" customFormat="1" x14ac:dyDescent="0.25">
      <c r="A70" s="24" t="s">
        <v>18</v>
      </c>
      <c r="B70" s="24" t="s">
        <v>116</v>
      </c>
      <c r="C70" s="37">
        <v>32445206.289999999</v>
      </c>
      <c r="D70" s="45">
        <v>32445206.289999999</v>
      </c>
    </row>
    <row r="71" spans="1:4" s="23" customFormat="1" x14ac:dyDescent="0.25">
      <c r="A71" s="24" t="s">
        <v>13</v>
      </c>
      <c r="B71" s="24" t="s">
        <v>110</v>
      </c>
      <c r="C71" s="37">
        <v>144697353.86000001</v>
      </c>
      <c r="D71" s="45">
        <v>144697353.86000001</v>
      </c>
    </row>
    <row r="72" spans="1:4" s="23" customFormat="1" x14ac:dyDescent="0.25">
      <c r="A72" s="27"/>
      <c r="B72" s="27" t="s">
        <v>130</v>
      </c>
      <c r="C72" s="35">
        <f>SUM(C61:C71)</f>
        <v>703010104.03999996</v>
      </c>
      <c r="D72" s="45"/>
    </row>
    <row r="74" spans="1:4" x14ac:dyDescent="0.25">
      <c r="A74" s="21" t="s">
        <v>131</v>
      </c>
      <c r="B74" s="21" t="s">
        <v>1</v>
      </c>
      <c r="C74" s="22" t="s">
        <v>124</v>
      </c>
    </row>
    <row r="75" spans="1:4" ht="30" x14ac:dyDescent="0.25">
      <c r="A75" s="6" t="s">
        <v>83</v>
      </c>
      <c r="B75" s="38" t="s">
        <v>142</v>
      </c>
      <c r="C75" s="42">
        <v>59739269.369999997</v>
      </c>
    </row>
    <row r="76" spans="1:4" ht="45" x14ac:dyDescent="0.25">
      <c r="A76" s="6" t="s">
        <v>84</v>
      </c>
      <c r="B76" s="38" t="s">
        <v>118</v>
      </c>
      <c r="C76" s="42">
        <v>11175596.4</v>
      </c>
    </row>
    <row r="77" spans="1:4" x14ac:dyDescent="0.25">
      <c r="A77" s="6" t="s">
        <v>85</v>
      </c>
      <c r="B77" s="9" t="s">
        <v>89</v>
      </c>
      <c r="C77" s="42">
        <v>2969505.6</v>
      </c>
    </row>
    <row r="78" spans="1:4" ht="45" x14ac:dyDescent="0.25">
      <c r="A78" s="6" t="s">
        <v>86</v>
      </c>
      <c r="B78" s="38" t="s">
        <v>94</v>
      </c>
      <c r="C78" s="42">
        <v>46120768.469999999</v>
      </c>
    </row>
    <row r="79" spans="1:4" ht="50.25" customHeight="1" x14ac:dyDescent="0.25">
      <c r="A79" s="6" t="s">
        <v>135</v>
      </c>
      <c r="B79" s="8" t="s">
        <v>140</v>
      </c>
      <c r="C79" s="42">
        <v>4419182.58</v>
      </c>
    </row>
    <row r="80" spans="1:4" ht="30" x14ac:dyDescent="0.25">
      <c r="A80" s="6" t="s">
        <v>88</v>
      </c>
      <c r="B80" s="38" t="s">
        <v>119</v>
      </c>
      <c r="C80" s="42">
        <v>1499236.72</v>
      </c>
    </row>
    <row r="81" spans="1:4" ht="30" x14ac:dyDescent="0.25">
      <c r="A81" s="6" t="s">
        <v>87</v>
      </c>
      <c r="B81" s="26" t="s">
        <v>117</v>
      </c>
      <c r="C81" s="42">
        <v>47696965.5</v>
      </c>
      <c r="D81" s="47">
        <v>32537435.359999999</v>
      </c>
    </row>
    <row r="82" spans="1:4" x14ac:dyDescent="0.25">
      <c r="A82" s="6" t="s">
        <v>134</v>
      </c>
      <c r="B82" s="24" t="s">
        <v>12</v>
      </c>
      <c r="C82" s="42">
        <v>41020483.659999996</v>
      </c>
      <c r="D82" s="47">
        <v>19526759.699999999</v>
      </c>
    </row>
    <row r="83" spans="1:4" x14ac:dyDescent="0.25">
      <c r="A83" s="6"/>
      <c r="B83" s="6"/>
      <c r="C83" s="13">
        <f>SUM(C75:C82)</f>
        <v>214641008.29999998</v>
      </c>
    </row>
    <row r="85" spans="1:4" x14ac:dyDescent="0.25">
      <c r="A85" s="6" t="s">
        <v>136</v>
      </c>
      <c r="B85" s="43" t="s">
        <v>139</v>
      </c>
      <c r="C85" s="44">
        <v>1862000</v>
      </c>
      <c r="D85" s="48">
        <v>1862000</v>
      </c>
    </row>
    <row r="86" spans="1:4" x14ac:dyDescent="0.25">
      <c r="A86" s="6" t="s">
        <v>132</v>
      </c>
      <c r="B86" s="43" t="s">
        <v>138</v>
      </c>
      <c r="C86" s="44">
        <v>1224728</v>
      </c>
      <c r="D86" s="49"/>
    </row>
    <row r="87" spans="1:4" x14ac:dyDescent="0.25">
      <c r="A87" s="6" t="s">
        <v>141</v>
      </c>
      <c r="B87" s="43" t="s">
        <v>138</v>
      </c>
      <c r="C87" s="44">
        <v>331566.40000000002</v>
      </c>
      <c r="D87" s="48">
        <v>331566.40000000002</v>
      </c>
    </row>
    <row r="88" spans="1:4" x14ac:dyDescent="0.25">
      <c r="A88" s="6" t="s">
        <v>133</v>
      </c>
      <c r="B88" s="9" t="s">
        <v>139</v>
      </c>
      <c r="C88" s="44">
        <v>2710013</v>
      </c>
    </row>
    <row r="89" spans="1:4" x14ac:dyDescent="0.25">
      <c r="A89" s="6"/>
      <c r="B89" s="6"/>
      <c r="C89" s="13">
        <f>SUM(C85:C88)</f>
        <v>6128307.4000000004</v>
      </c>
    </row>
  </sheetData>
  <autoFilter ref="A1:C15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C1" sqref="C1"/>
    </sheetView>
  </sheetViews>
  <sheetFormatPr defaultRowHeight="15" x14ac:dyDescent="0.25"/>
  <cols>
    <col min="1" max="1" width="35.42578125" style="2" bestFit="1" customWidth="1"/>
    <col min="2" max="2" width="109.140625" style="2" bestFit="1" customWidth="1"/>
    <col min="3" max="3" width="15.140625" style="19" bestFit="1" customWidth="1"/>
  </cols>
  <sheetData>
    <row r="1" spans="1:3" x14ac:dyDescent="0.25">
      <c r="A1" s="3" t="s">
        <v>0</v>
      </c>
      <c r="B1" s="3" t="s">
        <v>1</v>
      </c>
      <c r="C1" s="20" t="s">
        <v>105</v>
      </c>
    </row>
    <row r="2" spans="1:3" x14ac:dyDescent="0.25">
      <c r="A2" s="5" t="s">
        <v>4</v>
      </c>
      <c r="B2" s="5" t="s">
        <v>5</v>
      </c>
      <c r="C2" s="18">
        <v>8119659.96</v>
      </c>
    </row>
    <row r="3" spans="1:3" x14ac:dyDescent="0.25">
      <c r="A3" s="5" t="s">
        <v>4</v>
      </c>
      <c r="B3" s="5" t="s">
        <v>6</v>
      </c>
      <c r="C3" s="18">
        <v>4304092.67</v>
      </c>
    </row>
    <row r="4" spans="1:3" x14ac:dyDescent="0.25">
      <c r="A4" s="5" t="s">
        <v>4</v>
      </c>
      <c r="B4" s="5" t="s">
        <v>7</v>
      </c>
      <c r="C4" s="18">
        <v>3547046</v>
      </c>
    </row>
    <row r="5" spans="1:3" x14ac:dyDescent="0.25">
      <c r="A5" s="5" t="s">
        <v>4</v>
      </c>
      <c r="B5" s="5" t="s">
        <v>8</v>
      </c>
      <c r="C5" s="18">
        <v>1389977.72</v>
      </c>
    </row>
    <row r="6" spans="1:3" x14ac:dyDescent="0.25">
      <c r="A6" s="5" t="s">
        <v>13</v>
      </c>
      <c r="B6" s="5" t="s">
        <v>14</v>
      </c>
      <c r="C6" s="18">
        <v>14415937.75</v>
      </c>
    </row>
    <row r="7" spans="1:3" x14ac:dyDescent="0.25">
      <c r="A7" s="5" t="s">
        <v>13</v>
      </c>
      <c r="B7" s="5" t="s">
        <v>103</v>
      </c>
      <c r="C7" s="18">
        <v>12894390</v>
      </c>
    </row>
    <row r="8" spans="1:3" x14ac:dyDescent="0.25">
      <c r="A8" s="5" t="s">
        <v>20</v>
      </c>
      <c r="B8" s="5" t="s">
        <v>21</v>
      </c>
      <c r="C8" s="18">
        <v>15853784.369999999</v>
      </c>
    </row>
    <row r="9" spans="1:3" x14ac:dyDescent="0.25">
      <c r="A9" s="5" t="s">
        <v>20</v>
      </c>
      <c r="B9" s="5" t="s">
        <v>22</v>
      </c>
      <c r="C9" s="18">
        <v>35215253.359999999</v>
      </c>
    </row>
    <row r="10" spans="1:3" x14ac:dyDescent="0.25">
      <c r="A10" s="5" t="s">
        <v>20</v>
      </c>
      <c r="B10" s="5" t="s">
        <v>23</v>
      </c>
      <c r="C10" s="18">
        <v>21300923.48</v>
      </c>
    </row>
    <row r="11" spans="1:3" x14ac:dyDescent="0.25">
      <c r="A11" s="5" t="s">
        <v>20</v>
      </c>
      <c r="B11" s="5" t="s">
        <v>24</v>
      </c>
      <c r="C11" s="18">
        <v>50241210</v>
      </c>
    </row>
    <row r="12" spans="1:3" x14ac:dyDescent="0.25">
      <c r="A12" s="5" t="s">
        <v>20</v>
      </c>
      <c r="B12" s="5" t="s">
        <v>25</v>
      </c>
      <c r="C12" s="18">
        <v>6376564.7599999998</v>
      </c>
    </row>
    <row r="13" spans="1:3" x14ac:dyDescent="0.25">
      <c r="A13" s="5" t="s">
        <v>20</v>
      </c>
      <c r="B13" s="5" t="s">
        <v>8</v>
      </c>
      <c r="C13" s="18">
        <v>10620670.539999999</v>
      </c>
    </row>
    <row r="14" spans="1:3" x14ac:dyDescent="0.25">
      <c r="A14" s="5" t="s">
        <v>30</v>
      </c>
      <c r="B14" s="5" t="s">
        <v>31</v>
      </c>
      <c r="C14" s="18">
        <v>15496701.039999999</v>
      </c>
    </row>
    <row r="15" spans="1:3" x14ac:dyDescent="0.25">
      <c r="A15" s="5" t="s">
        <v>34</v>
      </c>
      <c r="B15" s="5" t="s">
        <v>35</v>
      </c>
      <c r="C15" s="18">
        <v>2063248.03</v>
      </c>
    </row>
    <row r="16" spans="1:3" x14ac:dyDescent="0.25">
      <c r="A16" s="5" t="s">
        <v>36</v>
      </c>
      <c r="B16" s="5" t="s">
        <v>37</v>
      </c>
      <c r="C16" s="18">
        <v>5193967.2</v>
      </c>
    </row>
    <row r="17" spans="1:3" x14ac:dyDescent="0.25">
      <c r="A17" s="5" t="s">
        <v>39</v>
      </c>
      <c r="B17" s="5" t="s">
        <v>38</v>
      </c>
      <c r="C17" s="18">
        <v>1243522.08</v>
      </c>
    </row>
    <row r="18" spans="1:3" x14ac:dyDescent="0.25">
      <c r="A18" s="5" t="s">
        <v>40</v>
      </c>
      <c r="B18" s="5" t="s">
        <v>41</v>
      </c>
      <c r="C18" s="18">
        <v>11467830</v>
      </c>
    </row>
    <row r="19" spans="1:3" x14ac:dyDescent="0.25">
      <c r="A19" s="5" t="s">
        <v>42</v>
      </c>
      <c r="B19" s="5" t="s">
        <v>43</v>
      </c>
      <c r="C19" s="18">
        <v>1969644.08</v>
      </c>
    </row>
    <row r="20" spans="1:3" x14ac:dyDescent="0.25">
      <c r="A20" s="5" t="s">
        <v>49</v>
      </c>
      <c r="B20" s="5" t="s">
        <v>50</v>
      </c>
      <c r="C20" s="18">
        <v>2285575</v>
      </c>
    </row>
    <row r="21" spans="1:3" ht="30" x14ac:dyDescent="0.25">
      <c r="A21" s="5" t="s">
        <v>51</v>
      </c>
      <c r="B21" s="7" t="s">
        <v>102</v>
      </c>
      <c r="C21" s="18">
        <v>18792990.300000001</v>
      </c>
    </row>
    <row r="22" spans="1:3" s="1" customFormat="1" x14ac:dyDescent="0.25">
      <c r="A22" s="12"/>
      <c r="B22" s="12"/>
      <c r="C22" s="14">
        <f>SUM(C2:C21)</f>
        <v>242792988.34</v>
      </c>
    </row>
  </sheetData>
  <autoFilter ref="A1:C22" xr:uid="{00000000-0009-0000-0000-000001000000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selection activeCell="C2" sqref="C2"/>
    </sheetView>
  </sheetViews>
  <sheetFormatPr defaultRowHeight="15" x14ac:dyDescent="0.25"/>
  <cols>
    <col min="1" max="1" width="35.42578125" style="2" bestFit="1" customWidth="1"/>
    <col min="2" max="2" width="111.42578125" style="2" bestFit="1" customWidth="1"/>
    <col min="3" max="3" width="18" style="19" bestFit="1" customWidth="1"/>
  </cols>
  <sheetData>
    <row r="1" spans="1:3" x14ac:dyDescent="0.25">
      <c r="A1" s="3" t="s">
        <v>0</v>
      </c>
      <c r="B1" s="3" t="s">
        <v>1</v>
      </c>
      <c r="C1" s="15" t="s">
        <v>106</v>
      </c>
    </row>
    <row r="2" spans="1:3" x14ac:dyDescent="0.25">
      <c r="A2" s="5" t="s">
        <v>2</v>
      </c>
      <c r="B2" s="5" t="s">
        <v>3</v>
      </c>
      <c r="C2" s="18">
        <v>14393085.83</v>
      </c>
    </row>
    <row r="3" spans="1:3" x14ac:dyDescent="0.25">
      <c r="A3" s="5" t="s">
        <v>4</v>
      </c>
      <c r="B3" s="5" t="s">
        <v>5</v>
      </c>
      <c r="C3" s="18">
        <v>38650519.229999997</v>
      </c>
    </row>
    <row r="4" spans="1:3" x14ac:dyDescent="0.25">
      <c r="A4" s="5" t="s">
        <v>4</v>
      </c>
      <c r="B4" s="5" t="s">
        <v>6</v>
      </c>
      <c r="C4" s="18">
        <v>8464655.6500000004</v>
      </c>
    </row>
    <row r="5" spans="1:3" x14ac:dyDescent="0.25">
      <c r="A5" s="5" t="s">
        <v>4</v>
      </c>
      <c r="B5" s="5" t="s">
        <v>7</v>
      </c>
      <c r="C5" s="18">
        <v>1979336.45</v>
      </c>
    </row>
    <row r="6" spans="1:3" x14ac:dyDescent="0.25">
      <c r="A6" s="5" t="s">
        <v>4</v>
      </c>
      <c r="B6" s="5" t="s">
        <v>8</v>
      </c>
      <c r="C6" s="18">
        <v>2034940.97</v>
      </c>
    </row>
    <row r="7" spans="1:3" x14ac:dyDescent="0.25">
      <c r="A7" s="5" t="s">
        <v>4</v>
      </c>
      <c r="B7" s="5" t="s">
        <v>9</v>
      </c>
      <c r="C7" s="18">
        <v>2568839.6</v>
      </c>
    </row>
    <row r="8" spans="1:3" x14ac:dyDescent="0.25">
      <c r="A8" s="5" t="s">
        <v>4</v>
      </c>
      <c r="B8" s="5" t="s">
        <v>10</v>
      </c>
      <c r="C8" s="18">
        <v>3281348.45</v>
      </c>
    </row>
    <row r="9" spans="1:3" x14ac:dyDescent="0.25">
      <c r="A9" s="5" t="s">
        <v>4</v>
      </c>
      <c r="B9" s="5" t="s">
        <v>11</v>
      </c>
      <c r="C9" s="18">
        <v>5352005.26</v>
      </c>
    </row>
    <row r="10" spans="1:3" x14ac:dyDescent="0.25">
      <c r="A10" s="5" t="s">
        <v>13</v>
      </c>
      <c r="B10" s="5" t="s">
        <v>15</v>
      </c>
      <c r="C10" s="18">
        <v>23633695.07</v>
      </c>
    </row>
    <row r="11" spans="1:3" x14ac:dyDescent="0.25">
      <c r="A11" s="5" t="s">
        <v>13</v>
      </c>
      <c r="B11" s="5" t="s">
        <v>16</v>
      </c>
      <c r="C11" s="18">
        <v>21699997.68</v>
      </c>
    </row>
    <row r="12" spans="1:3" x14ac:dyDescent="0.25">
      <c r="A12" s="5" t="s">
        <v>20</v>
      </c>
      <c r="B12" s="5" t="s">
        <v>23</v>
      </c>
      <c r="C12" s="18">
        <v>58880897.960000001</v>
      </c>
    </row>
    <row r="13" spans="1:3" x14ac:dyDescent="0.25">
      <c r="A13" s="5" t="s">
        <v>20</v>
      </c>
      <c r="B13" s="5" t="s">
        <v>25</v>
      </c>
      <c r="C13" s="18">
        <v>12753129.52</v>
      </c>
    </row>
    <row r="14" spans="1:3" x14ac:dyDescent="0.25">
      <c r="A14" s="5" t="s">
        <v>26</v>
      </c>
      <c r="B14" s="5" t="s">
        <v>27</v>
      </c>
      <c r="C14" s="18">
        <v>1344245</v>
      </c>
    </row>
    <row r="15" spans="1:3" x14ac:dyDescent="0.25">
      <c r="A15" s="5" t="s">
        <v>26</v>
      </c>
      <c r="B15" s="5" t="s">
        <v>27</v>
      </c>
      <c r="C15" s="18">
        <v>1440827</v>
      </c>
    </row>
    <row r="16" spans="1:3" x14ac:dyDescent="0.25">
      <c r="A16" s="5" t="s">
        <v>28</v>
      </c>
      <c r="B16" s="5" t="s">
        <v>29</v>
      </c>
      <c r="C16" s="18">
        <v>25590066</v>
      </c>
    </row>
    <row r="17" spans="1:3" x14ac:dyDescent="0.25">
      <c r="A17" s="5" t="s">
        <v>30</v>
      </c>
      <c r="B17" s="5" t="s">
        <v>32</v>
      </c>
      <c r="C17" s="18">
        <v>19263538.199999999</v>
      </c>
    </row>
    <row r="18" spans="1:3" x14ac:dyDescent="0.25">
      <c r="A18" s="5" t="s">
        <v>30</v>
      </c>
      <c r="B18" s="5" t="s">
        <v>33</v>
      </c>
      <c r="C18" s="18">
        <v>34624689.100000001</v>
      </c>
    </row>
    <row r="19" spans="1:3" x14ac:dyDescent="0.25">
      <c r="A19" s="5" t="s">
        <v>30</v>
      </c>
      <c r="B19" s="5" t="s">
        <v>33</v>
      </c>
      <c r="C19" s="18">
        <v>10466185.51</v>
      </c>
    </row>
    <row r="20" spans="1:3" x14ac:dyDescent="0.25">
      <c r="A20" s="5" t="s">
        <v>30</v>
      </c>
      <c r="B20" s="5" t="s">
        <v>33</v>
      </c>
      <c r="C20" s="18">
        <v>10796398.560000001</v>
      </c>
    </row>
    <row r="21" spans="1:3" x14ac:dyDescent="0.25">
      <c r="A21" s="5" t="s">
        <v>30</v>
      </c>
      <c r="B21" s="5" t="s">
        <v>33</v>
      </c>
      <c r="C21" s="18">
        <v>10796398.560000001</v>
      </c>
    </row>
    <row r="22" spans="1:3" x14ac:dyDescent="0.25">
      <c r="A22" s="5" t="s">
        <v>36</v>
      </c>
      <c r="B22" s="5" t="s">
        <v>37</v>
      </c>
      <c r="C22" s="18">
        <v>10413367.9</v>
      </c>
    </row>
    <row r="23" spans="1:3" x14ac:dyDescent="0.25">
      <c r="A23" s="5" t="s">
        <v>36</v>
      </c>
      <c r="B23" s="5" t="s">
        <v>38</v>
      </c>
      <c r="C23" s="18">
        <v>2795439.85</v>
      </c>
    </row>
    <row r="24" spans="1:3" x14ac:dyDescent="0.25">
      <c r="A24" s="5" t="s">
        <v>30</v>
      </c>
      <c r="B24" s="5" t="s">
        <v>56</v>
      </c>
      <c r="C24" s="18">
        <v>14795098</v>
      </c>
    </row>
    <row r="25" spans="1:3" x14ac:dyDescent="0.25">
      <c r="A25" s="5" t="s">
        <v>30</v>
      </c>
      <c r="B25" s="5" t="s">
        <v>57</v>
      </c>
      <c r="C25" s="18">
        <v>37853273.210000001</v>
      </c>
    </row>
    <row r="26" spans="1:3" x14ac:dyDescent="0.25">
      <c r="A26" s="5" t="s">
        <v>30</v>
      </c>
      <c r="B26" s="5" t="s">
        <v>58</v>
      </c>
      <c r="C26" s="18">
        <v>2105465.2999999998</v>
      </c>
    </row>
    <row r="27" spans="1:3" x14ac:dyDescent="0.25">
      <c r="A27" s="5" t="s">
        <v>30</v>
      </c>
      <c r="B27" s="5" t="s">
        <v>59</v>
      </c>
      <c r="C27" s="18">
        <v>5423354.6799999997</v>
      </c>
    </row>
    <row r="28" spans="1:3" x14ac:dyDescent="0.25">
      <c r="A28" s="5" t="s">
        <v>30</v>
      </c>
      <c r="B28" s="5" t="s">
        <v>59</v>
      </c>
      <c r="C28" s="18">
        <v>4407057.1100000003</v>
      </c>
    </row>
    <row r="29" spans="1:3" x14ac:dyDescent="0.25">
      <c r="A29" s="5" t="s">
        <v>30</v>
      </c>
      <c r="B29" s="5" t="s">
        <v>59</v>
      </c>
      <c r="C29" s="18">
        <v>4622667.9000000004</v>
      </c>
    </row>
    <row r="30" spans="1:3" x14ac:dyDescent="0.25">
      <c r="A30" s="5" t="s">
        <v>62</v>
      </c>
      <c r="B30" s="5" t="s">
        <v>63</v>
      </c>
      <c r="C30" s="18">
        <v>2031628.78</v>
      </c>
    </row>
    <row r="31" spans="1:3" s="1" customFormat="1" x14ac:dyDescent="0.25">
      <c r="A31" s="12"/>
      <c r="B31" s="12"/>
      <c r="C31" s="14">
        <f>SUM(C2:C30)</f>
        <v>392462152.32999998</v>
      </c>
    </row>
  </sheetData>
  <autoFilter ref="A1:C31" xr:uid="{00000000-0009-0000-0000-000002000000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selection sqref="A1:C22"/>
    </sheetView>
  </sheetViews>
  <sheetFormatPr defaultRowHeight="15" x14ac:dyDescent="0.25"/>
  <cols>
    <col min="1" max="1" width="59.7109375" style="2" customWidth="1"/>
    <col min="2" max="2" width="153.5703125" style="2" bestFit="1" customWidth="1"/>
    <col min="3" max="3" width="17" style="10" customWidth="1"/>
  </cols>
  <sheetData>
    <row r="1" spans="1:3" x14ac:dyDescent="0.25">
      <c r="A1" s="3" t="s">
        <v>0</v>
      </c>
      <c r="B1" s="3" t="s">
        <v>1</v>
      </c>
      <c r="C1" s="4" t="s">
        <v>107</v>
      </c>
    </row>
    <row r="2" spans="1:3" x14ac:dyDescent="0.25">
      <c r="A2" s="5" t="s">
        <v>4</v>
      </c>
      <c r="B2" s="5" t="s">
        <v>12</v>
      </c>
      <c r="C2" s="16">
        <v>37787211.549999997</v>
      </c>
    </row>
    <row r="3" spans="1:3" ht="30" x14ac:dyDescent="0.25">
      <c r="A3" s="5" t="s">
        <v>13</v>
      </c>
      <c r="B3" s="7" t="s">
        <v>78</v>
      </c>
      <c r="C3" s="16">
        <v>11188543.550000001</v>
      </c>
    </row>
    <row r="4" spans="1:3" x14ac:dyDescent="0.25">
      <c r="A4" s="5" t="s">
        <v>13</v>
      </c>
      <c r="B4" s="5" t="s">
        <v>17</v>
      </c>
      <c r="C4" s="16">
        <v>47682903.109999999</v>
      </c>
    </row>
    <row r="5" spans="1:3" x14ac:dyDescent="0.25">
      <c r="A5" s="5" t="s">
        <v>18</v>
      </c>
      <c r="B5" s="5" t="s">
        <v>19</v>
      </c>
      <c r="C5" s="16">
        <v>19198295.359999999</v>
      </c>
    </row>
    <row r="6" spans="1:3" ht="75" x14ac:dyDescent="0.25">
      <c r="A6" s="7" t="s">
        <v>77</v>
      </c>
      <c r="B6" s="5" t="s">
        <v>44</v>
      </c>
      <c r="C6" s="16">
        <v>6182076.1600000001</v>
      </c>
    </row>
    <row r="7" spans="1:3" x14ac:dyDescent="0.25">
      <c r="A7" s="5" t="s">
        <v>45</v>
      </c>
      <c r="B7" s="5" t="s">
        <v>46</v>
      </c>
      <c r="C7" s="16">
        <v>6643506.8099999996</v>
      </c>
    </row>
    <row r="8" spans="1:3" x14ac:dyDescent="0.25">
      <c r="A8" s="5" t="s">
        <v>47</v>
      </c>
      <c r="B8" s="5" t="s">
        <v>48</v>
      </c>
      <c r="C8" s="16">
        <v>1865633.45</v>
      </c>
    </row>
    <row r="9" spans="1:3" x14ac:dyDescent="0.25">
      <c r="A9" s="5" t="s">
        <v>52</v>
      </c>
      <c r="B9" s="5" t="s">
        <v>53</v>
      </c>
      <c r="C9" s="16">
        <v>32178813.800000001</v>
      </c>
    </row>
    <row r="10" spans="1:3" x14ac:dyDescent="0.25">
      <c r="A10" s="5" t="s">
        <v>54</v>
      </c>
      <c r="B10" s="5" t="s">
        <v>55</v>
      </c>
      <c r="C10" s="16">
        <v>72248690</v>
      </c>
    </row>
    <row r="11" spans="1:3" x14ac:dyDescent="0.25">
      <c r="A11" s="5" t="s">
        <v>30</v>
      </c>
      <c r="B11" s="5" t="s">
        <v>60</v>
      </c>
      <c r="C11" s="16">
        <v>26212582.890000001</v>
      </c>
    </row>
    <row r="12" spans="1:3" x14ac:dyDescent="0.25">
      <c r="A12" s="5" t="s">
        <v>30</v>
      </c>
      <c r="B12" s="5" t="s">
        <v>61</v>
      </c>
      <c r="C12" s="16">
        <v>10234854.369999999</v>
      </c>
    </row>
    <row r="13" spans="1:3" x14ac:dyDescent="0.25">
      <c r="A13" s="5" t="s">
        <v>64</v>
      </c>
      <c r="B13" s="5" t="s">
        <v>65</v>
      </c>
      <c r="C13" s="16">
        <v>9284905.3399999999</v>
      </c>
    </row>
    <row r="14" spans="1:3" x14ac:dyDescent="0.25">
      <c r="A14" s="5" t="s">
        <v>66</v>
      </c>
      <c r="B14" s="5" t="s">
        <v>67</v>
      </c>
      <c r="C14" s="16">
        <v>7800000</v>
      </c>
    </row>
    <row r="15" spans="1:3" x14ac:dyDescent="0.25">
      <c r="A15" s="5" t="s">
        <v>68</v>
      </c>
      <c r="B15" s="5" t="s">
        <v>69</v>
      </c>
      <c r="C15" s="16">
        <v>7402386.0700000003</v>
      </c>
    </row>
    <row r="16" spans="1:3" ht="30" x14ac:dyDescent="0.25">
      <c r="A16" s="5" t="s">
        <v>70</v>
      </c>
      <c r="B16" s="7" t="s">
        <v>79</v>
      </c>
      <c r="C16" s="16">
        <v>1892703.6</v>
      </c>
    </row>
    <row r="17" spans="1:3" x14ac:dyDescent="0.25">
      <c r="A17" s="5" t="s">
        <v>71</v>
      </c>
      <c r="B17" s="5" t="s">
        <v>72</v>
      </c>
      <c r="C17" s="16">
        <v>630389.30000000005</v>
      </c>
    </row>
    <row r="18" spans="1:3" x14ac:dyDescent="0.25">
      <c r="A18" s="5" t="s">
        <v>73</v>
      </c>
      <c r="B18" s="5" t="s">
        <v>74</v>
      </c>
      <c r="C18" s="16">
        <v>12837132.23</v>
      </c>
    </row>
    <row r="19" spans="1:3" ht="30" x14ac:dyDescent="0.25">
      <c r="A19" s="7" t="s">
        <v>76</v>
      </c>
      <c r="B19" s="7" t="s">
        <v>80</v>
      </c>
      <c r="C19" s="16">
        <v>2364755.85</v>
      </c>
    </row>
    <row r="20" spans="1:3" ht="45" x14ac:dyDescent="0.25">
      <c r="A20" s="7" t="s">
        <v>76</v>
      </c>
      <c r="B20" s="7" t="s">
        <v>81</v>
      </c>
      <c r="C20" s="16">
        <v>1400000</v>
      </c>
    </row>
    <row r="21" spans="1:3" ht="30" x14ac:dyDescent="0.25">
      <c r="A21" s="7" t="s">
        <v>109</v>
      </c>
      <c r="B21" s="5" t="s">
        <v>75</v>
      </c>
      <c r="C21" s="16">
        <v>18235997.260000002</v>
      </c>
    </row>
    <row r="22" spans="1:3" s="1" customFormat="1" x14ac:dyDescent="0.25">
      <c r="A22" s="12"/>
      <c r="B22" s="12"/>
      <c r="C22" s="13">
        <f>SUM(C2:C21)</f>
        <v>333271380.70000005</v>
      </c>
    </row>
  </sheetData>
  <autoFilter ref="A1:C22" xr:uid="{00000000-0009-0000-0000-000003000000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sqref="A1:C18"/>
    </sheetView>
  </sheetViews>
  <sheetFormatPr defaultRowHeight="15" x14ac:dyDescent="0.25"/>
  <cols>
    <col min="1" max="1" width="42.5703125" style="2" bestFit="1" customWidth="1"/>
    <col min="2" max="2" width="153.7109375" style="2" customWidth="1"/>
    <col min="3" max="3" width="15.28515625" style="10" bestFit="1" customWidth="1"/>
  </cols>
  <sheetData>
    <row r="1" spans="1:3" x14ac:dyDescent="0.25">
      <c r="A1" s="3" t="s">
        <v>0</v>
      </c>
      <c r="B1" s="3" t="s">
        <v>1</v>
      </c>
      <c r="C1" s="4" t="s">
        <v>108</v>
      </c>
    </row>
    <row r="2" spans="1:3" x14ac:dyDescent="0.25">
      <c r="A2" s="5" t="s">
        <v>4</v>
      </c>
      <c r="B2" s="5" t="s">
        <v>12</v>
      </c>
      <c r="C2" s="17">
        <v>45627960.799999997</v>
      </c>
    </row>
    <row r="3" spans="1:3" x14ac:dyDescent="0.25">
      <c r="A3" s="6" t="s">
        <v>87</v>
      </c>
      <c r="B3" s="5" t="s">
        <v>104</v>
      </c>
      <c r="C3" s="11">
        <v>31428327.039999999</v>
      </c>
    </row>
    <row r="4" spans="1:3" x14ac:dyDescent="0.25">
      <c r="A4" s="5" t="s">
        <v>30</v>
      </c>
      <c r="B4" s="5" t="s">
        <v>33</v>
      </c>
      <c r="C4" s="11">
        <v>15741463.609999999</v>
      </c>
    </row>
    <row r="5" spans="1:3" x14ac:dyDescent="0.25">
      <c r="A5" s="6" t="s">
        <v>82</v>
      </c>
      <c r="B5" s="6" t="s">
        <v>90</v>
      </c>
      <c r="C5" s="11">
        <v>163603814.68000001</v>
      </c>
    </row>
    <row r="6" spans="1:3" ht="32.25" customHeight="1" x14ac:dyDescent="0.25">
      <c r="A6" s="6" t="s">
        <v>83</v>
      </c>
      <c r="B6" s="8" t="s">
        <v>92</v>
      </c>
      <c r="C6" s="11">
        <v>56205617.700000003</v>
      </c>
    </row>
    <row r="7" spans="1:3" x14ac:dyDescent="0.25">
      <c r="A7" s="6" t="s">
        <v>84</v>
      </c>
      <c r="B7" s="6" t="s">
        <v>93</v>
      </c>
      <c r="C7" s="11">
        <v>48642102.700000003</v>
      </c>
    </row>
    <row r="8" spans="1:3" x14ac:dyDescent="0.25">
      <c r="A8" s="6" t="s">
        <v>85</v>
      </c>
      <c r="B8" s="6" t="s">
        <v>89</v>
      </c>
      <c r="C8" s="11">
        <v>91923704.719999999</v>
      </c>
    </row>
    <row r="9" spans="1:3" ht="31.5" customHeight="1" x14ac:dyDescent="0.25">
      <c r="A9" s="6" t="s">
        <v>86</v>
      </c>
      <c r="B9" s="8" t="s">
        <v>94</v>
      </c>
      <c r="C9" s="11">
        <v>31981117.120000001</v>
      </c>
    </row>
    <row r="10" spans="1:3" x14ac:dyDescent="0.25">
      <c r="A10" s="6" t="s">
        <v>88</v>
      </c>
      <c r="B10" s="6" t="s">
        <v>91</v>
      </c>
      <c r="C10" s="17">
        <v>40713435.520000003</v>
      </c>
    </row>
    <row r="11" spans="1:3" x14ac:dyDescent="0.25">
      <c r="A11" s="5" t="s">
        <v>13</v>
      </c>
      <c r="B11" s="9" t="s">
        <v>95</v>
      </c>
      <c r="C11" s="11">
        <v>34168673.450000003</v>
      </c>
    </row>
    <row r="12" spans="1:3" x14ac:dyDescent="0.25">
      <c r="A12" s="5" t="s">
        <v>18</v>
      </c>
      <c r="B12" s="9" t="s">
        <v>96</v>
      </c>
      <c r="C12" s="11">
        <v>14338018.15</v>
      </c>
    </row>
    <row r="13" spans="1:3" x14ac:dyDescent="0.25">
      <c r="A13" s="5" t="s">
        <v>13</v>
      </c>
      <c r="B13" s="9" t="s">
        <v>97</v>
      </c>
      <c r="C13" s="11">
        <v>53805123.020000003</v>
      </c>
    </row>
    <row r="14" spans="1:3" x14ac:dyDescent="0.25">
      <c r="A14" s="5" t="s">
        <v>13</v>
      </c>
      <c r="B14" s="9" t="s">
        <v>98</v>
      </c>
      <c r="C14" s="11">
        <v>21107455.469999999</v>
      </c>
    </row>
    <row r="15" spans="1:3" x14ac:dyDescent="0.25">
      <c r="A15" s="5" t="s">
        <v>13</v>
      </c>
      <c r="B15" s="9" t="s">
        <v>99</v>
      </c>
      <c r="C15" s="11">
        <v>24298182.760000002</v>
      </c>
    </row>
    <row r="16" spans="1:3" x14ac:dyDescent="0.25">
      <c r="A16" s="5" t="s">
        <v>13</v>
      </c>
      <c r="B16" s="9" t="s">
        <v>100</v>
      </c>
      <c r="C16" s="11">
        <v>11317919.16</v>
      </c>
    </row>
    <row r="17" spans="1:3" x14ac:dyDescent="0.25">
      <c r="A17" s="5" t="s">
        <v>18</v>
      </c>
      <c r="B17" s="9" t="s">
        <v>101</v>
      </c>
      <c r="C17" s="11">
        <v>18107188.140000001</v>
      </c>
    </row>
    <row r="18" spans="1:3" s="1" customFormat="1" x14ac:dyDescent="0.25">
      <c r="A18" s="12"/>
      <c r="B18" s="12"/>
      <c r="C18" s="13">
        <f>SUM(C2:C17)</f>
        <v>703010104.03999996</v>
      </c>
    </row>
  </sheetData>
  <autoFilter ref="A1:F18" xr:uid="{00000000-0009-0000-0000-000004000000}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DB8B-9317-424D-B0DD-884EF08FFCD8}">
  <dimension ref="A1:F68"/>
  <sheetViews>
    <sheetView topLeftCell="A8" workbookViewId="0">
      <selection activeCell="B58" sqref="B58"/>
    </sheetView>
  </sheetViews>
  <sheetFormatPr defaultRowHeight="15" x14ac:dyDescent="0.25"/>
  <cols>
    <col min="1" max="1" width="41.85546875" style="2" customWidth="1"/>
    <col min="2" max="2" width="109.140625" style="2" bestFit="1" customWidth="1"/>
    <col min="3" max="3" width="16.5703125" style="19" bestFit="1" customWidth="1"/>
    <col min="4" max="4" width="15.140625" bestFit="1" customWidth="1"/>
    <col min="5" max="5" width="14.140625" bestFit="1" customWidth="1"/>
    <col min="6" max="6" width="15.140625" bestFit="1" customWidth="1"/>
  </cols>
  <sheetData>
    <row r="1" spans="1:6" s="23" customFormat="1" x14ac:dyDescent="0.25">
      <c r="A1" s="21" t="s">
        <v>0</v>
      </c>
      <c r="B1" s="21" t="s">
        <v>1</v>
      </c>
      <c r="C1" s="22" t="s">
        <v>105</v>
      </c>
    </row>
    <row r="2" spans="1:6" s="23" customFormat="1" ht="30" x14ac:dyDescent="0.25">
      <c r="A2" s="26" t="s">
        <v>109</v>
      </c>
      <c r="B2" s="24" t="s">
        <v>75</v>
      </c>
      <c r="C2" s="34">
        <v>18235997.260000002</v>
      </c>
    </row>
    <row r="3" spans="1:6" s="23" customFormat="1" x14ac:dyDescent="0.25">
      <c r="A3" s="9" t="s">
        <v>82</v>
      </c>
      <c r="B3" s="9" t="s">
        <v>90</v>
      </c>
      <c r="C3" s="37">
        <v>163603814.68000001</v>
      </c>
    </row>
    <row r="4" spans="1:6" s="23" customFormat="1" x14ac:dyDescent="0.25">
      <c r="A4" s="24" t="s">
        <v>64</v>
      </c>
      <c r="B4" s="24" t="s">
        <v>65</v>
      </c>
      <c r="C4" s="34">
        <v>9284905.3399999999</v>
      </c>
    </row>
    <row r="5" spans="1:6" s="23" customFormat="1" x14ac:dyDescent="0.25">
      <c r="A5" s="24" t="s">
        <v>4</v>
      </c>
      <c r="B5" s="24" t="s">
        <v>12</v>
      </c>
      <c r="C5" s="25">
        <v>17360776.350000001</v>
      </c>
    </row>
    <row r="6" spans="1:6" s="23" customFormat="1" x14ac:dyDescent="0.25">
      <c r="A6" s="24" t="s">
        <v>4</v>
      </c>
      <c r="B6" s="24" t="s">
        <v>12</v>
      </c>
      <c r="C6" s="30">
        <v>24716901.239999998</v>
      </c>
    </row>
    <row r="7" spans="1:6" s="23" customFormat="1" x14ac:dyDescent="0.25">
      <c r="A7" s="24" t="s">
        <v>4</v>
      </c>
      <c r="B7" s="24" t="s">
        <v>113</v>
      </c>
      <c r="C7" s="30">
        <v>8633353.7100000009</v>
      </c>
    </row>
    <row r="8" spans="1:6" s="23" customFormat="1" x14ac:dyDescent="0.25">
      <c r="A8" s="24" t="s">
        <v>4</v>
      </c>
      <c r="B8" s="24" t="s">
        <v>12</v>
      </c>
      <c r="C8" s="30">
        <v>42358962.490000002</v>
      </c>
    </row>
    <row r="9" spans="1:6" s="23" customFormat="1" x14ac:dyDescent="0.25">
      <c r="A9" s="24" t="s">
        <v>4</v>
      </c>
      <c r="B9" s="24" t="s">
        <v>12</v>
      </c>
      <c r="C9" s="34">
        <v>37787211.549999997</v>
      </c>
    </row>
    <row r="10" spans="1:6" s="23" customFormat="1" x14ac:dyDescent="0.25">
      <c r="A10" s="24" t="s">
        <v>4</v>
      </c>
      <c r="B10" s="24" t="s">
        <v>12</v>
      </c>
      <c r="C10" s="36">
        <v>45627960.799999997</v>
      </c>
    </row>
    <row r="11" spans="1:6" s="23" customFormat="1" x14ac:dyDescent="0.25">
      <c r="A11" s="24" t="s">
        <v>30</v>
      </c>
      <c r="B11" s="24" t="s">
        <v>31</v>
      </c>
      <c r="C11" s="25">
        <v>15496701.039999999</v>
      </c>
    </row>
    <row r="12" spans="1:6" s="23" customFormat="1" x14ac:dyDescent="0.25">
      <c r="A12" s="24" t="s">
        <v>30</v>
      </c>
      <c r="B12" s="24" t="s">
        <v>115</v>
      </c>
      <c r="C12" s="30">
        <v>75153910.109999999</v>
      </c>
    </row>
    <row r="13" spans="1:6" s="23" customFormat="1" x14ac:dyDescent="0.25">
      <c r="A13" s="24" t="s">
        <v>30</v>
      </c>
      <c r="B13" s="24" t="s">
        <v>115</v>
      </c>
      <c r="C13" s="30">
        <v>69206916.200000003</v>
      </c>
    </row>
    <row r="14" spans="1:6" s="23" customFormat="1" x14ac:dyDescent="0.25">
      <c r="A14" s="24" t="s">
        <v>30</v>
      </c>
      <c r="B14" s="24" t="s">
        <v>115</v>
      </c>
      <c r="C14" s="34">
        <v>36447437.259999998</v>
      </c>
    </row>
    <row r="15" spans="1:6" s="23" customFormat="1" x14ac:dyDescent="0.25">
      <c r="A15" s="24" t="s">
        <v>30</v>
      </c>
      <c r="B15" s="24" t="s">
        <v>33</v>
      </c>
      <c r="C15" s="37">
        <v>15741463.609999999</v>
      </c>
      <c r="D15" s="31"/>
      <c r="F15" s="31"/>
    </row>
    <row r="16" spans="1:6" s="23" customFormat="1" x14ac:dyDescent="0.25">
      <c r="A16" s="24" t="s">
        <v>62</v>
      </c>
      <c r="B16" s="24" t="s">
        <v>63</v>
      </c>
      <c r="C16" s="30">
        <v>2031628.78</v>
      </c>
      <c r="D16" s="31"/>
    </row>
    <row r="17" spans="1:6" s="23" customFormat="1" x14ac:dyDescent="0.25">
      <c r="A17" s="24" t="s">
        <v>73</v>
      </c>
      <c r="B17" s="24" t="s">
        <v>74</v>
      </c>
      <c r="C17" s="34">
        <v>12837132.23</v>
      </c>
    </row>
    <row r="18" spans="1:6" s="23" customFormat="1" ht="60" x14ac:dyDescent="0.25">
      <c r="A18" s="26" t="s">
        <v>76</v>
      </c>
      <c r="B18" s="26" t="s">
        <v>80</v>
      </c>
      <c r="C18" s="34">
        <v>2364755.85</v>
      </c>
      <c r="D18" s="31"/>
    </row>
    <row r="19" spans="1:6" s="23" customFormat="1" ht="60" x14ac:dyDescent="0.25">
      <c r="A19" s="26" t="s">
        <v>76</v>
      </c>
      <c r="B19" s="26" t="s">
        <v>81</v>
      </c>
      <c r="C19" s="34">
        <v>1400000</v>
      </c>
    </row>
    <row r="20" spans="1:6" s="23" customFormat="1" x14ac:dyDescent="0.25">
      <c r="A20" s="24" t="s">
        <v>47</v>
      </c>
      <c r="B20" s="24" t="s">
        <v>48</v>
      </c>
      <c r="C20" s="34">
        <v>1865633.45</v>
      </c>
    </row>
    <row r="21" spans="1:6" s="23" customFormat="1" x14ac:dyDescent="0.25">
      <c r="A21" s="24" t="s">
        <v>45</v>
      </c>
      <c r="B21" s="24" t="s">
        <v>46</v>
      </c>
      <c r="C21" s="34">
        <v>6643506.8099999996</v>
      </c>
    </row>
    <row r="22" spans="1:6" s="23" customFormat="1" x14ac:dyDescent="0.25">
      <c r="A22" s="24" t="s">
        <v>71</v>
      </c>
      <c r="B22" s="24" t="s">
        <v>72</v>
      </c>
      <c r="C22" s="34">
        <v>630389.30000000005</v>
      </c>
    </row>
    <row r="23" spans="1:6" s="23" customFormat="1" ht="45" x14ac:dyDescent="0.25">
      <c r="A23" s="24" t="s">
        <v>70</v>
      </c>
      <c r="B23" s="26" t="s">
        <v>79</v>
      </c>
      <c r="C23" s="34">
        <v>1892703.6</v>
      </c>
    </row>
    <row r="24" spans="1:6" s="23" customFormat="1" x14ac:dyDescent="0.25">
      <c r="A24" s="24" t="s">
        <v>52</v>
      </c>
      <c r="B24" s="24" t="s">
        <v>53</v>
      </c>
      <c r="C24" s="34">
        <v>32178813.800000001</v>
      </c>
    </row>
    <row r="25" spans="1:6" s="23" customFormat="1" ht="45" x14ac:dyDescent="0.25">
      <c r="A25" s="9" t="s">
        <v>83</v>
      </c>
      <c r="B25" s="38" t="s">
        <v>92</v>
      </c>
      <c r="C25" s="37">
        <v>56205617.700000003</v>
      </c>
      <c r="D25" s="31"/>
      <c r="E25" s="33"/>
    </row>
    <row r="26" spans="1:6" s="23" customFormat="1" ht="30" x14ac:dyDescent="0.25">
      <c r="A26" s="24" t="s">
        <v>51</v>
      </c>
      <c r="B26" s="26" t="s">
        <v>102</v>
      </c>
      <c r="C26" s="25">
        <v>18792990.300000001</v>
      </c>
      <c r="D26" s="31"/>
      <c r="F26" s="33"/>
    </row>
    <row r="27" spans="1:6" s="23" customFormat="1" ht="45" x14ac:dyDescent="0.25">
      <c r="A27" s="9" t="s">
        <v>84</v>
      </c>
      <c r="B27" s="38" t="s">
        <v>118</v>
      </c>
      <c r="C27" s="37">
        <v>48642102.700000003</v>
      </c>
      <c r="D27" s="33"/>
    </row>
    <row r="28" spans="1:6" s="23" customFormat="1" x14ac:dyDescent="0.25">
      <c r="A28" s="24" t="s">
        <v>120</v>
      </c>
      <c r="B28" s="24" t="s">
        <v>123</v>
      </c>
      <c r="C28" s="30">
        <v>5315712.2</v>
      </c>
    </row>
    <row r="29" spans="1:6" s="23" customFormat="1" x14ac:dyDescent="0.25">
      <c r="A29" s="9" t="s">
        <v>85</v>
      </c>
      <c r="B29" s="9" t="s">
        <v>89</v>
      </c>
      <c r="C29" s="37">
        <v>91923704.719999999</v>
      </c>
    </row>
    <row r="30" spans="1:6" s="23" customFormat="1" x14ac:dyDescent="0.25">
      <c r="A30" s="24" t="s">
        <v>18</v>
      </c>
      <c r="B30" s="24" t="s">
        <v>116</v>
      </c>
      <c r="C30" s="34">
        <v>19198295.359999999</v>
      </c>
    </row>
    <row r="31" spans="1:6" s="23" customFormat="1" x14ac:dyDescent="0.25">
      <c r="A31" s="24" t="s">
        <v>18</v>
      </c>
      <c r="B31" s="24" t="s">
        <v>116</v>
      </c>
      <c r="C31" s="37">
        <v>32445206.289999999</v>
      </c>
    </row>
    <row r="32" spans="1:6" s="23" customFormat="1" x14ac:dyDescent="0.25">
      <c r="A32" s="24" t="s">
        <v>13</v>
      </c>
      <c r="B32" s="24" t="s">
        <v>110</v>
      </c>
      <c r="C32" s="25">
        <v>27310327.75</v>
      </c>
    </row>
    <row r="33" spans="1:3" s="23" customFormat="1" x14ac:dyDescent="0.25">
      <c r="A33" s="24" t="s">
        <v>13</v>
      </c>
      <c r="B33" s="24" t="s">
        <v>110</v>
      </c>
      <c r="C33" s="30">
        <v>45333692.75</v>
      </c>
    </row>
    <row r="34" spans="1:3" s="23" customFormat="1" x14ac:dyDescent="0.25">
      <c r="A34" s="24" t="s">
        <v>13</v>
      </c>
      <c r="B34" s="24" t="s">
        <v>110</v>
      </c>
      <c r="C34" s="34">
        <v>58871446.659999996</v>
      </c>
    </row>
    <row r="35" spans="1:3" s="23" customFormat="1" x14ac:dyDescent="0.25">
      <c r="A35" s="24" t="s">
        <v>13</v>
      </c>
      <c r="B35" s="24" t="s">
        <v>110</v>
      </c>
      <c r="C35" s="37">
        <v>144697353.86000001</v>
      </c>
    </row>
    <row r="36" spans="1:3" s="23" customFormat="1" ht="45" x14ac:dyDescent="0.25">
      <c r="A36" s="9" t="s">
        <v>86</v>
      </c>
      <c r="B36" s="38" t="s">
        <v>94</v>
      </c>
      <c r="C36" s="37">
        <v>31981117.120000001</v>
      </c>
    </row>
    <row r="37" spans="1:3" s="23" customFormat="1" x14ac:dyDescent="0.25">
      <c r="A37" s="24" t="s">
        <v>34</v>
      </c>
      <c r="B37" s="24" t="s">
        <v>35</v>
      </c>
      <c r="C37" s="25">
        <v>2063248.03</v>
      </c>
    </row>
    <row r="38" spans="1:3" s="23" customFormat="1" x14ac:dyDescent="0.25">
      <c r="A38" s="24" t="s">
        <v>54</v>
      </c>
      <c r="B38" s="24" t="s">
        <v>55</v>
      </c>
      <c r="C38" s="34">
        <v>72248690</v>
      </c>
    </row>
    <row r="39" spans="1:3" s="23" customFormat="1" x14ac:dyDescent="0.25">
      <c r="A39" s="24" t="s">
        <v>20</v>
      </c>
      <c r="B39" s="24" t="s">
        <v>21</v>
      </c>
      <c r="C39" s="25">
        <v>15853784.369999999</v>
      </c>
    </row>
    <row r="40" spans="1:3" s="23" customFormat="1" x14ac:dyDescent="0.25">
      <c r="A40" s="24" t="s">
        <v>20</v>
      </c>
      <c r="B40" s="24" t="s">
        <v>25</v>
      </c>
      <c r="C40" s="25">
        <v>6376564.7599999998</v>
      </c>
    </row>
    <row r="41" spans="1:3" s="23" customFormat="1" x14ac:dyDescent="0.25">
      <c r="A41" s="24" t="s">
        <v>20</v>
      </c>
      <c r="B41" s="24" t="s">
        <v>111</v>
      </c>
      <c r="C41" s="25">
        <v>96077133.900000006</v>
      </c>
    </row>
    <row r="42" spans="1:3" s="23" customFormat="1" x14ac:dyDescent="0.25">
      <c r="A42" s="24" t="s">
        <v>20</v>
      </c>
      <c r="B42" s="24" t="s">
        <v>112</v>
      </c>
      <c r="C42" s="30">
        <v>71634027.480000004</v>
      </c>
    </row>
    <row r="43" spans="1:3" s="23" customFormat="1" x14ac:dyDescent="0.25">
      <c r="A43" s="24" t="s">
        <v>26</v>
      </c>
      <c r="B43" s="24" t="s">
        <v>114</v>
      </c>
      <c r="C43" s="30">
        <v>2785072</v>
      </c>
    </row>
    <row r="44" spans="1:3" s="23" customFormat="1" x14ac:dyDescent="0.25">
      <c r="A44" s="24" t="s">
        <v>28</v>
      </c>
      <c r="B44" s="24" t="s">
        <v>29</v>
      </c>
      <c r="C44" s="30">
        <v>26961328.800000001</v>
      </c>
    </row>
    <row r="45" spans="1:3" s="23" customFormat="1" x14ac:dyDescent="0.25">
      <c r="A45" s="24" t="s">
        <v>49</v>
      </c>
      <c r="B45" s="24" t="s">
        <v>50</v>
      </c>
      <c r="C45" s="25">
        <v>2285575</v>
      </c>
    </row>
    <row r="46" spans="1:3" s="23" customFormat="1" x14ac:dyDescent="0.25">
      <c r="A46" s="24" t="s">
        <v>36</v>
      </c>
      <c r="B46" s="24" t="s">
        <v>37</v>
      </c>
      <c r="C46" s="25">
        <v>5193967.2</v>
      </c>
    </row>
    <row r="47" spans="1:3" s="23" customFormat="1" x14ac:dyDescent="0.25">
      <c r="A47" s="24" t="s">
        <v>36</v>
      </c>
      <c r="B47" s="24" t="s">
        <v>37</v>
      </c>
      <c r="C47" s="30">
        <v>14254762.710000001</v>
      </c>
    </row>
    <row r="48" spans="1:3" s="23" customFormat="1" x14ac:dyDescent="0.25">
      <c r="A48" s="24" t="s">
        <v>36</v>
      </c>
      <c r="B48" s="24" t="s">
        <v>38</v>
      </c>
      <c r="C48" s="30">
        <v>2795439.85</v>
      </c>
    </row>
    <row r="49" spans="1:4" s="23" customFormat="1" x14ac:dyDescent="0.25">
      <c r="A49" s="24" t="s">
        <v>66</v>
      </c>
      <c r="B49" s="24" t="s">
        <v>67</v>
      </c>
      <c r="C49" s="34">
        <v>7800000</v>
      </c>
      <c r="D49" s="31"/>
    </row>
    <row r="50" spans="1:4" s="23" customFormat="1" x14ac:dyDescent="0.25">
      <c r="A50" s="24" t="s">
        <v>2</v>
      </c>
      <c r="B50" s="24" t="s">
        <v>3</v>
      </c>
      <c r="C50" s="30">
        <v>12526733.9</v>
      </c>
    </row>
    <row r="51" spans="1:4" s="23" customFormat="1" ht="30" x14ac:dyDescent="0.25">
      <c r="A51" s="9" t="s">
        <v>87</v>
      </c>
      <c r="B51" s="26" t="s">
        <v>117</v>
      </c>
      <c r="C51" s="37">
        <v>31428327.039999999</v>
      </c>
      <c r="D51" s="31"/>
    </row>
    <row r="52" spans="1:4" s="23" customFormat="1" x14ac:dyDescent="0.25">
      <c r="A52" s="24" t="s">
        <v>121</v>
      </c>
      <c r="B52" s="24" t="s">
        <v>123</v>
      </c>
      <c r="C52" s="30">
        <v>2536540</v>
      </c>
    </row>
    <row r="53" spans="1:4" s="23" customFormat="1" x14ac:dyDescent="0.25">
      <c r="A53" s="24" t="s">
        <v>122</v>
      </c>
      <c r="B53" s="24" t="s">
        <v>123</v>
      </c>
      <c r="C53" s="30">
        <v>1400000</v>
      </c>
    </row>
    <row r="54" spans="1:4" s="23" customFormat="1" x14ac:dyDescent="0.25">
      <c r="A54" s="24" t="s">
        <v>40</v>
      </c>
      <c r="B54" s="24" t="s">
        <v>41</v>
      </c>
      <c r="C54" s="25">
        <v>11467830</v>
      </c>
    </row>
    <row r="55" spans="1:4" s="23" customFormat="1" x14ac:dyDescent="0.25">
      <c r="A55" s="24" t="s">
        <v>42</v>
      </c>
      <c r="B55" s="24" t="s">
        <v>43</v>
      </c>
      <c r="C55" s="25">
        <v>1969644.08</v>
      </c>
    </row>
    <row r="56" spans="1:4" s="23" customFormat="1" ht="75" x14ac:dyDescent="0.25">
      <c r="A56" s="26" t="s">
        <v>77</v>
      </c>
      <c r="B56" s="24" t="s">
        <v>44</v>
      </c>
      <c r="C56" s="34">
        <v>6182076.1600000001</v>
      </c>
    </row>
    <row r="57" spans="1:4" s="23" customFormat="1" x14ac:dyDescent="0.25">
      <c r="A57" s="24" t="s">
        <v>39</v>
      </c>
      <c r="B57" s="24" t="s">
        <v>38</v>
      </c>
      <c r="C57" s="25">
        <v>1243522.08</v>
      </c>
    </row>
    <row r="58" spans="1:4" s="23" customFormat="1" x14ac:dyDescent="0.25">
      <c r="A58" s="24" t="s">
        <v>68</v>
      </c>
      <c r="B58" s="24" t="s">
        <v>69</v>
      </c>
      <c r="C58" s="34">
        <v>7402386.0700000003</v>
      </c>
      <c r="D58" s="31"/>
    </row>
    <row r="59" spans="1:4" s="23" customFormat="1" ht="30" x14ac:dyDescent="0.25">
      <c r="A59" s="9" t="s">
        <v>88</v>
      </c>
      <c r="B59" s="38" t="s">
        <v>119</v>
      </c>
      <c r="C59" s="36">
        <v>40713435.520000003</v>
      </c>
      <c r="D59" s="39"/>
    </row>
    <row r="60" spans="1:4" s="23" customFormat="1" ht="45" x14ac:dyDescent="0.25">
      <c r="A60" s="2" t="s">
        <v>83</v>
      </c>
      <c r="B60" s="38" t="s">
        <v>92</v>
      </c>
      <c r="C60" s="40">
        <v>59739269.369999997</v>
      </c>
    </row>
    <row r="61" spans="1:4" ht="45" x14ac:dyDescent="0.25">
      <c r="A61" s="2" t="s">
        <v>84</v>
      </c>
      <c r="B61" s="38" t="s">
        <v>118</v>
      </c>
      <c r="C61" s="40">
        <v>11175596.4</v>
      </c>
    </row>
    <row r="62" spans="1:4" x14ac:dyDescent="0.25">
      <c r="A62" s="2" t="s">
        <v>85</v>
      </c>
      <c r="B62" s="9" t="s">
        <v>89</v>
      </c>
      <c r="C62" s="40">
        <v>2969505.6</v>
      </c>
    </row>
    <row r="63" spans="1:4" ht="45" x14ac:dyDescent="0.25">
      <c r="A63" s="2" t="s">
        <v>86</v>
      </c>
      <c r="B63" s="38" t="s">
        <v>94</v>
      </c>
      <c r="C63" s="40">
        <v>46120768.469999999</v>
      </c>
    </row>
    <row r="64" spans="1:4" x14ac:dyDescent="0.25">
      <c r="A64" s="2" t="s">
        <v>135</v>
      </c>
      <c r="B64" s="2" t="s">
        <v>137</v>
      </c>
      <c r="C64" s="40">
        <v>4419182.58</v>
      </c>
    </row>
    <row r="65" spans="1:3" ht="30" x14ac:dyDescent="0.25">
      <c r="A65" s="2" t="s">
        <v>88</v>
      </c>
      <c r="B65" s="38" t="s">
        <v>119</v>
      </c>
      <c r="C65" s="40">
        <v>1499236.72</v>
      </c>
    </row>
    <row r="66" spans="1:3" ht="30" x14ac:dyDescent="0.25">
      <c r="A66" s="2" t="s">
        <v>87</v>
      </c>
      <c r="B66" s="26" t="s">
        <v>117</v>
      </c>
      <c r="C66" s="40">
        <v>47696965.5</v>
      </c>
    </row>
    <row r="67" spans="1:3" x14ac:dyDescent="0.25">
      <c r="A67" s="2" t="s">
        <v>134</v>
      </c>
      <c r="B67" s="24" t="s">
        <v>12</v>
      </c>
      <c r="C67" s="40">
        <v>41020483.659999996</v>
      </c>
    </row>
    <row r="68" spans="1:3" x14ac:dyDescent="0.25">
      <c r="C68" s="41">
        <f>SUM(C2:C67)</f>
        <v>1880059540.1199996</v>
      </c>
    </row>
  </sheetData>
  <autoFilter ref="A1:C14" xr:uid="{00000000-0009-0000-0000-000000000000}">
    <sortState xmlns:xlrd2="http://schemas.microsoft.com/office/spreadsheetml/2017/richdata2" ref="A2:C60">
      <sortCondition ref="A1:A1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Сводная по годам</vt:lpstr>
      <vt:lpstr>2020</vt:lpstr>
      <vt:lpstr>2021-2022</vt:lpstr>
      <vt:lpstr>2023</vt:lpstr>
      <vt:lpstr>2024</vt:lpstr>
      <vt:lpstr>Сводная (общая)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Елена Каменева</cp:lastModifiedBy>
  <dcterms:created xsi:type="dcterms:W3CDTF">2025-05-29T11:50:18Z</dcterms:created>
  <dcterms:modified xsi:type="dcterms:W3CDTF">2026-01-28T16:32:35Z</dcterms:modified>
</cp:coreProperties>
</file>